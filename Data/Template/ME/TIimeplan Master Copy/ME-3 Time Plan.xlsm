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51196F13-6AD0-C1B8-E2B4-A1F9AE17003E}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TIimeplan Master Copy\Master\"/>
    </mc:Choice>
  </mc:AlternateContent>
  <x:bookViews>
    <x:workbookView xWindow="0" yWindow="0" windowWidth="20490" windowHeight="7620" firstSheet="0" activeTab="0"/>
  </x:bookViews>
  <x:sheets>
    <x:sheet name="ME-3" sheetId="10" r:id="rId1"/>
    <x:sheet name="bgr" sheetId="13" state="hidden" r:id="rId2"/>
    <x:sheet name="Sheet_Master" sheetId="12" r:id="rId3"/>
    <x:sheet name="Consolidated" sheetId="14" r:id="rId4"/>
  </x:sheets>
  <x:definedNames>
    <x:definedName name="_xlnm.Print_Area" localSheetId="0">'ME-3'!$B$1:$AI$33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x:calcChain xmlns:x="http://schemas.openxmlformats.org/spreadsheetml/2006/main">
  <x:c r="BH2" i="10"/>
  <x:c r="AA3" i="10"/>
  <x:c r="BD3" i="10"/>
  <x:c r="O6" i="10"/>
  <x:c r="Z6" i="10"/>
  <x:c r="AA6" i="10"/>
  <x:c r="AB6" i="10"/>
  <x:c r="AC6" i="10"/>
  <x:c r="AD6" i="10"/>
  <x:c r="AE6" i="10"/>
  <x:c r="AF6" i="10"/>
  <x:c r="AG6" i="10"/>
  <x:c r="AH6" i="10"/>
  <x:c r="AI6" i="10"/>
  <x:c r="AL6" i="10"/>
  <x:c r="AM6" i="10"/>
  <x:c r="AN6" i="10"/>
  <x:c r="AO6" i="10"/>
  <x:c r="AR6" i="10"/>
  <x:c r="AS6" i="10"/>
  <x:c r="AT6" i="10"/>
  <x:c r="AU6" i="10"/>
  <x:c r="AV6" i="10"/>
  <x:c r="AW6" i="10"/>
  <x:c r="AZ6" i="10"/>
  <x:c r="BB6" i="10"/>
  <x:c r="BD6" i="10"/>
  <x:c r="BE6" i="10"/>
  <x:c r="BG6" i="10"/>
  <x:c r="BI6" i="10"/>
  <x:c r="BJ6" i="10"/>
  <x:c r="BQ6" i="10"/>
  <x:c r="BS6" i="10"/>
  <x:c r="BT6" i="10"/>
  <x:c r="O7" i="10"/>
  <x:c r="Z7" i="10"/>
  <x:c r="AA7" i="10"/>
  <x:c r="AB7" i="10"/>
  <x:c r="AC7" i="10"/>
  <x:c r="AD7" i="10"/>
  <x:c r="AE7" i="10"/>
  <x:c r="AF7" i="10"/>
  <x:c r="AG7" i="10"/>
  <x:c r="AH7" i="10"/>
  <x:c r="AI7" i="10"/>
  <x:c r="AL7" i="10"/>
  <x:c r="AM7" i="10"/>
  <x:c r="AN7" i="10"/>
  <x:c r="AO7" i="10"/>
  <x:c r="AR7" i="10"/>
  <x:c r="AS7" i="10"/>
  <x:c r="AT7" i="10"/>
  <x:c r="AU7" i="10"/>
  <x:c r="AV7" i="10"/>
  <x:c r="AW7" i="10"/>
  <x:c r="AZ7" i="10"/>
  <x:c r="BB7" i="10"/>
  <x:c r="BD7" i="10"/>
  <x:c r="BE7" i="10"/>
  <x:c r="BG7" i="10"/>
  <x:c r="BI7" i="10"/>
  <x:c r="BJ7" i="10"/>
  <x:c r="BQ7" i="10"/>
  <x:c r="BS7" i="10"/>
  <x:c r="BT7" i="10"/>
  <x:c r="O8" i="10"/>
  <x:c r="Z8" i="10"/>
  <x:c r="AA8" i="10"/>
  <x:c r="AB8" i="10"/>
  <x:c r="AC8" i="10"/>
  <x:c r="AD8" i="10"/>
  <x:c r="AE8" i="10"/>
  <x:c r="AF8" i="10"/>
  <x:c r="AG8" i="10"/>
  <x:c r="AH8" i="10"/>
  <x:c r="AI8" i="10"/>
  <x:c r="AL8" i="10"/>
  <x:c r="AM8" i="10"/>
  <x:c r="AN8" i="10"/>
  <x:c r="AO8" i="10"/>
  <x:c r="AR8" i="10"/>
  <x:c r="AS8" i="10"/>
  <x:c r="AT8" i="10"/>
  <x:c r="AU8" i="10"/>
  <x:c r="AV8" i="10"/>
  <x:c r="AW8" i="10"/>
  <x:c r="AZ8" i="10"/>
  <x:c r="BB8" i="10"/>
  <x:c r="BD8" i="10"/>
  <x:c r="BE8" i="10"/>
  <x:c r="BG8" i="10"/>
  <x:c r="BI8" i="10"/>
  <x:c r="BJ8" i="10"/>
  <x:c r="BQ8" i="10"/>
  <x:c r="BS8" i="10"/>
  <x:c r="BT8" i="10"/>
  <x:c r="O9" i="10"/>
  <x:c r="Z9" i="10"/>
  <x:c r="AA9" i="10"/>
  <x:c r="AB9" i="10"/>
  <x:c r="AC9" i="10"/>
  <x:c r="AD9" i="10"/>
  <x:c r="AE9" i="10"/>
  <x:c r="AF9" i="10"/>
  <x:c r="AG9" i="10"/>
  <x:c r="AH9" i="10"/>
  <x:c r="AI9" i="10"/>
  <x:c r="AL9" i="10"/>
  <x:c r="AM9" i="10"/>
  <x:c r="AN9" i="10"/>
  <x:c r="AO9" i="10"/>
  <x:c r="AR9" i="10"/>
  <x:c r="AS9" i="10"/>
  <x:c r="AT9" i="10"/>
  <x:c r="AU9" i="10"/>
  <x:c r="AV9" i="10"/>
  <x:c r="AW9" i="10"/>
  <x:c r="AZ9" i="10"/>
  <x:c r="BB9" i="10"/>
  <x:c r="BD9" i="10"/>
  <x:c r="BE9" i="10"/>
  <x:c r="BG9" i="10"/>
  <x:c r="BI9" i="10"/>
  <x:c r="BJ9" i="10"/>
  <x:c r="BQ9" i="10"/>
  <x:c r="BS9" i="10"/>
  <x:c r="BT9" i="10"/>
  <x:c r="O10" i="10"/>
  <x:c r="Z10" i="10"/>
  <x:c r="AA10" i="10"/>
  <x:c r="AB10" i="10"/>
  <x:c r="AC10" i="10"/>
  <x:c r="AD10" i="10"/>
  <x:c r="AE10" i="10"/>
  <x:c r="AF10" i="10"/>
  <x:c r="AG10" i="10"/>
  <x:c r="AH10" i="10"/>
  <x:c r="AI10" i="10"/>
  <x:c r="AL10" i="10"/>
  <x:c r="AM10" i="10"/>
  <x:c r="AN10" i="10"/>
  <x:c r="AO10" i="10"/>
  <x:c r="AR10" i="10"/>
  <x:c r="AS10" i="10"/>
  <x:c r="AT10" i="10"/>
  <x:c r="AU10" i="10"/>
  <x:c r="AV10" i="10"/>
  <x:c r="AW10" i="10"/>
  <x:c r="AZ10" i="10"/>
  <x:c r="BB10" i="10"/>
  <x:c r="BD10" i="10"/>
  <x:c r="BE10" i="10"/>
  <x:c r="BG10" i="10"/>
  <x:c r="BI10" i="10"/>
  <x:c r="BJ10" i="10"/>
  <x:c r="BQ10" i="10"/>
  <x:c r="BS10" i="10"/>
  <x:c r="BT10" i="10"/>
  <x:c r="O11" i="10"/>
  <x:c r="Z11" i="10"/>
  <x:c r="AA11" i="10"/>
  <x:c r="AB11" i="10"/>
  <x:c r="AC11" i="10"/>
  <x:c r="AD11" i="10"/>
  <x:c r="AE11" i="10"/>
  <x:c r="AF11" i="10"/>
  <x:c r="AG11" i="10"/>
  <x:c r="AH11" i="10"/>
  <x:c r="AI11" i="10"/>
  <x:c r="AL11" i="10"/>
  <x:c r="AM11" i="10"/>
  <x:c r="AN11" i="10"/>
  <x:c r="AO11" i="10"/>
  <x:c r="AR11" i="10"/>
  <x:c r="AS11" i="10"/>
  <x:c r="AT11" i="10"/>
  <x:c r="AU11" i="10"/>
  <x:c r="AV11" i="10"/>
  <x:c r="AW11" i="10"/>
  <x:c r="AZ11" i="10"/>
  <x:c r="BB11" i="10"/>
  <x:c r="BD11" i="10"/>
  <x:c r="BE11" i="10"/>
  <x:c r="BG11" i="10"/>
  <x:c r="BI11" i="10"/>
  <x:c r="BJ11" i="10"/>
  <x:c r="BQ11" i="10"/>
  <x:c r="BS11" i="10"/>
  <x:c r="BT11" i="10"/>
  <x:c r="O12" i="10"/>
  <x:c r="Z12" i="10"/>
  <x:c r="AA12" i="10"/>
  <x:c r="AB12" i="10"/>
  <x:c r="AC12" i="10"/>
  <x:c r="AD12" i="10"/>
  <x:c r="AE12" i="10"/>
  <x:c r="AF12" i="10"/>
  <x:c r="AG12" i="10"/>
  <x:c r="AH12" i="10"/>
  <x:c r="AI12" i="10"/>
  <x:c r="AL12" i="10"/>
  <x:c r="AM12" i="10"/>
  <x:c r="AN12" i="10"/>
  <x:c r="AO12" i="10"/>
  <x:c r="AR12" i="10"/>
  <x:c r="AS12" i="10"/>
  <x:c r="AT12" i="10"/>
  <x:c r="AU12" i="10"/>
  <x:c r="AV12" i="10"/>
  <x:c r="AW12" i="10"/>
  <x:c r="AZ12" i="10"/>
  <x:c r="BB12" i="10"/>
  <x:c r="BD12" i="10"/>
  <x:c r="BE12" i="10"/>
  <x:c r="BG12" i="10"/>
  <x:c r="BI12" i="10"/>
  <x:c r="BJ12" i="10"/>
  <x:c r="BQ12" i="10"/>
  <x:c r="BS12" i="10"/>
  <x:c r="BT12" i="10"/>
  <x:c r="O13" i="10"/>
  <x:c r="Z13" i="10"/>
  <x:c r="AA13" i="10"/>
  <x:c r="AB13" i="10"/>
  <x:c r="AC13" i="10"/>
  <x:c r="AD13" i="10"/>
  <x:c r="AE13" i="10"/>
  <x:c r="AF13" i="10"/>
  <x:c r="AG13" i="10"/>
  <x:c r="AH13" i="10"/>
  <x:c r="AI13" i="10"/>
  <x:c r="AL13" i="10"/>
  <x:c r="AM13" i="10"/>
  <x:c r="AN13" i="10"/>
  <x:c r="AO13" i="10"/>
  <x:c r="AR13" i="10"/>
  <x:c r="AS13" i="10"/>
  <x:c r="AT13" i="10"/>
  <x:c r="AU13" i="10"/>
  <x:c r="AV13" i="10"/>
  <x:c r="AW13" i="10"/>
  <x:c r="AZ13" i="10"/>
  <x:c r="BB13" i="10"/>
  <x:c r="BD13" i="10"/>
  <x:c r="BE13" i="10"/>
  <x:c r="BG13" i="10"/>
  <x:c r="BI13" i="10"/>
  <x:c r="BJ13" i="10"/>
  <x:c r="BQ13" i="10"/>
  <x:c r="BS13" i="10"/>
  <x:c r="BT13" i="10"/>
  <x:c r="O14" i="10"/>
  <x:c r="Z14" i="10"/>
  <x:c r="AA14" i="10"/>
  <x:c r="AB14" i="10"/>
  <x:c r="AC14" i="10"/>
  <x:c r="AD14" i="10"/>
  <x:c r="AE14" i="10"/>
  <x:c r="AF14" i="10"/>
  <x:c r="AG14" i="10"/>
  <x:c r="AH14" i="10"/>
  <x:c r="AI14" i="10"/>
  <x:c r="AL14" i="10"/>
  <x:c r="AM14" i="10"/>
  <x:c r="AN14" i="10"/>
  <x:c r="AO14" i="10"/>
  <x:c r="AR14" i="10"/>
  <x:c r="AS14" i="10"/>
  <x:c r="AT14" i="10"/>
  <x:c r="AU14" i="10"/>
  <x:c r="AV14" i="10"/>
  <x:c r="AW14" i="10"/>
  <x:c r="AZ14" i="10"/>
  <x:c r="BB14" i="10"/>
  <x:c r="BD14" i="10"/>
  <x:c r="BE14" i="10"/>
  <x:c r="BG14" i="10"/>
  <x:c r="BI14" i="10"/>
  <x:c r="BJ14" i="10"/>
  <x:c r="BQ14" i="10"/>
  <x:c r="BS14" i="10"/>
  <x:c r="BT14" i="10"/>
  <x:c r="O15" i="10"/>
  <x:c r="Z15" i="10"/>
  <x:c r="AA15" i="10"/>
  <x:c r="AB15" i="10"/>
  <x:c r="AC15" i="10"/>
  <x:c r="AD15" i="10"/>
  <x:c r="AE15" i="10"/>
  <x:c r="AF15" i="10"/>
  <x:c r="AG15" i="10"/>
  <x:c r="AH15" i="10"/>
  <x:c r="AI15" i="10"/>
  <x:c r="AL15" i="10"/>
  <x:c r="AM15" i="10"/>
  <x:c r="AN15" i="10"/>
  <x:c r="AO15" i="10"/>
  <x:c r="AR15" i="10"/>
  <x:c r="AS15" i="10"/>
  <x:c r="AT15" i="10"/>
  <x:c r="AU15" i="10"/>
  <x:c r="AV15" i="10"/>
  <x:c r="AW15" i="10"/>
  <x:c r="AZ15" i="10"/>
  <x:c r="BB15" i="10"/>
  <x:c r="BD15" i="10"/>
  <x:c r="BE15" i="10"/>
  <x:c r="BG15" i="10"/>
  <x:c r="BI15" i="10"/>
  <x:c r="BJ15" i="10"/>
  <x:c r="BQ15" i="10"/>
  <x:c r="BS15" i="10"/>
  <x:c r="BT15" i="10"/>
  <x:c r="O16" i="10"/>
  <x:c r="Z16" i="10"/>
  <x:c r="AA16" i="10"/>
  <x:c r="AB16" i="10"/>
  <x:c r="AC16" i="10"/>
  <x:c r="AD16" i="10"/>
  <x:c r="AE16" i="10"/>
  <x:c r="AF16" i="10"/>
  <x:c r="AG16" i="10"/>
  <x:c r="AH16" i="10"/>
  <x:c r="AI16" i="10"/>
  <x:c r="AL16" i="10"/>
  <x:c r="AM16" i="10"/>
  <x:c r="AN16" i="10"/>
  <x:c r="AO16" i="10"/>
  <x:c r="AR16" i="10"/>
  <x:c r="AS16" i="10"/>
  <x:c r="AT16" i="10"/>
  <x:c r="AU16" i="10"/>
  <x:c r="AV16" i="10"/>
  <x:c r="AW16" i="10"/>
  <x:c r="AZ16" i="10"/>
  <x:c r="BB16" i="10"/>
  <x:c r="BD16" i="10"/>
  <x:c r="BE16" i="10"/>
  <x:c r="BG16" i="10"/>
  <x:c r="BI16" i="10"/>
  <x:c r="BJ16" i="10"/>
  <x:c r="BQ16" i="10"/>
  <x:c r="BS16" i="10"/>
  <x:c r="BT16" i="10"/>
  <x:c r="O17" i="10"/>
  <x:c r="Z17" i="10"/>
  <x:c r="AA17" i="10"/>
  <x:c r="AB17" i="10"/>
  <x:c r="AC17" i="10"/>
  <x:c r="AD17" i="10"/>
  <x:c r="AE17" i="10"/>
  <x:c r="AF17" i="10"/>
  <x:c r="AG17" i="10"/>
  <x:c r="AH17" i="10"/>
  <x:c r="AI17" i="10"/>
  <x:c r="AL17" i="10"/>
  <x:c r="AM17" i="10"/>
  <x:c r="AN17" i="10"/>
  <x:c r="AO17" i="10"/>
  <x:c r="AR17" i="10"/>
  <x:c r="AS17" i="10"/>
  <x:c r="AT17" i="10"/>
  <x:c r="AU17" i="10"/>
  <x:c r="AV17" i="10"/>
  <x:c r="AW17" i="10"/>
  <x:c r="AZ17" i="10"/>
  <x:c r="BB17" i="10"/>
  <x:c r="BD17" i="10"/>
  <x:c r="BE17" i="10"/>
  <x:c r="BG17" i="10"/>
  <x:c r="BI17" i="10"/>
  <x:c r="BJ17" i="10"/>
  <x:c r="BQ17" i="10"/>
  <x:c r="BR17" i="10"/>
  <x:c r="BS17" i="10"/>
  <x:c r="BT17" i="10"/>
  <x:c r="O18" i="10"/>
  <x:c r="Z18" i="10"/>
  <x:c r="AA18" i="10"/>
  <x:c r="AB18" i="10"/>
  <x:c r="AC18" i="10"/>
  <x:c r="AD18" i="10"/>
  <x:c r="AE18" i="10"/>
  <x:c r="AF18" i="10"/>
  <x:c r="AG18" i="10"/>
  <x:c r="AH18" i="10"/>
  <x:c r="AI18" i="10"/>
  <x:c r="AL18" i="10"/>
  <x:c r="AM18" i="10"/>
  <x:c r="AN18" i="10"/>
  <x:c r="AO18" i="10"/>
  <x:c r="AR18" i="10"/>
  <x:c r="AS18" i="10"/>
  <x:c r="AT18" i="10"/>
  <x:c r="AU18" i="10"/>
  <x:c r="AV18" i="10"/>
  <x:c r="AW18" i="10"/>
  <x:c r="AZ18" i="10"/>
  <x:c r="BB18" i="10"/>
  <x:c r="BD18" i="10"/>
  <x:c r="BE18" i="10"/>
  <x:c r="BG18" i="10"/>
  <x:c r="BI18" i="10"/>
  <x:c r="BJ18" i="10"/>
  <x:c r="BQ18" i="10"/>
  <x:c r="BS18" i="10"/>
  <x:c r="BT18" i="10"/>
  <x:c r="O19" i="10"/>
  <x:c r="Z19" i="10"/>
  <x:c r="AA19" i="10"/>
  <x:c r="AB19" i="10"/>
  <x:c r="AC19" i="10"/>
  <x:c r="AD19" i="10"/>
  <x:c r="AE19" i="10"/>
  <x:c r="AF19" i="10"/>
  <x:c r="AG19" i="10"/>
  <x:c r="AH19" i="10"/>
  <x:c r="AI19" i="10"/>
  <x:c r="AL19" i="10"/>
  <x:c r="AM19" i="10"/>
  <x:c r="AN19" i="10"/>
  <x:c r="AO19" i="10"/>
  <x:c r="AR19" i="10"/>
  <x:c r="AS19" i="10"/>
  <x:c r="AT19" i="10"/>
  <x:c r="AU19" i="10"/>
  <x:c r="AV19" i="10"/>
  <x:c r="AW19" i="10"/>
  <x:c r="AZ19" i="10"/>
  <x:c r="BB19" i="10"/>
  <x:c r="BD19" i="10"/>
  <x:c r="BE19" i="10"/>
  <x:c r="BG19" i="10"/>
  <x:c r="BI19" i="10"/>
  <x:c r="BJ19" i="10"/>
  <x:c r="BQ19" i="10"/>
  <x:c r="BS19" i="10"/>
  <x:c r="BT19" i="10"/>
  <x:c r="O20" i="10"/>
  <x:c r="Z20" i="10"/>
  <x:c r="AA20" i="10"/>
  <x:c r="AB20" i="10"/>
  <x:c r="AC20" i="10"/>
  <x:c r="AD20" i="10"/>
  <x:c r="AE20" i="10"/>
  <x:c r="AF20" i="10"/>
  <x:c r="AG20" i="10"/>
  <x:c r="AH20" i="10"/>
  <x:c r="AI20" i="10"/>
  <x:c r="AL20" i="10"/>
  <x:c r="AM20" i="10"/>
  <x:c r="AN20" i="10"/>
  <x:c r="AO20" i="10"/>
  <x:c r="AR20" i="10"/>
  <x:c r="AS20" i="10"/>
  <x:c r="AT20" i="10"/>
  <x:c r="AU20" i="10"/>
  <x:c r="AV20" i="10"/>
  <x:c r="AW20" i="10"/>
  <x:c r="AZ20" i="10"/>
  <x:c r="BB20" i="10"/>
  <x:c r="BD20" i="10"/>
  <x:c r="BE20" i="10"/>
  <x:c r="BG20" i="10"/>
  <x:c r="BI20" i="10"/>
  <x:c r="BJ20" i="10"/>
  <x:c r="BQ20" i="10"/>
  <x:c r="BS20" i="10"/>
  <x:c r="BT20" i="10"/>
  <x:c r="O21" i="10"/>
  <x:c r="Z21" i="10"/>
  <x:c r="AA21" i="10"/>
  <x:c r="AB21" i="10"/>
  <x:c r="AC21" i="10"/>
  <x:c r="AD21" i="10"/>
  <x:c r="AE21" i="10"/>
  <x:c r="AF21" i="10"/>
  <x:c r="AG21" i="10"/>
  <x:c r="AH21" i="10"/>
  <x:c r="AI21" i="10"/>
  <x:c r="AL21" i="10"/>
  <x:c r="AM21" i="10"/>
  <x:c r="AN21" i="10"/>
  <x:c r="AO21" i="10"/>
  <x:c r="AR21" i="10"/>
  <x:c r="AS21" i="10"/>
  <x:c r="AT21" i="10"/>
  <x:c r="AU21" i="10"/>
  <x:c r="AV21" i="10"/>
  <x:c r="AW21" i="10"/>
  <x:c r="AZ21" i="10"/>
  <x:c r="BB21" i="10"/>
  <x:c r="BD21" i="10"/>
  <x:c r="BE21" i="10"/>
  <x:c r="BG21" i="10"/>
  <x:c r="BI21" i="10"/>
  <x:c r="BJ21" i="10"/>
  <x:c r="BQ21" i="10"/>
  <x:c r="BS21" i="10"/>
  <x:c r="BT21" i="10"/>
  <x:c r="O22" i="10"/>
  <x:c r="Z22" i="10"/>
  <x:c r="AA22" i="10"/>
  <x:c r="AB22" i="10"/>
  <x:c r="AC22" i="10"/>
  <x:c r="AD22" i="10"/>
  <x:c r="AE22" i="10"/>
  <x:c r="AF22" i="10"/>
  <x:c r="AG22" i="10"/>
  <x:c r="AH22" i="10"/>
  <x:c r="AI22" i="10"/>
  <x:c r="AL22" i="10"/>
  <x:c r="AM22" i="10"/>
  <x:c r="AN22" i="10"/>
  <x:c r="AO22" i="10"/>
  <x:c r="AR22" i="10"/>
  <x:c r="AS22" i="10"/>
  <x:c r="AT22" i="10"/>
  <x:c r="AU22" i="10"/>
  <x:c r="AV22" i="10"/>
  <x:c r="AW22" i="10"/>
  <x:c r="AZ22" i="10"/>
  <x:c r="BB22" i="10"/>
  <x:c r="BD22" i="10"/>
  <x:c r="BE22" i="10"/>
  <x:c r="BG22" i="10"/>
  <x:c r="BI22" i="10"/>
  <x:c r="BJ22" i="10"/>
  <x:c r="BQ22" i="10"/>
  <x:c r="BS22" i="10"/>
  <x:c r="BT22" i="10"/>
  <x:c r="O23" i="10"/>
  <x:c r="Z23" i="10"/>
  <x:c r="AA23" i="10"/>
  <x:c r="AB23" i="10"/>
  <x:c r="AC23" i="10"/>
  <x:c r="AD23" i="10"/>
  <x:c r="AE23" i="10"/>
  <x:c r="AF23" i="10"/>
  <x:c r="AG23" i="10"/>
  <x:c r="AH23" i="10"/>
  <x:c r="AI23" i="10"/>
  <x:c r="AL23" i="10"/>
  <x:c r="AM23" i="10"/>
  <x:c r="AN23" i="10"/>
  <x:c r="AO23" i="10"/>
  <x:c r="AR23" i="10"/>
  <x:c r="AS23" i="10"/>
  <x:c r="AT23" i="10"/>
  <x:c r="AU23" i="10"/>
  <x:c r="AV23" i="10"/>
  <x:c r="AW23" i="10"/>
  <x:c r="AZ23" i="10"/>
  <x:c r="BB23" i="10"/>
  <x:c r="BD23" i="10"/>
  <x:c r="BE23" i="10"/>
  <x:c r="BG23" i="10"/>
  <x:c r="BI23" i="10"/>
  <x:c r="BJ23" i="10"/>
  <x:c r="BQ23" i="10"/>
  <x:c r="BS23" i="10"/>
  <x:c r="BT23" i="10"/>
  <x:c r="O24" i="10"/>
  <x:c r="Z24" i="10"/>
  <x:c r="AA24" i="10"/>
  <x:c r="AB24" i="10"/>
  <x:c r="AC24" i="10"/>
  <x:c r="AD24" i="10"/>
  <x:c r="AE24" i="10"/>
  <x:c r="AF24" i="10"/>
  <x:c r="AG24" i="10"/>
  <x:c r="AH24" i="10"/>
  <x:c r="AI24" i="10"/>
  <x:c r="AL24" i="10"/>
  <x:c r="AM24" i="10"/>
  <x:c r="AN24" i="10"/>
  <x:c r="AO24" i="10"/>
  <x:c r="AR24" i="10"/>
  <x:c r="AS24" i="10"/>
  <x:c r="AT24" i="10"/>
  <x:c r="AU24" i="10"/>
  <x:c r="AV24" i="10"/>
  <x:c r="AW24" i="10"/>
  <x:c r="AZ24" i="10"/>
  <x:c r="BB24" i="10"/>
  <x:c r="BD24" i="10"/>
  <x:c r="BE24" i="10"/>
  <x:c r="BG24" i="10"/>
  <x:c r="BI24" i="10"/>
  <x:c r="BJ24" i="10"/>
  <x:c r="BQ24" i="10"/>
  <x:c r="BS24" i="10"/>
  <x:c r="BT24" i="10"/>
  <x:c r="O25" i="10"/>
  <x:c r="Z25" i="10"/>
  <x:c r="AA25" i="10"/>
  <x:c r="AB25" i="10"/>
  <x:c r="AC25" i="10"/>
  <x:c r="AD25" i="10"/>
  <x:c r="AE25" i="10"/>
  <x:c r="AF25" i="10"/>
  <x:c r="AG25" i="10"/>
  <x:c r="AH25" i="10"/>
  <x:c r="AI25" i="10"/>
  <x:c r="AL25" i="10"/>
  <x:c r="AM25" i="10"/>
  <x:c r="AN25" i="10"/>
  <x:c r="AO25" i="10"/>
  <x:c r="AR25" i="10"/>
  <x:c r="AS25" i="10"/>
  <x:c r="AT25" i="10"/>
  <x:c r="AU25" i="10"/>
  <x:c r="AV25" i="10"/>
  <x:c r="AW25" i="10"/>
  <x:c r="AZ25" i="10"/>
  <x:c r="BB25" i="10"/>
  <x:c r="BD25" i="10"/>
  <x:c r="BE25" i="10"/>
  <x:c r="BG25" i="10"/>
  <x:c r="BI25" i="10"/>
  <x:c r="BJ25" i="10"/>
  <x:c r="BQ25" i="10"/>
  <x:c r="BS25" i="10"/>
  <x:c r="BT25" i="10"/>
  <x:c r="O26" i="10"/>
  <x:c r="Z26" i="10"/>
  <x:c r="AA26" i="10"/>
  <x:c r="AB26" i="10"/>
  <x:c r="AC26" i="10"/>
  <x:c r="AD26" i="10"/>
  <x:c r="AE26" i="10"/>
  <x:c r="AF26" i="10"/>
  <x:c r="AG26" i="10"/>
  <x:c r="AH26" i="10"/>
  <x:c r="AI26" i="10"/>
  <x:c r="AL26" i="10"/>
  <x:c r="AM26" i="10"/>
  <x:c r="AN26" i="10"/>
  <x:c r="AO26" i="10"/>
  <x:c r="AR26" i="10"/>
  <x:c r="AS26" i="10"/>
  <x:c r="AT26" i="10"/>
  <x:c r="AU26" i="10"/>
  <x:c r="AV26" i="10"/>
  <x:c r="AW26" i="10"/>
  <x:c r="AZ26" i="10"/>
  <x:c r="BB26" i="10"/>
  <x:c r="BD26" i="10"/>
  <x:c r="BE26" i="10"/>
  <x:c r="BG26" i="10"/>
  <x:c r="BI26" i="10"/>
  <x:c r="BJ26" i="10"/>
  <x:c r="BQ26" i="10"/>
  <x:c r="BS26" i="10"/>
  <x:c r="BT26" i="10"/>
  <x:c r="O27" i="10"/>
  <x:c r="Z27" i="10"/>
  <x:c r="AA27" i="10"/>
  <x:c r="AB27" i="10"/>
  <x:c r="AC27" i="10"/>
  <x:c r="AD27" i="10"/>
  <x:c r="AE27" i="10"/>
  <x:c r="AF27" i="10"/>
  <x:c r="AG27" i="10"/>
  <x:c r="AH27" i="10"/>
  <x:c r="AI27" i="10"/>
  <x:c r="AL27" i="10"/>
  <x:c r="AM27" i="10"/>
  <x:c r="AN27" i="10"/>
  <x:c r="AO27" i="10"/>
  <x:c r="AR27" i="10"/>
  <x:c r="AS27" i="10"/>
  <x:c r="AT27" i="10"/>
  <x:c r="AU27" i="10"/>
  <x:c r="AV27" i="10"/>
  <x:c r="AW27" i="10"/>
  <x:c r="AZ27" i="10"/>
  <x:c r="BB27" i="10"/>
  <x:c r="BD27" i="10"/>
  <x:c r="BE27" i="10"/>
  <x:c r="BG27" i="10"/>
  <x:c r="BI27" i="10"/>
  <x:c r="BJ27" i="10"/>
  <x:c r="BQ27" i="10"/>
  <x:c r="BS27" i="10"/>
  <x:c r="BT27" i="10"/>
  <x:c r="O28" i="10"/>
  <x:c r="Z28" i="10"/>
  <x:c r="AA28" i="10"/>
  <x:c r="AB28" i="10"/>
  <x:c r="AC28" i="10"/>
  <x:c r="AD28" i="10"/>
  <x:c r="AE28" i="10"/>
  <x:c r="AF28" i="10"/>
  <x:c r="AG28" i="10"/>
  <x:c r="AH28" i="10"/>
  <x:c r="AI28" i="10"/>
  <x:c r="AL28" i="10"/>
  <x:c r="AM28" i="10"/>
  <x:c r="AN28" i="10"/>
  <x:c r="AO28" i="10"/>
  <x:c r="AR28" i="10"/>
  <x:c r="AS28" i="10"/>
  <x:c r="AT28" i="10"/>
  <x:c r="AU28" i="10"/>
  <x:c r="AV28" i="10"/>
  <x:c r="AW28" i="10"/>
  <x:c r="AZ28" i="10"/>
  <x:c r="BB28" i="10"/>
  <x:c r="BD28" i="10"/>
  <x:c r="BE28" i="10"/>
  <x:c r="BG28" i="10"/>
  <x:c r="BI28" i="10"/>
  <x:c r="BJ28" i="10"/>
  <x:c r="BQ28" i="10"/>
  <x:c r="BS28" i="10"/>
  <x:c r="BT28" i="10"/>
  <x:c r="O29" i="10"/>
  <x:c r="Z29" i="10"/>
  <x:c r="AA29" i="10"/>
  <x:c r="AB29" i="10"/>
  <x:c r="AC29" i="10"/>
  <x:c r="AD29" i="10"/>
  <x:c r="AE29" i="10"/>
  <x:c r="AF29" i="10"/>
  <x:c r="AG29" i="10"/>
  <x:c r="AH29" i="10"/>
  <x:c r="AI29" i="10"/>
  <x:c r="AL29" i="10"/>
  <x:c r="AM29" i="10"/>
  <x:c r="AN29" i="10"/>
  <x:c r="AO29" i="10"/>
  <x:c r="AR29" i="10"/>
  <x:c r="AS29" i="10"/>
  <x:c r="AT29" i="10"/>
  <x:c r="AU29" i="10"/>
  <x:c r="AV29" i="10"/>
  <x:c r="AW29" i="10"/>
  <x:c r="AY29" i="10"/>
  <x:c r="AZ29" i="10"/>
  <x:c r="BB29" i="10"/>
  <x:c r="BD29" i="10"/>
  <x:c r="BE29" i="10"/>
  <x:c r="BG29" i="10"/>
  <x:c r="BI29" i="10"/>
  <x:c r="BJ29" i="10"/>
  <x:c r="BQ29" i="10"/>
  <x:c r="BS29" i="10"/>
  <x:c r="BT29" i="10"/>
  <x:c r="Q30" i="10"/>
  <x:c r="Y30" i="10"/>
  <x:c r="AB30" i="10"/>
  <x:c r="AD30" i="10"/>
  <x:c r="AG30" i="10"/>
  <x:c r="AO31" i="10"/>
  <x:c r="AS31" i="10"/>
  <x:c r="AV31" i="10"/>
  <x:c r="AZ31" i="10"/>
  <x:c r="BD31" i="10"/>
  <x:c r="BH31" i="10"/>
  <x:c r="BL31" i="10"/>
  <x:c r="BP31" i="10"/>
  <x:c r="BT31" i="10"/>
  <x:c r="AZ32" i="10"/>
  <x:c r="BD32" i="10"/>
  <x:c r="BH32" i="10"/>
  <x:c r="BL32" i="10"/>
  <x:c r="BP32" i="10"/>
  <x:c r="BQ32" i="10"/>
  <x:c r="BT32" i="10"/>
  <x:c r="BK166" i="10"/>
  <x:c r="BL166" i="10"/>
  <x:c r="BM166" i="10"/>
  <x:c r="BP166" i="10"/>
  <x:c r="BK167" i="10"/>
  <x:c r="BL167" i="10"/>
  <x:c r="BM167" i="10"/>
  <x:c r="BP167" i="10"/>
  <x:c r="BK168" i="10"/>
  <x:c r="BL168" i="10"/>
  <x:c r="BM168" i="10"/>
  <x:c r="BP168" i="10"/>
  <x:c r="BK169" i="10"/>
  <x:c r="BL169" i="10"/>
  <x:c r="BM169" i="10"/>
  <x:c r="BP169" i="10"/>
  <x:c r="BK170" i="10"/>
  <x:c r="BL170" i="10"/>
  <x:c r="BM170" i="10"/>
  <x:c r="BP170" i="10"/>
  <x:c r="BK171" i="10"/>
  <x:c r="BL171" i="10"/>
  <x:c r="BM171" i="10"/>
  <x:c r="BP171" i="10"/>
  <x:c r="BK172" i="10"/>
  <x:c r="BL172" i="10"/>
  <x:c r="BM172" i="10"/>
  <x:c r="BP172" i="10"/>
  <x:c r="BK173" i="10"/>
  <x:c r="BL173" i="10"/>
  <x:c r="BM173" i="10"/>
  <x:c r="BP173" i="10"/>
  <x:c r="BK174" i="10"/>
  <x:c r="BL174" i="10"/>
  <x:c r="BM174" i="10"/>
  <x:c r="BP174" i="10"/>
  <x:c r="BK175" i="10"/>
  <x:c r="BL175" i="10"/>
  <x:c r="BM175" i="10"/>
  <x:c r="BP175" i="10"/>
  <x:c r="BK176" i="10"/>
  <x:c r="BL176" i="10"/>
  <x:c r="BM176" i="10"/>
  <x:c r="BP176" i="10"/>
  <x:c r="BK177" i="10"/>
  <x:c r="BL177" i="10"/>
  <x:c r="BM177" i="10"/>
  <x:c r="BP177" i="10"/>
  <x:c r="BK178" i="10"/>
  <x:c r="BL178" i="10"/>
  <x:c r="BM178" i="10"/>
  <x:c r="BP178" i="10"/>
  <x:c r="BK179" i="10"/>
  <x:c r="BL179" i="10"/>
  <x:c r="BM179" i="10"/>
  <x:c r="BP179" i="10"/>
  <x:c r="BK180" i="10"/>
  <x:c r="BL180" i="10"/>
  <x:c r="BM180" i="10"/>
  <x:c r="BP180" i="10"/>
  <x:c r="BK181" i="10"/>
  <x:c r="BL181" i="10"/>
  <x:c r="BM181" i="10"/>
  <x:c r="BP181" i="10"/>
  <x:c r="BK182" i="10"/>
  <x:c r="BL182" i="10"/>
  <x:c r="BM182" i="10"/>
  <x:c r="BP182" i="10"/>
  <x:c r="BK183" i="10"/>
  <x:c r="BL183" i="10"/>
  <x:c r="BM183" i="10"/>
  <x:c r="BP183" i="10"/>
  <x:c r="BK184" i="10"/>
  <x:c r="BL184" i="10"/>
  <x:c r="BM184" i="10"/>
  <x:c r="BP184" i="10"/>
  <x:c r="BK185" i="10"/>
  <x:c r="BL185" i="10"/>
  <x:c r="BM185" i="10"/>
  <x:c r="BP185" i="10"/>
  <x:c r="BK186" i="10"/>
  <x:c r="BL186" i="10"/>
  <x:c r="BM186" i="10"/>
  <x:c r="BP186" i="10"/>
  <x:c r="BK187" i="10"/>
  <x:c r="BL187" i="10"/>
  <x:c r="BM187" i="10"/>
  <x:c r="BP187" i="10"/>
  <x:c r="BK188" i="10"/>
  <x:c r="BL188" i="10"/>
  <x:c r="BM188" i="10"/>
  <x:c r="BP188" i="10"/>
  <x:c r="BK189" i="10"/>
  <x:c r="BL189" i="10"/>
  <x:c r="BM189" i="10"/>
  <x:c r="BP189" i="10"/>
  <x:c r="BK190" i="10"/>
  <x:c r="BL190" i="10"/>
  <x:c r="BM190" i="10"/>
  <x:c r="BP190" i="10"/>
  <x:c r="BK191" i="10"/>
  <x:c r="BL191" i="10"/>
  <x:c r="BM191" i="10"/>
  <x:c r="BP191" i="10"/>
  <x:c r="BK192" i="10"/>
  <x:c r="BL192" i="10"/>
  <x:c r="BM192" i="10"/>
  <x:c r="BP192" i="10"/>
  <x:c r="BK193" i="10"/>
  <x:c r="BL193" i="10"/>
  <x:c r="BM193" i="10"/>
  <x:c r="BP193" i="10"/>
  <x:c r="BK194" i="10"/>
  <x:c r="BL194" i="10"/>
  <x:c r="BM194" i="10"/>
  <x:c r="BP194" i="10"/>
  <x:c r="BK195" i="10"/>
  <x:c r="BL195" i="10"/>
  <x:c r="BM195" i="10"/>
  <x:c r="BP195" i="10"/>
  <x:c r="BK196" i="10"/>
  <x:c r="BL196" i="10"/>
  <x:c r="BM196" i="10"/>
  <x:c r="BP196" i="10"/>
  <x:c r="BK197" i="10"/>
  <x:c r="BL197" i="10"/>
  <x:c r="BM197" i="10"/>
  <x:c r="BP197" i="10"/>
  <x:c r="BK198" i="10"/>
  <x:c r="BL198" i="10"/>
  <x:c r="BM198" i="10"/>
  <x:c r="BP198" i="10"/>
  <x:c r="BK199" i="10"/>
  <x:c r="BL199" i="10"/>
  <x:c r="BM199" i="10"/>
  <x:c r="BP199" i="10"/>
  <x:c r="BK200" i="10"/>
  <x:c r="BL200" i="10"/>
  <x:c r="BM200" i="10"/>
  <x:c r="BP200" i="10"/>
  <x:c r="BK201" i="10"/>
  <x:c r="BL201" i="10"/>
  <x:c r="BM201" i="10"/>
  <x:c r="BP201" i="10"/>
  <x:c r="BK202" i="10"/>
  <x:c r="BL202" i="10"/>
  <x:c r="BM202" i="10"/>
  <x:c r="BP202" i="10"/>
  <x:c r="BK203" i="10"/>
  <x:c r="BL203" i="10"/>
  <x:c r="BM203" i="10"/>
  <x:c r="BP203" i="10"/>
  <x:c r="BK204" i="10"/>
  <x:c r="BL204" i="10"/>
  <x:c r="BM204" i="10"/>
  <x:c r="BP204" i="10"/>
  <x:c r="BK205" i="10"/>
  <x:c r="BL205" i="10"/>
  <x:c r="BM205" i="10"/>
  <x:c r="BP205" i="10"/>
  <x:c r="BK206" i="10"/>
  <x:c r="BL206" i="10"/>
  <x:c r="BM206" i="10"/>
  <x:c r="BP206" i="10"/>
  <x:c r="BK207" i="10"/>
  <x:c r="BL207" i="10"/>
  <x:c r="BM207" i="10"/>
  <x:c r="BP207" i="10"/>
  <x:c r="BK208" i="10"/>
  <x:c r="BL208" i="10"/>
  <x:c r="BM208" i="10"/>
  <x:c r="BP208" i="10"/>
  <x:c r="BK209" i="10"/>
  <x:c r="BL209" i="10"/>
  <x:c r="BM209" i="10"/>
  <x:c r="BP209" i="10"/>
  <x:c r="BK210" i="10"/>
  <x:c r="BL210" i="10"/>
  <x:c r="BM210" i="10"/>
  <x:c r="BP210" i="10"/>
  <x:c r="BK211" i="10"/>
  <x:c r="BL211" i="10"/>
  <x:c r="BM211" i="10"/>
  <x:c r="BP211" i="10"/>
  <x:c r="BK212" i="10"/>
  <x:c r="BL212" i="10"/>
  <x:c r="BM212" i="10"/>
  <x:c r="BP212" i="10"/>
  <x:c r="BK213" i="10"/>
  <x:c r="BL213" i="10"/>
  <x:c r="BM213" i="10"/>
  <x:c r="BP213" i="10"/>
  <x:c r="BK214" i="10"/>
  <x:c r="BL214" i="10"/>
  <x:c r="BM214" i="10"/>
  <x:c r="BP214" i="10"/>
  <x:c r="BK215" i="10"/>
  <x:c r="BL215" i="10"/>
  <x:c r="BM215" i="10"/>
  <x:c r="BP215" i="10"/>
  <x:c r="BK216" i="10"/>
  <x:c r="BL216" i="10"/>
  <x:c r="BM216" i="10"/>
  <x:c r="BP216" i="10"/>
  <x:c r="BK217" i="10"/>
  <x:c r="BL217" i="10"/>
  <x:c r="BM217" i="10"/>
  <x:c r="BP217" i="10"/>
  <x:c r="BK218" i="10"/>
  <x:c r="BL218" i="10"/>
  <x:c r="BM218" i="10"/>
  <x:c r="BP218" i="10"/>
  <x:c r="BK219" i="10"/>
  <x:c r="BL219" i="10"/>
  <x:c r="BM219" i="10"/>
  <x:c r="BP219" i="10"/>
  <x:c r="BK220" i="10"/>
  <x:c r="BL220" i="10"/>
  <x:c r="BM220" i="10"/>
  <x:c r="BP220" i="10"/>
  <x:c r="BK221" i="10"/>
  <x:c r="BL221" i="10"/>
  <x:c r="BM221" i="10"/>
  <x:c r="BP221" i="10"/>
  <x:c r="BK222" i="10"/>
  <x:c r="BL222" i="10"/>
  <x:c r="BM222" i="10"/>
  <x:c r="BP222" i="10"/>
  <x:c r="BK223" i="10"/>
  <x:c r="BL223" i="10"/>
  <x:c r="BM223" i="10"/>
  <x:c r="BP223" i="10"/>
  <x:c r="BK224" i="10"/>
  <x:c r="BL224" i="10"/>
  <x:c r="BM224" i="10"/>
  <x:c r="BP224" i="10"/>
  <x:c r="BK225" i="10"/>
  <x:c r="BL225" i="10"/>
  <x:c r="BM225" i="10"/>
  <x:c r="BP225" i="10"/>
  <x:c r="BK226" i="10"/>
  <x:c r="BL226" i="10"/>
  <x:c r="BM226" i="10"/>
  <x:c r="BP226" i="10"/>
  <x:c r="BK227" i="10"/>
  <x:c r="BL227" i="10"/>
  <x:c r="BM227" i="10"/>
  <x:c r="BP227" i="10"/>
  <x:c r="BK228" i="10"/>
  <x:c r="BL228" i="10"/>
  <x:c r="BM228" i="10"/>
  <x:c r="BP228" i="10"/>
  <x:c r="O2" i="13"/>
  <x:c r="P2" i="13"/>
  <x:c r="Q2" i="13"/>
  <x:c r="R2" i="13"/>
  <x:c r="S2" i="13"/>
  <x:c r="T2" i="13"/>
  <x:c r="U2" i="13"/>
  <x:c r="V2" i="13"/>
  <x:c r="W2" i="13"/>
  <x:c r="X2" i="13"/>
  <x:c r="Y2" i="13"/>
  <x:c r="Z2" i="13"/>
  <x:c r="AA2" i="13"/>
  <x:c r="AB2" i="13"/>
  <x:c r="AC2" i="13"/>
  <x:c r="AD2" i="13"/>
  <x:c r="AE2" i="13"/>
  <x:c r="AF2" i="13"/>
  <x:c r="AG2" i="13"/>
  <x:c r="AH2" i="13"/>
  <x:c r="O3" i="13"/>
  <x:c r="P3" i="13"/>
  <x:c r="Q3" i="13"/>
  <x:c r="S3" i="13"/>
  <x:c r="T3" i="13"/>
  <x:c r="U3" i="13"/>
  <x:c r="V3" i="13"/>
  <x:c r="W3" i="13"/>
  <x:c r="X3" i="13"/>
  <x:c r="Y3" i="13"/>
  <x:c r="Z3" i="13"/>
  <x:c r="AA3" i="13"/>
  <x:c r="AB3" i="13"/>
  <x:c r="AC3" i="13"/>
  <x:c r="AD3" i="13"/>
  <x:c r="AE3" i="13"/>
  <x:c r="AF3" i="13"/>
  <x:c r="AG3" i="13"/>
  <x:c r="AH3" i="13"/>
  <x:c r="O4" i="13"/>
  <x:c r="P4" i="13"/>
  <x:c r="Q4" i="13"/>
  <x:c r="S4" i="13"/>
  <x:c r="T4" i="13"/>
  <x:c r="U4" i="13"/>
  <x:c r="V4" i="13"/>
  <x:c r="W4" i="13"/>
  <x:c r="X4" i="13"/>
  <x:c r="Y4" i="13"/>
  <x:c r="Z4" i="13"/>
  <x:c r="AA4" i="13"/>
  <x:c r="AB4" i="13"/>
  <x:c r="AC4" i="13"/>
  <x:c r="AD4" i="13"/>
  <x:c r="AE4" i="13"/>
  <x:c r="AF4" i="13"/>
  <x:c r="AG4" i="13"/>
  <x:c r="AH4" i="13"/>
  <x:c r="O5" i="13"/>
  <x:c r="P5" i="13"/>
  <x:c r="Q5" i="13"/>
  <x:c r="S5" i="13"/>
  <x:c r="T5" i="13"/>
  <x:c r="U5" i="13"/>
  <x:c r="V5" i="13"/>
  <x:c r="W5" i="13"/>
  <x:c r="X5" i="13"/>
  <x:c r="Y5" i="13"/>
  <x:c r="Z5" i="13"/>
  <x:c r="AA5" i="13"/>
  <x:c r="AB5" i="13"/>
  <x:c r="AC5" i="13"/>
  <x:c r="AD5" i="13"/>
  <x:c r="AE5" i="13"/>
  <x:c r="AF5" i="13"/>
  <x:c r="AG5" i="13"/>
  <x:c r="AH5" i="13"/>
  <x:c r="O6" i="13"/>
  <x:c r="P6" i="13"/>
  <x:c r="Q6" i="13"/>
  <x:c r="S6" i="13"/>
  <x:c r="T6" i="13"/>
  <x:c r="U6" i="13"/>
  <x:c r="V6" i="13"/>
  <x:c r="W6" i="13"/>
  <x:c r="X6" i="13"/>
  <x:c r="Y6" i="13"/>
  <x:c r="Z6" i="13"/>
  <x:c r="AA6" i="13"/>
  <x:c r="AB6" i="13"/>
  <x:c r="AC6" i="13"/>
  <x:c r="AD6" i="13"/>
  <x:c r="AE6" i="13"/>
  <x:c r="AF6" i="13"/>
  <x:c r="AG6" i="13"/>
  <x:c r="AH6" i="13"/>
  <x:c r="O7" i="13"/>
  <x:c r="P7" i="13"/>
  <x:c r="Q7" i="13"/>
  <x:c r="S7" i="13"/>
  <x:c r="T7" i="13"/>
  <x:c r="U7" i="13"/>
  <x:c r="V7" i="13"/>
  <x:c r="W7" i="13"/>
  <x:c r="X7" i="13"/>
  <x:c r="Y7" i="13"/>
  <x:c r="Z7" i="13"/>
  <x:c r="AA7" i="13"/>
  <x:c r="AB7" i="13"/>
  <x:c r="AC7" i="13"/>
  <x:c r="AD7" i="13"/>
  <x:c r="AE7" i="13"/>
  <x:c r="AF7" i="13"/>
  <x:c r="AG7" i="13"/>
  <x:c r="AH7" i="13"/>
  <x:c r="O8" i="13"/>
  <x:c r="P8" i="13"/>
  <x:c r="Q8" i="13"/>
  <x:c r="S8" i="13"/>
  <x:c r="T8" i="13"/>
  <x:c r="U8" i="13"/>
  <x:c r="V8" i="13"/>
  <x:c r="W8" i="13"/>
  <x:c r="X8" i="13"/>
  <x:c r="Y8" i="13"/>
  <x:c r="Z8" i="13"/>
  <x:c r="AA8" i="13"/>
  <x:c r="AB8" i="13"/>
  <x:c r="AC8" i="13"/>
  <x:c r="AD8" i="13"/>
  <x:c r="AE8" i="13"/>
  <x:c r="AF8" i="13"/>
  <x:c r="AG8" i="13"/>
  <x:c r="AH8" i="13"/>
  <x:c r="O9" i="13"/>
  <x:c r="P9" i="13"/>
  <x:c r="Q9" i="13"/>
  <x:c r="S9" i="13"/>
  <x:c r="T9" i="13"/>
  <x:c r="U9" i="13"/>
  <x:c r="V9" i="13"/>
  <x:c r="W9" i="13"/>
  <x:c r="X9" i="13"/>
  <x:c r="Y9" i="13"/>
  <x:c r="Z9" i="13"/>
  <x:c r="AA9" i="13"/>
  <x:c r="AB9" i="13"/>
  <x:c r="AC9" i="13"/>
  <x:c r="AD9" i="13"/>
  <x:c r="AE9" i="13"/>
  <x:c r="AF9" i="13"/>
  <x:c r="AG9" i="13"/>
  <x:c r="AH9" i="13"/>
  <x:c r="O10" i="13"/>
  <x:c r="P10" i="13"/>
  <x:c r="Q10" i="13"/>
  <x:c r="S10" i="13"/>
  <x:c r="T10" i="13"/>
  <x:c r="U10" i="13"/>
  <x:c r="V10" i="13"/>
  <x:c r="W10" i="13"/>
  <x:c r="X10" i="13"/>
  <x:c r="Y10" i="13"/>
  <x:c r="Z10" i="13"/>
  <x:c r="AA10" i="13"/>
  <x:c r="AB10" i="13"/>
  <x:c r="AC10" i="13"/>
  <x:c r="AD10" i="13"/>
  <x:c r="AE10" i="13"/>
  <x:c r="AF10" i="13"/>
  <x:c r="AG10" i="13"/>
  <x:c r="AH10" i="13"/>
  <x:c r="O11" i="13"/>
  <x:c r="P11" i="13"/>
  <x:c r="Q11" i="13"/>
  <x:c r="S11" i="13"/>
  <x:c r="T11" i="13"/>
  <x:c r="U11" i="13"/>
  <x:c r="V11" i="13"/>
  <x:c r="W11" i="13"/>
  <x:c r="X11" i="13"/>
  <x:c r="Y11" i="13"/>
  <x:c r="Z11" i="13"/>
  <x:c r="AA11" i="13"/>
  <x:c r="AB11" i="13"/>
  <x:c r="AC11" i="13"/>
  <x:c r="AD11" i="13"/>
  <x:c r="AE11" i="13"/>
  <x:c r="AF11" i="13"/>
  <x:c r="AG11" i="13"/>
  <x:c r="AH11" i="13"/>
  <x:c r="O12" i="13"/>
  <x:c r="P12" i="13"/>
  <x:c r="Q12" i="13"/>
  <x:c r="S12" i="13"/>
  <x:c r="T12" i="13"/>
  <x:c r="U12" i="13"/>
  <x:c r="V12" i="13"/>
  <x:c r="W12" i="13"/>
  <x:c r="X12" i="13"/>
  <x:c r="Y12" i="13"/>
  <x:c r="Z12" i="13"/>
  <x:c r="AA12" i="13"/>
  <x:c r="AB12" i="13"/>
  <x:c r="AC12" i="13"/>
  <x:c r="AD12" i="13"/>
  <x:c r="AE12" i="13"/>
  <x:c r="AF12" i="13"/>
  <x:c r="AG12" i="13"/>
  <x:c r="AH12" i="13"/>
  <x:c r="O13" i="13"/>
  <x:c r="P13" i="13"/>
  <x:c r="Q13" i="13"/>
  <x:c r="S13" i="13"/>
  <x:c r="T13" i="13"/>
  <x:c r="U13" i="13"/>
  <x:c r="V13" i="13"/>
  <x:c r="W13" i="13"/>
  <x:c r="X13" i="13"/>
  <x:c r="Y13" i="13"/>
  <x:c r="Z13" i="13"/>
  <x:c r="AA13" i="13"/>
  <x:c r="AB13" i="13"/>
  <x:c r="AC13" i="13"/>
  <x:c r="AD13" i="13"/>
  <x:c r="AE13" i="13"/>
  <x:c r="AF13" i="13"/>
  <x:c r="AG13" i="13"/>
  <x:c r="AH13" i="13"/>
  <x:c r="O14" i="13"/>
  <x:c r="P14" i="13"/>
  <x:c r="Q14" i="13"/>
  <x:c r="S14" i="13"/>
  <x:c r="T14" i="13"/>
  <x:c r="U14" i="13"/>
  <x:c r="V14" i="13"/>
  <x:c r="W14" i="13"/>
  <x:c r="X14" i="13"/>
  <x:c r="Y14" i="13"/>
  <x:c r="Z14" i="13"/>
  <x:c r="AA14" i="13"/>
  <x:c r="AB14" i="13"/>
  <x:c r="AC14" i="13"/>
  <x:c r="AD14" i="13"/>
  <x:c r="AE14" i="13"/>
  <x:c r="AF14" i="13"/>
  <x:c r="AG14" i="13"/>
  <x:c r="AH14" i="13"/>
  <x:c r="O15" i="13"/>
  <x:c r="P15" i="13"/>
  <x:c r="Q15" i="13"/>
  <x:c r="S15" i="13"/>
  <x:c r="T15" i="13"/>
  <x:c r="U15" i="13"/>
  <x:c r="V15" i="13"/>
  <x:c r="W15" i="13"/>
  <x:c r="X15" i="13"/>
  <x:c r="Y15" i="13"/>
  <x:c r="Z15" i="13"/>
  <x:c r="AA15" i="13"/>
  <x:c r="AB15" i="13"/>
  <x:c r="AC15" i="13"/>
  <x:c r="AD15" i="13"/>
  <x:c r="AE15" i="13"/>
  <x:c r="AF15" i="13"/>
  <x:c r="AG15" i="13"/>
  <x:c r="AH15" i="13"/>
  <x:c r="O16" i="13"/>
  <x:c r="P16" i="13"/>
  <x:c r="Q16" i="13"/>
  <x:c r="S16" i="13"/>
  <x:c r="T16" i="13"/>
  <x:c r="U16" i="13"/>
  <x:c r="V16" i="13"/>
  <x:c r="W16" i="13"/>
  <x:c r="X16" i="13"/>
  <x:c r="Y16" i="13"/>
  <x:c r="Z16" i="13"/>
  <x:c r="AA16" i="13"/>
  <x:c r="AB16" i="13"/>
  <x:c r="AC16" i="13"/>
  <x:c r="AD16" i="13"/>
  <x:c r="AE16" i="13"/>
  <x:c r="AF16" i="13"/>
  <x:c r="AG16" i="13"/>
  <x:c r="AH16" i="13"/>
  <x:c r="O17" i="13"/>
  <x:c r="P17" i="13"/>
  <x:c r="Q17" i="13"/>
  <x:c r="S17" i="13"/>
  <x:c r="T17" i="13"/>
  <x:c r="U17" i="13"/>
  <x:c r="V17" i="13"/>
  <x:c r="W17" i="13"/>
  <x:c r="X17" i="13"/>
  <x:c r="Y17" i="13"/>
  <x:c r="Z17" i="13"/>
  <x:c r="AA17" i="13"/>
  <x:c r="AB17" i="13"/>
  <x:c r="AC17" i="13"/>
  <x:c r="AD17" i="13"/>
  <x:c r="AE17" i="13"/>
  <x:c r="AF17" i="13"/>
  <x:c r="AG17" i="13"/>
  <x:c r="AH17" i="13"/>
  <x:c r="O18" i="13"/>
  <x:c r="P18" i="13"/>
  <x:c r="Q18" i="13"/>
  <x:c r="S18" i="13"/>
  <x:c r="T18" i="13"/>
  <x:c r="U18" i="13"/>
  <x:c r="V18" i="13"/>
  <x:c r="W18" i="13"/>
  <x:c r="X18" i="13"/>
  <x:c r="Y18" i="13"/>
  <x:c r="Z18" i="13"/>
  <x:c r="AA18" i="13"/>
  <x:c r="AB18" i="13"/>
  <x:c r="AC18" i="13"/>
  <x:c r="AD18" i="13"/>
  <x:c r="AE18" i="13"/>
  <x:c r="AF18" i="13"/>
  <x:c r="AG18" i="13"/>
  <x:c r="AH18" i="13"/>
  <x:c r="O19" i="13"/>
  <x:c r="P19" i="13"/>
  <x:c r="Q19" i="13"/>
  <x:c r="S19" i="13"/>
  <x:c r="T19" i="13"/>
  <x:c r="U19" i="13"/>
  <x:c r="V19" i="13"/>
  <x:c r="W19" i="13"/>
  <x:c r="X19" i="13"/>
  <x:c r="Y19" i="13"/>
  <x:c r="Z19" i="13"/>
  <x:c r="AA19" i="13"/>
  <x:c r="AB19" i="13"/>
  <x:c r="AC19" i="13"/>
  <x:c r="AD19" i="13"/>
  <x:c r="AE19" i="13"/>
  <x:c r="AF19" i="13"/>
  <x:c r="AG19" i="13"/>
  <x:c r="AH19" i="13"/>
  <x:c r="O20" i="13"/>
  <x:c r="P20" i="13"/>
  <x:c r="Q20" i="13"/>
  <x:c r="S20" i="13"/>
  <x:c r="T20" i="13"/>
  <x:c r="U20" i="13"/>
  <x:c r="V20" i="13"/>
  <x:c r="W20" i="13"/>
  <x:c r="X20" i="13"/>
  <x:c r="Y20" i="13"/>
  <x:c r="Z20" i="13"/>
  <x:c r="AA20" i="13"/>
  <x:c r="AB20" i="13"/>
  <x:c r="AC20" i="13"/>
  <x:c r="AD20" i="13"/>
  <x:c r="AE20" i="13"/>
  <x:c r="AF20" i="13"/>
  <x:c r="AG20" i="13"/>
  <x:c r="AH20" i="13"/>
  <x:c r="O21" i="13"/>
  <x:c r="P21" i="13"/>
  <x:c r="Q21" i="13"/>
  <x:c r="S21" i="13"/>
  <x:c r="T21" i="13"/>
  <x:c r="U21" i="13"/>
  <x:c r="V21" i="13"/>
  <x:c r="W21" i="13"/>
  <x:c r="X21" i="13"/>
  <x:c r="Y21" i="13"/>
  <x:c r="Z21" i="13"/>
  <x:c r="AA21" i="13"/>
  <x:c r="AB21" i="13"/>
  <x:c r="AC21" i="13"/>
  <x:c r="AD21" i="13"/>
  <x:c r="AE21" i="13"/>
  <x:c r="AF21" i="13"/>
  <x:c r="AG21" i="13"/>
  <x:c r="AH21" i="13"/>
  <x:c r="O22" i="13"/>
  <x:c r="P22" i="13"/>
  <x:c r="Q22" i="13"/>
  <x:c r="S22" i="13"/>
  <x:c r="T22" i="13"/>
  <x:c r="U22" i="13"/>
  <x:c r="V22" i="13"/>
  <x:c r="W22" i="13"/>
  <x:c r="X22" i="13"/>
  <x:c r="Y22" i="13"/>
  <x:c r="Z22" i="13"/>
  <x:c r="AA22" i="13"/>
  <x:c r="AB22" i="13"/>
  <x:c r="AC22" i="13"/>
  <x:c r="AD22" i="13"/>
  <x:c r="AE22" i="13"/>
  <x:c r="AF22" i="13"/>
  <x:c r="AG22" i="13"/>
  <x:c r="AH22" i="13"/>
  <x:c r="O23" i="13"/>
  <x:c r="P23" i="13"/>
  <x:c r="Q23" i="13"/>
  <x:c r="S23" i="13"/>
  <x:c r="T23" i="13"/>
  <x:c r="U23" i="13"/>
  <x:c r="V23" i="13"/>
  <x:c r="W23" i="13"/>
  <x:c r="X23" i="13"/>
  <x:c r="Y23" i="13"/>
  <x:c r="Z23" i="13"/>
  <x:c r="AA23" i="13"/>
  <x:c r="AB23" i="13"/>
  <x:c r="AC23" i="13"/>
  <x:c r="AD23" i="13"/>
  <x:c r="AE23" i="13"/>
  <x:c r="AF23" i="13"/>
  <x:c r="AG23" i="13"/>
  <x:c r="AH23" i="13"/>
  <x:c r="O24" i="13"/>
  <x:c r="P24" i="13"/>
  <x:c r="Q24" i="13"/>
  <x:c r="S24" i="13"/>
  <x:c r="T24" i="13"/>
  <x:c r="U24" i="13"/>
  <x:c r="V24" i="13"/>
  <x:c r="W24" i="13"/>
  <x:c r="X24" i="13"/>
  <x:c r="Y24" i="13"/>
  <x:c r="Z24" i="13"/>
  <x:c r="AA24" i="13"/>
  <x:c r="AB24" i="13"/>
  <x:c r="AC24" i="13"/>
  <x:c r="AD24" i="13"/>
  <x:c r="AE24" i="13"/>
  <x:c r="AF24" i="13"/>
  <x:c r="AG24" i="13"/>
  <x:c r="AH24" i="13"/>
  <x:c r="O25" i="13"/>
  <x:c r="P25" i="13"/>
  <x:c r="Q25" i="13"/>
  <x:c r="S25" i="13"/>
  <x:c r="T25" i="13"/>
  <x:c r="U25" i="13"/>
  <x:c r="V25" i="13"/>
  <x:c r="W25" i="13"/>
  <x:c r="X25" i="13"/>
  <x:c r="Y25" i="13"/>
  <x:c r="Z25" i="13"/>
  <x:c r="AA25" i="13"/>
  <x:c r="AB25" i="13"/>
  <x:c r="AC25" i="13"/>
  <x:c r="AD25" i="13"/>
  <x:c r="AE25" i="13"/>
  <x:c r="AF25" i="13"/>
  <x:c r="AG25" i="13"/>
  <x:c r="AH25" i="13"/>
  <x:c r="O26" i="13"/>
  <x:c r="P26" i="13"/>
  <x:c r="Q26" i="13"/>
  <x:c r="S26" i="13"/>
  <x:c r="T26" i="13"/>
  <x:c r="U26" i="13"/>
  <x:c r="V26" i="13"/>
  <x:c r="W26" i="13"/>
  <x:c r="X26" i="13"/>
  <x:c r="Y26" i="13"/>
  <x:c r="Z26" i="13"/>
  <x:c r="AA26" i="13"/>
  <x:c r="AB26" i="13"/>
  <x:c r="AC26" i="13"/>
  <x:c r="AD26" i="13"/>
  <x:c r="AE26" i="13"/>
  <x:c r="AF26" i="13"/>
  <x:c r="AG26" i="13"/>
  <x:c r="AH26" i="13"/>
  <x:c r="O27" i="13"/>
  <x:c r="P27" i="13"/>
  <x:c r="Q27" i="13"/>
  <x:c r="R27" i="13"/>
  <x:c r="S27" i="13"/>
  <x:c r="T27" i="13"/>
  <x:c r="U27" i="13"/>
  <x:c r="V27" i="13"/>
  <x:c r="W27" i="13"/>
  <x:c r="X27" i="13"/>
  <x:c r="Y27" i="13"/>
  <x:c r="Z27" i="13"/>
  <x:c r="AA27" i="13"/>
  <x:c r="AB27" i="13"/>
  <x:c r="AC27" i="13"/>
  <x:c r="AD27" i="13"/>
  <x:c r="AE27" i="13"/>
  <x:c r="AF27" i="13"/>
  <x:c r="AG27" i="13"/>
  <x:c r="AH27" i="13"/>
  <x:c r="O28" i="13"/>
  <x:c r="P28" i="13"/>
  <x:c r="Q28" i="13"/>
  <x:c r="R28" i="13"/>
  <x:c r="S28" i="13"/>
  <x:c r="T28" i="13"/>
  <x:c r="U28" i="13"/>
  <x:c r="V28" i="13"/>
  <x:c r="W28" i="13"/>
  <x:c r="X28" i="13"/>
  <x:c r="Y28" i="13"/>
  <x:c r="Z28" i="13"/>
  <x:c r="AA28" i="13"/>
  <x:c r="AB28" i="13"/>
  <x:c r="AC28" i="13"/>
  <x:c r="AD28" i="13"/>
  <x:c r="AE28" i="13"/>
  <x:c r="AF28" i="13"/>
  <x:c r="AG28" i="13"/>
  <x:c r="AH28" i="13"/>
  <x:c r="O29" i="13"/>
  <x:c r="P29" i="13"/>
  <x:c r="Q29" i="13"/>
  <x:c r="R29" i="13"/>
  <x:c r="S29" i="13"/>
  <x:c r="T29" i="13"/>
  <x:c r="U29" i="13"/>
  <x:c r="V29" i="13"/>
  <x:c r="W29" i="13"/>
  <x:c r="X29" i="13"/>
  <x:c r="Y29" i="13"/>
  <x:c r="Z29" i="13"/>
  <x:c r="AA29" i="13"/>
  <x:c r="AB29" i="13"/>
  <x:c r="AC29" i="13"/>
  <x:c r="AD29" i="13"/>
  <x:c r="AE29" i="13"/>
  <x:c r="AF29" i="13"/>
  <x:c r="AG29" i="13"/>
  <x:c r="AH29" i="13"/>
  <x:c r="O30" i="13"/>
  <x:c r="P30" i="13"/>
  <x:c r="Q30" i="13"/>
  <x:c r="R30" i="13"/>
  <x:c r="S30" i="13"/>
  <x:c r="T30" i="13"/>
  <x:c r="U30" i="13"/>
  <x:c r="V30" i="13"/>
  <x:c r="W30" i="13"/>
  <x:c r="X30" i="13"/>
  <x:c r="Y30" i="13"/>
  <x:c r="Z30" i="13"/>
  <x:c r="AA30" i="13"/>
  <x:c r="AB30" i="13"/>
  <x:c r="AC30" i="13"/>
  <x:c r="AD30" i="13"/>
  <x:c r="AE30" i="13"/>
  <x:c r="AF30" i="13"/>
  <x:c r="AG30" i="13"/>
  <x:c r="AH30" i="13"/>
  <x:c r="O31" i="13"/>
  <x:c r="P31" i="13"/>
  <x:c r="Q31" i="13"/>
  <x:c r="R31" i="13"/>
  <x:c r="S31" i="13"/>
  <x:c r="T31" i="13"/>
  <x:c r="U31" i="13"/>
  <x:c r="V31" i="13"/>
  <x:c r="W31" i="13"/>
  <x:c r="X31" i="13"/>
  <x:c r="Y31" i="13"/>
  <x:c r="Z31" i="13"/>
  <x:c r="AA31" i="13"/>
  <x:c r="AB31" i="13"/>
  <x:c r="AC31" i="13"/>
  <x:c r="AD31" i="13"/>
  <x:c r="AE31" i="13"/>
  <x:c r="AF31" i="13"/>
  <x:c r="AG31" i="13"/>
  <x:c r="AH31" i="13"/>
  <x:c r="O32" i="13"/>
  <x:c r="P32" i="13"/>
  <x:c r="Q32" i="13"/>
  <x:c r="R32" i="13"/>
  <x:c r="S32" i="13"/>
  <x:c r="T32" i="13"/>
  <x:c r="U32" i="13"/>
  <x:c r="V32" i="13"/>
  <x:c r="W32" i="13"/>
  <x:c r="X32" i="13"/>
  <x:c r="Y32" i="13"/>
  <x:c r="Z32" i="13"/>
  <x:c r="AA32" i="13"/>
  <x:c r="AB32" i="13"/>
  <x:c r="AC32" i="13"/>
  <x:c r="AD32" i="13"/>
  <x:c r="AE32" i="13"/>
  <x:c r="AF32" i="13"/>
  <x:c r="AG32" i="13"/>
  <x:c r="AH32" i="13"/>
  <x:c r="O33" i="13"/>
  <x:c r="P33" i="13"/>
  <x:c r="Q33" i="13"/>
  <x:c r="R33" i="13"/>
  <x:c r="S33" i="13"/>
  <x:c r="T33" i="13"/>
  <x:c r="U33" i="13"/>
  <x:c r="V33" i="13"/>
  <x:c r="W33" i="13"/>
  <x:c r="X33" i="13"/>
  <x:c r="Y33" i="13"/>
  <x:c r="Z33" i="13"/>
  <x:c r="AA33" i="13"/>
  <x:c r="AB33" i="13"/>
  <x:c r="AC33" i="13"/>
  <x:c r="AD33" i="13"/>
  <x:c r="AE33" i="13"/>
  <x:c r="AF33" i="13"/>
  <x:c r="AG33" i="13"/>
  <x:c r="AH33" i="13"/>
  <x:c r="B2" i="14"/>
  <x:c r="C2" i="14"/>
  <x:c r="D2" i="14"/>
  <x:c r="J2" i="14"/>
  <x:c r="A3" i="14"/>
  <x:c r="B3" i="14"/>
  <x:c r="C3" i="14"/>
  <x:c r="D3" i="14"/>
  <x:c r="E3" i="14"/>
  <x:c r="F3" i="14"/>
  <x:c r="G3" i="14"/>
  <x:c r="H3" i="14"/>
  <x:c r="I3" i="14"/>
  <x:c r="J3" i="14"/>
  <x:c r="K3" i="14"/>
  <x:c r="L3" i="14"/>
  <x:c r="M3" i="14"/>
  <x:c r="N3" i="14"/>
  <x:c r="O3" i="14"/>
  <x:c r="P3" i="14"/>
  <x:c r="Q3" i="14"/>
  <x:c r="S3" i="14"/>
  <x:c r="T3" i="14"/>
  <x:c r="U3" i="14"/>
  <x:c r="V3" i="14"/>
  <x:c r="W3" i="14"/>
  <x:c r="X3" i="14"/>
  <x:c r="Y3" i="14"/>
  <x:c r="Z3" i="14"/>
  <x:c r="AA3" i="14"/>
  <x:c r="AB3" i="14"/>
  <x:c r="AC3" i="14"/>
  <x:c r="A4" i="14"/>
  <x:c r="B4" i="14"/>
  <x:c r="C4" i="14"/>
  <x:c r="D4" i="14"/>
  <x:c r="E4" i="14"/>
  <x:c r="F4" i="14"/>
  <x:c r="G4" i="14"/>
  <x:c r="H4" i="14"/>
  <x:c r="I4" i="14"/>
  <x:c r="J4" i="14"/>
  <x:c r="L4" i="14"/>
  <x:c r="M4" i="14"/>
  <x:c r="N4" i="14"/>
  <x:c r="O4" i="14"/>
  <x:c r="P4" i="14"/>
  <x:c r="Q4" i="14"/>
  <x:c r="S4" i="14"/>
  <x:c r="T4" i="14"/>
  <x:c r="U4" i="14"/>
  <x:c r="V4" i="14"/>
  <x:c r="W4" i="14"/>
  <x:c r="X4" i="14"/>
  <x:c r="Y4" i="14"/>
  <x:c r="Z4" i="14"/>
  <x:c r="AA4" i="14"/>
  <x:c r="AB4" i="14"/>
  <x:c r="A5" i="14"/>
  <x:c r="B5" i="14"/>
  <x:c r="C5" i="14"/>
  <x:c r="D5" i="14"/>
  <x:c r="E5" i="14"/>
  <x:c r="F5" i="14"/>
  <x:c r="G5" i="14"/>
  <x:c r="H5" i="14"/>
  <x:c r="I5" i="14"/>
  <x:c r="J5" i="14"/>
  <x:c r="L5" i="14"/>
  <x:c r="M5" i="14"/>
  <x:c r="N5" i="14"/>
  <x:c r="O5" i="14"/>
  <x:c r="P5" i="14"/>
  <x:c r="Q5" i="14"/>
  <x:c r="S5" i="14"/>
  <x:c r="T5" i="14"/>
  <x:c r="U5" i="14"/>
  <x:c r="V5" i="14"/>
  <x:c r="W5" i="14"/>
  <x:c r="X5" i="14"/>
  <x:c r="Y5" i="14"/>
  <x:c r="Z5" i="14"/>
  <x:c r="AA5" i="14"/>
  <x:c r="AB5" i="14"/>
  <x:c r="A6" i="14"/>
  <x:c r="B6" i="14"/>
  <x:c r="C6" i="14"/>
  <x:c r="D6" i="14"/>
  <x:c r="E6" i="14"/>
  <x:c r="F6" i="14"/>
  <x:c r="G6" i="14"/>
  <x:c r="H6" i="14"/>
  <x:c r="I6" i="14"/>
  <x:c r="J6" i="14"/>
  <x:c r="L6" i="14"/>
  <x:c r="M6" i="14"/>
  <x:c r="N6" i="14"/>
  <x:c r="O6" i="14"/>
  <x:c r="P6" i="14"/>
  <x:c r="Q6" i="14"/>
  <x:c r="S6" i="14"/>
  <x:c r="T6" i="14"/>
  <x:c r="U6" i="14"/>
  <x:c r="V6" i="14"/>
  <x:c r="W6" i="14"/>
  <x:c r="X6" i="14"/>
  <x:c r="Y6" i="14"/>
  <x:c r="Z6" i="14"/>
  <x:c r="AA6" i="14"/>
  <x:c r="AB6" i="14"/>
  <x:c r="A7" i="14"/>
  <x:c r="B7" i="14"/>
  <x:c r="C7" i="14"/>
  <x:c r="D7" i="14"/>
  <x:c r="E7" i="14"/>
  <x:c r="F7" i="14"/>
  <x:c r="G7" i="14"/>
  <x:c r="H7" i="14"/>
  <x:c r="I7" i="14"/>
  <x:c r="J7" i="14"/>
  <x:c r="L7" i="14"/>
  <x:c r="M7" i="14"/>
  <x:c r="N7" i="14"/>
  <x:c r="O7" i="14"/>
  <x:c r="P7" i="14"/>
  <x:c r="Q7" i="14"/>
  <x:c r="S7" i="14"/>
  <x:c r="T7" i="14"/>
  <x:c r="U7" i="14"/>
  <x:c r="V7" i="14"/>
  <x:c r="W7" i="14"/>
  <x:c r="X7" i="14"/>
  <x:c r="Y7" i="14"/>
  <x:c r="Z7" i="14"/>
  <x:c r="AA7" i="14"/>
  <x:c r="AB7" i="14"/>
  <x:c r="A8" i="14"/>
  <x:c r="B8" i="14"/>
  <x:c r="C8" i="14"/>
  <x:c r="D8" i="14"/>
  <x:c r="E8" i="14"/>
  <x:c r="F8" i="14"/>
  <x:c r="G8" i="14"/>
  <x:c r="H8" i="14"/>
  <x:c r="I8" i="14"/>
  <x:c r="J8" i="14"/>
  <x:c r="L8" i="14"/>
  <x:c r="M8" i="14"/>
  <x:c r="N8" i="14"/>
  <x:c r="O8" i="14"/>
  <x:c r="P8" i="14"/>
  <x:c r="Q8" i="14"/>
  <x:c r="S8" i="14"/>
  <x:c r="T8" i="14"/>
  <x:c r="U8" i="14"/>
  <x:c r="V8" i="14"/>
  <x:c r="W8" i="14"/>
  <x:c r="X8" i="14"/>
  <x:c r="Y8" i="14"/>
  <x:c r="Z8" i="14"/>
  <x:c r="AA8" i="14"/>
  <x:c r="AB8" i="14"/>
  <x:c r="A9" i="14"/>
  <x:c r="B9" i="14"/>
  <x:c r="C9" i="14"/>
  <x:c r="D9" i="14"/>
  <x:c r="E9" i="14"/>
  <x:c r="F9" i="14"/>
  <x:c r="G9" i="14"/>
  <x:c r="H9" i="14"/>
  <x:c r="I9" i="14"/>
  <x:c r="J9" i="14"/>
  <x:c r="L9" i="14"/>
  <x:c r="M9" i="14"/>
  <x:c r="N9" i="14"/>
  <x:c r="O9" i="14"/>
  <x:c r="P9" i="14"/>
  <x:c r="Q9" i="14"/>
  <x:c r="S9" i="14"/>
  <x:c r="T9" i="14"/>
  <x:c r="U9" i="14"/>
  <x:c r="V9" i="14"/>
  <x:c r="W9" i="14"/>
  <x:c r="X9" i="14"/>
  <x:c r="Y9" i="14"/>
  <x:c r="Z9" i="14"/>
  <x:c r="AA9" i="14"/>
  <x:c r="AB9" i="14"/>
  <x:c r="A10" i="14"/>
  <x:c r="B10" i="14"/>
  <x:c r="C10" i="14"/>
  <x:c r="D10" i="14"/>
  <x:c r="E10" i="14"/>
  <x:c r="F10" i="14"/>
  <x:c r="G10" i="14"/>
  <x:c r="H10" i="14"/>
  <x:c r="I10" i="14"/>
  <x:c r="J10" i="14"/>
  <x:c r="L10" i="14"/>
  <x:c r="M10" i="14"/>
  <x:c r="N10" i="14"/>
  <x:c r="O10" i="14"/>
  <x:c r="P10" i="14"/>
  <x:c r="Q10" i="14"/>
  <x:c r="S10" i="14"/>
  <x:c r="T10" i="14"/>
  <x:c r="U10" i="14"/>
  <x:c r="V10" i="14"/>
  <x:c r="W10" i="14"/>
  <x:c r="X10" i="14"/>
  <x:c r="Y10" i="14"/>
  <x:c r="Z10" i="14"/>
  <x:c r="AA10" i="14"/>
  <x:c r="AB10" i="14"/>
  <x:c r="A11" i="14"/>
  <x:c r="B11" i="14"/>
  <x:c r="C11" i="14"/>
  <x:c r="D11" i="14"/>
  <x:c r="E11" i="14"/>
  <x:c r="F11" i="14"/>
  <x:c r="G11" i="14"/>
  <x:c r="H11" i="14"/>
  <x:c r="I11" i="14"/>
  <x:c r="J11" i="14"/>
  <x:c r="L11" i="14"/>
  <x:c r="M11" i="14"/>
  <x:c r="N11" i="14"/>
  <x:c r="O11" i="14"/>
  <x:c r="P11" i="14"/>
  <x:c r="Q11" i="14"/>
  <x:c r="S11" i="14"/>
  <x:c r="T11" i="14"/>
  <x:c r="U11" i="14"/>
  <x:c r="V11" i="14"/>
  <x:c r="W11" i="14"/>
  <x:c r="X11" i="14"/>
  <x:c r="Y11" i="14"/>
  <x:c r="Z11" i="14"/>
  <x:c r="AA11" i="14"/>
  <x:c r="AB11" i="14"/>
  <x:c r="A12" i="14"/>
  <x:c r="B12" i="14"/>
  <x:c r="C12" i="14"/>
  <x:c r="D12" i="14"/>
  <x:c r="E12" i="14"/>
  <x:c r="F12" i="14"/>
  <x:c r="G12" i="14"/>
  <x:c r="H12" i="14"/>
  <x:c r="I12" i="14"/>
  <x:c r="J12" i="14"/>
  <x:c r="L12" i="14"/>
  <x:c r="M12" i="14"/>
  <x:c r="N12" i="14"/>
  <x:c r="O12" i="14"/>
  <x:c r="P12" i="14"/>
  <x:c r="Q12" i="14"/>
  <x:c r="S12" i="14"/>
  <x:c r="T12" i="14"/>
  <x:c r="U12" i="14"/>
  <x:c r="V12" i="14"/>
  <x:c r="W12" i="14"/>
  <x:c r="X12" i="14"/>
  <x:c r="Y12" i="14"/>
  <x:c r="Z12" i="14"/>
  <x:c r="AA12" i="14"/>
  <x:c r="AB12" i="14"/>
  <x:c r="A13" i="14"/>
  <x:c r="B13" i="14"/>
  <x:c r="C13" i="14"/>
  <x:c r="D13" i="14"/>
  <x:c r="E13" i="14"/>
  <x:c r="F13" i="14"/>
  <x:c r="G13" i="14"/>
  <x:c r="H13" i="14"/>
  <x:c r="I13" i="14"/>
  <x:c r="J13" i="14"/>
  <x:c r="L13" i="14"/>
  <x:c r="M13" i="14"/>
  <x:c r="N13" i="14"/>
  <x:c r="O13" i="14"/>
  <x:c r="P13" i="14"/>
  <x:c r="Q13" i="14"/>
  <x:c r="S13" i="14"/>
  <x:c r="T13" i="14"/>
  <x:c r="U13" i="14"/>
  <x:c r="V13" i="14"/>
  <x:c r="W13" i="14"/>
  <x:c r="X13" i="14"/>
  <x:c r="Y13" i="14"/>
  <x:c r="Z13" i="14"/>
  <x:c r="AA13" i="14"/>
  <x:c r="AB13" i="14"/>
  <x:c r="A14" i="14"/>
  <x:c r="B14" i="14"/>
  <x:c r="C14" i="14"/>
  <x:c r="D14" i="14"/>
  <x:c r="E14" i="14"/>
  <x:c r="F14" i="14"/>
  <x:c r="G14" i="14"/>
  <x:c r="H14" i="14"/>
  <x:c r="I14" i="14"/>
  <x:c r="J14" i="14"/>
  <x:c r="L14" i="14"/>
  <x:c r="M14" i="14"/>
  <x:c r="N14" i="14"/>
  <x:c r="O14" i="14"/>
  <x:c r="P14" i="14"/>
  <x:c r="Q14" i="14"/>
  <x:c r="S14" i="14"/>
  <x:c r="T14" i="14"/>
  <x:c r="U14" i="14"/>
  <x:c r="V14" i="14"/>
  <x:c r="W14" i="14"/>
  <x:c r="X14" i="14"/>
  <x:c r="Y14" i="14"/>
  <x:c r="Z14" i="14"/>
  <x:c r="AA14" i="14"/>
  <x:c r="AB14" i="14"/>
  <x:c r="A15" i="14"/>
  <x:c r="B15" i="14"/>
  <x:c r="C15" i="14"/>
  <x:c r="D15" i="14"/>
  <x:c r="E15" i="14"/>
  <x:c r="F15" i="14"/>
  <x:c r="G15" i="14"/>
  <x:c r="H15" i="14"/>
  <x:c r="I15" i="14"/>
  <x:c r="J15" i="14"/>
  <x:c r="L15" i="14"/>
  <x:c r="M15" i="14"/>
  <x:c r="N15" i="14"/>
  <x:c r="O15" i="14"/>
  <x:c r="P15" i="14"/>
  <x:c r="Q15" i="14"/>
  <x:c r="S15" i="14"/>
  <x:c r="T15" i="14"/>
  <x:c r="U15" i="14"/>
  <x:c r="V15" i="14"/>
  <x:c r="W15" i="14"/>
  <x:c r="X15" i="14"/>
  <x:c r="Y15" i="14"/>
  <x:c r="Z15" i="14"/>
  <x:c r="AA15" i="14"/>
  <x:c r="AB15" i="14"/>
  <x:c r="A16" i="14"/>
  <x:c r="B16" i="14"/>
  <x:c r="C16" i="14"/>
  <x:c r="D16" i="14"/>
  <x:c r="E16" i="14"/>
  <x:c r="F16" i="14"/>
  <x:c r="G16" i="14"/>
  <x:c r="H16" i="14"/>
  <x:c r="I16" i="14"/>
  <x:c r="J16" i="14"/>
  <x:c r="L16" i="14"/>
  <x:c r="M16" i="14"/>
  <x:c r="N16" i="14"/>
  <x:c r="O16" i="14"/>
  <x:c r="P16" i="14"/>
  <x:c r="Q16" i="14"/>
  <x:c r="S16" i="14"/>
  <x:c r="T16" i="14"/>
  <x:c r="U16" i="14"/>
  <x:c r="V16" i="14"/>
  <x:c r="W16" i="14"/>
  <x:c r="X16" i="14"/>
  <x:c r="Y16" i="14"/>
  <x:c r="Z16" i="14"/>
  <x:c r="AA16" i="14"/>
  <x:c r="AB16" i="14"/>
  <x:c r="A17" i="14"/>
  <x:c r="B17" i="14"/>
  <x:c r="C17" i="14"/>
  <x:c r="D17" i="14"/>
  <x:c r="E17" i="14"/>
  <x:c r="F17" i="14"/>
  <x:c r="G17" i="14"/>
  <x:c r="H17" i="14"/>
  <x:c r="I17" i="14"/>
  <x:c r="J17" i="14"/>
  <x:c r="L17" i="14"/>
  <x:c r="M17" i="14"/>
  <x:c r="N17" i="14"/>
  <x:c r="O17" i="14"/>
  <x:c r="P17" i="14"/>
  <x:c r="Q17" i="14"/>
  <x:c r="S17" i="14"/>
  <x:c r="T17" i="14"/>
  <x:c r="U17" i="14"/>
  <x:c r="V17" i="14"/>
  <x:c r="W17" i="14"/>
  <x:c r="X17" i="14"/>
  <x:c r="Y17" i="14"/>
  <x:c r="Z17" i="14"/>
  <x:c r="AA17" i="14"/>
  <x:c r="AB17" i="14"/>
  <x:c r="A18" i="14"/>
  <x:c r="B18" i="14"/>
  <x:c r="C18" i="14"/>
  <x:c r="D18" i="14"/>
  <x:c r="E18" i="14"/>
  <x:c r="F18" i="14"/>
  <x:c r="G18" i="14"/>
  <x:c r="H18" i="14"/>
  <x:c r="I18" i="14"/>
  <x:c r="J18" i="14"/>
  <x:c r="L18" i="14"/>
  <x:c r="M18" i="14"/>
  <x:c r="N18" i="14"/>
  <x:c r="O18" i="14"/>
  <x:c r="P18" i="14"/>
  <x:c r="Q18" i="14"/>
  <x:c r="S18" i="14"/>
  <x:c r="T18" i="14"/>
  <x:c r="U18" i="14"/>
  <x:c r="V18" i="14"/>
  <x:c r="W18" i="14"/>
  <x:c r="X18" i="14"/>
  <x:c r="Y18" i="14"/>
  <x:c r="Z18" i="14"/>
  <x:c r="AA18" i="14"/>
  <x:c r="AB18" i="14"/>
  <x:c r="A19" i="14"/>
  <x:c r="B19" i="14"/>
  <x:c r="C19" i="14"/>
  <x:c r="D19" i="14"/>
  <x:c r="E19" i="14"/>
  <x:c r="F19" i="14"/>
  <x:c r="G19" i="14"/>
  <x:c r="H19" i="14"/>
  <x:c r="I19" i="14"/>
  <x:c r="J19" i="14"/>
  <x:c r="L19" i="14"/>
  <x:c r="M19" i="14"/>
  <x:c r="N19" i="14"/>
  <x:c r="O19" i="14"/>
  <x:c r="P19" i="14"/>
  <x:c r="Q19" i="14"/>
  <x:c r="S19" i="14"/>
  <x:c r="T19" i="14"/>
  <x:c r="U19" i="14"/>
  <x:c r="V19" i="14"/>
  <x:c r="W19" i="14"/>
  <x:c r="X19" i="14"/>
  <x:c r="Y19" i="14"/>
  <x:c r="Z19" i="14"/>
  <x:c r="AA19" i="14"/>
  <x:c r="AB19" i="14"/>
  <x:c r="A20" i="14"/>
  <x:c r="B20" i="14"/>
  <x:c r="C20" i="14"/>
  <x:c r="D20" i="14"/>
  <x:c r="E20" i="14"/>
  <x:c r="F20" i="14"/>
  <x:c r="G20" i="14"/>
  <x:c r="H20" i="14"/>
  <x:c r="I20" i="14"/>
  <x:c r="J20" i="14"/>
  <x:c r="L20" i="14"/>
  <x:c r="M20" i="14"/>
  <x:c r="N20" i="14"/>
  <x:c r="O20" i="14"/>
  <x:c r="P20" i="14"/>
  <x:c r="Q20" i="14"/>
  <x:c r="S20" i="14"/>
  <x:c r="T20" i="14"/>
  <x:c r="U20" i="14"/>
  <x:c r="V20" i="14"/>
  <x:c r="W20" i="14"/>
  <x:c r="X20" i="14"/>
  <x:c r="Y20" i="14"/>
  <x:c r="Z20" i="14"/>
  <x:c r="AA20" i="14"/>
  <x:c r="AB20" i="14"/>
  <x:c r="A21" i="14"/>
  <x:c r="B21" i="14"/>
  <x:c r="C21" i="14"/>
  <x:c r="D21" i="14"/>
  <x:c r="E21" i="14"/>
  <x:c r="F21" i="14"/>
  <x:c r="G21" i="14"/>
  <x:c r="H21" i="14"/>
  <x:c r="I21" i="14"/>
  <x:c r="J21" i="14"/>
  <x:c r="L21" i="14"/>
  <x:c r="M21" i="14"/>
  <x:c r="N21" i="14"/>
  <x:c r="O21" i="14"/>
  <x:c r="P21" i="14"/>
  <x:c r="Q21" i="14"/>
  <x:c r="S21" i="14"/>
  <x:c r="T21" i="14"/>
  <x:c r="U21" i="14"/>
  <x:c r="V21" i="14"/>
  <x:c r="W21" i="14"/>
  <x:c r="X21" i="14"/>
  <x:c r="Y21" i="14"/>
  <x:c r="Z21" i="14"/>
  <x:c r="AA21" i="14"/>
  <x:c r="AB21" i="14"/>
  <x:c r="A22" i="14"/>
  <x:c r="B22" i="14"/>
  <x:c r="C22" i="14"/>
  <x:c r="D22" i="14"/>
  <x:c r="E22" i="14"/>
  <x:c r="F22" i="14"/>
  <x:c r="G22" i="14"/>
  <x:c r="H22" i="14"/>
  <x:c r="I22" i="14"/>
  <x:c r="J22" i="14"/>
  <x:c r="L22" i="14"/>
  <x:c r="M22" i="14"/>
  <x:c r="N22" i="14"/>
  <x:c r="O22" i="14"/>
  <x:c r="P22" i="14"/>
  <x:c r="Q22" i="14"/>
  <x:c r="S22" i="14"/>
  <x:c r="T22" i="14"/>
  <x:c r="U22" i="14"/>
  <x:c r="V22" i="14"/>
  <x:c r="W22" i="14"/>
  <x:c r="X22" i="14"/>
  <x:c r="Y22" i="14"/>
  <x:c r="Z22" i="14"/>
  <x:c r="AA22" i="14"/>
  <x:c r="AB22" i="14"/>
  <x:c r="A23" i="14"/>
  <x:c r="B23" i="14"/>
  <x:c r="C23" i="14"/>
  <x:c r="D23" i="14"/>
  <x:c r="E23" i="14"/>
  <x:c r="F23" i="14"/>
  <x:c r="G23" i="14"/>
  <x:c r="H23" i="14"/>
  <x:c r="I23" i="14"/>
  <x:c r="J23" i="14"/>
  <x:c r="L23" i="14"/>
  <x:c r="M23" i="14"/>
  <x:c r="N23" i="14"/>
  <x:c r="O23" i="14"/>
  <x:c r="P23" i="14"/>
  <x:c r="Q23" i="14"/>
  <x:c r="S23" i="14"/>
  <x:c r="T23" i="14"/>
  <x:c r="U23" i="14"/>
  <x:c r="V23" i="14"/>
  <x:c r="W23" i="14"/>
  <x:c r="X23" i="14"/>
  <x:c r="Y23" i="14"/>
  <x:c r="Z23" i="14"/>
  <x:c r="AA23" i="14"/>
  <x:c r="AB23" i="14"/>
  <x:c r="A24" i="14"/>
  <x:c r="B24" i="14"/>
  <x:c r="C24" i="14"/>
  <x:c r="D24" i="14"/>
  <x:c r="E24" i="14"/>
  <x:c r="F24" i="14"/>
  <x:c r="G24" i="14"/>
  <x:c r="H24" i="14"/>
  <x:c r="I24" i="14"/>
  <x:c r="J24" i="14"/>
  <x:c r="L24" i="14"/>
  <x:c r="M24" i="14"/>
  <x:c r="N24" i="14"/>
  <x:c r="O24" i="14"/>
  <x:c r="P24" i="14"/>
  <x:c r="Q24" i="14"/>
  <x:c r="S24" i="14"/>
  <x:c r="T24" i="14"/>
  <x:c r="U24" i="14"/>
  <x:c r="V24" i="14"/>
  <x:c r="W24" i="14"/>
  <x:c r="X24" i="14"/>
  <x:c r="Y24" i="14"/>
  <x:c r="Z24" i="14"/>
  <x:c r="AA24" i="14"/>
  <x:c r="AB24" i="14"/>
  <x:c r="A25" i="14"/>
  <x:c r="B25" i="14"/>
  <x:c r="C25" i="14"/>
  <x:c r="D25" i="14"/>
  <x:c r="E25" i="14"/>
  <x:c r="F25" i="14"/>
  <x:c r="G25" i="14"/>
  <x:c r="H25" i="14"/>
  <x:c r="I25" i="14"/>
  <x:c r="J25" i="14"/>
  <x:c r="L25" i="14"/>
  <x:c r="M25" i="14"/>
  <x:c r="N25" i="14"/>
  <x:c r="O25" i="14"/>
  <x:c r="P25" i="14"/>
  <x:c r="Q25" i="14"/>
  <x:c r="S25" i="14"/>
  <x:c r="T25" i="14"/>
  <x:c r="U25" i="14"/>
  <x:c r="V25" i="14"/>
  <x:c r="W25" i="14"/>
  <x:c r="X25" i="14"/>
  <x:c r="Y25" i="14"/>
  <x:c r="Z25" i="14"/>
  <x:c r="AA25" i="14"/>
  <x:c r="AB25" i="14"/>
  <x:c r="A26" i="14"/>
  <x:c r="B26" i="14"/>
  <x:c r="C26" i="14"/>
  <x:c r="D26" i="14"/>
  <x:c r="E26" i="14"/>
  <x:c r="F26" i="14"/>
  <x:c r="G26" i="14"/>
  <x:c r="H26" i="14"/>
  <x:c r="I26" i="14"/>
  <x:c r="J26" i="14"/>
  <x:c r="L26" i="14"/>
  <x:c r="M26" i="14"/>
  <x:c r="N26" i="14"/>
  <x:c r="O26" i="14"/>
  <x:c r="P26" i="14"/>
  <x:c r="Q26" i="14"/>
  <x:c r="S26" i="14"/>
  <x:c r="T26" i="14"/>
  <x:c r="U26" i="14"/>
  <x:c r="V26" i="14"/>
  <x:c r="W26" i="14"/>
  <x:c r="X26" i="14"/>
  <x:c r="Y26" i="14"/>
  <x:c r="Z26" i="14"/>
  <x:c r="AA26" i="14"/>
  <x:c r="AB26" i="14"/>
</x:calcChain>
</file>

<file path=xl/sharedStrings.xml><?xml version="1.0" encoding="utf-8"?>
<x:sst xmlns:x="http://schemas.openxmlformats.org/spreadsheetml/2006/main" count="11269" uniqueCount="11269">
  <x:si>
    <x:t>TTSSI ME-3 PRODUCTION SCHEDULE</x:t>
  </x:si>
  <x:si>
    <x:t>ME-3 PRODUCTION MANAGEMENT BOARD</x:t>
  </x:si>
  <x:si>
    <x:t xml:space="preserve">TEAM </x:t>
  </x:si>
  <x:si>
    <x:t>Process Date</x:t>
  </x:si>
  <x:si>
    <x:t>No of Team Members</x:t>
  </x:si>
  <x:si>
    <x:t>PROCESS DATE</x:t>
  </x:si>
  <x:si>
    <x:t>DAY</x:t>
  </x:si>
  <x:si>
    <x:t>SHIFT</x:t>
  </x:si>
  <x:si>
    <x:t>SCHEDULED GSPH</x:t>
  </x:si>
  <x:si>
    <x:t>Operator</x:t>
  </x:si>
  <x:si>
    <x:t>Parts Specification Details</x:t>
  </x:si>
  <x:si>
    <x:t>Scheduled Lot Quantity(Combined, Standard &amp; Partial)
Details</x:t>
  </x:si>
  <x:si>
    <x:t>Scheduled Quantity &amp; Weight Details</x:t>
  </x:si>
  <x:si>
    <x:t>Scheduled Time Calculation &amp; GSPH Details</x:t>
  </x:si>
  <x:si>
    <x:t>PARTS SPECIFICATION DETAILS</x:t>
  </x:si>
  <x:si>
    <x:t xml:space="preserve"> PLAN TIME</x:t>
  </x:si>
  <x:si>
    <x:t>PRODUCTION  ACTUAL TIME</x:t>
  </x:si>
  <x:si>
    <x:t>SPM</x:t>
  </x:si>
  <x:si>
    <x:t>SET UP TIME</x:t>
  </x:si>
  <x:si>
    <x:t>TOTAL TIME IN MINUTES</x:t>
  </x:si>
  <x:si>
    <x:t>QTY</x:t>
  </x:si>
  <x:si>
    <x:r>
      <x:rPr>
        <x:b/>
        <x:vertAlign val="baseline"/>
        <x:sz val="36"/>
        <x:color theme="1"/>
        <x:rFont val="Times New Roman"/>
        <x:family val="1"/>
      </x:rPr>
      <x:t>GSPH</x:t>
    </x:r>
    <x:phoneticPr fontId="0"/>
  </x:si>
  <x:si>
    <x:t>REMARKS</x:t>
  </x:si>
  <x:si>
    <x:t>PREVIOUS SHIFT PARTIAL PART SIZE DETAILS</x:t>
  </x:si>
  <x:si>
    <x:t>WEIGHT</x:t>
  </x:si>
  <x:si>
    <x:t>Sl No</x:t>
  </x:si>
  <x:si>
    <x:t>total time process</x:t>
  </x:si>
  <x:si>
    <x:t>b/d time</x:t>
  </x:si>
  <x:si>
    <x:t>Unit Number</x:t>
  </x:si>
  <x:si>
    <x:t>SCAMS No</x:t>
  </x:si>
  <x:si>
    <x:t>PartNo</x:t>
  </x:si>
  <x:si>
    <x:t>Model</x:t>
  </x:si>
  <x:si>
    <x:t>Mill Maker</x:t>
  </x:si>
  <x:si>
    <x:t>Spec-Coat</x:t>
  </x:si>
  <x:si>
    <x:t>T</x:t>
  </x:si>
  <x:si>
    <x:t>W</x:t>
  </x:si>
  <x:si>
    <x:t>L</x:t>
  </x:si>
  <x:si>
    <x:t>No of Coil</x:t>
  </x:si>
  <x:si>
    <x:t>Com-1 Qty</x:t>
  </x:si>
  <x:si>
    <x:t>No of Lots</x:t>
  </x:si>
  <x:si>
    <x:t>Com-2 Qty</x:t>
  </x:si>
  <x:si>
    <x:t>STD- Qty</x:t>
  </x:si>
  <x:si>
    <x:t>Partial-1 Qty</x:t>
  </x:si>
  <x:si>
    <x:t>Partial-2 Qty</x:t>
  </x:si>
  <x:si>
    <x:t>Total Strokes</x:t>
  </x:si>
  <x:si>
    <x:t>Weight Per Blank</x:t>
  </x:si>
  <x:si>
    <x:t>Slit Coil WT [MT]</x:t>
  </x:si>
  <x:si>
    <x:t>Total Setup Time Per Coil</x:t>
  </x:si>
  <x:si>
    <x:t>Setup Time per Skid</x:t>
  </x:si>
  <x:si>
    <x:t>Total Setup Time Per Skid</x:t>
  </x:si>
  <x:si>
    <x:t>Process Time 
(min)</x:t>
  </x:si>
  <x:si>
    <x:t>Total Time
(min)</x:t>
  </x:si>
  <x:si>
    <x:t>GSPH</x:t>
  </x:si>
  <x:si>
    <x:t>Wt/
Sheet</x:t>
  </x:si>
  <x:si>
    <x:t>CUSTOMER NAME</x:t>
  </x:si>
  <x:si>
    <x:t>UNIT NO</x:t>
  </x:si>
  <x:si>
    <x:t>SCAMS NO</x:t>
  </x:si>
  <x:si>
    <x:t>COIL WT IN KGS</x:t>
  </x:si>
  <x:si>
    <x:t>REWIND WT IN KGS</x:t>
  </x:si>
  <x:si>
    <x:t xml:space="preserve">PARTIAL PART </x:t>
  </x:si>
  <x:si>
    <x:t>SL NO</x:t>
  </x:si>
  <x:si>
    <x:t>MILL</x:t>
  </x:si>
  <x:si>
    <x:t>SPEC</x:t>
  </x:si>
  <x:si>
    <x:t>FG DETAILS</x:t>
  </x:si>
  <x:si>
    <x:t>PLAN START TIME</x:t>
  </x:si>
  <x:si>
    <x:t>PLAN FINISH TIME</x:t>
  </x:si>
  <x:si>
    <x:t>ACTUAL START TIME</x:t>
  </x:si>
  <x:si>
    <x:t>ACTUAL FINISH TIME</x:t>
  </x:si>
  <x:si>
    <x:t xml:space="preserve"> PLAN SPM</x:t>
  </x:si>
  <x:si>
    <x:t>ACTUAL SPM</x:t>
  </x:si>
  <x:si>
    <x:t>PLAN SETUP TIME</x:t>
  </x:si>
  <x:si>
    <x:t>ACTUAL SET UP TIME</x:t>
  </x:si>
  <x:si>
    <x:t>PLAN TIME</x:t>
  </x:si>
  <x:si>
    <x:t>ACTUAL  TIME</x:t>
  </x:si>
  <x:si>
    <x:t>BRAKE DOWN TIME</x:t>
  </x:si>
  <x:si>
    <x:t>PLAN QTY</x:t>
  </x:si>
  <x:si>
    <x:t>ACTUAL QTY</x:t>
  </x:si>
  <x:si>
    <x:t>ACTUAL GSPH</x:t>
  </x:si>
  <x:si>
    <x:t>PRODUCTION REMARKS</x:t>
  </x:si>
  <x:si>
    <x:t xml:space="preserve">BREAK TIME </x:t>
  </x:si>
  <x:si>
    <x:t>AUTO RUN TIME</x:t>
  </x:si>
  <x:si>
    <x:t>PLAN WT</x:t>
  </x:si>
  <x:si>
    <x:t>ACTUAL WT</x:t>
  </x:si>
  <x:si>
    <x:t>Machine 
Specification</x:t>
  </x:si>
  <x:si>
    <x:r>
      <x:rPr>
        <x:b/>
        <x:vertAlign val="baseline"/>
        <x:sz val="30"/>
        <x:color theme="1"/>
        <x:rFont val="Times New Roman"/>
        <x:family val="1"/>
      </x:rPr>
      <x:t>T</x:t>
    </x:r>
    <x:r>
      <x:rPr>
        <x:b/>
        <x:vertAlign val="subscript"/>
        <x:sz val="30"/>
        <x:color theme="1"/>
        <x:rFont val="Times New Roman"/>
        <x:family val="1"/>
      </x:rPr>
      <x:t>MIN</x:t>
    </x:r>
  </x:si>
  <x:si>
    <x:r>
      <x:rPr>
        <x:b/>
        <x:vertAlign val="baseline"/>
        <x:sz val="30"/>
        <x:color theme="1"/>
        <x:rFont val="Times New Roman"/>
        <x:family val="1"/>
      </x:rPr>
      <x:t>T</x:t>
    </x:r>
    <x:r>
      <x:rPr>
        <x:b/>
        <x:vertAlign val="subscript"/>
        <x:sz val="30"/>
        <x:color theme="1"/>
        <x:rFont val="Times New Roman"/>
        <x:family val="1"/>
      </x:rPr>
      <x:t>MAX</x:t>
    </x:r>
  </x:si>
  <x:si>
    <x:t>PARTIAL FG WT</x:t>
  </x:si>
  <x:si>
    <x:r>
      <x:rPr>
        <x:b/>
        <x:vertAlign val="baseline"/>
        <x:sz val="30"/>
        <x:color theme="1"/>
        <x:rFont val="Times New Roman"/>
        <x:family val="1"/>
      </x:rPr>
      <x:t>W</x:t>
    </x:r>
    <x:r>
      <x:rPr>
        <x:b/>
        <x:vertAlign val="subscript"/>
        <x:sz val="30"/>
        <x:color theme="1"/>
        <x:rFont val="Times New Roman"/>
        <x:family val="1"/>
      </x:rPr>
      <x:t>MIN</x:t>
    </x:r>
  </x:si>
  <x:si>
    <x:r>
      <x:rPr>
        <x:b/>
        <x:vertAlign val="baseline"/>
        <x:sz val="30"/>
        <x:color theme="1"/>
        <x:rFont val="Times New Roman"/>
        <x:family val="1"/>
      </x:rPr>
      <x:t>W</x:t>
    </x:r>
    <x:r>
      <x:rPr>
        <x:b/>
        <x:vertAlign val="subscript"/>
        <x:sz val="30"/>
        <x:color theme="1"/>
        <x:rFont val="Times New Roman"/>
        <x:family val="1"/>
      </x:rPr>
      <x:t>MAX</x:t>
    </x:r>
  </x:si>
  <x:si>
    <x:t>STROKES</x:t>
  </x:si>
  <x:si>
    <x:r>
      <x:rPr>
        <x:b/>
        <x:vertAlign val="baseline"/>
        <x:sz val="30"/>
        <x:color theme="1"/>
        <x:rFont val="Times New Roman"/>
        <x:family val="1"/>
      </x:rPr>
      <x:t>L</x:t>
    </x:r>
    <x:r>
      <x:rPr>
        <x:b/>
        <x:vertAlign val="subscript"/>
        <x:sz val="30"/>
        <x:color theme="1"/>
        <x:rFont val="Times New Roman"/>
        <x:family val="1"/>
      </x:rPr>
      <x:t>MIN</x:t>
    </x:r>
  </x:si>
  <x:si>
    <x:r>
      <x:rPr>
        <x:b/>
        <x:vertAlign val="baseline"/>
        <x:sz val="30"/>
        <x:color theme="1"/>
        <x:rFont val="Times New Roman"/>
        <x:family val="1"/>
      </x:rPr>
      <x:t>L</x:t>
    </x:r>
    <x:r>
      <x:rPr>
        <x:b/>
        <x:vertAlign val="subscript"/>
        <x:sz val="30"/>
        <x:color theme="1"/>
        <x:rFont val="Times New Roman"/>
        <x:family val="1"/>
      </x:rPr>
      <x:t>MAX</x:t>
    </x:r>
  </x:si>
  <x:si>
    <x:r>
      <x:rPr>
        <x:b/>
        <x:vertAlign val="baseline"/>
        <x:sz val="30"/>
        <x:color theme="1"/>
        <x:rFont val="Times New Roman"/>
        <x:family val="1"/>
      </x:rPr>
      <x:t xml:space="preserve"> WT</x:t>
    </x:r>
    <x:r>
      <x:rPr>
        <x:b/>
        <x:vertAlign val="subscript"/>
        <x:sz val="30"/>
        <x:color theme="1"/>
        <x:rFont val="Times New Roman"/>
        <x:family val="1"/>
      </x:rPr>
      <x:t>MAX</x:t>
    </x:r>
  </x:si>
  <x:si>
    <x:t xml:space="preserve">ACTUAL END TIME </x:t>
  </x:si>
  <x:si>
    <x:t xml:space="preserve">ACTUAL TOTAL TIME </x:t>
  </x:si>
  <x:si>
    <x:t xml:space="preserve">BREAK DOWN CODE AND TOTAL TIME </x:t>
  </x:si>
  <x:si>
    <x:t>PLANNED</x:t>
  </x:si>
  <x:si>
    <x:t>Total No of cases</x:t>
  </x:si>
  <x:si>
    <x:t>TOTAL WEIGHT</x:t>
  </x:si>
  <x:si>
    <x:t>MT</x:t>
  </x:si>
  <x:si>
    <x:t>TOTAL STROKES</x:t>
  </x:si>
  <x:si>
    <x:t>Setup Time</x:t>
  </x:si>
  <x:si>
    <x:t>Process Time</x:t>
  </x:si>
  <x:si>
    <x:t>Planned Total Time</x:t>
  </x:si>
  <x:si>
    <x:t>HRS</x:t>
  </x:si>
  <x:si>
    <x:t>ACTUAL</x:t>
  </x:si>
  <x:si>
    <x:t>ACTUAL WEIGHT</x:t>
  </x:si>
  <x:si>
    <x:t>ACTUAL STROKES</x:t>
  </x:si>
  <x:si>
    <x:t>ACTUAL TIME</x:t>
  </x:si>
  <x:si>
    <x:t>FG WT</x:t>
  </x:si>
  <x:si>
    <x:t>PLAN  QTY</x:t>
  </x:si>
  <x:si>
    <x:t xml:space="preserve">ACTUAL QTY </x:t>
  </x:si>
  <x:si>
    <x:t xml:space="preserve">PLAN TIME </x:t>
  </x:si>
  <x:si>
    <x:t>MINS</x:t>
  </x:si>
  <x:si>
    <x:t>TOTAL  BRAKE DOWN TIME</x:t>
  </x:si>
  <x:si>
    <x:t xml:space="preserve">PLAN </x:t>
  </x:si>
  <x:si>
    <x:t>TOTAL  BREAK TIME</x:t>
  </x:si>
  <x:si>
    <x:t>Total Auto run time</x:t>
  </x:si>
  <x:si>
    <x:t>Operator Name</x:t>
  </x:si>
  <x:si>
    <x:t>Piler Operator Name</x:t>
  </x:si>
  <x:si>
    <x:t>LIC  Name</x:t>
  </x:si>
  <x:si>
    <x:t>Signature</x:t>
  </x:si>
  <x:si>
    <x:t>S005511</x:t>
  </x:si>
  <x:si>
    <x:t>JSW</x:t>
  </x:si>
  <x:si>
    <x:t>SPC440</x:t>
  </x:si>
  <x:si>
    <x:t>YZA1863392-61231.2-0K030</x:t>
  </x:si>
  <x:si>
    <x:t>IMV</x:t>
  </x:si>
  <x:si>
    <x:t>S006884</x:t>
  </x:si>
  <x:si>
    <x:t>NSC</x:t>
  </x:si>
  <x:si>
    <x:t>SCGA270C</x:t>
  </x:si>
  <x:si>
    <x:t>58352KK010RM</x:t>
  </x:si>
  <x:si>
    <x:t>640A</x:t>
  </x:si>
  <x:si>
    <x:t>S008718</x:t>
  </x:si>
  <x:si>
    <x:t>TATA</x:t>
  </x:si>
  <x:si>
    <x:t>SPH270C-OD</x:t>
  </x:si>
  <x:si>
    <x:t>S010086</x:t>
  </x:si>
  <x:si>
    <x:t>SCGA270D</x:t>
  </x:si>
  <x:si>
    <x:t>58316-0K020</x:t>
  </x:si>
  <x:si>
    <x:t>S010090</x:t>
  </x:si>
  <x:si>
    <x:t>SPH590-OD</x:t>
  </x:si>
  <x:si>
    <x:t>YZA1863317-51133-640A</x:t>
  </x:si>
  <x:si>
    <x:t>S010091</x:t>
  </x:si>
  <x:si>
    <x:t>YZA1865104-51134-640A</x:t>
  </x:si>
  <x:si>
    <x:t>S010102</x:t>
  </x:si>
  <x:si>
    <x:t>SCGA440</x:t>
  </x:si>
  <x:si>
    <x:t>52171-02210</x:t>
  </x:si>
  <x:si>
    <x:t>COROLLA</x:t>
  </x:si>
  <x:si>
    <x:t>S010106</x:t>
  </x:si>
  <x:si>
    <x:t>SPH440-OD</x:t>
  </x:si>
  <x:si>
    <x:t>68947-0K030</x:t>
  </x:si>
  <x:si>
    <x:t>S010108</x:t>
  </x:si>
  <x:si>
    <x:t>47355-KK030</x:t>
  </x:si>
  <x:si>
    <x:t>S010114</x:t>
  </x:si>
  <x:si>
    <x:t>SPC270D</x:t>
  </x:si>
  <x:si>
    <x:t>YZA1865118-61615.6-660A</x:t>
  </x:si>
  <x:si>
    <x:t>660A</x:t>
  </x:si>
  <x:si>
    <x:t>S010117</x:t>
  </x:si>
  <x:si>
    <x:t>57836-0K010</x:t>
  </x:si>
  <x:si>
    <x:t>S010118</x:t>
  </x:si>
  <x:si>
    <x:t>53831-0K040</x:t>
  </x:si>
  <x:si>
    <x:t>S010123</x:t>
  </x:si>
  <x:si>
    <x:t>47381-0D030.40</x:t>
  </x:si>
  <x:si>
    <x:t>COM</x:t>
  </x:si>
  <x:si>
    <x:t>S010138</x:t>
  </x:si>
  <x:si>
    <x:t>58221.2-KK010</x:t>
  </x:si>
  <x:si>
    <x:t>S010144</x:t>
  </x:si>
  <x:si>
    <x:t>57652-0K010</x:t>
  </x:si>
  <x:si>
    <x:t>S010147</x:t>
  </x:si>
  <x:si>
    <x:t>239250L010RM</x:t>
  </x:si>
  <x:si>
    <x:t>S010169</x:t>
  </x:si>
  <x:si>
    <x:t>611450K030RM</x:t>
  </x:si>
  <x:si>
    <x:t>S010209</x:t>
  </x:si>
  <x:si>
    <x:t>58374-0K011</x:t>
  </x:si>
  <x:si>
    <x:t>640</x:t>
  </x:si>
  <x:si>
    <x:t>S010214</x:t>
  </x:si>
  <x:si>
    <x:t>58384-KK010</x:t>
  </x:si>
  <x:si>
    <x:t>S010216</x:t>
  </x:si>
  <x:si>
    <x:t>SHGA270C</x:t>
  </x:si>
  <x:si>
    <x:t>61677-0K010</x:t>
  </x:si>
  <x:si>
    <x:t>S010222</x:t>
  </x:si>
  <x:si>
    <x:t>48824-0K010</x:t>
  </x:si>
  <x:si>
    <x:t>S010238</x:t>
  </x:si>
  <x:si>
    <x:t>51638-0K010</x:t>
  </x:si>
  <x:si>
    <x:t>S010257</x:t>
  </x:si>
  <x:si>
    <x:t>POSCOM</x:t>
  </x:si>
  <x:si>
    <x:t>77676KK010RM</x:t>
  </x:si>
  <x:si>
    <x:t>S010271</x:t>
  </x:si>
  <x:si>
    <x:t>42141-0K010-B</x:t>
  </x:si>
  <x:si>
    <x:t>S010281</x:t>
  </x:si>
  <x:si>
    <x:t>51351-KK010-A</x:t>
  </x:si>
  <x:si>
    <x:t>S010283</x:t>
  </x:si>
  <x:si>
    <x:t>42126-KK010-A</x:t>
  </x:si>
  <x:si>
    <x:t>S010285</x:t>
  </x:si>
  <x:si>
    <x:t>51222-0K010</x:t>
  </x:si>
  <x:si>
    <x:t>S010294</x:t>
  </x:si>
  <x:si>
    <x:t>42127-0K020-B</x:t>
  </x:si>
  <x:si>
    <x:t>S010296</x:t>
  </x:si>
  <x:si>
    <x:t>48728-KK010</x:t>
  </x:si>
  <x:si>
    <x:t>S010300</x:t>
  </x:si>
  <x:si>
    <x:t>51611-0K010</x:t>
  </x:si>
  <x:si>
    <x:t>S010308</x:t>
  </x:si>
  <x:si>
    <x:t>67167/8-0D040.30</x:t>
  </x:si>
  <x:si>
    <x:t>E-HB</x:t>
  </x:si>
  <x:si>
    <x:t>S010311</x:t>
  </x:si>
  <x:si>
    <x:t>YZA1862426-52216-KK010</x:t>
  </x:si>
  <x:si>
    <x:t>S010317</x:t>
  </x:si>
  <x:si>
    <x:t>574610K020RM</x:t>
  </x:si>
  <x:si>
    <x:t>FOR</x:t>
  </x:si>
  <x:si>
    <x:t>S010332</x:t>
  </x:si>
  <x:si>
    <x:t>SPC270C</x:t>
  </x:si>
  <x:si>
    <x:t>PYZA1861612RM</x:t>
  </x:si>
  <x:si>
    <x:t>S010336</x:t>
  </x:si>
  <x:si>
    <x:t>574350K010RM</x:t>
  </x:si>
  <x:si>
    <x:t>S010345</x:t>
  </x:si>
  <x:si>
    <x:t>51569-KK060-A</x:t>
  </x:si>
  <x:si>
    <x:t>S010349</x:t>
  </x:si>
  <x:si>
    <x:t>896680D030(1)RM</x:t>
  </x:si>
  <x:si>
    <x:t>S010351</x:t>
  </x:si>
  <x:si>
    <x:t>891790D010RM</x:t>
  </x:si>
  <x:si>
    <x:t>S010353</x:t>
  </x:si>
  <x:si>
    <x:t>313140D061RM</x:t>
  </x:si>
  <x:si>
    <x:t>S010355</x:t>
  </x:si>
  <x:si>
    <x:t>551740D030RM</x:t>
  </x:si>
  <x:si>
    <x:t>S010357</x:t>
  </x:si>
  <x:si>
    <x:t>471150D210RM</x:t>
  </x:si>
  <x:si>
    <x:t>S010359</x:t>
  </x:si>
  <x:si>
    <x:t>551730D081RM</x:t>
  </x:si>
  <x:si>
    <x:t>S010362</x:t>
  </x:si>
  <x:si>
    <x:t>313150D360RM</x:t>
  </x:si>
  <x:si>
    <x:t>EFC</x:t>
  </x:si>
  <x:si>
    <x:t>S010386</x:t>
  </x:si>
  <x:si>
    <x:t>557150K020RM</x:t>
  </x:si>
  <x:si>
    <x:t>S010394</x:t>
  </x:si>
  <x:si>
    <x:t>52131-KK010-A</x:t>
  </x:si>
  <x:si>
    <x:t>S010397</x:t>
  </x:si>
  <x:si>
    <x:t>S010426</x:t>
  </x:si>
  <x:si>
    <x:t>PYZA1861893RM-55338-KK010</x:t>
  </x:si>
  <x:si>
    <x:t>S010443</x:t>
  </x:si>
  <x:si>
    <x:t>53717/8-0D010</x:t>
  </x:si>
  <x:si>
    <x:t>S010470</x:t>
  </x:si>
  <x:si>
    <x:t>55719-0K080</x:t>
  </x:si>
  <x:si>
    <x:t>640 A</x:t>
  </x:si>
  <x:si>
    <x:t>S010480</x:t>
  </x:si>
  <x:si>
    <x:t>77217-KK030</x:t>
  </x:si>
  <x:si>
    <x:t>S010489</x:t>
  </x:si>
  <x:si>
    <x:t>77216-KK030</x:t>
  </x:si>
  <x:si>
    <x:t>S010501</x:t>
  </x:si>
  <x:si>
    <x:t>55727-0K030</x:t>
  </x:si>
  <x:si>
    <x:t>S010503</x:t>
  </x:si>
  <x:si>
    <x:t>S010508</x:t>
  </x:si>
  <x:si>
    <x:t>611330K020RM</x:t>
  </x:si>
  <x:si>
    <x:t>S010515</x:t>
  </x:si>
  <x:si>
    <x:t>6703006112-89978-X1052</x:t>
  </x:si>
  <x:si>
    <x:t>S010516</x:t>
  </x:si>
  <x:si>
    <x:t>48471-0D070</x:t>
  </x:si>
  <x:si>
    <x:t>S010521</x:t>
  </x:si>
  <x:si>
    <x:t>55747-0K050</x:t>
  </x:si>
  <x:si>
    <x:t>S010527</x:t>
  </x:si>
  <x:si>
    <x:t>74482-0D040</x:t>
  </x:si>
  <x:si>
    <x:t>S010554</x:t>
  </x:si>
  <x:si>
    <x:t>572210D070RM</x:t>
  </x:si>
  <x:si>
    <x:t>S010564</x:t>
  </x:si>
  <x:si>
    <x:t>3512A-0K200</x:t>
  </x:si>
  <x:si>
    <x:t>S010578</x:t>
  </x:si>
  <x:si>
    <x:t>576830D060RM</x:t>
  </x:si>
  <x:si>
    <x:t>S010583</x:t>
  </x:si>
  <x:si>
    <x:t>57221.2-0D070-ARM</x:t>
  </x:si>
  <x:si>
    <x:t>S010585</x:t>
  </x:si>
  <x:si>
    <x:t>43498-0D050</x:t>
  </x:si>
  <x:si>
    <x:t>S010591</x:t>
  </x:si>
  <x:si>
    <x:t>51226-0D010</x:t>
  </x:si>
  <x:si>
    <x:t>S010593</x:t>
  </x:si>
  <x:si>
    <x:t>32923-KK030</x:t>
  </x:si>
  <x:si>
    <x:t>S010595</x:t>
  </x:si>
  <x:si>
    <x:t>32925-KK010</x:t>
  </x:si>
  <x:si>
    <x:t>S010597</x:t>
  </x:si>
  <x:si>
    <x:t>42117-OD010</x:t>
  </x:si>
  <x:si>
    <x:t>S010599</x:t>
  </x:si>
  <x:si>
    <x:t>"674030K100/
674040K100"</x:t>
  </x:si>
  <x:si>
    <x:t>S010600</x:t>
  </x:si>
  <x:si>
    <x:t>67403/4 - 0K100</x:t>
  </x:si>
  <x:si>
    <x:t>S010602</x:t>
  </x:si>
  <x:si>
    <x:t>X0614A19</x:t>
  </x:si>
  <x:si>
    <x:t>S010622</x:t>
  </x:si>
  <x:si>
    <x:t>SCGA270D-O</x:t>
  </x:si>
  <x:si>
    <x:t>45-AG</x:t>
  </x:si>
  <x:si>
    <x:t>YZA1863654-53811-650AL</x:t>
  </x:si>
  <x:si>
    <x:t>S010625</x:t>
  </x:si>
  <x:si>
    <x:t>53331.2-0K060</x:t>
  </x:si>
  <x:si>
    <x:t>S010629</x:t>
  </x:si>
  <x:si>
    <x:t>57211-KK010-660A</x:t>
  </x:si>
  <x:si>
    <x:t>S010643</x:t>
  </x:si>
  <x:si>
    <x:t>574210D120RM</x:t>
  </x:si>
  <x:si>
    <x:t>HB(NCAP)</x:t>
  </x:si>
  <x:si>
    <x:t>S010645</x:t>
  </x:si>
  <x:si>
    <x:t>574210D130RM</x:t>
  </x:si>
  <x:si>
    <x:t>EFC(NCAP)</x:t>
  </x:si>
  <x:si>
    <x:t>S010673</x:t>
  </x:si>
  <x:si>
    <x:t>88266-0K040</x:t>
  </x:si>
  <x:si>
    <x:t>650A</x:t>
  </x:si>
  <x:si>
    <x:t>S010690</x:t>
  </x:si>
  <x:si>
    <x:t>61768.9-KK030/20</x:t>
  </x:si>
  <x:si>
    <x:t>S010705</x:t>
  </x:si>
  <x:si>
    <x:t>44591-0K200</x:t>
  </x:si>
  <x:si>
    <x:t>S010746</x:t>
  </x:si>
  <x:si>
    <x:t>63143-KK020</x:t>
  </x:si>
  <x:si>
    <x:t>S010747</x:t>
  </x:si>
  <x:si>
    <x:t>51585- KK010-A</x:t>
  </x:si>
  <x:si>
    <x:t>S010755</x:t>
  </x:si>
  <x:si>
    <x:t>67127-KK020-A</x:t>
  </x:si>
  <x:si>
    <x:t>S010765</x:t>
  </x:si>
  <x:si>
    <x:t>NSSMC</x:t>
  </x:si>
  <x:si>
    <x:t>SCGA270F</x:t>
  </x:si>
  <x:si>
    <x:t>61725-KK080-B</x:t>
  </x:si>
  <x:si>
    <x:t>S010766</x:t>
  </x:si>
  <x:si>
    <x:t>67167-KK020-A</x:t>
  </x:si>
  <x:si>
    <x:t>S010769</x:t>
  </x:si>
  <x:si>
    <x:t>53324-KK010-B</x:t>
  </x:si>
  <x:si>
    <x:t>S010793</x:t>
  </x:si>
  <x:si>
    <x:t>896680D030(2) RM</x:t>
  </x:si>
  <x:si>
    <x:t>S010795</x:t>
  </x:si>
  <x:si>
    <x:t>67327.8-0K020</x:t>
  </x:si>
  <x:si>
    <x:t>S010796</x:t>
  </x:si>
  <x:si>
    <x:t>YZA1863658-67113.4-650A</x:t>
  </x:si>
  <x:si>
    <x:t>S010847</x:t>
  </x:si>
  <x:si>
    <x:t>571270D030RM</x:t>
  </x:si>
  <x:si>
    <x:t>S010875</x:t>
  </x:si>
  <x:si>
    <x:t>67335-KK010-A</x:t>
  </x:si>
  <x:si>
    <x:t>S010883</x:t>
  </x:si>
  <x:si>
    <x:t>51216-0D030</x:t>
  </x:si>
  <x:si>
    <x:t>S010891</x:t>
  </x:si>
  <x:si>
    <x:t>PYZA1861623RM</x:t>
  </x:si>
  <x:si>
    <x:t>S010901</x:t>
  </x:si>
  <x:si>
    <x:t>JCAPCP</x:t>
  </x:si>
  <x:si>
    <x:t>SPC590DU</x:t>
  </x:si>
  <x:si>
    <x:t>61135.6-KK010</x:t>
  </x:si>
  <x:si>
    <x:t>S010915</x:t>
  </x:si>
  <x:si>
    <x:t>6703006029-79232-X7A02</x:t>
  </x:si>
  <x:si>
    <x:t>S010924</x:t>
  </x:si>
  <x:si>
    <x:t>S010926</x:t>
  </x:si>
  <x:si>
    <x:t>58131KK010RM</x:t>
  </x:si>
  <x:si>
    <x:t>S010947</x:t>
  </x:si>
  <x:si>
    <x:t>55711KK010RM</x:t>
  </x:si>
  <x:si>
    <x:t>S010959</x:t>
  </x:si>
  <x:si>
    <x:t>61141-KK010-B</x:t>
  </x:si>
  <x:si>
    <x:t>S010986</x:t>
  </x:si>
  <x:si>
    <x:t>STTI-51528-0K010</x:t>
  </x:si>
  <x:si>
    <x:t>S010988</x:t>
  </x:si>
  <x:si>
    <x:t>YZA1863645-42111-650A</x:t>
  </x:si>
  <x:si>
    <x:t>S010992</x:t>
  </x:si>
  <x:si>
    <x:t>61178KK010RM</x:t>
  </x:si>
  <x:si>
    <x:t>S010994</x:t>
  </x:si>
  <x:si>
    <x:t>55721KK010RM</x:t>
  </x:si>
  <x:si>
    <x:t>S011046</x:t>
  </x:si>
  <x:si>
    <x:t>57417-0D050</x:t>
  </x:si>
  <x:si>
    <x:t>S011047</x:t>
  </x:si>
  <x:si>
    <x:t>52145.6-0D120/100RM</x:t>
  </x:si>
  <x:si>
    <x:t>S011060</x:t>
  </x:si>
  <x:si>
    <x:t>574230D070RM</x:t>
  </x:si>
  <x:si>
    <x:t>S011061</x:t>
  </x:si>
  <x:si>
    <x:t>557170D080RM</x:t>
  </x:si>
  <x:si>
    <x:t>S011077</x:t>
  </x:si>
  <x:si>
    <x:t>6703006013--72558-X7A01-A</x:t>
  </x:si>
  <x:si>
    <x:t>FOR;IMV</x:t>
  </x:si>
  <x:si>
    <x:t>S011083</x:t>
  </x:si>
  <x:si>
    <x:t>46341TL002RM</x:t>
  </x:si>
  <x:si>
    <x:t>S011085</x:t>
  </x:si>
  <x:si>
    <x:t>PYZA1030861RM-55352-OD040</x:t>
  </x:si>
  <x:si>
    <x:t>S011091</x:t>
  </x:si>
  <x:si>
    <x:t>6703006014-72558-X7A00-A</x:t>
  </x:si>
  <x:si>
    <x:t>S011107</x:t>
  </x:si>
  <x:si>
    <x:t>58371-0D090</x:t>
  </x:si>
  <x:si>
    <x:t>SD</x:t>
  </x:si>
  <x:si>
    <x:t>S011109</x:t>
  </x:si>
  <x:si>
    <x:t>57417-0D080</x:t>
  </x:si>
  <x:si>
    <x:t>S011121</x:t>
  </x:si>
  <x:si>
    <x:t>YZA1860705</x:t>
  </x:si>
  <x:si>
    <x:t>S011123</x:t>
  </x:si>
  <x:si>
    <x:t>6703006008-71788-X7201-A</x:t>
  </x:si>
  <x:si>
    <x:t>S011130</x:t>
  </x:si>
  <x:si>
    <x:t>S011134</x:t>
  </x:si>
  <x:si>
    <x:t>67175-KK010-B</x:t>
  </x:si>
  <x:si>
    <x:t>S011154</x:t>
  </x:si>
  <x:si>
    <x:t>74413-0D030</x:t>
  </x:si>
  <x:si>
    <x:t>S011158</x:t>
  </x:si>
  <x:si>
    <x:t>67121.2-0K050</x:t>
  </x:si>
  <x:si>
    <x:t>S011165</x:t>
  </x:si>
  <x:si>
    <x:t>74482-0K020</x:t>
  </x:si>
  <x:si>
    <x:t>S011167</x:t>
  </x:si>
  <x:si>
    <x:t>53218-DX020</x:t>
  </x:si>
  <x:si>
    <x:t>S011169</x:t>
  </x:si>
  <x:si>
    <x:t>53218-0K030</x:t>
  </x:si>
  <x:si>
    <x:t>S011171</x:t>
  </x:si>
  <x:si>
    <x:t>53236-0K010</x:t>
  </x:si>
  <x:si>
    <x:t>S011183</x:t>
  </x:si>
  <x:si>
    <x:t>51715-0K010</x:t>
  </x:si>
  <x:si>
    <x:t>S011203</x:t>
  </x:si>
  <x:si>
    <x:t>45-AG-J</x:t>
  </x:si>
  <x:si>
    <x:t>53324-0K030</x:t>
  </x:si>
  <x:si>
    <x:t>S011220</x:t>
  </x:si>
  <x:si>
    <x:t>51297-0K010</x:t>
  </x:si>
  <x:si>
    <x:t>S011224</x:t>
  </x:si>
  <x:si>
    <x:t>616770D040RM</x:t>
  </x:si>
  <x:si>
    <x:t>S011230</x:t>
  </x:si>
  <x:si>
    <x:t>48609-0K030-YZA1470431</x:t>
  </x:si>
  <x:si>
    <x:t>S011233</x:t>
  </x:si>
  <x:si>
    <x:t>YZA1862502  - 53715.6-0K030-A</x:t>
  </x:si>
  <x:si>
    <x:t>S011240</x:t>
  </x:si>
  <x:si>
    <x:t>415423-10430-B</x:t>
  </x:si>
  <x:si>
    <x:t>COR;IMV</x:t>
  </x:si>
  <x:si>
    <x:t>S011242</x:t>
  </x:si>
  <x:si>
    <x:t>422151 -10250</x:t>
  </x:si>
  <x:si>
    <x:t>S011281</x:t>
  </x:si>
  <x:si>
    <x:t>57512.3-0K030</x:t>
  </x:si>
  <x:si>
    <x:t>FOR,IMV</x:t>
  </x:si>
  <x:si>
    <x:t>S011285</x:t>
  </x:si>
  <x:si>
    <x:t>67175.6</x:t>
  </x:si>
  <x:si>
    <x:t>S011287</x:t>
  </x:si>
  <x:si>
    <x:t>67188.9-0K020</x:t>
  </x:si>
  <x:si>
    <x:t>S011298</x:t>
  </x:si>
  <x:si>
    <x:t>53323-0D010</x:t>
  </x:si>
  <x:si>
    <x:t>HB &amp; SD</x:t>
  </x:si>
  <x:si>
    <x:t>S011313</x:t>
  </x:si>
  <x:si>
    <x:t>45-BG</x:t>
  </x:si>
  <x:si>
    <x:t>YZA1863655-53812-650AL</x:t>
  </x:si>
  <x:si>
    <x:t>S011325</x:t>
  </x:si>
  <x:si>
    <x:t>551330K010RM</x:t>
  </x:si>
  <x:si>
    <x:t>S011343</x:t>
  </x:si>
  <x:si>
    <x:t>YZA1862511/61655/6-KK010</x:t>
  </x:si>
  <x:si>
    <x:t>S011344</x:t>
  </x:si>
  <x:si>
    <x:t>PYZA1862667RM -55341-KK010</x:t>
  </x:si>
  <x:si>
    <x:t>S011345</x:t>
  </x:si>
  <x:si>
    <x:t>S011346</x:t>
  </x:si>
  <x:si>
    <x:t>PYZA1861879RM- 55122-KK010</x:t>
  </x:si>
  <x:si>
    <x:t>S011347</x:t>
  </x:si>
  <x:si>
    <x:t>PYZA1861881RM-55173-KK030</x:t>
  </x:si>
  <x:si>
    <x:t>S011359</x:t>
  </x:si>
  <x:si>
    <x:t>SPH270D-OD</x:t>
  </x:si>
  <x:si>
    <x:t>239210L191T7 RM</x:t>
  </x:si>
  <x:si>
    <x:t>S011365</x:t>
  </x:si>
  <x:si>
    <x:t>58339-0D300</x:t>
  </x:si>
  <x:si>
    <x:t>230B</x:t>
  </x:si>
  <x:si>
    <x:t>S011384</x:t>
  </x:si>
  <x:si>
    <x:t>52148YP010RM</x:t>
  </x:si>
  <x:si>
    <x:t>NCAP &amp; 633</x:t>
  </x:si>
  <x:si>
    <x:t>S011386</x:t>
  </x:si>
  <x:si>
    <x:t>52147YP020RM</x:t>
  </x:si>
  <x:si>
    <x:t>S011392</x:t>
  </x:si>
  <x:si>
    <x:t>551880D210RM</x:t>
  </x:si>
  <x:si>
    <x:t>Q-SP</x:t>
  </x:si>
  <x:si>
    <x:t>S011394</x:t>
  </x:si>
  <x:si>
    <x:t>313150D480RM</x:t>
  </x:si>
  <x:si>
    <x:t>S011396</x:t>
  </x:si>
  <x:si>
    <x:t>313150D460RM</x:t>
  </x:si>
  <x:si>
    <x:t>S011402</x:t>
  </x:si>
  <x:si>
    <x:t>641810D080RM</x:t>
  </x:si>
  <x:si>
    <x:t>S011412</x:t>
  </x:si>
  <x:si>
    <x:t>551820D100RM</x:t>
  </x:si>
  <x:si>
    <x:t>NCAP</x:t>
  </x:si>
  <x:si>
    <x:t>S011414</x:t>
  </x:si>
  <x:si>
    <x:t>551870D020RM</x:t>
  </x:si>
  <x:si>
    <x:t>S011478</x:t>
  </x:si>
  <x:si>
    <x:t>PYZA55121-KK020RM</x:t>
  </x:si>
  <x:si>
    <x:t>S011480</x:t>
  </x:si>
  <x:si>
    <x:t>PYZA55338-KK030RM</x:t>
  </x:si>
  <x:si>
    <x:t>Service pa</x:t>
  </x:si>
  <x:si>
    <x:t>S011484</x:t>
  </x:si>
  <x:si>
    <x:t>PYZA55341-KK020RM</x:t>
  </x:si>
  <x:si>
    <x:t>QUALIS-SP</x:t>
  </x:si>
  <x:si>
    <x:t>S011544</x:t>
  </x:si>
  <x:si>
    <x:t>S011546</x:t>
  </x:si>
  <x:si>
    <x:t>YZA1865109-57451.2-COM</x:t>
  </x:si>
  <x:si>
    <x:t>S011547</x:t>
  </x:si>
  <x:si>
    <x:t>SPC270F-G</x:t>
  </x:si>
  <x:si>
    <x:t>YZA1865106-63111-COR</x:t>
  </x:si>
  <x:si>
    <x:t>COR</x:t>
  </x:si>
  <x:si>
    <x:t>S011548</x:t>
  </x:si>
  <x:si>
    <x:t>YZA1865115-63111-800L</x:t>
  </x:si>
  <x:si>
    <x:t>S011549</x:t>
  </x:si>
  <x:si>
    <x:t>YZA1865116-63111-801L</x:t>
  </x:si>
  <x:si>
    <x:t>E-SDN</x:t>
  </x:si>
  <x:si>
    <x:t>S011550</x:t>
  </x:si>
  <x:si>
    <x:t>YZA1865107-55111-COM</x:t>
  </x:si>
  <x:si>
    <x:t>S011556</x:t>
  </x:si>
  <x:si>
    <x:t>PYZA1030857-55359-0D210</x:t>
  </x:si>
  <x:si>
    <x:t>S011701</x:t>
  </x:si>
  <x:si>
    <x:t>41534-0K050</x:t>
  </x:si>
  <x:si>
    <x:t>S011705</x:t>
  </x:si>
  <x:si>
    <x:t>313150D470RM</x:t>
  </x:si>
  <x:si>
    <x:t>S011711</x:t>
  </x:si>
  <x:si>
    <x:t>57671-0K010</x:t>
  </x:si>
  <x:si>
    <x:t>S011712</x:t>
  </x:si>
  <x:si>
    <x:t>67181-0D080</x:t>
  </x:si>
  <x:si>
    <x:t>S011713</x:t>
  </x:si>
  <x:si>
    <x:t>51711-0K010-A</x:t>
  </x:si>
  <x:si>
    <x:t>S011715</x:t>
  </x:si>
  <x:si>
    <x:t>SHGA270D</x:t>
  </x:si>
  <x:si>
    <x:t>77617-KK010</x:t>
  </x:si>
  <x:si>
    <x:t>S011716</x:t>
  </x:si>
  <x:si>
    <x:t>S011717</x:t>
  </x:si>
  <x:si>
    <x:t>42134-KK010</x:t>
  </x:si>
  <x:si>
    <x:t>S011722</x:t>
  </x:si>
  <x:si>
    <x:t>S011723</x:t>
  </x:si>
  <x:si>
    <x:t>51513.14-0K010-B</x:t>
  </x:si>
  <x:si>
    <x:t>S011725</x:t>
  </x:si>
  <x:si>
    <x:t>48657.8-OK010</x:t>
  </x:si>
  <x:si>
    <x:t>S011727</x:t>
  </x:si>
  <x:si>
    <x:t>74485-0D030</x:t>
  </x:si>
  <x:si>
    <x:t>S011729</x:t>
  </x:si>
  <x:si>
    <x:t>113550E020RM</x:t>
  </x:si>
  <x:si>
    <x:t>S011731</x:t>
  </x:si>
  <x:si>
    <x:t>533240K080RM</x:t>
  </x:si>
  <x:si>
    <x:t>S011746</x:t>
  </x:si>
  <x:si>
    <x:t>44591-0D400</x:t>
  </x:si>
  <x:si>
    <x:t>S011770</x:t>
  </x:si>
  <x:si>
    <x:t>5538A-0D100-01</x:t>
  </x:si>
  <x:si>
    <x:t>S011783</x:t>
  </x:si>
  <x:si>
    <x:t>63175.6</x:t>
  </x:si>
  <x:si>
    <x:t>S011784</x:t>
  </x:si>
  <x:si>
    <x:t>537470D010RM</x:t>
  </x:si>
  <x:si>
    <x:t>S011810</x:t>
  </x:si>
  <x:si>
    <x:t>64213-0D170</x:t>
  </x:si>
  <x:si>
    <x:t>S011858</x:t>
  </x:si>
  <x:si>
    <x:t>58374-0D210</x:t>
  </x:si>
  <x:si>
    <x:t>S011933</x:t>
  </x:si>
  <x:si>
    <x:t>YZA1865113-57612-801L</x:t>
  </x:si>
  <x:si>
    <x:t>S011934</x:t>
  </x:si>
  <x:si>
    <x:t>YZA1865111-57611-801L</x:t>
  </x:si>
  <x:si>
    <x:t>S011938</x:t>
  </x:si>
  <x:si>
    <x:t>61145.6-0K030RM</x:t>
  </x:si>
  <x:si>
    <x:t>S011944</x:t>
  </x:si>
  <x:si>
    <x:t>YZA1863377-53321 - IMV</x:t>
  </x:si>
  <x:si>
    <x:t>S011969</x:t>
  </x:si>
  <x:si>
    <x:t>PYZA1861618RM-55357-KK010</x:t>
  </x:si>
  <x:si>
    <x:t>S011975</x:t>
  </x:si>
  <x:si>
    <x:t>55383-55030</x:t>
  </x:si>
  <x:si>
    <x:t>S011979</x:t>
  </x:si>
  <x:si>
    <x:t>53551-0K290</x:t>
  </x:si>
  <x:si>
    <x:t>S011981</x:t>
  </x:si>
  <x:si>
    <x:t>6703006064-71875-X7A00</x:t>
  </x:si>
  <x:si>
    <x:t>S012021</x:t>
  </x:si>
  <x:si>
    <x:t>51568-KK060/70</x:t>
  </x:si>
  <x:si>
    <x:t>S012025</x:t>
  </x:si>
  <x:si>
    <x:t>67321.2-KK010</x:t>
  </x:si>
  <x:si>
    <x:t>S012027</x:t>
  </x:si>
  <x:si>
    <x:t>64443.4-KK010</x:t>
  </x:si>
  <x:si>
    <x:t>S012029</x:t>
  </x:si>
  <x:si>
    <x:t>67327.8-KK010</x:t>
  </x:si>
  <x:si>
    <x:t>S012031</x:t>
  </x:si>
  <x:si>
    <x:t>67325.6-KK010</x:t>
  </x:si>
  <x:si>
    <x:t>S012046</x:t>
  </x:si>
  <x:si>
    <x:t>PYZA55321-KK030RM</x:t>
  </x:si>
  <x:si>
    <x:t>S012047</x:t>
  </x:si>
  <x:si>
    <x:t>PYZA55427-KK030RM</x:t>
  </x:si>
  <x:si>
    <x:t>S012056</x:t>
  </x:si>
  <x:si>
    <x:t>67465.6-KK010</x:t>
  </x:si>
  <x:si>
    <x:t>S012057</x:t>
  </x:si>
  <x:si>
    <x:t>451711-11550-C</x:t>
  </x:si>
  <x:si>
    <x:t>S012062</x:t>
  </x:si>
  <x:si>
    <x:t>51165.6-0K030</x:t>
  </x:si>
  <x:si>
    <x:t>S012235</x:t>
  </x:si>
  <x:si>
    <x:t>48514-KK010/48515-KK010</x:t>
  </x:si>
  <x:si>
    <x:t>S012238</x:t>
  </x:si>
  <x:si>
    <x:t>51232-KK010-A</x:t>
  </x:si>
  <x:si>
    <x:t>S012243</x:t>
  </x:si>
  <x:si>
    <x:t>51571-KK010-A/51572-KK010-A</x:t>
  </x:si>
  <x:si>
    <x:t>S012244</x:t>
  </x:si>
  <x:si>
    <x:t>48623-KK010-B/48624-KK010-B</x:t>
  </x:si>
  <x:si>
    <x:t>S012245</x:t>
  </x:si>
  <x:si>
    <x:t>48621-KK010-B/48622-KK010-B</x:t>
  </x:si>
  <x:si>
    <x:t>S012246</x:t>
  </x:si>
  <x:si>
    <x:t>48628/9</x:t>
  </x:si>
  <x:si>
    <x:t>S012249</x:t>
  </x:si>
  <x:si>
    <x:t>67125-KK020-B/67126-KK020-B</x:t>
  </x:si>
  <x:si>
    <x:t>S012253</x:t>
  </x:si>
  <x:si>
    <x:t>61181-KK030</x:t>
  </x:si>
  <x:si>
    <x:t>S012272</x:t>
  </x:si>
  <x:si>
    <x:t>77611-KK040-A</x:t>
  </x:si>
  <x:si>
    <x:t>S012276</x:t>
  </x:si>
  <x:si>
    <x:t>77612-KK060-A</x:t>
  </x:si>
  <x:si>
    <x:t>S012281</x:t>
  </x:si>
  <x:si>
    <x:t>415421-10370</x:t>
  </x:si>
  <x:si>
    <x:t>SERVICE</x:t>
  </x:si>
  <x:si>
    <x:t>S012285</x:t>
  </x:si>
  <x:si>
    <x:t>47353.4-KK010</x:t>
  </x:si>
  <x:si>
    <x:t>S012290</x:t>
  </x:si>
  <x:si>
    <x:t>48651-KK010-A</x:t>
  </x:si>
  <x:si>
    <x:t>S012291</x:t>
  </x:si>
  <x:si>
    <x:t>67323.4-KK010</x:t>
  </x:si>
  <x:si>
    <x:t>S012327</x:t>
  </x:si>
  <x:si>
    <x:t>77613-KK070-A</x:t>
  </x:si>
  <x:si>
    <x:t>S012337</x:t>
  </x:si>
  <x:si>
    <x:t>51452-KK030</x:t>
  </x:si>
  <x:si>
    <x:t>S012342</x:t>
  </x:si>
  <x:si>
    <x:t>77515-0K030</x:t>
  </x:si>
  <x:si>
    <x:t>S012343</x:t>
  </x:si>
  <x:si>
    <x:t>51457-KK030</x:t>
  </x:si>
  <x:si>
    <x:t>S012353</x:t>
  </x:si>
  <x:si>
    <x:t>51525-KK010-A</x:t>
  </x:si>
  <x:si>
    <x:t>S012361</x:t>
  </x:si>
  <x:si>
    <x:t>51222- KK010-A</x:t>
  </x:si>
  <x:si>
    <x:t>S012371</x:t>
  </x:si>
  <x:si>
    <x:t>42127-0K010</x:t>
  </x:si>
  <x:si>
    <x:t>S012376</x:t>
  </x:si>
  <x:si>
    <x:t>47351.2-KK010</x:t>
  </x:si>
  <x:si>
    <x:t>S012379</x:t>
  </x:si>
  <x:si>
    <x:t>51569-KK020-A-T3</x:t>
  </x:si>
  <x:si>
    <x:t>S012381</x:t>
  </x:si>
  <x:si>
    <x:t>77616-0K030</x:t>
  </x:si>
  <x:si>
    <x:t>S012383</x:t>
  </x:si>
  <x:si>
    <x:t>51511.2-KK020-B</x:t>
  </x:si>
  <x:si>
    <x:t>S012424</x:t>
  </x:si>
  <x:si>
    <x:t>6703006026-72446-X1B00-230B</x:t>
  </x:si>
  <x:si>
    <x:t>S012427</x:t>
  </x:si>
  <x:si>
    <x:t>67175.6-KK010-B</x:t>
  </x:si>
  <x:si>
    <x:t>S012429</x:t>
  </x:si>
  <x:si>
    <x:t>51165-KK020-A</x:t>
  </x:si>
  <x:si>
    <x:t>S012437</x:t>
  </x:si>
  <x:si>
    <x:t>61161/2</x:t>
  </x:si>
  <x:si>
    <x:t>S012439</x:t>
  </x:si>
  <x:si>
    <x:t>51569-KK020-A-T1</x:t>
  </x:si>
  <x:si>
    <x:t>S012468</x:t>
  </x:si>
  <x:si>
    <x:t>61639- 0K100-B</x:t>
  </x:si>
  <x:si>
    <x:t>S012470</x:t>
  </x:si>
  <x:si>
    <x:t>61141.2-KK010-B</x:t>
  </x:si>
  <x:si>
    <x:t>S012472</x:t>
  </x:si>
  <x:si>
    <x:t>51195-KK010-B</x:t>
  </x:si>
  <x:si>
    <x:t>S012475</x:t>
  </x:si>
  <x:si>
    <x:t>53322 -KK010-C</x:t>
  </x:si>
  <x:si>
    <x:t>S012482</x:t>
  </x:si>
  <x:si>
    <x:t>67123-OK040</x:t>
  </x:si>
  <x:si>
    <x:t>IMV-SER</x:t>
  </x:si>
  <x:si>
    <x:t>S012485</x:t>
  </x:si>
  <x:si>
    <x:t>47781- 0K250</x:t>
  </x:si>
  <x:si>
    <x:t>S012491</x:t>
  </x:si>
  <x:si>
    <x:t>31484-0K010</x:t>
  </x:si>
  <x:si>
    <x:t>S012495</x:t>
  </x:si>
  <x:si>
    <x:t>55746KK010RM</x:t>
  </x:si>
  <x:si>
    <x:t>S012505</x:t>
  </x:si>
  <x:si>
    <x:t>61173.4-KK020-650A</x:t>
  </x:si>
  <x:si>
    <x:t>S012511</x:t>
  </x:si>
  <x:si>
    <x:t>53741.2-KK030</x:t>
  </x:si>
  <x:si>
    <x:t>S012531</x:t>
  </x:si>
  <x:si>
    <x:t>51219-0K010A-650A</x:t>
  </x:si>
  <x:si>
    <x:t>S012535</x:t>
  </x:si>
  <x:si>
    <x:t>77625-KK020-B-650A</x:t>
  </x:si>
  <x:si>
    <x:t>S012544</x:t>
  </x:si>
  <x:si>
    <x:t>631430D230RM</x:t>
  </x:si>
  <x:si>
    <x:t>S012548</x:t>
  </x:si>
  <x:si>
    <x:t>51231KK040RM</x:t>
  </x:si>
  <x:si>
    <x:t>S012549</x:t>
  </x:si>
  <x:si>
    <x:t>51232KK040RM</x:t>
  </x:si>
  <x:si>
    <x:t>S012555</x:t>
  </x:si>
  <x:si>
    <x:t>77614-0K050</x:t>
  </x:si>
  <x:si>
    <x:t>S012577</x:t>
  </x:si>
  <x:si>
    <x:t>57661-0D140</x:t>
  </x:si>
  <x:si>
    <x:t>S012588</x:t>
  </x:si>
  <x:si>
    <x:t>53941.2-KK070-A</x:t>
  </x:si>
  <x:si>
    <x:t>S012590</x:t>
  </x:si>
  <x:si>
    <x:t>55727KK010RM</x:t>
  </x:si>
  <x:si>
    <x:t>S012594</x:t>
  </x:si>
  <x:si>
    <x:t>63139KK010RM</x:t>
  </x:si>
  <x:si>
    <x:t>S012619</x:t>
  </x:si>
  <x:si>
    <x:t>61231KK040RM</x:t>
  </x:si>
  <x:si>
    <x:t>S012620</x:t>
  </x:si>
  <x:si>
    <x:t>23921-0L030-T1</x:t>
  </x:si>
  <x:si>
    <x:t>S012624</x:t>
  </x:si>
  <x:si>
    <x:t>61347KK010RM</x:t>
  </x:si>
  <x:si>
    <x:t>S012625</x:t>
  </x:si>
  <x:si>
    <x:t>61365KK020RM</x:t>
  </x:si>
  <x:si>
    <x:t>S012627</x:t>
  </x:si>
  <x:si>
    <x:t>61145.6 -0KK010</x:t>
  </x:si>
  <x:si>
    <x:t>S012641</x:t>
  </x:si>
  <x:si>
    <x:t>5122A- KK010-B</x:t>
  </x:si>
  <x:si>
    <x:t>S012645</x:t>
  </x:si>
  <x:si>
    <x:t>643170D060RM</x:t>
  </x:si>
  <x:si>
    <x:t>S012650</x:t>
  </x:si>
  <x:si>
    <x:t>PYZA1480100RM</x:t>
  </x:si>
  <x:si>
    <x:t>S012652</x:t>
  </x:si>
  <x:si>
    <x:t>23921-0D</x:t>
  </x:si>
  <x:si>
    <x:t>S012678</x:t>
  </x:si>
  <x:si>
    <x:t>42149-04010.</x:t>
  </x:si>
  <x:si>
    <x:t>S012682</x:t>
  </x:si>
  <x:si>
    <x:t>PYZA1861624-55387-0KK030</x:t>
  </x:si>
  <x:si>
    <x:t>S012684</x:t>
  </x:si>
  <x:si>
    <x:t>PYZA1861615-55329-KK010</x:t>
  </x:si>
  <x:si>
    <x:t>S012686</x:t>
  </x:si>
  <x:si>
    <x:t>52169-0K010</x:t>
  </x:si>
  <x:si>
    <x:t>S012688</x:t>
  </x:si>
  <x:si>
    <x:t>55326-KK010</x:t>
  </x:si>
  <x:si>
    <x:t>S012700</x:t>
  </x:si>
  <x:si>
    <x:t>PYZA1861610</x:t>
  </x:si>
  <x:si>
    <x:t>S012701</x:t>
  </x:si>
  <x:si>
    <x:t>PYZA1861626</x:t>
  </x:si>
  <x:si>
    <x:t>S012703</x:t>
  </x:si>
  <x:si>
    <x:t>PYZA1861614-55328-KK010</x:t>
  </x:si>
  <x:si>
    <x:t>S012714</x:t>
  </x:si>
  <x:si>
    <x:t>PYZA1861681-55381-KK010</x:t>
  </x:si>
  <x:si>
    <x:t>S012716</x:t>
  </x:si>
  <x:si>
    <x:t>52131-0D130</x:t>
  </x:si>
  <x:si>
    <x:t>S012718</x:t>
  </x:si>
  <x:si>
    <x:t>58996-KK020-A-660A</x:t>
  </x:si>
  <x:si>
    <x:t>S012721</x:t>
  </x:si>
  <x:si>
    <x:t>PYZA1030857</x:t>
  </x:si>
  <x:si>
    <x:t>S012724</x:t>
  </x:si>
  <x:si>
    <x:t>61181-KK010-660A</x:t>
  </x:si>
  <x:si>
    <x:t>S012725</x:t>
  </x:si>
  <x:si>
    <x:t>S012727</x:t>
  </x:si>
  <x:si>
    <x:t>57425/60D050RM</x:t>
  </x:si>
  <x:si>
    <x:t>S012735</x:t>
  </x:si>
  <x:si>
    <x:t>673910K040RM</x:t>
  </x:si>
  <x:si>
    <x:t>S012749</x:t>
  </x:si>
  <x:si>
    <x:t>47781.2-OK090</x:t>
  </x:si>
  <x:si>
    <x:t>S012755</x:t>
  </x:si>
  <x:si>
    <x:t>58991KK010RM</x:t>
  </x:si>
  <x:si>
    <x:t>S012757</x:t>
  </x:si>
  <x:si>
    <x:t>57468.9-KK010</x:t>
  </x:si>
  <x:si>
    <x:t>S012771</x:t>
  </x:si>
  <x:si>
    <x:t>YZA1865035-67147.8-0K020</x:t>
  </x:si>
  <x:si>
    <x:t>S012773</x:t>
  </x:si>
  <x:si>
    <x:t>YZA1865036-51112</x:t>
  </x:si>
  <x:si>
    <x:t>S012820</x:t>
  </x:si>
  <x:si>
    <x:t>53745.6-KK020-A</x:t>
  </x:si>
  <x:si>
    <x:t>S012825</x:t>
  </x:si>
  <x:si>
    <x:t>55741-KK010-A</x:t>
  </x:si>
  <x:si>
    <x:t>S012831</x:t>
  </x:si>
  <x:si>
    <x:t>422151-10250</x:t>
  </x:si>
  <x:si>
    <x:t>corolla</x:t>
  </x:si>
  <x:si>
    <x:t>S012837</x:t>
  </x:si>
  <x:si>
    <x:t>PYZA1861616RM -55339-KK010</x:t>
  </x:si>
  <x:si>
    <x:t>S012839</x:t>
  </x:si>
  <x:si>
    <x:t>PYZA1861617RM-55342-KK010</x:t>
  </x:si>
  <x:si>
    <x:t>S012845</x:t>
  </x:si>
  <x:si>
    <x:t>57451KK020RM</x:t>
  </x:si>
  <x:si>
    <x:t>S012849</x:t>
  </x:si>
  <x:si>
    <x:t>PYZA1861619RM-55365-KK010</x:t>
  </x:si>
  <x:si>
    <x:t>S012851</x:t>
  </x:si>
  <x:si>
    <x:t>PYZA1861620RM-55366-KK010</x:t>
  </x:si>
  <x:si>
    <x:t>S012863</x:t>
  </x:si>
  <x:si>
    <x:t>PYZA1861621RM</x:t>
  </x:si>
  <x:si>
    <x:t>S012864</x:t>
  </x:si>
  <x:si>
    <x:t>PYZA1861622RM</x:t>
  </x:si>
  <x:si>
    <x:t>S012866</x:t>
  </x:si>
  <x:si>
    <x:t>77273-KK010</x:t>
  </x:si>
  <x:si>
    <x:t>S012867</x:t>
  </x:si>
  <x:si>
    <x:t>82715-KK480</x:t>
  </x:si>
  <x:si>
    <x:t>S012889</x:t>
  </x:si>
  <x:si>
    <x:t>63141-0D060</x:t>
  </x:si>
  <x:si>
    <x:t>HB &amp; SDN</x:t>
  </x:si>
  <x:si>
    <x:t>S012891</x:t>
  </x:si>
  <x:si>
    <x:t>641150D030RM</x:t>
  </x:si>
  <x:si>
    <x:t>S012893</x:t>
  </x:si>
  <x:si>
    <x:t>63135-0D020</x:t>
  </x:si>
  <x:si>
    <x:t>S012895</x:t>
  </x:si>
  <x:si>
    <x:t>611310D080RM</x:t>
  </x:si>
  <x:si>
    <x:t>S012897</x:t>
  </x:si>
  <x:si>
    <x:t>612350K050RM</x:t>
  </x:si>
  <x:si>
    <x:t>S012901</x:t>
  </x:si>
  <x:si>
    <x:t>PYZA1030861RM</x:t>
  </x:si>
  <x:si>
    <x:t>S012909</x:t>
  </x:si>
  <x:si>
    <x:t>74412-0D010</x:t>
  </x:si>
  <x:si>
    <x:t>S012910</x:t>
  </x:si>
  <x:si>
    <x:t>YZA1863388-53711.2-IMV</x:t>
  </x:si>
  <x:si>
    <x:t>S012918</x:t>
  </x:si>
  <x:si>
    <x:t>6703006009.10  - 71167-47010</x:t>
  </x:si>
  <x:si>
    <x:t>FOR;COR</x:t>
  </x:si>
  <x:si>
    <x:t>S012920</x:t>
  </x:si>
  <x:si>
    <x:t>PYZA1480091RM-55121</x:t>
  </x:si>
  <x:si>
    <x:t>S012924</x:t>
  </x:si>
  <x:si>
    <x:t>PYZA1030860-55374-0D040</x:t>
  </x:si>
  <x:si>
    <x:t>com</x:t>
  </x:si>
  <x:si>
    <x:t>S012959</x:t>
  </x:si>
  <x:si>
    <x:t>6703006038-71363-X1C00-F</x:t>
  </x:si>
  <x:si>
    <x:t>S012963</x:t>
  </x:si>
  <x:si>
    <x:t>611470K040RM</x:t>
  </x:si>
  <x:si>
    <x:t>S012969</x:t>
  </x:si>
  <x:si>
    <x:t>67361-0K020</x:t>
  </x:si>
  <x:si>
    <x:t>S012973</x:t>
  </x:si>
  <x:si>
    <x:t>61639-0K070</x:t>
  </x:si>
  <x:si>
    <x:t>S012979</x:t>
  </x:si>
  <x:si>
    <x:t>61739-0K070</x:t>
  </x:si>
  <x:si>
    <x:t>S012981</x:t>
  </x:si>
  <x:si>
    <x:t>YZA1862563</x:t>
  </x:si>
  <x:si>
    <x:t>S012986</x:t>
  </x:si>
  <x:si>
    <x:t>61197.8-0k020</x:t>
  </x:si>
  <x:si>
    <x:t>S012996</x:t>
  </x:si>
  <x:si>
    <x:t>58377-0D010</x:t>
  </x:si>
  <x:si>
    <x:t>HB</x:t>
  </x:si>
  <x:si>
    <x:t>S013038</x:t>
  </x:si>
  <x:si>
    <x:t>51591-KK010-A</x:t>
  </x:si>
  <x:si>
    <x:t>S013075</x:t>
  </x:si>
  <x:si>
    <x:t>53211.2-0K030</x:t>
  </x:si>
  <x:si>
    <x:t>S013077</x:t>
  </x:si>
  <x:si>
    <x:t>53211.2-0K040</x:t>
  </x:si>
  <x:si>
    <x:t>S013080</x:t>
  </x:si>
  <x:si>
    <x:t>53217</x:t>
  </x:si>
  <x:si>
    <x:t>S013132</x:t>
  </x:si>
  <x:si>
    <x:t>YZA1410260 - 17361-0N041-A</x:t>
  </x:si>
  <x:si>
    <x:t>S013148</x:t>
  </x:si>
  <x:si>
    <x:t>S013149</x:t>
  </x:si>
  <x:si>
    <x:t>X0614A20</x:t>
  </x:si>
  <x:si>
    <x:t>S013179</x:t>
  </x:si>
  <x:si>
    <x:t>51165.6-KK020-A-650A</x:t>
  </x:si>
  <x:si>
    <x:t>S013201</x:t>
  </x:si>
  <x:si>
    <x:t>PYZA1861890RM - 55319-KK020</x:t>
  </x:si>
  <x:si>
    <x:t>S013217</x:t>
  </x:si>
  <x:si>
    <x:t>67127</x:t>
  </x:si>
  <x:si>
    <x:t>IMV-SP</x:t>
  </x:si>
  <x:si>
    <x:t>S013219</x:t>
  </x:si>
  <x:si>
    <x:t>67125.6-0K050   YZA1860832</x:t>
  </x:si>
  <x:si>
    <x:t>S013233</x:t>
  </x:si>
  <x:si>
    <x:t>S013236</x:t>
  </x:si>
  <x:si>
    <x:t>S013237</x:t>
  </x:si>
  <x:si>
    <x:t>S013238</x:t>
  </x:si>
  <x:si>
    <x:t>67337-KK030-A</x:t>
  </x:si>
  <x:si>
    <x:t>S013239</x:t>
  </x:si>
  <x:si>
    <x:t>S013240</x:t>
  </x:si>
  <x:si>
    <x:t>48832/3-KK020/40</x:t>
  </x:si>
  <x:si>
    <x:t>S013242</x:t>
  </x:si>
  <x:si>
    <x:t>S013255</x:t>
  </x:si>
  <x:si>
    <x:t>55183-0D240RM</x:t>
  </x:si>
  <x:si>
    <x:t>S013270</x:t>
  </x:si>
  <x:si>
    <x:t>82715-ODP40</x:t>
  </x:si>
  <x:si>
    <x:t>S013278</x:t>
  </x:si>
  <x:si>
    <x:t>51521-0K010</x:t>
  </x:si>
  <x:si>
    <x:t>S013280</x:t>
  </x:si>
  <x:si>
    <x:t>51251-OKO30</x:t>
  </x:si>
  <x:si>
    <x:t>S013282</x:t>
  </x:si>
  <x:si>
    <x:t>JEC270ENN</x:t>
  </x:si>
  <x:si>
    <x:t>20/0</x:t>
  </x:si>
  <x:si>
    <x:t>K-67 PLATE  BOTTOM</x:t>
  </x:si>
  <x:si>
    <x:t>HONDA</x:t>
  </x:si>
  <x:si>
    <x:t>S013285</x:t>
  </x:si>
  <x:si>
    <x:t>CSC</x:t>
  </x:si>
  <x:si>
    <x:t>CH1751Z-E</x:t>
  </x:si>
  <x:si>
    <x:t>KTEM PLATE BOTTOM</x:t>
  </x:si>
  <x:si>
    <x:t>S013286</x:t>
  </x:si>
  <x:si>
    <x:t>0/20</x:t>
  </x:si>
  <x:si>
    <x:t>KTEM OUTER R/L</x:t>
  </x:si>
  <x:si>
    <x:t>S013290</x:t>
  </x:si>
  <x:si>
    <x:t>YZA1470341</x:t>
  </x:si>
  <x:si>
    <x:t>S013335</x:t>
  </x:si>
  <x:si>
    <x:t>51228.9-0D040</x:t>
  </x:si>
  <x:si>
    <x:t>S013338</x:t>
  </x:si>
  <x:si>
    <x:t>YZA1865108-57111.2-COM</x:t>
  </x:si>
  <x:si>
    <x:t>S013377</x:t>
  </x:si>
  <x:si>
    <x:t>YZA1863374- 51116.26</x:t>
  </x:si>
  <x:si>
    <x:t>IMV SER</x:t>
  </x:si>
  <x:si>
    <x:t>S013379</x:t>
  </x:si>
  <x:si>
    <x:t>YZA1865099 -TKM-SER-48621</x:t>
  </x:si>
  <x:si>
    <x:t>S013398</x:t>
  </x:si>
  <x:si>
    <x:t>613710K040RM</x:t>
  </x:si>
  <x:si>
    <x:t>S013401</x:t>
  </x:si>
  <x:si>
    <x:t>57551KK010RM</x:t>
  </x:si>
  <x:si>
    <x:t>S013404</x:t>
  </x:si>
  <x:si>
    <x:t>631350K050RM</x:t>
  </x:si>
  <x:si>
    <x:t>S013423</x:t>
  </x:si>
  <x:si>
    <x:t>51211KK010RM</x:t>
  </x:si>
  <x:si>
    <x:t>S013438</x:t>
  </x:si>
  <x:si>
    <x:t>571130D120RM</x:t>
  </x:si>
  <x:si>
    <x:t>S013479</x:t>
  </x:si>
  <x:si>
    <x:t>S013490</x:t>
  </x:si>
  <x:si>
    <x:t>47351-0D130</x:t>
  </x:si>
  <x:si>
    <x:t>S013495</x:t>
  </x:si>
  <x:si>
    <x:t>CR2 D</x:t>
  </x:si>
  <x:si>
    <x:t>MSHZ12000125003B</x:t>
  </x:si>
  <x:si>
    <x:t>S013524</x:t>
  </x:si>
  <x:si>
    <x:t>55712-0K060</x:t>
  </x:si>
  <x:si>
    <x:t>S013529</x:t>
  </x:si>
  <x:si>
    <x:t>YZA1865167-53321-K0030-231B</x:t>
  </x:si>
  <x:si>
    <x:t>231B</x:t>
  </x:si>
  <x:si>
    <x:t>S013546</x:t>
  </x:si>
  <x:si>
    <x:t>YZA1865130-61632-32AA</x:t>
  </x:si>
  <x:si>
    <x:t>S013553</x:t>
  </x:si>
  <x:si>
    <x:t>68945.6-0K070</x:t>
  </x:si>
  <x:si>
    <x:t>S013562</x:t>
  </x:si>
  <x:si>
    <x:t>YZA1865131- 61631-IMV SER</x:t>
  </x:si>
  <x:si>
    <x:t>S013566</x:t>
  </x:si>
  <x:si>
    <x:t>SCGA340BH-O</x:t>
  </x:si>
  <x:si>
    <x:t>YZA1865169-53311-K0030-231B</x:t>
  </x:si>
  <x:si>
    <x:t>S013592</x:t>
  </x:si>
  <x:si>
    <x:t>SCGA590DU</x:t>
  </x:si>
  <x:si>
    <x:t>61345KK010RM1</x:t>
  </x:si>
  <x:si>
    <x:t>S013593</x:t>
  </x:si>
  <x:si>
    <x:t>53743KK020RM1</x:t>
  </x:si>
  <x:si>
    <x:t>S013595</x:t>
  </x:si>
  <x:si>
    <x:t>58314KK010RM1</x:t>
  </x:si>
  <x:si>
    <x:t>S013596</x:t>
  </x:si>
  <x:si>
    <x:t>671250K070RM1</x:t>
  </x:si>
  <x:si>
    <x:t>S013598</x:t>
  </x:si>
  <x:si>
    <x:t>57553KK010RM1</x:t>
  </x:si>
  <x:si>
    <x:t>S013599</x:t>
  </x:si>
  <x:si>
    <x:t>YZA1863364 - 67149-IMV</x:t>
  </x:si>
  <x:si>
    <x:t>SER</x:t>
  </x:si>
  <x:si>
    <x:t>S013600</x:t>
  </x:si>
  <x:si>
    <x:t>S013614</x:t>
  </x:si>
  <x:si>
    <x:t>613730D120RM</x:t>
  </x:si>
  <x:si>
    <x:t>S013628</x:t>
  </x:si>
  <x:si>
    <x:t>614180D140RM</x:t>
  </x:si>
  <x:si>
    <x:t>S013647</x:t>
  </x:si>
  <x:si>
    <x:t>S013664</x:t>
  </x:si>
  <x:si>
    <x:t>58223KK010RM</x:t>
  </x:si>
  <x:si>
    <x:t>S013666</x:t>
  </x:si>
  <x:si>
    <x:t>YZA1863466-57413.4-801L</x:t>
  </x:si>
  <x:si>
    <x:t>801L</x:t>
  </x:si>
  <x:si>
    <x:t>S013667</x:t>
  </x:si>
  <x:si>
    <x:t>SCGA270DX-O</x:t>
  </x:si>
  <x:si>
    <x:t>45V</x:t>
  </x:si>
  <x:si>
    <x:t>YZA1865177-67141.2-K0020-231B</x:t>
  </x:si>
  <x:si>
    <x:t>S013668</x:t>
  </x:si>
  <x:si>
    <x:t>YZA1865178-67143.4-K0030-231B</x:t>
  </x:si>
  <x:si>
    <x:t>S013711</x:t>
  </x:si>
  <x:si>
    <x:t>48691-KK010</x:t>
  </x:si>
  <x:si>
    <x:t>S013714</x:t>
  </x:si>
  <x:si>
    <x:t>61233KK010RM</x:t>
  </x:si>
  <x:si>
    <x:t>SERV PART</x:t>
  </x:si>
  <x:si>
    <x:t>S013719</x:t>
  </x:si>
  <x:si>
    <x:t>55421-0D270-01</x:t>
  </x:si>
  <x:si>
    <x:t>S013735</x:t>
  </x:si>
  <x:si>
    <x:t>5538D-0D080-01</x:t>
  </x:si>
  <x:si>
    <x:t>S013746</x:t>
  </x:si>
  <x:si>
    <x:t>55123-0D200-01</x:t>
  </x:si>
  <x:si>
    <x:t>S013748</x:t>
  </x:si>
  <x:si>
    <x:t>55125-0D230</x:t>
  </x:si>
  <x:si>
    <x:t>S013750</x:t>
  </x:si>
  <x:si>
    <x:t>55353-0D080</x:t>
  </x:si>
  <x:si>
    <x:t>S013764</x:t>
  </x:si>
  <x:si>
    <x:t>6703006236-72113/4-XA00-B/A</x:t>
  </x:si>
  <x:si>
    <x:t>S013772</x:t>
  </x:si>
  <x:si>
    <x:t>58115KK030RM</x:t>
  </x:si>
  <x:si>
    <x:t>S013797</x:t>
  </x:si>
  <x:si>
    <x:t>58115KK010RM</x:t>
  </x:si>
  <x:si>
    <x:t>S013830</x:t>
  </x:si>
  <x:si>
    <x:t>S013835</x:t>
  </x:si>
  <x:si>
    <x:t>58171KK010RM</x:t>
  </x:si>
  <x:si>
    <x:t>S013843</x:t>
  </x:si>
  <x:si>
    <x:t>74481-0D230</x:t>
  </x:si>
  <x:si>
    <x:t>S013845</x:t>
  </x:si>
  <x:si>
    <x:t>51252KK020RM1</x:t>
  </x:si>
  <x:si>
    <x:t>S013847</x:t>
  </x:si>
  <x:si>
    <x:t>57213KK010RM</x:t>
  </x:si>
  <x:si>
    <x:t>S013849</x:t>
  </x:si>
  <x:si>
    <x:t>51212KK010RM1</x:t>
  </x:si>
  <x:si>
    <x:t>S013851</x:t>
  </x:si>
  <x:si>
    <x:t>57161KK010RM1</x:t>
  </x:si>
  <x:si>
    <x:t>S013860</x:t>
  </x:si>
  <x:si>
    <x:t>51157.5-0K010</x:t>
  </x:si>
  <x:si>
    <x:t>S013870</x:t>
  </x:si>
  <x:si>
    <x:t>6703006093-72517/8-X1704</x:t>
  </x:si>
  <x:si>
    <x:t>S013876</x:t>
  </x:si>
  <x:si>
    <x:t>52131-0K010</x:t>
  </x:si>
  <x:si>
    <x:t>S013892</x:t>
  </x:si>
  <x:si>
    <x:t>KT-003-1-3</x:t>
  </x:si>
  <x:si>
    <x:t>S013918</x:t>
  </x:si>
  <x:si>
    <x:t>55131-0D070</x:t>
  </x:si>
  <x:si>
    <x:t>S013930</x:t>
  </x:si>
  <x:si>
    <x:t>61517.8-0D180/190</x:t>
  </x:si>
  <x:si>
    <x:t>S013950</x:t>
  </x:si>
  <x:si>
    <x:t>48824-0D090</x:t>
  </x:si>
  <x:si>
    <x:t>S013954</x:t>
  </x:si>
  <x:si>
    <x:t>74413-0D180</x:t>
  </x:si>
  <x:si>
    <x:t>S013957</x:t>
  </x:si>
  <x:si>
    <x:t>67323.4-0D180/150</x:t>
  </x:si>
  <x:si>
    <x:t>S013973</x:t>
  </x:si>
  <x:si>
    <x:t>58791-0D100</x:t>
  </x:si>
  <x:si>
    <x:t>S014010</x:t>
  </x:si>
  <x:si>
    <x:t>57645.6-0D090RM</x:t>
  </x:si>
  <x:si>
    <x:t>S014011</x:t>
  </x:si>
  <x:si>
    <x:t>74414-0D190</x:t>
  </x:si>
  <x:si>
    <x:t>S014020</x:t>
  </x:si>
  <x:si>
    <x:t>73719-0D080</x:t>
  </x:si>
  <x:si>
    <x:t>S014025</x:t>
  </x:si>
  <x:si>
    <x:t>74485-0D160</x:t>
  </x:si>
  <x:si>
    <x:t>S014028</x:t>
  </x:si>
  <x:si>
    <x:t>64243.4-0D040</x:t>
  </x:si>
  <x:si>
    <x:t>`231B</x:t>
  </x:si>
  <x:si>
    <x:t>S014029</x:t>
  </x:si>
  <x:si>
    <x:t>S014031</x:t>
  </x:si>
  <x:si>
    <x:t>58172-0D040</x:t>
  </x:si>
  <x:si>
    <x:t>S014045</x:t>
  </x:si>
  <x:si>
    <x:t>53721.2-0D100/80RM</x:t>
  </x:si>
  <x:si>
    <x:t>S014054</x:t>
  </x:si>
  <x:si>
    <x:t>641110D160RM</x:t>
  </x:si>
  <x:si>
    <x:t>S014058</x:t>
  </x:si>
  <x:si>
    <x:t>61725-0D250RM</x:t>
  </x:si>
  <x:si>
    <x:t>S014062</x:t>
  </x:si>
  <x:si>
    <x:t>537340D040RM</x:t>
  </x:si>
  <x:si>
    <x:t>S014070</x:t>
  </x:si>
  <x:si>
    <x:t>57683.4-0D150/100</x:t>
  </x:si>
  <x:si>
    <x:t>S014084</x:t>
  </x:si>
  <x:si>
    <x:t>53225-0K030</x:t>
  </x:si>
  <x:si>
    <x:t>S014087</x:t>
  </x:si>
  <x:si>
    <x:t>57831-0D120</x:t>
  </x:si>
  <x:si>
    <x:t>S014089</x:t>
  </x:si>
  <x:si>
    <x:t>614510D040RM</x:t>
  </x:si>
  <x:si>
    <x:t>S014093</x:t>
  </x:si>
  <x:si>
    <x:t>51727-0K010</x:t>
  </x:si>
  <x:si>
    <x:t>S014095</x:t>
  </x:si>
  <x:si>
    <x:t>415431-12950</x:t>
  </x:si>
  <x:si>
    <x:t>S014104</x:t>
  </x:si>
  <x:si>
    <x:t>67391-0D030</x:t>
  </x:si>
  <x:si>
    <x:t>S014106</x:t>
  </x:si>
  <x:si>
    <x:t>631250K020RM1</x:t>
  </x:si>
  <x:si>
    <x:t>S014113</x:t>
  </x:si>
  <x:si>
    <x:t>S014117</x:t>
  </x:si>
  <x:si>
    <x:t>YZA1863364-67149-IMV</x:t>
  </x:si>
  <x:si>
    <x:t>S014121</x:t>
  </x:si>
  <x:si>
    <x:t>58171-KK010-T1RM</x:t>
  </x:si>
  <x:si>
    <x:t>S014134</x:t>
  </x:si>
  <x:si>
    <x:t>6703006266-71362-X1V02</x:t>
  </x:si>
  <x:si>
    <x:t>S014139</x:t>
  </x:si>
  <x:si>
    <x:t>42167-KK040</x:t>
  </x:si>
  <x:si>
    <x:t>S014141</x:t>
  </x:si>
  <x:si>
    <x:t>SPC270F</x:t>
  </x:si>
  <x:si>
    <x:t>YZA1120185</x:t>
  </x:si>
  <x:si>
    <x:t>S014142</x:t>
  </x:si>
  <x:si>
    <x:t>YZA1120186</x:t>
  </x:si>
  <x:si>
    <x:t>S014144</x:t>
  </x:si>
  <x:si>
    <x:t>551810D260RM</x:t>
  </x:si>
  <x:si>
    <x:t>S014146</x:t>
  </x:si>
  <x:si>
    <x:t>551880D200RM</x:t>
  </x:si>
  <x:si>
    <x:t>S014148</x:t>
  </x:si>
  <x:si>
    <x:t>63139KK020RM</x:t>
  </x:si>
  <x:si>
    <x:t>S014182</x:t>
  </x:si>
  <x:si>
    <x:t>451621-10870 / 451622-10590</x:t>
  </x:si>
  <x:si>
    <x:t>S014184</x:t>
  </x:si>
  <x:si>
    <x:t>17568-OY020</x:t>
  </x:si>
  <x:si>
    <x:t>S014188</x:t>
  </x:si>
  <x:si>
    <x:t>3512A-0K160</x:t>
  </x:si>
  <x:si>
    <x:t>S014192</x:t>
  </x:si>
  <x:si>
    <x:t>61177KK010RM</x:t>
  </x:si>
  <x:si>
    <x:t>S014208</x:t>
  </x:si>
  <x:si>
    <x:t>63175KK010RM</x:t>
  </x:si>
  <x:si>
    <x:t>S014210</x:t>
  </x:si>
  <x:si>
    <x:t>63147KK010RM</x:t>
  </x:si>
  <x:si>
    <x:t>S014216</x:t>
  </x:si>
  <x:si>
    <x:t>63126KK010RM</x:t>
  </x:si>
  <x:si>
    <x:t>S014218</x:t>
  </x:si>
  <x:si>
    <x:t>61163KK010RM</x:t>
  </x:si>
  <x:si>
    <x:t>S014224</x:t>
  </x:si>
  <x:si>
    <x:t>61373KK010RM</x:t>
  </x:si>
  <x:si>
    <x:t>S014226</x:t>
  </x:si>
  <x:si>
    <x:t>PYZA55325-KK010RM</x:t>
  </x:si>
  <x:si>
    <x:t>S014229</x:t>
  </x:si>
  <x:si>
    <x:t>PYZA55339-KK030RM</x:t>
  </x:si>
  <x:si>
    <x:t>S014231</x:t>
  </x:si>
  <x:si>
    <x:t>PYZA55343-KK010RM</x:t>
  </x:si>
  <x:si>
    <x:t>S014233</x:t>
  </x:si>
  <x:si>
    <x:t>PYZA55357-KK070RM</x:t>
  </x:si>
  <x:si>
    <x:t>S014244</x:t>
  </x:si>
  <x:si>
    <x:t>YZA1863385-61621.2</x:t>
  </x:si>
  <x:si>
    <x:t>S014249</x:t>
  </x:si>
  <x:si>
    <x:t>48755-0D220</x:t>
  </x:si>
  <x:si>
    <x:t>S014262</x:t>
  </x:si>
  <x:si>
    <x:t>PYZA55387-KK010RM</x:t>
  </x:si>
  <x:si>
    <x:t>S014264</x:t>
  </x:si>
  <x:si>
    <x:t>PYZA55328-KK030RM-55328-KK030</x:t>
  </x:si>
  <x:si>
    <x:t>S014266</x:t>
  </x:si>
  <x:si>
    <x:t>PYZA55329-KK030RM</x:t>
  </x:si>
  <x:si>
    <x:t>S014268</x:t>
  </x:si>
  <x:si>
    <x:t>PYZA55342-KK020RM</x:t>
  </x:si>
  <x:si>
    <x:t>S014270</x:t>
  </x:si>
  <x:si>
    <x:t>S014273</x:t>
  </x:si>
  <x:si>
    <x:t>PYZA55347-KK050RM-55347-KK050</x:t>
  </x:si>
  <x:si>
    <x:t>S014275</x:t>
  </x:si>
  <x:si>
    <x:t>PYZA55348-KK050RM-55348-KK050</x:t>
  </x:si>
  <x:si>
    <x:t>S014279</x:t>
  </x:si>
  <x:si>
    <x:t>PYZA55381-KK030RM-55381-KK030</x:t>
  </x:si>
  <x:si>
    <x:t>S014283</x:t>
  </x:si>
  <x:si>
    <x:t>PYZA55324-KK020RM</x:t>
  </x:si>
  <x:si>
    <x:t>S014295</x:t>
  </x:si>
  <x:si>
    <x:t>55368-KK040</x:t>
  </x:si>
  <x:si>
    <x:t>S014298</x:t>
  </x:si>
  <x:si>
    <x:t>58791-0K090-B</x:t>
  </x:si>
  <x:si>
    <x:t>S014308</x:t>
  </x:si>
  <x:si>
    <x:t>61126-KK010</x:t>
  </x:si>
  <x:si>
    <x:t>S014310</x:t>
  </x:si>
  <x:si>
    <x:t>S014325</x:t>
  </x:si>
  <x:si>
    <x:t>61777.8-KK010</x:t>
  </x:si>
  <x:si>
    <x:t>S014336</x:t>
  </x:si>
  <x:si>
    <x:t>63149-KK030</x:t>
  </x:si>
  <x:si>
    <x:t>S014338</x:t>
  </x:si>
  <x:si>
    <x:t>67177.8-KK020</x:t>
  </x:si>
  <x:si>
    <x:t>S014346</x:t>
  </x:si>
  <x:si>
    <x:t>S014430</x:t>
  </x:si>
  <x:si>
    <x:t>S014435</x:t>
  </x:si>
  <x:si>
    <x:t>46341-0K030</x:t>
  </x:si>
  <x:si>
    <x:t>S014437</x:t>
  </x:si>
  <x:si>
    <x:t>51563.4-KK060-B</x:t>
  </x:si>
  <x:si>
    <x:t>S014440</x:t>
  </x:si>
  <x:si>
    <x:t>51441-KK010</x:t>
  </x:si>
  <x:si>
    <x:t>S014443</x:t>
  </x:si>
  <x:si>
    <x:t>63145-KK010</x:t>
  </x:si>
  <x:si>
    <x:t>S014450</x:t>
  </x:si>
  <x:si>
    <x:t>313150D450RM</x:t>
  </x:si>
  <x:si>
    <x:t>S014452</x:t>
  </x:si>
  <x:si>
    <x:t>51217.8 -KK020-A</x:t>
  </x:si>
  <x:si>
    <x:t>S014454</x:t>
  </x:si>
  <x:si>
    <x:t>51535.6-KK010-A</x:t>
  </x:si>
  <x:si>
    <x:t>S014459</x:t>
  </x:si>
  <x:si>
    <x:t>48733-0K010</x:t>
  </x:si>
  <x:si>
    <x:t>S014463</x:t>
  </x:si>
  <x:si>
    <x:t>53323-KK010-A-650A</x:t>
  </x:si>
  <x:si>
    <x:t>S014467</x:t>
  </x:si>
  <x:si>
    <x:t>51215-0K010-A</x:t>
  </x:si>
  <x:si>
    <x:t>S014471</x:t>
  </x:si>
  <x:si>
    <x:t>67121.2-KK010</x:t>
  </x:si>
  <x:si>
    <x:t>S014477</x:t>
  </x:si>
  <x:si>
    <x:t>82715-0DX90</x:t>
  </x:si>
  <x:si>
    <x:t>S014483</x:t>
  </x:si>
  <x:si>
    <x:t>53218-0K070</x:t>
  </x:si>
  <x:si>
    <x:t>S014487</x:t>
  </x:si>
  <x:si>
    <x:t>53328-KK020</x:t>
  </x:si>
  <x:si>
    <x:t>S014491</x:t>
  </x:si>
  <x:si>
    <x:t>51232-0K0100</x:t>
  </x:si>
  <x:si>
    <x:t>S014495</x:t>
  </x:si>
  <x:si>
    <x:t>53223.4-0K040</x:t>
  </x:si>
  <x:si>
    <x:t>S014504</x:t>
  </x:si>
  <x:si>
    <x:t>617660D020RM</x:t>
  </x:si>
  <x:si>
    <x:t>S014513</x:t>
  </x:si>
  <x:si>
    <x:t>5538E-0D080-01</x:t>
  </x:si>
  <x:si>
    <x:t>S014518</x:t>
  </x:si>
  <x:si>
    <x:t>55323-0D230</x:t>
  </x:si>
  <x:si>
    <x:t>S014527</x:t>
  </x:si>
  <x:si>
    <x:t>51533.4-KK010-A</x:t>
  </x:si>
  <x:si>
    <x:t>S014528</x:t>
  </x:si>
  <x:si>
    <x:t>660a &amp;650a</x:t>
  </x:si>
  <x:si>
    <x:t>S014529</x:t>
  </x:si>
  <x:si>
    <x:t>51215.6-0K010-A</x:t>
  </x:si>
  <x:si>
    <x:t>660a</x:t>
  </x:si>
  <x:si>
    <x:t>S014530</x:t>
  </x:si>
  <x:si>
    <x:t>YZA1865127-61121/2-IMV</x:t>
  </x:si>
  <x:si>
    <x:t>S014531</x:t>
  </x:si>
  <x:si>
    <x:t>S014534</x:t>
  </x:si>
  <x:si>
    <x:t>YZA1863465-57413/4-0D070-800L</x:t>
  </x:si>
  <x:si>
    <x:t>S014546</x:t>
  </x:si>
  <x:si>
    <x:t>57688-0K020</x:t>
  </x:si>
  <x:si>
    <x:t>S014549</x:t>
  </x:si>
  <x:si>
    <x:t>51545-0K010</x:t>
  </x:si>
  <x:si>
    <x:t>S014552</x:t>
  </x:si>
  <x:si>
    <x:t>YZA1865092-42111</x:t>
  </x:si>
  <x:si>
    <x:t>S014557</x:t>
  </x:si>
  <x:si>
    <x:t>47781-0D100</x:t>
  </x:si>
  <x:si>
    <x:t>S014565</x:t>
  </x:si>
  <x:si>
    <x:t>YZA1865151-61161.2</x:t>
  </x:si>
  <x:si>
    <x:t>QUALI SERV</x:t>
  </x:si>
  <x:si>
    <x:t>S014575</x:t>
  </x:si>
  <x:si>
    <x:t>S014577</x:t>
  </x:si>
  <x:si>
    <x:t>415421-10480-B</x:t>
  </x:si>
  <x:si>
    <x:t>S014584</x:t>
  </x:si>
  <x:si>
    <x:t>614230D180RM</x:t>
  </x:si>
  <x:si>
    <x:t>S014593</x:t>
  </x:si>
  <x:si>
    <x:t>51568-KK050A</x:t>
  </x:si>
  <x:si>
    <x:t>S014598</x:t>
  </x:si>
  <x:si>
    <x:t>GA241-05590</x:t>
  </x:si>
  <x:si>
    <x:t>S014620</x:t>
  </x:si>
  <x:si>
    <x:t>31311-KK010</x:t>
  </x:si>
  <x:si>
    <x:t>660A&amp;650A</x:t>
  </x:si>
  <x:si>
    <x:t>S014640</x:t>
  </x:si>
  <x:si>
    <x:t>77617-KK020</x:t>
  </x:si>
  <x:si>
    <x:t>S014643</x:t>
  </x:si>
  <x:si>
    <x:t>57421.2-0D080</x:t>
  </x:si>
  <x:si>
    <x:t>S014648</x:t>
  </x:si>
  <x:si>
    <x:t>42163-KK010</x:t>
  </x:si>
  <x:si>
    <x:t>S014650</x:t>
  </x:si>
  <x:si>
    <x:t>51331-KK010</x:t>
  </x:si>
  <x:si>
    <x:t>S014663</x:t>
  </x:si>
  <x:si>
    <x:t>YZA1863374-51116.26</x:t>
  </x:si>
  <x:si>
    <x:t>SERVICE PA</x:t>
  </x:si>
  <x:si>
    <x:t>S014665</x:t>
  </x:si>
  <x:si>
    <x:t>SPH440</x:t>
  </x:si>
  <x:si>
    <x:t>47111-KK030-B</x:t>
  </x:si>
  <x:si>
    <x:t>S014666</x:t>
  </x:si>
  <x:si>
    <x:t>47111-KK010-B</x:t>
  </x:si>
  <x:si>
    <x:t>S014673</x:t>
  </x:si>
  <x:si>
    <x:t>31233-OK020-SERVICE PART</x:t>
  </x:si>
  <x:si>
    <x:t>S014700</x:t>
  </x:si>
  <x:si>
    <x:t>YZA1865165-48611.2-Qualis Service Part</x:t>
  </x:si>
  <x:si>
    <x:t>Qualis</x:t>
  </x:si>
  <x:si>
    <x:t>S014703</x:t>
  </x:si>
  <x:si>
    <x:t>S014707</x:t>
  </x:si>
  <x:si>
    <x:t>51512-0K010</x:t>
  </x:si>
  <x:si>
    <x:t>Ser Part</x:t>
  </x:si>
  <x:si>
    <x:t>S014709</x:t>
  </x:si>
  <x:si>
    <x:t>51242-0K010</x:t>
  </x:si>
  <x:si>
    <x:t>S014710</x:t>
  </x:si>
  <x:si>
    <x:t>51547.8-0K010</x:t>
  </x:si>
  <x:si>
    <x:t>S014716</x:t>
  </x:si>
  <x:si>
    <x:t>57611-0K010</x:t>
  </x:si>
  <x:si>
    <x:t>S014721</x:t>
  </x:si>
  <x:si>
    <x:t>58351-0D060</x:t>
  </x:si>
  <x:si>
    <x:t>S014725</x:t>
  </x:si>
  <x:si>
    <x:t>58384-0D070</x:t>
  </x:si>
  <x:si>
    <x:t>S014727</x:t>
  </x:si>
  <x:si>
    <x:t>574190D060RM</x:t>
  </x:si>
  <x:si>
    <x:t>S014733</x:t>
  </x:si>
  <x:si>
    <x:t>67167.8-0D070/40</x:t>
  </x:si>
  <x:si>
    <x:t>S014734</x:t>
  </x:si>
  <x:si>
    <x:t>577710D060RM</x:t>
  </x:si>
  <x:si>
    <x:t>S014742</x:t>
  </x:si>
  <x:si>
    <x:t>YZA1865170-53811-K0120/30-231B</x:t>
  </x:si>
  <x:si>
    <x:t>S014743</x:t>
  </x:si>
  <x:si>
    <x:t>YZA1865171-53812-K0110/20-231B</x:t>
  </x:si>
  <x:si>
    <x:t>S014745</x:t>
  </x:si>
  <x:si>
    <x:t>YZA1865216-67143.4-0K070-660A</x:t>
  </x:si>
  <x:si>
    <x:t>S014747</x:t>
  </x:si>
  <x:si>
    <x:t>YZA1865222-67143.4-650AL-SB</x:t>
  </x:si>
  <x:si>
    <x:t>S014752</x:t>
  </x:si>
  <x:si>
    <x:t>YZA1865219-61632-660A</x:t>
  </x:si>
  <x:si>
    <x:t>S014753</x:t>
  </x:si>
  <x:si>
    <x:t>YZA1865218-61631-660A</x:t>
  </x:si>
  <x:si>
    <x:t>S014754</x:t>
  </x:si>
  <x:si>
    <x:t>YZA1865217- 67149-660A-SB</x:t>
  </x:si>
  <x:si>
    <x:t>S014759</x:t>
  </x:si>
  <x:si>
    <x:t>61137/38-KK010</x:t>
  </x:si>
  <x:si>
    <x:t>S014764</x:t>
  </x:si>
  <x:si>
    <x:t>YZA1863412 - 67143.4 -IMV</x:t>
  </x:si>
  <x:si>
    <x:t>IMV serv</x:t>
  </x:si>
  <x:si>
    <x:t>S014765</x:t>
  </x:si>
  <x:si>
    <x:t>YZA1863411-67141.2-0K030-IMV</x:t>
  </x:si>
  <x:si>
    <x:t>IMV SERV</x:t>
  </x:si>
  <x:si>
    <x:t>S014768</x:t>
  </x:si>
  <x:si>
    <x:t>55122-0D370</x:t>
  </x:si>
  <x:si>
    <x:t>S014769</x:t>
  </x:si>
  <x:si>
    <x:t>55325-0D250</x:t>
  </x:si>
  <x:si>
    <x:t>S014770</x:t>
  </x:si>
  <x:si>
    <x:t>55366-0D260</x:t>
  </x:si>
  <x:si>
    <x:t>S014772</x:t>
  </x:si>
  <x:si>
    <x:t>55124-0D120-01</x:t>
  </x:si>
  <x:si>
    <x:t>S014773</x:t>
  </x:si>
  <x:si>
    <x:t>53322-0D020</x:t>
  </x:si>
  <x:si>
    <x:t>S014776</x:t>
  </x:si>
  <x:si>
    <x:t>64431-0D050</x:t>
  </x:si>
  <x:si>
    <x:t>SDN</x:t>
  </x:si>
  <x:si>
    <x:t>S014777</x:t>
  </x:si>
  <x:si>
    <x:t>74414-0D030</x:t>
  </x:si>
  <x:si>
    <x:t>650A&amp;660A</x:t>
  </x:si>
  <x:si>
    <x:t>S014797</x:t>
  </x:si>
  <x:si>
    <x:t>61969-19K010</x:t>
  </x:si>
  <x:si>
    <x:t>S014800</x:t>
  </x:si>
  <x:si>
    <x:t>63134-0D050</x:t>
  </x:si>
  <x:si>
    <x:t>S014806</x:t>
  </x:si>
  <x:si>
    <x:t>123130Y100RM</x:t>
  </x:si>
  <x:si>
    <x:t>S014808</x:t>
  </x:si>
  <x:si>
    <x:t>574230D050RM</x:t>
  </x:si>
  <x:si>
    <x:t>S014810</x:t>
  </x:si>
  <x:si>
    <x:t>574760D090RM</x:t>
  </x:si>
  <x:si>
    <x:t>S014815</x:t>
  </x:si>
  <x:si>
    <x:t>537330D040RM</x:t>
  </x:si>
  <x:si>
    <x:t>S014817</x:t>
  </x:si>
  <x:si>
    <x:t>532160D180RM</x:t>
  </x:si>
  <x:si>
    <x:t>S014824</x:t>
  </x:si>
  <x:si>
    <x:t>582740D040RM</x:t>
  </x:si>
  <x:si>
    <x:t>S014826</x:t>
  </x:si>
  <x:si>
    <x:t>611410D180RM</x:t>
  </x:si>
  <x:si>
    <x:t>S014831</x:t>
  </x:si>
  <x:si>
    <x:t>177710Y030RM</x:t>
  </x:si>
  <x:si>
    <x:t>S014833</x:t>
  </x:si>
  <x:si>
    <x:t>577350D170RM</x:t>
  </x:si>
  <x:si>
    <x:t>S014839</x:t>
  </x:si>
  <x:si>
    <x:t>471110D530RM</x:t>
  </x:si>
  <x:si>
    <x:t>S014843</x:t>
  </x:si>
  <x:si>
    <x:t>6703006119- 81126</x:t>
  </x:si>
  <x:si>
    <x:t>S014851</x:t>
  </x:si>
  <x:si>
    <x:t>S014855</x:t>
  </x:si>
  <x:si>
    <x:t>519630D180RM</x:t>
  </x:si>
  <x:si>
    <x:t>S014864</x:t>
  </x:si>
  <x:si>
    <x:t>58165-0D040</x:t>
  </x:si>
  <x:si>
    <x:t>S014868</x:t>
  </x:si>
  <x:si>
    <x:t>58136-0D040</x:t>
  </x:si>
  <x:si>
    <x:t>S014876</x:t>
  </x:si>
  <x:si>
    <x:t>42165-KK040</x:t>
  </x:si>
  <x:si>
    <x:t>S014882</x:t>
  </x:si>
  <x:si>
    <x:t>51518/9-0D060</x:t>
  </x:si>
  <x:si>
    <x:t>HB&amp;SD</x:t>
  </x:si>
  <x:si>
    <x:t>S014883</x:t>
  </x:si>
  <x:si>
    <x:t>42166-KK040</x:t>
  </x:si>
  <x:si>
    <x:t>S014888</x:t>
  </x:si>
  <x:si>
    <x:t>51711-0K010</x:t>
  </x:si>
  <x:si>
    <x:t>SER PART</x:t>
  </x:si>
  <x:si>
    <x:t>S014891</x:t>
  </x:si>
  <x:si>
    <x:t>YZA1865110-57611-800L</x:t>
  </x:si>
  <x:si>
    <x:t>S014892</x:t>
  </x:si>
  <x:si>
    <x:t>YZA1865112-57612-800L</x:t>
  </x:si>
  <x:si>
    <x:t>S014893</x:t>
  </x:si>
  <x:si>
    <x:t>SCGA270C-O</x:t>
  </x:si>
  <x:si>
    <x:t>YZA1865166-58111.2-0D120-231B</x:t>
  </x:si>
  <x:si>
    <x:t>S014894</x:t>
  </x:si>
  <x:si>
    <x:t>YZA1865168-58211-0D200-231B</x:t>
  </x:si>
  <x:si>
    <x:t>S014910</x:t>
  </x:si>
  <x:si>
    <x:t>PYZA1861613RM</x:t>
  </x:si>
  <x:si>
    <x:t>S014912</x:t>
  </x:si>
  <x:si>
    <x:t>68981/2-0K040</x:t>
  </x:si>
  <x:si>
    <x:t>S014914</x:t>
  </x:si>
  <x:si>
    <x:t>3512A-0K140</x:t>
  </x:si>
  <x:si>
    <x:t>S014916</x:t>
  </x:si>
  <x:si>
    <x:t>63169KK010RM</x:t>
  </x:si>
  <x:si>
    <x:t>S014918</x:t>
  </x:si>
  <x:si>
    <x:t>82715-ODP30</x:t>
  </x:si>
  <x:si>
    <x:t>S014921</x:t>
  </x:si>
  <x:si>
    <x:t>46451-0K050</x:t>
  </x:si>
  <x:si>
    <x:t>S014947</x:t>
  </x:si>
  <x:si>
    <x:t>613230K070RM</x:t>
  </x:si>
  <x:si>
    <x:t>S014960</x:t>
  </x:si>
  <x:si>
    <x:t>23941-0N010</x:t>
  </x:si>
  <x:si>
    <x:t>S014962</x:t>
  </x:si>
  <x:si>
    <x:t>53215-0K030</x:t>
  </x:si>
  <x:si>
    <x:t>S014967</x:t>
  </x:si>
  <x:si>
    <x:t>YZA1865174-63111-K0090.K0100-231B</x:t>
  </x:si>
  <x:si>
    <x:t>S014971</x:t>
  </x:si>
  <x:si>
    <x:t>58375-0D340</x:t>
  </x:si>
  <x:si>
    <x:t>S014972</x:t>
  </x:si>
  <x:si>
    <x:t>313110D250RM</x:t>
  </x:si>
  <x:si>
    <x:t>S014983</x:t>
  </x:si>
  <x:si>
    <x:t>58373-0D350</x:t>
  </x:si>
  <x:si>
    <x:t>S014989</x:t>
  </x:si>
  <x:si>
    <x:t>63132-0D240</x:t>
  </x:si>
  <x:si>
    <x:t>S014990</x:t>
  </x:si>
  <x:si>
    <x:t>58386-0D220</x:t>
  </x:si>
  <x:si>
    <x:t>S015006</x:t>
  </x:si>
  <x:si>
    <x:t>58384.5-0D360/290</x:t>
  </x:si>
  <x:si>
    <x:t>S015011</x:t>
  </x:si>
  <x:si>
    <x:t>53216-OK030</x:t>
  </x:si>
  <x:si>
    <x:t>S015013</x:t>
  </x:si>
  <x:si>
    <x:t>58371-0K020</x:t>
  </x:si>
  <x:si>
    <x:t>ser</x:t>
  </x:si>
  <x:si>
    <x:t>S015015</x:t>
  </x:si>
  <x:si>
    <x:t>55124-KK020</x:t>
  </x:si>
  <x:si>
    <x:t>S015019</x:t>
  </x:si>
  <x:si>
    <x:t>33124-0K020</x:t>
  </x:si>
  <x:si>
    <x:t>S015020</x:t>
  </x:si>
  <x:si>
    <x:t>61147-0K040RM</x:t>
  </x:si>
  <x:si>
    <x:t>S015025</x:t>
  </x:si>
  <x:si>
    <x:t>44591-0D350/360</x:t>
  </x:si>
  <x:si>
    <x:t>S015028</x:t>
  </x:si>
  <x:si>
    <x:t>12631-913YL</x:t>
  </x:si>
  <x:si>
    <x:t>S015031</x:t>
  </x:si>
  <x:si>
    <x:t>51223.4-0K010-C</x:t>
  </x:si>
  <x:si>
    <x:t>S015033</x:t>
  </x:si>
  <x:si>
    <x:t>57161-0K050</x:t>
  </x:si>
  <x:si>
    <x:t>S015035</x:t>
  </x:si>
  <x:si>
    <x:t>53213.4-0K050-00</x:t>
  </x:si>
  <x:si>
    <x:t>S015055</x:t>
  </x:si>
  <x:si>
    <x:t>67321.2-0D160/170</x:t>
  </x:si>
  <x:si>
    <x:t>S015057</x:t>
  </x:si>
  <x:si>
    <x:t>67325.6-0D140</x:t>
  </x:si>
  <x:si>
    <x:t>S015061</x:t>
  </x:si>
  <x:si>
    <x:t>58995-KK020-A</x:t>
  </x:si>
  <x:si>
    <x:t>S015062</x:t>
  </x:si>
  <x:si>
    <x:t>S015063</x:t>
  </x:si>
  <x:si>
    <x:t>58791-0K050</x:t>
  </x:si>
  <x:si>
    <x:t>S015064</x:t>
  </x:si>
  <x:si>
    <x:t>S015071</x:t>
  </x:si>
  <x:si>
    <x:t>31311-02190</x:t>
  </x:si>
  <x:si>
    <x:t>S015077</x:t>
  </x:si>
  <x:si>
    <x:t>S015083</x:t>
  </x:si>
  <x:si>
    <x:t>MSHZ12000125001F</x:t>
  </x:si>
  <x:si>
    <x:t>S015087</x:t>
  </x:si>
  <x:si>
    <x:t>S015097</x:t>
  </x:si>
  <x:si>
    <x:t>239210L190T1RM</x:t>
  </x:si>
  <x:si>
    <x:t>S015101</x:t>
  </x:si>
  <x:si>
    <x:t>S015111</x:t>
  </x:si>
  <x:si>
    <x:t>S015113</x:t>
  </x:si>
  <x:si>
    <x:t>S015123</x:t>
  </x:si>
  <x:si>
    <x:t>YZA1865132-53713.4</x:t>
  </x:si>
  <x:si>
    <x:t>IMV SERVI</x:t>
  </x:si>
  <x:si>
    <x:t>S015125</x:t>
  </x:si>
  <x:si>
    <x:t>612370K080RM</x:t>
  </x:si>
  <x:si>
    <x:t>S015130</x:t>
  </x:si>
  <x:si>
    <x:t>5538G-0D080-01</x:t>
  </x:si>
  <x:si>
    <x:t>S015132</x:t>
  </x:si>
  <x:si>
    <x:t>5538B-0D140</x:t>
  </x:si>
  <x:si>
    <x:t>S015135</x:t>
  </x:si>
  <x:si>
    <x:t>55339-0D320</x:t>
  </x:si>
  <x:si>
    <x:t>S015143</x:t>
  </x:si>
  <x:si>
    <x:t>55376.7-0D250</x:t>
  </x:si>
  <x:si>
    <x:t>S015145</x:t>
  </x:si>
  <x:si>
    <x:t>55329-0D430</x:t>
  </x:si>
  <x:si>
    <x:t>S015151</x:t>
  </x:si>
  <x:si>
    <x:t>55341-0D380</x:t>
  </x:si>
  <x:si>
    <x:t>S015157</x:t>
  </x:si>
  <x:si>
    <x:t>5538H-0D080</x:t>
  </x:si>
  <x:si>
    <x:t>S015159</x:t>
  </x:si>
  <x:si>
    <x:t>5538H-0D100</x:t>
  </x:si>
  <x:si>
    <x:t>S015172</x:t>
  </x:si>
  <x:si>
    <x:t>31314-02060</x:t>
  </x:si>
  <x:si>
    <x:t>S015189</x:t>
  </x:si>
  <x:si>
    <x:t>51215.6-KK010-A</x:t>
  </x:si>
  <x:si>
    <x:t>S015191</x:t>
  </x:si>
  <x:si>
    <x:t>58375.6-OK020</x:t>
  </x:si>
  <x:si>
    <x:t>S015201</x:t>
  </x:si>
  <x:si>
    <x:t>48728-KK020</x:t>
  </x:si>
  <x:si>
    <x:t>S015206</x:t>
  </x:si>
  <x:si>
    <x:t>YZA1865175-67111.2-K0030-231B</x:t>
  </x:si>
  <x:si>
    <x:t>S015219</x:t>
  </x:si>
  <x:si>
    <x:t>55183-KK010-B</x:t>
  </x:si>
  <x:si>
    <x:t>S015225</x:t>
  </x:si>
  <x:si>
    <x:t>3512A-0K150</x:t>
  </x:si>
  <x:si>
    <x:t>S015230</x:t>
  </x:si>
  <x:si>
    <x:t>55717.8-0K050RM</x:t>
  </x:si>
  <x:si>
    <x:t>S015232</x:t>
  </x:si>
  <x:si>
    <x:t>55157-KK010-B</x:t>
  </x:si>
  <x:si>
    <x:t>S015233</x:t>
  </x:si>
  <x:si>
    <x:t>64211.2-0D120</x:t>
  </x:si>
  <x:si>
    <x:t>S015235</x:t>
  </x:si>
  <x:si>
    <x:t>55741-0K050</x:t>
  </x:si>
  <x:si>
    <x:t>S015237</x:t>
  </x:si>
  <x:si>
    <x:t>55711-0K020</x:t>
  </x:si>
  <x:si>
    <x:t>S015241</x:t>
  </x:si>
  <x:si>
    <x:t>613270D110RM</x:t>
  </x:si>
  <x:si>
    <x:t>S015243</x:t>
  </x:si>
  <x:si>
    <x:t>42134-0K020</x:t>
  </x:si>
  <x:si>
    <x:t>S015246</x:t>
  </x:si>
  <x:si>
    <x:t>MSHZ11830125002C</x:t>
  </x:si>
  <x:si>
    <x:t>S015247</x:t>
  </x:si>
  <x:si>
    <x:t>61235KK010RM</x:t>
  </x:si>
  <x:si>
    <x:t>S015262</x:t>
  </x:si>
  <x:si>
    <x:t>51761-0K010</x:t>
  </x:si>
  <x:si>
    <x:t>S015264</x:t>
  </x:si>
  <x:si>
    <x:t>YZA1865162-63111-650A-RECTANGLE</x:t>
  </x:si>
  <x:si>
    <x:t>S015271</x:t>
  </x:si>
  <x:si>
    <x:t>53331-0D070</x:t>
  </x:si>
  <x:si>
    <x:t>S015276</x:t>
  </x:si>
  <x:si>
    <x:t>58993-0D050</x:t>
  </x:si>
  <x:si>
    <x:t>S015279</x:t>
  </x:si>
  <x:si>
    <x:t>55308-0D140</x:t>
  </x:si>
  <x:si>
    <x:t>S015281</x:t>
  </x:si>
  <x:si>
    <x:t>S015292</x:t>
  </x:si>
  <x:si>
    <x:t>YZA1865154 - 53812-328A</x:t>
  </x:si>
  <x:si>
    <x:t>S015293</x:t>
  </x:si>
  <x:si>
    <x:t>YZA1865153-53811-328A</x:t>
  </x:si>
  <x:si>
    <x:t>S015295</x:t>
  </x:si>
  <x:si>
    <x:t>576150D060RM</x:t>
  </x:si>
  <x:si>
    <x:t>S015310</x:t>
  </x:si>
  <x:si>
    <x:t>57665-0K020</x:t>
  </x:si>
  <x:si>
    <x:t>S015312</x:t>
  </x:si>
  <x:si>
    <x:t>45253-0K010</x:t>
  </x:si>
  <x:si>
    <x:t>SERV</x:t>
  </x:si>
  <x:si>
    <x:t>S015313</x:t>
  </x:si>
  <x:si>
    <x:t>S015320</x:t>
  </x:si>
  <x:si>
    <x:t>512170D060RM</x:t>
  </x:si>
  <x:si>
    <x:t>S015321</x:t>
  </x:si>
  <x:si>
    <x:t>61958-KK010</x:t>
  </x:si>
  <x:si>
    <x:t>S015325</x:t>
  </x:si>
  <x:si>
    <x:t>51334-OK010</x:t>
  </x:si>
  <x:si>
    <x:t>S015336</x:t>
  </x:si>
  <x:si>
    <x:t>45882-0D020</x:t>
  </x:si>
  <x:si>
    <x:t>S015342</x:t>
  </x:si>
  <x:si>
    <x:t>82715-0DZ00</x:t>
  </x:si>
  <x:si>
    <x:t>S015356</x:t>
  </x:si>
  <x:si>
    <x:t>51333-0K010</x:t>
  </x:si>
  <x:si>
    <x:t>S015357</x:t>
  </x:si>
  <x:si>
    <x:t>61121/2</x:t>
  </x:si>
  <x:si>
    <x:t>S015359</x:t>
  </x:si>
  <x:si>
    <x:t>47114-02070</x:t>
  </x:si>
  <x:si>
    <x:t>S015375</x:t>
  </x:si>
  <x:si>
    <x:t>239210L190T2RM1</x:t>
  </x:si>
  <x:si>
    <x:t>S015379</x:t>
  </x:si>
  <x:si>
    <x:t>S015380</x:t>
  </x:si>
  <x:si>
    <x:t>S015381</x:t>
  </x:si>
  <x:si>
    <x:t>51365-KK020-A</x:t>
  </x:si>
  <x:si>
    <x:t>S015398</x:t>
  </x:si>
  <x:si>
    <x:t>61733.4-0K010</x:t>
  </x:si>
  <x:si>
    <x:t>S015399</x:t>
  </x:si>
  <x:si>
    <x:t>S015400</x:t>
  </x:si>
  <x:si>
    <x:t>S015405</x:t>
  </x:si>
  <x:si>
    <x:t>57641-0K040</x:t>
  </x:si>
  <x:si>
    <x:t>S015408</x:t>
  </x:si>
  <x:si>
    <x:t>57635.6-0K020</x:t>
  </x:si>
  <x:si>
    <x:t>S015418</x:t>
  </x:si>
  <x:si>
    <x:t>51569-KK020-A-T2</x:t>
  </x:si>
  <x:si>
    <x:t>S015422</x:t>
  </x:si>
  <x:si>
    <x:t>55712-0K030</x:t>
  </x:si>
  <x:si>
    <x:t>S015424</x:t>
  </x:si>
  <x:si>
    <x:t>55745KK010RM</x:t>
  </x:si>
  <x:si>
    <x:t>S015426</x:t>
  </x:si>
  <x:si>
    <x:t>55747KK010RM</x:t>
  </x:si>
  <x:si>
    <x:t>S015427</x:t>
  </x:si>
  <x:si>
    <x:t>42191-KK050</x:t>
  </x:si>
  <x:si>
    <x:t>S015432</x:t>
  </x:si>
  <x:si>
    <x:t>51968-0K010-B</x:t>
  </x:si>
  <x:si>
    <x:t>S015433</x:t>
  </x:si>
  <x:si>
    <x:t>51265-0K010</x:t>
  </x:si>
  <x:si>
    <x:t>S015434</x:t>
  </x:si>
  <x:si>
    <x:t>51266-0K010</x:t>
  </x:si>
  <x:si>
    <x:t>S015442</x:t>
  </x:si>
  <x:si>
    <x:t>53236/9-0K020</x:t>
  </x:si>
  <x:si>
    <x:t>S015444</x:t>
  </x:si>
  <x:si>
    <x:t>61151.2-0K020</x:t>
  </x:si>
  <x:si>
    <x:t>S015448</x:t>
  </x:si>
  <x:si>
    <x:t>51341-0K010</x:t>
  </x:si>
  <x:si>
    <x:t>S015460</x:t>
  </x:si>
  <x:si>
    <x:t>53268-0K020-00</x:t>
  </x:si>
  <x:si>
    <x:t>S015470</x:t>
  </x:si>
  <x:si>
    <x:t>74481-0K050</x:t>
  </x:si>
  <x:si>
    <x:t>S015475</x:t>
  </x:si>
  <x:si>
    <x:t>YZA1865133-61745.6-OK010</x:t>
  </x:si>
  <x:si>
    <x:t>S015479</x:t>
  </x:si>
  <x:si>
    <x:t>36478-0K020</x:t>
  </x:si>
  <x:si>
    <x:t>S015489</x:t>
  </x:si>
  <x:si>
    <x:t>S015493</x:t>
  </x:si>
  <x:si>
    <x:t>51325.6-KK010</x:t>
  </x:si>
  <x:si>
    <x:t>S015499</x:t>
  </x:si>
  <x:si>
    <x:t>48304-0D260</x:t>
  </x:si>
  <x:si>
    <x:t>S015505</x:t>
  </x:si>
  <x:si>
    <x:t>51623/4-KK010-A</x:t>
  </x:si>
  <x:si>
    <x:t>S015510</x:t>
  </x:si>
  <x:si>
    <x:t>42162-KK060-A</x:t>
  </x:si>
  <x:si>
    <x:t>S015511</x:t>
  </x:si>
  <x:si>
    <x:t>PYZA55371-KK010RM</x:t>
  </x:si>
  <x:si>
    <x:t>S015512</x:t>
  </x:si>
  <x:si>
    <x:t>PYZA55386-KK020RM</x:t>
  </x:si>
  <x:si>
    <x:t>S015515</x:t>
  </x:si>
  <x:si>
    <x:t>S015520</x:t>
  </x:si>
  <x:si>
    <x:t>51621-0K010</x:t>
  </x:si>
  <x:si>
    <x:t>S015522</x:t>
  </x:si>
  <x:si>
    <x:t>51221-0K010</x:t>
  </x:si>
  <x:si>
    <x:t>S015525</x:t>
  </x:si>
  <x:si>
    <x:t>611470K060RM1</x:t>
  </x:si>
  <x:si>
    <x:t>S015526</x:t>
  </x:si>
  <x:si>
    <x:t>611710K020RM1</x:t>
  </x:si>
  <x:si>
    <x:t>S015530</x:t>
  </x:si>
  <x:si>
    <x:t>617670K020RM1</x:t>
  </x:si>
  <x:si>
    <x:t>S015531</x:t>
  </x:si>
  <x:si>
    <x:t>61117.8-0D090/100</x:t>
  </x:si>
  <x:si>
    <x:t>S015538</x:t>
  </x:si>
  <x:si>
    <x:t>58354.6-0K030/10</x:t>
  </x:si>
  <x:si>
    <x:t>S015545</x:t>
  </x:si>
  <x:si>
    <x:t>42167-0K010</x:t>
  </x:si>
  <x:si>
    <x:t>S015547</x:t>
  </x:si>
  <x:si>
    <x:t>61848-0K030</x:t>
  </x:si>
  <x:si>
    <x:t>S015549</x:t>
  </x:si>
  <x:si>
    <x:t>61211-660</x:t>
  </x:si>
  <x:si>
    <x:t>591</x:t>
  </x:si>
  <x:si>
    <x:t>S015551</x:t>
  </x:si>
  <x:si>
    <x:t>51559-KK010</x:t>
  </x:si>
  <x:si>
    <x:t>S015558</x:t>
  </x:si>
  <x:si>
    <x:t>53723.4-KK020/10-B</x:t>
  </x:si>
  <x:si>
    <x:t>S015574</x:t>
  </x:si>
  <x:si>
    <x:t>51569-KK070-A</x:t>
  </x:si>
  <x:si>
    <x:t>S015576</x:t>
  </x:si>
  <x:si>
    <x:t>S015578</x:t>
  </x:si>
  <x:si>
    <x:t>57465-KK010</x:t>
  </x:si>
  <x:si>
    <x:t>S015589</x:t>
  </x:si>
  <x:si>
    <x:t>69955-0D040</x:t>
  </x:si>
  <x:si>
    <x:t>S015591</x:t>
  </x:si>
  <x:si>
    <x:t>53941-0K050</x:t>
  </x:si>
  <x:si>
    <x:t>S015593</x:t>
  </x:si>
  <x:si>
    <x:t>53324-0K050</x:t>
  </x:si>
  <x:si>
    <x:t>S015597</x:t>
  </x:si>
  <x:si>
    <x:t>51575.6-0K010</x:t>
  </x:si>
  <x:si>
    <x:t>S015599</x:t>
  </x:si>
  <x:si>
    <x:t>583530K020RM1</x:t>
  </x:si>
  <x:si>
    <x:t>S015602</x:t>
  </x:si>
  <x:si>
    <x:t>77511-0K010</x:t>
  </x:si>
  <x:si>
    <x:t>S015604</x:t>
  </x:si>
  <x:si>
    <x:t>53331-0K020</x:t>
  </x:si>
  <x:si>
    <x:t>IMV SERVIC</x:t>
  </x:si>
  <x:si>
    <x:t>S015615</x:t>
  </x:si>
  <x:si>
    <x:t>YZA1220110</x:t>
  </x:si>
  <x:si>
    <x:t>S015617</x:t>
  </x:si>
  <x:si>
    <x:t>55428-0D080</x:t>
  </x:si>
  <x:si>
    <x:t>S015620</x:t>
  </x:si>
  <x:si>
    <x:t>42177-0K030</x:t>
  </x:si>
  <x:si>
    <x:t>S015624</x:t>
  </x:si>
  <x:si>
    <x:t>63125KK010RM1</x:t>
  </x:si>
  <x:si>
    <x:t>S015634</x:t>
  </x:si>
  <x:si>
    <x:t>YZA1863395-51291-0K020</x:t>
  </x:si>
  <x:si>
    <x:t>S015636</x:t>
  </x:si>
  <x:si>
    <x:t>YZA1863397-51261-0K010</x:t>
  </x:si>
  <x:si>
    <x:t>S015638</x:t>
  </x:si>
  <x:si>
    <x:t>YZA1863398-51262</x:t>
  </x:si>
  <x:si>
    <x:t>imv serv</x:t>
  </x:si>
  <x:si>
    <x:t>S015640</x:t>
  </x:si>
  <x:si>
    <x:t>S015642</x:t>
  </x:si>
  <x:si>
    <x:t>451711-11500-A</x:t>
  </x:si>
  <x:si>
    <x:t>S015646</x:t>
  </x:si>
  <x:si>
    <x:t>415441-10840</x:t>
  </x:si>
  <x:si>
    <x:t>S015648</x:t>
  </x:si>
  <x:si>
    <x:t>439741-10230</x:t>
  </x:si>
  <x:si>
    <x:t>S015651</x:t>
  </x:si>
  <x:si>
    <x:t>YZA1863401-51235-IMV</x:t>
  </x:si>
  <x:si>
    <x:t>S015658</x:t>
  </x:si>
  <x:si>
    <x:t>58918-KK010-1</x:t>
  </x:si>
  <x:si>
    <x:t>S015660</x:t>
  </x:si>
  <x:si>
    <x:t>68981.2-KK010-A</x:t>
  </x:si>
  <x:si>
    <x:t>S015664</x:t>
  </x:si>
  <x:si>
    <x:t>63135KK040RM1</x:t>
  </x:si>
  <x:si>
    <x:t>S015665</x:t>
  </x:si>
  <x:si>
    <x:t>433791-10600</x:t>
  </x:si>
  <x:si>
    <x:t>S015668</x:t>
  </x:si>
  <x:si>
    <x:t>574570D090RM</x:t>
  </x:si>
  <x:si>
    <x:t>S015669</x:t>
  </x:si>
  <x:si>
    <x:t>574150D050RM</x:t>
  </x:si>
  <x:si>
    <x:t>S015671</x:t>
  </x:si>
  <x:si>
    <x:t>557150D100RM</x:t>
  </x:si>
  <x:si>
    <x:t>S015673</x:t>
  </x:si>
  <x:si>
    <x:t>583250D150RM</x:t>
  </x:si>
  <x:si>
    <x:t>S015674</x:t>
  </x:si>
  <x:si>
    <x:t>46232TLA22T1RM</x:t>
  </x:si>
  <x:si>
    <x:t>S015676</x:t>
  </x:si>
  <x:si>
    <x:t>3290977/3292264</x:t>
  </x:si>
  <x:si>
    <x:t>231B QCSFL</x:t>
  </x:si>
  <x:si>
    <x:t>S015678</x:t>
  </x:si>
  <x:si>
    <x:t>3290972</x:t>
  </x:si>
  <x:si>
    <x:t>231B QCSLF</x:t>
  </x:si>
  <x:si>
    <x:t>S015683</x:t>
  </x:si>
  <x:si>
    <x:t>3291002</x:t>
  </x:si>
  <x:si>
    <x:t>S015698</x:t>
  </x:si>
  <x:si>
    <x:t>551730D240RM</x:t>
  </x:si>
  <x:si>
    <x:t>231B LF</x:t>
  </x:si>
  <x:si>
    <x:t>S015700</x:t>
  </x:si>
  <x:si>
    <x:t>571170D090RM</x:t>
  </x:si>
  <x:si>
    <x:t>S015706</x:t>
  </x:si>
  <x:si>
    <x:t>SCGA590DU-O</x:t>
  </x:si>
  <x:si>
    <x:t>671510D230RM</x:t>
  </x:si>
  <x:si>
    <x:t>S015711</x:t>
  </x:si>
  <x:si>
    <x:t>631440D210RM</x:t>
  </x:si>
  <x:si>
    <x:t>S015713</x:t>
  </x:si>
  <x:si>
    <x:t>514210D050RM</x:t>
  </x:si>
  <x:si>
    <x:t>S015714</x:t>
  </x:si>
  <x:si>
    <x:t>551860D060RM</x:t>
  </x:si>
  <x:si>
    <x:t>S015715</x:t>
  </x:si>
  <x:si>
    <x:t>4711452010RM</x:t>
  </x:si>
  <x:si>
    <x:t>231BQCSLF</x:t>
  </x:si>
  <x:si>
    <x:t>S015717</x:t>
  </x:si>
  <x:si>
    <x:t>772960D120RM</x:t>
  </x:si>
  <x:si>
    <x:t>S015719</x:t>
  </x:si>
  <x:si>
    <x:t>519680D100RM</x:t>
  </x:si>
  <x:si>
    <x:t>S015722</x:t>
  </x:si>
  <x:si>
    <x:t>61762-0K040</x:t>
  </x:si>
  <x:si>
    <x:t>S015728</x:t>
  </x:si>
  <x:si>
    <x:t>51533-0K010</x:t>
  </x:si>
  <x:si>
    <x:t>S015729</x:t>
  </x:si>
  <x:si>
    <x:t>55185KK010RM</x:t>
  </x:si>
  <x:si>
    <x:t>S015739</x:t>
  </x:si>
  <x:si>
    <x:t>SPH270C</x:t>
  </x:si>
  <x:si>
    <x:t>P17581-0N010RM</x:t>
  </x:si>
  <x:si>
    <x:t>S015746</x:t>
  </x:si>
  <x:si>
    <x:t>582390K010RM1</x:t>
  </x:si>
  <x:si>
    <x:t>S015752</x:t>
  </x:si>
  <x:si>
    <x:t>58239.43-0K010RM</x:t>
  </x:si>
  <x:si>
    <x:t>FORTUN SER</x:t>
  </x:si>
  <x:si>
    <x:t>S015754</x:t>
  </x:si>
  <x:si>
    <x:t>451633-10630/451634-10500</x:t>
  </x:si>
  <x:si>
    <x:t>S015756</x:t>
  </x:si>
  <x:si>
    <x:t>FORTU SER</x:t>
  </x:si>
  <x:si>
    <x:t>S015786</x:t>
  </x:si>
  <x:si>
    <x:t>51452-KK010</x:t>
  </x:si>
  <x:si>
    <x:t>S015787</x:t>
  </x:si>
  <x:si>
    <x:t>51457-0K010</x:t>
  </x:si>
  <x:si>
    <x:t>S015806</x:t>
  </x:si>
  <x:si>
    <x:t>532150D190RM</x:t>
  </x:si>
  <x:si>
    <x:t>S015807</x:t>
  </x:si>
  <x:si>
    <x:t>123250Y360T4RM</x:t>
  </x:si>
  <x:si>
    <x:t>S015815</x:t>
  </x:si>
  <x:si>
    <x:t>574530D110RM</x:t>
  </x:si>
  <x:si>
    <x:t>S015821</x:t>
  </x:si>
  <x:si>
    <x:t>57146-0K010</x:t>
  </x:si>
  <x:si>
    <x:t>S015827</x:t>
  </x:si>
  <x:si>
    <x:t>55748KK010RM</x:t>
  </x:si>
  <x:si>
    <x:t>S015829</x:t>
  </x:si>
  <x:si>
    <x:t>12631-913YL-1</x:t>
  </x:si>
  <x:si>
    <x:t>S015831</x:t>
  </x:si>
  <x:si>
    <x:t>351230D090RM</x:t>
  </x:si>
  <x:si>
    <x:t>S015834</x:t>
  </x:si>
  <x:si>
    <x:t>551780D170RM</x:t>
  </x:si>
  <x:si>
    <x:t>S015842</x:t>
  </x:si>
  <x:si>
    <x:t>123250Y360T2RM</x:t>
  </x:si>
  <x:si>
    <x:t>S015844</x:t>
  </x:si>
  <x:si>
    <x:t>123250Y360T1RM</x:t>
  </x:si>
  <x:si>
    <x:t>S015848</x:t>
  </x:si>
  <x:si>
    <x:t>55386-0D050</x:t>
  </x:si>
  <x:si>
    <x:t>S015850</x:t>
  </x:si>
  <x:si>
    <x:t>55375-0D110</x:t>
  </x:si>
  <x:si>
    <x:t>S015852</x:t>
  </x:si>
  <x:si>
    <x:t>55374-0D140</x:t>
  </x:si>
  <x:si>
    <x:t>S015854</x:t>
  </x:si>
  <x:si>
    <x:t>55327-0D250</x:t>
  </x:si>
  <x:si>
    <x:t>S015857</x:t>
  </x:si>
  <x:si>
    <x:t>58996-0D130</x:t>
  </x:si>
  <x:si>
    <x:t>S015859</x:t>
  </x:si>
  <x:si>
    <x:t>5538F-0D080</x:t>
  </x:si>
  <x:si>
    <x:t>S015861</x:t>
  </x:si>
  <x:si>
    <x:t>5538C-0D080</x:t>
  </x:si>
  <x:si>
    <x:t>S015875</x:t>
  </x:si>
  <x:si>
    <x:t>891750D040RM</x:t>
  </x:si>
  <x:si>
    <x:t>S015896</x:t>
  </x:si>
  <x:si>
    <x:t>6703006247</x:t>
  </x:si>
  <x:si>
    <x:t>S015904</x:t>
  </x:si>
  <x:si>
    <x:t>614150D040RM</x:t>
  </x:si>
  <x:si>
    <x:t>S015905</x:t>
  </x:si>
  <x:si>
    <x:t>67121/2-0D040</x:t>
  </x:si>
  <x:si>
    <x:t>S015912</x:t>
  </x:si>
  <x:si>
    <x:t>36478-0K060-A</x:t>
  </x:si>
  <x:si>
    <x:t>S015915</x:t>
  </x:si>
  <x:si>
    <x:t>58241.2-KK010-A</x:t>
  </x:si>
  <x:si>
    <x:t>S015923</x:t>
  </x:si>
  <x:si>
    <x:t>53713.4-0D260</x:t>
  </x:si>
  <x:si>
    <x:t>S015925</x:t>
  </x:si>
  <x:si>
    <x:t>55755-KK010-A</x:t>
  </x:si>
  <x:si>
    <x:t>S015926</x:t>
  </x:si>
  <x:si>
    <x:t>48615.6-0K010-A</x:t>
  </x:si>
  <x:si>
    <x:t>S015928</x:t>
  </x:si>
  <x:si>
    <x:t>55717.8-KK010</x:t>
  </x:si>
  <x:si>
    <x:t>S015929</x:t>
  </x:si>
  <x:si>
    <x:t>51232-KK030-B</x:t>
  </x:si>
  <x:si>
    <x:t>S015930</x:t>
  </x:si>
  <x:si>
    <x:t>51135.6-KK010-A</x:t>
  </x:si>
  <x:si>
    <x:t>S015931</x:t>
  </x:si>
  <x:si>
    <x:t>51232-KK020-B</x:t>
  </x:si>
  <x:si>
    <x:t>S015946</x:t>
  </x:si>
  <x:si>
    <x:t>55426-0D230</x:t>
  </x:si>
  <x:si>
    <x:t>S015950</x:t>
  </x:si>
  <x:si>
    <x:t>55425-0D150</x:t>
  </x:si>
  <x:si>
    <x:t>S015954</x:t>
  </x:si>
  <x:si>
    <x:t>422103-10280/422104-10040</x:t>
  </x:si>
  <x:si>
    <x:t>S015958</x:t>
  </x:si>
  <x:si>
    <x:t>SCGA340HR</x:t>
  </x:si>
  <x:si>
    <x:t>576530D110RM</x:t>
  </x:si>
  <x:si>
    <x:t>S015960</x:t>
  </x:si>
  <x:si>
    <x:t>58161-0D170</x:t>
  </x:si>
  <x:si>
    <x:t>S015962</x:t>
  </x:si>
  <x:si>
    <x:t>86591-0D060</x:t>
  </x:si>
  <x:si>
    <x:t>S015963</x:t>
  </x:si>
  <x:si>
    <x:t>TYPE D</x:t>
  </x:si>
  <x:si>
    <x:t>R0713047</x:t>
  </x:si>
  <x:si>
    <x:t>S015964</x:t>
  </x:si>
  <x:si>
    <x:t>SCGA270DX</x:t>
  </x:si>
  <x:si>
    <x:t>45V-AG</x:t>
  </x:si>
  <x:si>
    <x:t>YZA1865182-61626-K0030/40-231B</x:t>
  </x:si>
  <x:si>
    <x:t>S015965</x:t>
  </x:si>
  <x:si>
    <x:t>45V-BG</x:t>
  </x:si>
  <x:si>
    <x:t>YZA1865181-61625.K0030/40-231B</x:t>
  </x:si>
  <x:si>
    <x:t>231-B</x:t>
  </x:si>
  <x:si>
    <x:t>S015966</x:t>
  </x:si>
  <x:si>
    <x:t>YZA1865183-61711-K0030-231B</x:t>
  </x:si>
  <x:si>
    <x:t>S015967</x:t>
  </x:si>
  <x:si>
    <x:t>YZA1865184-61712-K0030-231B</x:t>
  </x:si>
  <x:si>
    <x:t>S015968</x:t>
  </x:si>
  <x:si>
    <x:t>YZA1865185-61731-K0080-231B</x:t>
  </x:si>
  <x:si>
    <x:t>S015969</x:t>
  </x:si>
  <x:si>
    <x:t>YZA1865186-61732-K0080-231B</x:t>
  </x:si>
  <x:si>
    <x:t>S015970</x:t>
  </x:si>
  <x:si>
    <x:t>YZA1865176-67113.4-K0030-231B</x:t>
  </x:si>
  <x:si>
    <x:t>S015972</x:t>
  </x:si>
  <x:si>
    <x:t>781140D060RM1</x:t>
  </x:si>
  <x:si>
    <x:t>S015974</x:t>
  </x:si>
  <x:si>
    <x:t>583150D150RM1</x:t>
  </x:si>
  <x:si>
    <x:t>S015978</x:t>
  </x:si>
  <x:si>
    <x:t>GA252-06250/GA252-05940</x:t>
  </x:si>
  <x:si>
    <x:t>S015983</x:t>
  </x:si>
  <x:si>
    <x:t>532710D090RM</x:t>
  </x:si>
  <x:si>
    <x:t>S015987</x:t>
  </x:si>
  <x:si>
    <x:t>58175-0D050</x:t>
  </x:si>
  <x:si>
    <x:t>S015989</x:t>
  </x:si>
  <x:si>
    <x:t>S015991</x:t>
  </x:si>
  <x:si>
    <x:t>44592-0D370/360</x:t>
  </x:si>
  <x:si>
    <x:t>S015993</x:t>
  </x:si>
  <x:si>
    <x:t>58114-0D140</x:t>
  </x:si>
  <x:si>
    <x:t>S015998</x:t>
  </x:si>
  <x:si>
    <x:t>53323-0D060</x:t>
  </x:si>
  <x:si>
    <x:t>S015999</x:t>
  </x:si>
  <x:si>
    <x:t>574130D190RM</x:t>
  </x:si>
  <x:si>
    <x:t>S016001</x:t>
  </x:si>
  <x:si>
    <x:t>55332-0D200</x:t>
  </x:si>
  <x:si>
    <x:t>S016003</x:t>
  </x:si>
  <x:si>
    <x:t>55753-0D210</x:t>
  </x:si>
  <x:si>
    <x:t>S016005</x:t>
  </x:si>
  <x:si>
    <x:t>53322-0D180</x:t>
  </x:si>
  <x:si>
    <x:t>S016006</x:t>
  </x:si>
  <x:si>
    <x:t>YZA1863386-61723.4</x:t>
  </x:si>
  <x:si>
    <x:t>S016008</x:t>
  </x:si>
  <x:si>
    <x:t>47781-0D200</x:t>
  </x:si>
  <x:si>
    <x:t>S016014</x:t>
  </x:si>
  <x:si>
    <x:t>57152-0D060</x:t>
  </x:si>
  <x:si>
    <x:t>S016016</x:t>
  </x:si>
  <x:si>
    <x:t>673370D170RM</x:t>
  </x:si>
  <x:si>
    <x:t>S016018</x:t>
  </x:si>
  <x:si>
    <x:t>521470D290RM</x:t>
  </x:si>
  <x:si>
    <x:t>S016020</x:t>
  </x:si>
  <x:si>
    <x:t>538310D190RM</x:t>
  </x:si>
  <x:si>
    <x:t>S016022</x:t>
  </x:si>
  <x:si>
    <x:t>53221-0K010</x:t>
  </x:si>
  <x:si>
    <x:t>SERPART</x:t>
  </x:si>
  <x:si>
    <x:t>S016024</x:t>
  </x:si>
  <x:si>
    <x:t>55137-0D130</x:t>
  </x:si>
  <x:si>
    <x:t>S016028</x:t>
  </x:si>
  <x:si>
    <x:t>57815.6-0D070</x:t>
  </x:si>
  <x:si>
    <x:t>S016030</x:t>
  </x:si>
  <x:si>
    <x:t>57127.8-0D050</x:t>
  </x:si>
  <x:si>
    <x:t>S016032</x:t>
  </x:si>
  <x:si>
    <x:t>77131-0K010</x:t>
  </x:si>
  <x:si>
    <x:t>S016033</x:t>
  </x:si>
  <x:si>
    <x:t>574750D090RM</x:t>
  </x:si>
  <x:si>
    <x:t>S016035</x:t>
  </x:si>
  <x:si>
    <x:t>611710D140RM</x:t>
  </x:si>
  <x:si>
    <x:t>S016038</x:t>
  </x:si>
  <x:si>
    <x:t>611720D050RM</x:t>
  </x:si>
  <x:si>
    <x:t>S016039</x:t>
  </x:si>
  <x:si>
    <x:t>58171-0D100</x:t>
  </x:si>
  <x:si>
    <x:t>S016041</x:t>
  </x:si>
  <x:si>
    <x:t>67327.8-0D130</x:t>
  </x:si>
  <x:si>
    <x:t>S016045</x:t>
  </x:si>
  <x:si>
    <x:t>63133-0D160</x:t>
  </x:si>
  <x:si>
    <x:t>S016047</x:t>
  </x:si>
  <x:si>
    <x:t>63137-0D160</x:t>
  </x:si>
  <x:si>
    <x:t>S016051</x:t>
  </x:si>
  <x:si>
    <x:t>52181-0D220</x:t>
  </x:si>
  <x:si>
    <x:t>S016055</x:t>
  </x:si>
  <x:si>
    <x:t>53717.8-0D210/220</x:t>
  </x:si>
  <x:si>
    <x:t>S016056</x:t>
  </x:si>
  <x:si>
    <x:t>64312.3-0D0160</x:t>
  </x:si>
  <x:si>
    <x:t>S016060</x:t>
  </x:si>
  <x:si>
    <x:t>51735-0K030</x:t>
  </x:si>
  <x:si>
    <x:t>SERVPART</x:t>
  </x:si>
  <x:si>
    <x:t>S016062</x:t>
  </x:si>
  <x:si>
    <x:t>55737-0K020</x:t>
  </x:si>
  <x:si>
    <x:t>S016065</x:t>
  </x:si>
  <x:si>
    <x:t>51237/8-KK010-A</x:t>
  </x:si>
  <x:si>
    <x:t>S016068</x:t>
  </x:si>
  <x:si>
    <x:t>671230D220RM</x:t>
  </x:si>
  <x:si>
    <x:t>S016070</x:t>
  </x:si>
  <x:si>
    <x:t>58371-0D360</x:t>
  </x:si>
  <x:si>
    <x:t>S016071</x:t>
  </x:si>
  <x:si>
    <x:t>63137-0D140</x:t>
  </x:si>
  <x:si>
    <x:t>S016084</x:t>
  </x:si>
  <x:si>
    <x:t>6703006039-72439-X1C00-B</x:t>
  </x:si>
  <x:si>
    <x:t>S016086</x:t>
  </x:si>
  <x:si>
    <x:t>6703006041</x:t>
  </x:si>
  <x:si>
    <x:t>S016088</x:t>
  </x:si>
  <x:si>
    <x:t>S016089</x:t>
  </x:si>
  <x:si>
    <x:t>48682-D180</x:t>
  </x:si>
  <x:si>
    <x:t>S016095</x:t>
  </x:si>
  <x:si>
    <x:t>6703006042</x:t>
  </x:si>
  <x:si>
    <x:t>S016099</x:t>
  </x:si>
  <x:si>
    <x:t>55713.4-0D160</x:t>
  </x:si>
  <x:si>
    <x:t>S016103</x:t>
  </x:si>
  <x:si>
    <x:t>67030006040</x:t>
  </x:si>
  <x:si>
    <x:t>S016105</x:t>
  </x:si>
  <x:si>
    <x:t>611530D180RM</x:t>
  </x:si>
  <x:si>
    <x:t>S016107</x:t>
  </x:si>
  <x:si>
    <x:t>582730D060RM</x:t>
  </x:si>
  <x:si>
    <x:t>S016109</x:t>
  </x:si>
  <x:si>
    <x:t>537230D080RM</x:t>
  </x:si>
  <x:si>
    <x:t>S016111</x:t>
  </x:si>
  <x:si>
    <x:t>613470D210RM</x:t>
  </x:si>
  <x:si>
    <x:t>S016113</x:t>
  </x:si>
  <x:si>
    <x:t>574780D040RM</x:t>
  </x:si>
  <x:si>
    <x:t>S016116</x:t>
  </x:si>
  <x:si>
    <x:t>576520D210RM</x:t>
  </x:si>
  <x:si>
    <x:t>S016117</x:t>
  </x:si>
  <x:si>
    <x:t>O45</x:t>
  </x:si>
  <x:si>
    <x:t>YZA1865202-53713.4</x:t>
  </x:si>
  <x:si>
    <x:t>BUDAMARI</x:t>
  </x:si>
  <x:si>
    <x:t>S016121</x:t>
  </x:si>
  <x:si>
    <x:t>574210D220RM</x:t>
  </x:si>
  <x:si>
    <x:t>S016123</x:t>
  </x:si>
  <x:si>
    <x:t>574510D180RM</x:t>
  </x:si>
  <x:si>
    <x:t>S016125</x:t>
  </x:si>
  <x:si>
    <x:t>671250D220RM</x:t>
  </x:si>
  <x:si>
    <x:t>S016126</x:t>
  </x:si>
  <x:si>
    <x:t>YZA1865225-53811-COM</x:t>
  </x:si>
  <x:si>
    <x:t>S016128</x:t>
  </x:si>
  <x:si>
    <x:t>571450D120RM</x:t>
  </x:si>
  <x:si>
    <x:t>S016130</x:t>
  </x:si>
  <x:si>
    <x:t>57656-0D120</x:t>
  </x:si>
  <x:si>
    <x:t>S016131</x:t>
  </x:si>
  <x:si>
    <x:t>YZA1865226-53812-COM</x:t>
  </x:si>
  <x:si>
    <x:t>EFC-COM</x:t>
  </x:si>
  <x:si>
    <x:t>S016140</x:t>
  </x:si>
  <x:si>
    <x:t>57135-0D010</x:t>
  </x:si>
  <x:si>
    <x:t>S016142</x:t>
  </x:si>
  <x:si>
    <x:t>576870D060RM</x:t>
  </x:si>
  <x:si>
    <x:t>S016144</x:t>
  </x:si>
  <x:si>
    <x:t>631410D250RM</x:t>
  </x:si>
  <x:si>
    <x:t>S016146</x:t>
  </x:si>
  <x:si>
    <x:t>571460D090RM</x:t>
  </x:si>
  <x:si>
    <x:t>S016150</x:t>
  </x:si>
  <x:si>
    <x:t>671210D220RM</x:t>
  </x:si>
  <x:si>
    <x:t>S016154</x:t>
  </x:si>
  <x:si>
    <x:t>S016156</x:t>
  </x:si>
  <x:si>
    <x:t>557170D160RM</x:t>
  </x:si>
  <x:si>
    <x:t>S016158</x:t>
  </x:si>
  <x:si>
    <x:t>613270D230RM</x:t>
  </x:si>
  <x:si>
    <x:t>S016160</x:t>
  </x:si>
  <x:si>
    <x:t>532120D140RM</x:t>
  </x:si>
  <x:si>
    <x:t>S016162</x:t>
  </x:si>
  <x:si>
    <x:t>614150D060RM</x:t>
  </x:si>
  <x:si>
    <x:t>S016164</x:t>
  </x:si>
  <x:si>
    <x:t>576540D100RM</x:t>
  </x:si>
  <x:si>
    <x:t>S016166</x:t>
  </x:si>
  <x:si>
    <x:t>641150D110RM</x:t>
  </x:si>
  <x:si>
    <x:t>S016168</x:t>
  </x:si>
  <x:si>
    <x:t>576150D170RM</x:t>
  </x:si>
  <x:si>
    <x:t>S016170</x:t>
  </x:si>
  <x:si>
    <x:t>574110D180RM</x:t>
  </x:si>
  <x:si>
    <x:t>S016176</x:t>
  </x:si>
  <x:si>
    <x:t>57221.2-0D120RM</x:t>
  </x:si>
  <x:si>
    <x:t>S016189</x:t>
  </x:si>
  <x:si>
    <x:t>25612-913FL</x:t>
  </x:si>
  <x:si>
    <x:t>S016193</x:t>
  </x:si>
  <x:si>
    <x:t>57156-0D040</x:t>
  </x:si>
  <x:si>
    <x:t>S016195</x:t>
  </x:si>
  <x:si>
    <x:t>YZA1865206-61734-660A</x:t>
  </x:si>
  <x:si>
    <x:t>S016200</x:t>
  </x:si>
  <x:si>
    <x:t>YZA1865204-53717.8</x:t>
  </x:si>
  <x:si>
    <x:t>S016204</x:t>
  </x:si>
  <x:si>
    <x:t>55326-0D180</x:t>
  </x:si>
  <x:si>
    <x:t>S016212</x:t>
  </x:si>
  <x:si>
    <x:t>53721.2-0D100.80-T1</x:t>
  </x:si>
  <x:si>
    <x:t>S016221</x:t>
  </x:si>
  <x:si>
    <x:t>82715-0DY90</x:t>
  </x:si>
  <x:si>
    <x:t>S016223</x:t>
  </x:si>
  <x:si>
    <x:t>S016226</x:t>
  </x:si>
  <x:si>
    <x:t>82715-0DY70</x:t>
  </x:si>
  <x:si>
    <x:t>S016228</x:t>
  </x:si>
  <x:si>
    <x:t>571550D080RT</x:t>
  </x:si>
  <x:si>
    <x:t>S016231</x:t>
  </x:si>
  <x:si>
    <x:t>YZA1865155 - 53811-IMV - service part</x:t>
  </x:si>
  <x:si>
    <x:t>S016232</x:t>
  </x:si>
  <x:si>
    <x:t>YZA1865156 -53812 -0K040</x:t>
  </x:si>
  <x:si>
    <x:t>S016244</x:t>
  </x:si>
  <x:si>
    <x:t>514250D050RM</x:t>
  </x:si>
  <x:si>
    <x:t>S016253</x:t>
  </x:si>
  <x:si>
    <x:t>61138.7-0K020</x:t>
  </x:si>
  <x:si>
    <x:t>INVOASERPA</x:t>
  </x:si>
  <x:si>
    <x:t>S016260</x:t>
  </x:si>
  <x:si>
    <x:t>57721.2-0D130</x:t>
  </x:si>
  <x:si>
    <x:t>S016265</x:t>
  </x:si>
  <x:si>
    <x:t>58793-0D140</x:t>
  </x:si>
  <x:si>
    <x:t>S016269</x:t>
  </x:si>
  <x:si>
    <x:t>CR2</x:t>
  </x:si>
  <x:si>
    <x:t>KTTM</x:t>
  </x:si>
  <x:si>
    <x:t>S016271</x:t>
  </x:si>
  <x:si>
    <x:t>S016272</x:t>
  </x:si>
  <x:si>
    <x:t>S016277</x:t>
  </x:si>
  <x:si>
    <x:t>55338-0D330</x:t>
  </x:si>
  <x:si>
    <x:t>S016278</x:t>
  </x:si>
  <x:si>
    <x:t>52172-0D010</x:t>
  </x:si>
  <x:si>
    <x:t>S016280</x:t>
  </x:si>
  <x:si>
    <x:t>53324-0D220</x:t>
  </x:si>
  <x:si>
    <x:t>S016282</x:t>
  </x:si>
  <x:si>
    <x:t>55351-0D360</x:t>
  </x:si>
  <x:si>
    <x:t>S016284</x:t>
  </x:si>
  <x:si>
    <x:t>52171-0D050</x:t>
  </x:si>
  <x:si>
    <x:t>S016289</x:t>
  </x:si>
  <x:si>
    <x:t>S016292</x:t>
  </x:si>
  <x:si>
    <x:t>S016293</x:t>
  </x:si>
  <x:si>
    <x:t>S016295</x:t>
  </x:si>
  <x:si>
    <x:t>63134KK020RM1</x:t>
  </x:si>
  <x:si>
    <x:t>S016297</x:t>
  </x:si>
  <x:si>
    <x:t>61799-0K020</x:t>
  </x:si>
  <x:si>
    <x:t>S016299</x:t>
  </x:si>
  <x:si>
    <x:t>32924-KK010</x:t>
  </x:si>
  <x:si>
    <x:t>S016301</x:t>
  </x:si>
  <x:si>
    <x:t>74482-KK010</x:t>
  </x:si>
  <x:si>
    <x:t>S016309</x:t>
  </x:si>
  <x:si>
    <x:t>44592-0D410</x:t>
  </x:si>
  <x:si>
    <x:t>S016311</x:t>
  </x:si>
  <x:si>
    <x:t>55384-KK010</x:t>
  </x:si>
  <x:si>
    <x:t>S016313</x:t>
  </x:si>
  <x:si>
    <x:t>55382-KK030</x:t>
  </x:si>
  <x:si>
    <x:t>S016316</x:t>
  </x:si>
  <x:si>
    <x:t>POSCO</x:t>
  </x:si>
  <x:si>
    <x:t>YZA1865318-67149-KK020-650A</x:t>
  </x:si>
  <x:si>
    <x:t>S016322</x:t>
  </x:si>
  <x:si>
    <x:t>63138-KK010</x:t>
  </x:si>
  <x:si>
    <x:t>S016326</x:t>
  </x:si>
  <x:si>
    <x:t>67391-KK010</x:t>
  </x:si>
  <x:si>
    <x:t>S016336</x:t>
  </x:si>
  <x:si>
    <x:t>77278-KK010</x:t>
  </x:si>
  <x:si>
    <x:t>650A+660A</x:t>
  </x:si>
  <x:si>
    <x:t>S016340</x:t>
  </x:si>
  <x:si>
    <x:t>YZA1865238-67113-0D050-800L</x:t>
  </x:si>
  <x:si>
    <x:t>S016341</x:t>
  </x:si>
  <x:si>
    <x:t>YZA1865250-67115-0K210-660A</x:t>
  </x:si>
  <x:si>
    <x:t>S016342</x:t>
  </x:si>
  <x:si>
    <x:t>YZA1865248-67145.6-0K050-660A</x:t>
  </x:si>
  <x:si>
    <x:t>S016343</x:t>
  </x:si>
  <x:si>
    <x:t>HYUNDA</x:t>
  </x:si>
  <x:si>
    <x:t>EDD</x:t>
  </x:si>
  <x:si>
    <x:t>R8114121</x:t>
  </x:si>
  <x:si>
    <x:t>ALL</x:t>
  </x:si>
  <x:si>
    <x:t>S016347</x:t>
  </x:si>
  <x:si>
    <x:t>IF</x:t>
  </x:si>
  <x:si>
    <x:t>743122VA0ABL</x:t>
  </x:si>
  <x:si>
    <x:t>S016348</x:t>
  </x:si>
  <x:si>
    <x:t>791022VA0ABL</x:t>
  </x:si>
  <x:si>
    <x:t>S016349</x:t>
  </x:si>
  <x:si>
    <x:t>R8114011</x:t>
  </x:si>
  <x:si>
    <x:t>S016350</x:t>
  </x:si>
  <x:si>
    <x:t>R8115524</x:t>
  </x:si>
  <x:si>
    <x:t>S016351</x:t>
  </x:si>
  <x:si>
    <x:t>R8117993D</x:t>
  </x:si>
  <x:si>
    <x:t>S016352</x:t>
  </x:si>
  <x:si>
    <x:t>R8118013</x:t>
  </x:si>
  <x:si>
    <x:t>S016353</x:t>
  </x:si>
  <x:si>
    <x:t>R8114861</x:t>
  </x:si>
  <x:si>
    <x:t>S016354</x:t>
  </x:si>
  <x:si>
    <x:t>R8114098</x:t>
  </x:si>
  <x:si>
    <x:t>S016355</x:t>
  </x:si>
  <x:si>
    <x:t>R8117992D</x:t>
  </x:si>
  <x:si>
    <x:t>S016356</x:t>
  </x:si>
  <x:si>
    <x:t>R8115975</x:t>
  </x:si>
  <x:si>
    <x:t>S016357</x:t>
  </x:si>
  <x:si>
    <x:t>R8114091</x:t>
  </x:si>
  <x:si>
    <x:t>S016358</x:t>
  </x:si>
  <x:si>
    <x:t>R8118026</x:t>
  </x:si>
  <x:si>
    <x:t>S016359</x:t>
  </x:si>
  <x:si>
    <x:t>R8114118</x:t>
  </x:si>
  <x:si>
    <x:t>S016360</x:t>
  </x:si>
  <x:si>
    <x:t>YZA1865245-67113.4-0D060-801L</x:t>
  </x:si>
  <x:si>
    <x:t>S016361</x:t>
  </x:si>
  <x:si>
    <x:t>YZA1865240-58111-0D080-800L</x:t>
  </x:si>
  <x:si>
    <x:t>S016363</x:t>
  </x:si>
  <x:si>
    <x:t>YZA1865239-67115-0D020-800L</x:t>
  </x:si>
  <x:si>
    <x:t>S016364</x:t>
  </x:si>
  <x:si>
    <x:t>YZA1865241-58311-0D070-800L</x:t>
  </x:si>
  <x:si>
    <x:t>S016365</x:t>
  </x:si>
  <x:si>
    <x:t>YZA1865264-61111-0K190-650A</x:t>
  </x:si>
  <x:si>
    <x:t>S016366</x:t>
  </x:si>
  <x:si>
    <x:t>YZA1865265-61112-0K190-650A</x:t>
  </x:si>
  <x:si>
    <x:t>S016367</x:t>
  </x:si>
  <x:si>
    <x:t>YZA1865272-61112-0D070-801L</x:t>
  </x:si>
  <x:si>
    <x:t>S016368</x:t>
  </x:si>
  <x:si>
    <x:t>YZA1865271-61111-0D070-801L</x:t>
  </x:si>
  <x:si>
    <x:t>S016369</x:t>
  </x:si>
  <x:si>
    <x:t>YZA1865274-61112-800L-KK080</x:t>
  </x:si>
  <x:si>
    <x:t>S016370</x:t>
  </x:si>
  <x:si>
    <x:t>YZA1865273-61111-800L-KK100</x:t>
  </x:si>
  <x:si>
    <x:t>S016371</x:t>
  </x:si>
  <x:si>
    <x:t>YZA1865267-61112-K0060-231B</x:t>
  </x:si>
  <x:si>
    <x:t>S016372</x:t>
  </x:si>
  <x:si>
    <x:t>YZA1865266-61111-K0090-231B</x:t>
  </x:si>
  <x:si>
    <x:t>S016382</x:t>
  </x:si>
  <x:si>
    <x:t>42141-0K020-A</x:t>
  </x:si>
  <x:si>
    <x:t>S016390</x:t>
  </x:si>
  <x:si>
    <x:t>67625-0D060</x:t>
  </x:si>
  <x:si>
    <x:t>S016392</x:t>
  </x:si>
  <x:si>
    <x:t>64466-0D020</x:t>
  </x:si>
  <x:si>
    <x:t>S016394</x:t>
  </x:si>
  <x:si>
    <x:t>63177.8-0D010/30</x:t>
  </x:si>
  <x:si>
    <x:t>S016396</x:t>
  </x:si>
  <x:si>
    <x:t>61848-0D020</x:t>
  </x:si>
  <x:si>
    <x:t>S016400</x:t>
  </x:si>
  <x:si>
    <x:t>58355-0K030</x:t>
  </x:si>
  <x:si>
    <x:t>S016402</x:t>
  </x:si>
  <x:si>
    <x:t>58277.8-KK010</x:t>
  </x:si>
  <x:si>
    <x:t>S016404</x:t>
  </x:si>
  <x:si>
    <x:t>S016419</x:t>
  </x:si>
  <x:si>
    <x:t>S016422</x:t>
  </x:si>
  <x:si>
    <x:t>67188.9-KK010-B</x:t>
  </x:si>
  <x:si>
    <x:t>S016425</x:t>
  </x:si>
  <x:si>
    <x:t>R0714232</x:t>
  </x:si>
  <x:si>
    <x:t>S016426</x:t>
  </x:si>
  <x:si>
    <x:t>YZA1865235-67111.2-0K070-660A</x:t>
  </x:si>
  <x:si>
    <x:t>S016428</x:t>
  </x:si>
  <x:si>
    <x:t>YZA1865255-53321-KK011-650A</x:t>
  </x:si>
  <x:si>
    <x:t>S016440</x:t>
  </x:si>
  <x:si>
    <x:t>YZA1865236-67113.4-0K070-660A</x:t>
  </x:si>
  <x:si>
    <x:t>S016441</x:t>
  </x:si>
  <x:si>
    <x:t>YZA1865253-58211-COM-0D130</x:t>
  </x:si>
  <x:si>
    <x:t>S016443</x:t>
  </x:si>
  <x:si>
    <x:t>YZA1865252-53311-COM-0D030</x:t>
  </x:si>
  <x:si>
    <x:t>S016449</x:t>
  </x:si>
  <x:si>
    <x:t>53217-0K040</x:t>
  </x:si>
  <x:si>
    <x:t>S016451</x:t>
  </x:si>
  <x:si>
    <x:t>61312.2-0K020</x:t>
  </x:si>
  <x:si>
    <x:t>S016452</x:t>
  </x:si>
  <x:si>
    <x:t>YZA1865246-64412-801L-0D060</x:t>
  </x:si>
  <x:si>
    <x:t>S016453</x:t>
  </x:si>
  <x:si>
    <x:t>YZA1865242- 53311-650A-KK030</x:t>
  </x:si>
  <x:si>
    <x:t>S016458</x:t>
  </x:si>
  <x:si>
    <x:t>42165-0K030</x:t>
  </x:si>
  <x:si>
    <x:t>S016459</x:t>
  </x:si>
  <x:si>
    <x:t>S765122VA0A12-LH</x:t>
  </x:si>
  <x:si>
    <x:t>S016460</x:t>
  </x:si>
  <x:si>
    <x:t>S765122VA0A12-RH</x:t>
  </x:si>
  <x:si>
    <x:t>S016467</x:t>
  </x:si>
  <x:si>
    <x:t>S016491</x:t>
  </x:si>
  <x:si>
    <x:t>53325-KK010-B</x:t>
  </x:si>
  <x:si>
    <x:t>S016496</x:t>
  </x:si>
  <x:si>
    <x:t>53772-0K020</x:t>
  </x:si>
  <x:si>
    <x:t>S016498</x:t>
  </x:si>
  <x:si>
    <x:t>S016499</x:t>
  </x:si>
  <x:si>
    <x:t>61321.2-KK010-A</x:t>
  </x:si>
  <x:si>
    <x:t>S016500</x:t>
  </x:si>
  <x:si>
    <x:t>61323-.4-KK010</x:t>
  </x:si>
  <x:si>
    <x:t>S016501</x:t>
  </x:si>
  <x:si>
    <x:t>47781.2- 0K250</x:t>
  </x:si>
  <x:si>
    <x:t>S016503</x:t>
  </x:si>
  <x:si>
    <x:t>415441-10530</x:t>
  </x:si>
  <x:si>
    <x:t>S016504</x:t>
  </x:si>
  <x:si>
    <x:t>415441-10650</x:t>
  </x:si>
  <x:si>
    <x:t>S016505</x:t>
  </x:si>
  <x:si>
    <x:t>51442-KK010</x:t>
  </x:si>
  <x:si>
    <x:t>S016508</x:t>
  </x:si>
  <x:si>
    <x:t>57221.2-0D120/0D090</x:t>
  </x:si>
  <x:si>
    <x:t>S016510</x:t>
  </x:si>
  <x:si>
    <x:t>S016511</x:t>
  </x:si>
  <x:si>
    <x:t>S016517</x:t>
  </x:si>
  <x:si>
    <x:t>641120D060RM</x:t>
  </x:si>
  <x:si>
    <x:t>S016523</x:t>
  </x:si>
  <x:si>
    <x:t>51212-KK020-B</x:t>
  </x:si>
  <x:si>
    <x:t>S016525</x:t>
  </x:si>
  <x:si>
    <x:t>NISHIN</x:t>
  </x:si>
  <x:si>
    <x:t>SACE80</x:t>
  </x:si>
  <x:si>
    <x:t>0E070-00090</x:t>
  </x:si>
  <x:si>
    <x:t>S016527</x:t>
  </x:si>
  <x:si>
    <x:t>0E070-00120</x:t>
  </x:si>
  <x:si>
    <x:t>640a</x:t>
  </x:si>
  <x:si>
    <x:t>S016533</x:t>
  </x:si>
  <x:si>
    <x:t>53751-660AB</x:t>
  </x:si>
  <x:si>
    <x:t>591B</x:t>
  </x:si>
  <x:si>
    <x:t>S016535</x:t>
  </x:si>
  <x:si>
    <x:t>S016537</x:t>
  </x:si>
  <x:si>
    <x:t>S016540</x:t>
  </x:si>
  <x:si>
    <x:t>67471.2-KK020</x:t>
  </x:si>
  <x:si>
    <x:t>S016542</x:t>
  </x:si>
  <x:si>
    <x:t>67449-KK010</x:t>
  </x:si>
  <x:si>
    <x:t>S016544</x:t>
  </x:si>
  <x:si>
    <x:t>67123-KK010-A</x:t>
  </x:si>
  <x:si>
    <x:t>S016547</x:t>
  </x:si>
  <x:si>
    <x:t>55749KK010RM</x:t>
  </x:si>
  <x:si>
    <x:t>S016548</x:t>
  </x:si>
  <x:si>
    <x:t>61343.4-KK020</x:t>
  </x:si>
  <x:si>
    <x:t>S016550</x:t>
  </x:si>
  <x:si>
    <x:t>58227.8-0D100</x:t>
  </x:si>
  <x:si>
    <x:t>S016553</x:t>
  </x:si>
  <x:si>
    <x:t>58386-0D030</x:t>
  </x:si>
  <x:si>
    <x:t>S016557</x:t>
  </x:si>
  <x:si>
    <x:t>S016559</x:t>
  </x:si>
  <x:si>
    <x:t>55732-0K040</x:t>
  </x:si>
  <x:si>
    <x:t>S016561</x:t>
  </x:si>
  <x:si>
    <x:t>YZA1865270-64411-801L</x:t>
  </x:si>
  <x:si>
    <x:t>S016566</x:t>
  </x:si>
  <x:si>
    <x:t>S016568</x:t>
  </x:si>
  <x:si>
    <x:t>58251.2-0D060/130</x:t>
  </x:si>
  <x:si>
    <x:t>S016570</x:t>
  </x:si>
  <x:si>
    <x:t>55135-0D170</x:t>
  </x:si>
  <x:si>
    <x:t>S016573</x:t>
  </x:si>
  <x:si>
    <x:t>67343-0D290</x:t>
  </x:si>
  <x:si>
    <x:t>S016575</x:t>
  </x:si>
  <x:si>
    <x:t>57125.6-0D070/50</x:t>
  </x:si>
  <x:si>
    <x:t>S016576</x:t>
  </x:si>
  <x:si>
    <x:t>61677-0D140</x:t>
  </x:si>
  <x:si>
    <x:t>S016579</x:t>
  </x:si>
  <x:si>
    <x:t>12313-0Y020-B</x:t>
  </x:si>
  <x:si>
    <x:t>S016584</x:t>
  </x:si>
  <x:si>
    <x:t>S016587</x:t>
  </x:si>
  <x:si>
    <x:t>58996-KK020-A</x:t>
  </x:si>
  <x:si>
    <x:t>S016594</x:t>
  </x:si>
  <x:si>
    <x:t>SPRC340 E</x:t>
  </x:si>
  <x:si>
    <x:t>67136-Q6000</x:t>
  </x:si>
  <x:si>
    <x:t>KIA-SP2I</x:t>
  </x:si>
  <x:si>
    <x:t>S016596</x:t>
  </x:si>
  <x:si>
    <x:t>SPCC</x:t>
  </x:si>
  <x:si>
    <x:t>67121-Q6000</x:t>
  </x:si>
  <x:si>
    <x:t>S016598</x:t>
  </x:si>
  <x:si>
    <x:t>SPFC590</x:t>
  </x:si>
  <x:si>
    <x:t>77163-Q6000</x:t>
  </x:si>
  <x:si>
    <x:t>S016599</x:t>
  </x:si>
  <x:si>
    <x:t>77153-Q6000</x:t>
  </x:si>
  <x:si>
    <x:t>S016601</x:t>
  </x:si>
  <x:si>
    <x:t>77162-Q6000</x:t>
  </x:si>
  <x:si>
    <x:t>S016602</x:t>
  </x:si>
  <x:si>
    <x:t>77152-Q6000</x:t>
  </x:si>
  <x:si>
    <x:t>S016603</x:t>
  </x:si>
  <x:si>
    <x:t>76163-Q6000</x:t>
  </x:si>
  <x:si>
    <x:t>S016604</x:t>
  </x:si>
  <x:si>
    <x:t>76153-Q6000</x:t>
  </x:si>
  <x:si>
    <x:t>S016605</x:t>
  </x:si>
  <x:si>
    <x:t>76152-Q6000</x:t>
  </x:si>
  <x:si>
    <x:t>S016606</x:t>
  </x:si>
  <x:si>
    <x:t>76162-Q6000</x:t>
  </x:si>
  <x:si>
    <x:t>S016610</x:t>
  </x:si>
  <x:si>
    <x:t>67142-Q6000</x:t>
  </x:si>
  <x:si>
    <x:t>S016612</x:t>
  </x:si>
  <x:si>
    <x:t>67162-Q6000</x:t>
  </x:si>
  <x:si>
    <x:t>S016616</x:t>
  </x:si>
  <x:si>
    <x:t>67162-Q6050</x:t>
  </x:si>
  <x:si>
    <x:t>S016617</x:t>
  </x:si>
  <x:si>
    <x:t>67172-Q6000</x:t>
  </x:si>
  <x:si>
    <x:t>S016618</x:t>
  </x:si>
  <x:si>
    <x:t>57665.6-KK010</x:t>
  </x:si>
  <x:si>
    <x:t>S016625</x:t>
  </x:si>
  <x:si>
    <x:t>67134-Q6000</x:t>
  </x:si>
  <x:si>
    <x:t>S016626</x:t>
  </x:si>
  <x:si>
    <x:t>12313-0N030-B</x:t>
  </x:si>
  <x:si>
    <x:t>S016630</x:t>
  </x:si>
  <x:si>
    <x:t>63141-KK050-A</x:t>
  </x:si>
  <x:si>
    <x:t>S016632</x:t>
  </x:si>
  <x:si>
    <x:t>63128KK010RM</x:t>
  </x:si>
  <x:si>
    <x:t>S016635</x:t>
  </x:si>
  <x:si>
    <x:t>51231-0K010</x:t>
  </x:si>
  <x:si>
    <x:t>SERVICEPAR</x:t>
  </x:si>
  <x:si>
    <x:t>S016641</x:t>
  </x:si>
  <x:si>
    <x:t>67181-0D070</x:t>
  </x:si>
  <x:si>
    <x:t>S016645</x:t>
  </x:si>
  <x:si>
    <x:t>YZA1863271-61625.6-800L</x:t>
  </x:si>
  <x:si>
    <x:t>S016646</x:t>
  </x:si>
  <x:si>
    <x:t>YZA1863272-61621.2-800L</x:t>
  </x:si>
  <x:si>
    <x:t>S016647</x:t>
  </x:si>
  <x:si>
    <x:t>61735.6RM</x:t>
  </x:si>
  <x:si>
    <x:t>S016648</x:t>
  </x:si>
  <x:si>
    <x:t>YZA1863273-61731.2-800L</x:t>
  </x:si>
  <x:si>
    <x:t>S016649</x:t>
  </x:si>
  <x:si>
    <x:t>YZA1863359-61731.2-800L</x:t>
  </x:si>
  <x:si>
    <x:t>S016650</x:t>
  </x:si>
  <x:si>
    <x:t>YZA1863358-61621.2-800L</x:t>
  </x:si>
  <x:si>
    <x:t>S016651</x:t>
  </x:si>
  <x:si>
    <x:t>YZA1863357-61625.6-800L</x:t>
  </x:si>
  <x:si>
    <x:t>S016652</x:t>
  </x:si>
  <x:si>
    <x:t>S016653</x:t>
  </x:si>
  <x:si>
    <x:t>YZA1863360-61735.6-801L</x:t>
  </x:si>
  <x:si>
    <x:t>S016654</x:t>
  </x:si>
  <x:si>
    <x:t>53324-801L</x:t>
  </x:si>
  <x:si>
    <x:t>S016655</x:t>
  </x:si>
  <x:si>
    <x:t>YZA1863275- 61732-801L</x:t>
  </x:si>
  <x:si>
    <x:t>S016656</x:t>
  </x:si>
  <x:si>
    <x:t>YZA1863276-61625.6-801L</x:t>
  </x:si>
  <x:si>
    <x:t>S016657</x:t>
  </x:si>
  <x:si>
    <x:t>YZA1863361-61731-801L</x:t>
  </x:si>
  <x:si>
    <x:t>S016658</x:t>
  </x:si>
  <x:si>
    <x:t>S016659</x:t>
  </x:si>
  <x:si>
    <x:t>YZA1863360 - 61735.6-801L</x:t>
  </x:si>
  <x:si>
    <x:t>S016660</x:t>
  </x:si>
  <x:si>
    <x:t>YZA1863362-61625.6-801L</x:t>
  </x:si>
  <x:si>
    <x:t>S016661</x:t>
  </x:si>
  <x:si>
    <x:t>58147-KK010</x:t>
  </x:si>
  <x:si>
    <x:t>S016662</x:t>
  </x:si>
  <x:si>
    <x:t>58137-KK010</x:t>
  </x:si>
  <x:si>
    <x:t>S016669</x:t>
  </x:si>
  <x:si>
    <x:t>57517-KK010.30</x:t>
  </x:si>
  <x:si>
    <x:t>650A &amp;660A</x:t>
  </x:si>
  <x:si>
    <x:t>S016671</x:t>
  </x:si>
  <x:si>
    <x:t>58994-0D050</x:t>
  </x:si>
  <x:si>
    <x:t>S016674</x:t>
  </x:si>
  <x:si>
    <x:t>55155-KK020</x:t>
  </x:si>
  <x:si>
    <x:t>S016676</x:t>
  </x:si>
  <x:si>
    <x:t>S016678</x:t>
  </x:si>
  <x:si>
    <x:t>53273-0K040</x:t>
  </x:si>
  <x:si>
    <x:t>S016683</x:t>
  </x:si>
  <x:si>
    <x:t>42441-KK010</x:t>
  </x:si>
  <x:si>
    <x:t>S016696</x:t>
  </x:si>
  <x:si>
    <x:t>42131-KK010</x:t>
  </x:si>
  <x:si>
    <x:t>S016699</x:t>
  </x:si>
  <x:si>
    <x:t>61323-0K040</x:t>
  </x:si>
  <x:si>
    <x:t>S016703</x:t>
  </x:si>
  <x:si>
    <x:t>67121</x:t>
  </x:si>
  <x:si>
    <x:t>S016705</x:t>
  </x:si>
  <x:si>
    <x:t>S016710</x:t>
  </x:si>
  <x:si>
    <x:t>57635.6-0K010</x:t>
  </x:si>
  <x:si>
    <x:t>S016711</x:t>
  </x:si>
  <x:si>
    <x:t>58388.9-KK010</x:t>
  </x:si>
  <x:si>
    <x:t>S016729</x:t>
  </x:si>
  <x:si>
    <x:t>KIA</x:t>
  </x:si>
  <x:si>
    <x:t>S016730</x:t>
  </x:si>
  <x:si>
    <x:t>S016732</x:t>
  </x:si>
  <x:si>
    <x:t>S016733</x:t>
  </x:si>
  <x:si>
    <x:t>S016734</x:t>
  </x:si>
  <x:si>
    <x:t>S016735</x:t>
  </x:si>
  <x:si>
    <x:t>S016736</x:t>
  </x:si>
  <x:si>
    <x:t>S016737</x:t>
  </x:si>
  <x:si>
    <x:t>S016739</x:t>
  </x:si>
  <x:si>
    <x:t>S016741</x:t>
  </x:si>
  <x:si>
    <x:t>S016743</x:t>
  </x:si>
  <x:si>
    <x:t>S016745</x:t>
  </x:si>
  <x:si>
    <x:t>S016747</x:t>
  </x:si>
  <x:si>
    <x:t>S016749</x:t>
  </x:si>
  <x:si>
    <x:t>S016757</x:t>
  </x:si>
  <x:si>
    <x:t>61425KK010RM</x:t>
  </x:si>
  <x:si>
    <x:t>S016759</x:t>
  </x:si>
  <x:si>
    <x:t>S016766</x:t>
  </x:si>
  <x:si>
    <x:t>R8114038</x:t>
  </x:si>
  <x:si>
    <x:t>S016767</x:t>
  </x:si>
  <x:si>
    <x:t>DD</x:t>
  </x:si>
  <x:si>
    <x:t>R8113001</x:t>
  </x:si>
  <x:si>
    <x:t>S016770</x:t>
  </x:si>
  <x:si>
    <x:t>YZA1865157-63111-0K090-IMV</x:t>
  </x:si>
  <x:si>
    <x:t>IMV  SER</x:t>
  </x:si>
  <x:si>
    <x:t>S016771</x:t>
  </x:si>
  <x:si>
    <x:t>YZA1865275-67141.2-0K070-660A</x:t>
  </x:si>
  <x:si>
    <x:t>S016801</x:t>
  </x:si>
  <x:si>
    <x:t>YZA1865337-57417.8-640A</x:t>
  </x:si>
  <x:si>
    <x:t>S016818</x:t>
  </x:si>
  <x:si>
    <x:t>S016824</x:t>
  </x:si>
  <x:si>
    <x:t>47353.4-0K010-A</x:t>
  </x:si>
  <x:si>
    <x:t>S016825</x:t>
  </x:si>
  <x:si>
    <x:t>61657-0K010</x:t>
  </x:si>
  <x:si>
    <x:t>S016826</x:t>
  </x:si>
  <x:si>
    <x:t>57217.8-0K040</x:t>
  </x:si>
  <x:si>
    <x:t>S016828</x:t>
  </x:si>
  <x:si>
    <x:t>48657.8-0K020</x:t>
  </x:si>
  <x:si>
    <x:t>S016829</x:t>
  </x:si>
  <x:si>
    <x:t>51523.4-0K010-B</x:t>
  </x:si>
  <x:si>
    <x:t>S016830</x:t>
  </x:si>
  <x:si>
    <x:t>51963-0K010-A</x:t>
  </x:si>
  <x:si>
    <x:t>S016831</x:t>
  </x:si>
  <x:si>
    <x:t>51966-0K010</x:t>
  </x:si>
  <x:si>
    <x:t>S016832</x:t>
  </x:si>
  <x:si>
    <x:t>51967-0K010-B</x:t>
  </x:si>
  <x:si>
    <x:t>S016833</x:t>
  </x:si>
  <x:si>
    <x:t>S016834</x:t>
  </x:si>
  <x:si>
    <x:t>57771-KK010</x:t>
  </x:si>
  <x:si>
    <x:t>S016835</x:t>
  </x:si>
  <x:si>
    <x:t>S016837</x:t>
  </x:si>
  <x:si>
    <x:t>57645.6-0D090</x:t>
  </x:si>
  <x:si>
    <x:t>S016838</x:t>
  </x:si>
  <x:si>
    <x:t>SPH310-OD</x:t>
  </x:si>
  <x:si>
    <x:t>31341-0D030</x:t>
  </x:si>
  <x:si>
    <x:t>S016845</x:t>
  </x:si>
  <x:si>
    <x:t>61641.2-0D130</x:t>
  </x:si>
  <x:si>
    <x:t>S016847</x:t>
  </x:si>
  <x:si>
    <x:t>53218-0D150</x:t>
  </x:si>
  <x:si>
    <x:t>S016852</x:t>
  </x:si>
  <x:si>
    <x:t>51321.2-KK010-B</x:t>
  </x:si>
  <x:si>
    <x:t>S016854</x:t>
  </x:si>
  <x:si>
    <x:t>51563.4-KK040-B</x:t>
  </x:si>
  <x:si>
    <x:t>S016859</x:t>
  </x:si>
  <x:si>
    <x:t>YZA1863314-57628.9-KK010-640A</x:t>
  </x:si>
  <x:si>
    <x:t>S016861</x:t>
  </x:si>
  <x:si>
    <x:t>58339-0D040</x:t>
  </x:si>
  <x:si>
    <x:t>S016862</x:t>
  </x:si>
  <x:si>
    <x:t>74481-KK010</x:t>
  </x:si>
  <x:si>
    <x:t>S016863</x:t>
  </x:si>
  <x:si>
    <x:t>53268.9-KK010</x:t>
  </x:si>
  <x:si>
    <x:t>S016865</x:t>
  </x:si>
  <x:si>
    <x:t>S016867</x:t>
  </x:si>
  <x:si>
    <x:t>S016870</x:t>
  </x:si>
  <x:si>
    <x:t>55121-0D310</x:t>
  </x:si>
  <x:si>
    <x:t>S016873</x:t>
  </x:si>
  <x:si>
    <x:t>61371.81-KK010RM</x:t>
  </x:si>
  <x:si>
    <x:t>S016874</x:t>
  </x:si>
  <x:si>
    <x:t>57419-0D140RM</x:t>
  </x:si>
  <x:si>
    <x:t>S016876</x:t>
  </x:si>
  <x:si>
    <x:t>77296-0D120</x:t>
  </x:si>
  <x:si>
    <x:t>231B+EXPOR</x:t>
  </x:si>
  <x:si>
    <x:t>S016878</x:t>
  </x:si>
  <x:si>
    <x:t>674030K100674040K100</x:t>
  </x:si>
  <x:si>
    <x:t>650A+EXPOR</x:t>
  </x:si>
  <x:si>
    <x:t>S016879</x:t>
  </x:si>
  <x:si>
    <x:t>51597.8-KK010</x:t>
  </x:si>
  <x:si>
    <x:t>S016880</x:t>
  </x:si>
  <x:si>
    <x:t>67403/4-0K100</x:t>
  </x:si>
  <x:si>
    <x:t>S016882</x:t>
  </x:si>
  <x:si>
    <x:t>31315-OD450</x:t>
  </x:si>
  <x:si>
    <x:t>S016884</x:t>
  </x:si>
  <x:si>
    <x:t>51298-0K010</x:t>
  </x:si>
  <x:si>
    <x:t>S016889</x:t>
  </x:si>
  <x:si>
    <x:t>51545.6-KK010</x:t>
  </x:si>
  <x:si>
    <x:t>S016896</x:t>
  </x:si>
  <x:si>
    <x:t>53217-KK020RM</x:t>
  </x:si>
  <x:si>
    <x:t>S016898</x:t>
  </x:si>
  <x:si>
    <x:t>53279-KK010RM</x:t>
  </x:si>
  <x:si>
    <x:t>S016900</x:t>
  </x:si>
  <x:si>
    <x:t>42142-0K010-A</x:t>
  </x:si>
  <x:si>
    <x:t>S016901</x:t>
  </x:si>
  <x:si>
    <x:t>61748-0K050RM1</x:t>
  </x:si>
  <x:si>
    <x:t>S016902</x:t>
  </x:si>
  <x:si>
    <x:t>67391-0K040RM</x:t>
  </x:si>
  <x:si>
    <x:t>S016904</x:t>
  </x:si>
  <x:si>
    <x:t>S016908</x:t>
  </x:si>
  <x:si>
    <x:t>TYPE EDD</x:t>
  </x:si>
  <x:si>
    <x:t>S016915</x:t>
  </x:si>
  <x:si>
    <x:t>S016917</x:t>
  </x:si>
  <x:si>
    <x:t>S016938</x:t>
  </x:si>
  <x:si>
    <x:t>61121.2-KK010-A</x:t>
  </x:si>
  <x:si>
    <x:t>S016939</x:t>
  </x:si>
  <x:si>
    <x:t>57221.2-KK010</x:t>
  </x:si>
  <x:si>
    <x:t>S016943</x:t>
  </x:si>
  <x:si>
    <x:t>17521-0E020</x:t>
  </x:si>
  <x:si>
    <x:t>716B</x:t>
  </x:si>
  <x:si>
    <x:t>S016948</x:t>
  </x:si>
  <x:si>
    <x:t>55339</x:t>
  </x:si>
  <x:si>
    <x:t>S016950</x:t>
  </x:si>
  <x:si>
    <x:t>PYZA1480091RM</x:t>
  </x:si>
  <x:si>
    <x:t>S016952</x:t>
  </x:si>
  <x:si>
    <x:t>55352-0D040</x:t>
  </x:si>
  <x:si>
    <x:t>S016956</x:t>
  </x:si>
  <x:si>
    <x:t>55321.34-0D260/170</x:t>
  </x:si>
  <x:si>
    <x:t>S016958</x:t>
  </x:si>
  <x:si>
    <x:t>PYZA1030853RM</x:t>
  </x:si>
  <x:si>
    <x:t>S016972</x:t>
  </x:si>
  <x:si>
    <x:t>67391-0K020</x:t>
  </x:si>
  <x:si>
    <x:t>S016974</x:t>
  </x:si>
  <x:si>
    <x:t>K-67 0UTER R/L</x:t>
  </x:si>
  <x:si>
    <x:t>S016975</x:t>
  </x:si>
  <x:si>
    <x:t>S016976</x:t>
  </x:si>
  <x:si>
    <x:t>51515-0K010-A</x:t>
  </x:si>
  <x:si>
    <x:t>S016978</x:t>
  </x:si>
  <x:si>
    <x:t>47115-12060</x:t>
  </x:si>
  <x:si>
    <x:t>S016980</x:t>
  </x:si>
  <x:si>
    <x:t>CR4</x:t>
  </x:si>
  <x:si>
    <x:t>3146516</x:t>
  </x:si>
  <x:si>
    <x:t>NEEL METAL</x:t>
  </x:si>
  <x:si>
    <x:t>S016986</x:t>
  </x:si>
  <x:si>
    <x:t>53728-0K010</x:t>
  </x:si>
  <x:si>
    <x:t>S016988</x:t>
  </x:si>
  <x:si>
    <x:t>53777-0K020</x:t>
  </x:si>
  <x:si>
    <x:t>S016990</x:t>
  </x:si>
  <x:si>
    <x:t>51547-0K010</x:t>
  </x:si>
  <x:si>
    <x:t>S017019</x:t>
  </x:si>
  <x:si>
    <x:t>53235-OK030</x:t>
  </x:si>
  <x:si>
    <x:t>S017021</x:t>
  </x:si>
  <x:si>
    <x:t>61665-0K020</x:t>
  </x:si>
  <x:si>
    <x:t>S017026</x:t>
  </x:si>
  <x:si>
    <x:t>51721.2-0K010</x:t>
  </x:si>
  <x:si>
    <x:t>S017028</x:t>
  </x:si>
  <x:si>
    <x:t>S017032</x:t>
  </x:si>
  <x:si>
    <x:t>YZA1865124-61615.6-IMV</x:t>
  </x:si>
  <x:si>
    <x:t>S017033</x:t>
  </x:si>
  <x:si>
    <x:t>51573-0K010</x:t>
  </x:si>
  <x:si>
    <x:t>S017034</x:t>
  </x:si>
  <x:si>
    <x:t>48546-0K030</x:t>
  </x:si>
  <x:si>
    <x:t>INNSERPART</x:t>
  </x:si>
  <x:si>
    <x:t>S017039</x:t>
  </x:si>
  <x:si>
    <x:t>48518-0K030</x:t>
  </x:si>
  <x:si>
    <x:t>S017042</x:t>
  </x:si>
  <x:si>
    <x:t>S017043</x:t>
  </x:si>
  <x:si>
    <x:t>67125.6-0D080</x:t>
  </x:si>
  <x:si>
    <x:t>S017044</x:t>
  </x:si>
  <x:si>
    <x:t>S017045</x:t>
  </x:si>
  <x:si>
    <x:t>67127-0D070</x:t>
  </x:si>
  <x:si>
    <x:t>S017046</x:t>
  </x:si>
  <x:si>
    <x:t>S017051</x:t>
  </x:si>
  <x:si>
    <x:t>61737.8-0D020</x:t>
  </x:si>
  <x:si>
    <x:t>S017052</x:t>
  </x:si>
  <x:si>
    <x:t>S017056</x:t>
  </x:si>
  <x:si>
    <x:t>63142-0K030</x:t>
  </x:si>
  <x:si>
    <x:t>S017058</x:t>
  </x:si>
  <x:si>
    <x:t>S017059</x:t>
  </x:si>
  <x:si>
    <x:t>YZA1865340-67113.4-650A</x:t>
  </x:si>
  <x:si>
    <x:t>S017060</x:t>
  </x:si>
  <x:si>
    <x:t>YZA1865343-67115-650A-SCROLL</x:t>
  </x:si>
  <x:si>
    <x:t>S017068</x:t>
  </x:si>
  <x:si>
    <x:t>47932-0K010</x:t>
  </x:si>
  <x:si>
    <x:t>S017069</x:t>
  </x:si>
  <x:si>
    <x:t>42157-0K010</x:t>
  </x:si>
  <x:si>
    <x:t>S017071</x:t>
  </x:si>
  <x:si>
    <x:t>53273.4-0K030</x:t>
  </x:si>
  <x:si>
    <x:t>S017074</x:t>
  </x:si>
  <x:si>
    <x:t>77656-0K010</x:t>
  </x:si>
  <x:si>
    <x:t>S017076</x:t>
  </x:si>
  <x:si>
    <x:t>47355-0K010</x:t>
  </x:si>
  <x:si>
    <x:t>S017077</x:t>
  </x:si>
  <x:si>
    <x:t>57125.6-0K010</x:t>
  </x:si>
  <x:si>
    <x:t>S017081</x:t>
  </x:si>
  <x:si>
    <x:t>YZA1865280-61733-660A</x:t>
  </x:si>
  <x:si>
    <x:t>S017083</x:t>
  </x:si>
  <x:si>
    <x:t>67142-T7000</x:t>
  </x:si>
  <x:si>
    <x:t>S017085</x:t>
  </x:si>
  <x:si>
    <x:t>S017088</x:t>
  </x:si>
  <x:si>
    <x:t>67323-0D040</x:t>
  </x:si>
  <x:si>
    <x:t>S017089</x:t>
  </x:si>
  <x:si>
    <x:t>R8118038</x:t>
  </x:si>
  <x:si>
    <x:t>S017090</x:t>
  </x:si>
  <x:si>
    <x:t>R8114117</x:t>
  </x:si>
  <x:si>
    <x:t>S017091</x:t>
  </x:si>
  <x:si>
    <x:t>76152-T7000/76162-T7000</x:t>
  </x:si>
  <x:si>
    <x:t>S017092</x:t>
  </x:si>
  <x:si>
    <x:t>76153-T7000/76163-T7000</x:t>
  </x:si>
  <x:si>
    <x:t>S017093</x:t>
  </x:si>
  <x:si>
    <x:t>77152-T7000/77162-T7000</x:t>
  </x:si>
  <x:si>
    <x:t>S017094</x:t>
  </x:si>
  <x:si>
    <x:t>77153-T7000/77163-T7000</x:t>
  </x:si>
  <x:si>
    <x:t>S017097</x:t>
  </x:si>
  <x:si>
    <x:t>SPRC340</x:t>
  </x:si>
  <x:si>
    <x:t>67122-T7000</x:t>
  </x:si>
  <x:si>
    <x:t>S017100</x:t>
  </x:si>
  <x:si>
    <x:t>67162-T7000</x:t>
  </x:si>
  <x:si>
    <x:t>S017102</x:t>
  </x:si>
  <x:si>
    <x:t>67118.28-T7000</x:t>
  </x:si>
  <x:si>
    <x:t>S017103</x:t>
  </x:si>
  <x:si>
    <x:t>GA IF</x:t>
  </x:si>
  <x:si>
    <x:t>S017105</x:t>
  </x:si>
  <x:si>
    <x:t>76195-BV000/76196-BV000</x:t>
  </x:si>
  <x:si>
    <x:t>S017107</x:t>
  </x:si>
  <x:si>
    <x:t>76271-BV000/76281-BV000</x:t>
  </x:si>
  <x:si>
    <x:t>S017109</x:t>
  </x:si>
  <x:si>
    <x:t>77195-BV000/77196-BV000</x:t>
  </x:si>
  <x:si>
    <x:t>S017111</x:t>
  </x:si>
  <x:si>
    <x:t>77271-BV000/77281-BV000</x:t>
  </x:si>
  <x:si>
    <x:t>S017112</x:t>
  </x:si>
  <x:si>
    <x:t>67327.8-0D030</x:t>
  </x:si>
  <x:si>
    <x:t>S017117</x:t>
  </x:si>
  <x:si>
    <x:t>72169-32TK1</x:t>
  </x:si>
  <x:si>
    <x:t>32TK PROJE</x:t>
  </x:si>
  <x:si>
    <x:t>S017119</x:t>
  </x:si>
  <x:si>
    <x:t>51365-0K010</x:t>
  </x:si>
  <x:si>
    <x:t>S017122</x:t>
  </x:si>
  <x:si>
    <x:t>N9510041</x:t>
  </x:si>
  <x:si>
    <x:t>S017124</x:t>
  </x:si>
  <x:si>
    <x:t>S017126</x:t>
  </x:si>
  <x:si>
    <x:t>S017128</x:t>
  </x:si>
  <x:si>
    <x:t>S017130</x:t>
  </x:si>
  <x:si>
    <x:t>S017132</x:t>
  </x:si>
  <x:si>
    <x:t>67132-T7000</x:t>
  </x:si>
  <x:si>
    <x:t>S017140</x:t>
  </x:si>
  <x:si>
    <x:t>BSL</x:t>
  </x:si>
  <x:si>
    <x:t>CR2:IS513</x:t>
  </x:si>
  <x:si>
    <x:t>S017141</x:t>
  </x:si>
  <x:si>
    <x:t>CR4:IS513</x:t>
  </x:si>
  <x:si>
    <x:t>MSJB11900091500H</x:t>
  </x:si>
  <x:si>
    <x:t>S017142</x:t>
  </x:si>
  <x:si>
    <x:t>YZA1865286-61641.2-640A</x:t>
  </x:si>
  <x:si>
    <x:t>S017143</x:t>
  </x:si>
  <x:si>
    <x:t>FCT-KIA</x:t>
  </x:si>
  <x:si>
    <x:t>S017144</x:t>
  </x:si>
  <x:si>
    <x:t>S017145</x:t>
  </x:si>
  <x:si>
    <x:t>S017146</x:t>
  </x:si>
  <x:si>
    <x:t>S017151</x:t>
  </x:si>
  <x:si>
    <x:t>S017153</x:t>
  </x:si>
  <x:si>
    <x:t>63137-0K010</x:t>
  </x:si>
  <x:si>
    <x:t>S017155</x:t>
  </x:si>
  <x:si>
    <x:t>69884-0D050</x:t>
  </x:si>
  <x:si>
    <x:t>480W</x:t>
  </x:si>
  <x:si>
    <x:t>S017158</x:t>
  </x:si>
  <x:si>
    <x:t>58335.6-0K010</x:t>
  </x:si>
  <x:si>
    <x:t>S017159</x:t>
  </x:si>
  <x:si>
    <x:t>58373-0D080</x:t>
  </x:si>
  <x:si>
    <x:t>SD+EXPORT</x:t>
  </x:si>
  <x:si>
    <x:t>S017160</x:t>
  </x:si>
  <x:si>
    <x:t>58114-0D090</x:t>
  </x:si>
  <x:si>
    <x:t>S017165</x:t>
  </x:si>
  <x:si>
    <x:t>67449-KK030.40</x:t>
  </x:si>
  <x:si>
    <x:t>S017166</x:t>
  </x:si>
  <x:si>
    <x:t>YZA1865304-53321- COM-0D061</x:t>
  </x:si>
  <x:si>
    <x:t>S017168</x:t>
  </x:si>
  <x:si>
    <x:t>000000000000008840</x:t>
  </x:si>
  <x:si>
    <x:t>GURUKUL</x:t>
  </x:si>
  <x:si>
    <x:t>S017169</x:t>
  </x:si>
  <x:si>
    <x:t>000000000000008839</x:t>
  </x:si>
  <x:si>
    <x:t>S017171</x:t>
  </x:si>
  <x:si>
    <x:t>631470K010RM</x:t>
  </x:si>
  <x:si>
    <x:t>S017173</x:t>
  </x:si>
  <x:si>
    <x:t>61171/2-0K040RM3</x:t>
  </x:si>
  <x:si>
    <x:t>S017174</x:t>
  </x:si>
  <x:si>
    <x:t>61373.83-0K040RM3</x:t>
  </x:si>
  <x:si>
    <x:t>S017175</x:t>
  </x:si>
  <x:si>
    <x:t>557250K010RM1</x:t>
  </x:si>
  <x:si>
    <x:t>S017181</x:t>
  </x:si>
  <x:si>
    <x:t>12631-913YL-2</x:t>
  </x:si>
  <x:si>
    <x:t>S017183</x:t>
  </x:si>
  <x:si>
    <x:t>61212-0K020</x:t>
  </x:si>
  <x:si>
    <x:t>S017185</x:t>
  </x:si>
  <x:si>
    <x:t>51453-02020-T1</x:t>
  </x:si>
  <x:si>
    <x:t>S017188</x:t>
  </x:si>
  <x:si>
    <x:t>YZA1865342-53812-650A</x:t>
  </x:si>
  <x:si>
    <x:t>S017206</x:t>
  </x:si>
  <x:si>
    <x:t>57145-0D070</x:t>
  </x:si>
  <x:si>
    <x:t>S017211</x:t>
  </x:si>
  <x:si>
    <x:t>51426-0K020</x:t>
  </x:si>
  <x:si>
    <x:t>S017213</x:t>
  </x:si>
  <x:si>
    <x:t>51425-0K010</x:t>
  </x:si>
  <x:si>
    <x:t>S017214</x:t>
  </x:si>
  <x:si>
    <x:t>53223.4-0K020</x:t>
  </x:si>
  <x:si>
    <x:t>S017217</x:t>
  </x:si>
  <x:si>
    <x:t>57146-0D040</x:t>
  </x:si>
  <x:si>
    <x:t>S017218</x:t>
  </x:si>
  <x:si>
    <x:t>58115-0D010</x:t>
  </x:si>
  <x:si>
    <x:t>S017220</x:t>
  </x:si>
  <x:si>
    <x:t>S017222</x:t>
  </x:si>
  <x:si>
    <x:t>772660D070T1RM</x:t>
  </x:si>
  <x:si>
    <x:t>S017226</x:t>
  </x:si>
  <x:si>
    <x:t>S017227</x:t>
  </x:si>
  <x:si>
    <x:t>S017228</x:t>
  </x:si>
  <x:si>
    <x:t>532150D17000RM</x:t>
  </x:si>
  <x:si>
    <x:t>S017229</x:t>
  </x:si>
  <x:si>
    <x:t>63137-KK030-B</x:t>
  </x:si>
  <x:si>
    <x:t>S017230</x:t>
  </x:si>
  <x:si>
    <x:t>S017231</x:t>
  </x:si>
  <x:si>
    <x:t>S017233</x:t>
  </x:si>
  <x:si>
    <x:t>57194ODO40RM</x:t>
  </x:si>
  <x:si>
    <x:t>HB/SDN</x:t>
  </x:si>
  <x:si>
    <x:t>S017235</x:t>
  </x:si>
  <x:si>
    <x:t>551680D060RM</x:t>
  </x:si>
  <x:si>
    <x:t>S017236</x:t>
  </x:si>
  <x:si>
    <x:t>S017237</x:t>
  </x:si>
  <x:si>
    <x:t>S017238</x:t>
  </x:si>
  <x:si>
    <x:t>S017240</x:t>
  </x:si>
  <x:si>
    <x:t>S017241</x:t>
  </x:si>
  <x:si>
    <x:t>R0714233</x:t>
  </x:si>
  <x:si>
    <x:t>S017244</x:t>
  </x:si>
  <x:si>
    <x:t>S017245</x:t>
  </x:si>
  <x:si>
    <x:t>YZA1865301-53713.4</x:t>
  </x:si>
  <x:si>
    <x:t>S017248</x:t>
  </x:si>
  <x:si>
    <x:t>77197/8-T7000-REINF RR DR OTR,LH/RH</x:t>
  </x:si>
  <x:si>
    <x:t>S017249</x:t>
  </x:si>
  <x:si>
    <x:t>45253-KK010</x:t>
  </x:si>
  <x:si>
    <x:t>S017252</x:t>
  </x:si>
  <x:si>
    <x:t>32929-KK020</x:t>
  </x:si>
  <x:si>
    <x:t>S017255</x:t>
  </x:si>
  <x:si>
    <x:t>61517.8-KK020</x:t>
  </x:si>
  <x:si>
    <x:t>S017257</x:t>
  </x:si>
  <x:si>
    <x:t>52346-0K060</x:t>
  </x:si>
  <x:si>
    <x:t>S017258</x:t>
  </x:si>
  <x:si>
    <x:t>68945.6-0K051</x:t>
  </x:si>
  <x:si>
    <x:t>S017260</x:t>
  </x:si>
  <x:si>
    <x:t>GC153-00410</x:t>
  </x:si>
  <x:si>
    <x:t>S017262</x:t>
  </x:si>
  <x:si>
    <x:t>45561-0K010</x:t>
  </x:si>
  <x:si>
    <x:t>S017264</x:t>
  </x:si>
  <x:si>
    <x:t>82715-0DW80-2</x:t>
  </x:si>
  <x:si>
    <x:t>S017265</x:t>
  </x:si>
  <x:si>
    <x:t>58371-KK010</x:t>
  </x:si>
  <x:si>
    <x:t>S017267</x:t>
  </x:si>
  <x:si>
    <x:t>82715-0DW80-1</x:t>
  </x:si>
  <x:si>
    <x:t>S017269</x:t>
  </x:si>
  <x:si>
    <x:t>82715-0DV90</x:t>
  </x:si>
  <x:si>
    <x:t>S017271</x:t>
  </x:si>
  <x:si>
    <x:t>61737.8-0D160</x:t>
  </x:si>
  <x:si>
    <x:t>S017273</x:t>
  </x:si>
  <x:si>
    <x:t>51428-0D050</x:t>
  </x:si>
  <x:si>
    <x:t>S017275</x:t>
  </x:si>
  <x:si>
    <x:t>31484-KK010</x:t>
  </x:si>
  <x:si>
    <x:t>S017276</x:t>
  </x:si>
  <x:si>
    <x:t>S017277</x:t>
  </x:si>
  <x:si>
    <x:t>S017280</x:t>
  </x:si>
  <x:si>
    <x:t>61739-0K0100-B</x:t>
  </x:si>
  <x:si>
    <x:t>S017282</x:t>
  </x:si>
  <x:si>
    <x:t>55773-0K020</x:t>
  </x:si>
  <x:si>
    <x:t>S017285</x:t>
  </x:si>
  <x:si>
    <x:t>57113.4-0D010</x:t>
  </x:si>
  <x:si>
    <x:t>S017287</x:t>
  </x:si>
  <x:si>
    <x:t>S017289</x:t>
  </x:si>
  <x:si>
    <x:t>77863-KK020</x:t>
  </x:si>
  <x:si>
    <x:t>S017295</x:t>
  </x:si>
  <x:si>
    <x:t>77851-KK030-2</x:t>
  </x:si>
  <x:si>
    <x:t>S017301</x:t>
  </x:si>
  <x:si>
    <x:t>77854-KK010</x:t>
  </x:si>
  <x:si>
    <x:t>S017305</x:t>
  </x:si>
  <x:si>
    <x:t>82715-KKA80</x:t>
  </x:si>
  <x:si>
    <x:t>S017309</x:t>
  </x:si>
  <x:si>
    <x:t>82715-KKA20</x:t>
  </x:si>
  <x:si>
    <x:t>S017312</x:t>
  </x:si>
  <x:si>
    <x:t>GPD</x:t>
  </x:si>
  <x:si>
    <x:t>S017313</x:t>
  </x:si>
  <x:si>
    <x:t>S017314</x:t>
  </x:si>
  <x:si>
    <x:t>S017315</x:t>
  </x:si>
  <x:si>
    <x:t>S017316</x:t>
  </x:si>
  <x:si>
    <x:t>S017317</x:t>
  </x:si>
  <x:si>
    <x:t>S017318</x:t>
  </x:si>
  <x:si>
    <x:t>S017319</x:t>
  </x:si>
  <x:si>
    <x:t>S017320</x:t>
  </x:si>
  <x:si>
    <x:t>S017321</x:t>
  </x:si>
  <x:si>
    <x:t>S017331</x:t>
  </x:si>
  <x:si>
    <x:t>S017332</x:t>
  </x:si>
  <x:si>
    <x:t>S017333</x:t>
  </x:si>
  <x:si>
    <x:t>S017334</x:t>
  </x:si>
  <x:si>
    <x:t>S017335</x:t>
  </x:si>
  <x:si>
    <x:t>S017336</x:t>
  </x:si>
  <x:si>
    <x:t>S017337</x:t>
  </x:si>
  <x:si>
    <x:t>S017338</x:t>
  </x:si>
  <x:si>
    <x:t>S017339</x:t>
  </x:si>
  <x:si>
    <x:t>S017340</x:t>
  </x:si>
  <x:si>
    <x:t>S017341</x:t>
  </x:si>
  <x:si>
    <x:t>S017342</x:t>
  </x:si>
  <x:si>
    <x:t>S017343</x:t>
  </x:si>
  <x:si>
    <x:t>S017344</x:t>
  </x:si>
  <x:si>
    <x:t>S017346</x:t>
  </x:si>
  <x:si>
    <x:t>S017347</x:t>
  </x:si>
  <x:si>
    <x:t>S017348</x:t>
  </x:si>
  <x:si>
    <x:t>S017350</x:t>
  </x:si>
  <x:si>
    <x:t>S017351</x:t>
  </x:si>
  <x:si>
    <x:t>S017352</x:t>
  </x:si>
  <x:si>
    <x:t>S017353</x:t>
  </x:si>
  <x:si>
    <x:t>S017354</x:t>
  </x:si>
  <x:si>
    <x:t>S017355</x:t>
  </x:si>
  <x:si>
    <x:t>S017356</x:t>
  </x:si>
  <x:si>
    <x:t>S017357</x:t>
  </x:si>
  <x:si>
    <x:t>S017358</x:t>
  </x:si>
  <x:si>
    <x:t>S017359</x:t>
  </x:si>
  <x:si>
    <x:t>S017360</x:t>
  </x:si>
  <x:si>
    <x:t>S017361</x:t>
  </x:si>
  <x:si>
    <x:t>S017362</x:t>
  </x:si>
  <x:si>
    <x:t>S017363</x:t>
  </x:si>
  <x:si>
    <x:t>S017364</x:t>
  </x:si>
  <x:si>
    <x:t>S017366</x:t>
  </x:si>
  <x:si>
    <x:t>R0714270</x:t>
  </x:si>
  <x:si>
    <x:t>S017368</x:t>
  </x:si>
  <x:si>
    <x:t>67152-Q6000</x:t>
  </x:si>
  <x:si>
    <x:t>S017369</x:t>
  </x:si>
  <x:si>
    <x:t>S017372</x:t>
  </x:si>
  <x:si>
    <x:t>S017374</x:t>
  </x:si>
  <x:si>
    <x:t>S017376</x:t>
  </x:si>
  <x:si>
    <x:t>S017378</x:t>
  </x:si>
  <x:si>
    <x:t>S017379</x:t>
  </x:si>
  <x:si>
    <x:t>S017382</x:t>
  </x:si>
  <x:si>
    <x:t>76152-CC000/76162-CC000</x:t>
  </x:si>
  <x:si>
    <x:t>KIA QY</x:t>
  </x:si>
  <x:si>
    <x:t>S017384</x:t>
  </x:si>
  <x:si>
    <x:t>76154-CC000/76164-CC000</x:t>
  </x:si>
  <x:si>
    <x:t>S017386</x:t>
  </x:si>
  <x:si>
    <x:t>76153-CC000/76163-CC000</x:t>
  </x:si>
  <x:si>
    <x:t>S017387</x:t>
  </x:si>
  <x:si>
    <x:t>77152-CC000/77162-CC000</x:t>
  </x:si>
  <x:si>
    <x:t>S017388</x:t>
  </x:si>
  <x:si>
    <x:t>77153-CC000/77163-CC000</x:t>
  </x:si>
  <x:si>
    <x:t>S017390</x:t>
  </x:si>
  <x:si>
    <x:t>67152-CC000</x:t>
  </x:si>
  <x:si>
    <x:t>S017392</x:t>
  </x:si>
  <x:si>
    <x:t>67162-CC000</x:t>
  </x:si>
  <x:si>
    <x:t>S017394</x:t>
  </x:si>
  <x:si>
    <x:t>67172-CC000</x:t>
  </x:si>
  <x:si>
    <x:t>S017396</x:t>
  </x:si>
  <x:si>
    <x:t>67122-CC000</x:t>
  </x:si>
  <x:si>
    <x:t>S017398</x:t>
  </x:si>
  <x:si>
    <x:t>67132-CC000</x:t>
  </x:si>
  <x:si>
    <x:t>S017401</x:t>
  </x:si>
  <x:si>
    <x:t>SPRC440</x:t>
  </x:si>
  <x:si>
    <x:t>S017402</x:t>
  </x:si>
  <x:si>
    <x:t>671C1-CC800</x:t>
  </x:si>
  <x:si>
    <x:t>S017405</x:t>
  </x:si>
  <x:si>
    <x:t>77861-KK030</x:t>
  </x:si>
  <x:si>
    <x:t>S017407</x:t>
  </x:si>
  <x:si>
    <x:t>69833-24010</x:t>
  </x:si>
  <x:si>
    <x:t>S017409</x:t>
  </x:si>
  <x:si>
    <x:t>S017413</x:t>
  </x:si>
  <x:si>
    <x:t>61739-0K011</x:t>
  </x:si>
  <x:si>
    <x:t>S017415</x:t>
  </x:si>
  <x:si>
    <x:t>53723-0K010</x:t>
  </x:si>
  <x:si>
    <x:t>S017417</x:t>
  </x:si>
  <x:si>
    <x:t>42126-KK070</x:t>
  </x:si>
  <x:si>
    <x:t>S017418</x:t>
  </x:si>
  <x:si>
    <x:t>52166-0K060</x:t>
  </x:si>
  <x:si>
    <x:t>S017431</x:t>
  </x:si>
  <x:si>
    <x:t>51315-KK010</x:t>
  </x:si>
  <x:si>
    <x:t>S017432</x:t>
  </x:si>
  <x:si>
    <x:t>76195-BV0000/76196-BV000</x:t>
  </x:si>
  <x:si>
    <x:t>Kia-Su2i</x:t>
  </x:si>
  <x:si>
    <x:t>S017439</x:t>
  </x:si>
  <x:si>
    <x:t>S017440</x:t>
  </x:si>
  <x:si>
    <x:t>S017442</x:t>
  </x:si>
  <x:si>
    <x:t>S017444</x:t>
  </x:si>
  <x:si>
    <x:t>617660K020RM1</x:t>
  </x:si>
  <x:si>
    <x:t>S017445</x:t>
  </x:si>
  <x:si>
    <x:t>67323.4-0K040</x:t>
  </x:si>
  <x:si>
    <x:t>S017449</x:t>
  </x:si>
  <x:si>
    <x:t>51487-KK010</x:t>
  </x:si>
  <x:si>
    <x:t>S017450</x:t>
  </x:si>
  <x:si>
    <x:t>61767.79-KK020/10-A</x:t>
  </x:si>
  <x:si>
    <x:t>S017452</x:t>
  </x:si>
  <x:si>
    <x:t>37331-0K050</x:t>
  </x:si>
  <x:si>
    <x:t>SERIVCE PA</x:t>
  </x:si>
  <x:si>
    <x:t>S017456</x:t>
  </x:si>
  <x:si>
    <x:t>Kia Suzi</x:t>
  </x:si>
  <x:si>
    <x:t>S017457</x:t>
  </x:si>
  <x:si>
    <x:t>S017461</x:t>
  </x:si>
  <x:si>
    <x:t>42114-0K010</x:t>
  </x:si>
  <x:si>
    <x:t>Servicepar</x:t>
  </x:si>
  <x:si>
    <x:t>S017466</x:t>
  </x:si>
  <x:si>
    <x:t>55172-KK040</x:t>
  </x:si>
  <x:si>
    <x:t>S017467</x:t>
  </x:si>
  <x:si>
    <x:t>650A 660A</x:t>
  </x:si>
  <x:si>
    <x:t>S017468</x:t>
  </x:si>
  <x:si>
    <x:t>57615.6-0K010</x:t>
  </x:si>
  <x:si>
    <x:t>S017469</x:t>
  </x:si>
  <x:si>
    <x:t>11356-0L041</x:t>
  </x:si>
  <x:si>
    <x:t>S017470</x:t>
  </x:si>
  <x:si>
    <x:t>S017471</x:t>
  </x:si>
  <x:si>
    <x:t>HB n SD</x:t>
  </x:si>
  <x:si>
    <x:t>S017473</x:t>
  </x:si>
  <x:si>
    <x:t>YZA1865347-61622-650A</x:t>
  </x:si>
  <x:si>
    <x:t>S017475</x:t>
  </x:si>
  <x:si>
    <x:t>52135-KK010</x:t>
  </x:si>
  <x:si>
    <x:t>S017476</x:t>
  </x:si>
  <x:si>
    <x:t>YZA1865346-61621-650A</x:t>
  </x:si>
  <x:si>
    <x:t>S017482</x:t>
  </x:si>
  <x:si>
    <x:t>PYZA1030853RM-55332-OD180</x:t>
  </x:si>
  <x:si>
    <x:t>S017484</x:t>
  </x:si>
  <x:si>
    <x:t>616810D020RM</x:t>
  </x:si>
  <x:si>
    <x:t>S017486</x:t>
  </x:si>
  <x:si>
    <x:t>PYZA1030855RM-55333-0D140</x:t>
  </x:si>
  <x:si>
    <x:t>S017488</x:t>
  </x:si>
  <x:si>
    <x:t>61765.6-KK010</x:t>
  </x:si>
  <x:si>
    <x:t>S017490</x:t>
  </x:si>
  <x:si>
    <x:t>64241.2-0D040</x:t>
  </x:si>
  <x:si>
    <x:t>S017492</x:t>
  </x:si>
  <x:si>
    <x:t>63197-0D080</x:t>
  </x:si>
  <x:si>
    <x:t>S017497</x:t>
  </x:si>
  <x:si>
    <x:t>46341-0K010</x:t>
  </x:si>
  <x:si>
    <x:t>S017498</x:t>
  </x:si>
  <x:si>
    <x:t>48518-KK010</x:t>
  </x:si>
  <x:si>
    <x:t>S017500</x:t>
  </x:si>
  <x:si>
    <x:t>42177-0K010</x:t>
  </x:si>
  <x:si>
    <x:t>S017501</x:t>
  </x:si>
  <x:si>
    <x:t>63132-0K040</x:t>
  </x:si>
  <x:si>
    <x:t>S017502</x:t>
  </x:si>
  <x:si>
    <x:t>51211-KK020</x:t>
  </x:si>
  <x:si>
    <x:t>S017504</x:t>
  </x:si>
  <x:si>
    <x:t>63132-KK020</x:t>
  </x:si>
  <x:si>
    <x:t>S017510</x:t>
  </x:si>
  <x:si>
    <x:t>53743-KK010</x:t>
  </x:si>
  <x:si>
    <x:t>S017514</x:t>
  </x:si>
  <x:si>
    <x:t>SGC440</x:t>
  </x:si>
  <x:si>
    <x:t>S017515</x:t>
  </x:si>
  <x:si>
    <x:t>S017516</x:t>
  </x:si>
  <x:si>
    <x:t>S017517</x:t>
  </x:si>
  <x:si>
    <x:t>S017519</x:t>
  </x:si>
  <x:si>
    <x:t>52533-DX020</x:t>
  </x:si>
  <x:si>
    <x:t>service</x:t>
  </x:si>
  <x:si>
    <x:t>S017521</x:t>
  </x:si>
  <x:si>
    <x:t>53218-DX030</x:t>
  </x:si>
  <x:si>
    <x:t>Service</x:t>
  </x:si>
  <x:si>
    <x:t>S017524</x:t>
  </x:si>
  <x:si>
    <x:t>KIA-SU2I</x:t>
  </x:si>
  <x:si>
    <x:t>S017536</x:t>
  </x:si>
  <x:si>
    <x:t>S017541</x:t>
  </x:si>
  <x:si>
    <x:t>YZA1865137-61641.2-0K040</x:t>
  </x:si>
  <x:si>
    <x:t>S017552</x:t>
  </x:si>
  <x:si>
    <x:t>67151.2-0D110</x:t>
  </x:si>
  <x:si>
    <x:t>S017554</x:t>
  </x:si>
  <x:si>
    <x:t>58991-0D040</x:t>
  </x:si>
  <x:si>
    <x:t>S017556</x:t>
  </x:si>
  <x:si>
    <x:t>58996-0D200</x:t>
  </x:si>
  <x:si>
    <x:t>S017558</x:t>
  </x:si>
  <x:si>
    <x:t>57832-0D120</x:t>
  </x:si>
  <x:si>
    <x:t>S017560</x:t>
  </x:si>
  <x:si>
    <x:t>86211.2-0D400/420</x:t>
  </x:si>
  <x:si>
    <x:t>S017562</x:t>
  </x:si>
  <x:si>
    <x:t>52183-0D170</x:t>
  </x:si>
  <x:si>
    <x:t>S017564</x:t>
  </x:si>
  <x:si>
    <x:t>73719-0D050</x:t>
  </x:si>
  <x:si>
    <x:t>S017565</x:t>
  </x:si>
  <x:si>
    <x:t>SPH590FC-OD</x:t>
  </x:si>
  <x:si>
    <x:t>Export</x:t>
  </x:si>
  <x:si>
    <x:t>S017567</x:t>
  </x:si>
  <x:si>
    <x:t>S017569</x:t>
  </x:si>
  <x:si>
    <x:t>S017570</x:t>
  </x:si>
  <x:si>
    <x:t>S017571</x:t>
  </x:si>
  <x:si>
    <x:t>57211/2-KK010-640A</x:t>
  </x:si>
  <x:si>
    <x:t>S017572</x:t>
  </x:si>
  <x:si>
    <x:t>S017573</x:t>
  </x:si>
  <x:si>
    <x:t>S017574</x:t>
  </x:si>
  <x:si>
    <x:t>PYZA1861878RM -55121-KK010</x:t>
  </x:si>
  <x:si>
    <x:t>S017575</x:t>
  </x:si>
  <x:si>
    <x:t>S017577</x:t>
  </x:si>
  <x:si>
    <x:t>YZA1865320-61621-K0030,40-231B</x:t>
  </x:si>
  <x:si>
    <x:t>S017578</x:t>
  </x:si>
  <x:si>
    <x:t>YZA1865321-61622-K0030,40-231B</x:t>
  </x:si>
  <x:si>
    <x:t>S017584</x:t>
  </x:si>
  <x:si>
    <x:t>617250D010RM</x:t>
  </x:si>
  <x:si>
    <x:t>S017586</x:t>
  </x:si>
  <x:si>
    <x:t>S017589</x:t>
  </x:si>
  <x:si>
    <x:t>S017592</x:t>
  </x:si>
  <x:si>
    <x:t>53218-0K040</x:t>
  </x:si>
  <x:si>
    <x:t>InnServpar</x:t>
  </x:si>
  <x:si>
    <x:t>S017594</x:t>
  </x:si>
  <x:si>
    <x:t>51173.4-0K020</x:t>
  </x:si>
  <x:si>
    <x:t>InnSerpar</x:t>
  </x:si>
  <x:si>
    <x:t>S017595</x:t>
  </x:si>
  <x:si>
    <x:t>42162-0K040</x:t>
  </x:si>
  <x:si>
    <x:t>S017596</x:t>
  </x:si>
  <x:si>
    <x:t>PYZA1861609RM-55315-KK010</x:t>
  </x:si>
  <x:si>
    <x:t>S017603</x:t>
  </x:si>
  <x:si>
    <x:t>61639-0K011</x:t>
  </x:si>
  <x:si>
    <x:t>S017606</x:t>
  </x:si>
  <x:si>
    <x:t>PYZA1861886RM- 55183-KK030</x:t>
  </x:si>
  <x:si>
    <x:t>S017607</x:t>
  </x:si>
  <x:si>
    <x:t>YZA1865312 -58111-660A</x:t>
  </x:si>
  <x:si>
    <x:t>S017608</x:t>
  </x:si>
  <x:si>
    <x:t>YZA1865309-61723.4-660A</x:t>
  </x:si>
  <x:si>
    <x:t>S017609</x:t>
  </x:si>
  <x:si>
    <x:t>YZA1865315-58311-660A</x:t>
  </x:si>
  <x:si>
    <x:t>S017611</x:t>
  </x:si>
  <x:si>
    <x:t>YZA1865310-61735.6-660A</x:t>
  </x:si>
  <x:si>
    <x:t>S017612</x:t>
  </x:si>
  <x:si>
    <x:t>S017615</x:t>
  </x:si>
  <x:si>
    <x:t>YZA1865311-61745.6-660A-SCROLL</x:t>
  </x:si>
  <x:si>
    <x:t>S017617</x:t>
  </x:si>
  <x:si>
    <x:t>000000000000008811-53311-660A</x:t>
  </x:si>
  <x:si>
    <x:t>S017618</x:t>
  </x:si>
  <x:si>
    <x:t>000000000000008814-61615.6-660A</x:t>
  </x:si>
  <x:si>
    <x:t>S017619</x:t>
  </x:si>
  <x:si>
    <x:t>000000000000008758-67141.2-0K070-660A</x:t>
  </x:si>
  <x:si>
    <x:t>S017620</x:t>
  </x:si>
  <x:si>
    <x:t>000000000000008813-58211-KK010-640A</x:t>
  </x:si>
  <x:si>
    <x:t>S017621</x:t>
  </x:si>
  <x:si>
    <x:t>000000000000008757-67149-660A-SB</x:t>
  </x:si>
  <x:si>
    <x:t>S017624</x:t>
  </x:si>
  <x:si>
    <x:t>000000000000008764-67141-650AL</x:t>
  </x:si>
  <x:si>
    <x:t>S017625</x:t>
  </x:si>
  <x:si>
    <x:t>000000000000008765-67142-650AL</x:t>
  </x:si>
  <x:si>
    <x:t>S017627</x:t>
  </x:si>
  <x:si>
    <x:t>223142-10620</x:t>
  </x:si>
  <x:si>
    <x:t>D-15</x:t>
  </x:si>
  <x:si>
    <x:t>S017628</x:t>
  </x:si>
  <x:si>
    <x:t>S017631</x:t>
  </x:si>
  <x:si>
    <x:t>S017632</x:t>
  </x:si>
  <x:si>
    <x:t>2170080668/3750740-S-TRAP</x:t>
  </x:si>
  <x:si>
    <x:t>APACHE 4V</x:t>
  </x:si>
  <x:si>
    <x:t>S017633</x:t>
  </x:si>
  <x:si>
    <x:t>000000000000008763-67112-KK010-650A</x:t>
  </x:si>
  <x:si>
    <x:t>S017634</x:t>
  </x:si>
  <x:si>
    <x:t>000000000000008762-67111-KK010-650A</x:t>
  </x:si>
  <x:si>
    <x:t>S017635</x:t>
  </x:si>
  <x:si>
    <x:t>YZA1865314-53321-0K110-660A</x:t>
  </x:si>
  <x:si>
    <x:t>S017636</x:t>
  </x:si>
  <x:si>
    <x:t>000000000000008756-67143.4-0K070-660A</x:t>
  </x:si>
  <x:si>
    <x:t>S017637</x:t>
  </x:si>
  <x:si>
    <x:t>SP2i</x:t>
  </x:si>
  <x:si>
    <x:t>S017638</x:t>
  </x:si>
  <x:si>
    <x:t>S017640</x:t>
  </x:si>
  <x:si>
    <x:t>6703006117</x:t>
  </x:si>
  <x:si>
    <x:t>S017642</x:t>
  </x:si>
  <x:si>
    <x:t>58171-0D060</x:t>
  </x:si>
  <x:si>
    <x:t>S017644</x:t>
  </x:si>
  <x:si>
    <x:t>58171-0D050</x:t>
  </x:si>
  <x:si>
    <x:t>S017646</x:t>
  </x:si>
  <x:si>
    <x:t>61641/2-0D050</x:t>
  </x:si>
  <x:si>
    <x:t>S017648</x:t>
  </x:si>
  <x:si>
    <x:t>S017650</x:t>
  </x:si>
  <x:si>
    <x:t>63134-OD050</x:t>
  </x:si>
  <x:si>
    <x:t>S017652</x:t>
  </x:si>
  <x:si>
    <x:t>61671.2-0D120</x:t>
  </x:si>
  <x:si>
    <x:t>S017653</x:t>
  </x:si>
  <x:si>
    <x:t>67323-0K010</x:t>
  </x:si>
  <x:si>
    <x:t>S017654</x:t>
  </x:si>
  <x:si>
    <x:t>53331-0K060</x:t>
  </x:si>
  <x:si>
    <x:t>S017656</x:t>
  </x:si>
  <x:si>
    <x:t>YZA1865323-58111-801L-0D090</x:t>
  </x:si>
  <x:si>
    <x:t>S017659</x:t>
  </x:si>
  <x:si>
    <x:t>61711.2-0D070</x:t>
  </x:si>
  <x:si>
    <x:t>S017661</x:t>
  </x:si>
  <x:si>
    <x:t>57656-0D070</x:t>
  </x:si>
  <x:si>
    <x:t>S017663</x:t>
  </x:si>
  <x:si>
    <x:t>51215-0D070</x:t>
  </x:si>
  <x:si>
    <x:t>HB&amp;SDN</x:t>
  </x:si>
  <x:si>
    <x:t>S017665</x:t>
  </x:si>
  <x:si>
    <x:t>S017667</x:t>
  </x:si>
  <x:si>
    <x:t>S017669</x:t>
  </x:si>
  <x:si>
    <x:t>67151.2-0D1100</x:t>
  </x:si>
  <x:si>
    <x:t>S017670</x:t>
  </x:si>
  <x:si>
    <x:t>S017673</x:t>
  </x:si>
  <x:si>
    <x:t>S017675</x:t>
  </x:si>
  <x:si>
    <x:t>S017677</x:t>
  </x:si>
  <x:si>
    <x:t>S017679</x:t>
  </x:si>
  <x:si>
    <x:t>58791-0D090</x:t>
  </x:si>
  <x:si>
    <x:t>S017680</x:t>
  </x:si>
  <x:si>
    <x:t>000000000000008810-67115-0K210-660A</x:t>
  </x:si>
  <x:si>
    <x:t>S017681</x:t>
  </x:si>
  <x:si>
    <x:t>000000000000008766-53321-KK011-650A</x:t>
  </x:si>
  <x:si>
    <x:t>S017683</x:t>
  </x:si>
  <x:si>
    <x:t>67321.2-0D040</x:t>
  </x:si>
  <x:si>
    <x:t>S017685</x:t>
  </x:si>
  <x:si>
    <x:t>51224/5-0D070</x:t>
  </x:si>
  <x:si>
    <x:t>S017687</x:t>
  </x:si>
  <x:si>
    <x:t>53723/4-0D020/40</x:t>
  </x:si>
  <x:si>
    <x:t>S017689</x:t>
  </x:si>
  <x:si>
    <x:t>57181-0D060</x:t>
  </x:si>
  <x:si>
    <x:t>S017691</x:t>
  </x:si>
  <x:si>
    <x:t>S017693</x:t>
  </x:si>
  <x:si>
    <x:t>S017695</x:t>
  </x:si>
  <x:si>
    <x:t>S017697</x:t>
  </x:si>
  <x:si>
    <x:t>S017700</x:t>
  </x:si>
  <x:si>
    <x:t>58373-0D040</x:t>
  </x:si>
  <x:si>
    <x:t>S017701</x:t>
  </x:si>
  <x:si>
    <x:t>S017703</x:t>
  </x:si>
  <x:si>
    <x:t>58175-0D020</x:t>
  </x:si>
  <x:si>
    <x:t>S017705</x:t>
  </x:si>
  <x:si>
    <x:t>S017708</x:t>
  </x:si>
  <x:si>
    <x:t>S017710</x:t>
  </x:si>
  <x:si>
    <x:t>58183.4-0D010</x:t>
  </x:si>
  <x:si>
    <x:t>S017712</x:t>
  </x:si>
  <x:si>
    <x:t>S017713</x:t>
  </x:si>
  <x:si>
    <x:t>S017715</x:t>
  </x:si>
  <x:si>
    <x:t>SP2I</x:t>
  </x:si>
  <x:si>
    <x:t>S017718</x:t>
  </x:si>
  <x:si>
    <x:t>64241.2-0D040.10</x:t>
  </x:si>
  <x:si>
    <x:t>S017720</x:t>
  </x:si>
  <x:si>
    <x:t>S017721</x:t>
  </x:si>
  <x:si>
    <x:t>S017722</x:t>
  </x:si>
  <x:si>
    <x:t>S017723</x:t>
  </x:si>
  <x:si>
    <x:t>S017724</x:t>
  </x:si>
  <x:si>
    <x:t>S017725</x:t>
  </x:si>
  <x:si>
    <x:t>S017726</x:t>
  </x:si>
  <x:si>
    <x:t>S017727</x:t>
  </x:si>
  <x:si>
    <x:t>S017728</x:t>
  </x:si>
  <x:si>
    <x:t>S017729</x:t>
  </x:si>
  <x:si>
    <x:t>S017730</x:t>
  </x:si>
  <x:si>
    <x:t>S017731</x:t>
  </x:si>
  <x:si>
    <x:t>S017732</x:t>
  </x:si>
  <x:si>
    <x:t>S017734</x:t>
  </x:si>
  <x:si>
    <x:t>JSWCAL</x:t>
  </x:si>
  <x:si>
    <x:t>6703006269-71111-X1V23</x:t>
  </x:si>
  <x:si>
    <x:t>S017736</x:t>
  </x:si>
  <x:si>
    <x:t>42139-KK010</x:t>
  </x:si>
  <x:si>
    <x:t>S017738</x:t>
  </x:si>
  <x:si>
    <x:t>82715-0K461</x:t>
  </x:si>
  <x:si>
    <x:t>S017740</x:t>
  </x:si>
  <x:si>
    <x:t>S017742</x:t>
  </x:si>
  <x:si>
    <x:t>37344-0K090</x:t>
  </x:si>
  <x:si>
    <x:t>S017744</x:t>
  </x:si>
  <x:si>
    <x:t>37331-0K110</x:t>
  </x:si>
  <x:si>
    <x:t>S017746</x:t>
  </x:si>
  <x:si>
    <x:t>COM-231B</x:t>
  </x:si>
  <x:si>
    <x:t>S017748</x:t>
  </x:si>
  <x:si>
    <x:t>S017750</x:t>
  </x:si>
  <x:si>
    <x:t>S017752</x:t>
  </x:si>
  <x:si>
    <x:t>S017754</x:t>
  </x:si>
  <x:si>
    <x:t>S017756</x:t>
  </x:si>
  <x:si>
    <x:t>61418.9-0D140/50</x:t>
  </x:si>
  <x:si>
    <x:t>S017758</x:t>
  </x:si>
  <x:si>
    <x:t>S017760</x:t>
  </x:si>
  <x:si>
    <x:t>S017762</x:t>
  </x:si>
  <x:si>
    <x:t>55366.8-0D260/270</x:t>
  </x:si>
  <x:si>
    <x:t>S017764</x:t>
  </x:si>
  <x:si>
    <x:t>S017766</x:t>
  </x:si>
  <x:si>
    <x:t>61517.8-0D180/90</x:t>
  </x:si>
  <x:si>
    <x:t>S017768</x:t>
  </x:si>
  <x:si>
    <x:t>S017770</x:t>
  </x:si>
  <x:si>
    <x:t>58992-0D040</x:t>
  </x:si>
  <x:si>
    <x:t>S017772</x:t>
  </x:si>
  <x:si>
    <x:t>S017773</x:t>
  </x:si>
  <x:si>
    <x:t>6703006268-79215-X7A03</x:t>
  </x:si>
  <x:si>
    <x:t>S017774</x:t>
  </x:si>
  <x:si>
    <x:t>42139-0K020-A</x:t>
  </x:si>
  <x:si>
    <x:t>S017776</x:t>
  </x:si>
  <x:si>
    <x:t>37342-0K030</x:t>
  </x:si>
  <x:si>
    <x:t>S017777</x:t>
  </x:si>
  <x:si>
    <x:t>37341-0K030</x:t>
  </x:si>
  <x:si>
    <x:t>S017778</x:t>
  </x:si>
  <x:si>
    <x:t>41252-626ML</x:t>
  </x:si>
  <x:si>
    <x:t>S017780</x:t>
  </x:si>
  <x:si>
    <x:t>42441-26010-A</x:t>
  </x:si>
  <x:si>
    <x:t>S017782</x:t>
  </x:si>
  <x:si>
    <x:t>S017783</x:t>
  </x:si>
  <x:si>
    <x:t>YZA1865332-67141-650A-KK010</x:t>
  </x:si>
  <x:si>
    <x:t>S017784</x:t>
  </x:si>
  <x:si>
    <x:t>YZA1865333-67142-650A-KK010</x:t>
  </x:si>
  <x:si>
    <x:t>S017788</x:t>
  </x:si>
  <x:si>
    <x:t>55123-0D200</x:t>
  </x:si>
  <x:si>
    <x:t>S017790</x:t>
  </x:si>
  <x:si>
    <x:t>S017792</x:t>
  </x:si>
  <x:si>
    <x:t>S017796</x:t>
  </x:si>
  <x:si>
    <x:t>S017798</x:t>
  </x:si>
  <x:si>
    <x:t>S017800</x:t>
  </x:si>
  <x:si>
    <x:t>S017802</x:t>
  </x:si>
  <x:si>
    <x:t>S017804</x:t>
  </x:si>
  <x:si>
    <x:t>S017806</x:t>
  </x:si>
  <x:si>
    <x:t>53525-0K330</x:t>
  </x:si>
  <x:si>
    <x:t>S017812</x:t>
  </x:si>
  <x:si>
    <x:t>63144-0D210</x:t>
  </x:si>
  <x:si>
    <x:t>S017813</x:t>
  </x:si>
  <x:si>
    <x:t>63143-0D230</x:t>
  </x:si>
  <x:si>
    <x:t>S017814</x:t>
  </x:si>
  <x:si>
    <x:t>63139-KK020</x:t>
  </x:si>
  <x:si>
    <x:t>S017815</x:t>
  </x:si>
  <x:si>
    <x:t>6703005202-81559-X1V00</x:t>
  </x:si>
  <x:si>
    <x:t>S017818</x:t>
  </x:si>
  <x:si>
    <x:t>S017820</x:t>
  </x:si>
  <x:si>
    <x:t>61315-0D050</x:t>
  </x:si>
  <x:si>
    <x:t>S017822</x:t>
  </x:si>
  <x:si>
    <x:t>S017824</x:t>
  </x:si>
  <x:si>
    <x:t>S017826</x:t>
  </x:si>
  <x:si>
    <x:t>17771-0Y030</x:t>
  </x:si>
  <x:si>
    <x:t>S017828</x:t>
  </x:si>
  <x:si>
    <x:t>58918-KK020</x:t>
  </x:si>
  <x:si>
    <x:t>S017830</x:t>
  </x:si>
  <x:si>
    <x:t>82715-KK160</x:t>
  </x:si>
  <x:si>
    <x:t>S017832</x:t>
  </x:si>
  <x:si>
    <x:t>58335.6-KK010</x:t>
  </x:si>
  <x:si>
    <x:t>S017833</x:t>
  </x:si>
  <x:si>
    <x:t>61178.9-KK010</x:t>
  </x:si>
  <x:si>
    <x:t>S017835</x:t>
  </x:si>
  <x:si>
    <x:t>55421-0D270</x:t>
  </x:si>
  <x:si>
    <x:t>S017836</x:t>
  </x:si>
  <x:si>
    <x:t>57637-0K010</x:t>
  </x:si>
  <x:si>
    <x:t>S017839</x:t>
  </x:si>
  <x:si>
    <x:t>YZA1865345-61731.2-650A.</x:t>
  </x:si>
  <x:si>
    <x:t>S017840</x:t>
  </x:si>
  <x:si>
    <x:t>67288-0K020</x:t>
  </x:si>
  <x:si>
    <x:t>S017842</x:t>
  </x:si>
  <x:si>
    <x:t>89175-0D040</x:t>
  </x:si>
  <x:si>
    <x:t>S017844</x:t>
  </x:si>
  <x:si>
    <x:t>82715-0DY80</x:t>
  </x:si>
  <x:si>
    <x:t>S017845</x:t>
  </x:si>
  <x:si>
    <x:t>S017846</x:t>
  </x:si>
  <x:si>
    <x:t>S017847</x:t>
  </x:si>
  <x:si>
    <x:t>S017848</x:t>
  </x:si>
  <x:si>
    <x:t>S017849</x:t>
  </x:si>
  <x:si>
    <x:t>S017850</x:t>
  </x:si>
  <x:si>
    <x:t>61137.8-KK010</x:t>
  </x:si>
  <x:si>
    <x:t>S017852</x:t>
  </x:si>
  <x:si>
    <x:t>61171-0D140</x:t>
  </x:si>
  <x:si>
    <x:t>S017854</x:t>
  </x:si>
  <x:si>
    <x:t>61172-0D050</x:t>
  </x:si>
  <x:si>
    <x:t>S017856</x:t>
  </x:si>
  <x:si>
    <x:t>S017858</x:t>
  </x:si>
  <x:si>
    <x:t>S017860</x:t>
  </x:si>
  <x:si>
    <x:t>6703006270-71162-X1V15</x:t>
  </x:si>
  <x:si>
    <x:t>S017862</x:t>
  </x:si>
  <x:si>
    <x:t>67175.6-KK010B</x:t>
  </x:si>
  <x:si>
    <x:t>S017864</x:t>
  </x:si>
  <x:si>
    <x:t>63141-0D250</x:t>
  </x:si>
  <x:si>
    <x:t>S017866</x:t>
  </x:si>
  <x:si>
    <x:t>589930D050</x:t>
  </x:si>
  <x:si>
    <x:t>S017868</x:t>
  </x:si>
  <x:si>
    <x:t>S017870</x:t>
  </x:si>
  <x:si>
    <x:t>17592-0Y020</x:t>
  </x:si>
  <x:si>
    <x:t>HB,SD&amp;231B</x:t>
  </x:si>
  <x:si>
    <x:t>S017872</x:t>
  </x:si>
  <x:si>
    <x:t>57453.4-0D110</x:t>
  </x:si>
  <x:si>
    <x:t>S017874</x:t>
  </x:si>
  <x:si>
    <x:t>231b</x:t>
  </x:si>
  <x:si>
    <x:t>S017876</x:t>
  </x:si>
  <x:si>
    <x:t>S017878</x:t>
  </x:si>
  <x:si>
    <x:t>64214-0D170</x:t>
  </x:si>
  <x:si>
    <x:t>S017880</x:t>
  </x:si>
  <x:si>
    <x:t>64511-0D250</x:t>
  </x:si>
  <x:si>
    <x:t>S017882</x:t>
  </x:si>
  <x:si>
    <x:t>55178-0D170</x:t>
  </x:si>
  <x:si>
    <x:t>S017884</x:t>
  </x:si>
  <x:si>
    <x:t>S017886</x:t>
  </x:si>
  <x:si>
    <x:t>S017888</x:t>
  </x:si>
  <x:si>
    <x:t>S017890</x:t>
  </x:si>
  <x:si>
    <x:t>S017892</x:t>
  </x:si>
  <x:si>
    <x:t>S017894</x:t>
  </x:si>
  <x:si>
    <x:t>S017896</x:t>
  </x:si>
  <x:si>
    <x:t>S017898</x:t>
  </x:si>
  <x:si>
    <x:t>82715-0DU20</x:t>
  </x:si>
  <x:si>
    <x:t>S017900</x:t>
  </x:si>
  <x:si>
    <x:t>S017902</x:t>
  </x:si>
  <x:si>
    <x:t>82715-0DZ10</x:t>
  </x:si>
  <x:si>
    <x:t>S017904</x:t>
  </x:si>
  <x:si>
    <x:t>5538G-0D080</x:t>
  </x:si>
  <x:si>
    <x:t>S017906</x:t>
  </x:si>
  <x:si>
    <x:t>S017908</x:t>
  </x:si>
  <x:si>
    <x:t>S017910</x:t>
  </x:si>
  <x:si>
    <x:t>S017912</x:t>
  </x:si>
  <x:si>
    <x:t>S017914</x:t>
  </x:si>
  <x:si>
    <x:t>5537A-0D100</x:t>
  </x:si>
  <x:si>
    <x:t>S017916</x:t>
  </x:si>
  <x:si>
    <x:t>S017917</x:t>
  </x:si>
  <x:si>
    <x:t>5538D-0D080</x:t>
  </x:si>
  <x:si>
    <x:t>S017919</x:t>
  </x:si>
  <x:si>
    <x:t>5538E-0D080</x:t>
  </x:si>
  <x:si>
    <x:t>S017921</x:t>
  </x:si>
  <x:si>
    <x:t>S017922</x:t>
  </x:si>
  <x:si>
    <x:t>82715-KK810</x:t>
  </x:si>
  <x:si>
    <x:t>660A &amp;650A</x:t>
  </x:si>
  <x:si>
    <x:t>S017923</x:t>
  </x:si>
  <x:si>
    <x:t>S017925</x:t>
  </x:si>
  <x:si>
    <x:t>S017926</x:t>
  </x:si>
  <x:si>
    <x:t>61959/69-KK010</x:t>
  </x:si>
  <x:si>
    <x:t>S017927</x:t>
  </x:si>
  <x:si>
    <x:t>1109000012</x:t>
  </x:si>
  <x:si>
    <x:t>S017929</x:t>
  </x:si>
  <x:si>
    <x:t>1109000011</x:t>
  </x:si>
  <x:si>
    <x:t>S017931</x:t>
  </x:si>
  <x:si>
    <x:t>S017933</x:t>
  </x:si>
  <x:si>
    <x:t>BI3</x:t>
  </x:si>
  <x:si>
    <x:t>S017934</x:t>
  </x:si>
  <x:si>
    <x:t>YZA1865334-67111.2-IMV</x:t>
  </x:si>
  <x:si>
    <x:t>S017935</x:t>
  </x:si>
  <x:si>
    <x:t>YZA1865335-67113.4-IMV</x:t>
  </x:si>
  <x:si>
    <x:t>S017939</x:t>
  </x:si>
  <x:si>
    <x:t>77195/6-BV000</x:t>
  </x:si>
  <x:si>
    <x:t>SU2I-KIA</x:t>
  </x:si>
  <x:si>
    <x:t>S017943</x:t>
  </x:si>
  <x:si>
    <x:t>TRAIL</x:t>
  </x:si>
  <x:si>
    <x:t>TTSSG-TRAI</x:t>
  </x:si>
  <x:si>
    <x:t>S017945</x:t>
  </x:si>
  <x:si>
    <x:t>S017946</x:t>
  </x:si>
  <x:si>
    <x:t>KONA HALF OUTER RL</x:t>
  </x:si>
  <x:si>
    <x:t>K0NA</x:t>
  </x:si>
  <x:si>
    <x:t>S017949</x:t>
  </x:si>
  <x:si>
    <x:t>51568-KK090</x:t>
  </x:si>
  <x:si>
    <x:t>S017951</x:t>
  </x:si>
  <x:si>
    <x:t>51423-0K010</x:t>
  </x:si>
  <x:si>
    <x:t>S017953</x:t>
  </x:si>
  <x:si>
    <x:t>61768-0K010-T1</x:t>
  </x:si>
  <x:si>
    <x:t>S017955</x:t>
  </x:si>
  <x:si>
    <x:t>61777-0K040</x:t>
  </x:si>
  <x:si>
    <x:t>S017957</x:t>
  </x:si>
  <x:si>
    <x:t>000000000000008823</x:t>
  </x:si>
  <x:si>
    <x:t>PAINT TRAI</x:t>
  </x:si>
  <x:si>
    <x:t>S017959</x:t>
  </x:si>
  <x:si>
    <x:t>YZA1865152-61341.2</x:t>
  </x:si>
  <x:si>
    <x:t>Qualis ser</x:t>
  </x:si>
  <x:si>
    <x:t>S017961</x:t>
  </x:si>
  <x:si>
    <x:t>S017964</x:t>
  </x:si>
  <x:si>
    <x:t>S017965</x:t>
  </x:si>
  <x:si>
    <x:t>S017966</x:t>
  </x:si>
  <x:si>
    <x:t>S017969</x:t>
  </x:si>
  <x:si>
    <x:t>58239.43-0K010</x:t>
  </x:si>
  <x:si>
    <x:t>650A&amp; 660A</x:t>
  </x:si>
  <x:si>
    <x:t>S017971</x:t>
  </x:si>
  <x:si>
    <x:t>616710D050RM</x:t>
  </x:si>
  <x:si>
    <x:t>S017973</x:t>
  </x:si>
  <x:si>
    <x:t>S017974</x:t>
  </x:si>
  <x:si>
    <x:t>S017975</x:t>
  </x:si>
  <x:si>
    <x:t>617480K050RM1</x:t>
  </x:si>
  <x:si>
    <x:t>S017976</x:t>
  </x:si>
  <x:si>
    <x:t>217075668/3800740-S-TRAP</x:t>
  </x:si>
  <x:si>
    <x:t>S017977</x:t>
  </x:si>
  <x:si>
    <x:t>S017978</x:t>
  </x:si>
  <x:si>
    <x:t>YZA1865389-61111-660A</x:t>
  </x:si>
  <x:si>
    <x:t>S017979</x:t>
  </x:si>
  <x:si>
    <x:t>YZA1865390-61112-660A</x:t>
  </x:si>
  <x:si>
    <x:t>S017980</x:t>
  </x:si>
  <x:si>
    <x:t>YZA1863329--61621-0K050-660A</x:t>
  </x:si>
  <x:si>
    <x:t>S017981</x:t>
  </x:si>
  <x:si>
    <x:t>YZA1863354--61622-0K050-660A</x:t>
  </x:si>
  <x:si>
    <x:t>S017984</x:t>
  </x:si>
  <x:si>
    <x:t>YZA1863331--61731-0K090-660A</x:t>
  </x:si>
  <x:si>
    <x:t>S017985</x:t>
  </x:si>
  <x:si>
    <x:t>YZA1863356--61732-0K090-660A</x:t>
  </x:si>
  <x:si>
    <x:t>S017986</x:t>
  </x:si>
  <x:si>
    <x:t>S017987</x:t>
  </x:si>
  <x:si>
    <x:t>S017988</x:t>
  </x:si>
  <x:si>
    <x:t>S017989</x:t>
  </x:si>
  <x:si>
    <x:t>S017990</x:t>
  </x:si>
  <x:si>
    <x:t>S017991</x:t>
  </x:si>
  <x:si>
    <x:t>S017992</x:t>
  </x:si>
  <x:si>
    <x:t>S017993</x:t>
  </x:si>
  <x:si>
    <x:t>S017995</x:t>
  </x:si>
  <x:si>
    <x:t>77916-716B0</x:t>
  </x:si>
  <x:si>
    <x:t>S017996</x:t>
  </x:si>
  <x:si>
    <x:t>PYZA1410293RM</x:t>
  </x:si>
  <x:si>
    <x:t>S017998</x:t>
  </x:si>
  <x:si>
    <x:t>77917-KK010</x:t>
  </x:si>
  <x:si>
    <x:t>S018000</x:t>
  </x:si>
  <x:si>
    <x:t>S018002</x:t>
  </x:si>
  <x:si>
    <x:t>31484-KK040</x:t>
  </x:si>
  <x:si>
    <x:t>716B HVPT</x:t>
  </x:si>
  <x:si>
    <x:t>S018004</x:t>
  </x:si>
  <x:si>
    <x:t>51569-KK100</x:t>
  </x:si>
  <x:si>
    <x:t>S018006</x:t>
  </x:si>
  <x:si>
    <x:t>77851-KK030-1</x:t>
  </x:si>
  <x:si>
    <x:t>S018008</x:t>
  </x:si>
  <x:si>
    <x:t>8946A-KK040-2</x:t>
  </x:si>
  <x:si>
    <x:t>S018010</x:t>
  </x:si>
  <x:si>
    <x:t>77851-KK020</x:t>
  </x:si>
  <x:si>
    <x:t>S018011</x:t>
  </x:si>
  <x:si>
    <x:t>R8117988D</x:t>
  </x:si>
  <x:si>
    <x:t>ASHOK LEYL</x:t>
  </x:si>
  <x:si>
    <x:t>S018012</x:t>
  </x:si>
  <x:si>
    <x:t>R8117973D</x:t>
  </x:si>
  <x:si>
    <x:t>ASK LELND</x:t>
  </x:si>
  <x:si>
    <x:t>S018013</x:t>
  </x:si>
  <x:si>
    <x:t>S018017</x:t>
  </x:si>
  <x:si>
    <x:t>S018018</x:t>
  </x:si>
  <x:si>
    <x:t>S018021</x:t>
  </x:si>
  <x:si>
    <x:t>S018023</x:t>
  </x:si>
  <x:si>
    <x:t>S018026</x:t>
  </x:si>
  <x:si>
    <x:t>S018027</x:t>
  </x:si>
  <x:si>
    <x:t>YZA1865344-67149-KK020-650A</x:t>
  </x:si>
  <x:si>
    <x:t>S018029</x:t>
  </x:si>
  <x:si>
    <x:t>42167-0K030</x:t>
  </x:si>
  <x:si>
    <x:t>S018030</x:t>
  </x:si>
  <x:si>
    <x:t>42162-KK010</x:t>
  </x:si>
  <x:si>
    <x:t>S018032</x:t>
  </x:si>
  <x:si>
    <x:t>S018033</x:t>
  </x:si>
  <x:si>
    <x:t>55185-KK010RM</x:t>
  </x:si>
  <x:si>
    <x:t>S018034</x:t>
  </x:si>
  <x:si>
    <x:t>S018036</x:t>
  </x:si>
  <x:si>
    <x:t>S018038</x:t>
  </x:si>
  <x:si>
    <x:t>61163-KK010RM</x:t>
  </x:si>
  <x:si>
    <x:t>S018040</x:t>
  </x:si>
  <x:si>
    <x:t>53723.4-KK020-B</x:t>
  </x:si>
  <x:si>
    <x:t>S018042</x:t>
  </x:si>
  <x:si>
    <x:t>S018044</x:t>
  </x:si>
  <x:si>
    <x:t>S018045</x:t>
  </x:si>
  <x:si>
    <x:t>47781.2-0K090</x:t>
  </x:si>
  <x:si>
    <x:t>S018046</x:t>
  </x:si>
  <x:si>
    <x:t>51442-0KK010</x:t>
  </x:si>
  <x:si>
    <x:t>S018048</x:t>
  </x:si>
  <x:si>
    <x:t>55727-0K060</x:t>
  </x:si>
  <x:si>
    <x:t>S018050</x:t>
  </x:si>
  <x:si>
    <x:t>S018051</x:t>
  </x:si>
  <x:si>
    <x:t>557310K020RM</x:t>
  </x:si>
  <x:si>
    <x:t>S018053</x:t>
  </x:si>
  <x:si>
    <x:t>8946A-KK040-1</x:t>
  </x:si>
  <x:si>
    <x:t>S018055</x:t>
  </x:si>
  <x:si>
    <x:t>17521-0E2020</x:t>
  </x:si>
  <x:si>
    <x:t>S018057</x:t>
  </x:si>
  <x:si>
    <x:t>77862-KK020</x:t>
  </x:si>
  <x:si>
    <x:t>S018060</x:t>
  </x:si>
  <x:si>
    <x:t>HB0026-HO</x:t>
  </x:si>
  <x:si>
    <x:t>S018062</x:t>
  </x:si>
  <x:si>
    <x:t>8946A-KK040-3</x:t>
  </x:si>
  <x:si>
    <x:t>S018064</x:t>
  </x:si>
  <x:si>
    <x:t>77856-KK010-2</x:t>
  </x:si>
  <x:si>
    <x:t>S018066</x:t>
  </x:si>
  <x:si>
    <x:t>8946A-KK030</x:t>
  </x:si>
  <x:si>
    <x:t>S018068</x:t>
  </x:si>
  <x:si>
    <x:t>77856-KK010-1</x:t>
  </x:si>
  <x:si>
    <x:t>S018070</x:t>
  </x:si>
  <x:si>
    <x:t>31484-KK030</x:t>
  </x:si>
  <x:si>
    <x:t>S018072</x:t>
  </x:si>
  <x:si>
    <x:t>31485-KK020</x:t>
  </x:si>
  <x:si>
    <x:t>S018073</x:t>
  </x:si>
  <x:si>
    <x:t>YZA1862198-51291-KK010-C</x:t>
  </x:si>
  <x:si>
    <x:t>RTV</x:t>
  </x:si>
  <x:si>
    <x:t>S018075</x:t>
  </x:si>
  <x:si>
    <x:t>S018076</x:t>
  </x:si>
  <x:si>
    <x:t>YZA1865313 -58111-KK010-660A</x:t>
  </x:si>
  <x:si>
    <x:t>S018077</x:t>
  </x:si>
  <x:si>
    <x:t>3104860</x:t>
  </x:si>
  <x:si>
    <x:t>TVS</x:t>
  </x:si>
  <x:si>
    <x:t>S018078</x:t>
  </x:si>
  <x:si>
    <x:t>GA IF -TOP CHROMATED</x:t>
  </x:si>
  <x:si>
    <x:t>217075660/3800720-S-TRAP</x:t>
  </x:si>
  <x:si>
    <x:t>S018079</x:t>
  </x:si>
  <x:si>
    <x:t>S018080</x:t>
  </x:si>
  <x:si>
    <x:t>532150D090RM</x:t>
  </x:si>
  <x:si>
    <x:t>S018083</x:t>
  </x:si>
  <x:si>
    <x:t>57152-0D040</x:t>
  </x:si>
  <x:si>
    <x:t>S018085</x:t>
  </x:si>
  <x:si>
    <x:t>S018087</x:t>
  </x:si>
  <x:si>
    <x:t>S018089</x:t>
  </x:si>
  <x:si>
    <x:t>SHGA440</x:t>
  </x:si>
  <x:si>
    <x:t>577210D070RM</x:t>
  </x:si>
  <x:si>
    <x:t>S018091</x:t>
  </x:si>
  <x:si>
    <x:t>576370D050RM</x:t>
  </x:si>
  <x:si>
    <x:t>S018093</x:t>
  </x:si>
  <x:si>
    <x:t>551690D060RM</x:t>
  </x:si>
  <x:si>
    <x:t>S018095</x:t>
  </x:si>
  <x:si>
    <x:t>61383-0D120/130-T1/61373/130</x:t>
  </x:si>
  <x:si>
    <x:t>S018097</x:t>
  </x:si>
  <x:si>
    <x:t>54757/8-0D090-T1</x:t>
  </x:si>
  <x:si>
    <x:t>S018100</x:t>
  </x:si>
  <x:si>
    <x:t>SU2i-HMI</x:t>
  </x:si>
  <x:si>
    <x:t>S018102</x:t>
  </x:si>
  <x:si>
    <x:t>SU2I-HMI</x:t>
  </x:si>
  <x:si>
    <x:t>S018104</x:t>
  </x:si>
  <x:si>
    <x:t>57146-0K020</x:t>
  </x:si>
  <x:si>
    <x:t>S018106</x:t>
  </x:si>
  <x:si>
    <x:t>53715-0K020</x:t>
  </x:si>
  <x:si>
    <x:t>S018107</x:t>
  </x:si>
  <x:si>
    <x:t>616720D050RM</x:t>
  </x:si>
  <x:si>
    <x:t>S018110</x:t>
  </x:si>
  <x:si>
    <x:t>HB &amp;SD</x:t>
  </x:si>
  <x:si>
    <x:t>S018112</x:t>
  </x:si>
  <x:si>
    <x:t>51569-KK110</x:t>
  </x:si>
  <x:si>
    <x:t>S018113</x:t>
  </x:si>
  <x:si>
    <x:t>56161-0D170</x:t>
  </x:si>
  <x:si>
    <x:t>S018114</x:t>
  </x:si>
  <x:si>
    <x:t>000000000000008818</x:t>
  </x:si>
  <x:si>
    <x:t>S018115</x:t>
  </x:si>
  <x:si>
    <x:t>000000000000008819</x:t>
  </x:si>
  <x:si>
    <x:t>S018116</x:t>
  </x:si>
  <x:si>
    <x:t>000000000000008843</x:t>
  </x:si>
  <x:si>
    <x:t>TTTI WELD</x:t>
  </x:si>
  <x:si>
    <x:t>S018118</x:t>
  </x:si>
  <x:si>
    <x:t>55721-0K030</x:t>
  </x:si>
  <x:si>
    <x:t>S018120</x:t>
  </x:si>
  <x:si>
    <x:t>000000000000008817</x:t>
  </x:si>
  <x:si>
    <x:t>S018121</x:t>
  </x:si>
  <x:si>
    <x:t>77505-KK010</x:t>
  </x:si>
  <x:si>
    <x:t>S018122</x:t>
  </x:si>
  <x:si>
    <x:t>S018124</x:t>
  </x:si>
  <x:si>
    <x:t>76195/6BV000RT2</x:t>
  </x:si>
  <x:si>
    <x:t>S018125</x:t>
  </x:si>
  <x:si>
    <x:t>77195/6BV000RT2</x:t>
  </x:si>
  <x:si>
    <x:t>S018126</x:t>
  </x:si>
  <x:si>
    <x:t>77271/81BV000RM</x:t>
  </x:si>
  <x:si>
    <x:t>S018127</x:t>
  </x:si>
  <x:si>
    <x:t>76271/81BV000RM</x:t>
  </x:si>
  <x:si>
    <x:t>S018129</x:t>
  </x:si>
  <x:si>
    <x:t>61779-0K020</x:t>
  </x:si>
  <x:si>
    <x:t>S018130</x:t>
  </x:si>
  <x:si>
    <x:t>S018131</x:t>
  </x:si>
  <x:si>
    <x:t>S018134</x:t>
  </x:si>
  <x:si>
    <x:t>S018136</x:t>
  </x:si>
  <x:si>
    <x:t>471110D210RM</x:t>
  </x:si>
  <x:si>
    <x:t>S018138</x:t>
  </x:si>
  <x:si>
    <x:t>67162Q6050RM1</x:t>
  </x:si>
  <x:si>
    <x:t>S018140</x:t>
  </x:si>
  <x:si>
    <x:t>67172Q6000RM1 / 67162Q6000RM1</x:t>
  </x:si>
  <x:si>
    <x:t>S018142</x:t>
  </x:si>
  <x:si>
    <x:t>S018144</x:t>
  </x:si>
  <x:si>
    <x:t>S018145</x:t>
  </x:si>
  <x:si>
    <x:t>S018146</x:t>
  </x:si>
  <x:si>
    <x:t>77516-KK010</x:t>
  </x:si>
  <x:si>
    <x:t>S018147</x:t>
  </x:si>
  <x:si>
    <x:t>77141-KK010</x:t>
  </x:si>
  <x:si>
    <x:t>S018149</x:t>
  </x:si>
  <x:si>
    <x:t>31484-0K060</x:t>
  </x:si>
  <x:si>
    <x:t>S018151</x:t>
  </x:si>
  <x:si>
    <x:t>31484-0K080</x:t>
  </x:si>
  <x:si>
    <x:t>S018153</x:t>
  </x:si>
  <x:si>
    <x:t>67134Q6000RM2</x:t>
  </x:si>
  <x:si>
    <x:t>S018154</x:t>
  </x:si>
  <x:si>
    <x:t>31484-0K020</x:t>
  </x:si>
  <x:si>
    <x:t>S018156</x:t>
  </x:si>
  <x:si>
    <x:t>S018159</x:t>
  </x:si>
  <x:si>
    <x:t>S018161</x:t>
  </x:si>
  <x:si>
    <x:t>77195/6BV700RT</x:t>
  </x:si>
  <x:si>
    <x:t>LWB</x:t>
  </x:si>
  <x:si>
    <x:t>S018163</x:t>
  </x:si>
  <x:si>
    <x:t>67142-CC000</x:t>
  </x:si>
  <x:si>
    <x:t>QY</x:t>
  </x:si>
  <x:si>
    <x:t>S018165</x:t>
  </x:si>
  <x:si>
    <x:t>S018167</x:t>
  </x:si>
  <x:si>
    <x:t>S018169</x:t>
  </x:si>
  <x:si>
    <x:t>77271-BV700/77281-BV700</x:t>
  </x:si>
  <x:si>
    <x:t>S018170</x:t>
  </x:si>
  <x:si>
    <x:t>S018176</x:t>
  </x:si>
  <x:si>
    <x:t>GA IF -BOT CHROMATED</x:t>
  </x:si>
  <x:si>
    <x:t>3145362</x:t>
  </x:si>
  <x:si>
    <x:t>S018177</x:t>
  </x:si>
  <x:si>
    <x:t>S018179</x:t>
  </x:si>
  <x:si>
    <x:t>51535-0K010</x:t>
  </x:si>
  <x:si>
    <x:t>S018181</x:t>
  </x:si>
  <x:si>
    <x:t>571940D040RM</x:t>
  </x:si>
  <x:si>
    <x:t>S018182</x:t>
  </x:si>
  <x:si>
    <x:t>SPC980DUB</x:t>
  </x:si>
  <x:si>
    <x:t>S018183</x:t>
  </x:si>
  <x:si>
    <x:t>JFE</x:t>
  </x:si>
  <x:si>
    <x:t>SCGA780DU</x:t>
  </x:si>
  <x:si>
    <x:t>S018185</x:t>
  </x:si>
  <x:si>
    <x:t>896680D020RM</x:t>
  </x:si>
  <x:si>
    <x:t>S018187</x:t>
  </x:si>
  <x:si>
    <x:t>S018188</x:t>
  </x:si>
  <x:si>
    <x:t>SCGA980DUB</x:t>
  </x:si>
  <x:si>
    <x:t>S018189</x:t>
  </x:si>
  <x:si>
    <x:t>SCGA1180DUB</x:t>
  </x:si>
  <x:si>
    <x:t>S018190</x:t>
  </x:si>
  <x:si>
    <x:t>S018191</x:t>
  </x:si>
  <x:si>
    <x:t>S018193</x:t>
  </x:si>
  <x:si>
    <x:t>TATIGA</x:t>
  </x:si>
  <x:si>
    <x:t>X31107-BV300</x:t>
  </x:si>
  <x:si>
    <x:t>S018200</x:t>
  </x:si>
  <x:si>
    <x:t>S018202</x:t>
  </x:si>
  <x:si>
    <x:t>51391-0K020</x:t>
  </x:si>
  <x:si>
    <x:t>SER TTIA</x:t>
  </x:si>
  <x:si>
    <x:t>S018203</x:t>
  </x:si>
  <x:si>
    <x:t>S018204</x:t>
  </x:si>
  <x:si>
    <x:t>S018206</x:t>
  </x:si>
  <x:si>
    <x:t>S018208</x:t>
  </x:si>
  <x:si>
    <x:t>77195-T7000 / 77196-T7000</x:t>
  </x:si>
  <x:si>
    <x:t>Bi3</x:t>
  </x:si>
  <x:si>
    <x:t>S018209</x:t>
  </x:si>
  <x:si>
    <x:t>101075007</x:t>
  </x:si>
  <x:si>
    <x:t>RADEON</x:t>
  </x:si>
  <x:si>
    <x:t>S018210</x:t>
  </x:si>
  <x:si>
    <x:t>YZA1865349- 67147.8-0K060-660A</x:t>
  </x:si>
  <x:si>
    <x:t>S018211</x:t>
  </x:si>
  <x:si>
    <x:t>S018212</x:t>
  </x:si>
  <x:si>
    <x:t>S018214</x:t>
  </x:si>
  <x:si>
    <x:t>53222-0K010</x:t>
  </x:si>
  <x:si>
    <x:t>S018215</x:t>
  </x:si>
  <x:si>
    <x:t>101080158</x:t>
  </x:si>
  <x:si>
    <x:t>S018216</x:t>
  </x:si>
  <x:si>
    <x:t>S018217</x:t>
  </x:si>
  <x:si>
    <x:t>S018219</x:t>
  </x:si>
  <x:si>
    <x:t>61211.2-KK010-A</x:t>
  </x:si>
  <x:si>
    <x:t>S018220</x:t>
  </x:si>
  <x:si>
    <x:t>67461/2-0K050/20</x:t>
  </x:si>
  <x:si>
    <x:t>S018221</x:t>
  </x:si>
  <x:si>
    <x:t>S018222</x:t>
  </x:si>
  <x:si>
    <x:t>71875-X7A00</x:t>
  </x:si>
  <x:si>
    <x:t>S018223</x:t>
  </x:si>
  <x:si>
    <x:t>YZA1865350- 53321-0K110-660A</x:t>
  </x:si>
  <x:si>
    <x:t>S018225</x:t>
  </x:si>
  <x:si>
    <x:t>S018227</x:t>
  </x:si>
  <x:si>
    <x:t>53216KK020RM</x:t>
  </x:si>
  <x:si>
    <x:t>S018228</x:t>
  </x:si>
  <x:si>
    <x:t>51515-0K010-B</x:t>
  </x:si>
  <x:si>
    <x:t>S018229</x:t>
  </x:si>
  <x:si>
    <x:t>S018230</x:t>
  </x:si>
  <x:si>
    <x:t>61171-0K040</x:t>
  </x:si>
  <x:si>
    <x:t>S018231</x:t>
  </x:si>
  <x:si>
    <x:t>S018232</x:t>
  </x:si>
  <x:si>
    <x:t>S018233</x:t>
  </x:si>
  <x:si>
    <x:t>6703006271-89978-X1V04-A/81126-X1V07</x:t>
  </x:si>
  <x:si>
    <x:t>S018234</x:t>
  </x:si>
  <x:si>
    <x:t>R0714295</x:t>
  </x:si>
  <x:si>
    <x:t>S018235</x:t>
  </x:si>
  <x:si>
    <x:t>S018236</x:t>
  </x:si>
  <x:si>
    <x:t>S018238</x:t>
  </x:si>
  <x:si>
    <x:t>DDF44-10616</x:t>
  </x:si>
  <x:si>
    <x:t>560B&amp;D-22</x:t>
  </x:si>
  <x:si>
    <x:t>S018240</x:t>
  </x:si>
  <x:si>
    <x:t>S018241</x:t>
  </x:si>
  <x:si>
    <x:t>S018242</x:t>
  </x:si>
  <x:si>
    <x:t>57613-0K011</x:t>
  </x:si>
  <x:si>
    <x:t>S018245</x:t>
  </x:si>
  <x:si>
    <x:t>S018247</x:t>
  </x:si>
  <x:si>
    <x:t>S018248</x:t>
  </x:si>
  <x:si>
    <x:t>S018250</x:t>
  </x:si>
  <x:si>
    <x:t>S018251</x:t>
  </x:si>
  <x:si>
    <x:t>S018252</x:t>
  </x:si>
  <x:si>
    <x:t>61167-KK010</x:t>
  </x:si>
  <x:si>
    <x:t>S018256</x:t>
  </x:si>
  <x:si>
    <x:t>642130D060RM</x:t>
  </x:si>
  <x:si>
    <x:t>S018257</x:t>
  </x:si>
  <x:si>
    <x:t>52562-0D020</x:t>
  </x:si>
  <x:si>
    <x:t>S018258</x:t>
  </x:si>
  <x:si>
    <x:t>82715-KKB30</x:t>
  </x:si>
  <x:si>
    <x:t>S018259</x:t>
  </x:si>
  <x:si>
    <x:t>S018260</x:t>
  </x:si>
  <x:si>
    <x:t>S018262</x:t>
  </x:si>
  <x:si>
    <x:t>000000000000008838</x:t>
  </x:si>
  <x:si>
    <x:t>Gurukul tr</x:t>
  </x:si>
  <x:si>
    <x:t>S018264</x:t>
  </x:si>
  <x:si>
    <x:t>S018265</x:t>
  </x:si>
  <x:si>
    <x:t>Gurukul Tr</x:t>
  </x:si>
  <x:si>
    <x:t>S018267</x:t>
  </x:si>
  <x:si>
    <x:t>413453-10020-C</x:t>
  </x:si>
  <x:si>
    <x:t>S018269</x:t>
  </x:si>
  <x:si>
    <x:t>422151-10190</x:t>
  </x:si>
  <x:si>
    <x:t>S018270</x:t>
  </x:si>
  <x:si>
    <x:t>S018272</x:t>
  </x:si>
  <x:si>
    <x:t>413445-10200</x:t>
  </x:si>
  <x:si>
    <x:t>S018273</x:t>
  </x:si>
  <x:si>
    <x:t>S018275</x:t>
  </x:si>
  <x:si>
    <x:t>61645.6-0K030</x:t>
  </x:si>
  <x:si>
    <x:t>S018277</x:t>
  </x:si>
  <x:si>
    <x:t>S018279</x:t>
  </x:si>
  <x:si>
    <x:t>S018280</x:t>
  </x:si>
  <x:si>
    <x:t>S018281</x:t>
  </x:si>
  <x:si>
    <x:t>S018282</x:t>
  </x:si>
  <x:si>
    <x:t>S018283</x:t>
  </x:si>
  <x:si>
    <x:t>S018284</x:t>
  </x:si>
  <x:si>
    <x:t>S018286</x:t>
  </x:si>
  <x:si>
    <x:t>S018288</x:t>
  </x:si>
  <x:si>
    <x:t>61141-0K010</x:t>
  </x:si>
  <x:si>
    <x:t>S018290</x:t>
  </x:si>
  <x:si>
    <x:t>53325-0B020</x:t>
  </x:si>
  <x:si>
    <x:t>S018292</x:t>
  </x:si>
  <x:si>
    <x:t>48615-0B010</x:t>
  </x:si>
  <x:si>
    <x:t>S018294</x:t>
  </x:si>
  <x:si>
    <x:t>53324-0B020</x:t>
  </x:si>
  <x:si>
    <x:t>S018296</x:t>
  </x:si>
  <x:si>
    <x:t>48613-0B010</x:t>
  </x:si>
  <x:si>
    <x:t>S018298</x:t>
  </x:si>
  <x:si>
    <x:t>48614-0B010</x:t>
  </x:si>
  <x:si>
    <x:t>S018299</x:t>
  </x:si>
  <x:si>
    <x:t>67188.9-KK010</x:t>
  </x:si>
  <x:si>
    <x:t>S018300</x:t>
  </x:si>
  <x:si>
    <x:t>51575-0K010</x:t>
  </x:si>
  <x:si>
    <x:t>S018301</x:t>
  </x:si>
  <x:si>
    <x:t>61645-0K030</x:t>
  </x:si>
  <x:si>
    <x:t>S018302</x:t>
  </x:si>
  <x:si>
    <x:t>67293-0K020</x:t>
  </x:si>
  <x:si>
    <x:t>S018303</x:t>
  </x:si>
  <x:si>
    <x:t>51325-KK010</x:t>
  </x:si>
  <x:si>
    <x:t>S018304</x:t>
  </x:si>
  <x:si>
    <x:t>640A+EXPOR</x:t>
  </x:si>
  <x:si>
    <x:t>S018305</x:t>
  </x:si>
  <x:si>
    <x:t>S018306</x:t>
  </x:si>
  <x:si>
    <x:t>S018307</x:t>
  </x:si>
  <x:si>
    <x:t>4100251</x:t>
  </x:si>
  <x:si>
    <x:t>Royal enfi</x:t>
  </x:si>
  <x:si>
    <x:t>S018308</x:t>
  </x:si>
  <x:si>
    <x:t>YZA1865128-61731.2-IMV</x:t>
  </x:si>
  <x:si>
    <x:t>IMV servic</x:t>
  </x:si>
  <x:si>
    <x:t>S018309</x:t>
  </x:si>
  <x:si>
    <x:t>S018310</x:t>
  </x:si>
  <x:si>
    <x:t>S018312</x:t>
  </x:si>
  <x:si>
    <x:t>S018313</x:t>
  </x:si>
  <x:si>
    <x:t>101075008</x:t>
  </x:si>
  <x:si>
    <x:t>S018314</x:t>
  </x:si>
  <x:si>
    <x:t>537550K010RM</x:t>
  </x:si>
  <x:si>
    <x:t>S018315</x:t>
  </x:si>
  <x:si>
    <x:t>S018324</x:t>
  </x:si>
  <x:si>
    <x:t>QY-KIA</x:t>
  </x:si>
  <x:si>
    <x:t>S018326</x:t>
  </x:si>
  <x:si>
    <x:t>S018328</x:t>
  </x:si>
  <x:si>
    <x:t>BI3-HMI</x:t>
  </x:si>
  <x:si>
    <x:t>S018330</x:t>
  </x:si>
  <x:si>
    <x:t>77197-T7000/77198-T7000</x:t>
  </x:si>
  <x:si>
    <x:t>S018332</x:t>
  </x:si>
  <x:si>
    <x:t>R0714293</x:t>
  </x:si>
  <x:si>
    <x:t>S018334</x:t>
  </x:si>
  <x:si>
    <x:t>S018336</x:t>
  </x:si>
  <x:si>
    <x:t>86214-KK010</x:t>
  </x:si>
  <x:si>
    <x:t>S018338</x:t>
  </x:si>
  <x:si>
    <x:t>S018340</x:t>
  </x:si>
  <x:si>
    <x:t>S018341</x:t>
  </x:si>
  <x:si>
    <x:t>Testing</x:t>
  </x:si>
  <x:si>
    <x:t>S018343</x:t>
  </x:si>
  <x:si>
    <x:t>6703006035-72834-X7A02-A</x:t>
  </x:si>
  <x:si>
    <x:t>S018345</x:t>
  </x:si>
  <x:si>
    <x:t>6703005205-72833-X7A02-A</x:t>
  </x:si>
  <x:si>
    <x:t>S018347</x:t>
  </x:si>
  <x:si>
    <x:t>671C1CC800RT2</x:t>
  </x:si>
  <x:si>
    <x:t>KMI</x:t>
  </x:si>
  <x:si>
    <x:t>S018349</x:t>
  </x:si>
  <x:si>
    <x:t>671C1CC800RT1</x:t>
  </x:si>
  <x:si>
    <x:t>S018351</x:t>
  </x:si>
  <x:si>
    <x:t>QY-KMI</x:t>
  </x:si>
  <x:si>
    <x:t>S018353</x:t>
  </x:si>
  <x:si>
    <x:t>S018355</x:t>
  </x:si>
  <x:si>
    <x:t>67162-CC000/67172-CC000</x:t>
  </x:si>
  <x:si>
    <x:t>S018356</x:t>
  </x:si>
  <x:si>
    <x:t>67122CC000RM</x:t>
  </x:si>
  <x:si>
    <x:t>S018358</x:t>
  </x:si>
  <x:si>
    <x:t>53221-0K020</x:t>
  </x:si>
  <x:si>
    <x:t>S018359</x:t>
  </x:si>
  <x:si>
    <x:t>S018360</x:t>
  </x:si>
  <x:si>
    <x:t>S018362</x:t>
  </x:si>
  <x:si>
    <x:t>S018363</x:t>
  </x:si>
  <x:si>
    <x:t>S018364</x:t>
  </x:si>
  <x:si>
    <x:t>61768/9-0K040</x:t>
  </x:si>
  <x:si>
    <x:t>S018365</x:t>
  </x:si>
  <x:si>
    <x:t>77197/8T7000RT1</x:t>
  </x:si>
  <x:si>
    <x:t>S018366</x:t>
  </x:si>
  <x:si>
    <x:t>67122T7000RM</x:t>
  </x:si>
  <x:si>
    <x:t>S018367</x:t>
  </x:si>
  <x:si>
    <x:t>67132T7000RM</x:t>
  </x:si>
  <x:si>
    <x:t>S018369</x:t>
  </x:si>
  <x:si>
    <x:t>67142T7000RM</x:t>
  </x:si>
  <x:si>
    <x:t>S018370</x:t>
  </x:si>
  <x:si>
    <x:t>67118/28T7000RM</x:t>
  </x:si>
  <x:si>
    <x:t>S018372</x:t>
  </x:si>
  <x:si>
    <x:t>6703005234-71113-0K040</x:t>
  </x:si>
  <x:si>
    <x:t>S018374</x:t>
  </x:si>
  <x:si>
    <x:t>6703006016-72883-AI001</x:t>
  </x:si>
  <x:si>
    <x:t>S018376</x:t>
  </x:si>
  <x:si>
    <x:t>63611-0K030</x:t>
  </x:si>
  <x:si>
    <x:t>S018378</x:t>
  </x:si>
  <x:si>
    <x:t>68981-0K010</x:t>
  </x:si>
  <x:si>
    <x:t>S018379</x:t>
  </x:si>
  <x:si>
    <x:t>S018380</x:t>
  </x:si>
  <x:si>
    <x:t>76154/164CC000RM</x:t>
  </x:si>
  <x:si>
    <x:t>S018382</x:t>
  </x:si>
  <x:si>
    <x:t>67142CC000RM</x:t>
  </x:si>
  <x:si>
    <x:t>S018383</x:t>
  </x:si>
  <x:si>
    <x:t>67132CC000RM</x:t>
  </x:si>
  <x:si>
    <x:t>S018385</x:t>
  </x:si>
  <x:si>
    <x:t>67152CC000RM</x:t>
  </x:si>
  <x:si>
    <x:t>S018387</x:t>
  </x:si>
  <x:si>
    <x:t>67162/172CC000RM</x:t>
  </x:si>
  <x:si>
    <x:t>S018389</x:t>
  </x:si>
  <x:si>
    <x:t>TTC TRAIL</x:t>
  </x:si>
  <x:si>
    <x:t>S018391</x:t>
  </x:si>
  <x:si>
    <x:t>S018393</x:t>
  </x:si>
  <x:si>
    <x:t>12112-123YL</x:t>
  </x:si>
  <x:si>
    <x:t>TNGA(D-22)</x:t>
  </x:si>
  <x:si>
    <x:t>S018394</x:t>
  </x:si>
  <x:si>
    <x:t>48623-0B030</x:t>
  </x:si>
  <x:si>
    <x:t>QUALIS SER</x:t>
  </x:si>
  <x:si>
    <x:t>S018396</x:t>
  </x:si>
  <x:si>
    <x:t>53216-0B030</x:t>
  </x:si>
  <x:si>
    <x:t>S018398</x:t>
  </x:si>
  <x:si>
    <x:t>53219-0B030</x:t>
  </x:si>
  <x:si>
    <x:t>S018399</x:t>
  </x:si>
  <x:si>
    <x:t>S018400</x:t>
  </x:si>
  <x:si>
    <x:t>S018402</x:t>
  </x:si>
  <x:si>
    <x:t>EN10149-S355MC</x:t>
  </x:si>
  <x:si>
    <x:t>ST091HR032501250</x:t>
  </x:si>
  <x:si>
    <x:t>S018405</x:t>
  </x:si>
  <x:si>
    <x:t>S018406</x:t>
  </x:si>
  <x:si>
    <x:t>S018407</x:t>
  </x:si>
  <x:si>
    <x:t>S018409</x:t>
  </x:si>
  <x:si>
    <x:t>S018411</x:t>
  </x:si>
  <x:si>
    <x:t>S018414</x:t>
  </x:si>
  <x:si>
    <x:t>67136Q6000RM2</x:t>
  </x:si>
  <x:si>
    <x:t>SP2i-KMI</x:t>
  </x:si>
  <x:si>
    <x:t>S018416</x:t>
  </x:si>
  <x:si>
    <x:t>67142Q6000RM2</x:t>
  </x:si>
  <x:si>
    <x:t>SP2i-KIA</x:t>
  </x:si>
  <x:si>
    <x:t>S018418</x:t>
  </x:si>
  <x:si>
    <x:t>67152Q6000RM2</x:t>
  </x:si>
  <x:si>
    <x:t>S018419</x:t>
  </x:si>
  <x:si>
    <x:t>67134Q6000RM3</x:t>
  </x:si>
  <x:si>
    <x:t>S018421</x:t>
  </x:si>
  <x:si>
    <x:t>67142Q6000RM2-1</x:t>
  </x:si>
  <x:si>
    <x:t>S018423</x:t>
  </x:si>
  <x:si>
    <x:t>67142Q6000RM2-2</x:t>
  </x:si>
  <x:si>
    <x:t>S018425</x:t>
  </x:si>
  <x:si>
    <x:t>S018427</x:t>
  </x:si>
  <x:si>
    <x:t>413431-10030</x:t>
  </x:si>
  <x:si>
    <x:t>S018428</x:t>
  </x:si>
  <x:si>
    <x:t>42111-560B</x:t>
  </x:si>
  <x:si>
    <x:t>560B</x:t>
  </x:si>
  <x:si>
    <x:t>S018429</x:t>
  </x:si>
  <x:si>
    <x:t>48711-560B</x:t>
  </x:si>
  <x:si>
    <x:t>S018430</x:t>
  </x:si>
  <x:si>
    <x:t>48712-560B</x:t>
  </x:si>
  <x:si>
    <x:t>S018431</x:t>
  </x:si>
  <x:si>
    <x:t>48721-560B</x:t>
  </x:si>
  <x:si>
    <x:t>S018432</x:t>
  </x:si>
  <x:si>
    <x:t>48722-560B</x:t>
  </x:si>
  <x:si>
    <x:t>S018433</x:t>
  </x:si>
  <x:si>
    <x:t>42182-560B</x:t>
  </x:si>
  <x:si>
    <x:t>S018434</x:t>
  </x:si>
  <x:si>
    <x:t>42189-560B</x:t>
  </x:si>
  <x:si>
    <x:t>S018435</x:t>
  </x:si>
  <x:si>
    <x:t>48824-560B</x:t>
  </x:si>
  <x:si>
    <x:t>S018436</x:t>
  </x:si>
  <x:si>
    <x:t>42313-560B</x:t>
  </x:si>
  <x:si>
    <x:t>S018437</x:t>
  </x:si>
  <x:si>
    <x:t>42314-560B</x:t>
  </x:si>
  <x:si>
    <x:t>S018438</x:t>
  </x:si>
  <x:si>
    <x:t>42157-560B</x:t>
  </x:si>
  <x:si>
    <x:t>S018439</x:t>
  </x:si>
  <x:si>
    <x:t>42158-560B</x:t>
  </x:si>
  <x:si>
    <x:t>S018440</x:t>
  </x:si>
  <x:si>
    <x:t>48232-560B</x:t>
  </x:si>
  <x:si>
    <x:t>S018441</x:t>
  </x:si>
  <x:si>
    <x:t>48233-560B</x:t>
  </x:si>
  <x:si>
    <x:t>S018443</x:t>
  </x:si>
  <x:si>
    <x:t>S018444</x:t>
  </x:si>
  <x:si>
    <x:t>31233-0K020</x:t>
  </x:si>
  <x:si>
    <x:t>S018446</x:t>
  </x:si>
  <x:si>
    <x:t>63127-0K010</x:t>
  </x:si>
  <x:si>
    <x:t>Ser</x:t>
  </x:si>
  <x:si>
    <x:t>S018447</x:t>
  </x:si>
  <x:si>
    <x:t>000000000000008842</x:t>
  </x:si>
  <x:si>
    <x:t>PDD TRIAL</x:t>
  </x:si>
  <x:si>
    <x:t>S018450</x:t>
  </x:si>
  <x:si>
    <x:t>S018454</x:t>
  </x:si>
  <x:si>
    <x:t>S018455</x:t>
  </x:si>
  <x:si>
    <x:t>67185-0D030</x:t>
  </x:si>
  <x:si>
    <x:t>S018456</x:t>
  </x:si>
  <x:si>
    <x:t>S018460</x:t>
  </x:si>
  <x:si>
    <x:t>51352-0K020</x:t>
  </x:si>
  <x:si>
    <x:t>Serv part</x:t>
  </x:si>
  <x:si>
    <x:t>S018461</x:t>
  </x:si>
  <x:si>
    <x:t>R8118039</x:t>
  </x:si>
  <x:si>
    <x:t>S018462</x:t>
  </x:si>
  <x:si>
    <x:t>R8118036</x:t>
  </x:si>
  <x:si>
    <x:t>S018463</x:t>
  </x:si>
  <x:si>
    <x:t>S018465</x:t>
  </x:si>
  <x:si>
    <x:t>Trial</x:t>
  </x:si>
  <x:si>
    <x:t>S018467</x:t>
  </x:si>
  <x:si>
    <x:t>422103-10280</x:t>
  </x:si>
  <x:si>
    <x:t>S018468</x:t>
  </x:si>
  <x:si>
    <x:t>S018477</x:t>
  </x:si>
  <x:si>
    <x:t>S018478</x:t>
  </x:si>
  <x:si>
    <x:t>S018479</x:t>
  </x:si>
  <x:si>
    <x:t>S018480</x:t>
  </x:si>
  <x:si>
    <x:t>S018481</x:t>
  </x:si>
  <x:si>
    <x:t>S018482</x:t>
  </x:si>
  <x:si>
    <x:t>S018483</x:t>
  </x:si>
  <x:si>
    <x:t>S018484</x:t>
  </x:si>
  <x:si>
    <x:t>S018485</x:t>
  </x:si>
  <x:si>
    <x:t>S018486</x:t>
  </x:si>
  <x:si>
    <x:t>S018487</x:t>
  </x:si>
  <x:si>
    <x:t>S018488</x:t>
  </x:si>
  <x:si>
    <x:t>S018497</x:t>
  </x:si>
  <x:si>
    <x:t>65687/8-KK010</x:t>
  </x:si>
  <x:si>
    <x:t>S018499</x:t>
  </x:si>
  <x:si>
    <x:t>S018500</x:t>
  </x:si>
  <x:si>
    <x:t>S018501</x:t>
  </x:si>
  <x:si>
    <x:t>S018502</x:t>
  </x:si>
  <x:si>
    <x:t>S018503</x:t>
  </x:si>
  <x:si>
    <x:t>S018504</x:t>
  </x:si>
  <x:si>
    <x:t>S018505</x:t>
  </x:si>
  <x:si>
    <x:t>S018506</x:t>
  </x:si>
  <x:si>
    <x:t>67325.6-0K050</x:t>
  </x:si>
  <x:si>
    <x:t>S018507</x:t>
  </x:si>
  <x:si>
    <x:t>S018508</x:t>
  </x:si>
  <x:si>
    <x:t>S018509</x:t>
  </x:si>
  <x:si>
    <x:t>S018510</x:t>
  </x:si>
  <x:si>
    <x:t>S018511</x:t>
  </x:si>
  <x:si>
    <x:t>R8113844</x:t>
  </x:si>
  <x:si>
    <x:t>S018512</x:t>
  </x:si>
  <x:si>
    <x:t>EXPORT</x:t>
  </x:si>
  <x:si>
    <x:t>S018513</x:t>
  </x:si>
  <x:si>
    <x:t>S018514</x:t>
  </x:si>
  <x:si>
    <x:t>S018515</x:t>
  </x:si>
  <x:si>
    <x:t>61645.6 - 0K030</x:t>
  </x:si>
  <x:si>
    <x:t>S018517</x:t>
  </x:si>
  <x:si>
    <x:t>67167.8 - 0K070/30</x:t>
  </x:si>
  <x:si>
    <x:t>660a &amp;650A</x:t>
  </x:si>
  <x:si>
    <x:t>S018518</x:t>
  </x:si>
  <x:si>
    <x:t>S018519</x:t>
  </x:si>
  <x:si>
    <x:t>61958 - KK010</x:t>
  </x:si>
  <x:si>
    <x:t>S018520</x:t>
  </x:si>
  <x:si>
    <x:t>S018521</x:t>
  </x:si>
  <x:si>
    <x:t>S018522</x:t>
  </x:si>
  <x:si>
    <x:t>S018523</x:t>
  </x:si>
  <x:si>
    <x:t>S018524</x:t>
  </x:si>
  <x:si>
    <x:t>S018525</x:t>
  </x:si>
  <x:si>
    <x:t>YZA1865381- 61111.2</x:t>
  </x:si>
  <x:si>
    <x:t>S018526</x:t>
  </x:si>
  <x:si>
    <x:t>K1EA  TANK R/L</x:t>
  </x:si>
  <x:si>
    <x:t>S018527</x:t>
  </x:si>
  <x:si>
    <x:t>K1EA  TANK BOTTOM</x:t>
  </x:si>
  <x:si>
    <x:t>S018528</x:t>
  </x:si>
  <x:si>
    <x:t>K1CA TANK R/L</x:t>
  </x:si>
  <x:si>
    <x:t>S018529</x:t>
  </x:si>
  <x:si>
    <x:t>K1CA TANK BOTTOM</x:t>
  </x:si>
  <x:si>
    <x:t>S018530</x:t>
  </x:si>
  <x:si>
    <x:t>K0VA Outer R/L</x:t>
  </x:si>
  <x:si>
    <x:t>S018531</x:t>
  </x:si>
  <x:si>
    <x:t>K0VA PLATE BOTTOM</x:t>
  </x:si>
  <x:si>
    <x:t>S018532</x:t>
  </x:si>
  <x:si>
    <x:t>09999972112940</x:t>
  </x:si>
  <x:si>
    <x:t>KOPA</x:t>
  </x:si>
  <x:si>
    <x:t>S018533</x:t>
  </x:si>
  <x:si>
    <x:t>S018534</x:t>
  </x:si>
  <x:si>
    <x:t>S018535</x:t>
  </x:si>
  <x:si>
    <x:t>S018536</x:t>
  </x:si>
  <x:si>
    <x:t>S018537</x:t>
  </x:si>
  <x:si>
    <x:t>S018539</x:t>
  </x:si>
  <x:si>
    <x:t>67167.8-KK020-A</x:t>
  </x:si>
  <x:si>
    <x:t>S018541</x:t>
  </x:si>
  <x:si>
    <x:t>918A serv</x:t>
  </x:si>
  <x:si>
    <x:t>S018542</x:t>
  </x:si>
  <x:si>
    <x:t>YZA1863346-61111-COR</x:t>
  </x:si>
  <x:si>
    <x:t>COR-SERVIC</x:t>
  </x:si>
  <x:si>
    <x:t>S018543</x:t>
  </x:si>
  <x:si>
    <x:t>S018547</x:t>
  </x:si>
  <x:si>
    <x:t>63132-0K030</x:t>
  </x:si>
  <x:si>
    <x:t>S018549</x:t>
  </x:si>
  <x:si>
    <x:t>55717-0K030</x:t>
  </x:si>
  <x:si>
    <x:t>S018550</x:t>
  </x:si>
  <x:si>
    <x:t>S018551</x:t>
  </x:si>
  <x:si>
    <x:t>S018552</x:t>
  </x:si>
  <x:si>
    <x:t>S018553</x:t>
  </x:si>
  <x:si>
    <x:t>S018554</x:t>
  </x:si>
  <x:si>
    <x:t>S018555</x:t>
  </x:si>
  <x:si>
    <x:t>S018556</x:t>
  </x:si>
  <x:si>
    <x:t>S018557</x:t>
  </x:si>
  <x:si>
    <x:t>S018558</x:t>
  </x:si>
  <x:si>
    <x:t>S018560</x:t>
  </x:si>
  <x:si>
    <x:t>6703005235-72822-X7A01-A</x:t>
  </x:si>
  <x:si>
    <x:t>S018561</x:t>
  </x:si>
  <x:si>
    <x:t>YZA1865351-58211-640A</x:t>
  </x:si>
  <x:si>
    <x:t>S018563</x:t>
  </x:si>
  <x:si>
    <x:t>67172Q6000RM2 / 67162Q6000RM2</x:t>
  </x:si>
  <x:si>
    <x:t>S018565</x:t>
  </x:si>
  <x:si>
    <x:t>67162Q6050RM2</x:t>
  </x:si>
  <x:si>
    <x:t>S018567</x:t>
  </x:si>
  <x:si>
    <x:t>77195/6T7000RT1</x:t>
  </x:si>
  <x:si>
    <x:t>S018570</x:t>
  </x:si>
  <x:si>
    <x:t>S018572</x:t>
  </x:si>
  <x:si>
    <x:t>557410K100RT</x:t>
  </x:si>
  <x:si>
    <x:t>S018574</x:t>
  </x:si>
  <x:si>
    <x:t>S018575</x:t>
  </x:si>
  <x:si>
    <x:t>S018576</x:t>
  </x:si>
  <x:si>
    <x:t>YZA1865325-67112-KK010-650A</x:t>
  </x:si>
  <x:si>
    <x:t>S018577</x:t>
  </x:si>
  <x:si>
    <x:t>YZA1865324-67111-KK010-650A</x:t>
  </x:si>
  <x:si>
    <x:t>S018578</x:t>
  </x:si>
  <x:si>
    <x:t>S018580</x:t>
  </x:si>
  <x:si>
    <x:t>YZA1865352-512210B030</x:t>
  </x:si>
  <x:si>
    <x:t>Qualis-SP</x:t>
  </x:si>
  <x:si>
    <x:t>S018582</x:t>
  </x:si>
  <x:si>
    <x:t>YZA1865353-53811.12-0B120/30/40</x:t>
  </x:si>
  <x:si>
    <x:t>S018586</x:t>
  </x:si>
  <x:si>
    <x:t>YZA1865357-537160B100</x:t>
  </x:si>
  <x:si>
    <x:t>S018588</x:t>
  </x:si>
  <x:si>
    <x:t>YZA1865359-773510B030</x:t>
  </x:si>
  <x:si>
    <x:t>S018594</x:t>
  </x:si>
  <x:si>
    <x:t>YZA1865362-58311-0B070/80</x:t>
  </x:si>
  <x:si>
    <x:t>S018596</x:t>
  </x:si>
  <x:si>
    <x:t>YZA1865363-67111.2-0B040/50</x:t>
  </x:si>
  <x:si>
    <x:t>S018598</x:t>
  </x:si>
  <x:si>
    <x:t>YZA1865365-67113.4-0B050/60</x:t>
  </x:si>
  <x:si>
    <x:t>S018599</x:t>
  </x:si>
  <x:si>
    <x:t>YZA1865369-67143.4-0B040</x:t>
  </x:si>
  <x:si>
    <x:t>S018601</x:t>
  </x:si>
  <x:si>
    <x:t>YZA1865370-67143.4-0B140</x:t>
  </x:si>
  <x:si>
    <x:t>S018603</x:t>
  </x:si>
  <x:si>
    <x:t>YZA1865372-53311-0B030/60</x:t>
  </x:si>
  <x:si>
    <x:t>S018604</x:t>
  </x:si>
  <x:si>
    <x:t>R8117986D</x:t>
  </x:si>
  <x:si>
    <x:t>S018605</x:t>
  </x:si>
  <x:si>
    <x:t>R8117982D</x:t>
  </x:si>
  <x:si>
    <x:t>S018606</x:t>
  </x:si>
  <x:si>
    <x:t>R8114837</x:t>
  </x:si>
  <x:si>
    <x:t>S018607</x:t>
  </x:si>
  <x:si>
    <x:t>R0714288</x:t>
  </x:si>
  <x:si>
    <x:t>S018608</x:t>
  </x:si>
  <x:si>
    <x:t>R0714289</x:t>
  </x:si>
  <x:si>
    <x:t>S018609</x:t>
  </x:si>
  <x:si>
    <x:t>S018611</x:t>
  </x:si>
  <x:si>
    <x:t>S018612</x:t>
  </x:si>
  <x:si>
    <x:t>ST021HR205071250</x:t>
  </x:si>
  <x:si>
    <x:t>S018613</x:t>
  </x:si>
  <x:si>
    <x:t>ST021CR024101250</x:t>
  </x:si>
  <x:si>
    <x:t>S018614</x:t>
  </x:si>
  <x:si>
    <x:t>ST02100201801020</x:t>
  </x:si>
  <x:si>
    <x:t>S018615</x:t>
  </x:si>
  <x:si>
    <x:t>S018616</x:t>
  </x:si>
  <x:si>
    <x:t>S018617</x:t>
  </x:si>
  <x:si>
    <x:t>S018618</x:t>
  </x:si>
  <x:si>
    <x:t>S018620</x:t>
  </x:si>
  <x:si>
    <x:t>S018622</x:t>
  </x:si>
  <x:si>
    <x:t>YZA1865355-53221.2-0B020</x:t>
  </x:si>
  <x:si>
    <x:t>Qualis SP</x:t>
  </x:si>
  <x:si>
    <x:t>S018624</x:t>
  </x:si>
  <x:si>
    <x:t>YZA1865374-616120B210</x:t>
  </x:si>
  <x:si>
    <x:t>S018626</x:t>
  </x:si>
  <x:si>
    <x:t>YZA1865375-631550B020</x:t>
  </x:si>
  <x:si>
    <x:t>S018628</x:t>
  </x:si>
  <x:si>
    <x:t>YZA1865376-53211.2-0B220</x:t>
  </x:si>
  <x:si>
    <x:t>S018630</x:t>
  </x:si>
  <x:si>
    <x:t>YZA1865377-67115-0B020/30/70/80</x:t>
  </x:si>
  <x:si>
    <x:t>S018631</x:t>
  </x:si>
  <x:si>
    <x:t>YZA1865383-631110B120</x:t>
  </x:si>
  <x:si>
    <x:t>S018633</x:t>
  </x:si>
  <x:si>
    <x:t>YZA1865367-67113.4-0B050</x:t>
  </x:si>
  <x:si>
    <x:t>S018635</x:t>
  </x:si>
  <x:si>
    <x:t>55321-0D280</x:t>
  </x:si>
  <x:si>
    <x:t>S018637</x:t>
  </x:si>
  <x:si>
    <x:t>YZA1865384-532180B110</x:t>
  </x:si>
  <x:si>
    <x:t>S018639</x:t>
  </x:si>
  <x:si>
    <x:t>YZA1865385-53321.330B030</x:t>
  </x:si>
  <x:si>
    <x:t>S018641</x:t>
  </x:si>
  <x:si>
    <x:t>YZA1865386-67421.2.5.60B030</x:t>
  </x:si>
  <x:si>
    <x:t>S018643</x:t>
  </x:si>
  <x:si>
    <x:t>YZA1865387-516750B020</x:t>
  </x:si>
  <x:si>
    <x:t>S018645</x:t>
  </x:si>
  <x:si>
    <x:t>YZA1865388-584560B020</x:t>
  </x:si>
  <x:si>
    <x:t>S018646</x:t>
  </x:si>
  <x:si>
    <x:t>S018648</x:t>
  </x:si>
  <x:si>
    <x:t>S018649</x:t>
  </x:si>
  <x:si>
    <x:t>640A+expor</x:t>
  </x:si>
  <x:si>
    <x:t>S018651</x:t>
  </x:si>
  <x:si>
    <x:t>S018653</x:t>
  </x:si>
  <x:si>
    <x:t>S018654</x:t>
  </x:si>
  <x:si>
    <x:t>S018655</x:t>
  </x:si>
  <x:si>
    <x:t>R8117989D</x:t>
  </x:si>
  <x:si>
    <x:t>S018656</x:t>
  </x:si>
  <x:si>
    <x:t>77195-BV700/77196-BV700</x:t>
  </x:si>
  <x:si>
    <x:t>S018658</x:t>
  </x:si>
  <x:si>
    <x:t>S018660</x:t>
  </x:si>
  <x:si>
    <x:t>S018661</x:t>
  </x:si>
  <x:si>
    <x:t>S018662</x:t>
  </x:si>
  <x:si>
    <x:t>S018664</x:t>
  </x:si>
  <x:si>
    <x:t>K0LA + K0PA + K0YA, TANK UPPER</x:t>
  </x:si>
  <x:si>
    <x:t>S018665</x:t>
  </x:si>
  <x:si>
    <x:t>K0LA + K0PA + K0YA, TANK LOWER</x:t>
  </x:si>
  <x:si>
    <x:t>S018666</x:t>
  </x:si>
  <x:si>
    <x:t>S018667</x:t>
  </x:si>
  <x:si>
    <x:t>S018668</x:t>
  </x:si>
  <x:si>
    <x:t>S018676</x:t>
  </x:si>
  <x:si>
    <x:t>61772-KK010-D</x:t>
  </x:si>
  <x:si>
    <x:t>S018678</x:t>
  </x:si>
  <x:si>
    <x:t>61771-KK010-D</x:t>
  </x:si>
  <x:si>
    <x:t>S018680</x:t>
  </x:si>
  <x:si>
    <x:t>S018682</x:t>
  </x:si>
  <x:si>
    <x:t>S018685</x:t>
  </x:si>
  <x:si>
    <x:t>S018687</x:t>
  </x:si>
  <x:si>
    <x:t>12112-124YL</x:t>
  </x:si>
  <x:si>
    <x:t>S018692</x:t>
  </x:si>
  <x:si>
    <x:t>S018694</x:t>
  </x:si>
  <x:si>
    <x:t>67142CC000RM1</x:t>
  </x:si>
  <x:si>
    <x:t>S018695</x:t>
  </x:si>
  <x:si>
    <x:t>000000000000008844</x:t>
  </x:si>
  <x:si>
    <x:t>Kaizen Ass</x:t>
  </x:si>
  <x:si>
    <x:t>S018696</x:t>
  </x:si>
  <x:si>
    <x:t>S018697</x:t>
  </x:si>
  <x:si>
    <x:t>S018698</x:t>
  </x:si>
  <x:si>
    <x:t>S018700</x:t>
  </x:si>
  <x:si>
    <x:t>S018702</x:t>
  </x:si>
  <x:si>
    <x:t>S018703</x:t>
  </x:si>
  <x:si>
    <x:t>S018706</x:t>
  </x:si>
  <x:si>
    <x:t>23835-123YL</x:t>
  </x:si>
  <x:si>
    <x:t>TNGA-G</x:t>
  </x:si>
  <x:si>
    <x:t>S018709</x:t>
  </x:si>
  <x:si>
    <x:t>15104-123YL-6</x:t>
  </x:si>
  <x:si>
    <x:t>S018711</x:t>
  </x:si>
  <x:si>
    <x:t>S018712</x:t>
  </x:si>
  <x:si>
    <x:t>Dost</x:t>
  </x:si>
  <x:si>
    <x:t>S018715</x:t>
  </x:si>
  <x:si>
    <x:t>15104-123YL-4</x:t>
  </x:si>
  <x:si>
    <x:t>S018716</x:t>
  </x:si>
  <x:si>
    <x:t>15104-123YL-5</x:t>
  </x:si>
  <x:si>
    <x:t>S018718</x:t>
  </x:si>
  <x:si>
    <x:t>44781-01GAL</x:t>
  </x:si>
  <x:si>
    <x:t>S018719</x:t>
  </x:si>
  <x:si>
    <x:t>6703006274-71121-X7A35</x:t>
  </x:si>
  <x:si>
    <x:t>S018720</x:t>
  </x:si>
  <x:si>
    <x:t>17169-124YL</x:t>
  </x:si>
  <x:si>
    <x:t>S018722</x:t>
  </x:si>
  <x:si>
    <x:t>35314-934ML</x:t>
  </x:si>
  <x:si>
    <x:t>S018723</x:t>
  </x:si>
  <x:si>
    <x:t>15104-123YL-1</x:t>
  </x:si>
  <x:si>
    <x:t>S018726</x:t>
  </x:si>
  <x:si>
    <x:t>17138-125YL</x:t>
  </x:si>
  <x:si>
    <x:t>S018728</x:t>
  </x:si>
  <x:si>
    <x:t>17138-124YL</x:t>
  </x:si>
  <x:si>
    <x:t>S018734</x:t>
  </x:si>
  <x:si>
    <x:t>KOVA OUTER R/L</x:t>
  </x:si>
  <x:si>
    <x:t>S018735</x:t>
  </x:si>
  <x:si>
    <x:t>EFC SER</x:t>
  </x:si>
  <x:si>
    <x:t>S018736</x:t>
  </x:si>
  <x:si>
    <x:t>S018737</x:t>
  </x:si>
  <x:si>
    <x:t>S018738</x:t>
  </x:si>
  <x:si>
    <x:t>S018739</x:t>
  </x:si>
  <x:si>
    <x:t>S018741</x:t>
  </x:si>
  <x:si>
    <x:t>67122-DY000/67122-DY050</x:t>
  </x:si>
  <x:si>
    <x:t>KY</x:t>
  </x:si>
  <x:si>
    <x:t>S018743</x:t>
  </x:si>
  <x:si>
    <x:t>67136-DY000</x:t>
  </x:si>
  <x:si>
    <x:t>S018745</x:t>
  </x:si>
  <x:si>
    <x:t>S018747</x:t>
  </x:si>
  <x:si>
    <x:t>67152-DY000</x:t>
  </x:si>
  <x:si>
    <x:t>S018749</x:t>
  </x:si>
  <x:si>
    <x:t>67142-DY000</x:t>
  </x:si>
  <x:si>
    <x:t>S018751</x:t>
  </x:si>
  <x:si>
    <x:t>67162-DY000</x:t>
  </x:si>
  <x:si>
    <x:t>S018753</x:t>
  </x:si>
  <x:si>
    <x:t>67144-DY000</x:t>
  </x:si>
  <x:si>
    <x:t>S018755</x:t>
  </x:si>
  <x:si>
    <x:t>67172-DY000</x:t>
  </x:si>
  <x:si>
    <x:t>S018757</x:t>
  </x:si>
  <x:si>
    <x:t>67182-DY000</x:t>
  </x:si>
  <x:si>
    <x:t>S018759</x:t>
  </x:si>
  <x:si>
    <x:t>671E8-DY000</x:t>
  </x:si>
  <x:si>
    <x:t>S018761</x:t>
  </x:si>
  <x:si>
    <x:t>64152-DY000</x:t>
  </x:si>
  <x:si>
    <x:t>S018763</x:t>
  </x:si>
  <x:si>
    <x:t>64154-DY000</x:t>
  </x:si>
  <x:si>
    <x:t>S018765</x:t>
  </x:si>
  <x:si>
    <x:t>64138-DY000</x:t>
  </x:si>
  <x:si>
    <x:t>S018767</x:t>
  </x:si>
  <x:si>
    <x:t>64136-DY000</x:t>
  </x:si>
  <x:si>
    <x:t>S018769</x:t>
  </x:si>
  <x:si>
    <x:t>641E2-DY000</x:t>
  </x:si>
  <x:si>
    <x:t>S018771</x:t>
  </x:si>
  <x:si>
    <x:t>641D2-DY000</x:t>
  </x:si>
  <x:si>
    <x:t>S018773</x:t>
  </x:si>
  <x:si>
    <x:t>641C2-DY000</x:t>
  </x:si>
  <x:si>
    <x:t>S018775</x:t>
  </x:si>
  <x:si>
    <x:t>76152-DY000/76162-DY000</x:t>
  </x:si>
  <x:si>
    <x:t>S018776</x:t>
  </x:si>
  <x:si>
    <x:t>76152-DY010/76162-DY010</x:t>
  </x:si>
  <x:si>
    <x:t>S018778</x:t>
  </x:si>
  <x:si>
    <x:t>76153-DY000/76163-DY000</x:t>
  </x:si>
  <x:si>
    <x:t>S018779</x:t>
  </x:si>
  <x:si>
    <x:t>76153-DY010/76163-DY010</x:t>
  </x:si>
  <x:si>
    <x:t>S018781</x:t>
  </x:si>
  <x:si>
    <x:t>77152-DY000/77162-DY000</x:t>
  </x:si>
  <x:si>
    <x:t>S018782</x:t>
  </x:si>
  <x:si>
    <x:t>77152-DY010/77162-DY010</x:t>
  </x:si>
  <x:si>
    <x:t>S018785</x:t>
  </x:si>
  <x:si>
    <x:t>TYPE DD</x:t>
  </x:si>
  <x:si>
    <x:t>S018788</x:t>
  </x:si>
  <x:si>
    <x:t>X0614A18</x:t>
  </x:si>
  <x:si>
    <x:t>S018789</x:t>
  </x:si>
  <x:si>
    <x:t>S018790</x:t>
  </x:si>
  <x:si>
    <x:t>77153-DY000/77163-DY000</x:t>
  </x:si>
  <x:si>
    <x:t>S018791</x:t>
  </x:si>
  <x:si>
    <x:t>17141-124YL-19</x:t>
  </x:si>
  <x:si>
    <x:t>560B-EM</x:t>
  </x:si>
  <x:si>
    <x:t>S018792</x:t>
  </x:si>
  <x:si>
    <x:t>17141-124YL-01</x:t>
  </x:si>
  <x:si>
    <x:t>S018794</x:t>
  </x:si>
  <x:si>
    <x:t>G9215-0J010-T1</x:t>
  </x:si>
  <x:si>
    <x:t>S018796</x:t>
  </x:si>
  <x:si>
    <x:t>51228/9-VT010</x:t>
  </x:si>
  <x:si>
    <x:t>S018797</x:t>
  </x:si>
  <x:si>
    <x:t>17141-124YL-18</x:t>
  </x:si>
  <x:si>
    <x:t>S018798</x:t>
  </x:si>
  <x:si>
    <x:t>17141-124YL-23</x:t>
  </x:si>
  <x:si>
    <x:t>S018800</x:t>
  </x:si>
  <x:si>
    <x:t>51219-VT010</x:t>
  </x:si>
  <x:si>
    <x:t>S018802</x:t>
  </x:si>
  <x:si>
    <x:t>51224-VT010</x:t>
  </x:si>
  <x:si>
    <x:t>S018804</x:t>
  </x:si>
  <x:si>
    <x:t>51141/2-VT010</x:t>
  </x:si>
  <x:si>
    <x:t>S018805</x:t>
  </x:si>
  <x:si>
    <x:t>S018806</x:t>
  </x:si>
  <x:si>
    <x:t>S018807</x:t>
  </x:si>
  <x:si>
    <x:t>S018808</x:t>
  </x:si>
  <x:si>
    <x:t>R8117991D</x:t>
  </x:si>
  <x:si>
    <x:t>S018809</x:t>
  </x:si>
  <x:si>
    <x:t>R0714316</x:t>
  </x:si>
  <x:si>
    <x:t>S018811</x:t>
  </x:si>
  <x:si>
    <x:t>S018813</x:t>
  </x:si>
  <x:si>
    <x:t>S018815</x:t>
  </x:si>
  <x:si>
    <x:t>S018816</x:t>
  </x:si>
  <x:si>
    <x:t>S018817</x:t>
  </x:si>
  <x:si>
    <x:t>G9214-0J010-T1</x:t>
  </x:si>
  <x:si>
    <x:t>S018819</x:t>
  </x:si>
  <x:si>
    <x:t>53813.4-KK020</x:t>
  </x:si>
  <x:si>
    <x:t>S018821</x:t>
  </x:si>
  <x:si>
    <x:t>PYZA55348-KK090RM</x:t>
  </x:si>
  <x:si>
    <x:t>655B</x:t>
  </x:si>
  <x:si>
    <x:t>S018823</x:t>
  </x:si>
  <x:si>
    <x:t>51452-0K010</x:t>
  </x:si>
  <x:si>
    <x:t>S018825</x:t>
  </x:si>
  <x:si>
    <x:t>51444-02020</x:t>
  </x:si>
  <x:si>
    <x:t>S018827</x:t>
  </x:si>
  <x:si>
    <x:t>S018829</x:t>
  </x:si>
  <x:si>
    <x:t>532160D060RM</x:t>
  </x:si>
  <x:si>
    <x:t>EFC Ser</x:t>
  </x:si>
  <x:si>
    <x:t>S018831</x:t>
  </x:si>
  <x:si>
    <x:t>S018833</x:t>
  </x:si>
  <x:si>
    <x:t>TNGA</x:t>
  </x:si>
  <x:si>
    <x:t>S018835</x:t>
  </x:si>
  <x:si>
    <x:t>G9215-0J010-T2</x:t>
  </x:si>
  <x:si>
    <x:t>S018837</x:t>
  </x:si>
  <x:si>
    <x:t>G9214-0J010-T2</x:t>
  </x:si>
  <x:si>
    <x:t>S018839</x:t>
  </x:si>
  <x:si>
    <x:t>R8114839</x:t>
  </x:si>
  <x:si>
    <x:t>S018840</x:t>
  </x:si>
  <x:si>
    <x:t>S018841</x:t>
  </x:si>
  <x:si>
    <x:t>R8114029</x:t>
  </x:si>
  <x:si>
    <x:t>S018843</x:t>
  </x:si>
  <x:si>
    <x:t>S018845</x:t>
  </x:si>
  <x:si>
    <x:t>S018847</x:t>
  </x:si>
  <x:si>
    <x:t>55157-VT010(20)-Z1</x:t>
  </x:si>
  <x:si>
    <x:t>S018848</x:t>
  </x:si>
  <x:si>
    <x:t>17141-124YL-15</x:t>
  </x:si>
  <x:si>
    <x:t>S018849</x:t>
  </x:si>
  <x:si>
    <x:t>17141-124YL-02</x:t>
  </x:si>
  <x:si>
    <x:t>S018851</x:t>
  </x:si>
  <x:si>
    <x:t>S018852</x:t>
  </x:si>
  <x:si>
    <x:t>S018853</x:t>
  </x:si>
  <x:si>
    <x:t>S018855</x:t>
  </x:si>
  <x:si>
    <x:t>S018856</x:t>
  </x:si>
  <x:si>
    <x:t>S018857</x:t>
  </x:si>
  <x:si>
    <x:t>S018858</x:t>
  </x:si>
  <x:si>
    <x:t>23835-125YL</x:t>
  </x:si>
  <x:si>
    <x:t>S018859</x:t>
  </x:si>
  <x:si>
    <x:t>S018860</x:t>
  </x:si>
  <x:si>
    <x:t>S018862</x:t>
  </x:si>
  <x:si>
    <x:t>S018863</x:t>
  </x:si>
  <x:si>
    <x:t>4100240</x:t>
  </x:si>
  <x:si>
    <x:t>J1D Fuel T</x:t>
  </x:si>
  <x:si>
    <x:t>S018864</x:t>
  </x:si>
  <x:si>
    <x:t>S018866</x:t>
  </x:si>
  <x:si>
    <x:t>53358-0B020</x:t>
  </x:si>
  <x:si>
    <x:t>S018867</x:t>
  </x:si>
  <x:si>
    <x:t>S018868</x:t>
  </x:si>
  <x:si>
    <x:t>S018869</x:t>
  </x:si>
  <x:si>
    <x:t>415441-10630</x:t>
  </x:si>
  <x:si>
    <x:t>S018871</x:t>
  </x:si>
  <x:si>
    <x:t>S018873</x:t>
  </x:si>
  <x:si>
    <x:t>415431-12610</x:t>
  </x:si>
  <x:si>
    <x:t>S018874</x:t>
  </x:si>
  <x:si>
    <x:t>42182/9-560BL</x:t>
  </x:si>
  <x:si>
    <x:t>S018875</x:t>
  </x:si>
  <x:si>
    <x:t>42313/4-560BL</x:t>
  </x:si>
  <x:si>
    <x:t>S018877</x:t>
  </x:si>
  <x:si>
    <x:t>51445-560BL</x:t>
  </x:si>
  <x:si>
    <x:t>S018878</x:t>
  </x:si>
  <x:si>
    <x:t>S018879</x:t>
  </x:si>
  <x:si>
    <x:t>R0714315</x:t>
  </x:si>
  <x:si>
    <x:t>S018880</x:t>
  </x:si>
  <x:si>
    <x:t>S018882</x:t>
  </x:si>
  <x:si>
    <x:t>G113E-934KN</x:t>
  </x:si>
  <x:si>
    <x:t>S018883</x:t>
  </x:si>
  <x:si>
    <x:t>15104TNGA-G</x:t>
  </x:si>
  <x:si>
    <x:t>S018889</x:t>
  </x:si>
  <x:si>
    <x:t>6703006272-71765-X7V01-C</x:t>
  </x:si>
  <x:si>
    <x:t>S018891</x:t>
  </x:si>
  <x:si>
    <x:t>6703006273-71121.2-X7A34/A25</x:t>
  </x:si>
  <x:si>
    <x:t>S018893</x:t>
  </x:si>
  <x:si>
    <x:t>S018894</x:t>
  </x:si>
  <x:si>
    <x:t>6703006275-71131-X7A01</x:t>
  </x:si>
  <x:si>
    <x:t>S018895</x:t>
  </x:si>
  <x:si>
    <x:t>S018897</x:t>
  </x:si>
  <x:si>
    <x:t>101075014</x:t>
  </x:si>
  <x:si>
    <x:t>S018898</x:t>
  </x:si>
  <x:si>
    <x:t>KOVA</x:t>
  </x:si>
  <x:si>
    <x:t>S018899</x:t>
  </x:si>
  <x:si>
    <x:t>S018900</x:t>
  </x:si>
  <x:si>
    <x:t>KONA</x:t>
  </x:si>
  <x:si>
    <x:t>S018901</x:t>
  </x:si>
  <x:si>
    <x:t>S018902</x:t>
  </x:si>
  <x:si>
    <x:t>S018904</x:t>
  </x:si>
  <x:si>
    <x:t>51521/2-VT010</x:t>
  </x:si>
  <x:si>
    <x:t>S018905</x:t>
  </x:si>
  <x:si>
    <x:t>S018906</x:t>
  </x:si>
  <x:si>
    <x:t>S018909</x:t>
  </x:si>
  <x:si>
    <x:t>23851-124YL</x:t>
  </x:si>
  <x:si>
    <x:t>S018911</x:t>
  </x:si>
  <x:si>
    <x:t>77611-0K030</x:t>
  </x:si>
  <x:si>
    <x:t>S018913</x:t>
  </x:si>
  <x:si>
    <x:t>77612-0K140</x:t>
  </x:si>
  <x:si>
    <x:t>S018914</x:t>
  </x:si>
  <x:si>
    <x:t>53715.6-0K030-A</x:t>
  </x:si>
  <x:si>
    <x:t>S018920</x:t>
  </x:si>
  <x:si>
    <x:t>61716-KK010</x:t>
  </x:si>
  <x:si>
    <x:t>S018922</x:t>
  </x:si>
  <x:si>
    <x:t>61767-44010</x:t>
  </x:si>
  <x:si>
    <x:t>S018924</x:t>
  </x:si>
  <x:si>
    <x:t>61676-KK010</x:t>
  </x:si>
  <x:si>
    <x:t>S018926</x:t>
  </x:si>
  <x:si>
    <x:t>61675-KK010</x:t>
  </x:si>
  <x:si>
    <x:t>S018931</x:t>
  </x:si>
  <x:si>
    <x:t>61711.2-KK010</x:t>
  </x:si>
  <x:si>
    <x:t>S018939</x:t>
  </x:si>
  <x:si>
    <x:t>SCTZ270C</x:t>
  </x:si>
  <x:si>
    <x:t>30N</x:t>
  </x:si>
  <x:si>
    <x:t>77133-0K020</x:t>
  </x:si>
  <x:si>
    <x:t>S018943</x:t>
  </x:si>
  <x:si>
    <x:t>S018944</x:t>
  </x:si>
  <x:si>
    <x:t>S018945</x:t>
  </x:si>
  <x:si>
    <x:t>S018946</x:t>
  </x:si>
  <x:si>
    <x:t>4100536</x:t>
  </x:si>
  <x:si>
    <x:t>R.E-J1A</x:t>
  </x:si>
  <x:si>
    <x:t>S018947</x:t>
  </x:si>
  <x:si>
    <x:t>S018948</x:t>
  </x:si>
  <x:si>
    <x:t>42131-0K030-A</x:t>
  </x:si>
  <x:si>
    <x:t>S018949</x:t>
  </x:si>
  <x:si>
    <x:t>53711-0D010</x:t>
  </x:si>
  <x:si>
    <x:t>800L SP</x:t>
  </x:si>
  <x:si>
    <x:t>S018951</x:t>
  </x:si>
  <x:si>
    <x:t>51571-0D040</x:t>
  </x:si>
  <x:si>
    <x:t>S018952</x:t>
  </x:si>
  <x:si>
    <x:t>57659-0D030</x:t>
  </x:si>
  <x:si>
    <x:t>S018955</x:t>
  </x:si>
  <x:si>
    <x:t>42113.4-KK040</x:t>
  </x:si>
  <x:si>
    <x:t>S018956</x:t>
  </x:si>
  <x:si>
    <x:t>42161-KK010</x:t>
  </x:si>
  <x:si>
    <x:t>S018957</x:t>
  </x:si>
  <x:si>
    <x:t>42134-KK040</x:t>
  </x:si>
  <x:si>
    <x:t>S018958</x:t>
  </x:si>
  <x:si>
    <x:t>S018959</x:t>
  </x:si>
  <x:si>
    <x:t>S018960</x:t>
  </x:si>
  <x:si>
    <x:t>S018961</x:t>
  </x:si>
  <x:si>
    <x:t>S018962</x:t>
  </x:si>
  <x:si>
    <x:t>S018963</x:t>
  </x:si>
  <x:si>
    <x:t>S018965</x:t>
  </x:si>
  <x:si>
    <x:t>S018967</x:t>
  </x:si>
  <x:si>
    <x:t>S018968</x:t>
  </x:si>
  <x:si>
    <x:t>S018970</x:t>
  </x:si>
  <x:si>
    <x:t>51241-KK010-B</x:t>
  </x:si>
  <x:si>
    <x:t>S018972</x:t>
  </x:si>
  <x:si>
    <x:t>S018974</x:t>
  </x:si>
  <x:si>
    <x:t>52145.6-0D120.40</x:t>
  </x:si>
  <x:si>
    <x:t>S018975</x:t>
  </x:si>
  <x:si>
    <x:t>77195/6BV700RM</x:t>
  </x:si>
  <x:si>
    <x:t>S018977</x:t>
  </x:si>
  <x:si>
    <x:t>77271/81-BV700</x:t>
  </x:si>
  <x:si>
    <x:t>S018979</x:t>
  </x:si>
  <x:si>
    <x:t>S018984</x:t>
  </x:si>
  <x:si>
    <x:t>17442-VT010/120</x:t>
  </x:si>
  <x:si>
    <x:t>S018985</x:t>
  </x:si>
  <x:si>
    <x:t>17443-VT010</x:t>
  </x:si>
  <x:si>
    <x:t>S018986</x:t>
  </x:si>
  <x:si>
    <x:t>77271/81BV700RM</x:t>
  </x:si>
  <x:si>
    <x:t>S018988</x:t>
  </x:si>
  <x:si>
    <x:t>67172DY000RM / 67182DY000RM</x:t>
  </x:si>
  <x:si>
    <x:t>S018989</x:t>
  </x:si>
  <x:si>
    <x:t>NSSC</x:t>
  </x:si>
  <x:si>
    <x:t>NSS HR-1</x:t>
  </x:si>
  <x:si>
    <x:t>S018990</x:t>
  </x:si>
  <x:si>
    <x:t>YZA1865392-61776-0K040-660A</x:t>
  </x:si>
  <x:si>
    <x:t>S018991</x:t>
  </x:si>
  <x:si>
    <x:t>S018993</x:t>
  </x:si>
  <x:si>
    <x:t>S018995</x:t>
  </x:si>
  <x:si>
    <x:t>S018996</x:t>
  </x:si>
  <x:si>
    <x:t>S018997</x:t>
  </x:si>
  <x:si>
    <x:t>YZA1865391-61775-0K040-660A</x:t>
  </x:si>
  <x:si>
    <x:t>S018998</x:t>
  </x:si>
  <x:si>
    <x:t>S019000</x:t>
  </x:si>
  <x:si>
    <x:t>S019001</x:t>
  </x:si>
  <x:si>
    <x:t>ULCEDD</x:t>
  </x:si>
  <x:si>
    <x:t>3225165</x:t>
  </x:si>
  <x:si>
    <x:t>ACTIVA</x:t>
  </x:si>
  <x:si>
    <x:t>S019002</x:t>
  </x:si>
  <x:si>
    <x:t>51518.9-KK010-A</x:t>
  </x:si>
  <x:si>
    <x:t>S019003</x:t>
  </x:si>
  <x:si>
    <x:t>660A &amp; 650</x:t>
  </x:si>
  <x:si>
    <x:t>S019004</x:t>
  </x:si>
  <x:si>
    <x:t>S019005</x:t>
  </x:si>
  <x:si>
    <x:t>TKMSQE43924</x:t>
  </x:si>
  <x:si>
    <x:t>S019006</x:t>
  </x:si>
  <x:si>
    <x:t>S019008</x:t>
  </x:si>
  <x:si>
    <x:t>JSC590RN</x:t>
  </x:si>
  <x:si>
    <x:t>72521-X7P03-6703006332</x:t>
  </x:si>
  <x:si>
    <x:t>D22</x:t>
  </x:si>
  <x:si>
    <x:t>S019010</x:t>
  </x:si>
  <x:si>
    <x:t>S019012</x:t>
  </x:si>
  <x:si>
    <x:t>S019013</x:t>
  </x:si>
  <x:si>
    <x:t>S019014</x:t>
  </x:si>
  <x:si>
    <x:t>48611.12-0K020</x:t>
  </x:si>
  <x:si>
    <x:t>S019015</x:t>
  </x:si>
  <x:si>
    <x:t>R8117985D</x:t>
  </x:si>
  <x:si>
    <x:t>S019016</x:t>
  </x:si>
  <x:si>
    <x:t>R8117974D</x:t>
  </x:si>
  <x:si>
    <x:t>S019017</x:t>
  </x:si>
  <x:si>
    <x:t>R0714206</x:t>
  </x:si>
  <x:si>
    <x:t>S019018</x:t>
  </x:si>
  <x:si>
    <x:t>51231-KK010-B</x:t>
  </x:si>
  <x:si>
    <x:t>S019019</x:t>
  </x:si>
  <x:si>
    <x:t>S019020</x:t>
  </x:si>
  <x:si>
    <x:t>31233-0K140</x:t>
  </x:si>
  <x:si>
    <x:t>S019022</x:t>
  </x:si>
  <x:si>
    <x:t>S019024</x:t>
  </x:si>
  <x:si>
    <x:t>S019025</x:t>
  </x:si>
  <x:si>
    <x:t>33524-0D150</x:t>
  </x:si>
  <x:si>
    <x:t>S019027</x:t>
  </x:si>
  <x:si>
    <x:t>S019029</x:t>
  </x:si>
  <x:si>
    <x:t>S019031</x:t>
  </x:si>
  <x:si>
    <x:t>51221-KK010-B</x:t>
  </x:si>
  <x:si>
    <x:t>S019036</x:t>
  </x:si>
  <x:si>
    <x:t>6703006316-72883-X7P00-A</x:t>
  </x:si>
  <x:si>
    <x:t>S019038</x:t>
  </x:si>
  <x:si>
    <x:t>JSC270DU</x:t>
  </x:si>
  <x:si>
    <x:t>71274-X7P00-A</x:t>
  </x:si>
  <x:si>
    <x:t>S019040</x:t>
  </x:si>
  <x:si>
    <x:t>71273-X7P00-A</x:t>
  </x:si>
  <x:si>
    <x:t>S019042</x:t>
  </x:si>
  <x:si>
    <x:t>6703006327-72521-X7P01</x:t>
  </x:si>
  <x:si>
    <x:t>S019044</x:t>
  </x:si>
  <x:si>
    <x:t>6703006328-72521-X7P02</x:t>
  </x:si>
  <x:si>
    <x:t>S019045</x:t>
  </x:si>
  <x:si>
    <x:t>6703006329-72522-X7P01</x:t>
  </x:si>
  <x:si>
    <x:t>S019046</x:t>
  </x:si>
  <x:si>
    <x:t>6703006331-72521-X7P03</x:t>
  </x:si>
  <x:si>
    <x:t>S019047</x:t>
  </x:si>
  <x:si>
    <x:t>JSH440WN-P</x:t>
  </x:si>
  <x:si>
    <x:t>6703006330-72831-X7P01</x:t>
  </x:si>
  <x:si>
    <x:t>S019048</x:t>
  </x:si>
  <x:si>
    <x:t>JSH590RN-P</x:t>
  </x:si>
  <x:si>
    <x:t>72883-X7P00-A</x:t>
  </x:si>
  <x:si>
    <x:t>S019049</x:t>
  </x:si>
  <x:si>
    <x:t>72883-X7P01-A</x:t>
  </x:si>
  <x:si>
    <x:t>S019050</x:t>
  </x:si>
  <x:si>
    <x:t>6703006318-71452-X7P00</x:t>
  </x:si>
  <x:si>
    <x:t>S019051</x:t>
  </x:si>
  <x:si>
    <x:t>6703006319-71356-X7P00</x:t>
  </x:si>
  <x:si>
    <x:t>S019052</x:t>
  </x:si>
  <x:si>
    <x:t>7X721.2-X7P00</x:t>
  </x:si>
  <x:si>
    <x:t>S019053</x:t>
  </x:si>
  <x:si>
    <x:t>6703006322-7X723.4-X7P00</x:t>
  </x:si>
  <x:si>
    <x:t>S019054</x:t>
  </x:si>
  <x:si>
    <x:t>7X633-X7P00</x:t>
  </x:si>
  <x:si>
    <x:t>S019056</x:t>
  </x:si>
  <x:si>
    <x:t>57187.8-VT010</x:t>
  </x:si>
  <x:si>
    <x:t>S019058</x:t>
  </x:si>
  <x:si>
    <x:t>53211.2-VT010</x:t>
  </x:si>
  <x:si>
    <x:t>S019060</x:t>
  </x:si>
  <x:si>
    <x:t>6703006324-71391-X7P01</x:t>
  </x:si>
  <x:si>
    <x:t>S019061</x:t>
  </x:si>
  <x:si>
    <x:t>6703006325-71392-X7P01</x:t>
  </x:si>
  <x:si>
    <x:t>S019062</x:t>
  </x:si>
  <x:si>
    <x:t>6703006326-72608-X7P00-A</x:t>
  </x:si>
  <x:si>
    <x:t>S019063</x:t>
  </x:si>
  <x:si>
    <x:t>57195.6-VT010</x:t>
  </x:si>
  <x:si>
    <x:t>S019064</x:t>
  </x:si>
  <x:si>
    <x:t>JSH270CN-P</x:t>
  </x:si>
  <x:si>
    <x:t>6703006320-73191-X7P00</x:t>
  </x:si>
  <x:si>
    <x:t>S019066</x:t>
  </x:si>
  <x:si>
    <x:t>57155.6-VT010</x:t>
  </x:si>
  <x:si>
    <x:t>S019068</x:t>
  </x:si>
  <x:si>
    <x:t>SGACC</x:t>
  </x:si>
  <x:si>
    <x:t>X31107BV300RM</x:t>
  </x:si>
  <x:si>
    <x:t>S019070</x:t>
  </x:si>
  <x:si>
    <x:t>57193.4-VT020</x:t>
  </x:si>
  <x:si>
    <x:t>S019072</x:t>
  </x:si>
  <x:si>
    <x:t>61211.2-VT020</x:t>
  </x:si>
  <x:si>
    <x:t>S019074</x:t>
  </x:si>
  <x:si>
    <x:t>61231.2-VT020</x:t>
  </x:si>
  <x:si>
    <x:t>S019076</x:t>
  </x:si>
  <x:si>
    <x:t>68945.6-VT030</x:t>
  </x:si>
  <x:si>
    <x:t>S019078</x:t>
  </x:si>
  <x:si>
    <x:t>58213-VT010</x:t>
  </x:si>
  <x:si>
    <x:t>S019080</x:t>
  </x:si>
  <x:si>
    <x:t>57655-903B0</x:t>
  </x:si>
  <x:si>
    <x:t>S019082</x:t>
  </x:si>
  <x:si>
    <x:t>17119-VT010/20</x:t>
  </x:si>
  <x:si>
    <x:t>S019084</x:t>
  </x:si>
  <x:si>
    <x:t>17765-VT010/20</x:t>
  </x:si>
  <x:si>
    <x:t>S019086</x:t>
  </x:si>
  <x:si>
    <x:t>68945.6-VT040</x:t>
  </x:si>
  <x:si>
    <x:t>S019088</x:t>
  </x:si>
  <x:si>
    <x:t>68947.8-VT030</x:t>
  </x:si>
  <x:si>
    <x:t>S019091</x:t>
  </x:si>
  <x:si>
    <x:t>68947.8-VT040</x:t>
  </x:si>
  <x:si>
    <x:t>S019093</x:t>
  </x:si>
  <x:si>
    <x:t>42157.8-F7010</x:t>
  </x:si>
  <x:si>
    <x:t>S019095</x:t>
  </x:si>
  <x:si>
    <x:t>55171.5-TRA44</x:t>
  </x:si>
  <x:si>
    <x:t>S019097</x:t>
  </x:si>
  <x:si>
    <x:t>47351.2-F7010-Z1</x:t>
  </x:si>
  <x:si>
    <x:t>S019099</x:t>
  </x:si>
  <x:si>
    <x:t>47351.2-903BM-1</x:t>
  </x:si>
  <x:si>
    <x:t>S019103</x:t>
  </x:si>
  <x:si>
    <x:t>53165.6-VT010/20-Z2</x:t>
  </x:si>
  <x:si>
    <x:t>S019104</x:t>
  </x:si>
  <x:si>
    <x:t>55774-0D100</x:t>
  </x:si>
  <x:si>
    <x:t>S019106</x:t>
  </x:si>
  <x:si>
    <x:t>51979-0D100</x:t>
  </x:si>
  <x:si>
    <x:t>S019107</x:t>
  </x:si>
  <x:si>
    <x:t>17766-VT010/20</x:t>
  </x:si>
  <x:si>
    <x:t>S019111</x:t>
  </x:si>
  <x:si>
    <x:t>53681.2-VT010-Z2</x:t>
  </x:si>
  <x:si>
    <x:t>S019113</x:t>
  </x:si>
  <x:si>
    <x:t>53216-VT010</x:t>
  </x:si>
  <x:si>
    <x:t>S019114</x:t>
  </x:si>
  <x:si>
    <x:t>67475-0K030- 560BM-1</x:t>
  </x:si>
  <x:si>
    <x:t>S019115</x:t>
  </x:si>
  <x:si>
    <x:t>67467-OK010 560BM-1</x:t>
  </x:si>
  <x:si>
    <x:t>S019117</x:t>
  </x:si>
  <x:si>
    <x:t>61241-VT020</x:t>
  </x:si>
  <x:si>
    <x:t>S019118</x:t>
  </x:si>
  <x:si>
    <x:t>12325-VT010-1</x:t>
  </x:si>
  <x:si>
    <x:t>S019120</x:t>
  </x:si>
  <x:si>
    <x:t>17767-VT010/20</x:t>
  </x:si>
  <x:si>
    <x:t>S019122</x:t>
  </x:si>
  <x:si>
    <x:t>17768-VT010/20</x:t>
  </x:si>
  <x:si>
    <x:t>S019124</x:t>
  </x:si>
  <x:si>
    <x:t>G921E-F7010/20</x:t>
  </x:si>
  <x:si>
    <x:t>S019126</x:t>
  </x:si>
  <x:si>
    <x:t>44592-VT030</x:t>
  </x:si>
  <x:si>
    <x:t>S019128</x:t>
  </x:si>
  <x:si>
    <x:t>44592-VT060</x:t>
  </x:si>
  <x:si>
    <x:t>S019130</x:t>
  </x:si>
  <x:si>
    <x:t>44593-VT030</x:t>
  </x:si>
  <x:si>
    <x:t>S019132</x:t>
  </x:si>
  <x:si>
    <x:t>44594-903BL</x:t>
  </x:si>
  <x:si>
    <x:t>S019134</x:t>
  </x:si>
  <x:si>
    <x:t>44546-903BL</x:t>
  </x:si>
  <x:si>
    <x:t>S019135</x:t>
  </x:si>
  <x:si>
    <x:t>47111-TRA82</x:t>
  </x:si>
  <x:si>
    <x:t>S019137</x:t>
  </x:si>
  <x:si>
    <x:t>S019139</x:t>
  </x:si>
  <x:si>
    <x:t>47115-TRA82</x:t>
  </x:si>
  <x:si>
    <x:t>S019141</x:t>
  </x:si>
  <x:si>
    <x:t>55179-TRA44</x:t>
  </x:si>
  <x:si>
    <x:t>S019143</x:t>
  </x:si>
  <x:si>
    <x:t>55178-TRA39</x:t>
  </x:si>
  <x:si>
    <x:t>S019145</x:t>
  </x:si>
  <x:si>
    <x:t>55179-TRA45</x:t>
  </x:si>
  <x:si>
    <x:t>S019146</x:t>
  </x:si>
  <x:si>
    <x:t>47111-TRA83</x:t>
  </x:si>
  <x:si>
    <x:t>S019148</x:t>
  </x:si>
  <x:si>
    <x:t>47115-TRA83</x:t>
  </x:si>
  <x:si>
    <x:t>S019149</x:t>
  </x:si>
  <x:si>
    <x:t>48824-VT010</x:t>
  </x:si>
  <x:si>
    <x:t>S019151</x:t>
  </x:si>
  <x:si>
    <x:t>55116-VT010</x:t>
  </x:si>
  <x:si>
    <x:t>S019153</x:t>
  </x:si>
  <x:si>
    <x:t>55172-VT010-Z2</x:t>
  </x:si>
  <x:si>
    <x:t>S019155</x:t>
  </x:si>
  <x:si>
    <x:t>55326-560BL</x:t>
  </x:si>
  <x:si>
    <x:t>S019157</x:t>
  </x:si>
  <x:si>
    <x:t>58325-VT010/20-Z2</x:t>
  </x:si>
  <x:si>
    <x:t>S019158</x:t>
  </x:si>
  <x:si>
    <x:t>S019159</x:t>
  </x:si>
  <x:si>
    <x:t>S019160</x:t>
  </x:si>
  <x:si>
    <x:t>12325-VT010-2</x:t>
  </x:si>
  <x:si>
    <x:t>S019161</x:t>
  </x:si>
  <x:si>
    <x:t>12325-VT010-3</x:t>
  </x:si>
  <x:si>
    <x:t>S019163</x:t>
  </x:si>
  <x:si>
    <x:t>12328-VT010</x:t>
  </x:si>
  <x:si>
    <x:t>S019165</x:t>
  </x:si>
  <x:si>
    <x:t>48471-903BL</x:t>
  </x:si>
  <x:si>
    <x:t>S019167</x:t>
  </x:si>
  <x:si>
    <x:t>63142-VT020</x:t>
  </x:si>
  <x:si>
    <x:t>S019170</x:t>
  </x:si>
  <x:si>
    <x:t>63143-VT020</x:t>
  </x:si>
  <x:si>
    <x:t>S019171</x:t>
  </x:si>
  <x:si>
    <x:t>58791-VT010-Z2</x:t>
  </x:si>
  <x:si>
    <x:t>S019173</x:t>
  </x:si>
  <x:si>
    <x:t>58792-VT010-Z2</x:t>
  </x:si>
  <x:si>
    <x:t>S019175</x:t>
  </x:si>
  <x:si>
    <x:t>58793-VT010-Z2</x:t>
  </x:si>
  <x:si>
    <x:t>S019177</x:t>
  </x:si>
  <x:si>
    <x:t>82715-VT290-Z2</x:t>
  </x:si>
  <x:si>
    <x:t>S019179</x:t>
  </x:si>
  <x:si>
    <x:t>G9214-903BL</x:t>
  </x:si>
  <x:si>
    <x:t>S019181</x:t>
  </x:si>
  <x:si>
    <x:t>G9215-903BL</x:t>
  </x:si>
  <x:si>
    <x:t>S019183</x:t>
  </x:si>
  <x:si>
    <x:t>53741-KK030</x:t>
  </x:si>
  <x:si>
    <x:t>65-0A</x:t>
  </x:si>
  <x:si>
    <x:t>S019185</x:t>
  </x:si>
  <x:si>
    <x:t>53745-KK020-A</x:t>
  </x:si>
  <x:si>
    <x:t>S019187</x:t>
  </x:si>
  <x:si>
    <x:t>77611-KK010</x:t>
  </x:si>
  <x:si>
    <x:t>S019189</x:t>
  </x:si>
  <x:si>
    <x:t>77612-KK020</x:t>
  </x:si>
  <x:si>
    <x:t>S019191</x:t>
  </x:si>
  <x:si>
    <x:t>S019193</x:t>
  </x:si>
  <x:si>
    <x:t>S019195</x:t>
  </x:si>
  <x:si>
    <x:t>S019197</x:t>
  </x:si>
  <x:si>
    <x:t>S019199</x:t>
  </x:si>
  <x:si>
    <x:t>S019201</x:t>
  </x:si>
  <x:si>
    <x:t>S019203</x:t>
  </x:si>
  <x:si>
    <x:t>S019204</x:t>
  </x:si>
  <x:si>
    <x:t>JAC440WN</x:t>
  </x:si>
  <x:si>
    <x:t>45/45</x:t>
  </x:si>
  <x:si>
    <x:t>58642/742-68P00</x:t>
  </x:si>
  <x:si>
    <x:t>S019206</x:t>
  </x:si>
  <x:si>
    <x:t>S019208</x:t>
  </x:si>
  <x:si>
    <x:t>S019210</x:t>
  </x:si>
  <x:si>
    <x:t>R0714318</x:t>
  </x:si>
  <x:si>
    <x:t>S019212</x:t>
  </x:si>
  <x:si>
    <x:t>67403.40K100</x:t>
  </x:si>
  <x:si>
    <x:t>650A +Expo</x:t>
  </x:si>
  <x:si>
    <x:t>S019213</x:t>
  </x:si>
  <x:si>
    <x:t>650A &amp; 660</x:t>
  </x:si>
  <x:si>
    <x:t>S019214</x:t>
  </x:si>
  <x:si>
    <x:t>614110K120RM</x:t>
  </x:si>
  <x:si>
    <x:t>S019215</x:t>
  </x:si>
  <x:si>
    <x:t>S019217</x:t>
  </x:si>
  <x:si>
    <x:t>S019218</x:t>
  </x:si>
  <x:si>
    <x:t>OEMDQ</x:t>
  </x:si>
  <x:si>
    <x:t>3176268</x:t>
  </x:si>
  <x:si>
    <x:t>S019221</x:t>
  </x:si>
  <x:si>
    <x:t>S019224</x:t>
  </x:si>
  <x:si>
    <x:t>S019225</x:t>
  </x:si>
  <x:si>
    <x:t>6703006025-72441-X1B01-230B</x:t>
  </x:si>
  <x:si>
    <x:t>S019226</x:t>
  </x:si>
  <x:si>
    <x:t>S019227</x:t>
  </x:si>
  <x:si>
    <x:t>S019228</x:t>
  </x:si>
  <x:si>
    <x:t>S019230</x:t>
  </x:si>
  <x:si>
    <x:t>57645.6-0D090.110</x:t>
  </x:si>
  <x:si>
    <x:t>S019232</x:t>
  </x:si>
  <x:si>
    <x:t>S019234</x:t>
  </x:si>
  <x:si>
    <x:t>S019235</x:t>
  </x:si>
  <x:si>
    <x:t>S019236</x:t>
  </x:si>
  <x:si>
    <x:t>51321.22-KK010-B</x:t>
  </x:si>
  <x:si>
    <x:t>S019238</x:t>
  </x:si>
  <x:si>
    <x:t>S019242</x:t>
  </x:si>
  <x:si>
    <x:t>S019244</x:t>
  </x:si>
  <x:si>
    <x:t>S019246</x:t>
  </x:si>
  <x:si>
    <x:t>S019248</x:t>
  </x:si>
  <x:si>
    <x:t>S019250</x:t>
  </x:si>
  <x:si>
    <x:t>S019252</x:t>
  </x:si>
  <x:si>
    <x:t>S019254</x:t>
  </x:si>
  <x:si>
    <x:t>S019256</x:t>
  </x:si>
  <x:si>
    <x:t>S019258</x:t>
  </x:si>
  <x:si>
    <x:t>67122-T7000-T1</x:t>
  </x:si>
  <x:si>
    <x:t>BI3 -HMI</x:t>
  </x:si>
  <x:si>
    <x:t>S019260</x:t>
  </x:si>
  <x:si>
    <x:t>67132-T7000-T1</x:t>
  </x:si>
  <x:si>
    <x:t>S019262</x:t>
  </x:si>
  <x:si>
    <x:t>67166-DY050</x:t>
  </x:si>
  <x:si>
    <x:t>S019263</x:t>
  </x:si>
  <x:si>
    <x:t>58311-0K143-660A</x:t>
  </x:si>
  <x:si>
    <x:t>S019266</x:t>
  </x:si>
  <x:si>
    <x:t>S019267</x:t>
  </x:si>
  <x:si>
    <x:t>58384.5-KK010</x:t>
  </x:si>
  <x:si>
    <x:t>S019269</x:t>
  </x:si>
  <x:si>
    <x:t>S019271</x:t>
  </x:si>
  <x:si>
    <x:t>61767-KK020-A</x:t>
  </x:si>
  <x:si>
    <x:t>S019272</x:t>
  </x:si>
  <x:si>
    <x:t>S019273</x:t>
  </x:si>
  <x:si>
    <x:t>S019274</x:t>
  </x:si>
  <x:si>
    <x:t>S019276</x:t>
  </x:si>
  <x:si>
    <x:t>47381.2-F7030</x:t>
  </x:si>
  <x:si>
    <x:t>S019278</x:t>
  </x:si>
  <x:si>
    <x:t>52125.6-VT010</x:t>
  </x:si>
  <x:si>
    <x:t>S019279</x:t>
  </x:si>
  <x:si>
    <x:t>S019284</x:t>
  </x:si>
  <x:si>
    <x:t>S019285</x:t>
  </x:si>
  <x:si>
    <x:t>S019287</x:t>
  </x:si>
  <x:si>
    <x:t>S019288</x:t>
  </x:si>
  <x:si>
    <x:t>61197.80K020RM</x:t>
  </x:si>
  <x:si>
    <x:t>S019291</x:t>
  </x:si>
  <x:si>
    <x:t>S019294</x:t>
  </x:si>
  <x:si>
    <x:t>S019296</x:t>
  </x:si>
  <x:si>
    <x:t>S019305</x:t>
  </x:si>
  <x:si>
    <x:t>16575-VT010-Z1</x:t>
  </x:si>
  <x:si>
    <x:t>S019306</x:t>
  </x:si>
  <x:si>
    <x:t>16575-VT030-Z1-1</x:t>
  </x:si>
  <x:si>
    <x:t>S019307</x:t>
  </x:si>
  <x:si>
    <x:t>16575-VT030-Z1-2</x:t>
  </x:si>
  <x:si>
    <x:t>S019308</x:t>
  </x:si>
  <x:si>
    <x:t>5531A.347-VT030</x:t>
  </x:si>
  <x:si>
    <x:t>S019309</x:t>
  </x:si>
  <x:si>
    <x:t>55335-VT030</x:t>
  </x:si>
  <x:si>
    <x:t>S019310</x:t>
  </x:si>
  <x:si>
    <x:t>55381-VT030</x:t>
  </x:si>
  <x:si>
    <x:t>S019311</x:t>
  </x:si>
  <x:si>
    <x:t>55383-VT030</x:t>
  </x:si>
  <x:si>
    <x:t>S019312</x:t>
  </x:si>
  <x:si>
    <x:t>55388-VT030</x:t>
  </x:si>
  <x:si>
    <x:t>S019313</x:t>
  </x:si>
  <x:si>
    <x:t>5538E-VT030</x:t>
  </x:si>
  <x:si>
    <x:t>S019314</x:t>
  </x:si>
  <x:si>
    <x:t>55166-VT030</x:t>
  </x:si>
  <x:si>
    <x:t>S019315</x:t>
  </x:si>
  <x:si>
    <x:t>5531B-VT030/82715-VT080-Z2-1</x:t>
  </x:si>
  <x:si>
    <x:t>S019316</x:t>
  </x:si>
  <x:si>
    <x:t>55336-VT030</x:t>
  </x:si>
  <x:si>
    <x:t>S019317</x:t>
  </x:si>
  <x:si>
    <x:t>55348-VT030</x:t>
  </x:si>
  <x:si>
    <x:t>S019318</x:t>
  </x:si>
  <x:si>
    <x:t>55382-VT030</x:t>
  </x:si>
  <x:si>
    <x:t>S019319</x:t>
  </x:si>
  <x:si>
    <x:t>55389-VT030</x:t>
  </x:si>
  <x:si>
    <x:t>S019320</x:t>
  </x:si>
  <x:si>
    <x:t>5538F-VT030</x:t>
  </x:si>
  <x:si>
    <x:t>S019321</x:t>
  </x:si>
  <x:si>
    <x:t>5531C-VT030</x:t>
  </x:si>
  <x:si>
    <x:t>S019322</x:t>
  </x:si>
  <x:si>
    <x:t>5533B-VT030</x:t>
  </x:si>
  <x:si>
    <x:t>S019323</x:t>
  </x:si>
  <x:si>
    <x:t>55361-VT030</x:t>
  </x:si>
  <x:si>
    <x:t>S019324</x:t>
  </x:si>
  <x:si>
    <x:t>57793.4-VT010-Z1</x:t>
  </x:si>
  <x:si>
    <x:t>S019325</x:t>
  </x:si>
  <x:si>
    <x:t>S019328</x:t>
  </x:si>
  <x:si>
    <x:t>28193-VT010-Z1</x:t>
  </x:si>
  <x:si>
    <x:t>S019336</x:t>
  </x:si>
  <x:si>
    <x:t>74482-VT010</x:t>
  </x:si>
  <x:si>
    <x:t>S019337</x:t>
  </x:si>
  <x:si>
    <x:t>74411-VT010-Z1</x:t>
  </x:si>
  <x:si>
    <x:t>S019338</x:t>
  </x:si>
  <x:si>
    <x:t>47781.2-VT020-Z1</x:t>
  </x:si>
  <x:si>
    <x:t>S019339</x:t>
  </x:si>
  <x:si>
    <x:t>47881.2-VT020-Z1</x:t>
  </x:si>
  <x:si>
    <x:t>S019340</x:t>
  </x:si>
  <x:si>
    <x:t>47273-560BL-1</x:t>
  </x:si>
  <x:si>
    <x:t>S019341</x:t>
  </x:si>
  <x:si>
    <x:t>43247-903BL-1</x:t>
  </x:si>
  <x:si>
    <x:t>S019346</x:t>
  </x:si>
  <x:si>
    <x:t>S019347</x:t>
  </x:si>
  <x:si>
    <x:t>47381-903BM-1</x:t>
  </x:si>
  <x:si>
    <x:t>S019348</x:t>
  </x:si>
  <x:si>
    <x:t>89573-560BL-1</x:t>
  </x:si>
  <x:si>
    <x:t>S019349</x:t>
  </x:si>
  <x:si>
    <x:t>89667-560BL-1</x:t>
  </x:si>
  <x:si>
    <x:t>S019350</x:t>
  </x:si>
  <x:si>
    <x:t>12305-VT030</x:t>
  </x:si>
  <x:si>
    <x:t>S019351</x:t>
  </x:si>
  <x:si>
    <x:t>89668-560BM-1</x:t>
  </x:si>
  <x:si>
    <x:t>S019352</x:t>
  </x:si>
  <x:si>
    <x:t>44597-20PL0</x:t>
  </x:si>
  <x:si>
    <x:t>S019357</x:t>
  </x:si>
  <x:si>
    <x:t>89668-560BL-1</x:t>
  </x:si>
  <x:si>
    <x:t>S019358</x:t>
  </x:si>
  <x:si>
    <x:t>44595-20PL0</x:t>
  </x:si>
  <x:si>
    <x:t>S019359</x:t>
  </x:si>
  <x:si>
    <x:t>82715-VT040-Z2-1</x:t>
  </x:si>
  <x:si>
    <x:t>S019360</x:t>
  </x:si>
  <x:si>
    <x:t>82715-VT040-Z2-2</x:t>
  </x:si>
  <x:si>
    <x:t>S019361</x:t>
  </x:si>
  <x:si>
    <x:t>82715-VT080-Z2-1</x:t>
  </x:si>
  <x:si>
    <x:t>S019362</x:t>
  </x:si>
  <x:si>
    <x:t>82715-VT080-Z2-2</x:t>
  </x:si>
  <x:si>
    <x:t>S019363</x:t>
  </x:si>
  <x:si>
    <x:t>82715-VT110-Z2</x:t>
  </x:si>
  <x:si>
    <x:t>S019364</x:t>
  </x:si>
  <x:si>
    <x:t>447810J010</x:t>
  </x:si>
  <x:si>
    <x:t>S019365</x:t>
  </x:si>
  <x:si>
    <x:t>82715-VT130.390-Z2</x:t>
  </x:si>
  <x:si>
    <x:t>S019366</x:t>
  </x:si>
  <x:si>
    <x:t>82715-VT310-Z2</x:t>
  </x:si>
  <x:si>
    <x:t>S019367</x:t>
  </x:si>
  <x:si>
    <x:t>82715-VT330-Z2</x:t>
  </x:si>
  <x:si>
    <x:t>S019368</x:t>
  </x:si>
  <x:si>
    <x:t>82715-VT340-Z2</x:t>
  </x:si>
  <x:si>
    <x:t>S019369</x:t>
  </x:si>
  <x:si>
    <x:t>82715-VT430-Z2</x:t>
  </x:si>
  <x:si>
    <x:t>S019370</x:t>
  </x:si>
  <x:si>
    <x:t>82715-VT840-Z2</x:t>
  </x:si>
  <x:si>
    <x:t>S019371</x:t>
  </x:si>
  <x:si>
    <x:t>S019376</x:t>
  </x:si>
  <x:si>
    <x:t>S019378</x:t>
  </x:si>
  <x:si>
    <x:t>JAC270DU</x:t>
  </x:si>
  <x:si>
    <x:t>58231-76T00</x:t>
  </x:si>
  <x:si>
    <x:t>S019380</x:t>
  </x:si>
  <x:si>
    <x:t>47381.2-F7010</x:t>
  </x:si>
  <x:si>
    <x:t>S019387</x:t>
  </x:si>
  <x:si>
    <x:t>55174-TRA36</x:t>
  </x:si>
  <x:si>
    <x:t>S019388</x:t>
  </x:si>
  <x:si>
    <x:t>58991-VT020</x:t>
  </x:si>
  <x:si>
    <x:t>S019389</x:t>
  </x:si>
  <x:si>
    <x:t>58992-VT020</x:t>
  </x:si>
  <x:si>
    <x:t>S019390</x:t>
  </x:si>
  <x:si>
    <x:t>58993-VT010</x:t>
  </x:si>
  <x:si>
    <x:t>S019391</x:t>
  </x:si>
  <x:si>
    <x:t>58991-VT040</x:t>
  </x:si>
  <x:si>
    <x:t>S019392</x:t>
  </x:si>
  <x:si>
    <x:t>67123.4-VT010/20</x:t>
  </x:si>
  <x:si>
    <x:t>S019395</x:t>
  </x:si>
  <x:si>
    <x:t>63141.541-76T00</x:t>
  </x:si>
  <x:si>
    <x:t>S019399</x:t>
  </x:si>
  <x:si>
    <x:t>63231.631-76T00-000</x:t>
  </x:si>
  <x:si>
    <x:t>S019400</x:t>
  </x:si>
  <x:si>
    <x:t>JSC270CC</x:t>
  </x:si>
  <x:si>
    <x:t>63142.542-64M00</x:t>
  </x:si>
  <x:si>
    <x:t>S019401</x:t>
  </x:si>
  <x:si>
    <x:t>62142-76M00-000</x:t>
  </x:si>
  <x:si>
    <x:t>S019402</x:t>
  </x:si>
  <x:si>
    <x:t>62812.3-64M00</x:t>
  </x:si>
  <x:si>
    <x:t>S019403</x:t>
  </x:si>
  <x:si>
    <x:t>62834.5-76TA0</x:t>
  </x:si>
  <x:si>
    <x:t>S019404</x:t>
  </x:si>
  <x:si>
    <x:t>62842-54P00-000</x:t>
  </x:si>
  <x:si>
    <x:t>S019405</x:t>
  </x:si>
  <x:si>
    <x:t>S019406</x:t>
  </x:si>
  <x:si>
    <x:t>53731.2-KK010</x:t>
  </x:si>
  <x:si>
    <x:t>S019407</x:t>
  </x:si>
  <x:si>
    <x:t>63211.611-76T00-000</x:t>
  </x:si>
  <x:si>
    <x:t>S019411</x:t>
  </x:si>
  <x:si>
    <x:t>S019412</x:t>
  </x:si>
  <x:si>
    <x:t>61131-76T00-000</x:t>
  </x:si>
  <x:si>
    <x:t>S019413</x:t>
  </x:si>
  <x:si>
    <x:t>S019414</x:t>
  </x:si>
  <x:si>
    <x:t>S019415</x:t>
  </x:si>
  <x:si>
    <x:t>R0712006</x:t>
  </x:si>
  <x:si>
    <x:t>S019416</x:t>
  </x:si>
  <x:si>
    <x:t>R8114032</x:t>
  </x:si>
  <x:si>
    <x:t>S019438</x:t>
  </x:si>
  <x:si>
    <x:t>S019439</x:t>
  </x:si>
  <x:si>
    <x:t>63224.624-64M00/76T00</x:t>
  </x:si>
  <x:si>
    <x:t>S019440</x:t>
  </x:si>
  <x:si>
    <x:t>62831-66T00</x:t>
  </x:si>
  <x:si>
    <x:t>S019441</x:t>
  </x:si>
  <x:si>
    <x:t>62834-76TA0</x:t>
  </x:si>
  <x:si>
    <x:t>S019442</x:t>
  </x:si>
  <x:si>
    <x:t>S019443</x:t>
  </x:si>
  <x:si>
    <x:t>62811-76TA0</x:t>
  </x:si>
  <x:si>
    <x:t>S019444</x:t>
  </x:si>
  <x:si>
    <x:t>58312-64M00-000</x:t>
  </x:si>
  <x:si>
    <x:t>S019445</x:t>
  </x:si>
  <x:si>
    <x:t>58334.434-76T00-000</x:t>
  </x:si>
  <x:si>
    <x:t>S019447</x:t>
  </x:si>
  <x:si>
    <x:t>S019448</x:t>
  </x:si>
  <x:si>
    <x:t>65171-61M50</x:t>
  </x:si>
  <x:si>
    <x:t>S019449</x:t>
  </x:si>
  <x:si>
    <x:t>65174-61M50</x:t>
  </x:si>
  <x:si>
    <x:t>S019450</x:t>
  </x:si>
  <x:si>
    <x:t>65175-61M50</x:t>
  </x:si>
  <x:si>
    <x:t>S019451</x:t>
  </x:si>
  <x:si>
    <x:t>63341.741-76T00-000</x:t>
  </x:si>
  <x:si>
    <x:t>S019452</x:t>
  </x:si>
  <x:si>
    <x:t>63316.716-55T00A</x:t>
  </x:si>
  <x:si>
    <x:t>S019453</x:t>
  </x:si>
  <x:si>
    <x:t>65137-76T00</x:t>
  </x:si>
  <x:si>
    <x:t>S019454</x:t>
  </x:si>
  <x:si>
    <x:t>62835-76TA0</x:t>
  </x:si>
  <x:si>
    <x:t>S019455</x:t>
  </x:si>
  <x:si>
    <x:t>63223.623-64M00</x:t>
  </x:si>
  <x:si>
    <x:t>S019457</x:t>
  </x:si>
  <x:si>
    <x:t>65138.9-76T00</x:t>
  </x:si>
  <x:si>
    <x:t>S019458</x:t>
  </x:si>
  <x:si>
    <x:t>62715-55KA0</x:t>
  </x:si>
  <x:si>
    <x:t>S019459</x:t>
  </x:si>
  <x:si>
    <x:t>62716-76T00</x:t>
  </x:si>
  <x:si>
    <x:t>S019461</x:t>
  </x:si>
  <x:si>
    <x:t>64112-76T00</x:t>
  </x:si>
  <x:si>
    <x:t>S019462</x:t>
  </x:si>
  <x:si>
    <x:t>63121.521-76T00</x:t>
  </x:si>
  <x:si>
    <x:t>S019463</x:t>
  </x:si>
  <x:si>
    <x:t>61124-68P10-000</x:t>
  </x:si>
  <x:si>
    <x:t>S019464</x:t>
  </x:si>
  <x:si>
    <x:t>65192-61M00-000</x:t>
  </x:si>
  <x:si>
    <x:t>S019466</x:t>
  </x:si>
  <x:si>
    <x:t>61649-VT010/20</x:t>
  </x:si>
  <x:si>
    <x:t>S019486</x:t>
  </x:si>
  <x:si>
    <x:t>JSL</x:t>
  </x:si>
  <x:si>
    <x:t>SUS409LT-E</x:t>
  </x:si>
  <x:si>
    <x:t>SG571-W0350-03</x:t>
  </x:si>
  <x:si>
    <x:t>S019487</x:t>
  </x:si>
  <x:si>
    <x:t>SG574-W0420-02</x:t>
  </x:si>
  <x:si>
    <x:t>S019488</x:t>
  </x:si>
  <x:si>
    <x:t>SG575-W0200-02</x:t>
  </x:si>
  <x:si>
    <x:t>S019489</x:t>
  </x:si>
  <x:si>
    <x:t>18453-20PL6</x:t>
  </x:si>
  <x:si>
    <x:t>S019492</x:t>
  </x:si>
  <x:si>
    <x:t>SG576-W0240-02</x:t>
  </x:si>
  <x:si>
    <x:t>S019493</x:t>
  </x:si>
  <x:si>
    <x:t>SG573-W0290-02</x:t>
  </x:si>
  <x:si>
    <x:t>S019495</x:t>
  </x:si>
  <x:si>
    <x:t>SUS439MT</x:t>
  </x:si>
  <x:si>
    <x:t>17510-F2190-04.5.6</x:t>
  </x:si>
  <x:si>
    <x:t>S019496</x:t>
  </x:si>
  <x:si>
    <x:t>S019497</x:t>
  </x:si>
  <x:si>
    <x:t>63224/624-76T00/64M00</x:t>
  </x:si>
  <x:si>
    <x:t>S019499</x:t>
  </x:si>
  <x:si>
    <x:t>S019501</x:t>
  </x:si>
  <x:si>
    <x:t>S019502</x:t>
  </x:si>
  <x:si>
    <x:t>62761-61M00</x:t>
  </x:si>
  <x:si>
    <x:t>S019503</x:t>
  </x:si>
  <x:si>
    <x:t>62771-61M00</x:t>
  </x:si>
  <x:si>
    <x:t>S019504</x:t>
  </x:si>
  <x:si>
    <x:t>JAC270DN</x:t>
  </x:si>
  <x:si>
    <x:t>62125-74L00-000</x:t>
  </x:si>
  <x:si>
    <x:t>S019505</x:t>
  </x:si>
  <x:si>
    <x:t>45811-65M00A</x:t>
  </x:si>
  <x:si>
    <x:t>S019506</x:t>
  </x:si>
  <x:si>
    <x:t>63143-68P00</x:t>
  </x:si>
  <x:si>
    <x:t>S019507</x:t>
  </x:si>
  <x:si>
    <x:t>45813.4 - 65M00</x:t>
  </x:si>
  <x:si>
    <x:t>S019508</x:t>
  </x:si>
  <x:si>
    <x:t>63123-76T00</x:t>
  </x:si>
  <x:si>
    <x:t>S019509</x:t>
  </x:si>
  <x:si>
    <x:t>63351-76T00</x:t>
  </x:si>
  <x:si>
    <x:t>S019510</x:t>
  </x:si>
  <x:si>
    <x:t>63751-76T00</x:t>
  </x:si>
  <x:si>
    <x:t>S019511</x:t>
  </x:si>
  <x:si>
    <x:t>63112.512-76T00</x:t>
  </x:si>
  <x:si>
    <x:t>S019512</x:t>
  </x:si>
  <x:si>
    <x:t>65121-76T00.50-000</x:t>
  </x:si>
  <x:si>
    <x:t>S019513</x:t>
  </x:si>
  <x:si>
    <x:t>65122-61M00-000</x:t>
  </x:si>
  <x:si>
    <x:t>S019514</x:t>
  </x:si>
  <x:si>
    <x:t>JAC270CC</x:t>
  </x:si>
  <x:si>
    <x:t>72387-68L00</x:t>
  </x:si>
  <x:si>
    <x:t>S019515</x:t>
  </x:si>
  <x:si>
    <x:t>63243.643-76T00-000</x:t>
  </x:si>
  <x:si>
    <x:t>S019516</x:t>
  </x:si>
  <x:si>
    <x:t>JAC590RN</x:t>
  </x:si>
  <x:si>
    <x:t>62126.326-76TA0-000</x:t>
  </x:si>
  <x:si>
    <x:t>S019517</x:t>
  </x:si>
  <x:si>
    <x:t>62128.328-76T00</x:t>
  </x:si>
  <x:si>
    <x:t>S019518</x:t>
  </x:si>
  <x:si>
    <x:t>58233-76T00</x:t>
  </x:si>
  <x:si>
    <x:t>S019519</x:t>
  </x:si>
  <x:si>
    <x:t>63122-61M00</x:t>
  </x:si>
  <x:si>
    <x:t>S019520</x:t>
  </x:si>
  <x:si>
    <x:t>JSC440WN</x:t>
  </x:si>
  <x:si>
    <x:t>63143.543-76T00-000</x:t>
  </x:si>
  <x:si>
    <x:t>S019521</x:t>
  </x:si>
  <x:si>
    <x:t>62619-55KA0</x:t>
  </x:si>
  <x:si>
    <x:t>S019522</x:t>
  </x:si>
  <x:si>
    <x:t>59712-61M00</x:t>
  </x:si>
  <x:si>
    <x:t>S019523</x:t>
  </x:si>
  <x:si>
    <x:t>63432-55T00A</x:t>
  </x:si>
  <x:si>
    <x:t>S019524</x:t>
  </x:si>
  <x:si>
    <x:t>58234-76T00</x:t>
  </x:si>
  <x:si>
    <x:t>S019525</x:t>
  </x:si>
  <x:si>
    <x:t>58243.46-76T00</x:t>
  </x:si>
  <x:si>
    <x:t>S019526</x:t>
  </x:si>
  <x:si>
    <x:t>58244.7-76T00</x:t>
  </x:si>
  <x:si>
    <x:t>S019527</x:t>
  </x:si>
  <x:si>
    <x:t>58245-76T00</x:t>
  </x:si>
  <x:si>
    <x:t>S019528</x:t>
  </x:si>
  <x:si>
    <x:t>63225.625-64M00</x:t>
  </x:si>
  <x:si>
    <x:t>S019529</x:t>
  </x:si>
  <x:si>
    <x:t>62911-76TA0</x:t>
  </x:si>
  <x:si>
    <x:t>S019531</x:t>
  </x:si>
  <x:si>
    <x:t>58232-76T00</x:t>
  </x:si>
  <x:si>
    <x:t>S019532</x:t>
  </x:si>
  <x:si>
    <x:t>P55324-VT030-RM</x:t>
  </x:si>
  <x:si>
    <x:t>S019534</x:t>
  </x:si>
  <x:si>
    <x:t>P55325-VT030-RM</x:t>
  </x:si>
  <x:si>
    <x:t>S019536</x:t>
  </x:si>
  <x:si>
    <x:t>55374-560BL2 (HVAC)</x:t>
  </x:si>
  <x:si>
    <x:t>S019538</x:t>
  </x:si>
  <x:si>
    <x:t>P55375-VT020-RM</x:t>
  </x:si>
  <x:si>
    <x:t>S019540</x:t>
  </x:si>
  <x:si>
    <x:t>P55339-VT020-RM</x:t>
  </x:si>
  <x:si>
    <x:t>S019541</x:t>
  </x:si>
  <x:si>
    <x:t>P55121-VT030-RM</x:t>
  </x:si>
  <x:si>
    <x:t>S019542</x:t>
  </x:si>
  <x:si>
    <x:t>P55387-VT030-RM</x:t>
  </x:si>
  <x:si>
    <x:t>S019543</x:t>
  </x:si>
  <x:si>
    <x:t>P55376-VT020-RM</x:t>
  </x:si>
  <x:si>
    <x:t>S019544</x:t>
  </x:si>
  <x:si>
    <x:t>55323-560BL2</x:t>
  </x:si>
  <x:si>
    <x:t>S019558</x:t>
  </x:si>
  <x:si>
    <x:t>61331.2-VT010,VT020</x:t>
  </x:si>
  <x:si>
    <x:t>S019559</x:t>
  </x:si>
  <x:si>
    <x:t>58129-VT010</x:t>
  </x:si>
  <x:si>
    <x:t>S019560</x:t>
  </x:si>
  <x:si>
    <x:t>61423.4-VT010</x:t>
  </x:si>
  <x:si>
    <x:t>S019561</x:t>
  </x:si>
  <x:si>
    <x:t>61245-VT010</x:t>
  </x:si>
  <x:si>
    <x:t>S019562</x:t>
  </x:si>
  <x:si>
    <x:t>61247-VT010,VT020</x:t>
  </x:si>
  <x:si>
    <x:t>S019563</x:t>
  </x:si>
  <x:si>
    <x:t>55747-VT010</x:t>
  </x:si>
  <x:si>
    <x:t>S019564</x:t>
  </x:si>
  <x:si>
    <x:t>57311.2-VT010</x:t>
  </x:si>
  <x:si>
    <x:t>S019565</x:t>
  </x:si>
  <x:si>
    <x:t>57145.6-VT010</x:t>
  </x:si>
  <x:si>
    <x:t>S019566</x:t>
  </x:si>
  <x:si>
    <x:t>58362-VT010</x:t>
  </x:si>
  <x:si>
    <x:t>S019567</x:t>
  </x:si>
  <x:si>
    <x:t>53837.8-VT010</x:t>
  </x:si>
  <x:si>
    <x:t>S019568</x:t>
  </x:si>
  <x:si>
    <x:t>61411.2-VT010</x:t>
  </x:si>
  <x:si>
    <x:t>S019569</x:t>
  </x:si>
  <x:si>
    <x:t>631456-VT010</x:t>
  </x:si>
  <x:si>
    <x:t>S019570</x:t>
  </x:si>
  <x:si>
    <x:t>61615.6-560B0</x:t>
  </x:si>
  <x:si>
    <x:t>S019572</x:t>
  </x:si>
  <x:si>
    <x:t>64817-54L00-000</x:t>
  </x:si>
  <x:si>
    <x:t>S019574</x:t>
  </x:si>
  <x:si>
    <x:t>62123-68P00-000360</x:t>
  </x:si>
  <x:si>
    <x:t>S019576</x:t>
  </x:si>
  <x:si>
    <x:t>59233-76T00-000</x:t>
  </x:si>
  <x:si>
    <x:t>S019578</x:t>
  </x:si>
  <x:si>
    <x:t>64817-61M00</x:t>
  </x:si>
  <x:si>
    <x:t>S019580</x:t>
  </x:si>
  <x:si>
    <x:t>62615-76T00-000</x:t>
  </x:si>
  <x:si>
    <x:t>S019582</x:t>
  </x:si>
  <x:si>
    <x:t>62832-76T00-000</x:t>
  </x:si>
  <x:si>
    <x:t>S019584</x:t>
  </x:si>
  <x:si>
    <x:t>P55341-VT030-RM</x:t>
  </x:si>
  <x:si>
    <x:t>S019586</x:t>
  </x:si>
  <x:si>
    <x:t>P55342-VT030-RM</x:t>
  </x:si>
  <x:si>
    <x:t>S019588</x:t>
  </x:si>
  <x:si>
    <x:t>P55343-VT030-RM</x:t>
  </x:si>
  <x:si>
    <x:t>S019590</x:t>
  </x:si>
  <x:si>
    <x:t>P55346-VT020-RM</x:t>
  </x:si>
  <x:si>
    <x:t>S019592</x:t>
  </x:si>
  <x:si>
    <x:t>P55377-VT020-RM</x:t>
  </x:si>
  <x:si>
    <x:t>S019594</x:t>
  </x:si>
  <x:si>
    <x:t>P55365-VT030-RM</x:t>
  </x:si>
  <x:si>
    <x:t>S019596</x:t>
  </x:si>
  <x:si>
    <x:t>P55366-VT030-RM</x:t>
  </x:si>
  <x:si>
    <x:t>S019598</x:t>
  </x:si>
  <x:si>
    <x:t>P5538C-VT020-RM</x:t>
  </x:si>
  <x:si>
    <x:t>S019600</x:t>
  </x:si>
  <x:si>
    <x:t>P55371-VT030-RM</x:t>
  </x:si>
  <x:si>
    <x:t>S019601</x:t>
  </x:si>
  <x:si>
    <x:t>JSH270DN-P</x:t>
  </x:si>
  <x:si>
    <x:t>45841.2 - 65M00</x:t>
  </x:si>
  <x:si>
    <x:t>S019602</x:t>
  </x:si>
  <x:si>
    <x:t>45844.5 - 65M00</x:t>
  </x:si>
  <x:si>
    <x:t>S019604</x:t>
  </x:si>
  <x:si>
    <x:t>62717-76T00</x:t>
  </x:si>
  <x:si>
    <x:t>S019606</x:t>
  </x:si>
  <x:si>
    <x:t>P55372-VT030-RM</x:t>
  </x:si>
  <x:si>
    <x:t>S019608</x:t>
  </x:si>
  <x:si>
    <x:t>P55386-VT030-RM</x:t>
  </x:si>
  <x:si>
    <x:t>S019609</x:t>
  </x:si>
  <x:si>
    <x:t>P55391-VT030-RM</x:t>
  </x:si>
  <x:si>
    <x:t>S019611</x:t>
  </x:si>
  <x:si>
    <x:t>45833 - 65M00</x:t>
  </x:si>
  <x:si>
    <x:t>S019612</x:t>
  </x:si>
  <x:si>
    <x:t>P55392-VT030-RM</x:t>
  </x:si>
  <x:si>
    <x:t>S019614</x:t>
  </x:si>
  <x:si>
    <x:t>55427-560BL2</x:t>
  </x:si>
  <x:si>
    <x:t>S019615</x:t>
  </x:si>
  <x:si>
    <x:t>45834 - 65M00</x:t>
  </x:si>
  <x:si>
    <x:t>S019616</x:t>
  </x:si>
  <x:si>
    <x:t>65134.5-76T00</x:t>
  </x:si>
  <x:si>
    <x:t>S019618</x:t>
  </x:si>
  <x:si>
    <x:t>P55463-VT020-RM</x:t>
  </x:si>
  <x:si>
    <x:t>S019621</x:t>
  </x:si>
  <x:si>
    <x:t>62832-76TA0</x:t>
  </x:si>
  <x:si>
    <x:t>S019622</x:t>
  </x:si>
  <x:si>
    <x:t>62915-76TA0</x:t>
  </x:si>
  <x:si>
    <x:t>S019624</x:t>
  </x:si>
  <x:si>
    <x:t>62912-76TA0</x:t>
  </x:si>
  <x:si>
    <x:t>S019626</x:t>
  </x:si>
  <x:si>
    <x:t>59714-76T00</x:t>
  </x:si>
  <x:si>
    <x:t>S019627</x:t>
  </x:si>
  <x:si>
    <x:t>65131-76T00</x:t>
  </x:si>
  <x:si>
    <x:t>S019628</x:t>
  </x:si>
  <x:si>
    <x:t>65183-61M50</x:t>
  </x:si>
  <x:si>
    <x:t>S019630</x:t>
  </x:si>
  <x:si>
    <x:t>P55464-VT020-RM</x:t>
  </x:si>
  <x:si>
    <x:t>S019632</x:t>
  </x:si>
  <x:si>
    <x:t>63221.621-64M00</x:t>
  </x:si>
  <x:si>
    <x:t>S019633</x:t>
  </x:si>
  <x:si>
    <x:t>55326-560BL2</x:t>
  </x:si>
  <x:si>
    <x:t>S019634</x:t>
  </x:si>
  <x:si>
    <x:t>62211.411-76T00-000</x:t>
  </x:si>
  <x:si>
    <x:t>S019636</x:t>
  </x:si>
  <x:si>
    <x:t>P5538A-VT020-RM</x:t>
  </x:si>
  <x:si>
    <x:t>S019638</x:t>
  </x:si>
  <x:si>
    <x:t>59242.92-76T00-000</x:t>
  </x:si>
  <x:si>
    <x:t>S019639</x:t>
  </x:si>
  <x:si>
    <x:t>5538D-560B2</x:t>
  </x:si>
  <x:si>
    <x:t>S019641</x:t>
  </x:si>
  <x:si>
    <x:t>P5538B-VT020-RM</x:t>
  </x:si>
  <x:si>
    <x:t>S019642</x:t>
  </x:si>
  <x:si>
    <x:t>62841-76T10</x:t>
  </x:si>
  <x:si>
    <x:t>S019644</x:t>
  </x:si>
  <x:si>
    <x:t>P55426-VT020-RM</x:t>
  </x:si>
  <x:si>
    <x:t>S019645</x:t>
  </x:si>
  <x:si>
    <x:t>63753-76T00</x:t>
  </x:si>
  <x:si>
    <x:t>S019647</x:t>
  </x:si>
  <x:si>
    <x:t>58431-76T00-000</x:t>
  </x:si>
  <x:si>
    <x:t>S019648</x:t>
  </x:si>
  <x:si>
    <x:t>63311.711-76T00</x:t>
  </x:si>
  <x:si>
    <x:t>S019650</x:t>
  </x:si>
  <x:si>
    <x:t>65151-76T00-000</x:t>
  </x:si>
  <x:si>
    <x:t>S019651</x:t>
  </x:si>
  <x:si>
    <x:t>JSC270CN</x:t>
  </x:si>
  <x:si>
    <x:t>61125-68P00-000</x:t>
  </x:si>
  <x:si>
    <x:t>S019653</x:t>
  </x:si>
  <x:si>
    <x:t>S019654</x:t>
  </x:si>
  <x:si>
    <x:t>55322-VT030</x:t>
  </x:si>
  <x:si>
    <x:t>S019656</x:t>
  </x:si>
  <x:si>
    <x:t>55428-VT020</x:t>
  </x:si>
  <x:si>
    <x:t>S019658</x:t>
  </x:si>
  <x:si>
    <x:t>58995-VT020-Z2</x:t>
  </x:si>
  <x:si>
    <x:t>S019660</x:t>
  </x:si>
  <x:si>
    <x:t>58996-VT020-Z2</x:t>
  </x:si>
  <x:si>
    <x:t>S019663</x:t>
  </x:si>
  <x:si>
    <x:t>63352-76T00</x:t>
  </x:si>
  <x:si>
    <x:t>S019664</x:t>
  </x:si>
  <x:si>
    <x:t>63752-76T00</x:t>
  </x:si>
  <x:si>
    <x:t>S019667</x:t>
  </x:si>
  <x:si>
    <x:t>61141.91-64M00-000</x:t>
  </x:si>
  <x:si>
    <x:t>S019668</x:t>
  </x:si>
  <x:si>
    <x:t>65178.79-76T50</x:t>
  </x:si>
  <x:si>
    <x:t>S019669</x:t>
  </x:si>
  <x:si>
    <x:t>S019670</x:t>
  </x:si>
  <x:si>
    <x:t>S019672</x:t>
  </x:si>
  <x:si>
    <x:t>71111-76T00</x:t>
  </x:si>
  <x:si>
    <x:t>S019674</x:t>
  </x:si>
  <x:si>
    <x:t>S019676</x:t>
  </x:si>
  <x:si>
    <x:t>62914-76TA0</x:t>
  </x:si>
  <x:si>
    <x:t>S019678</x:t>
  </x:si>
  <x:si>
    <x:t>63134-VT020</x:t>
  </x:si>
  <x:si>
    <x:t>S019680</x:t>
  </x:si>
  <x:si>
    <x:t>63135-VT020</x:t>
  </x:si>
  <x:si>
    <x:t>S019682</x:t>
  </x:si>
  <x:si>
    <x:t>71131.2-76T00</x:t>
  </x:si>
  <x:si>
    <x:t>S019684</x:t>
  </x:si>
  <x:si>
    <x:t>62773-76TA0</x:t>
  </x:si>
  <x:si>
    <x:t>S019686</x:t>
  </x:si>
  <x:si>
    <x:t>62781-76T00</x:t>
  </x:si>
  <x:si>
    <x:t>S019688</x:t>
  </x:si>
  <x:si>
    <x:t>58332-76T00-000</x:t>
  </x:si>
  <x:si>
    <x:t>S019691</x:t>
  </x:si>
  <x:si>
    <x:t>58432-76T00-000</x:t>
  </x:si>
  <x:si>
    <x:t>S019694</x:t>
  </x:si>
  <x:si>
    <x:t>58435-76T00-000</x:t>
  </x:si>
  <x:si>
    <x:t>S019695</x:t>
  </x:si>
  <x:si>
    <x:t>58435-76TA0-000</x:t>
  </x:si>
  <x:si>
    <x:t>S019697</x:t>
  </x:si>
  <x:si>
    <x:t>45815 - 65M00</x:t>
  </x:si>
  <x:si>
    <x:t>S019698</x:t>
  </x:si>
  <x:si>
    <x:t>45816 - 65M00</x:t>
  </x:si>
  <x:si>
    <x:t>S019700</x:t>
  </x:si>
  <x:si>
    <x:t>62128.328-76TA0-000</x:t>
  </x:si>
  <x:si>
    <x:t>S019701</x:t>
  </x:si>
  <x:si>
    <x:t>62129.329-76TA0-000</x:t>
  </x:si>
  <x:si>
    <x:t>S019703</x:t>
  </x:si>
  <x:si>
    <x:t>62122.322-55KC0-000</x:t>
  </x:si>
  <x:si>
    <x:t>S019704</x:t>
  </x:si>
  <x:si>
    <x:t>62127-61M00-000</x:t>
  </x:si>
  <x:si>
    <x:t>S019706</x:t>
  </x:si>
  <x:si>
    <x:t>JSC980YN</x:t>
  </x:si>
  <x:si>
    <x:t>63111.511-76T00</x:t>
  </x:si>
  <x:si>
    <x:t>S019709</x:t>
  </x:si>
  <x:si>
    <x:t>62112-76T00-000</x:t>
  </x:si>
  <x:si>
    <x:t>S019711</x:t>
  </x:si>
  <x:si>
    <x:t>59231.281-76T00-000</x:t>
  </x:si>
  <x:si>
    <x:t>S019714</x:t>
  </x:si>
  <x:si>
    <x:t>63331.731-76T00</x:t>
  </x:si>
  <x:si>
    <x:t>S019715</x:t>
  </x:si>
  <x:si>
    <x:t>71121-76T00</x:t>
  </x:si>
  <x:si>
    <x:t>S019717</x:t>
  </x:si>
  <x:si>
    <x:t>62321-76T00-000/62121-76T00-000</x:t>
  </x:si>
  <x:si>
    <x:t>S019720</x:t>
  </x:si>
  <x:si>
    <x:t>61181-76T00-000</x:t>
  </x:si>
  <x:si>
    <x:t>S019721</x:t>
  </x:si>
  <x:si>
    <x:t>59236.86-61M00-000</x:t>
  </x:si>
  <x:si>
    <x:t>S019724</x:t>
  </x:si>
  <x:si>
    <x:t>59741.51-76T00</x:t>
  </x:si>
  <x:si>
    <x:t>S019725</x:t>
  </x:si>
  <x:si>
    <x:t>65132.33-76T00</x:t>
  </x:si>
  <x:si>
    <x:t>S019727</x:t>
  </x:si>
  <x:si>
    <x:t>62131.331-79J00-000</x:t>
  </x:si>
  <x:si>
    <x:t>S019729</x:t>
  </x:si>
  <x:si>
    <x:t>58341-76TA0-000</x:t>
  </x:si>
  <x:si>
    <x:t>S019731</x:t>
  </x:si>
  <x:si>
    <x:t>62132.3-61M00-000</x:t>
  </x:si>
  <x:si>
    <x:t>S019732</x:t>
  </x:si>
  <x:si>
    <x:t>62135-68L00-000</x:t>
  </x:si>
  <x:si>
    <x:t>S019734</x:t>
  </x:si>
  <x:si>
    <x:t>62136.336-76T00-000</x:t>
  </x:si>
  <x:si>
    <x:t>S019736</x:t>
  </x:si>
  <x:si>
    <x:t>62213-61M00-000</x:t>
  </x:si>
  <x:si>
    <x:t>d22</x:t>
  </x:si>
  <x:si>
    <x:t>S019738</x:t>
  </x:si>
  <x:si>
    <x:t>62841.51-61M00-000</x:t>
  </x:si>
  <x:si>
    <x:t>S019739</x:t>
  </x:si>
  <x:si>
    <x:t>59742.52-76T00</x:t>
  </x:si>
  <x:si>
    <x:t>S019741</x:t>
  </x:si>
  <x:si>
    <x:t>62752-64M00</x:t>
  </x:si>
  <x:si>
    <x:t>S019743</x:t>
  </x:si>
  <x:si>
    <x:t>62762-76T10</x:t>
  </x:si>
  <x:si>
    <x:t>S019745</x:t>
  </x:si>
  <x:si>
    <x:t>62113.313-76T00-000</x:t>
  </x:si>
  <x:si>
    <x:t>S019747</x:t>
  </x:si>
  <x:si>
    <x:t>67122-DY050</x:t>
  </x:si>
  <x:si>
    <x:t>S019749</x:t>
  </x:si>
  <x:si>
    <x:t>67134-DY000</x:t>
  </x:si>
  <x:si>
    <x:t>S019751</x:t>
  </x:si>
  <x:si>
    <x:t>S019753</x:t>
  </x:si>
  <x:si>
    <x:t>S019755</x:t>
  </x:si>
  <x:si>
    <x:t>S019756</x:t>
  </x:si>
  <x:si>
    <x:t>ky</x:t>
  </x:si>
  <x:si>
    <x:t>S019758</x:t>
  </x:si>
  <x:si>
    <x:t>64154DY000RM</x:t>
  </x:si>
  <x:si>
    <x:t>S019760</x:t>
  </x:si>
  <x:si>
    <x:t>S019762</x:t>
  </x:si>
  <x:si>
    <x:t>S019763</x:t>
  </x:si>
  <x:si>
    <x:t>63143/543-76T00</x:t>
  </x:si>
  <x:si>
    <x:t>D22 Trials</x:t>
  </x:si>
  <x:si>
    <x:t>S019764</x:t>
  </x:si>
  <x:si>
    <x:t>S019765</x:t>
  </x:si>
  <x:si>
    <x:t>64817-54L00</x:t>
  </x:si>
  <x:si>
    <x:t>S019766</x:t>
  </x:si>
  <x:si>
    <x:t>71131/32-76T00</x:t>
  </x:si>
  <x:si>
    <x:t>S019773</x:t>
  </x:si>
  <x:si>
    <x:t>67121.2-VT020</x:t>
  </x:si>
  <x:si>
    <x:t>S019777</x:t>
  </x:si>
  <x:si>
    <x:t>S019778</x:t>
  </x:si>
  <x:si>
    <x:t>61747-VT010</x:t>
  </x:si>
  <x:si>
    <x:t>S019780</x:t>
  </x:si>
  <x:si>
    <x:t>58321.2-VT010</x:t>
  </x:si>
  <x:si>
    <x:t>S019781</x:t>
  </x:si>
  <x:si>
    <x:t>62615-76T00</x:t>
  </x:si>
  <x:si>
    <x:t>S019782</x:t>
  </x:si>
  <x:si>
    <x:t>62622-64M00</x:t>
  </x:si>
  <x:si>
    <x:t>S019783</x:t>
  </x:si>
  <x:si>
    <x:t>S019784</x:t>
  </x:si>
  <x:si>
    <x:t>S019785</x:t>
  </x:si>
  <x:si>
    <x:t>S019786</x:t>
  </x:si>
  <x:si>
    <x:t>63222/622-76T00</x:t>
  </x:si>
  <x:si>
    <x:t>S019787</x:t>
  </x:si>
  <x:si>
    <x:t>65151-76T00</x:t>
  </x:si>
  <x:si>
    <x:t>S019788</x:t>
  </x:si>
  <x:si>
    <x:t>63241.641-76T00</x:t>
  </x:si>
  <x:si>
    <x:t>S019789</x:t>
  </x:si>
  <x:si>
    <x:t>62122/322-55KC0</x:t>
  </x:si>
  <x:si>
    <x:t>S019790</x:t>
  </x:si>
  <x:si>
    <x:t>62127-61M00</x:t>
  </x:si>
  <x:si>
    <x:t>S019792</x:t>
  </x:si>
  <x:si>
    <x:t>62752-61M00</x:t>
  </x:si>
  <x:si>
    <x:t>S019793</x:t>
  </x:si>
  <x:si>
    <x:t>S019797</x:t>
  </x:si>
  <x:si>
    <x:t>S019798</x:t>
  </x:si>
  <x:si>
    <x:t>S019800</x:t>
  </x:si>
  <x:si>
    <x:t>58351.2-VT010</x:t>
  </x:si>
  <x:si>
    <x:t>S019802</x:t>
  </x:si>
  <x:si>
    <x:t>58323.4-VT010</x:t>
  </x:si>
  <x:si>
    <x:t>S019804</x:t>
  </x:si>
  <x:si>
    <x:t>58334.5-VT010</x:t>
  </x:si>
  <x:si>
    <x:t>S019806</x:t>
  </x:si>
  <x:si>
    <x:t>57415.6-VT010</x:t>
  </x:si>
  <x:si>
    <x:t>S019808</x:t>
  </x:si>
  <x:si>
    <x:t>63127.8-VT010</x:t>
  </x:si>
  <x:si>
    <x:t>S019815</x:t>
  </x:si>
  <x:si>
    <x:t>63123.4-VT010</x:t>
  </x:si>
  <x:si>
    <x:t>S019817</x:t>
  </x:si>
  <x:si>
    <x:t>61779-VT010</x:t>
  </x:si>
  <x:si>
    <x:t>S019819</x:t>
  </x:si>
  <x:si>
    <x:t>45812 - 65M00</x:t>
  </x:si>
  <x:si>
    <x:t>S019825</x:t>
  </x:si>
  <x:si>
    <x:t>61142.92-76T00-000</x:t>
  </x:si>
  <x:si>
    <x:t>S019826</x:t>
  </x:si>
  <x:si>
    <x:t>61145.95-76T00-000</x:t>
  </x:si>
  <x:si>
    <x:t>S019827</x:t>
  </x:si>
  <x:si>
    <x:t>65172.3-66M50</x:t>
  </x:si>
  <x:si>
    <x:t>S019828</x:t>
  </x:si>
  <x:si>
    <x:t>65176.7-76T50</x:t>
  </x:si>
  <x:si>
    <x:t>S019829</x:t>
  </x:si>
  <x:si>
    <x:t>65181.2-76T50</x:t>
  </x:si>
  <x:si>
    <x:t>S019830</x:t>
  </x:si>
  <x:si>
    <x:t>58315.6-VT010</x:t>
  </x:si>
  <x:si>
    <x:t>S019832</x:t>
  </x:si>
  <x:si>
    <x:t>62913-76TA0</x:t>
  </x:si>
  <x:si>
    <x:t>S019834</x:t>
  </x:si>
  <x:si>
    <x:t>JSC270DN</x:t>
  </x:si>
  <x:si>
    <x:t>58321.421-64M00-000</x:t>
  </x:si>
  <x:si>
    <x:t>S019843</x:t>
  </x:si>
  <x:si>
    <x:t>57611.2-VT010</x:t>
  </x:si>
  <x:si>
    <x:t>S019846</x:t>
  </x:si>
  <x:si>
    <x:t>58119-VT010</x:t>
  </x:si>
  <x:si>
    <x:t>S019848</x:t>
  </x:si>
  <x:si>
    <x:t>57843.4-VT010</x:t>
  </x:si>
  <x:si>
    <x:t>S019850</x:t>
  </x:si>
  <x:si>
    <x:t>58374-VT010</x:t>
  </x:si>
  <x:si>
    <x:t>S019852</x:t>
  </x:si>
  <x:si>
    <x:t>57791.2-VT010</x:t>
  </x:si>
  <x:si>
    <x:t>S019853</x:t>
  </x:si>
  <x:si>
    <x:t>48723-F7010</x:t>
  </x:si>
  <x:si>
    <x:t>S019854</x:t>
  </x:si>
  <x:si>
    <x:t>YZA1863335-53811-0K170-660A</x:t>
  </x:si>
  <x:si>
    <x:t>S019855</x:t>
  </x:si>
  <x:si>
    <x:t>YZA1863336-53812-0K190-660A</x:t>
  </x:si>
  <x:si>
    <x:t>S019862</x:t>
  </x:si>
  <x:si>
    <x:t>61218.9-76T00</x:t>
  </x:si>
  <x:si>
    <x:t>S019864</x:t>
  </x:si>
  <x:si>
    <x:t>61527-76TA0</x:t>
  </x:si>
  <x:si>
    <x:t>S019865</x:t>
  </x:si>
  <x:si>
    <x:t>61541-61M00</x:t>
  </x:si>
  <x:si>
    <x:t>S019866</x:t>
  </x:si>
  <x:si>
    <x:t>JSC270EN</x:t>
  </x:si>
  <x:si>
    <x:t>64141.541-76T00</x:t>
  </x:si>
  <x:si>
    <x:t>S019867</x:t>
  </x:si>
  <x:si>
    <x:t>59114-64M00</x:t>
  </x:si>
  <x:si>
    <x:t>S019868</x:t>
  </x:si>
  <x:si>
    <x:t>59117-76T00/69161.71-76T00</x:t>
  </x:si>
  <x:si>
    <x:t>S019869</x:t>
  </x:si>
  <x:si>
    <x:t>58343-76TA0-000</x:t>
  </x:si>
  <x:si>
    <x:t>S019870</x:t>
  </x:si>
  <x:si>
    <x:t>59234.84-76T00</x:t>
  </x:si>
  <x:si>
    <x:t>S019871</x:t>
  </x:si>
  <x:si>
    <x:t>58441-76TA0-000</x:t>
  </x:si>
  <x:si>
    <x:t>S019872</x:t>
  </x:si>
  <x:si>
    <x:t>64112-55T00</x:t>
  </x:si>
  <x:si>
    <x:t>S019873</x:t>
  </x:si>
  <x:si>
    <x:t>61132.82-76T00-000</x:t>
  </x:si>
  <x:si>
    <x:t>S019874</x:t>
  </x:si>
  <x:si>
    <x:t>68572.772-76T00</x:t>
  </x:si>
  <x:si>
    <x:t>S019875</x:t>
  </x:si>
  <x:si>
    <x:t>61133.83-76T00-000</x:t>
  </x:si>
  <x:si>
    <x:t>S019876</x:t>
  </x:si>
  <x:si>
    <x:t>61184.34-76T00-000</x:t>
  </x:si>
  <x:si>
    <x:t>S019877</x:t>
  </x:si>
  <x:si>
    <x:t>61143.93-76T00-000</x:t>
  </x:si>
  <x:si>
    <x:t>S019878</x:t>
  </x:si>
  <x:si>
    <x:t>65191-61M00.50-000</x:t>
  </x:si>
  <x:si>
    <x:t>S019879</x:t>
  </x:si>
  <x:si>
    <x:t>61135.85-76T00</x:t>
  </x:si>
  <x:si>
    <x:t>S019880</x:t>
  </x:si>
  <x:si>
    <x:t>61147.97-76T00-000</x:t>
  </x:si>
  <x:si>
    <x:t>S019881</x:t>
  </x:si>
  <x:si>
    <x:t>61147-76T00</x:t>
  </x:si>
  <x:si>
    <x:t>S019882</x:t>
  </x:si>
  <x:si>
    <x:t>62718-55KA0</x:t>
  </x:si>
  <x:si>
    <x:t>S019884</x:t>
  </x:si>
  <x:si>
    <x:t>61146.96-76T00-000</x:t>
  </x:si>
  <x:si>
    <x:t>S019885</x:t>
  </x:si>
  <x:si>
    <x:t>YZA1863409 - 53321-328A</x:t>
  </x:si>
  <x:si>
    <x:t>S019887</x:t>
  </x:si>
  <x:si>
    <x:t>S019888</x:t>
  </x:si>
  <x:si>
    <x:t>S019889</x:t>
  </x:si>
  <x:si>
    <x:t>S019891</x:t>
  </x:si>
  <x:si>
    <x:t>6703006281-7P845-X7H02</x:t>
  </x:si>
  <x:si>
    <x:t>S019893</x:t>
  </x:si>
  <x:si>
    <x:t>6703006292-71371-X7V39</x:t>
  </x:si>
  <x:si>
    <x:t>S019895</x:t>
  </x:si>
  <x:si>
    <x:t>P55344-VT020-RM</x:t>
  </x:si>
  <x:si>
    <x:t>S019896</x:t>
  </x:si>
  <x:si>
    <x:t>P55321-VT030-RM</x:t>
  </x:si>
  <x:si>
    <x:t>S019897</x:t>
  </x:si>
  <x:si>
    <x:t>P55326-VT030-RM-71121-X7V74</x:t>
  </x:si>
  <x:si>
    <x:t>S019899</x:t>
  </x:si>
  <x:si>
    <x:t>82715-VT820-2</x:t>
  </x:si>
  <x:si>
    <x:t>S019900</x:t>
  </x:si>
  <x:si>
    <x:t>R8115801</x:t>
  </x:si>
  <x:si>
    <x:t>S019901</x:t>
  </x:si>
  <x:si>
    <x:t>R8114031</x:t>
  </x:si>
  <x:si>
    <x:t>S019902</x:t>
  </x:si>
  <x:si>
    <x:t>Innova ser</x:t>
  </x:si>
  <x:si>
    <x:t>S019903</x:t>
  </x:si>
  <x:si>
    <x:t>JSH590RN</x:t>
  </x:si>
  <x:si>
    <x:t>6703006323-7X633-X7P00</x:t>
  </x:si>
  <x:si>
    <x:t>S019904</x:t>
  </x:si>
  <x:si>
    <x:t>6703006333-71273.4-X7P00-A</x:t>
  </x:si>
  <x:si>
    <x:t>S019905</x:t>
  </x:si>
  <x:si>
    <x:t>7X723.4-X7P00</x:t>
  </x:si>
  <x:si>
    <x:t>S019906</x:t>
  </x:si>
  <x:si>
    <x:t>10003138</x:t>
  </x:si>
  <x:si>
    <x:t>S019907</x:t>
  </x:si>
  <x:si>
    <x:t>82715-VT050</x:t>
  </x:si>
  <x:si>
    <x:t>S019908</x:t>
  </x:si>
  <x:si>
    <x:t>6703006032-71199-VT010</x:t>
  </x:si>
  <x:si>
    <x:t>S019909</x:t>
  </x:si>
  <x:si>
    <x:t>6703006280-71122-VT010</x:t>
  </x:si>
  <x:si>
    <x:t>S019910</x:t>
  </x:si>
  <x:si>
    <x:t>6703006274-71121-VT010</x:t>
  </x:si>
  <x:si>
    <x:t>S019911</x:t>
  </x:si>
  <x:si>
    <x:t>6703006286-71121.2-X7V74</x:t>
  </x:si>
  <x:si>
    <x:t>S019912</x:t>
  </x:si>
  <x:si>
    <x:t>6703006306-85868-VT010</x:t>
  </x:si>
  <x:si>
    <x:t>S019913</x:t>
  </x:si>
  <x:si>
    <x:t>6703006307-85868-VT020</x:t>
  </x:si>
  <x:si>
    <x:t>S019916</x:t>
  </x:si>
  <x:si>
    <x:t>P55345-VT020-RM</x:t>
  </x:si>
  <x:si>
    <x:t>S019917</x:t>
  </x:si>
  <x:si>
    <x:t>5538A-560B2</x:t>
  </x:si>
  <x:si>
    <x:t>S019918</x:t>
  </x:si>
  <x:si>
    <x:t>P5538D-VT020-RM</x:t>
  </x:si>
  <x:si>
    <x:t>S019919</x:t>
  </x:si>
  <x:si>
    <x:t>P55428-VT020-RM</x:t>
  </x:si>
  <x:si>
    <x:t>S019920</x:t>
  </x:si>
  <x:si>
    <x:t>P55322-VT030-RM</x:t>
  </x:si>
  <x:si>
    <x:t>S019921</x:t>
  </x:si>
  <x:si>
    <x:t>P55374-VT020-RM</x:t>
  </x:si>
  <x:si>
    <x:t>S019922</x:t>
  </x:si>
  <x:si>
    <x:t>P55427-VT020-RM</x:t>
  </x:si>
  <x:si>
    <x:t>S019923</x:t>
  </x:si>
  <x:si>
    <x:t>82715-VT070-Z2</x:t>
  </x:si>
  <x:si>
    <x:t>S019924</x:t>
  </x:si>
  <x:si>
    <x:t>P55323-VT030-RM</x:t>
  </x:si>
  <x:si>
    <x:t>S019925</x:t>
  </x:si>
  <x:si>
    <x:t>S019929</x:t>
  </x:si>
  <x:si>
    <x:t>71181.2-76T00</x:t>
  </x:si>
  <x:si>
    <x:t>S019930</x:t>
  </x:si>
  <x:si>
    <x:t>S019931</x:t>
  </x:si>
  <x:si>
    <x:t>6703006288-71162-X7V81</x:t>
  </x:si>
  <x:si>
    <x:t>S019932</x:t>
  </x:si>
  <x:si>
    <x:t>6703006289-71158-X7V28</x:t>
  </x:si>
  <x:si>
    <x:t>S019933</x:t>
  </x:si>
  <x:si>
    <x:t>6703006291-71167-X7V32</x:t>
  </x:si>
  <x:si>
    <x:t>S019934</x:t>
  </x:si>
  <x:si>
    <x:t>6703006334-71111-X1V07</x:t>
  </x:si>
  <x:si>
    <x:t>S019935</x:t>
  </x:si>
  <x:si>
    <x:t>6703006290-71111-X7V15</x:t>
  </x:si>
  <x:si>
    <x:t>S019942</x:t>
  </x:si>
  <x:si>
    <x:t>6703006284-81559-X7V19</x:t>
  </x:si>
  <x:si>
    <x:t>S019943</x:t>
  </x:si>
  <x:si>
    <x:t>6703006276-72335-VT010</x:t>
  </x:si>
  <x:si>
    <x:t>S019944</x:t>
  </x:si>
  <x:si>
    <x:t>6703006278-72261-VT010.3</x:t>
  </x:si>
  <x:si>
    <x:t>S019945</x:t>
  </x:si>
  <x:si>
    <x:t>6703006297-72131.4-X7V52</x:t>
  </x:si>
  <x:si>
    <x:t>S019946</x:t>
  </x:si>
  <x:si>
    <x:t>6703006298-72441.46-X7V26</x:t>
  </x:si>
  <x:si>
    <x:t>S019947</x:t>
  </x:si>
  <x:si>
    <x:t>6703006299-73192-X7V36</x:t>
  </x:si>
  <x:si>
    <x:t>S019948</x:t>
  </x:si>
  <x:si>
    <x:t>6703006300-79989-X7V00.01/X7V10.11</x:t>
  </x:si>
  <x:si>
    <x:t>S019949</x:t>
  </x:si>
  <x:si>
    <x:t>6703006279-72147.3-X7H00</x:t>
  </x:si>
  <x:si>
    <x:t>S019950</x:t>
  </x:si>
  <x:si>
    <x:t>6703006296-72577-X7V11</x:t>
  </x:si>
  <x:si>
    <x:t>S019951</x:t>
  </x:si>
  <x:si>
    <x:t>6703006282-7P845-X7H00</x:t>
  </x:si>
  <x:si>
    <x:t>S019952</x:t>
  </x:si>
  <x:si>
    <x:t>6703006305-79944-VT010</x:t>
  </x:si>
  <x:si>
    <x:t>S019953</x:t>
  </x:si>
  <x:si>
    <x:t>6703006295-72446-X7V34</x:t>
  </x:si>
  <x:si>
    <x:t>S019954</x:t>
  </x:si>
  <x:si>
    <x:t>6703006285-72439-X7V62</x:t>
  </x:si>
  <x:si>
    <x:t>S019958</x:t>
  </x:si>
  <x:si>
    <x:t>6703006301-71121-X7H00</x:t>
  </x:si>
  <x:si>
    <x:t>S019959</x:t>
  </x:si>
  <x:si>
    <x:t>SPC590</x:t>
  </x:si>
  <x:si>
    <x:t>6703006283-72155-X7V12</x:t>
  </x:si>
  <x:si>
    <x:t>S019960</x:t>
  </x:si>
  <x:si>
    <x:t>6703006302-72141-VT010</x:t>
  </x:si>
  <x:si>
    <x:t>S019961</x:t>
  </x:si>
  <x:si>
    <x:t>6703006303-72146-VT010</x:t>
  </x:si>
  <x:si>
    <x:t>S019963</x:t>
  </x:si>
  <x:si>
    <x:t>61415KK010RM2</x:t>
  </x:si>
  <x:si>
    <x:t>S019973</x:t>
  </x:si>
  <x:si>
    <x:t>63152-VT010/20</x:t>
  </x:si>
  <x:si>
    <x:t>S019974</x:t>
  </x:si>
  <x:si>
    <x:t>61619-VT010/20</x:t>
  </x:si>
  <x:si>
    <x:t>S019975</x:t>
  </x:si>
  <x:si>
    <x:t>61629-VT010/20</x:t>
  </x:si>
  <x:si>
    <x:t>S019976</x:t>
  </x:si>
  <x:si>
    <x:t>61637-VT010/20.8</x:t>
  </x:si>
  <x:si>
    <x:t>S019978</x:t>
  </x:si>
  <x:si>
    <x:t>48824-F7010-Z1</x:t>
  </x:si>
  <x:si>
    <x:t>S019979</x:t>
  </x:si>
  <x:si>
    <x:t>61625.6-VT010/20</x:t>
  </x:si>
  <x:si>
    <x:t>S019980</x:t>
  </x:si>
  <x:si>
    <x:t>58857-VT020</x:t>
  </x:si>
  <x:si>
    <x:t>S019981</x:t>
  </x:si>
  <x:si>
    <x:t>58828-VT020</x:t>
  </x:si>
  <x:si>
    <x:t>S019982</x:t>
  </x:si>
  <x:si>
    <x:t>61761.2-VT010/20</x:t>
  </x:si>
  <x:si>
    <x:t>S019983</x:t>
  </x:si>
  <x:si>
    <x:t>17851-VT010</x:t>
  </x:si>
  <x:si>
    <x:t>S019995</x:t>
  </x:si>
  <x:si>
    <x:t>58436-76TA0-000</x:t>
  </x:si>
  <x:si>
    <x:t>S019996</x:t>
  </x:si>
  <x:si>
    <x:t>62763-76TA0</x:t>
  </x:si>
  <x:si>
    <x:t>S019997</x:t>
  </x:si>
  <x:si>
    <x:t>82715-VT410</x:t>
  </x:si>
  <x:si>
    <x:t>S019998</x:t>
  </x:si>
  <x:si>
    <x:t>82715-VT720</x:t>
  </x:si>
  <x:si>
    <x:t>S019999</x:t>
  </x:si>
  <x:si>
    <x:t>82715-VT420</x:t>
  </x:si>
  <x:si>
    <x:t>S020000</x:t>
  </x:si>
  <x:si>
    <x:t>82715-VT660</x:t>
  </x:si>
  <x:si>
    <x:t>S020001</x:t>
  </x:si>
  <x:si>
    <x:t>82715-VT010</x:t>
  </x:si>
  <x:si>
    <x:t>S020002</x:t>
  </x:si>
  <x:si>
    <x:t>82715-VT030</x:t>
  </x:si>
  <x:si>
    <x:t>S020003</x:t>
  </x:si>
  <x:si>
    <x:t>82715-VT780</x:t>
  </x:si>
  <x:si>
    <x:t>S020004</x:t>
  </x:si>
  <x:si>
    <x:t>82715-VT400</x:t>
  </x:si>
  <x:si>
    <x:t>S020005</x:t>
  </x:si>
  <x:si>
    <x:t>82715-VT820-1</x:t>
  </x:si>
  <x:si>
    <x:t>S020006</x:t>
  </x:si>
  <x:si>
    <x:t>82715-VT710</x:t>
  </x:si>
  <x:si>
    <x:t>S020007</x:t>
  </x:si>
  <x:si>
    <x:t>82715-VT800</x:t>
  </x:si>
  <x:si>
    <x:t>S020008</x:t>
  </x:si>
  <x:si>
    <x:t>82715-VT440</x:t>
  </x:si>
  <x:si>
    <x:t>S020009</x:t>
  </x:si>
  <x:si>
    <x:t>33829-VT010</x:t>
  </x:si>
  <x:si>
    <x:t>S020010</x:t>
  </x:si>
  <x:si>
    <x:t>S020013</x:t>
  </x:si>
  <x:si>
    <x:t>JAC980YN</x:t>
  </x:si>
  <x:si>
    <x:t>62212.412-76T00</x:t>
  </x:si>
  <x:si>
    <x:t>S020015</x:t>
  </x:si>
  <x:si>
    <x:t>JAH270CN</x:t>
  </x:si>
  <x:si>
    <x:t>62132.332-76T00-000</x:t>
  </x:si>
  <x:si>
    <x:t>S020017</x:t>
  </x:si>
  <x:si>
    <x:t>62134.334-79J00-000</x:t>
  </x:si>
  <x:si>
    <x:t>S020018</x:t>
  </x:si>
  <x:si>
    <x:t>S020020</x:t>
  </x:si>
  <x:si>
    <x:t>62137.337-76T00</x:t>
  </x:si>
  <x:si>
    <x:t>S020021</x:t>
  </x:si>
  <x:si>
    <x:t>JAH440WN</x:t>
  </x:si>
  <x:si>
    <x:t>71142.52-61M00</x:t>
  </x:si>
  <x:si>
    <x:t>S020024</x:t>
  </x:si>
  <x:si>
    <x:t>61711.2-VT020</x:t>
  </x:si>
  <x:si>
    <x:t>S020025</x:t>
  </x:si>
  <x:si>
    <x:t>64533_4133-76T00</x:t>
  </x:si>
  <x:si>
    <x:t>S020027</x:t>
  </x:si>
  <x:si>
    <x:t>61623.4-560B0</x:t>
  </x:si>
  <x:si>
    <x:t>S020028</x:t>
  </x:si>
  <x:si>
    <x:t>S020029</x:t>
  </x:si>
  <x:si>
    <x:t>S020031</x:t>
  </x:si>
  <x:si>
    <x:t>S020033</x:t>
  </x:si>
  <x:si>
    <x:t>77611-20PL5</x:t>
  </x:si>
  <x:si>
    <x:t>S020035</x:t>
  </x:si>
  <x:si>
    <x:t>77612-20PL4</x:t>
  </x:si>
  <x:si>
    <x:t>S020037</x:t>
  </x:si>
  <x:si>
    <x:t>57413.4-VT010</x:t>
  </x:si>
  <x:si>
    <x:t>S020039</x:t>
  </x:si>
  <x:si>
    <x:t>57355.6-VT010</x:t>
  </x:si>
  <x:si>
    <x:t>S020041</x:t>
  </x:si>
  <x:si>
    <x:t>57667-VT010</x:t>
  </x:si>
  <x:si>
    <x:t>S020043</x:t>
  </x:si>
  <x:si>
    <x:t>61373.83-VT010</x:t>
  </x:si>
  <x:si>
    <x:t>S020045</x:t>
  </x:si>
  <x:si>
    <x:t>61153-VT010</x:t>
  </x:si>
  <x:si>
    <x:t>S020047</x:t>
  </x:si>
  <x:si>
    <x:t>61167.8-VT010</x:t>
  </x:si>
  <x:si>
    <x:t>S020049</x:t>
  </x:si>
  <x:si>
    <x:t>61233.4-VT010</x:t>
  </x:si>
  <x:si>
    <x:t>S020051</x:t>
  </x:si>
  <x:si>
    <x:t>S020053</x:t>
  </x:si>
  <x:si>
    <x:t>55717-903B0</x:t>
  </x:si>
  <x:si>
    <x:t>S020055</x:t>
  </x:si>
  <x:si>
    <x:t>53281.2-VT010</x:t>
  </x:si>
  <x:si>
    <x:t>S020057</x:t>
  </x:si>
  <x:si>
    <x:t>53715.6-VT010</x:t>
  </x:si>
  <x:si>
    <x:t>S020059</x:t>
  </x:si>
  <x:si>
    <x:t>53717.8-VT010</x:t>
  </x:si>
  <x:si>
    <x:t>S020061</x:t>
  </x:si>
  <x:si>
    <x:t>57486.7-VT010</x:t>
  </x:si>
  <x:si>
    <x:t>S020063</x:t>
  </x:si>
  <x:si>
    <x:t>57157.8-VT010</x:t>
  </x:si>
  <x:si>
    <x:t>S020065</x:t>
  </x:si>
  <x:si>
    <x:t>57353.4-VT010</x:t>
  </x:si>
  <x:si>
    <x:t>S020067</x:t>
  </x:si>
  <x:si>
    <x:t>61766.7-VT010</x:t>
  </x:si>
  <x:si>
    <x:t>S020069</x:t>
  </x:si>
  <x:si>
    <x:t>63175-VT010</x:t>
  </x:si>
  <x:si>
    <x:t>S020071</x:t>
  </x:si>
  <x:si>
    <x:t>63197-VT010</x:t>
  </x:si>
  <x:si>
    <x:t>S020073</x:t>
  </x:si>
  <x:si>
    <x:t>61365-VT010</x:t>
  </x:si>
  <x:si>
    <x:t>S020075</x:t>
  </x:si>
  <x:si>
    <x:t>61425.6-VT010</x:t>
  </x:si>
  <x:si>
    <x:t>S020077</x:t>
  </x:si>
  <x:si>
    <x:t>61165.6-VT010</x:t>
  </x:si>
  <x:si>
    <x:t>S020079</x:t>
  </x:si>
  <x:si>
    <x:t>57175.6-VT010</x:t>
  </x:si>
  <x:si>
    <x:t>S020081</x:t>
  </x:si>
  <x:si>
    <x:t>57185.6-VT010</x:t>
  </x:si>
  <x:si>
    <x:t>S020085</x:t>
  </x:si>
  <x:si>
    <x:t>59113-61M00</x:t>
  </x:si>
  <x:si>
    <x:t>S020086</x:t>
  </x:si>
  <x:si>
    <x:t>63371_771-76T00</x:t>
  </x:si>
  <x:si>
    <x:t>S020087</x:t>
  </x:si>
  <x:si>
    <x:t>61514.5-76T00</x:t>
  </x:si>
  <x:si>
    <x:t>S020088</x:t>
  </x:si>
  <x:si>
    <x:t>78161-76T00</x:t>
  </x:si>
  <x:si>
    <x:t>S020089</x:t>
  </x:si>
  <x:si>
    <x:t>69162-76T00</x:t>
  </x:si>
  <x:si>
    <x:t>S020090</x:t>
  </x:si>
  <x:si>
    <x:t>SUH 409L</x:t>
  </x:si>
  <x:si>
    <x:t>17510-K15YW-08</x:t>
  </x:si>
  <x:si>
    <x:t>S020091</x:t>
  </x:si>
  <x:si>
    <x:t>17530/510-K15YX/YW-05/06</x:t>
  </x:si>
  <x:si>
    <x:t>S020093</x:t>
  </x:si>
  <x:si>
    <x:t>69164-76T00</x:t>
  </x:si>
  <x:si>
    <x:t>S020095</x:t>
  </x:si>
  <x:si>
    <x:t>63883_483-54P00</x:t>
  </x:si>
  <x:si>
    <x:t>S020096</x:t>
  </x:si>
  <x:si>
    <x:t>17530-K15YX-06</x:t>
  </x:si>
  <x:si>
    <x:t>S020098</x:t>
  </x:si>
  <x:si>
    <x:t>17510.530-K15YW-04</x:t>
  </x:si>
  <x:si>
    <x:t>S020099</x:t>
  </x:si>
  <x:si>
    <x:t>17441.43-K15YZ</x:t>
  </x:si>
  <x:si>
    <x:t>S020100</x:t>
  </x:si>
  <x:si>
    <x:t>68521_721-76T00</x:t>
  </x:si>
  <x:si>
    <x:t>S020101</x:t>
  </x:si>
  <x:si>
    <x:t>17442-K15YZ</x:t>
  </x:si>
  <x:si>
    <x:t>S020102</x:t>
  </x:si>
  <x:si>
    <x:t>65112-61M00</x:t>
  </x:si>
  <x:si>
    <x:t>S020103</x:t>
  </x:si>
  <x:si>
    <x:t>68132_332-76T00</x:t>
  </x:si>
  <x:si>
    <x:t>S020104</x:t>
  </x:si>
  <x:si>
    <x:t>17572-K15YZ-02</x:t>
  </x:si>
  <x:si>
    <x:t>S020105</x:t>
  </x:si>
  <x:si>
    <x:t>59191-76T00</x:t>
  </x:si>
  <x:si>
    <x:t>S020106</x:t>
  </x:si>
  <x:si>
    <x:t>SUS 436 J1L</x:t>
  </x:si>
  <x:si>
    <x:t>17530.510-K15YX.YW-02.03</x:t>
  </x:si>
  <x:si>
    <x:t>S020107</x:t>
  </x:si>
  <x:si>
    <x:t>59285_235-76T00</x:t>
  </x:si>
  <x:si>
    <x:t>S020108</x:t>
  </x:si>
  <x:si>
    <x:t>58123_113-61M00</x:t>
  </x:si>
  <x:si>
    <x:t>S020109</x:t>
  </x:si>
  <x:si>
    <x:t>61534_533-76T00</x:t>
  </x:si>
  <x:si>
    <x:t>S020118</x:t>
  </x:si>
  <x:si>
    <x:t>63132-VT010/20</x:t>
  </x:si>
  <x:si>
    <x:t>S020120</x:t>
  </x:si>
  <x:si>
    <x:t>63144-VT030</x:t>
  </x:si>
  <x:si>
    <x:t>S020122</x:t>
  </x:si>
  <x:si>
    <x:t>63142-VT010</x:t>
  </x:si>
  <x:si>
    <x:t>S020124</x:t>
  </x:si>
  <x:si>
    <x:t>S020126</x:t>
  </x:si>
  <x:si>
    <x:t>55795-VT010</x:t>
  </x:si>
  <x:si>
    <x:t>S020128</x:t>
  </x:si>
  <x:si>
    <x:t>63137-VT010/20</x:t>
  </x:si>
  <x:si>
    <x:t>S020129</x:t>
  </x:si>
  <x:si>
    <x:t>53877-VT010</x:t>
  </x:si>
  <x:si>
    <x:t>S020130</x:t>
  </x:si>
  <x:si>
    <x:t>SECC QF1</x:t>
  </x:si>
  <x:si>
    <x:t>20/20</x:t>
  </x:si>
  <x:si>
    <x:t>Denso</x:t>
  </x:si>
  <x:si>
    <x:t>S020131</x:t>
  </x:si>
  <x:si>
    <x:t>S020133</x:t>
  </x:si>
  <x:si>
    <x:t>59181-76T00</x:t>
  </x:si>
  <x:si>
    <x:t>S020135</x:t>
  </x:si>
  <x:si>
    <x:t>65561_571-76T00</x:t>
  </x:si>
  <x:si>
    <x:t>S020136</x:t>
  </x:si>
  <x:si>
    <x:t>65562_572-76T00</x:t>
  </x:si>
  <x:si>
    <x:t>S020138</x:t>
  </x:si>
  <x:si>
    <x:t>53878-VT020</x:t>
  </x:si>
  <x:si>
    <x:t>S020140</x:t>
  </x:si>
  <x:si>
    <x:t>55721-VT010</x:t>
  </x:si>
  <x:si>
    <x:t>S020142</x:t>
  </x:si>
  <x:si>
    <x:t>55725-VT010</x:t>
  </x:si>
  <x:si>
    <x:t>S020144</x:t>
  </x:si>
  <x:si>
    <x:t>65581-76T00</x:t>
  </x:si>
  <x:si>
    <x:t>S020145</x:t>
  </x:si>
  <x:si>
    <x:t>55726-VT010</x:t>
  </x:si>
  <x:si>
    <x:t>S020146</x:t>
  </x:si>
  <x:si>
    <x:t>63361-76T00</x:t>
  </x:si>
  <x:si>
    <x:t>S020147</x:t>
  </x:si>
  <x:si>
    <x:t>68562_563-75J00</x:t>
  </x:si>
  <x:si>
    <x:t>S020148</x:t>
  </x:si>
  <x:si>
    <x:t>61542-76T00</x:t>
  </x:si>
  <x:si>
    <x:t>S020149</x:t>
  </x:si>
  <x:si>
    <x:t>58333_433-76T00</x:t>
  </x:si>
  <x:si>
    <x:t>S020150</x:t>
  </x:si>
  <x:si>
    <x:t>57337_332-61M00</x:t>
  </x:si>
  <x:si>
    <x:t>S020151</x:t>
  </x:si>
  <x:si>
    <x:t>58116_126-76T00</x:t>
  </x:si>
  <x:si>
    <x:t>S020152</x:t>
  </x:si>
  <x:si>
    <x:t>59744-55KA0</x:t>
  </x:si>
  <x:si>
    <x:t>S020153</x:t>
  </x:si>
  <x:si>
    <x:t>63432-76T00</x:t>
  </x:si>
  <x:si>
    <x:t>S020154</x:t>
  </x:si>
  <x:si>
    <x:t>69163-76T00</x:t>
  </x:si>
  <x:si>
    <x:t>S020155</x:t>
  </x:si>
  <x:si>
    <x:t>63362-76T00</x:t>
  </x:si>
  <x:si>
    <x:t>S020157</x:t>
  </x:si>
  <x:si>
    <x:t>69165-73R00</x:t>
  </x:si>
  <x:si>
    <x:t>S020158</x:t>
  </x:si>
  <x:si>
    <x:t>63144-76M00</x:t>
  </x:si>
  <x:si>
    <x:t>S020160</x:t>
  </x:si>
  <x:si>
    <x:t>61523-61M02</x:t>
  </x:si>
  <x:si>
    <x:t>S020161</x:t>
  </x:si>
  <x:si>
    <x:t>68522_722-76T00</x:t>
  </x:si>
  <x:si>
    <x:t>S020162</x:t>
  </x:si>
  <x:si>
    <x:t>68181_381-81R00</x:t>
  </x:si>
  <x:si>
    <x:t>S020163</x:t>
  </x:si>
  <x:si>
    <x:t>68181_381-62R00</x:t>
  </x:si>
  <x:si>
    <x:t>S020164</x:t>
  </x:si>
  <x:si>
    <x:t>S020165</x:t>
  </x:si>
  <x:si>
    <x:t>S020166</x:t>
  </x:si>
  <x:si>
    <x:t>78861-61M00</x:t>
  </x:si>
  <x:si>
    <x:t>S020167</x:t>
  </x:si>
  <x:si>
    <x:t>68162-74L10</x:t>
  </x:si>
  <x:si>
    <x:t>S020169</x:t>
  </x:si>
  <x:si>
    <x:t>73261-76T00</x:t>
  </x:si>
  <x:si>
    <x:t>S020170</x:t>
  </x:si>
  <x:si>
    <x:t>63243-72J00</x:t>
  </x:si>
  <x:si>
    <x:t>S020171</x:t>
  </x:si>
  <x:si>
    <x:t>S020172</x:t>
  </x:si>
  <x:si>
    <x:t>R0715090RH</x:t>
  </x:si>
  <x:si>
    <x:t>S020173</x:t>
  </x:si>
  <x:si>
    <x:t>58311.411-64M00-000</x:t>
  </x:si>
  <x:si>
    <x:t>S020175</x:t>
  </x:si>
  <x:si>
    <x:t>S020177</x:t>
  </x:si>
  <x:si>
    <x:t>62711-76T00</x:t>
  </x:si>
  <x:si>
    <x:t>S020181</x:t>
  </x:si>
  <x:si>
    <x:t>55135-VT010</x:t>
  </x:si>
  <x:si>
    <x:t>S020182</x:t>
  </x:si>
  <x:si>
    <x:t>17510-F2190-09</x:t>
  </x:si>
  <x:si>
    <x:t>S020183</x:t>
  </x:si>
  <x:si>
    <x:t>17510-F2190-13</x:t>
  </x:si>
  <x:si>
    <x:t>S020184</x:t>
  </x:si>
  <x:si>
    <x:t>S020185</x:t>
  </x:si>
  <x:si>
    <x:t>SG571-W0350-04</x:t>
  </x:si>
  <x:si>
    <x:t>S020186</x:t>
  </x:si>
  <x:si>
    <x:t>S020187</x:t>
  </x:si>
  <x:si>
    <x:t>S020190</x:t>
  </x:si>
  <x:si>
    <x:t>S020191</x:t>
  </x:si>
  <x:si>
    <x:t>S020194</x:t>
  </x:si>
  <x:si>
    <x:t>53238-VT010</x:t>
  </x:si>
  <x:si>
    <x:t>S020196</x:t>
  </x:si>
  <x:si>
    <x:t>53187-VT010</x:t>
  </x:si>
  <x:si>
    <x:t>S020198</x:t>
  </x:si>
  <x:si>
    <x:t>61347-VT010/61348-VT020</x:t>
  </x:si>
  <x:si>
    <x:t>S020200</x:t>
  </x:si>
  <x:si>
    <x:t>58267-VT010</x:t>
  </x:si>
  <x:si>
    <x:t>S020202</x:t>
  </x:si>
  <x:si>
    <x:t>61713.4-VT010</x:t>
  </x:si>
  <x:si>
    <x:t>S020204</x:t>
  </x:si>
  <x:si>
    <x:t>53721.2-VT010</x:t>
  </x:si>
  <x:si>
    <x:t>S020206</x:t>
  </x:si>
  <x:si>
    <x:t>58361-VT010</x:t>
  </x:si>
  <x:si>
    <x:t>S020208</x:t>
  </x:si>
  <x:si>
    <x:t>55718-VT010</x:t>
  </x:si>
  <x:si>
    <x:t>S020210</x:t>
  </x:si>
  <x:si>
    <x:t>53245.6-VT010</x:t>
  </x:si>
  <x:si>
    <x:t>S020212</x:t>
  </x:si>
  <x:si>
    <x:t>53268.9-VT010</x:t>
  </x:si>
  <x:si>
    <x:t>S020214</x:t>
  </x:si>
  <x:si>
    <x:t>57673-VT010</x:t>
  </x:si>
  <x:si>
    <x:t>S020216</x:t>
  </x:si>
  <x:si>
    <x:t>53213.4-VT010</x:t>
  </x:si>
  <x:si>
    <x:t>S020217</x:t>
  </x:si>
  <x:si>
    <x:t>65136-76T00</x:t>
  </x:si>
  <x:si>
    <x:t>S020219</x:t>
  </x:si>
  <x:si>
    <x:t>61536-76TA0</x:t>
  </x:si>
  <x:si>
    <x:t>S020220</x:t>
  </x:si>
  <x:si>
    <x:t>61541-76T00</x:t>
  </x:si>
  <x:si>
    <x:t>S020221</x:t>
  </x:si>
  <x:si>
    <x:t>52137-VT010</x:t>
  </x:si>
  <x:si>
    <x:t>S020222</x:t>
  </x:si>
  <x:si>
    <x:t>68562_563-75J10</x:t>
  </x:si>
  <x:si>
    <x:t>S020224</x:t>
  </x:si>
  <x:si>
    <x:t>53723.4-VT010</x:t>
  </x:si>
  <x:si>
    <x:t>S020226</x:t>
  </x:si>
  <x:si>
    <x:t>53726-VT020</x:t>
  </x:si>
  <x:si>
    <x:t>S020228</x:t>
  </x:si>
  <x:si>
    <x:t>61343.4-VT010</x:t>
  </x:si>
  <x:si>
    <x:t>S020230</x:t>
  </x:si>
  <x:si>
    <x:t>S020232</x:t>
  </x:si>
  <x:si>
    <x:t>59281.231-76T00-000</x:t>
  </x:si>
  <x:si>
    <x:t>S020234</x:t>
  </x:si>
  <x:si>
    <x:t>S020236</x:t>
  </x:si>
  <x:si>
    <x:t>S020238</x:t>
  </x:si>
  <x:si>
    <x:t>62332-76T00</x:t>
  </x:si>
  <x:si>
    <x:t>S020240</x:t>
  </x:si>
  <x:si>
    <x:t>S020242</x:t>
  </x:si>
  <x:si>
    <x:t>71142.1152-61M00</x:t>
  </x:si>
  <x:si>
    <x:t>S020244</x:t>
  </x:si>
  <x:si>
    <x:t>55732-VT010</x:t>
  </x:si>
  <x:si>
    <x:t>S020246</x:t>
  </x:si>
  <x:si>
    <x:t>61517.8-VT010</x:t>
  </x:si>
  <x:si>
    <x:t>S020248</x:t>
  </x:si>
  <x:si>
    <x:t>61173.4-VT010</x:t>
  </x:si>
  <x:si>
    <x:t>S020250</x:t>
  </x:si>
  <x:si>
    <x:t>58184-VT010</x:t>
  </x:si>
  <x:si>
    <x:t>S020251</x:t>
  </x:si>
  <x:si>
    <x:t>17441.442.443-K15YZ</x:t>
  </x:si>
  <x:si>
    <x:t>S020252</x:t>
  </x:si>
  <x:si>
    <x:t>S020255</x:t>
  </x:si>
  <x:si>
    <x:t>57483-VT010/57484-VT020</x:t>
  </x:si>
  <x:si>
    <x:t>S020257</x:t>
  </x:si>
  <x:si>
    <x:t>57241.2.3.4-VT010</x:t>
  </x:si>
  <x:si>
    <x:t>S020259</x:t>
  </x:si>
  <x:si>
    <x:t>57123.4-VT010</x:t>
  </x:si>
  <x:si>
    <x:t>S020261</x:t>
  </x:si>
  <x:si>
    <x:t>51681.2-VT010</x:t>
  </x:si>
  <x:si>
    <x:t>S020263</x:t>
  </x:si>
  <x:si>
    <x:t>53727.8-VT010</x:t>
  </x:si>
  <x:si>
    <x:t>S020265</x:t>
  </x:si>
  <x:si>
    <x:t>63131-VT010/20</x:t>
  </x:si>
  <x:si>
    <x:t>S020267</x:t>
  </x:si>
  <x:si>
    <x:t>57165-VT010</x:t>
  </x:si>
  <x:si>
    <x:t>S020270</x:t>
  </x:si>
  <x:si>
    <x:t>P55333-VT020-RM</x:t>
  </x:si>
  <x:si>
    <x:t>S020271</x:t>
  </x:si>
  <x:si>
    <x:t>P55338-VT020-RM</x:t>
  </x:si>
  <x:si>
    <x:t>S020272</x:t>
  </x:si>
  <x:si>
    <x:t>S020273</x:t>
  </x:si>
  <x:si>
    <x:t>S020275</x:t>
  </x:si>
  <x:si>
    <x:t>63222.622-76T00-000</x:t>
  </x:si>
  <x:si>
    <x:t>S020277</x:t>
  </x:si>
  <x:si>
    <x:t>62712.3-76T00</x:t>
  </x:si>
  <x:si>
    <x:t>S020279</x:t>
  </x:si>
  <x:si>
    <x:t>62811-76T00-000</x:t>
  </x:si>
  <x:si>
    <x:t>S020281</x:t>
  </x:si>
  <x:si>
    <x:t>62831-76TA0</x:t>
  </x:si>
  <x:si>
    <x:t>S020283</x:t>
  </x:si>
  <x:si>
    <x:t>P55327-VT020-RM</x:t>
  </x:si>
  <x:si>
    <x:t>S020284</x:t>
  </x:si>
  <x:si>
    <x:t>82715-VT830</x:t>
  </x:si>
  <x:si>
    <x:t>S020285</x:t>
  </x:si>
  <x:si>
    <x:t>45824.5 - 65M00</x:t>
  </x:si>
  <x:si>
    <x:t>S020286</x:t>
  </x:si>
  <x:si>
    <x:t>62832-64M00</x:t>
  </x:si>
  <x:si>
    <x:t>S020288</x:t>
  </x:si>
  <x:si>
    <x:t>S020290</x:t>
  </x:si>
  <x:si>
    <x:t>S020292</x:t>
  </x:si>
  <x:si>
    <x:t>S020293</x:t>
  </x:si>
  <x:si>
    <x:t>S020295</x:t>
  </x:si>
  <x:si>
    <x:t>58118-VT010/20-Z2</x:t>
  </x:si>
  <x:si>
    <x:t>S020297</x:t>
  </x:si>
  <x:si>
    <x:t>61171.72-VT010-Z2</x:t>
  </x:si>
  <x:si>
    <x:t>S020298</x:t>
  </x:si>
  <x:si>
    <x:t>6703006335-72143-X7V05</x:t>
  </x:si>
  <x:si>
    <x:t>S020301</x:t>
  </x:si>
  <x:si>
    <x:t>6703006293-72143-X7V14</x:t>
  </x:si>
  <x:si>
    <x:t>S020302</x:t>
  </x:si>
  <x:si>
    <x:t>6703006307-72262.3-VT010</x:t>
  </x:si>
  <x:si>
    <x:t>S020303</x:t>
  </x:si>
  <x:si>
    <x:t>63241.641-76T00-000</x:t>
  </x:si>
  <x:si>
    <x:t>S020305</x:t>
  </x:si>
  <x:si>
    <x:t>S020306</x:t>
  </x:si>
  <x:si>
    <x:t>R0714317</x:t>
  </x:si>
  <x:si>
    <x:t>S020307</x:t>
  </x:si>
  <x:si>
    <x:t>63226-76T00</x:t>
  </x:si>
  <x:si>
    <x:t>S020309</x:t>
  </x:si>
  <x:si>
    <x:t>68131_331-76T00</x:t>
  </x:si>
  <x:si>
    <x:t>S020310</x:t>
  </x:si>
  <x:si>
    <x:t>61511-76T00</x:t>
  </x:si>
  <x:si>
    <x:t>S020311</x:t>
  </x:si>
  <x:si>
    <x:t>S020312</x:t>
  </x:si>
  <x:si>
    <x:t>6703006343-71341.42-X7P00</x:t>
  </x:si>
  <x:si>
    <x:t>S020313</x:t>
  </x:si>
  <x:si>
    <x:t>6703006345-73751.52-X7P00</x:t>
  </x:si>
  <x:si>
    <x:t>S020314</x:t>
  </x:si>
  <x:si>
    <x:t>6703006347-71345.46-XP700</x:t>
  </x:si>
  <x:si>
    <x:t>S020315</x:t>
  </x:si>
  <x:si>
    <x:t>6703006349-71343-X7P00</x:t>
  </x:si>
  <x:si>
    <x:t>S020317</x:t>
  </x:si>
  <x:si>
    <x:t>79979-X7P01</x:t>
  </x:si>
  <x:si>
    <x:t>S020319</x:t>
  </x:si>
  <x:si>
    <x:t>57187.88-VT010</x:t>
  </x:si>
  <x:si>
    <x:t>S020321</x:t>
  </x:si>
  <x:si>
    <x:t>53741.42-VT010</x:t>
  </x:si>
  <x:si>
    <x:t>S020325</x:t>
  </x:si>
  <x:si>
    <x:t>57417.18-VT010</x:t>
  </x:si>
  <x:si>
    <x:t>S020327</x:t>
  </x:si>
  <x:si>
    <x:t>53717.18-VT010</x:t>
  </x:si>
  <x:si>
    <x:t>S020341</x:t>
  </x:si>
  <x:si>
    <x:t>67125.26-VT010/20</x:t>
  </x:si>
  <x:si>
    <x:t>S020342</x:t>
  </x:si>
  <x:si>
    <x:t>67167.68-VT010/20</x:t>
  </x:si>
  <x:si>
    <x:t>S020343</x:t>
  </x:si>
  <x:si>
    <x:t>67127.28-VT010/20</x:t>
  </x:si>
  <x:si>
    <x:t>S020344</x:t>
  </x:si>
  <x:si>
    <x:t>61623.24-VT010/20</x:t>
  </x:si>
  <x:si>
    <x:t>S020345</x:t>
  </x:si>
  <x:si>
    <x:t>55129.39-VT010</x:t>
  </x:si>
  <x:si>
    <x:t>S020346</x:t>
  </x:si>
  <x:si>
    <x:t>61683.84-VT010/20</x:t>
  </x:si>
  <x:si>
    <x:t>S020347</x:t>
  </x:si>
  <x:si>
    <x:t>67361-VT010/20</x:t>
  </x:si>
  <x:si>
    <x:t>S020349</x:t>
  </x:si>
  <x:si>
    <x:t>S020351</x:t>
  </x:si>
  <x:si>
    <x:t>52297.98-VT010-Z1</x:t>
  </x:si>
  <x:si>
    <x:t>S020353</x:t>
  </x:si>
  <x:si>
    <x:t>74481-VT010</x:t>
  </x:si>
  <x:si>
    <x:t>S020355</x:t>
  </x:si>
  <x:si>
    <x:t>86211.212-VT010-Z1</x:t>
  </x:si>
  <x:si>
    <x:t>S020357</x:t>
  </x:si>
  <x:si>
    <x:t>86211.12-VT020-Z1</x:t>
  </x:si>
  <x:si>
    <x:t>S020358</x:t>
  </x:si>
  <x:si>
    <x:t>86285.86-VT010-Z1</x:t>
  </x:si>
  <x:si>
    <x:t>S020359</x:t>
  </x:si>
  <x:si>
    <x:t>86719-VT010.20-Z1</x:t>
  </x:si>
  <x:si>
    <x:t>S020360</x:t>
  </x:si>
  <x:si>
    <x:t>53336-VT010-Z1</x:t>
  </x:si>
  <x:si>
    <x:t>S020362</x:t>
  </x:si>
  <x:si>
    <x:t>S020363</x:t>
  </x:si>
  <x:si>
    <x:t>S020364</x:t>
  </x:si>
  <x:si>
    <x:t>S020365</x:t>
  </x:si>
  <x:si>
    <x:t>S020366</x:t>
  </x:si>
  <x:si>
    <x:t>S020367</x:t>
  </x:si>
  <x:si>
    <x:t>S020368</x:t>
  </x:si>
  <x:si>
    <x:t>82715-VT430.440-Z2</x:t>
  </x:si>
  <x:si>
    <x:t>S020370</x:t>
  </x:si>
  <x:si>
    <x:t>53633-VT010</x:t>
  </x:si>
  <x:si>
    <x:t>S020372</x:t>
  </x:si>
  <x:si>
    <x:t>53813-VT010</x:t>
  </x:si>
  <x:si>
    <x:t>S020375</x:t>
  </x:si>
  <x:si>
    <x:t>42182.89-903BL-2</x:t>
  </x:si>
  <x:si>
    <x:t>S020376</x:t>
  </x:si>
  <x:si>
    <x:t>11355-0E020</x:t>
  </x:si>
  <x:si>
    <x:t>S020377</x:t>
  </x:si>
  <x:si>
    <x:t>57151.52-VT010</x:t>
  </x:si>
  <x:si>
    <x:t>S020380</x:t>
  </x:si>
  <x:si>
    <x:t>57181.82-VT010</x:t>
  </x:si>
  <x:si>
    <x:t>S020383</x:t>
  </x:si>
  <x:si>
    <x:t>53737.38-VT010</x:t>
  </x:si>
  <x:si>
    <x:t>S020385</x:t>
  </x:si>
  <x:si>
    <x:t>55229-VT010</x:t>
  </x:si>
  <x:si>
    <x:t>S020387</x:t>
  </x:si>
  <x:si>
    <x:t>61133.34-VT010</x:t>
  </x:si>
  <x:si>
    <x:t>S020389</x:t>
  </x:si>
  <x:si>
    <x:t>57479-VT010</x:t>
  </x:si>
  <x:si>
    <x:t>S020391</x:t>
  </x:si>
  <x:si>
    <x:t>57117.18-VT010</x:t>
  </x:si>
  <x:si>
    <x:t>S020394</x:t>
  </x:si>
  <x:si>
    <x:t>57115.16-VT010</x:t>
  </x:si>
  <x:si>
    <x:t>S020396</x:t>
  </x:si>
  <x:si>
    <x:t>57171.72-VT010</x:t>
  </x:si>
  <x:si>
    <x:t>S020398</x:t>
  </x:si>
  <x:si>
    <x:t>61653-VT010</x:t>
  </x:si>
  <x:si>
    <x:t>S020400</x:t>
  </x:si>
  <x:si>
    <x:t>61145.46-VT010-Z2</x:t>
  </x:si>
  <x:si>
    <x:t>S020402</x:t>
  </x:si>
  <x:si>
    <x:t>53273.74-VT010/20-sfg</x:t>
  </x:si>
  <x:si>
    <x:t>S020404</x:t>
  </x:si>
  <x:si>
    <x:t>63126-VT010/20</x:t>
  </x:si>
  <x:si>
    <x:t>S020406</x:t>
  </x:si>
  <x:si>
    <x:t>58241.42-VT010/20-Z2</x:t>
  </x:si>
  <x:si>
    <x:t>S020407</x:t>
  </x:si>
  <x:si>
    <x:t>61321.22-VT010</x:t>
  </x:si>
  <x:si>
    <x:t>S020408</x:t>
  </x:si>
  <x:si>
    <x:t>57197.98-VT010</x:t>
  </x:si>
  <x:si>
    <x:t>S020409</x:t>
  </x:si>
  <x:si>
    <x:t>S020410</x:t>
  </x:si>
  <x:si>
    <x:t>61178.79-VT010.20</x:t>
  </x:si>
  <x:si>
    <x:t>S020411</x:t>
  </x:si>
  <x:si>
    <x:t>61371.81-VT010.20</x:t>
  </x:si>
  <x:si>
    <x:t>S020413</x:t>
  </x:si>
  <x:si>
    <x:t>48232.33-903BL-2</x:t>
  </x:si>
  <x:si>
    <x:t>S020415</x:t>
  </x:si>
  <x:si>
    <x:t>61113-VT010/20-Z2</x:t>
  </x:si>
  <x:si>
    <x:t>S020417</x:t>
  </x:si>
  <x:si>
    <x:t>61141.42-VT010/20-Z2</x:t>
  </x:si>
  <x:si>
    <x:t>S020418</x:t>
  </x:si>
  <x:si>
    <x:t>61114-VT010/20-Z2</x:t>
  </x:si>
  <x:si>
    <x:t>S020420</x:t>
  </x:si>
  <x:si>
    <x:t>S020422</x:t>
  </x:si>
  <x:si>
    <x:t>67197.98-VT010/20-Z2</x:t>
  </x:si>
  <x:si>
    <x:t>S020424</x:t>
  </x:si>
  <x:si>
    <x:t>67391-VT010/20</x:t>
  </x:si>
  <x:si>
    <x:t>S020426</x:t>
  </x:si>
  <x:si>
    <x:t>51988-VT010/20</x:t>
  </x:si>
  <x:si>
    <x:t>S020428</x:t>
  </x:si>
  <x:si>
    <x:t>65565-VT010</x:t>
  </x:si>
  <x:si>
    <x:t>S020430</x:t>
  </x:si>
  <x:si>
    <x:t>63125-VT010/20</x:t>
  </x:si>
  <x:si>
    <x:t>S020432</x:t>
  </x:si>
  <x:si>
    <x:t>55713.14-VT010/20-Z2</x:t>
  </x:si>
  <x:si>
    <x:t>S020434</x:t>
  </x:si>
  <x:si>
    <x:t>61125.26-VT010/20-Z2</x:t>
  </x:si>
  <x:si>
    <x:t>S020436</x:t>
  </x:si>
  <x:si>
    <x:t>55732-VT010/20-Z2</x:t>
  </x:si>
  <x:si>
    <x:t>S020438</x:t>
  </x:si>
  <x:si>
    <x:t>58184-VT010/20</x:t>
  </x:si>
  <x:si>
    <x:t>S020440</x:t>
  </x:si>
  <x:si>
    <x:t>58147-VT010</x:t>
  </x:si>
  <x:si>
    <x:t>S020442</x:t>
  </x:si>
  <x:si>
    <x:t>17118-123YL</x:t>
  </x:si>
  <x:si>
    <x:t>S020444</x:t>
  </x:si>
  <x:si>
    <x:t>58354-VT010</x:t>
  </x:si>
  <x:si>
    <x:t>S020446</x:t>
  </x:si>
  <x:si>
    <x:t>61491.492-VT010(20)-Z1</x:t>
  </x:si>
  <x:si>
    <x:t>S020448</x:t>
  </x:si>
  <x:si>
    <x:t>51943-VT010/20-Z2</x:t>
  </x:si>
  <x:si>
    <x:t>S020450</x:t>
  </x:si>
  <x:si>
    <x:t>61673.74-VT010</x:t>
  </x:si>
  <x:si>
    <x:t>S020452</x:t>
  </x:si>
  <x:si>
    <x:t>61237-VT010</x:t>
  </x:si>
  <x:si>
    <x:t>S020454</x:t>
  </x:si>
  <x:si>
    <x:t>63145.46-VT010/20</x:t>
  </x:si>
  <x:si>
    <x:t>S020456</x:t>
  </x:si>
  <x:si>
    <x:t>61641.42-VT010/20</x:t>
  </x:si>
  <x:si>
    <x:t>S020467</x:t>
  </x:si>
  <x:si>
    <x:t>61615.16-VT010/20</x:t>
  </x:si>
  <x:si>
    <x:t>S020471</x:t>
  </x:si>
  <x:si>
    <x:t>S020479</x:t>
  </x:si>
  <x:si>
    <x:t>55157-VT010/20-Z2</x:t>
  </x:si>
  <x:si>
    <x:t>S020481</x:t>
  </x:si>
  <x:si>
    <x:t>53253-VT010</x:t>
  </x:si>
  <x:si>
    <x:t>S020482</x:t>
  </x:si>
  <x:si>
    <x:t>53115-VT010</x:t>
  </x:si>
  <x:si>
    <x:t>S020483</x:t>
  </x:si>
  <x:si>
    <x:t>53217-VT010</x:t>
  </x:si>
  <x:si>
    <x:t>S020484</x:t>
  </x:si>
  <x:si>
    <x:t>53713.14-VT010</x:t>
  </x:si>
  <x:si>
    <x:t>S020485</x:t>
  </x:si>
  <x:si>
    <x:t>57183-VT010</x:t>
  </x:si>
  <x:si>
    <x:t>S020486</x:t>
  </x:si>
  <x:si>
    <x:t>57149-VT010</x:t>
  </x:si>
  <x:si>
    <x:t>S020487</x:t>
  </x:si>
  <x:si>
    <x:t>52139-VT010</x:t>
  </x:si>
  <x:si>
    <x:t>S020488</x:t>
  </x:si>
  <x:si>
    <x:t>61141.42-VT010</x:t>
  </x:si>
  <x:si>
    <x:t>S020489</x:t>
  </x:si>
  <x:si>
    <x:t>61343.44-VT010</x:t>
  </x:si>
  <x:si>
    <x:t>S020490</x:t>
  </x:si>
  <x:si>
    <x:t>53218-VT010</x:t>
  </x:si>
  <x:si>
    <x:t>S020491</x:t>
  </x:si>
  <x:si>
    <x:t>57411.12-VT010</x:t>
  </x:si>
  <x:si>
    <x:t>S020492</x:t>
  </x:si>
  <x:si>
    <x:t>53743.44-VT010</x:t>
  </x:si>
  <x:si>
    <x:t>S020493</x:t>
  </x:si>
  <x:si>
    <x:t>57167.68-VT010</x:t>
  </x:si>
  <x:si>
    <x:t>S020495</x:t>
  </x:si>
  <x:si>
    <x:t>52137-VT010/20</x:t>
  </x:si>
  <x:si>
    <x:t>S020497</x:t>
  </x:si>
  <x:si>
    <x:t>61717.18-VT010</x:t>
  </x:si>
  <x:si>
    <x:t>S020499</x:t>
  </x:si>
  <x:si>
    <x:t>55723.24-VT010/20-Z2</x:t>
  </x:si>
  <x:si>
    <x:t>S020501</x:t>
  </x:si>
  <x:si>
    <x:t>51946-VT010/20-Z2</x:t>
  </x:si>
  <x:si>
    <x:t>S020503</x:t>
  </x:si>
  <x:si>
    <x:t>61768.69-VT010-Z1</x:t>
  </x:si>
  <x:si>
    <x:t>S020505</x:t>
  </x:si>
  <x:si>
    <x:t>57841.42-VT010/20-Z2</x:t>
  </x:si>
  <x:si>
    <x:t>S020508</x:t>
  </x:si>
  <x:si>
    <x:t>S020510</x:t>
  </x:si>
  <x:si>
    <x:t>S020512</x:t>
  </x:si>
  <x:si>
    <x:t>S020514</x:t>
  </x:si>
  <x:si>
    <x:t>58175-VT010/20-Z2</x:t>
  </x:si>
  <x:si>
    <x:t>S020516</x:t>
  </x:si>
  <x:si>
    <x:t>51947-VT010/20-Z2</x:t>
  </x:si>
  <x:si>
    <x:t>S020518</x:t>
  </x:si>
  <x:si>
    <x:t>S020520</x:t>
  </x:si>
  <x:si>
    <x:t>61677-VT010/20</x:t>
  </x:si>
  <x:si>
    <x:t>S020522</x:t>
  </x:si>
  <x:si>
    <x:t>6703006340-72511-X7A00-A</x:t>
  </x:si>
  <x:si>
    <x:t>S020523</x:t>
  </x:si>
  <x:si>
    <x:t>6703006341-85868-X7A00-A</x:t>
  </x:si>
  <x:si>
    <x:t>S020524</x:t>
  </x:si>
  <x:si>
    <x:t>6703006274-71121-X7A47</x:t>
  </x:si>
  <x:si>
    <x:t>S020525</x:t>
  </x:si>
  <x:si>
    <x:t>6703006339-71162-X7V93</x:t>
  </x:si>
  <x:si>
    <x:t>S020527</x:t>
  </x:si>
  <x:si>
    <x:t>6703006338-71315.16-X7A05</x:t>
  </x:si>
  <x:si>
    <x:t>S020528</x:t>
  </x:si>
  <x:si>
    <x:t>6703006342-79989-X7V08</x:t>
  </x:si>
  <x:si>
    <x:t>S020529</x:t>
  </x:si>
  <x:si>
    <x:t>7P845-X7H00</x:t>
  </x:si>
  <x:si>
    <x:t>S020530</x:t>
  </x:si>
  <x:si>
    <x:t>79944-VT010</x:t>
  </x:si>
  <x:si>
    <x:t>S020531</x:t>
  </x:si>
  <x:si>
    <x:t>6703006337-7P845-X7H01</x:t>
  </x:si>
  <x:si>
    <x:t>S020533</x:t>
  </x:si>
  <x:si>
    <x:t>451673.74-12180</x:t>
  </x:si>
  <x:si>
    <x:t>S020535</x:t>
  </x:si>
  <x:si>
    <x:t>"451671-10670
/ 451672- 10670"</x:t>
  </x:si>
  <x:si>
    <x:t>S020537</x:t>
  </x:si>
  <x:si>
    <x:t>451633.34-12720</x:t>
  </x:si>
  <x:si>
    <x:t>S020539</x:t>
  </x:si>
  <x:si>
    <x:t>451611.12-10500</x:t>
  </x:si>
  <x:si>
    <x:t>S020540</x:t>
  </x:si>
  <x:si>
    <x:t>451631.32-11480</x:t>
  </x:si>
  <x:si>
    <x:t>S020542</x:t>
  </x:si>
  <x:si>
    <x:t>51938-VT010</x:t>
  </x:si>
  <x:si>
    <x:t>S020544</x:t>
  </x:si>
  <x:si>
    <x:t>61613.14-VT010</x:t>
  </x:si>
  <x:si>
    <x:t>S020546</x:t>
  </x:si>
  <x:si>
    <x:t>53273.74-VT010</x:t>
  </x:si>
  <x:si>
    <x:t>S020548</x:t>
  </x:si>
  <x:si>
    <x:t>53291-VT010</x:t>
  </x:si>
  <x:si>
    <x:t>S020550</x:t>
  </x:si>
  <x:si>
    <x:t>55711-VT010</x:t>
  </x:si>
  <x:si>
    <x:t>S020552</x:t>
  </x:si>
  <x:si>
    <x:t>61723.24-VT010</x:t>
  </x:si>
  <x:si>
    <x:t>S020554</x:t>
  </x:si>
  <x:si>
    <x:t>63143-VT010</x:t>
  </x:si>
  <x:si>
    <x:t>S020556</x:t>
  </x:si>
  <x:si>
    <x:t>63152-VT010-Z1.1</x:t>
  </x:si>
  <x:si>
    <x:t>S020558</x:t>
  </x:si>
  <x:si>
    <x:t>S020560</x:t>
  </x:si>
  <x:si>
    <x:t>S020562</x:t>
  </x:si>
  <x:si>
    <x:t>S020564</x:t>
  </x:si>
  <x:si>
    <x:t>33823-903BL</x:t>
  </x:si>
  <x:si>
    <x:t>S020566</x:t>
  </x:si>
  <x:si>
    <x:t>53651.652-VT010/20-Z2</x:t>
  </x:si>
  <x:si>
    <x:t>S020568</x:t>
  </x:si>
  <x:si>
    <x:t>S020570</x:t>
  </x:si>
  <x:si>
    <x:t>S020600</x:t>
  </x:si>
  <x:si>
    <x:t>53235-VT010</x:t>
  </x:si>
  <x:si>
    <x:t>S020601</x:t>
  </x:si>
  <x:si>
    <x:t>53279-VT010</x:t>
  </x:si>
  <x:si>
    <x:t>S020602</x:t>
  </x:si>
  <x:si>
    <x:t>53725-VT010</x:t>
  </x:si>
  <x:si>
    <x:t>S020603</x:t>
  </x:si>
  <x:si>
    <x:t>53729-VT010</x:t>
  </x:si>
  <x:si>
    <x:t>S020604</x:t>
  </x:si>
  <x:si>
    <x:t>51969-VT010-T2</x:t>
  </x:si>
  <x:si>
    <x:t>S020605</x:t>
  </x:si>
  <x:si>
    <x:t>51997-VT010-T2</x:t>
  </x:si>
  <x:si>
    <x:t>S020606</x:t>
  </x:si>
  <x:si>
    <x:t>51995-VT010-T2</x:t>
  </x:si>
  <x:si>
    <x:t>S020607</x:t>
  </x:si>
  <x:si>
    <x:t>67175.76-VT030</x:t>
  </x:si>
  <x:si>
    <x:t>S020608</x:t>
  </x:si>
  <x:si>
    <x:t>57455.456-VT010</x:t>
  </x:si>
  <x:si>
    <x:t>S020609</x:t>
  </x:si>
  <x:si>
    <x:t>57836-VT010</x:t>
  </x:si>
  <x:si>
    <x:t>S020610</x:t>
  </x:si>
  <x:si>
    <x:t>55743-VT010</x:t>
  </x:si>
  <x:si>
    <x:t>S020611</x:t>
  </x:si>
  <x:si>
    <x:t>61161.62-VT010</x:t>
  </x:si>
  <x:si>
    <x:t>S020612</x:t>
  </x:si>
  <x:si>
    <x:t>55723.24-VT010</x:t>
  </x:si>
  <x:si>
    <x:t>S020613</x:t>
  </x:si>
  <x:si>
    <x:t>58114.15-VT010</x:t>
  </x:si>
  <x:si>
    <x:t>S020614</x:t>
  </x:si>
  <x:si>
    <x:t>57833-VT010</x:t>
  </x:si>
  <x:si>
    <x:t>S020615</x:t>
  </x:si>
  <x:si>
    <x:t>51986-VT020-T2</x:t>
  </x:si>
  <x:si>
    <x:t>S020616</x:t>
  </x:si>
  <x:si>
    <x:t>58141.42-VT010</x:t>
  </x:si>
  <x:si>
    <x:t>S020617</x:t>
  </x:si>
  <x:si>
    <x:t>53745.46-VT010</x:t>
  </x:si>
  <x:si>
    <x:t>S020618</x:t>
  </x:si>
  <x:si>
    <x:t>57653-VT010</x:t>
  </x:si>
  <x:si>
    <x:t>S020619</x:t>
  </x:si>
  <x:si>
    <x:t>57655-VT010</x:t>
  </x:si>
  <x:si>
    <x:t>S020620</x:t>
  </x:si>
  <x:si>
    <x:t>53287.88-VT010</x:t>
  </x:si>
  <x:si>
    <x:t>S020621</x:t>
  </x:si>
  <x:si>
    <x:t>57267-VT010</x:t>
  </x:si>
  <x:si>
    <x:t>S020622</x:t>
  </x:si>
  <x:si>
    <x:t>57831-VT010</x:t>
  </x:si>
  <x:si>
    <x:t>S020623</x:t>
  </x:si>
  <x:si>
    <x:t>57131.32-VT010</x:t>
  </x:si>
  <x:si>
    <x:t>S020624</x:t>
  </x:si>
  <x:si>
    <x:t>53717-VT010</x:t>
  </x:si>
  <x:si>
    <x:t>S020625</x:t>
  </x:si>
  <x:si>
    <x:t>53718-VT020</x:t>
  </x:si>
  <x:si>
    <x:t>S020626</x:t>
  </x:si>
  <x:si>
    <x:t>57681.82-VT010</x:t>
  </x:si>
  <x:si>
    <x:t>S020627</x:t>
  </x:si>
  <x:si>
    <x:t>57265-VT010</x:t>
  </x:si>
  <x:si>
    <x:t>S020628</x:t>
  </x:si>
  <x:si>
    <x:t>57425.26-VT010</x:t>
  </x:si>
  <x:si>
    <x:t>S020629</x:t>
  </x:si>
  <x:si>
    <x:t>57468-VT010</x:t>
  </x:si>
  <x:si>
    <x:t>S020630</x:t>
  </x:si>
  <x:si>
    <x:t>57652-VT010</x:t>
  </x:si>
  <x:si>
    <x:t>S020631</x:t>
  </x:si>
  <x:si>
    <x:t>57452-VT010</x:t>
  </x:si>
  <x:si>
    <x:t>S020632</x:t>
  </x:si>
  <x:si>
    <x:t>57451-VT010</x:t>
  </x:si>
  <x:si>
    <x:t>S020633</x:t>
  </x:si>
  <x:si>
    <x:t>57837-VT010</x:t>
  </x:si>
  <x:si>
    <x:t>S020652</x:t>
  </x:si>
  <x:si>
    <x:t>63142-KK020-A</x:t>
  </x:si>
  <x:si>
    <x:t>S020653</x:t>
  </x:si>
  <x:si>
    <x:t>63143-0K040</x:t>
  </x:si>
  <x:si>
    <x:t>S020654</x:t>
  </x:si>
  <x:si>
    <x:t>55719-KK010</x:t>
  </x:si>
  <x:si>
    <x:t>S020655</x:t>
  </x:si>
  <x:si>
    <x:t>55721-KK010</x:t>
  </x:si>
  <x:si>
    <x:t>S020656</x:t>
  </x:si>
  <x:si>
    <x:t>55368-KK050</x:t>
  </x:si>
  <x:si>
    <x:t>S020657</x:t>
  </x:si>
  <x:si>
    <x:t>S020658</x:t>
  </x:si>
  <x:si>
    <x:t>63147-KK010</x:t>
  </x:si>
  <x:si>
    <x:t>S020659</x:t>
  </x:si>
  <x:si>
    <x:t>63144-KK010-A</x:t>
  </x:si>
  <x:si>
    <x:t>S020660</x:t>
  </x:si>
  <x:si>
    <x:t>61418.19-KK010</x:t>
  </x:si>
  <x:si>
    <x:t>S020661</x:t>
  </x:si>
  <x:si>
    <x:t>61365.66-KK020</x:t>
  </x:si>
  <x:si>
    <x:t>S020662</x:t>
  </x:si>
  <x:si>
    <x:t>S020663</x:t>
  </x:si>
  <x:si>
    <x:t>61367.68-KK010</x:t>
  </x:si>
  <x:si>
    <x:t>S020664</x:t>
  </x:si>
  <x:si>
    <x:t>S020665</x:t>
  </x:si>
  <x:si>
    <x:t>S020666</x:t>
  </x:si>
  <x:si>
    <x:t>S020667</x:t>
  </x:si>
  <x:si>
    <x:t>61415.6-KK010</x:t>
  </x:si>
  <x:si>
    <x:t>S020668</x:t>
  </x:si>
  <x:si>
    <x:t>S020669</x:t>
  </x:si>
  <x:si>
    <x:t>41654-0K010</x:t>
  </x:si>
  <x:si>
    <x:t>S020678</x:t>
  </x:si>
  <x:si>
    <x:t>61735.36-VT010/20</x:t>
  </x:si>
  <x:si>
    <x:t>S020679</x:t>
  </x:si>
  <x:si>
    <x:t>61733.34-VT010/20</x:t>
  </x:si>
  <x:si>
    <x:t>S020680</x:t>
  </x:si>
  <x:si>
    <x:t>61723.24-VT010/20</x:t>
  </x:si>
  <x:si>
    <x:t>S020681</x:t>
  </x:si>
  <x:si>
    <x:t>77751-VT030-Z2</x:t>
  </x:si>
  <x:si>
    <x:t>S020682</x:t>
  </x:si>
  <x:si>
    <x:t>55171/5-TRA44</x:t>
  </x:si>
  <x:si>
    <x:t>S020683</x:t>
  </x:si>
  <x:si>
    <x:t>51521.22-VT010</x:t>
  </x:si>
  <x:si>
    <x:t>S020684</x:t>
  </x:si>
  <x:si>
    <x:t>S020685</x:t>
  </x:si>
  <x:si>
    <x:t>44591-VT030</x:t>
  </x:si>
  <x:si>
    <x:t>S020686</x:t>
  </x:si>
  <x:si>
    <x:t>44591-VT060</x:t>
  </x:si>
  <x:si>
    <x:t>S020688</x:t>
  </x:si>
  <x:si>
    <x:t>77751-VT020-Z1</x:t>
  </x:si>
  <x:si>
    <x:t>S020690</x:t>
  </x:si>
  <x:si>
    <x:t>77411-VT030-Z1</x:t>
  </x:si>
  <x:si>
    <x:t>S020692</x:t>
  </x:si>
  <x:si>
    <x:t>61411/2-0K120-A</x:t>
  </x:si>
  <x:si>
    <x:t>S020693</x:t>
  </x:si>
  <x:si>
    <x:t>44594-VT050-Z1</x:t>
  </x:si>
  <x:si>
    <x:t>S020694</x:t>
  </x:si>
  <x:si>
    <x:t>44596-VT020-Z1</x:t>
  </x:si>
  <x:si>
    <x:t>S020695</x:t>
  </x:si>
  <x:si>
    <x:t>61635.36-VT010</x:t>
  </x:si>
  <x:si>
    <x:t>S020696</x:t>
  </x:si>
  <x:si>
    <x:t>58271.72-VT010</x:t>
  </x:si>
  <x:si>
    <x:t>S020697</x:t>
  </x:si>
  <x:si>
    <x:t>S020698</x:t>
  </x:si>
  <x:si>
    <x:t>55131-VT010/20-Z2</x:t>
  </x:si>
  <x:si>
    <x:t>S020699</x:t>
  </x:si>
  <x:si>
    <x:t>67151.52-VT010/20</x:t>
  </x:si>
  <x:si>
    <x:t>S020700</x:t>
  </x:si>
  <x:si>
    <x:t>61848-VT010</x:t>
  </x:si>
  <x:si>
    <x:t>S020701</x:t>
  </x:si>
  <x:si>
    <x:t>67135.36-VT020</x:t>
  </x:si>
  <x:si>
    <x:t>S020703</x:t>
  </x:si>
  <x:si>
    <x:t>S020705</x:t>
  </x:si>
  <x:si>
    <x:t>68173-76T00</x:t>
  </x:si>
  <x:si>
    <x:t>S020706</x:t>
  </x:si>
  <x:si>
    <x:t>68174-76T00</x:t>
  </x:si>
  <x:si>
    <x:t>S020707</x:t>
  </x:si>
  <x:si>
    <x:t>68573-76T00</x:t>
  </x:si>
  <x:si>
    <x:t>S020709</x:t>
  </x:si>
  <x:si>
    <x:t>68531_731-76T00</x:t>
  </x:si>
  <x:si>
    <x:t>S020714</x:t>
  </x:si>
  <x:si>
    <x:t>67321.22-VT020</x:t>
  </x:si>
  <x:si>
    <x:t>S020715</x:t>
  </x:si>
  <x:si>
    <x:t>67325.26-VT020</x:t>
  </x:si>
  <x:si>
    <x:t>S020716</x:t>
  </x:si>
  <x:si>
    <x:t>57488.89-VT010</x:t>
  </x:si>
  <x:si>
    <x:t>S020717</x:t>
  </x:si>
  <x:si>
    <x:t>53331-VT010</x:t>
  </x:si>
  <x:si>
    <x:t>S020733</x:t>
  </x:si>
  <x:si>
    <x:t>S020735</x:t>
  </x:si>
  <x:si>
    <x:t>15104-123YL-3</x:t>
  </x:si>
  <x:si>
    <x:t>S020737</x:t>
  </x:si>
  <x:si>
    <x:t>S020738</x:t>
  </x:si>
  <x:si>
    <x:t>S020763</x:t>
  </x:si>
  <x:si>
    <x:t>53324-VT010</x:t>
  </x:si>
  <x:si>
    <x:t>S020765</x:t>
  </x:si>
  <x:si>
    <x:t>58385-VT010</x:t>
  </x:si>
  <x:si>
    <x:t>S020766</x:t>
  </x:si>
  <x:si>
    <x:t>77277-VT040.60</x:t>
  </x:si>
  <x:si>
    <x:t>S020767</x:t>
  </x:si>
  <x:si>
    <x:t>51457-VT010</x:t>
  </x:si>
  <x:si>
    <x:t>S020768</x:t>
  </x:si>
  <x:si>
    <x:t>57625-VT010</x:t>
  </x:si>
  <x:si>
    <x:t>S020769</x:t>
  </x:si>
  <x:si>
    <x:t>58386-VT010</x:t>
  </x:si>
  <x:si>
    <x:t>S020770</x:t>
  </x:si>
  <x:si>
    <x:t>58397-VT010</x:t>
  </x:si>
  <x:si>
    <x:t>S020771</x:t>
  </x:si>
  <x:si>
    <x:t>57695.96-VT010</x:t>
  </x:si>
  <x:si>
    <x:t>S020772</x:t>
  </x:si>
  <x:si>
    <x:t>57693-VT010</x:t>
  </x:si>
  <x:si>
    <x:t>S020773</x:t>
  </x:si>
  <x:si>
    <x:t>58395.96-VT010</x:t>
  </x:si>
  <x:si>
    <x:t>S020774</x:t>
  </x:si>
  <x:si>
    <x:t>77216-VT020</x:t>
  </x:si>
  <x:si>
    <x:t>S020775</x:t>
  </x:si>
  <x:si>
    <x:t>77217-VT030</x:t>
  </x:si>
  <x:si>
    <x:t>S020776</x:t>
  </x:si>
  <x:si>
    <x:t>77217-VT040</x:t>
  </x:si>
  <x:si>
    <x:t>S020777</x:t>
  </x:si>
  <x:si>
    <x:t>57645.46-VT010</x:t>
  </x:si>
  <x:si>
    <x:t>S020778</x:t>
  </x:si>
  <x:si>
    <x:t>53323-VT010</x:t>
  </x:si>
  <x:si>
    <x:t>S020779</x:t>
  </x:si>
  <x:si>
    <x:t>67323.24-VT020</x:t>
  </x:si>
  <x:si>
    <x:t>S020780</x:t>
  </x:si>
  <x:si>
    <x:t>67343-VT030</x:t>
  </x:si>
  <x:si>
    <x:t>S020781</x:t>
  </x:si>
  <x:si>
    <x:t>67343-VT040</x:t>
  </x:si>
  <x:si>
    <x:t>S020782</x:t>
  </x:si>
  <x:si>
    <x:t>67327.28-VT020</x:t>
  </x:si>
  <x:si>
    <x:t>S020783</x:t>
  </x:si>
  <x:si>
    <x:t>58194-VT010</x:t>
  </x:si>
  <x:si>
    <x:t>S020784</x:t>
  </x:si>
  <x:si>
    <x:t>57461-VT010</x:t>
  </x:si>
  <x:si>
    <x:t>S020785</x:t>
  </x:si>
  <x:si>
    <x:t>57315.16-VT010</x:t>
  </x:si>
  <x:si>
    <x:t>S020786</x:t>
  </x:si>
  <x:si>
    <x:t>57845-VT010</x:t>
  </x:si>
  <x:si>
    <x:t>S020787</x:t>
  </x:si>
  <x:si>
    <x:t>57351.52-VT010</x:t>
  </x:si>
  <x:si>
    <x:t>S020788</x:t>
  </x:si>
  <x:si>
    <x:t>57335.36.694-VT010</x:t>
  </x:si>
  <x:si>
    <x:t>S020789</x:t>
  </x:si>
  <x:si>
    <x:t>57465.66-VT010</x:t>
  </x:si>
  <x:si>
    <x:t>S020790</x:t>
  </x:si>
  <x:si>
    <x:t>51998-VT010</x:t>
  </x:si>
  <x:si>
    <x:t>S020791</x:t>
  </x:si>
  <x:si>
    <x:t>57631.32-VT010</x:t>
  </x:si>
  <x:si>
    <x:t>S020792</x:t>
  </x:si>
  <x:si>
    <x:t>53332-VT010</x:t>
  </x:si>
  <x:si>
    <x:t>S020793</x:t>
  </x:si>
  <x:si>
    <x:t>57725-VT010</x:t>
  </x:si>
  <x:si>
    <x:t>S020794</x:t>
  </x:si>
  <x:si>
    <x:t>57795-VT010</x:t>
  </x:si>
  <x:si>
    <x:t>S020795</x:t>
  </x:si>
  <x:si>
    <x:t>57635-VT010</x:t>
  </x:si>
  <x:si>
    <x:t>S020796</x:t>
  </x:si>
  <x:si>
    <x:t>61715.16-VT010</x:t>
  </x:si>
  <x:si>
    <x:t>S020797</x:t>
  </x:si>
  <x:si>
    <x:t>57458-VT010</x:t>
  </x:si>
  <x:si>
    <x:t>S020798</x:t>
  </x:si>
  <x:si>
    <x:t>57822-VT010</x:t>
  </x:si>
  <x:si>
    <x:t>S020799</x:t>
  </x:si>
  <x:si>
    <x:t>57647.48-VT010</x:t>
  </x:si>
  <x:si>
    <x:t>S020800</x:t>
  </x:si>
  <x:si>
    <x:t>58373-VT010</x:t>
  </x:si>
  <x:si>
    <x:t>S020801</x:t>
  </x:si>
  <x:si>
    <x:t>52123.4-VT010</x:t>
  </x:si>
  <x:si>
    <x:t>S020802</x:t>
  </x:si>
  <x:si>
    <x:t>57248.49-VT010</x:t>
  </x:si>
  <x:si>
    <x:t>S020804</x:t>
  </x:si>
  <x:si>
    <x:t>52135-VT010-Z2</x:t>
  </x:si>
  <x:si>
    <x:t>S020806</x:t>
  </x:si>
  <x:si>
    <x:t>SPH270D</x:t>
  </x:si>
  <x:si>
    <x:t>P55125-VT030-RM</x:t>
  </x:si>
  <x:si>
    <x:t>S020808</x:t>
  </x:si>
  <x:si>
    <x:t>67463-VT020</x:t>
  </x:si>
  <x:si>
    <x:t>S020810</x:t>
  </x:si>
  <x:si>
    <x:t>67461-VT020</x:t>
  </x:si>
  <x:si>
    <x:t>S020811</x:t>
  </x:si>
  <x:si>
    <x:t>67451(2)-VT020</x:t>
  </x:si>
  <x:si>
    <x:t>S020812</x:t>
  </x:si>
  <x:si>
    <x:t>67467-VT010</x:t>
  </x:si>
  <x:si>
    <x:t>S020813</x:t>
  </x:si>
  <x:si>
    <x:t>67471.457-VT020</x:t>
  </x:si>
  <x:si>
    <x:t>S020814</x:t>
  </x:si>
  <x:si>
    <x:t>KT-151-1-2</x:t>
  </x:si>
  <x:si>
    <x:t>S020815</x:t>
  </x:si>
  <x:si>
    <x:t>S020816</x:t>
  </x:si>
  <x:si>
    <x:t>6703006317-72883-X7P01-A</x:t>
  </x:si>
  <x:si>
    <x:t>S020817</x:t>
  </x:si>
  <x:si>
    <x:t>6703006321-7X721.22-X7P00</x:t>
  </x:si>
  <x:si>
    <x:t>S020818</x:t>
  </x:si>
  <x:si>
    <x:t>73213.14-76T00</x:t>
  </x:si>
  <x:si>
    <x:t>S020820</x:t>
  </x:si>
  <x:si>
    <x:t>73217-76T00.50</x:t>
  </x:si>
  <x:si>
    <x:t>S020821</x:t>
  </x:si>
  <x:si>
    <x:t>73218-76T00.50</x:t>
  </x:si>
  <x:si>
    <x:t>S020823</x:t>
  </x:si>
  <x:si>
    <x:t>73221-76T00</x:t>
  </x:si>
  <x:si>
    <x:t>S020825</x:t>
  </x:si>
  <x:si>
    <x:t>73222-76T00</x:t>
  </x:si>
  <x:si>
    <x:t>S020827</x:t>
  </x:si>
  <x:si>
    <x:t>73238-68P00</x:t>
  </x:si>
  <x:si>
    <x:t>S020828</x:t>
  </x:si>
  <x:si>
    <x:t>73223-76T00</x:t>
  </x:si>
  <x:si>
    <x:t>S020829</x:t>
  </x:si>
  <x:si>
    <x:t>73224-76T00.50</x:t>
  </x:si>
  <x:si>
    <x:t>S020830</x:t>
  </x:si>
  <x:si>
    <x:t>S020831</x:t>
  </x:si>
  <x:si>
    <x:t>73228-76T00.50</x:t>
  </x:si>
  <x:si>
    <x:t>S020832</x:t>
  </x:si>
  <x:si>
    <x:t>73229-76T00.10</x:t>
  </x:si>
  <x:si>
    <x:t>S020833</x:t>
  </x:si>
  <x:si>
    <x:t>73226-62S00</x:t>
  </x:si>
  <x:si>
    <x:t>S020834</x:t>
  </x:si>
  <x:si>
    <x:t>73233-76T00.50</x:t>
  </x:si>
  <x:si>
    <x:t>S020835</x:t>
  </x:si>
  <x:si>
    <x:t>73234-76T00</x:t>
  </x:si>
  <x:si>
    <x:t>S020836</x:t>
  </x:si>
  <x:si>
    <x:t>73243-76T00.50</x:t>
  </x:si>
  <x:si>
    <x:t>S020837</x:t>
  </x:si>
  <x:si>
    <x:t>73231-76T00</x:t>
  </x:si>
  <x:si>
    <x:t>S020838</x:t>
  </x:si>
  <x:si>
    <x:t>73235-76T0</x:t>
  </x:si>
  <x:si>
    <x:t>S020839</x:t>
  </x:si>
  <x:si>
    <x:t>73226-76T00</x:t>
  </x:si>
  <x:si>
    <x:t>S020840</x:t>
  </x:si>
  <x:si>
    <x:t>73241.42-76T00</x:t>
  </x:si>
  <x:si>
    <x:t>S020841</x:t>
  </x:si>
  <x:si>
    <x:t>73232-76T00</x:t>
  </x:si>
  <x:si>
    <x:t>S020842</x:t>
  </x:si>
  <x:si>
    <x:t>75881-76T00</x:t>
  </x:si>
  <x:si>
    <x:t>S020843</x:t>
  </x:si>
  <x:si>
    <x:t>59119-76T00</x:t>
  </x:si>
  <x:si>
    <x:t>S020844</x:t>
  </x:si>
  <x:si>
    <x:t>S020846</x:t>
  </x:si>
  <x:si>
    <x:t>67127.28-VT010/20e</x:t>
  </x:si>
  <x:si>
    <x:t>S020848</x:t>
  </x:si>
  <x:si>
    <x:t>S020850</x:t>
  </x:si>
  <x:si>
    <x:t>S020852</x:t>
  </x:si>
  <x:si>
    <x:t>S020854</x:t>
  </x:si>
  <x:si>
    <x:t>S020856</x:t>
  </x:si>
  <x:si>
    <x:t>S020858</x:t>
  </x:si>
  <x:si>
    <x:t>S020860</x:t>
  </x:si>
  <x:si>
    <x:t>S020862</x:t>
  </x:si>
  <x:si>
    <x:t>S020864</x:t>
  </x:si>
  <x:si>
    <x:t>S020866</x:t>
  </x:si>
  <x:si>
    <x:t>S020868</x:t>
  </x:si>
  <x:si>
    <x:t>S020870</x:t>
  </x:si>
  <x:si>
    <x:t>S020872</x:t>
  </x:si>
  <x:si>
    <x:t>S020874</x:t>
  </x:si>
  <x:si>
    <x:t>S020875</x:t>
  </x:si>
  <x:si>
    <x:t>S020877</x:t>
  </x:si>
  <x:si>
    <x:t>S020879</x:t>
  </x:si>
  <x:si>
    <x:t>61619.29-VT010/20</x:t>
  </x:si>
  <x:si>
    <x:t>S020881</x:t>
  </x:si>
  <x:si>
    <x:t>S020883</x:t>
  </x:si>
  <x:si>
    <x:t>S020885</x:t>
  </x:si>
  <x:si>
    <x:t>S020887</x:t>
  </x:si>
  <x:si>
    <x:t>S020889</x:t>
  </x:si>
  <x:si>
    <x:t>S020891</x:t>
  </x:si>
  <x:si>
    <x:t>S020893</x:t>
  </x:si>
  <x:si>
    <x:t>71765-X7V01-C</x:t>
  </x:si>
  <x:si>
    <x:t>S020894</x:t>
  </x:si>
  <x:si>
    <x:t>53814-VT010</x:t>
  </x:si>
  <x:si>
    <x:t>S020895</x:t>
  </x:si>
  <x:si>
    <x:t>53731.32-VT010</x:t>
  </x:si>
  <x:si>
    <x:t>S020896</x:t>
  </x:si>
  <x:si>
    <x:t>57163.64-VT010</x:t>
  </x:si>
  <x:si>
    <x:t>S020898</x:t>
  </x:si>
  <x:si>
    <x:t>71121.22-X7A34</x:t>
  </x:si>
  <x:si>
    <x:t>S020900</x:t>
  </x:si>
  <x:si>
    <x:t>71121-X7A35</x:t>
  </x:si>
  <x:si>
    <x:t>S020902</x:t>
  </x:si>
  <x:si>
    <x:t>71131-X7A01</x:t>
  </x:si>
  <x:si>
    <x:t>S020903</x:t>
  </x:si>
  <x:si>
    <x:t>KOBE</x:t>
  </x:si>
  <x:si>
    <x:t>52141.42-VT010-Z2</x:t>
  </x:si>
  <x:si>
    <x:t>S020904</x:t>
  </x:si>
  <x:si>
    <x:t>52143.44-VT010-Z2</x:t>
  </x:si>
  <x:si>
    <x:t>S020905</x:t>
  </x:si>
  <x:si>
    <x:t>S020906</x:t>
  </x:si>
  <x:si>
    <x:t>S020908</x:t>
  </x:si>
  <x:si>
    <x:t>62121.321-76T00-000</x:t>
  </x:si>
  <x:si>
    <x:t>S020909</x:t>
  </x:si>
  <x:si>
    <x:t>S020910</x:t>
  </x:si>
  <x:si>
    <x:t>S020911</x:t>
  </x:si>
  <x:si>
    <x:t>S020913</x:t>
  </x:si>
  <x:si>
    <x:t>436L*2D</x:t>
  </x:si>
  <x:si>
    <x:t>17510-F2190-02</x:t>
  </x:si>
  <x:si>
    <x:t>S020914</x:t>
  </x:si>
  <x:si>
    <x:t>59711-76T00.10</x:t>
  </x:si>
  <x:si>
    <x:t>S020915</x:t>
  </x:si>
  <x:si>
    <x:t>S020917</x:t>
  </x:si>
  <x:si>
    <x:t>S020919</x:t>
  </x:si>
  <x:si>
    <x:t>S020921</x:t>
  </x:si>
  <x:si>
    <x:t>57835-VT010</x:t>
  </x:si>
  <x:si>
    <x:t>S020923</x:t>
  </x:si>
  <x:si>
    <x:t>59751-76T00</x:t>
  </x:si>
  <x:si>
    <x:t>S020924</x:t>
  </x:si>
  <x:si>
    <x:t>10001598</x:t>
  </x:si>
  <x:si>
    <x:t>S020925</x:t>
  </x:si>
  <x:si>
    <x:t>10002710</x:t>
  </x:si>
  <x:si>
    <x:t>S020927</x:t>
  </x:si>
  <x:si>
    <x:t>YZA1863368-55111-0K070</x:t>
  </x:si>
  <x:si>
    <x:t>S020928</x:t>
  </x:si>
  <x:si>
    <x:t>S020930</x:t>
  </x:si>
  <x:si>
    <x:t>S020932</x:t>
  </x:si>
  <x:si>
    <x:t>S020934</x:t>
  </x:si>
  <x:si>
    <x:t>S020936</x:t>
  </x:si>
  <x:si>
    <x:t>S020938</x:t>
  </x:si>
  <x:si>
    <x:t>S020940</x:t>
  </x:si>
  <x:si>
    <x:t>S020942</x:t>
  </x:si>
  <x:si>
    <x:t>S020944</x:t>
  </x:si>
  <x:si>
    <x:t>S020946</x:t>
  </x:si>
  <x:si>
    <x:t>55732-0K040/30</x:t>
  </x:si>
  <x:si>
    <x:t>S020948</x:t>
  </x:si>
  <x:si>
    <x:t>S020950</x:t>
  </x:si>
  <x:si>
    <x:t>S020953</x:t>
  </x:si>
  <x:si>
    <x:t>61415.16-KK010</x:t>
  </x:si>
  <x:si>
    <x:t>S020955</x:t>
  </x:si>
  <x:si>
    <x:t>S020957</x:t>
  </x:si>
  <x:si>
    <x:t>55749-KK010</x:t>
  </x:si>
  <x:si>
    <x:t>S020959</x:t>
  </x:si>
  <x:si>
    <x:t>67121.22-KK010</x:t>
  </x:si>
  <x:si>
    <x:t>S020961</x:t>
  </x:si>
  <x:si>
    <x:t>S020963</x:t>
  </x:si>
  <x:si>
    <x:t>S020965</x:t>
  </x:si>
  <x:si>
    <x:t>S020967</x:t>
  </x:si>
  <x:si>
    <x:t>S020969</x:t>
  </x:si>
  <x:si>
    <x:t>S020971</x:t>
  </x:si>
  <x:si>
    <x:t>58325-0D150</x:t>
  </x:si>
  <x:si>
    <x:t>231B+Expor</x:t>
  </x:si>
  <x:si>
    <x:t>S020972</x:t>
  </x:si>
  <x:si>
    <x:t>S020974</x:t>
  </x:si>
  <x:si>
    <x:t>59116-79J10</x:t>
  </x:si>
  <x:si>
    <x:t>S020977</x:t>
  </x:si>
  <x:si>
    <x:t>6703006350-79979-X7P01</x:t>
  </x:si>
  <x:si>
    <x:t>S020979</x:t>
  </x:si>
  <x:si>
    <x:t>59116-61M10</x:t>
  </x:si>
  <x:si>
    <x:t>S020981</x:t>
  </x:si>
  <x:si>
    <x:t>61144.94-76T00A</x:t>
  </x:si>
  <x:si>
    <x:t>S020983</x:t>
  </x:si>
  <x:si>
    <x:t>S020985</x:t>
  </x:si>
  <x:si>
    <x:t>S020987</x:t>
  </x:si>
  <x:si>
    <x:t>68191/391-76T00</x:t>
  </x:si>
  <x:si>
    <x:t>S020988</x:t>
  </x:si>
  <x:si>
    <x:t>S020989</x:t>
  </x:si>
  <x:si>
    <x:t>73216-76T00</x:t>
  </x:si>
  <x:si>
    <x:t>S020990</x:t>
  </x:si>
  <x:si>
    <x:t>75882-76T00</x:t>
  </x:si>
  <x:si>
    <x:t>S020992</x:t>
  </x:si>
  <x:si>
    <x:t>53211-0K040</x:t>
  </x:si>
  <x:si>
    <x:t>S020994</x:t>
  </x:si>
  <x:si>
    <x:t>53211-0K030</x:t>
  </x:si>
  <x:si>
    <x:t>S020995</x:t>
  </x:si>
  <x:si>
    <x:t>57613.14-VT010</x:t>
  </x:si>
  <x:si>
    <x:t>S020996</x:t>
  </x:si>
  <x:si>
    <x:t>57633.634-VT010</x:t>
  </x:si>
  <x:si>
    <x:t>S020997</x:t>
  </x:si>
  <x:si>
    <x:t>73215-76T00.50</x:t>
  </x:si>
  <x:si>
    <x:t>S020999</x:t>
  </x:si>
  <x:si>
    <x:t>KY -HMI</x:t>
  </x:si>
  <x:si>
    <x:t>S021000</x:t>
  </x:si>
  <x:si>
    <x:t>55321.22-76T00</x:t>
  </x:si>
  <x:si>
    <x:t>S021002</x:t>
  </x:si>
  <x:si>
    <x:t>1XN034551300</x:t>
  </x:si>
  <x:si>
    <x:t>serv part</x:t>
  </x:si>
  <x:si>
    <x:t>S021003</x:t>
  </x:si>
  <x:si>
    <x:t>1XN034551400</x:t>
  </x:si>
  <x:si>
    <x:t>S021005</x:t>
  </x:si>
  <x:si>
    <x:t>52207-0K060</x:t>
  </x:si>
  <x:si>
    <x:t>S021006</x:t>
  </x:si>
  <x:si>
    <x:t>52206-0K160</x:t>
  </x:si>
  <x:si>
    <x:t>S021007</x:t>
  </x:si>
  <x:si>
    <x:t>52205-0K200</x:t>
  </x:si>
  <x:si>
    <x:t>S021009</x:t>
  </x:si>
  <x:si>
    <x:t>S021011</x:t>
  </x:si>
  <x:si>
    <x:t>S021016</x:t>
  </x:si>
  <x:si>
    <x:t>6703006356-71274-X7P00-A</x:t>
  </x:si>
  <x:si>
    <x:t>S021017</x:t>
  </x:si>
  <x:si>
    <x:t>6703006357-71273-X7P00-A</x:t>
  </x:si>
  <x:si>
    <x:t>S021018</x:t>
  </x:si>
  <x:si>
    <x:t>R8118037</x:t>
  </x:si>
  <x:si>
    <x:t>S021020</x:t>
  </x:si>
  <x:si>
    <x:t>48750 -0D110</x:t>
  </x:si>
  <x:si>
    <x:t>S021021</x:t>
  </x:si>
  <x:si>
    <x:t>S021022</x:t>
  </x:si>
  <x:si>
    <x:t>K1KA Plate Bottom</x:t>
  </x:si>
  <x:si>
    <x:t>K1KA</x:t>
  </x:si>
  <x:si>
    <x:t>S021023</x:t>
  </x:si>
  <x:si>
    <x:t>K1KA Plate Outer R/L</x:t>
  </x:si>
  <x:si>
    <x:t>S021024</x:t>
  </x:si>
  <x:si>
    <x:t>62611-76T00</x:t>
  </x:si>
  <x:si>
    <x:t>S021026</x:t>
  </x:si>
  <x:si>
    <x:t>62111-79J00-000/62311-76T00</x:t>
  </x:si>
  <x:si>
    <x:t>S021027</x:t>
  </x:si>
  <x:si>
    <x:t>KONA PLATE BOTTOM</x:t>
  </x:si>
  <x:si>
    <x:t>S021028</x:t>
  </x:si>
  <x:si>
    <x:t>61645.46 - 0K030</x:t>
  </x:si>
  <x:si>
    <x:t>S021029</x:t>
  </x:si>
  <x:si>
    <x:t>SUH409L</x:t>
  </x:si>
  <x:si>
    <x:t>YFG</x:t>
  </x:si>
  <x:si>
    <x:t>S021031</x:t>
  </x:si>
  <x:si>
    <x:t>01D00105XX-006A0Y</x:t>
  </x:si>
  <x:si>
    <x:t>S021032</x:t>
  </x:si>
  <x:si>
    <x:t>SG530-W0100-01 /SG430</x:t>
  </x:si>
  <x:si>
    <x:t>S021033</x:t>
  </x:si>
  <x:si>
    <x:t>S021034</x:t>
  </x:si>
  <x:si>
    <x:t>S021035</x:t>
  </x:si>
  <x:si>
    <x:t>D</x:t>
  </x:si>
  <x:si>
    <x:t>R8119009</x:t>
  </x:si>
  <x:si>
    <x:t>S021037</x:t>
  </x:si>
  <x:si>
    <x:t>560b</x:t>
  </x:si>
  <x:si>
    <x:t>S021039</x:t>
  </x:si>
  <x:si>
    <x:t>S021040</x:t>
  </x:si>
  <x:si>
    <x:t>101075013</x:t>
  </x:si>
  <x:si>
    <x:t>N360</x:t>
  </x:si>
  <x:si>
    <x:t>S021041</x:t>
  </x:si>
  <x:si>
    <x:t>S021042</x:t>
  </x:si>
  <x:si>
    <x:t>YZA1863257-57411/2 - 800L</x:t>
  </x:si>
  <x:si>
    <x:t>S021044</x:t>
  </x:si>
  <x:si>
    <x:t>51351-0K030</x:t>
  </x:si>
  <x:si>
    <x:t>S021045</x:t>
  </x:si>
  <x:si>
    <x:t>YZA1863365 - 67115-IMV</x:t>
  </x:si>
  <x:si>
    <x:t>S021046</x:t>
  </x:si>
  <x:si>
    <x:t>S021048</x:t>
  </x:si>
  <x:si>
    <x:t>S021050</x:t>
  </x:si>
  <x:si>
    <x:t>S021054</x:t>
  </x:si>
  <x:si>
    <x:t>S021055</x:t>
  </x:si>
  <x:si>
    <x:t>S021056</x:t>
  </x:si>
  <x:si>
    <x:t>R0714319</x:t>
  </x:si>
  <x:si>
    <x:t>S021057</x:t>
  </x:si>
  <x:si>
    <x:t>S021059</x:t>
  </x:si>
  <x:si>
    <x:t>82715-VT280-Z2</x:t>
  </x:si>
  <x:si>
    <x:t>S021060</x:t>
  </x:si>
  <x:si>
    <x:t>82715-VT360-Z2</x:t>
  </x:si>
  <x:si>
    <x:t>S021063</x:t>
  </x:si>
  <x:si>
    <x:t>65184.5-66M50</x:t>
  </x:si>
  <x:si>
    <x:t>S021069</x:t>
  </x:si>
  <x:si>
    <x:t>S021070</x:t>
  </x:si>
  <x:si>
    <x:t>S021071</x:t>
  </x:si>
  <x:si>
    <x:t>67188.89-VT010/20-Z2</x:t>
  </x:si>
  <x:si>
    <x:t>S021080</x:t>
  </x:si>
  <x:si>
    <x:t>S021084</x:t>
  </x:si>
  <x:si>
    <x:t>S021085</x:t>
  </x:si>
  <x:si>
    <x:t>S021088</x:t>
  </x:si>
  <x:si>
    <x:t>61761.62-VT010/20</x:t>
  </x:si>
  <x:si>
    <x:t>S021089</x:t>
  </x:si>
  <x:si>
    <x:t>S021091</x:t>
  </x:si>
  <x:si>
    <x:t>S021093</x:t>
  </x:si>
  <x:si>
    <x:t>12372-VT010</x:t>
  </x:si>
  <x:si>
    <x:t>S021095</x:t>
  </x:si>
  <x:si>
    <x:t>S021097</x:t>
  </x:si>
  <x:si>
    <x:t>S021106</x:t>
  </x:si>
  <x:si>
    <x:t>S021107</x:t>
  </x:si>
  <x:si>
    <x:t>S021108</x:t>
  </x:si>
  <x:si>
    <x:t>61491.92-VT010(20)-Z1</x:t>
  </x:si>
  <x:si>
    <x:t>S021109</x:t>
  </x:si>
  <x:si>
    <x:t>61637.38-VT010/20</x:t>
  </x:si>
  <x:si>
    <x:t>S021110</x:t>
  </x:si>
  <x:si>
    <x:t>S021111</x:t>
  </x:si>
  <x:si>
    <x:t>61625.26-VT010/20</x:t>
  </x:si>
  <x:si>
    <x:t>S021112</x:t>
  </x:si>
  <x:si>
    <x:t>S021113</x:t>
  </x:si>
  <x:si>
    <x:t>S021114</x:t>
  </x:si>
  <x:si>
    <x:t>71214.15/79331.33-VT010</x:t>
  </x:si>
  <x:si>
    <x:t>S021115</x:t>
  </x:si>
  <x:si>
    <x:t>47112-TRA83.84</x:t>
  </x:si>
  <x:si>
    <x:t>S021116</x:t>
  </x:si>
  <x:si>
    <x:t>47132-F7050.70</x:t>
  </x:si>
  <x:si>
    <x:t>S021118</x:t>
  </x:si>
  <x:si>
    <x:t>47132-F7080</x:t>
  </x:si>
  <x:si>
    <x:t>S021119</x:t>
  </x:si>
  <x:si>
    <x:t>47133-F7040</x:t>
  </x:si>
  <x:si>
    <x:t>S021120</x:t>
  </x:si>
  <x:si>
    <x:t>47132-F7060</x:t>
  </x:si>
  <x:si>
    <x:t>S021121</x:t>
  </x:si>
  <x:si>
    <x:t>47133-F7030</x:t>
  </x:si>
  <x:si>
    <x:t>S021123</x:t>
  </x:si>
  <x:si>
    <x:t>S021125</x:t>
  </x:si>
  <x:si>
    <x:t>61762-VT010/20</x:t>
  </x:si>
  <x:si>
    <x:t>S021127</x:t>
  </x:si>
  <x:si>
    <x:t>S021129</x:t>
  </x:si>
  <x:si>
    <x:t>S021131</x:t>
  </x:si>
  <x:si>
    <x:t>S021132</x:t>
  </x:si>
  <x:si>
    <x:t>58313.14-VT010/20-Z2</x:t>
  </x:si>
  <x:si>
    <x:t>S021134</x:t>
  </x:si>
  <x:si>
    <x:t>55133.34-0K010-A</x:t>
  </x:si>
  <x:si>
    <x:t>S021136</x:t>
  </x:si>
  <x:si>
    <x:t>S021137</x:t>
  </x:si>
  <x:si>
    <x:t>S021138</x:t>
  </x:si>
  <x:si>
    <x:t>S021140</x:t>
  </x:si>
  <x:si>
    <x:t>S021142</x:t>
  </x:si>
  <x:si>
    <x:t>S021143</x:t>
  </x:si>
  <x:si>
    <x:t>S021145</x:t>
  </x:si>
  <x:si>
    <x:t>55711KK010RM-B</x:t>
  </x:si>
  <x:si>
    <x:t>S021146</x:t>
  </x:si>
  <x:si>
    <x:t>S021148</x:t>
  </x:si>
  <x:si>
    <x:t>S021149</x:t>
  </x:si>
  <x:si>
    <x:t>S021150</x:t>
  </x:si>
  <x:si>
    <x:t>S021152</x:t>
  </x:si>
  <x:si>
    <x:t>67166DY050RM</x:t>
  </x:si>
  <x:si>
    <x:t>S021153</x:t>
  </x:si>
  <x:si>
    <x:t>S021154</x:t>
  </x:si>
  <x:si>
    <x:t>JNC270ENN</x:t>
  </x:si>
  <x:si>
    <x:t>S021155</x:t>
  </x:si>
  <x:si>
    <x:t>S021156</x:t>
  </x:si>
  <x:si>
    <x:t>S021157</x:t>
  </x:si>
  <x:si>
    <x:t>S021158</x:t>
  </x:si>
  <x:si>
    <x:t>S021159</x:t>
  </x:si>
  <x:si>
    <x:t>S021160</x:t>
  </x:si>
  <x:si>
    <x:t>S021162</x:t>
  </x:si>
  <x:si>
    <x:t>61711.12-VT020</x:t>
  </x:si>
  <x:si>
    <x:t>S021164</x:t>
  </x:si>
  <x:si>
    <x:t>58384.5-0K020</x:t>
  </x:si>
  <x:si>
    <x:t>S021166</x:t>
  </x:si>
  <x:si>
    <x:t>67473-VT020</x:t>
  </x:si>
  <x:si>
    <x:t>S021167</x:t>
  </x:si>
  <x:si>
    <x:t>67467-VT020</x:t>
  </x:si>
  <x:si>
    <x:t>S021169</x:t>
  </x:si>
  <x:si>
    <x:t>61113.14-VT010/20-Z2</x:t>
  </x:si>
  <x:si>
    <x:t>S021171</x:t>
  </x:si>
  <x:si>
    <x:t>S021173</x:t>
  </x:si>
  <x:si>
    <x:t>S021175</x:t>
  </x:si>
  <x:si>
    <x:t>S021177</x:t>
  </x:si>
  <x:si>
    <x:t>S021179</x:t>
  </x:si>
  <x:si>
    <x:t>S021182</x:t>
  </x:si>
  <x:si>
    <x:t>S021184</x:t>
  </x:si>
  <x:si>
    <x:t>58388-VT010</x:t>
  </x:si>
  <x:si>
    <x:t>S021186</x:t>
  </x:si>
  <x:si>
    <x:t>57435.36-VT010</x:t>
  </x:si>
  <x:si>
    <x:t>S021187</x:t>
  </x:si>
  <x:si>
    <x:t>S021191</x:t>
  </x:si>
  <x:si>
    <x:t>51232-0K010</x:t>
  </x:si>
  <x:si>
    <x:t>S021193</x:t>
  </x:si>
  <x:si>
    <x:t>S021195</x:t>
  </x:si>
  <x:si>
    <x:t>S021196</x:t>
  </x:si>
  <x:si>
    <x:t>S021197</x:t>
  </x:si>
  <x:si>
    <x:t>S021198</x:t>
  </x:si>
  <x:si>
    <x:t>S021199</x:t>
  </x:si>
  <x:si>
    <x:t>12305-VT010</x:t>
  </x:si>
  <x:si>
    <x:t>S021200</x:t>
  </x:si>
  <x:si>
    <x:t>S021201</x:t>
  </x:si>
  <x:si>
    <x:t>S021202</x:t>
  </x:si>
  <x:si>
    <x:t>S021203</x:t>
  </x:si>
  <x:si>
    <x:t>S021204</x:t>
  </x:si>
  <x:si>
    <x:t>S021205</x:t>
  </x:si>
  <x:si>
    <x:t>S021206</x:t>
  </x:si>
  <x:si>
    <x:t>S021207</x:t>
  </x:si>
  <x:si>
    <x:t>S021208</x:t>
  </x:si>
  <x:si>
    <x:t>YZA1863333--57411.2-660A</x:t>
  </x:si>
  <x:si>
    <x:t>S021209</x:t>
  </x:si>
  <x:si>
    <x:t>S021210</x:t>
  </x:si>
  <x:si>
    <x:t>S021211</x:t>
  </x:si>
  <x:si>
    <x:t>S021215</x:t>
  </x:si>
  <x:si>
    <x:t>GA141-03210</x:t>
  </x:si>
  <x:si>
    <x:t>S021216</x:t>
  </x:si>
  <x:si>
    <x:t>45255-VT010</x:t>
  </x:si>
  <x:si>
    <x:t>S021217</x:t>
  </x:si>
  <x:si>
    <x:t>GA444-05120.30</x:t>
  </x:si>
  <x:si>
    <x:t>S021218</x:t>
  </x:si>
  <x:si>
    <x:t>GA444-05080.90</x:t>
  </x:si>
  <x:si>
    <x:t>S021219</x:t>
  </x:si>
  <x:si>
    <x:t>GA444-05160.70</x:t>
  </x:si>
  <x:si>
    <x:t>S021220</x:t>
  </x:si>
  <x:si>
    <x:t>GA251-24270</x:t>
  </x:si>
  <x:si>
    <x:t>S021221</x:t>
  </x:si>
  <x:si>
    <x:t>GA190-00990</x:t>
  </x:si>
  <x:si>
    <x:t>S021222</x:t>
  </x:si>
  <x:si>
    <x:t>GA240-22790</x:t>
  </x:si>
  <x:si>
    <x:t>S021224</x:t>
  </x:si>
  <x:si>
    <x:t>S021225</x:t>
  </x:si>
  <x:si>
    <x:t>42441-76T00</x:t>
  </x:si>
  <x:si>
    <x:t>S021227</x:t>
  </x:si>
  <x:si>
    <x:t>15873-76T80</x:t>
  </x:si>
  <x:si>
    <x:t>S021228</x:t>
  </x:si>
  <x:si>
    <x:t>75469-76T00</x:t>
  </x:si>
  <x:si>
    <x:t>S021229</x:t>
  </x:si>
  <x:si>
    <x:t>13811-76TB0</x:t>
  </x:si>
  <x:si>
    <x:t>S021237</x:t>
  </x:si>
  <x:si>
    <x:t>83751-67P00</x:t>
  </x:si>
  <x:si>
    <x:t>S021238</x:t>
  </x:si>
  <x:si>
    <x:t>61113-64M00</x:t>
  </x:si>
  <x:si>
    <x:t>S021239</x:t>
  </x:si>
  <x:si>
    <x:t>S021240</x:t>
  </x:si>
  <x:si>
    <x:t>33964-76T00</x:t>
  </x:si>
  <x:si>
    <x:t>S021241</x:t>
  </x:si>
  <x:si>
    <x:t>68164-76T00 / 68364-76T00</x:t>
  </x:si>
  <x:si>
    <x:t>S021242</x:t>
  </x:si>
  <x:si>
    <x:t>23872-76T00</x:t>
  </x:si>
  <x:si>
    <x:t>S021243</x:t>
  </x:si>
  <x:si>
    <x:t>36651-76TC0 / 36651-68K00</x:t>
  </x:si>
  <x:si>
    <x:t>S021244</x:t>
  </x:si>
  <x:si>
    <x:t>36651-61MB0</x:t>
  </x:si>
  <x:si>
    <x:t>S021245</x:t>
  </x:si>
  <x:si>
    <x:t>36651-76TD0</x:t>
  </x:si>
  <x:si>
    <x:t>S021246</x:t>
  </x:si>
  <x:si>
    <x:t>JEC270E</x:t>
  </x:si>
  <x:si>
    <x:t>honda</x:t>
  </x:si>
  <x:si>
    <x:t>S021247</x:t>
  </x:si>
  <x:si>
    <x:t>S021248</x:t>
  </x:si>
  <x:si>
    <x:t>S021249</x:t>
  </x:si>
  <x:si>
    <x:t>S021250</x:t>
  </x:si>
  <x:si>
    <x:t>S021251</x:t>
  </x:si>
  <x:si>
    <x:t>S021252</x:t>
  </x:si>
  <x:si>
    <x:t>58223-KK010</x:t>
  </x:si>
  <x:si>
    <x:t>S021253</x:t>
  </x:si>
  <x:si>
    <x:t>S021254</x:t>
  </x:si>
  <x:si>
    <x:t>58171-KK010</x:t>
  </x:si>
  <x:si>
    <x:t>S021255</x:t>
  </x:si>
  <x:si>
    <x:t>3B323-76T00-3</x:t>
  </x:si>
  <x:si>
    <x:t>S021256</x:t>
  </x:si>
  <x:si>
    <x:t>36651-76T70</x:t>
  </x:si>
  <x:si>
    <x:t>S021257</x:t>
  </x:si>
  <x:si>
    <x:t>SPC270D-G</x:t>
  </x:si>
  <x:si>
    <x:t>YZA1865396-63111-0K110-660A-RECTANGLE</x:t>
  </x:si>
  <x:si>
    <x:t>S021258</x:t>
  </x:si>
  <x:si>
    <x:t>36651-68P90</x:t>
  </x:si>
  <x:si>
    <x:t>S021259</x:t>
  </x:si>
  <x:si>
    <x:t>67125.6-0K070</x:t>
  </x:si>
  <x:si>
    <x:t>S021260</x:t>
  </x:si>
  <x:si>
    <x:t>S021261</x:t>
  </x:si>
  <x:si>
    <x:t>S021263</x:t>
  </x:si>
  <x:si>
    <x:t>61613-VT010 / 61614-VT020</x:t>
  </x:si>
  <x:si>
    <x:t>S021265</x:t>
  </x:si>
  <x:si>
    <x:t>S021267</x:t>
  </x:si>
  <x:si>
    <x:t>S021269</x:t>
  </x:si>
  <x:si>
    <x:t>S021271</x:t>
  </x:si>
  <x:si>
    <x:t>61713-VT010 / 61714-VT010</x:t>
  </x:si>
  <x:si>
    <x:t>S021273</x:t>
  </x:si>
  <x:si>
    <x:t>S021275</x:t>
  </x:si>
  <x:si>
    <x:t>S021277</x:t>
  </x:si>
  <x:si>
    <x:t>S021279</x:t>
  </x:si>
  <x:si>
    <x:t>53713-VT010 / 53714-VT020</x:t>
  </x:si>
  <x:si>
    <x:t>S021281</x:t>
  </x:si>
  <x:si>
    <x:t>61423-VT010 / 61424-VT020</x:t>
  </x:si>
  <x:si>
    <x:t>S021283</x:t>
  </x:si>
  <x:si>
    <x:t>61347-VT010</x:t>
  </x:si>
  <x:si>
    <x:t>S021285</x:t>
  </x:si>
  <x:si>
    <x:t>S021287</x:t>
  </x:si>
  <x:si>
    <x:t>61373-VT010 / 61383-VT020</x:t>
  </x:si>
  <x:si>
    <x:t>S021289</x:t>
  </x:si>
  <x:si>
    <x:t>S021291</x:t>
  </x:si>
  <x:si>
    <x:t>53723-VT010</x:t>
  </x:si>
  <x:si>
    <x:t>S021305</x:t>
  </x:si>
  <x:si>
    <x:t>53724-VT020</x:t>
  </x:si>
  <x:si>
    <x:t>S021306</x:t>
  </x:si>
  <x:si>
    <x:t>S021307</x:t>
  </x:si>
  <x:si>
    <x:t>58114-VT010 / 58115-VT020</x:t>
  </x:si>
  <x:si>
    <x:t>S021308</x:t>
  </x:si>
  <x:si>
    <x:t>53745-VT010 / 53746-VT020</x:t>
  </x:si>
  <x:si>
    <x:t>S021309</x:t>
  </x:si>
  <x:si>
    <x:t>53287.88-VT010.20</x:t>
  </x:si>
  <x:si>
    <x:t>S021311</x:t>
  </x:si>
  <x:si>
    <x:t>S021312</x:t>
  </x:si>
  <x:si>
    <x:t>61766-VT010 / 61767-VT020</x:t>
  </x:si>
  <x:si>
    <x:t>S021313</x:t>
  </x:si>
  <x:si>
    <x:t>57681-VT010 / 57682-VT020</x:t>
  </x:si>
  <x:si>
    <x:t>S021314</x:t>
  </x:si>
  <x:si>
    <x:t>S021315</x:t>
  </x:si>
  <x:si>
    <x:t>S021316</x:t>
  </x:si>
  <x:si>
    <x:t>57483-VT010 / 57484-VT020</x:t>
  </x:si>
  <x:si>
    <x:t>S021317</x:t>
  </x:si>
  <x:si>
    <x:t>S021318</x:t>
  </x:si>
  <x:si>
    <x:t>S021349</x:t>
  </x:si>
  <x:si>
    <x:t>53877-VT010 / 53878-VT020</x:t>
  </x:si>
  <x:si>
    <x:t>S021350</x:t>
  </x:si>
  <x:si>
    <x:t>S021351</x:t>
  </x:si>
  <x:si>
    <x:t>S021352</x:t>
  </x:si>
  <x:si>
    <x:t>S021353</x:t>
  </x:si>
  <x:si>
    <x:t>S021354</x:t>
  </x:si>
  <x:si>
    <x:t>S021355</x:t>
  </x:si>
  <x:si>
    <x:t>S021356</x:t>
  </x:si>
  <x:si>
    <x:t>53245.46-VT010.20</x:t>
  </x:si>
  <x:si>
    <x:t>S021357</x:t>
  </x:si>
  <x:si>
    <x:t>53268.69-VT010.20</x:t>
  </x:si>
  <x:si>
    <x:t>S021358</x:t>
  </x:si>
  <x:si>
    <x:t>S021359</x:t>
  </x:si>
  <x:si>
    <x:t>S021360</x:t>
  </x:si>
  <x:si>
    <x:t>S021361</x:t>
  </x:si>
  <x:si>
    <x:t>61247-VT010</x:t>
  </x:si>
  <x:si>
    <x:t>S021362</x:t>
  </x:si>
  <x:si>
    <x:t>61247-VT020</x:t>
  </x:si>
  <x:si>
    <x:t>S021363</x:t>
  </x:si>
  <x:si>
    <x:t>S021364</x:t>
  </x:si>
  <x:si>
    <x:t>S021365</x:t>
  </x:si>
  <x:si>
    <x:t>S021366</x:t>
  </x:si>
  <x:si>
    <x:t>S021367</x:t>
  </x:si>
  <x:si>
    <x:t>S021368</x:t>
  </x:si>
  <x:si>
    <x:t>S021369</x:t>
  </x:si>
  <x:si>
    <x:t>53223-VT010</x:t>
  </x:si>
  <x:si>
    <x:t>S021370</x:t>
  </x:si>
  <x:si>
    <x:t>S021371</x:t>
  </x:si>
  <x:si>
    <x:t>S021372</x:t>
  </x:si>
  <x:si>
    <x:t>S021373</x:t>
  </x:si>
  <x:si>
    <x:t>S021374</x:t>
  </x:si>
  <x:si>
    <x:t>S021375</x:t>
  </x:si>
  <x:si>
    <x:t>S021376</x:t>
  </x:si>
  <x:si>
    <x:t>57175-VT010 / 57176-VT010</x:t>
  </x:si>
  <x:si>
    <x:t>S021377</x:t>
  </x:si>
  <x:si>
    <x:t>57241-VT010</x:t>
  </x:si>
  <x:si>
    <x:t>S021379</x:t>
  </x:si>
  <x:si>
    <x:t>57242-VT010</x:t>
  </x:si>
  <x:si>
    <x:t>S021380</x:t>
  </x:si>
  <x:si>
    <x:t>57244-VT010</x:t>
  </x:si>
  <x:si>
    <x:t>S021382</x:t>
  </x:si>
  <x:si>
    <x:t>S021384</x:t>
  </x:si>
  <x:si>
    <x:t>S021385</x:t>
  </x:si>
  <x:si>
    <x:t>28222-76TG0</x:t>
  </x:si>
  <x:si>
    <x:t>S021387</x:t>
  </x:si>
  <x:si>
    <x:t>61167-VT010 / 61168-VT020</x:t>
  </x:si>
  <x:si>
    <x:t>S021389</x:t>
  </x:si>
  <x:si>
    <x:t>S021390</x:t>
  </x:si>
  <x:si>
    <x:t>S021392</x:t>
  </x:si>
  <x:si>
    <x:t>57311-VT010 / 57312-VT020</x:t>
  </x:si>
  <x:si>
    <x:t>S021394</x:t>
  </x:si>
  <x:si>
    <x:t>57145-VT010 / 57146-VT020</x:t>
  </x:si>
  <x:si>
    <x:t>S021396</x:t>
  </x:si>
  <x:si>
    <x:t>61411-VT010 / 61412-VT020</x:t>
  </x:si>
  <x:si>
    <x:t>S021397</x:t>
  </x:si>
  <x:si>
    <x:t>61165-VT010 / 61166-VT020</x:t>
  </x:si>
  <x:si>
    <x:t>S021399</x:t>
  </x:si>
  <x:si>
    <x:t>61242-VT010</x:t>
  </x:si>
  <x:si>
    <x:t>S021401</x:t>
  </x:si>
  <x:si>
    <x:t>61153-VT010 / 61154-VT010</x:t>
  </x:si>
  <x:si>
    <x:t>S021402</x:t>
  </x:si>
  <x:si>
    <x:t>36651-68K00</x:t>
  </x:si>
  <x:si>
    <x:t>S021403</x:t>
  </x:si>
  <x:si>
    <x:t>36653-68P80</x:t>
  </x:si>
  <x:si>
    <x:t>S021404</x:t>
  </x:si>
  <x:si>
    <x:t>36651-76TB0</x:t>
  </x:si>
  <x:si>
    <x:t>S021405</x:t>
  </x:si>
  <x:si>
    <x:t>33924-76T40</x:t>
  </x:si>
  <x:si>
    <x:t>S021406</x:t>
  </x:si>
  <x:si>
    <x:t>36651-76T20-X1</x:t>
  </x:si>
  <x:si>
    <x:t>S021407</x:t>
  </x:si>
  <x:si>
    <x:t>36651-60R10</x:t>
  </x:si>
  <x:si>
    <x:t>S021408</x:t>
  </x:si>
  <x:si>
    <x:t>33924-76T30</x:t>
  </x:si>
  <x:si>
    <x:t>S021409</x:t>
  </x:si>
  <x:si>
    <x:t>36653-66T90</x:t>
  </x:si>
  <x:si>
    <x:t>S021410</x:t>
  </x:si>
  <x:si>
    <x:t>36651-76T00-X1</x:t>
  </x:si>
  <x:si>
    <x:t>S021411</x:t>
  </x:si>
  <x:si>
    <x:t>36651-76T30-X1</x:t>
  </x:si>
  <x:si>
    <x:t>S021412</x:t>
  </x:si>
  <x:si>
    <x:t>33924-76T30 / 33924-76T40</x:t>
  </x:si>
  <x:si>
    <x:t>S021413</x:t>
  </x:si>
  <x:si>
    <x:t>72512-59S00</x:t>
  </x:si>
  <x:si>
    <x:t>S021414</x:t>
  </x:si>
  <x:si>
    <x:t>91812-76T00</x:t>
  </x:si>
  <x:si>
    <x:t>S021415</x:t>
  </x:si>
  <x:si>
    <x:t>72511-52R00</x:t>
  </x:si>
  <x:si>
    <x:t>S021416</x:t>
  </x:si>
  <x:si>
    <x:t>39321-76T10 / 39322-76T10</x:t>
  </x:si>
  <x:si>
    <x:t>S021417</x:t>
  </x:si>
  <x:si>
    <x:t>39321-76T20 / 39322-76T20</x:t>
  </x:si>
  <x:si>
    <x:t>S021418</x:t>
  </x:si>
  <x:si>
    <x:t>39350-76T00</x:t>
  </x:si>
  <x:si>
    <x:t>S021419</x:t>
  </x:si>
  <x:si>
    <x:t>3E211-76T00-2</x:t>
  </x:si>
  <x:si>
    <x:t>S021420</x:t>
  </x:si>
  <x:si>
    <x:t>3E211-76T00-1</x:t>
  </x:si>
  <x:si>
    <x:t>S021421</x:t>
  </x:si>
  <x:si>
    <x:t>39321-76T00 / 39322-76T00</x:t>
  </x:si>
  <x:si>
    <x:t>S021422</x:t>
  </x:si>
  <x:si>
    <x:t>36651-76TG0-X1</x:t>
  </x:si>
  <x:si>
    <x:t>S021423</x:t>
  </x:si>
  <x:si>
    <x:t>75621-60M00</x:t>
  </x:si>
  <x:si>
    <x:t>S021424</x:t>
  </x:si>
  <x:si>
    <x:t>36653-85S00 / 36651-76TF0</x:t>
  </x:si>
  <x:si>
    <x:t>S021425</x:t>
  </x:si>
  <x:si>
    <x:t>36651-51K00</x:t>
  </x:si>
  <x:si>
    <x:t>S021426</x:t>
  </x:si>
  <x:si>
    <x:t>36651-76T60-X1</x:t>
  </x:si>
  <x:si>
    <x:t>S021427</x:t>
  </x:si>
  <x:si>
    <x:t>36651-76T50-X1</x:t>
  </x:si>
  <x:si>
    <x:t>S021428</x:t>
  </x:si>
  <x:si>
    <x:t>33801-54P00 / 36651-76TR0</x:t>
  </x:si>
  <x:si>
    <x:t>S021429</x:t>
  </x:si>
  <x:si>
    <x:t>33954-76T00</x:t>
  </x:si>
  <x:si>
    <x:t>S021430</x:t>
  </x:si>
  <x:si>
    <x:t>36651-76TL0-X1</x:t>
  </x:si>
  <x:si>
    <x:t>S021431</x:t>
  </x:si>
  <x:si>
    <x:t>15825-76T10</x:t>
  </x:si>
  <x:si>
    <x:t>S021432</x:t>
  </x:si>
  <x:si>
    <x:t>36651-76TA0</x:t>
  </x:si>
  <x:si>
    <x:t>S021433</x:t>
  </x:si>
  <x:si>
    <x:t>17861-76T80</x:t>
  </x:si>
  <x:si>
    <x:t>S021434</x:t>
  </x:si>
  <x:si>
    <x:t>28211-76TG0</x:t>
  </x:si>
  <x:si>
    <x:t>S021435</x:t>
  </x:si>
  <x:si>
    <x:t>39340-76T00</x:t>
  </x:si>
  <x:si>
    <x:t>S021436</x:t>
  </x:si>
  <x:si>
    <x:t>17861-76T00</x:t>
  </x:si>
  <x:si>
    <x:t>S021437</x:t>
  </x:si>
  <x:si>
    <x:t>3B324-76T00</x:t>
  </x:si>
  <x:si>
    <x:t>S021438</x:t>
  </x:si>
  <x:si>
    <x:t>3B323-76T00-2</x:t>
  </x:si>
  <x:si>
    <x:t>S021439</x:t>
  </x:si>
  <x:si>
    <x:t>3B323-76T00-1</x:t>
  </x:si>
  <x:si>
    <x:t>S021440</x:t>
  </x:si>
  <x:si>
    <x:t>3B323-76TA0 / 96891-76T00</x:t>
  </x:si>
  <x:si>
    <x:t>S021441</x:t>
  </x:si>
  <x:si>
    <x:t>33924-76T20</x:t>
  </x:si>
  <x:si>
    <x:t>S021442</x:t>
  </x:si>
  <x:si>
    <x:t>33924-76T10</x:t>
  </x:si>
  <x:si>
    <x:t>S021443</x:t>
  </x:si>
  <x:si>
    <x:t>95781-65M00</x:t>
  </x:si>
  <x:si>
    <x:t>S021444</x:t>
  </x:si>
  <x:si>
    <x:t>61151-66T00</x:t>
  </x:si>
  <x:si>
    <x:t>S021445</x:t>
  </x:si>
  <x:si>
    <x:t>51530-76TA0</x:t>
  </x:si>
  <x:si>
    <x:t>S021446</x:t>
  </x:si>
  <x:si>
    <x:t>17895-76T50</x:t>
  </x:si>
  <x:si>
    <x:t>S021447</x:t>
  </x:si>
  <x:si>
    <x:t>51891-76TA0</x:t>
  </x:si>
  <x:si>
    <x:t>S021448</x:t>
  </x:si>
  <x:si>
    <x:t>51210-76TA0</x:t>
  </x:si>
  <x:si>
    <x:t>S021449</x:t>
  </x:si>
  <x:si>
    <x:t>56161-76TA0</x:t>
  </x:si>
  <x:si>
    <x:t>S021450</x:t>
  </x:si>
  <x:si>
    <x:t>36653-74S60-1</x:t>
  </x:si>
  <x:si>
    <x:t>S021452</x:t>
  </x:si>
  <x:si>
    <x:t>57455-VT010 / 57456-VT020</x:t>
  </x:si>
  <x:si>
    <x:t>S021454</x:t>
  </x:si>
  <x:si>
    <x:t>S021456</x:t>
  </x:si>
  <x:si>
    <x:t>55743-VT010 / 55744-VT010</x:t>
  </x:si>
  <x:si>
    <x:t>S021458</x:t>
  </x:si>
  <x:si>
    <x:t>61161-VT010 / 61162-VT010</x:t>
  </x:si>
  <x:si>
    <x:t>S021460</x:t>
  </x:si>
  <x:si>
    <x:t>57486-VT010 / 57487-VT010</x:t>
  </x:si>
  <x:si>
    <x:t>S021462</x:t>
  </x:si>
  <x:si>
    <x:t>57157-VT010 / 57158-VT020</x:t>
  </x:si>
  <x:si>
    <x:t>S021464</x:t>
  </x:si>
  <x:si>
    <x:t>S021466</x:t>
  </x:si>
  <x:si>
    <x:t>53281.82-VT010</x:t>
  </x:si>
  <x:si>
    <x:t>S021468</x:t>
  </x:si>
  <x:si>
    <x:t>NSSHR-1</x:t>
  </x:si>
  <x:si>
    <x:t>17141-124YL-07/08</x:t>
  </x:si>
  <x:si>
    <x:t>S021469</x:t>
  </x:si>
  <x:si>
    <x:t>53715-VT010 / 53716-VT020</x:t>
  </x:si>
  <x:si>
    <x:t>S021471</x:t>
  </x:si>
  <x:si>
    <x:t>57353-VT010 / 57354-VT020</x:t>
  </x:si>
  <x:si>
    <x:t>S021473</x:t>
  </x:si>
  <x:si>
    <x:t>61425-VT010 / 61426-VT020</x:t>
  </x:si>
  <x:si>
    <x:t>S021481</x:t>
  </x:si>
  <x:si>
    <x:t>57115-VT010 / 57116-VT020</x:t>
  </x:si>
  <x:si>
    <x:t>S021482</x:t>
  </x:si>
  <x:si>
    <x:t>57425.6-VT010</x:t>
  </x:si>
  <x:si>
    <x:t>S021483</x:t>
  </x:si>
  <x:si>
    <x:t>S021484</x:t>
  </x:si>
  <x:si>
    <x:t>S021485</x:t>
  </x:si>
  <x:si>
    <x:t>57171-VT010 / 57172-VT010</x:t>
  </x:si>
  <x:si>
    <x:t>S021486</x:t>
  </x:si>
  <x:si>
    <x:t>47351-F7030 / 47352-F7030</x:t>
  </x:si>
  <x:si>
    <x:t>S021487</x:t>
  </x:si>
  <x:si>
    <x:t>101075017</x:t>
  </x:si>
  <x:si>
    <x:t>S021488</x:t>
  </x:si>
  <x:si>
    <x:t>S021489</x:t>
  </x:si>
  <x:si>
    <x:t>S021490</x:t>
  </x:si>
  <x:si>
    <x:t>48233-903BL-2 / 48232-903BL-2</x:t>
  </x:si>
  <x:si>
    <x:t>S021494</x:t>
  </x:si>
  <x:si>
    <x:t>57243-VT010</x:t>
  </x:si>
  <x:si>
    <x:t>S021495</x:t>
  </x:si>
  <x:si>
    <x:t>67175-VT030 / 67176-VT040</x:t>
  </x:si>
  <x:si>
    <x:t>S021497</x:t>
  </x:si>
  <x:si>
    <x:t>57355-VT010 / 57356-VT020</x:t>
  </x:si>
  <x:si>
    <x:t>S021499</x:t>
  </x:si>
  <x:si>
    <x:t>S021501</x:t>
  </x:si>
  <x:si>
    <x:t>61371-VT010 / 61381-VT020</x:t>
  </x:si>
  <x:si>
    <x:t>S021503</x:t>
  </x:si>
  <x:si>
    <x:t>S021505</x:t>
  </x:si>
  <x:si>
    <x:t>57117-VT010 / 57118-VT020</x:t>
  </x:si>
  <x:si>
    <x:t>S021507</x:t>
  </x:si>
  <x:si>
    <x:t>63175-VT010 / 63176-VT010</x:t>
  </x:si>
  <x:si>
    <x:t>S021509</x:t>
  </x:si>
  <x:si>
    <x:t>S021510</x:t>
  </x:si>
  <x:si>
    <x:t>57413-VT010 / 57414-VT020</x:t>
  </x:si>
  <x:si>
    <x:t>S021511</x:t>
  </x:si>
  <x:si>
    <x:t>61178-VT010 / 61179-VT020</x:t>
  </x:si>
  <x:si>
    <x:t>S021513</x:t>
  </x:si>
  <x:si>
    <x:t>63147-VT010</x:t>
  </x:si>
  <x:si>
    <x:t>S021515</x:t>
  </x:si>
  <x:si>
    <x:t>S021517</x:t>
  </x:si>
  <x:si>
    <x:t>63143-VT010 / 63142-VT010</x:t>
  </x:si>
  <x:si>
    <x:t>S021519</x:t>
  </x:si>
  <x:si>
    <x:t>S021521</x:t>
  </x:si>
  <x:si>
    <x:t>S021524</x:t>
  </x:si>
  <x:si>
    <x:t>S021525</x:t>
  </x:si>
  <x:si>
    <x:t>S021527</x:t>
  </x:si>
  <x:si>
    <x:t>S021529</x:t>
  </x:si>
  <x:si>
    <x:t>53273.74-VT010.20</x:t>
  </x:si>
  <x:si>
    <x:t>S021531</x:t>
  </x:si>
  <x:si>
    <x:t>53227-VT010</x:t>
  </x:si>
  <x:si>
    <x:t>S021532</x:t>
  </x:si>
  <x:si>
    <x:t>S021533</x:t>
  </x:si>
  <x:si>
    <x:t>61121-VT010 / 61122-VT020</x:t>
  </x:si>
  <x:si>
    <x:t>S021540</x:t>
  </x:si>
  <x:si>
    <x:t>67335.336-KK010-A</x:t>
  </x:si>
  <x:si>
    <x:t>S021541</x:t>
  </x:si>
  <x:si>
    <x:t>S021542</x:t>
  </x:si>
  <x:si>
    <x:t>S021543</x:t>
  </x:si>
  <x:si>
    <x:t>S021544</x:t>
  </x:si>
  <x:si>
    <x:t>S021546</x:t>
  </x:si>
  <x:si>
    <x:t>S021548</x:t>
  </x:si>
  <x:si>
    <x:t>61517-VT010 / 61518-VT020</x:t>
  </x:si>
  <x:si>
    <x:t>S021550</x:t>
  </x:si>
  <x:si>
    <x:t>61173-VT010 / 61174-VT020</x:t>
  </x:si>
  <x:si>
    <x:t>S021552</x:t>
  </x:si>
  <x:si>
    <x:t>58179-VT010</x:t>
  </x:si>
  <x:si>
    <x:t>S021554</x:t>
  </x:si>
  <x:si>
    <x:t>61323-VT010 / 61324-VT010</x:t>
  </x:si>
  <x:si>
    <x:t>S021557</x:t>
  </x:si>
  <x:si>
    <x:t>61133-VT010 / 61134-VT010</x:t>
  </x:si>
  <x:si>
    <x:t>S021558</x:t>
  </x:si>
  <x:si>
    <x:t>6703006363- 71167.8-47010-B</x:t>
  </x:si>
  <x:si>
    <x:t>S021560</x:t>
  </x:si>
  <x:si>
    <x:t>53292-VT010</x:t>
  </x:si>
  <x:si>
    <x:t>S021562</x:t>
  </x:si>
  <x:si>
    <x:t>53213.14-VT010.20</x:t>
  </x:si>
  <x:si>
    <x:t>S021564</x:t>
  </x:si>
  <x:si>
    <x:t>53743-VT010 / 53744-VT020</x:t>
  </x:si>
  <x:si>
    <x:t>S021565</x:t>
  </x:si>
  <x:si>
    <x:t>57167-VT010 / 57168-VT010</x:t>
  </x:si>
  <x:si>
    <x:t>S021567</x:t>
  </x:si>
  <x:si>
    <x:t>S021569</x:t>
  </x:si>
  <x:si>
    <x:t>S021571</x:t>
  </x:si>
  <x:si>
    <x:t>63145-VT010 / 63146-VT020</x:t>
  </x:si>
  <x:si>
    <x:t>S021572</x:t>
  </x:si>
  <x:si>
    <x:t>61321-VT010 / 61322-VT020</x:t>
  </x:si>
  <x:si>
    <x:t>S021573</x:t>
  </x:si>
  <x:si>
    <x:t>53721-VT010 / 53722-VT020</x:t>
  </x:si>
  <x:si>
    <x:t>S021574</x:t>
  </x:si>
  <x:si>
    <x:t>61331-VT010 / 61332-VT020</x:t>
  </x:si>
  <x:si>
    <x:t>S021575</x:t>
  </x:si>
  <x:si>
    <x:t>57197-VT010 / 57198-VT010</x:t>
  </x:si>
  <x:si>
    <x:t>S021583</x:t>
  </x:si>
  <x:si>
    <x:t>S021584</x:t>
  </x:si>
  <x:si>
    <x:t>S021585</x:t>
  </x:si>
  <x:si>
    <x:t>S021587</x:t>
  </x:si>
  <x:si>
    <x:t>68947.8-0K060</x:t>
  </x:si>
  <x:si>
    <x:t>S021589</x:t>
  </x:si>
  <x:si>
    <x:t>57121-kk020</x:t>
  </x:si>
  <x:si>
    <x:t>S021591</x:t>
  </x:si>
  <x:si>
    <x:t>57122-kk020</x:t>
  </x:si>
  <x:si>
    <x:t>S021593</x:t>
  </x:si>
  <x:si>
    <x:t>S021595</x:t>
  </x:si>
  <x:si>
    <x:t>S021596</x:t>
  </x:si>
  <x:si>
    <x:t>S021597</x:t>
  </x:si>
  <x:si>
    <x:t>S021598</x:t>
  </x:si>
  <x:si>
    <x:t>S021600</x:t>
  </x:si>
  <x:si>
    <x:t>S021601</x:t>
  </x:si>
  <x:si>
    <x:t>557450K100RM</x:t>
  </x:si>
  <x:si>
    <x:t>S021602</x:t>
  </x:si>
  <x:si>
    <x:t>S021603</x:t>
  </x:si>
  <x:si>
    <x:t>S021604</x:t>
  </x:si>
  <x:si>
    <x:t>S021605</x:t>
  </x:si>
  <x:si>
    <x:t>S021606</x:t>
  </x:si>
  <x:si>
    <x:t>S021607</x:t>
  </x:si>
  <x:si>
    <x:t>S021608</x:t>
  </x:si>
  <x:si>
    <x:t>S021611</x:t>
  </x:si>
  <x:si>
    <x:t>service pa</x:t>
  </x:si>
  <x:si>
    <x:t>S021612</x:t>
  </x:si>
  <x:si>
    <x:t>6703006367-71274-X7P00</x:t>
  </x:si>
  <x:si>
    <x:t>S021613</x:t>
  </x:si>
  <x:si>
    <x:t>6703006368-71273-X7P00</x:t>
  </x:si>
  <x:si>
    <x:t>S021615</x:t>
  </x:si>
  <x:si>
    <x:t>6703006369-72883-X7P00</x:t>
  </x:si>
  <x:si>
    <x:t>S021617</x:t>
  </x:si>
  <x:si>
    <x:t>6703006370-72883-X7P01</x:t>
  </x:si>
  <x:si>
    <x:t>S021619</x:t>
  </x:si>
  <x:si>
    <x:t>6703006371-71452-X7P00</x:t>
  </x:si>
  <x:si>
    <x:t>S021621</x:t>
  </x:si>
  <x:si>
    <x:t>6703006384-72521-X7P02 / 72522-X7P02</x:t>
  </x:si>
  <x:si>
    <x:t>S021622</x:t>
  </x:si>
  <x:si>
    <x:t>6703006388-72521-X7P03 / 72522-X7P03</x:t>
  </x:si>
  <x:si>
    <x:t>S021624</x:t>
  </x:si>
  <x:si>
    <x:t>6703006383-72521-X7P01 / 72522-X7P04</x:t>
  </x:si>
  <x:si>
    <x:t>S021625</x:t>
  </x:si>
  <x:si>
    <x:t>6703006385-72522-X7P01 / 72521-X7P04</x:t>
  </x:si>
  <x:si>
    <x:t>S021626</x:t>
  </x:si>
  <x:si>
    <x:t>6703006375-73191-X7P00</x:t>
  </x:si>
  <x:si>
    <x:t>S021627</x:t>
  </x:si>
  <x:si>
    <x:t>6703006376-7X721-X7P00 / 7X722-X7P00</x:t>
  </x:si>
  <x:si>
    <x:t>S021628</x:t>
  </x:si>
  <x:si>
    <x:t>6703006381-72608-X7P00</x:t>
  </x:si>
  <x:si>
    <x:t>S021629</x:t>
  </x:si>
  <x:si>
    <x:t>6703006382-72607-X7P00</x:t>
  </x:si>
  <x:si>
    <x:t>S021630</x:t>
  </x:si>
  <x:si>
    <x:t>6703006386-72831-X7P01</x:t>
  </x:si>
  <x:si>
    <x:t>S021631</x:t>
  </x:si>
  <x:si>
    <x:t>6703006387-72832-X7P01</x:t>
  </x:si>
  <x:si>
    <x:t>S021632</x:t>
  </x:si>
  <x:si>
    <x:t>6703006378-7X633-X7P00</x:t>
  </x:si>
  <x:si>
    <x:t>S021634</x:t>
  </x:si>
  <x:si>
    <x:t>6703006372-71356-X7P00</x:t>
  </x:si>
  <x:si>
    <x:t>S021635</x:t>
  </x:si>
  <x:si>
    <x:t>6703006373-71358-X7P00</x:t>
  </x:si>
  <x:si>
    <x:t>S021636</x:t>
  </x:si>
  <x:si>
    <x:t>6703006374-71355-X7P00 / 71357-X7P00</x:t>
  </x:si>
  <x:si>
    <x:t>S021637</x:t>
  </x:si>
  <x:si>
    <x:t>6703006379-71391-X7P01</x:t>
  </x:si>
  <x:si>
    <x:t>S021638</x:t>
  </x:si>
  <x:si>
    <x:t>6703006380-71392-X7P01</x:t>
  </x:si>
  <x:si>
    <x:t>S021639</x:t>
  </x:si>
  <x:si>
    <x:t>S021640</x:t>
  </x:si>
  <x:si>
    <x:t>S021641</x:t>
  </x:si>
  <x:si>
    <x:t>IMV- Servi</x:t>
  </x:si>
  <x:si>
    <x:t>S021642</x:t>
  </x:si>
  <x:si>
    <x:t>S021644</x:t>
  </x:si>
  <x:si>
    <x:t>S021646</x:t>
  </x:si>
  <x:si>
    <x:t>S021647</x:t>
  </x:si>
  <x:si>
    <x:t>62122-55KC0-000</x:t>
  </x:si>
  <x:si>
    <x:t>S021649</x:t>
  </x:si>
  <x:si>
    <x:t>62126-76TA0-000</x:t>
  </x:si>
  <x:si>
    <x:t>S021651</x:t>
  </x:si>
  <x:si>
    <x:t>59236-61M00-000</x:t>
  </x:si>
  <x:si>
    <x:t>S021652</x:t>
  </x:si>
  <x:si>
    <x:t>62812-64M00</x:t>
  </x:si>
  <x:si>
    <x:t>S021653</x:t>
  </x:si>
  <x:si>
    <x:t>S021655</x:t>
  </x:si>
  <x:si>
    <x:t>S021657</x:t>
  </x:si>
  <x:si>
    <x:t>S021659</x:t>
  </x:si>
  <x:si>
    <x:t>63141-VT010</x:t>
  </x:si>
  <x:si>
    <x:t>S021661</x:t>
  </x:si>
  <x:si>
    <x:t>61367.68-VT010</x:t>
  </x:si>
  <x:si>
    <x:t>S021663</x:t>
  </x:si>
  <x:si>
    <x:t>61233.34-VT010</x:t>
  </x:si>
  <x:si>
    <x:t>S021664</x:t>
  </x:si>
  <x:si>
    <x:t>S021666</x:t>
  </x:si>
  <x:si>
    <x:t>62211-76T00-000</x:t>
  </x:si>
  <x:si>
    <x:t>S021667</x:t>
  </x:si>
  <x:si>
    <x:t>S021669</x:t>
  </x:si>
  <x:si>
    <x:t>42165-0K010</x:t>
  </x:si>
  <x:si>
    <x:t>S021671</x:t>
  </x:si>
  <x:si>
    <x:t>23921-0L190-T4</x:t>
  </x:si>
  <x:si>
    <x:t>S021673</x:t>
  </x:si>
  <x:si>
    <x:t>239210L190T5RM</x:t>
  </x:si>
  <x:si>
    <x:t>S021675</x:t>
  </x:si>
  <x:si>
    <x:t>23921-0L190-T6</x:t>
  </x:si>
  <x:si>
    <x:t>S021676</x:t>
  </x:si>
  <x:si>
    <x:t>S021679</x:t>
  </x:si>
  <x:si>
    <x:t>63241-76T00-000</x:t>
  </x:si>
  <x:si>
    <x:t>S021681</x:t>
  </x:si>
  <x:si>
    <x:t>SD +Export</x:t>
  </x:si>
  <x:si>
    <x:t>S021682</x:t>
  </x:si>
  <x:si>
    <x:t>6703006392-72262.63-VT010</x:t>
  </x:si>
  <x:si>
    <x:t>S021683</x:t>
  </x:si>
  <x:si>
    <x:t>S021684</x:t>
  </x:si>
  <x:si>
    <x:t>53735-VT010 / 53736-VT020</x:t>
  </x:si>
  <x:si>
    <x:t>S021685</x:t>
  </x:si>
  <x:si>
    <x:t>S021686</x:t>
  </x:si>
  <x:si>
    <x:t>S021687</x:t>
  </x:si>
  <x:si>
    <x:t>S021689</x:t>
  </x:si>
  <x:si>
    <x:t>28221-76TG0</x:t>
  </x:si>
  <x:si>
    <x:t>S021691</x:t>
  </x:si>
  <x:si>
    <x:t>51247-0K020</x:t>
  </x:si>
  <x:si>
    <x:t>Innova-SP</x:t>
  </x:si>
  <x:si>
    <x:t>S021692</x:t>
  </x:si>
  <x:si>
    <x:t>S021693</x:t>
  </x:si>
  <x:si>
    <x:t>S021695</x:t>
  </x:si>
  <x:si>
    <x:t>S021697</x:t>
  </x:si>
  <x:si>
    <x:t>S021699</x:t>
  </x:si>
  <x:si>
    <x:t>77351-VT010</x:t>
  </x:si>
  <x:si>
    <x:t>S021701</x:t>
  </x:si>
  <x:si>
    <x:t>77363-VT010</x:t>
  </x:si>
  <x:si>
    <x:t>S021703</x:t>
  </x:si>
  <x:si>
    <x:t>S021706</x:t>
  </x:si>
  <x:si>
    <x:t>S021707</x:t>
  </x:si>
  <x:si>
    <x:t>S021709</x:t>
  </x:si>
  <x:si>
    <x:t>55774-0D020-T1</x:t>
  </x:si>
  <x:si>
    <x:t>800L</x:t>
  </x:si>
  <x:si>
    <x:t>S021711</x:t>
  </x:si>
  <x:si>
    <x:t>57659-0D030-T1</x:t>
  </x:si>
  <x:si>
    <x:t>S021713</x:t>
  </x:si>
  <x:si>
    <x:t>57735-0D070-00</x:t>
  </x:si>
  <x:si>
    <x:t>S021715</x:t>
  </x:si>
  <x:si>
    <x:t>61181-0D040-T1</x:t>
  </x:si>
  <x:si>
    <x:t>S021717</x:t>
  </x:si>
  <x:si>
    <x:t>53324-0D031</x:t>
  </x:si>
  <x:si>
    <x:t>S021719</x:t>
  </x:si>
  <x:si>
    <x:t>S021720</x:t>
  </x:si>
  <x:si>
    <x:t>S021721</x:t>
  </x:si>
  <x:si>
    <x:t>SCGA340BH-ET</x:t>
  </x:si>
  <x:si>
    <x:t>YZA1863340-53311-660A</x:t>
  </x:si>
  <x:si>
    <x:t>S021725</x:t>
  </x:si>
  <x:si>
    <x:t>S021726</x:t>
  </x:si>
  <x:si>
    <x:t>S021727</x:t>
  </x:si>
  <x:si>
    <x:t>S021730</x:t>
  </x:si>
  <x:si>
    <x:t>69161.71-76T00</x:t>
  </x:si>
  <x:si>
    <x:t>S021732</x:t>
  </x:si>
  <x:si>
    <x:t>P55348-0K020</x:t>
  </x:si>
  <x:si>
    <x:t>S021734</x:t>
  </x:si>
  <x:si>
    <x:t>P55328-0K020-A</x:t>
  </x:si>
  <x:si>
    <x:t>INN SER</x:t>
  </x:si>
  <x:si>
    <x:t>S021736</x:t>
  </x:si>
  <x:si>
    <x:t>P55318-0K020-C</x:t>
  </x:si>
  <x:si>
    <x:t>S021738</x:t>
  </x:si>
  <x:si>
    <x:t>55121-PYZA1480091RM</x:t>
  </x:si>
  <x:si>
    <x:t>S021739</x:t>
  </x:si>
  <x:si>
    <x:t>S021740</x:t>
  </x:si>
  <x:si>
    <x:t>S021742</x:t>
  </x:si>
  <x:si>
    <x:t>S021743</x:t>
  </x:si>
  <x:si>
    <x:t>S021744</x:t>
  </x:si>
  <x:si>
    <x:t>S021745</x:t>
  </x:si>
  <x:si>
    <x:t>S021746</x:t>
  </x:si>
  <x:si>
    <x:t>S021747</x:t>
  </x:si>
  <x:si>
    <x:t>S021748</x:t>
  </x:si>
  <x:si>
    <x:t>S021750</x:t>
  </x:si>
  <x:si>
    <x:t>S021751</x:t>
  </x:si>
  <x:si>
    <x:t>6703006377-7X723.4-X7P00</x:t>
  </x:si>
  <x:si>
    <x:t>S021752</x:t>
  </x:si>
  <x:si>
    <x:t>S021753</x:t>
  </x:si>
  <x:si>
    <x:t>23871-76T00</x:t>
  </x:si>
  <x:si>
    <x:t>S021754</x:t>
  </x:si>
  <x:si>
    <x:t>S021755</x:t>
  </x:si>
  <x:si>
    <x:t>S021758</x:t>
  </x:si>
  <x:si>
    <x:t>S021760</x:t>
  </x:si>
  <x:si>
    <x:t>S021762</x:t>
  </x:si>
  <x:si>
    <x:t>S021764</x:t>
  </x:si>
  <x:si>
    <x:t>S021766</x:t>
  </x:si>
  <x:si>
    <x:t>S021767</x:t>
  </x:si>
  <x:si>
    <x:t>58311-64M00</x:t>
  </x:si>
  <x:si>
    <x:t>S021768</x:t>
  </x:si>
  <x:si>
    <x:t>S021769</x:t>
  </x:si>
  <x:si>
    <x:t>17442-VT020 / 17443-VT010</x:t>
  </x:si>
  <x:si>
    <x:t>S021770</x:t>
  </x:si>
  <x:si>
    <x:t>47111-F7050</x:t>
  </x:si>
  <x:si>
    <x:t>S021771</x:t>
  </x:si>
  <x:si>
    <x:t>47111-F7060</x:t>
  </x:si>
  <x:si>
    <x:t>S021772</x:t>
  </x:si>
  <x:si>
    <x:t>S021774</x:t>
  </x:si>
  <x:si>
    <x:t>58792_VT010</x:t>
  </x:si>
  <x:si>
    <x:t>S021776</x:t>
  </x:si>
  <x:si>
    <x:t>61145-VT020 / 61146-VT010</x:t>
  </x:si>
  <x:si>
    <x:t>S021777</x:t>
  </x:si>
  <x:si>
    <x:t>53681-VT020 / 53682-VT020</x:t>
  </x:si>
  <x:si>
    <x:t>S021779</x:t>
  </x:si>
  <x:si>
    <x:t>17119-VT010</x:t>
  </x:si>
  <x:si>
    <x:t>S021781</x:t>
  </x:si>
  <x:si>
    <x:t>58791_VT010</x:t>
  </x:si>
  <x:si>
    <x:t>S021783</x:t>
  </x:si>
  <x:si>
    <x:t>58793_VT010</x:t>
  </x:si>
  <x:si>
    <x:t>S021785</x:t>
  </x:si>
  <x:si>
    <x:t>S021787</x:t>
  </x:si>
  <x:si>
    <x:t>58995-VT020</x:t>
  </x:si>
  <x:si>
    <x:t>S021789</x:t>
  </x:si>
  <x:si>
    <x:t>77751-VT010</x:t>
  </x:si>
  <x:si>
    <x:t>S021790</x:t>
  </x:si>
  <x:si>
    <x:t>S021792</x:t>
  </x:si>
  <x:si>
    <x:t>67136-Q6550</x:t>
  </x:si>
  <x:si>
    <x:t>SP2i PE-KM</x:t>
  </x:si>
  <x:si>
    <x:t>S021794</x:t>
  </x:si>
  <x:si>
    <x:t>67172-Q6500</x:t>
  </x:si>
  <x:si>
    <x:t>S021796</x:t>
  </x:si>
  <x:si>
    <x:t>67152-Q6500</x:t>
  </x:si>
  <x:si>
    <x:t>S021798</x:t>
  </x:si>
  <x:si>
    <x:t>67142-Q6500</x:t>
  </x:si>
  <x:si>
    <x:t>S021800</x:t>
  </x:si>
  <x:si>
    <x:t>67162-Q6500</x:t>
  </x:si>
  <x:si>
    <x:t>S021801</x:t>
  </x:si>
  <x:si>
    <x:t>S021802</x:t>
  </x:si>
  <x:si>
    <x:t>S021803</x:t>
  </x:si>
  <x:si>
    <x:t>S021804</x:t>
  </x:si>
  <x:si>
    <x:t>S021806</x:t>
  </x:si>
  <x:si>
    <x:t>S021808</x:t>
  </x:si>
  <x:si>
    <x:t>S021809</x:t>
  </x:si>
  <x:si>
    <x:t>S021811</x:t>
  </x:si>
  <x:si>
    <x:t>33823-VT030</x:t>
  </x:si>
  <x:si>
    <x:t>S021813</x:t>
  </x:si>
  <x:si>
    <x:t>42157/8-F7010-Z1</x:t>
  </x:si>
  <x:si>
    <x:t>S021815</x:t>
  </x:si>
  <x:si>
    <x:t>47381/2-F7010</x:t>
  </x:si>
  <x:si>
    <x:t>S021817</x:t>
  </x:si>
  <x:si>
    <x:t>47351/2-F701</x:t>
  </x:si>
  <x:si>
    <x:t>S021819</x:t>
  </x:si>
  <x:si>
    <x:t>47115-TR019</x:t>
  </x:si>
  <x:si>
    <x:t>S021821</x:t>
  </x:si>
  <x:si>
    <x:t>G921E-F7020</x:t>
  </x:si>
  <x:si>
    <x:t>S021823</x:t>
  </x:si>
  <x:si>
    <x:t>17766-VT010</x:t>
  </x:si>
  <x:si>
    <x:t>S021825</x:t>
  </x:si>
  <x:si>
    <x:t>17767-VT010</x:t>
  </x:si>
  <x:si>
    <x:t>S021827</x:t>
  </x:si>
  <x:si>
    <x:t>17768-VT010</x:t>
  </x:si>
  <x:si>
    <x:t>S021829</x:t>
  </x:si>
  <x:si>
    <x:t>S021831</x:t>
  </x:si>
  <x:si>
    <x:t>53165-VT010-Z2 / 53166-VT010-Z2</x:t>
  </x:si>
  <x:si>
    <x:t>S021832</x:t>
  </x:si>
  <x:si>
    <x:t>36653-74S60</x:t>
  </x:si>
  <x:si>
    <x:t>S021834</x:t>
  </x:si>
  <x:si>
    <x:t>17510-F2190-04 / 17510-F2190-05 / 17510-F2190-06</x:t>
  </x:si>
  <x:si>
    <x:t>S021836</x:t>
  </x:si>
  <x:si>
    <x:t>S021838</x:t>
  </x:si>
  <x:si>
    <x:t>S021840</x:t>
  </x:si>
  <x:si>
    <x:t>G9214-F7010</x:t>
  </x:si>
  <x:si>
    <x:t>S021842</x:t>
  </x:si>
  <x:si>
    <x:t>G9215-F7010</x:t>
  </x:si>
  <x:si>
    <x:t>S021844</x:t>
  </x:si>
  <x:si>
    <x:t>77611-VT020</x:t>
  </x:si>
  <x:si>
    <x:t>S021846</x:t>
  </x:si>
  <x:si>
    <x:t>77612-VT020</x:t>
  </x:si>
  <x:si>
    <x:t>S021848</x:t>
  </x:si>
  <x:si>
    <x:t>S021850</x:t>
  </x:si>
  <x:si>
    <x:t>S021852</x:t>
  </x:si>
  <x:si>
    <x:t>S021854</x:t>
  </x:si>
  <x:si>
    <x:t>S021856</x:t>
  </x:si>
  <x:si>
    <x:t>S021858</x:t>
  </x:si>
  <x:si>
    <x:t>S021860</x:t>
  </x:si>
  <x:si>
    <x:t>S021862</x:t>
  </x:si>
  <x:si>
    <x:t>S021864</x:t>
  </x:si>
  <x:si>
    <x:t>61171-VT010 / 61172-VT010</x:t>
  </x:si>
  <x:si>
    <x:t>S021866</x:t>
  </x:si>
  <x:si>
    <x:t>55178-F7030</x:t>
  </x:si>
  <x:si>
    <x:t>S021868</x:t>
  </x:si>
  <x:si>
    <x:t>53651-VT010/20-Z2 / 53652-VT010/20-Z2</x:t>
  </x:si>
  <x:si>
    <x:t>S021870</x:t>
  </x:si>
  <x:si>
    <x:t>55174-F7030</x:t>
  </x:si>
  <x:si>
    <x:t>S021871</x:t>
  </x:si>
  <x:si>
    <x:t>G5220089/79</x:t>
  </x:si>
  <x:si>
    <x:t>S021874</x:t>
  </x:si>
  <x:si>
    <x:t>S021875</x:t>
  </x:si>
  <x:si>
    <x:t>S021878</x:t>
  </x:si>
  <x:si>
    <x:t>S021879</x:t>
  </x:si>
  <x:si>
    <x:t>S021880</x:t>
  </x:si>
  <x:si>
    <x:t>63143-76T00</x:t>
  </x:si>
  <x:si>
    <x:t>S021881</x:t>
  </x:si>
  <x:si>
    <x:t>62212-76T00</x:t>
  </x:si>
  <x:si>
    <x:t>S021882</x:t>
  </x:si>
  <x:si>
    <x:t>71142-61M00</x:t>
  </x:si>
  <x:si>
    <x:t>S021884</x:t>
  </x:si>
  <x:si>
    <x:t>S021886</x:t>
  </x:si>
  <x:si>
    <x:t>63222-76T00</x:t>
  </x:si>
  <x:si>
    <x:t>S021888</x:t>
  </x:si>
  <x:si>
    <x:t>S021890</x:t>
  </x:si>
  <x:si>
    <x:t>63231-76T00</x:t>
  </x:si>
  <x:si>
    <x:t>S021892</x:t>
  </x:si>
  <x:si>
    <x:t>S021893</x:t>
  </x:si>
  <x:si>
    <x:t>S021894</x:t>
  </x:si>
  <x:si>
    <x:t>S021896</x:t>
  </x:si>
  <x:si>
    <x:t>S021898</x:t>
  </x:si>
  <x:si>
    <x:t>67917-0B900</x:t>
  </x:si>
  <x:si>
    <x:t>S021899</x:t>
  </x:si>
  <x:si>
    <x:t>S021900</x:t>
  </x:si>
  <x:si>
    <x:t>S021902</x:t>
  </x:si>
  <x:si>
    <x:t>S021904</x:t>
  </x:si>
  <x:si>
    <x:t>S021906</x:t>
  </x:si>
  <x:si>
    <x:t>S021908</x:t>
  </x:si>
  <x:si>
    <x:t>S021910</x:t>
  </x:si>
  <x:si>
    <x:t>58118-VT010-SFG</x:t>
  </x:si>
  <x:si>
    <x:t>S021912</x:t>
  </x:si>
  <x:si>
    <x:t>55172_V1010</x:t>
  </x:si>
  <x:si>
    <x:t>S021914</x:t>
  </x:si>
  <x:si>
    <x:t>52145.6-VT010</x:t>
  </x:si>
  <x:si>
    <x:t>S021915</x:t>
  </x:si>
  <x:si>
    <x:t>S021916</x:t>
  </x:si>
  <x:si>
    <x:t>S021917</x:t>
  </x:si>
  <x:si>
    <x:t>R8117885</x:t>
  </x:si>
  <x:si>
    <x:t>S021918</x:t>
  </x:si>
  <x:si>
    <x:t>SG530-W0100-05</x:t>
  </x:si>
  <x:si>
    <x:t>S021919</x:t>
  </x:si>
  <x:si>
    <x:t>SG530-W0100-06</x:t>
  </x:si>
  <x:si>
    <x:t>S021920</x:t>
  </x:si>
  <x:si>
    <x:t>SG510-W0150-06</x:t>
  </x:si>
  <x:si>
    <x:t>S021921</x:t>
  </x:si>
  <x:si>
    <x:t>SG510-W0150-04</x:t>
  </x:si>
  <x:si>
    <x:t>S021922</x:t>
  </x:si>
  <x:si>
    <x:t>SG530-W0100-04</x:t>
  </x:si>
  <x:si>
    <x:t>S021923</x:t>
  </x:si>
  <x:si>
    <x:t>SG441.442.443-W0040/10</x:t>
  </x:si>
  <x:si>
    <x:t>S021924</x:t>
  </x:si>
  <x:si>
    <x:t>SG571-W0410-02</x:t>
  </x:si>
  <x:si>
    <x:t>S021925</x:t>
  </x:si>
  <x:si>
    <x:t>SG530-W0100-02.03  / SG510-W0150-02.03</x:t>
  </x:si>
  <x:si>
    <x:t>S021926</x:t>
  </x:si>
  <x:si>
    <x:t>S021928</x:t>
  </x:si>
  <x:si>
    <x:t>17765-VT010</x:t>
  </x:si>
  <x:si>
    <x:t>S021930</x:t>
  </x:si>
  <x:si>
    <x:t>55179-F7050</x:t>
  </x:si>
  <x:si>
    <x:t>S021932</x:t>
  </x:si>
  <x:si>
    <x:t>55179-F7040</x:t>
  </x:si>
  <x:si>
    <x:t>S021934</x:t>
  </x:si>
  <x:si>
    <x:t>S021936</x:t>
  </x:si>
  <x:si>
    <x:t>58993-VT020</x:t>
  </x:si>
  <x:si>
    <x:t>S021938</x:t>
  </x:si>
  <x:si>
    <x:t>64123DY000RM</x:t>
  </x:si>
  <x:si>
    <x:t>S021939</x:t>
  </x:si>
  <x:si>
    <x:t>JAC340PN</x:t>
  </x:si>
  <x:si>
    <x:t>3-45/45</x:t>
  </x:si>
  <x:si>
    <x:t>57311-76T00</x:t>
  </x:si>
  <x:si>
    <x:t>S021940</x:t>
  </x:si>
  <x:si>
    <x:t>S021941</x:t>
  </x:si>
  <x:si>
    <x:t>S021942</x:t>
  </x:si>
  <x:si>
    <x:t>S021943</x:t>
  </x:si>
  <x:si>
    <x:t>S021944</x:t>
  </x:si>
  <x:si>
    <x:t>S021945</x:t>
  </x:si>
  <x:si>
    <x:t>S021946</x:t>
  </x:si>
  <x:si>
    <x:t>S021948</x:t>
  </x:si>
  <x:si>
    <x:t>62832-76T00</x:t>
  </x:si>
  <x:si>
    <x:t>S021949</x:t>
  </x:si>
  <x:si>
    <x:t>S021952</x:t>
  </x:si>
  <x:si>
    <x:t>57211.2-KK010</x:t>
  </x:si>
  <x:si>
    <x:t>S021956</x:t>
  </x:si>
  <x:si>
    <x:t>S021957</x:t>
  </x:si>
  <x:si>
    <x:t>S021958</x:t>
  </x:si>
  <x:si>
    <x:t>S021959</x:t>
  </x:si>
  <x:si>
    <x:t>S021961</x:t>
  </x:si>
  <x:si>
    <x:t>S021963</x:t>
  </x:si>
  <x:si>
    <x:t>S021965</x:t>
  </x:si>
  <x:si>
    <x:t>62128-76TA0</x:t>
  </x:si>
  <x:si>
    <x:t>S021967</x:t>
  </x:si>
  <x:si>
    <x:t>62129.329-76TA0</x:t>
  </x:si>
  <x:si>
    <x:t>S021969</x:t>
  </x:si>
  <x:si>
    <x:t>62841.851-61M00</x:t>
  </x:si>
  <x:si>
    <x:t>S021971</x:t>
  </x:si>
  <x:si>
    <x:t>S021972</x:t>
  </x:si>
  <x:si>
    <x:t>S021973</x:t>
  </x:si>
  <x:si>
    <x:t>S021975</x:t>
  </x:si>
  <x:si>
    <x:t>S021977</x:t>
  </x:si>
  <x:si>
    <x:t>S021979</x:t>
  </x:si>
  <x:si>
    <x:t>S021981</x:t>
  </x:si>
  <x:si>
    <x:t>S021983</x:t>
  </x:si>
  <x:si>
    <x:t>62134-79J00</x:t>
  </x:si>
  <x:si>
    <x:t>S021985</x:t>
  </x:si>
  <x:si>
    <x:t>S021986</x:t>
  </x:si>
  <x:si>
    <x:t>S021989</x:t>
  </x:si>
  <x:si>
    <x:t>63243-76T00</x:t>
  </x:si>
  <x:si>
    <x:t>S021991</x:t>
  </x:si>
  <x:si>
    <x:t>62112-76T00</x:t>
  </x:si>
  <x:si>
    <x:t>S021992</x:t>
  </x:si>
  <x:si>
    <x:t>62126-76TA0</x:t>
  </x:si>
  <x:si>
    <x:t>S021995</x:t>
  </x:si>
  <x:si>
    <x:t>S021996</x:t>
  </x:si>
  <x:si>
    <x:t>62128-76T00</x:t>
  </x:si>
  <x:si>
    <x:t>S021998</x:t>
  </x:si>
  <x:si>
    <x:t>S021999</x:t>
  </x:si>
  <x:si>
    <x:t>S022002</x:t>
  </x:si>
  <x:si>
    <x:t>62131-79J00</x:t>
  </x:si>
  <x:si>
    <x:t>S022003</x:t>
  </x:si>
  <x:si>
    <x:t>S022005</x:t>
  </x:si>
  <x:si>
    <x:t>S022007</x:t>
  </x:si>
  <x:si>
    <x:t>71181-76T00</x:t>
  </x:si>
  <x:si>
    <x:t>S022009</x:t>
  </x:si>
  <x:si>
    <x:t>S022011</x:t>
  </x:si>
  <x:si>
    <x:t>63223-64M00</x:t>
  </x:si>
  <x:si>
    <x:t>S022013</x:t>
  </x:si>
  <x:si>
    <x:t>59236-61M00</x:t>
  </x:si>
  <x:si>
    <x:t>S022014</x:t>
  </x:si>
  <x:si>
    <x:t>S022016</x:t>
  </x:si>
  <x:si>
    <x:t>S022018</x:t>
  </x:si>
  <x:si>
    <x:t>S022020</x:t>
  </x:si>
  <x:si>
    <x:t>S022022</x:t>
  </x:si>
  <x:si>
    <x:t>S022024</x:t>
  </x:si>
  <x:si>
    <x:t>62834-76T00</x:t>
  </x:si>
  <x:si>
    <x:t>S022026</x:t>
  </x:si>
  <x:si>
    <x:t>62811-76T00</x:t>
  </x:si>
  <x:si>
    <x:t>S022028</x:t>
  </x:si>
  <x:si>
    <x:t>S022030</x:t>
  </x:si>
  <x:si>
    <x:t>S022032</x:t>
  </x:si>
  <x:si>
    <x:t>58244-76T00</x:t>
  </x:si>
  <x:si>
    <x:t>S022034</x:t>
  </x:si>
  <x:si>
    <x:t>71131-76T00</x:t>
  </x:si>
  <x:si>
    <x:t>S022035</x:t>
  </x:si>
  <x:si>
    <x:t>62842-54P00</x:t>
  </x:si>
  <x:si>
    <x:t>S022037</x:t>
  </x:si>
  <x:si>
    <x:t>53743.4-VT010.20</x:t>
  </x:si>
  <x:si>
    <x:t>S022039</x:t>
  </x:si>
  <x:si>
    <x:t>S022041</x:t>
  </x:si>
  <x:si>
    <x:t>62125-74L00</x:t>
  </x:si>
  <x:si>
    <x:t>S022043</x:t>
  </x:si>
  <x:si>
    <x:t>S022045</x:t>
  </x:si>
  <x:si>
    <x:t>62142-76M00</x:t>
  </x:si>
  <x:si>
    <x:t>S022046</x:t>
  </x:si>
  <x:si>
    <x:t>55111</x:t>
  </x:si>
  <x:si>
    <x:t>S022048</x:t>
  </x:si>
  <x:si>
    <x:t>S022049</x:t>
  </x:si>
  <x:si>
    <x:t>S022051</x:t>
  </x:si>
  <x:si>
    <x:t>S022053</x:t>
  </x:si>
  <x:si>
    <x:t>S022055</x:t>
  </x:si>
  <x:si>
    <x:t>S022056</x:t>
  </x:si>
  <x:si>
    <x:t>S022058</x:t>
  </x:si>
  <x:si>
    <x:t>S022060</x:t>
  </x:si>
  <x:si>
    <x:t>S022062</x:t>
  </x:si>
  <x:si>
    <x:t>S022063</x:t>
  </x:si>
  <x:si>
    <x:t>S022064</x:t>
  </x:si>
  <x:si>
    <x:t>S022066</x:t>
  </x:si>
  <x:si>
    <x:t>S022067</x:t>
  </x:si>
  <x:si>
    <x:t>S022068</x:t>
  </x:si>
  <x:si>
    <x:t>S022069</x:t>
  </x:si>
  <x:si>
    <x:t>S022070</x:t>
  </x:si>
  <x:si>
    <x:t>S022071</x:t>
  </x:si>
  <x:si>
    <x:t>S022072</x:t>
  </x:si>
  <x:si>
    <x:t>S022073</x:t>
  </x:si>
  <x:si>
    <x:t>S022074</x:t>
  </x:si>
  <x:si>
    <x:t>S022080</x:t>
  </x:si>
  <x:si>
    <x:t>S022081</x:t>
  </x:si>
  <x:si>
    <x:t>S022082</x:t>
  </x:si>
  <x:si>
    <x:t>S022083</x:t>
  </x:si>
  <x:si>
    <x:t>S022084</x:t>
  </x:si>
  <x:si>
    <x:t>61146-76T00-000</x:t>
  </x:si>
  <x:si>
    <x:t>S022086</x:t>
  </x:si>
  <x:si>
    <x:t>67132AY900RT</x:t>
  </x:si>
  <x:si>
    <x:t>HMI-BN7i</x:t>
  </x:si>
  <x:si>
    <x:t>S022088</x:t>
  </x:si>
  <x:si>
    <x:t>67152AY900RT</x:t>
  </x:si>
  <x:si>
    <x:t>S022090</x:t>
  </x:si>
  <x:si>
    <x:t>643120D050RM</x:t>
  </x:si>
  <x:si>
    <x:t>S022092</x:t>
  </x:si>
  <x:si>
    <x:t>YZA1863422- [61775.6]</x:t>
  </x:si>
  <x:si>
    <x:t>S022095</x:t>
  </x:si>
  <x:si>
    <x:t>58227-VT010/20-Z2</x:t>
  </x:si>
  <x:si>
    <x:t>S022097</x:t>
  </x:si>
  <x:si>
    <x:t>67152DY000RM</x:t>
  </x:si>
  <x:si>
    <x:t>KY-KMI</x:t>
  </x:si>
  <x:si>
    <x:t>S022099</x:t>
  </x:si>
  <x:si>
    <x:t>67142DY000RM</x:t>
  </x:si>
  <x:si>
    <x:t>S022100</x:t>
  </x:si>
  <x:si>
    <x:t>67162DY000RM</x:t>
  </x:si>
  <x:si>
    <x:t>S022102</x:t>
  </x:si>
  <x:si>
    <x:t>67144DY000RM</x:t>
  </x:si>
  <x:si>
    <x:t>S022105</x:t>
  </x:si>
  <x:si>
    <x:t>YZA1863268-58311-801L</x:t>
  </x:si>
  <x:si>
    <x:t>S022107</x:t>
  </x:si>
  <x:si>
    <x:t>S022109</x:t>
  </x:si>
  <x:si>
    <x:t>671E8DY000RM</x:t>
  </x:si>
  <x:si>
    <x:t>S022111</x:t>
  </x:si>
  <x:si>
    <x:t>641E2DY000RM</x:t>
  </x:si>
  <x:si>
    <x:t>S022113</x:t>
  </x:si>
  <x:si>
    <x:t>77154DY000RM / 77164DY000RM</x:t>
  </x:si>
  <x:si>
    <x:t>S022114</x:t>
  </x:si>
  <x:si>
    <x:t>67122DY000RM / 67122DY050RM</x:t>
  </x:si>
  <x:si>
    <x:t>S022115</x:t>
  </x:si>
  <x:si>
    <x:t>64152DY000RM</x:t>
  </x:si>
  <x:si>
    <x:t>S022116</x:t>
  </x:si>
  <x:si>
    <x:t>S022118</x:t>
  </x:si>
  <x:si>
    <x:t>67134DY000RM</x:t>
  </x:si>
  <x:si>
    <x:t>S022120</x:t>
  </x:si>
  <x:si>
    <x:t>67136DY000RM</x:t>
  </x:si>
  <x:si>
    <x:t>S022122</x:t>
  </x:si>
  <x:si>
    <x:t>64138DY000RM</x:t>
  </x:si>
  <x:si>
    <x:t>S022124</x:t>
  </x:si>
  <x:si>
    <x:t>64136DY000RM</x:t>
  </x:si>
  <x:si>
    <x:t>S022126</x:t>
  </x:si>
  <x:si>
    <x:t>641D2DY000RM</x:t>
  </x:si>
  <x:si>
    <x:t>S022128</x:t>
  </x:si>
  <x:si>
    <x:t>641C2DY000RM</x:t>
  </x:si>
  <x:si>
    <x:t>S022129</x:t>
  </x:si>
  <x:si>
    <x:t>S022130</x:t>
  </x:si>
  <x:si>
    <x:t>S022132</x:t>
  </x:si>
  <x:si>
    <x:t>S022134</x:t>
  </x:si>
  <x:si>
    <x:t>S022136</x:t>
  </x:si>
  <x:si>
    <x:t>S022138</x:t>
  </x:si>
  <x:si>
    <x:t>S022140</x:t>
  </x:si>
  <x:si>
    <x:t>S022142</x:t>
  </x:si>
  <x:si>
    <x:t>S022144</x:t>
  </x:si>
  <x:si>
    <x:t>S022146</x:t>
  </x:si>
  <x:si>
    <x:t>S022149</x:t>
  </x:si>
  <x:si>
    <x:t>S022151</x:t>
  </x:si>
  <x:si>
    <x:t>58334.434-76T00-00</x:t>
  </x:si>
  <x:si>
    <x:t>S022153</x:t>
  </x:si>
  <x:si>
    <x:t>61131.81-76T00-000</x:t>
  </x:si>
  <x:si>
    <x:t>S022155</x:t>
  </x:si>
  <x:si>
    <x:t>S022157</x:t>
  </x:si>
  <x:si>
    <x:t>61145.95-76T00-00</x:t>
  </x:si>
  <x:si>
    <x:t>S022159</x:t>
  </x:si>
  <x:si>
    <x:t>S022161</x:t>
  </x:si>
  <x:si>
    <x:t>S022163</x:t>
  </x:si>
  <x:si>
    <x:t>S022165</x:t>
  </x:si>
  <x:si>
    <x:t>S022167</x:t>
  </x:si>
  <x:si>
    <x:t>S022169</x:t>
  </x:si>
  <x:si>
    <x:t>65181.82-76T50</x:t>
  </x:si>
  <x:si>
    <x:t>S022171</x:t>
  </x:si>
  <x:si>
    <x:t>65138.39-76T00</x:t>
  </x:si>
  <x:si>
    <x:t>S022172</x:t>
  </x:si>
  <x:si>
    <x:t>S022174</x:t>
  </x:si>
  <x:si>
    <x:t>S022176</x:t>
  </x:si>
  <x:si>
    <x:t>S022178</x:t>
  </x:si>
  <x:si>
    <x:t>S022180</x:t>
  </x:si>
  <x:si>
    <x:t>S022182</x:t>
  </x:si>
  <x:si>
    <x:t>65172.73-66M50</x:t>
  </x:si>
  <x:si>
    <x:t>S022184</x:t>
  </x:si>
  <x:si>
    <x:t>63341-76T00-000</x:t>
  </x:si>
  <x:si>
    <x:t>S022186</x:t>
  </x:si>
  <x:si>
    <x:t>63741-76T00-000</x:t>
  </x:si>
  <x:si>
    <x:t>S022188</x:t>
  </x:si>
  <x:si>
    <x:t>S022190</x:t>
  </x:si>
  <x:si>
    <x:t>58312.412-64M00-000</x:t>
  </x:si>
  <x:si>
    <x:t>S022192</x:t>
  </x:si>
  <x:si>
    <x:t>S022194</x:t>
  </x:si>
  <x:si>
    <x:t>S022196</x:t>
  </x:si>
  <x:si>
    <x:t>S022198</x:t>
  </x:si>
  <x:si>
    <x:t>S022199</x:t>
  </x:si>
  <x:si>
    <x:t>S022200</x:t>
  </x:si>
  <x:si>
    <x:t>S022201</x:t>
  </x:si>
  <x:si>
    <x:t>S022202</x:t>
  </x:si>
  <x:si>
    <x:t>S022203</x:t>
  </x:si>
  <x:si>
    <x:t>39321.22-76T20</x:t>
  </x:si>
  <x:si>
    <x:t>S022204</x:t>
  </x:si>
  <x:si>
    <x:t>39321.22-76T10</x:t>
  </x:si>
  <x:si>
    <x:t>S022205</x:t>
  </x:si>
  <x:si>
    <x:t>39321.22-76T00</x:t>
  </x:si>
  <x:si>
    <x:t>S022206</x:t>
  </x:si>
  <x:si>
    <x:t>S022207</x:t>
  </x:si>
  <x:si>
    <x:t>S022208</x:t>
  </x:si>
  <x:si>
    <x:t>S022209</x:t>
  </x:si>
  <x:si>
    <x:t>PDD TRAIL</x:t>
  </x:si>
  <x:si>
    <x:t>S022210</x:t>
  </x:si>
  <x:si>
    <x:t>S022211</x:t>
  </x:si>
  <x:si>
    <x:t>TKML PDD r</x:t>
  </x:si>
  <x:si>
    <x:t>S022212</x:t>
  </x:si>
  <x:si>
    <x:t>S022214</x:t>
  </x:si>
  <x:si>
    <x:t>S022215</x:t>
  </x:si>
  <x:si>
    <x:t>S022216</x:t>
  </x:si>
  <x:si>
    <x:t>S022218</x:t>
  </x:si>
  <x:si>
    <x:t>S022219</x:t>
  </x:si>
  <x:si>
    <x:t>YZA1865164- 61112-IMV</x:t>
  </x:si>
  <x:si>
    <x:t>S022220</x:t>
  </x:si>
  <x:si>
    <x:t>YZA1863416- 61111-IMV</x:t>
  </x:si>
  <x:si>
    <x:t>S022223</x:t>
  </x:si>
  <x:si>
    <x:t>S022224</x:t>
  </x:si>
  <x:si>
    <x:t>S022225</x:t>
  </x:si>
  <x:si>
    <x:t>S022226</x:t>
  </x:si>
  <x:si>
    <x:t>S022227</x:t>
  </x:si>
  <x:si>
    <x:t>PDD</x:t>
  </x:si>
  <x:si>
    <x:t>S022229</x:t>
  </x:si>
  <x:si>
    <x:t>58441-76TA0-000E</x:t>
  </x:si>
  <x:si>
    <x:t>S022230</x:t>
  </x:si>
  <x:si>
    <x:t>61132-76T00-000</x:t>
  </x:si>
  <x:si>
    <x:t>S022232</x:t>
  </x:si>
  <x:si>
    <x:t>S022234</x:t>
  </x:si>
  <x:si>
    <x:t>S022236</x:t>
  </x:si>
  <x:si>
    <x:t>61134.84-76T00</x:t>
  </x:si>
  <x:si>
    <x:t>S022239</x:t>
  </x:si>
  <x:si>
    <x:t>S022241</x:t>
  </x:si>
  <x:si>
    <x:t>S022243</x:t>
  </x:si>
  <x:si>
    <x:t>S022244</x:t>
  </x:si>
  <x:si>
    <x:t>65191-61M00-000</x:t>
  </x:si>
  <x:si>
    <x:t>S022246</x:t>
  </x:si>
  <x:si>
    <x:t>S022248</x:t>
  </x:si>
  <x:si>
    <x:t>S022250</x:t>
  </x:si>
  <x:si>
    <x:t>S022251</x:t>
  </x:si>
  <x:si>
    <x:t>S022253</x:t>
  </x:si>
  <x:si>
    <x:t>68191.391-76T00</x:t>
  </x:si>
  <x:si>
    <x:t>S022254</x:t>
  </x:si>
  <x:si>
    <x:t>S022255</x:t>
  </x:si>
  <x:si>
    <x:t>S022256</x:t>
  </x:si>
  <x:si>
    <x:t>S022257</x:t>
  </x:si>
  <x:si>
    <x:t>S022259</x:t>
  </x:si>
  <x:si>
    <x:t>S022261</x:t>
  </x:si>
  <x:si>
    <x:t>S022262</x:t>
  </x:si>
  <x:si>
    <x:t>S022264</x:t>
  </x:si>
  <x:si>
    <x:t>S022268</x:t>
  </x:si>
  <x:si>
    <x:t>S022270</x:t>
  </x:si>
  <x:si>
    <x:t>65121-76T00-000</x:t>
  </x:si>
  <x:si>
    <x:t>S022273</x:t>
  </x:si>
  <x:si>
    <x:t>S022275</x:t>
  </x:si>
  <x:si>
    <x:t>S022276</x:t>
  </x:si>
  <x:si>
    <x:t>59232.82-76T00-000</x:t>
  </x:si>
  <x:si>
    <x:t>S022277</x:t>
  </x:si>
  <x:si>
    <x:t>61367.8-KK010RM</x:t>
  </x:si>
  <x:si>
    <x:t>S022279</x:t>
  </x:si>
  <x:si>
    <x:t>S022280</x:t>
  </x:si>
  <x:si>
    <x:t>S022281</x:t>
  </x:si>
  <x:si>
    <x:t>S022283</x:t>
  </x:si>
  <x:si>
    <x:t>557410D080RM</x:t>
  </x:si>
  <x:si>
    <x:t>S022284</x:t>
  </x:si>
  <x:si>
    <x:t>G5220869</x:t>
  </x:si>
  <x:si>
    <x:t>S022289</x:t>
  </x:si>
  <x:si>
    <x:t>YZA1865393-51131.2-640A</x:t>
  </x:si>
  <x:si>
    <x:t>S022291</x:t>
  </x:si>
  <x:si>
    <x:t>Paint test</x:t>
  </x:si>
  <x:si>
    <x:t>S022292</x:t>
  </x:si>
  <x:si>
    <x:t>S022294</x:t>
  </x:si>
  <x:si>
    <x:t>S022295</x:t>
  </x:si>
  <x:si>
    <x:t>62133-61M00</x:t>
  </x:si>
  <x:si>
    <x:t>S022296</x:t>
  </x:si>
  <x:si>
    <x:t>S022297</x:t>
  </x:si>
  <x:si>
    <x:t>45824 - 65M00</x:t>
  </x:si>
  <x:si>
    <x:t>S022298</x:t>
  </x:si>
  <x:si>
    <x:t>S022299</x:t>
  </x:si>
  <x:si>
    <x:t>45844 - 65M00</x:t>
  </x:si>
  <x:si>
    <x:t>S022300</x:t>
  </x:si>
  <x:si>
    <x:t>S022302</x:t>
  </x:si>
  <x:si>
    <x:t>S022303</x:t>
  </x:si>
  <x:si>
    <x:t>61144.94-76T00</x:t>
  </x:si>
  <x:si>
    <x:t>S022305</x:t>
  </x:si>
  <x:si>
    <x:t>S022307</x:t>
  </x:si>
  <x:si>
    <x:t>S022308</x:t>
  </x:si>
  <x:si>
    <x:t>S022309</x:t>
  </x:si>
  <x:si>
    <x:t>65134.35-76T00</x:t>
  </x:si>
  <x:si>
    <x:t>S022310</x:t>
  </x:si>
  <x:si>
    <x:t>45813 - 65M00</x:t>
  </x:si>
  <x:si>
    <x:t>S022312</x:t>
  </x:si>
  <x:si>
    <x:t>45814 - 65M00</x:t>
  </x:si>
  <x:si>
    <x:t>S022313</x:t>
  </x:si>
  <x:si>
    <x:t>45841 - 65M00</x:t>
  </x:si>
  <x:si>
    <x:t>S022314</x:t>
  </x:si>
  <x:si>
    <x:t>S022315</x:t>
  </x:si>
  <x:si>
    <x:t>S022317</x:t>
  </x:si>
  <x:si>
    <x:t>S022319</x:t>
  </x:si>
  <x:si>
    <x:t>S022320</x:t>
  </x:si>
  <x:si>
    <x:t>61731.2</x:t>
  </x:si>
  <x:si>
    <x:t>S022322</x:t>
  </x:si>
  <x:si>
    <x:t>S022323</x:t>
  </x:si>
  <x:si>
    <x:t>S022324</x:t>
  </x:si>
  <x:si>
    <x:t>S022333</x:t>
  </x:si>
  <x:si>
    <x:t>58375/6-0K030</x:t>
  </x:si>
  <x:si>
    <x:t>S022334</x:t>
  </x:si>
  <x:si>
    <x:t>55383-KK030</x:t>
  </x:si>
  <x:si>
    <x:t>S022335</x:t>
  </x:si>
  <x:si>
    <x:t>55125-KK020</x:t>
  </x:si>
  <x:si>
    <x:t>S022336</x:t>
  </x:si>
  <x:si>
    <x:t>S022337</x:t>
  </x:si>
  <x:si>
    <x:t>61768/9-KK030</x:t>
  </x:si>
  <x:si>
    <x:t>S022338</x:t>
  </x:si>
  <x:si>
    <x:t>53331/2-0K060</x:t>
  </x:si>
  <x:si>
    <x:t>S022339</x:t>
  </x:si>
  <x:si>
    <x:t>68945/6-0K070</x:t>
  </x:si>
  <x:si>
    <x:t>S022340</x:t>
  </x:si>
  <x:si>
    <x:t>68945/6-0K051</x:t>
  </x:si>
  <x:si>
    <x:t>S022341</x:t>
  </x:si>
  <x:si>
    <x:t>YZA1863299-51212-COM</x:t>
  </x:si>
  <x:si>
    <x:t>S022344</x:t>
  </x:si>
  <x:si>
    <x:t>53831.2-0K040</x:t>
  </x:si>
  <x:si>
    <x:t>S022346</x:t>
  </x:si>
  <x:si>
    <x:t>S022347</x:t>
  </x:si>
  <x:si>
    <x:t>S022349</x:t>
  </x:si>
  <x:si>
    <x:t>S022351</x:t>
  </x:si>
  <x:si>
    <x:t>67121AY900RT</x:t>
  </x:si>
  <x:si>
    <x:t>S022352</x:t>
  </x:si>
  <x:si>
    <x:t>S022353</x:t>
  </x:si>
  <x:si>
    <x:t>YZA1863420 -53717.8 - C2-OFFAL</x:t>
  </x:si>
  <x:si>
    <x:t>S022354</x:t>
  </x:si>
  <x:si>
    <x:t>61711.2-0K010-T1</x:t>
  </x:si>
  <x:si>
    <x:t>S022360</x:t>
  </x:si>
  <x:si>
    <x:t>S022361</x:t>
  </x:si>
  <x:si>
    <x:t>55748.9-0K030.10</x:t>
  </x:si>
  <x:si>
    <x:t>S022362</x:t>
  </x:si>
  <x:si>
    <x:t>61737.8-0K020-00</x:t>
  </x:si>
  <x:si>
    <x:t>S022364</x:t>
  </x:si>
  <x:si>
    <x:t>67162AY900RT</x:t>
  </x:si>
  <x:si>
    <x:t>S022366</x:t>
  </x:si>
  <x:si>
    <x:t>67178AY900RT</x:t>
  </x:si>
  <x:si>
    <x:t>S022367</x:t>
  </x:si>
  <x:si>
    <x:t>61181-76T00-00</x:t>
  </x:si>
  <x:si>
    <x:t>S022368</x:t>
  </x:si>
  <x:si>
    <x:t>S022370</x:t>
  </x:si>
  <x:si>
    <x:t>67145.6</x:t>
  </x:si>
  <x:si>
    <x:t>S022371</x:t>
  </x:si>
  <x:si>
    <x:t>67147.8</x:t>
  </x:si>
  <x:si>
    <x:t>S022372</x:t>
  </x:si>
  <x:si>
    <x:t>S022374</x:t>
  </x:si>
  <x:si>
    <x:t>S022375</x:t>
  </x:si>
  <x:si>
    <x:t>77611.2</x:t>
  </x:si>
  <x:si>
    <x:t>S022376</x:t>
  </x:si>
  <x:si>
    <x:t>S022378</x:t>
  </x:si>
  <x:si>
    <x:t>S022380</x:t>
  </x:si>
  <x:si>
    <x:t>451673-10420 / 451674-10430</x:t>
  </x:si>
  <x:si>
    <x:t>S022382</x:t>
  </x:si>
  <x:si>
    <x:t>451633-10630 / 451634-10500</x:t>
  </x:si>
  <x:si>
    <x:t>S022383</x:t>
  </x:si>
  <x:si>
    <x:t>S022384</x:t>
  </x:si>
  <x:si>
    <x:t>HMSI</x:t>
  </x:si>
  <x:si>
    <x:t>S022385</x:t>
  </x:si>
  <x:si>
    <x:t>S022387</x:t>
  </x:si>
  <x:si>
    <x:t>61124-68P10-</x:t>
  </x:si>
  <x:si>
    <x:t>S022389</x:t>
  </x:si>
  <x:si>
    <x:t>S022391</x:t>
  </x:si>
  <x:si>
    <x:t>S022392</x:t>
  </x:si>
  <x:si>
    <x:t>S022394</x:t>
  </x:si>
  <x:si>
    <x:t>67121-Q6550</x:t>
  </x:si>
  <x:si>
    <x:t>S022395</x:t>
  </x:si>
  <x:si>
    <x:t>58311</x:t>
  </x:si>
  <x:si>
    <x:t>S022398</x:t>
  </x:si>
  <x:si>
    <x:t>52172-ODO30</x:t>
  </x:si>
  <x:si>
    <x:t>S022399</x:t>
  </x:si>
  <x:si>
    <x:t>55171-0D300</x:t>
  </x:si>
  <x:si>
    <x:t>S022400</x:t>
  </x:si>
  <x:si>
    <x:t>55321-76T00</x:t>
  </x:si>
  <x:si>
    <x:t>S022403</x:t>
  </x:si>
  <x:si>
    <x:t>68191-76T00</x:t>
  </x:si>
  <x:si>
    <x:t>S022405</x:t>
  </x:si>
  <x:si>
    <x:t>S022406</x:t>
  </x:si>
  <x:si>
    <x:t>S022408</x:t>
  </x:si>
  <x:si>
    <x:t>68572-76T00</x:t>
  </x:si>
  <x:si>
    <x:t>S022410</x:t>
  </x:si>
  <x:si>
    <x:t>69161-76T00</x:t>
  </x:si>
  <x:si>
    <x:t>S022411</x:t>
  </x:si>
  <x:si>
    <x:t>S022412</x:t>
  </x:si>
  <x:si>
    <x:t>73213-76T00</x:t>
  </x:si>
  <x:si>
    <x:t>S022413</x:t>
  </x:si>
  <x:si>
    <x:t>73224-76T00</x:t>
  </x:si>
  <x:si>
    <x:t>S022415</x:t>
  </x:si>
  <x:si>
    <x:t>S022416</x:t>
  </x:si>
  <x:si>
    <x:t>S022417</x:t>
  </x:si>
  <x:si>
    <x:t>S022418</x:t>
  </x:si>
  <x:si>
    <x:t>S022419</x:t>
  </x:si>
  <x:si>
    <x:t>S022420</x:t>
  </x:si>
  <x:si>
    <x:t>S022421</x:t>
  </x:si>
  <x:si>
    <x:t>S022422</x:t>
  </x:si>
  <x:si>
    <x:t>S022424</x:t>
  </x:si>
  <x:si>
    <x:t>73224-76T50</x:t>
  </x:si>
  <x:si>
    <x:t>S022425</x:t>
  </x:si>
  <x:si>
    <x:t>73233-76T00/50</x:t>
  </x:si>
  <x:si>
    <x:t>S022426</x:t>
  </x:si>
  <x:si>
    <x:t>73235-76T00</x:t>
  </x:si>
  <x:si>
    <x:t>S022427</x:t>
  </x:si>
  <x:si>
    <x:t>S022429</x:t>
  </x:si>
  <x:si>
    <x:t>S022430</x:t>
  </x:si>
  <x:si>
    <x:t>S022431</x:t>
  </x:si>
  <x:si>
    <x:t>S022432</x:t>
  </x:si>
  <x:si>
    <x:t>S022433</x:t>
  </x:si>
  <x:si>
    <x:t>R8114911</x:t>
  </x:si>
  <x:si>
    <x:t>S022434</x:t>
  </x:si>
  <x:si>
    <x:t>6703006397- 71341.2-X7P00</x:t>
  </x:si>
  <x:si>
    <x:t>S022435</x:t>
  </x:si>
  <x:si>
    <x:t>6703006399- 71345.6-XP700</x:t>
  </x:si>
  <x:si>
    <x:t>S022436</x:t>
  </x:si>
  <x:si>
    <x:t>6703006401- 71343-X7P00</x:t>
  </x:si>
  <x:si>
    <x:t>S022438</x:t>
  </x:si>
  <x:si>
    <x:t>S022439</x:t>
  </x:si>
  <x:si>
    <x:t>S022441</x:t>
  </x:si>
  <x:si>
    <x:t>S022442</x:t>
  </x:si>
  <x:si>
    <x:t>S022443</x:t>
  </x:si>
  <x:si>
    <x:t>S022444</x:t>
  </x:si>
  <x:si>
    <x:t>S022445</x:t>
  </x:si>
  <x:si>
    <x:t>S022446</x:t>
  </x:si>
  <x:si>
    <x:t>17510-F2190-01</x:t>
  </x:si>
  <x:si>
    <x:t>S022447</x:t>
  </x:si>
  <x:si>
    <x:t>17530-VT010-01</x:t>
  </x:si>
  <x:si>
    <x:t>S022448</x:t>
  </x:si>
  <x:si>
    <x:t>S022450</x:t>
  </x:si>
  <x:si>
    <x:t>S022452</x:t>
  </x:si>
  <x:si>
    <x:t>S022454</x:t>
  </x:si>
  <x:si>
    <x:t>S022455</x:t>
  </x:si>
  <x:si>
    <x:t>S022456</x:t>
  </x:si>
  <x:si>
    <x:t>S022457</x:t>
  </x:si>
  <x:si>
    <x:t>S022458</x:t>
  </x:si>
  <x:si>
    <x:t>S022459</x:t>
  </x:si>
  <x:si>
    <x:t>S022460</x:t>
  </x:si>
  <x:si>
    <x:t>S022461</x:t>
  </x:si>
  <x:si>
    <x:t>S022464</x:t>
  </x:si>
  <x:si>
    <x:t>S022465</x:t>
  </x:si>
  <x:si>
    <x:t>S022467</x:t>
  </x:si>
  <x:si>
    <x:t>S022468</x:t>
  </x:si>
  <x:si>
    <x:t>55335VT030</x:t>
  </x:si>
  <x:si>
    <x:t>S022469</x:t>
  </x:si>
  <x:si>
    <x:t>6703006438-7P845-X7H01</x:t>
  </x:si>
  <x:si>
    <x:t>S022470</x:t>
  </x:si>
  <x:si>
    <x:t>6703006419-72439-X7V62</x:t>
  </x:si>
  <x:si>
    <x:t>S022471</x:t>
  </x:si>
  <x:si>
    <x:t>S022472</x:t>
  </x:si>
  <x:si>
    <x:t>S022473</x:t>
  </x:si>
  <x:si>
    <x:t>67141.2</x:t>
  </x:si>
  <x:si>
    <x:t>S022475</x:t>
  </x:si>
  <x:si>
    <x:t>67327.8-VT020</x:t>
  </x:si>
  <x:si>
    <x:t>S022476</x:t>
  </x:si>
  <x:si>
    <x:t>57621.2-VT010</x:t>
  </x:si>
  <x:si>
    <x:t>S022477</x:t>
  </x:si>
  <x:si>
    <x:t>5538FVT030D</x:t>
  </x:si>
  <x:si>
    <x:t>S022478</x:t>
  </x:si>
  <x:si>
    <x:t>82715VTA20</x:t>
  </x:si>
  <x:si>
    <x:t>S022479</x:t>
  </x:si>
  <x:si>
    <x:t>82715VT830</x:t>
  </x:si>
  <x:si>
    <x:t>S022480</x:t>
  </x:si>
  <x:si>
    <x:t>82715VT710</x:t>
  </x:si>
  <x:si>
    <x:t>S022481</x:t>
  </x:si>
  <x:si>
    <x:t>82715VTB10</x:t>
  </x:si>
  <x:si>
    <x:t>S022482</x:t>
  </x:si>
  <x:si>
    <x:t>8946AF7050</x:t>
  </x:si>
  <x:si>
    <x:t>S022483</x:t>
  </x:si>
  <x:si>
    <x:t>6703006414-71122-VT010</x:t>
  </x:si>
  <x:si>
    <x:t>S022484</x:t>
  </x:si>
  <x:si>
    <x:t>6703006416-7P845-X7H02</x:t>
  </x:si>
  <x:si>
    <x:t>S022486</x:t>
  </x:si>
  <x:si>
    <x:t>6703006417-7P845-X7H00</x:t>
  </x:si>
  <x:si>
    <x:t>S022487</x:t>
  </x:si>
  <x:si>
    <x:t>S022489</x:t>
  </x:si>
  <x:si>
    <x:t>6703006426-71167-X7V36</x:t>
  </x:si>
  <x:si>
    <x:t>S022491</x:t>
  </x:si>
  <x:si>
    <x:t>6703006427-71371-X7V39</x:t>
  </x:si>
  <x:si>
    <x:t>S022492</x:t>
  </x:si>
  <x:si>
    <x:t>S022493</x:t>
  </x:si>
  <x:si>
    <x:t>S022494</x:t>
  </x:si>
  <x:si>
    <x:t>S022495</x:t>
  </x:si>
  <x:si>
    <x:t>6703006428-72577-X7V12</x:t>
  </x:si>
  <x:si>
    <x:t>S022496</x:t>
  </x:si>
  <x:si>
    <x:t>6703006408-71305-X7V67</x:t>
  </x:si>
  <x:si>
    <x:t>S022497</x:t>
  </x:si>
  <x:si>
    <x:t>6703006303-72141-X7H00</x:t>
  </x:si>
  <x:si>
    <x:t>S022498</x:t>
  </x:si>
  <x:si>
    <x:t>6703006433-72146-X7H00</x:t>
  </x:si>
  <x:si>
    <x:t>S022499</x:t>
  </x:si>
  <x:si>
    <x:t>7P845-X7H01</x:t>
  </x:si>
  <x:si>
    <x:t>S022501</x:t>
  </x:si>
  <x:si>
    <x:t>15104F3010-6</x:t>
  </x:si>
  <x:si>
    <x:t>S022502</x:t>
  </x:si>
  <x:si>
    <x:t>S022503</x:t>
  </x:si>
  <x:si>
    <x:t>S022505</x:t>
  </x:si>
  <x:si>
    <x:t>S022507</x:t>
  </x:si>
  <x:si>
    <x:t>S022508</x:t>
  </x:si>
  <x:si>
    <x:t>S022509</x:t>
  </x:si>
  <x:si>
    <x:t>63481/76T00</x:t>
  </x:si>
  <x:si>
    <x:t>S022510</x:t>
  </x:si>
  <x:si>
    <x:t>69151-76T00</x:t>
  </x:si>
  <x:si>
    <x:t>S022511</x:t>
  </x:si>
  <x:si>
    <x:t>S022512</x:t>
  </x:si>
  <x:si>
    <x:t>S022513</x:t>
  </x:si>
  <x:si>
    <x:t>S022514</x:t>
  </x:si>
  <x:si>
    <x:t>P55326-VT030-RM</x:t>
  </x:si>
  <x:si>
    <x:t>S022515</x:t>
  </x:si>
  <x:si>
    <x:t>S022516</x:t>
  </x:si>
  <x:si>
    <x:t>S022517</x:t>
  </x:si>
  <x:si>
    <x:t>S022518</x:t>
  </x:si>
  <x:si>
    <x:t>61111/161- 76T00</x:t>
  </x:si>
  <x:si>
    <x:t>S022519</x:t>
  </x:si>
  <x:si>
    <x:t>61513-76TA0</x:t>
  </x:si>
  <x:si>
    <x:t>S022520</x:t>
  </x:si>
  <x:si>
    <x:t>59111-64M00</x:t>
  </x:si>
  <x:si>
    <x:t>S022522</x:t>
  </x:si>
  <x:si>
    <x:t>S022523</x:t>
  </x:si>
  <x:si>
    <x:t>67325.6-VT020</x:t>
  </x:si>
  <x:si>
    <x:t>S022525</x:t>
  </x:si>
  <x:si>
    <x:t>53322-VT010</x:t>
  </x:si>
  <x:si>
    <x:t>S022527</x:t>
  </x:si>
  <x:si>
    <x:t>S022528</x:t>
  </x:si>
  <x:si>
    <x:t>57675.6-VT010</x:t>
  </x:si>
  <x:si>
    <x:t>S022530</x:t>
  </x:si>
  <x:si>
    <x:t>S022532</x:t>
  </x:si>
  <x:si>
    <x:t>57488.9-VT010</x:t>
  </x:si>
  <x:si>
    <x:t>S022533</x:t>
  </x:si>
  <x:si>
    <x:t>55383VT030</x:t>
  </x:si>
  <x:si>
    <x:t>S022534</x:t>
  </x:si>
  <x:si>
    <x:t>17169124YL</x:t>
  </x:si>
  <x:si>
    <x:t>S022535</x:t>
  </x:si>
  <x:si>
    <x:t>G11750J010</x:t>
  </x:si>
  <x:si>
    <x:t>S022538</x:t>
  </x:si>
  <x:si>
    <x:t>S022541</x:t>
  </x:si>
  <x:si>
    <x:t>57662-VT010</x:t>
  </x:si>
  <x:si>
    <x:t>S022542</x:t>
  </x:si>
  <x:si>
    <x:t>15104F3010-4</x:t>
  </x:si>
  <x:si>
    <x:t>S022543</x:t>
  </x:si>
  <x:si>
    <x:t>S022545</x:t>
  </x:si>
  <x:si>
    <x:t>47781.2-VT020</x:t>
  </x:si>
  <x:si>
    <x:t>S022546</x:t>
  </x:si>
  <x:si>
    <x:t>47881.2VT020</x:t>
  </x:si>
  <x:si>
    <x:t>S022548</x:t>
  </x:si>
  <x:si>
    <x:t>55114-VT010</x:t>
  </x:si>
  <x:si>
    <x:t>S022549</x:t>
  </x:si>
  <x:si>
    <x:t>S022551</x:t>
  </x:si>
  <x:si>
    <x:t>S022552</x:t>
  </x:si>
  <x:si>
    <x:t>S022559</x:t>
  </x:si>
  <x:si>
    <x:t>6703006418-72155-X7V12</x:t>
  </x:si>
  <x:si>
    <x:t>S022563</x:t>
  </x:si>
  <x:si>
    <x:t>57843-VT010/57844-VT010</x:t>
  </x:si>
  <x:si>
    <x:t>S022565</x:t>
  </x:si>
  <x:si>
    <x:t>82715VT360</x:t>
  </x:si>
  <x:si>
    <x:t>S022566</x:t>
  </x:si>
  <x:si>
    <x:t>82715VT370</x:t>
  </x:si>
  <x:si>
    <x:t>S022567</x:t>
  </x:si>
  <x:si>
    <x:t>82715VT380</x:t>
  </x:si>
  <x:si>
    <x:t>S022569</x:t>
  </x:si>
  <x:si>
    <x:t>63161.2-VT010</x:t>
  </x:si>
  <x:si>
    <x:t>S022573</x:t>
  </x:si>
  <x:si>
    <x:t>S022574</x:t>
  </x:si>
  <x:si>
    <x:t>82715VT390</x:t>
  </x:si>
  <x:si>
    <x:t>S022576</x:t>
  </x:si>
  <x:si>
    <x:t>S022578</x:t>
  </x:si>
  <x:si>
    <x:t>S022585</x:t>
  </x:si>
  <x:si>
    <x:t>S022586</x:t>
  </x:si>
  <x:si>
    <x:t>S022587</x:t>
  </x:si>
  <x:si>
    <x:t>S022588</x:t>
  </x:si>
  <x:si>
    <x:t>S022589</x:t>
  </x:si>
  <x:si>
    <x:t>S022590</x:t>
  </x:si>
  <x:si>
    <x:t>S022591</x:t>
  </x:si>
  <x:si>
    <x:t>S022593</x:t>
  </x:si>
  <x:si>
    <x:t>S022594</x:t>
  </x:si>
  <x:si>
    <x:t>59115-61M00A</x:t>
  </x:si>
  <x:si>
    <x:t>S022595</x:t>
  </x:si>
  <x:si>
    <x:t>S022596</x:t>
  </x:si>
  <x:si>
    <x:t>S022597</x:t>
  </x:si>
  <x:si>
    <x:t>S022598</x:t>
  </x:si>
  <x:si>
    <x:t>S022599</x:t>
  </x:si>
  <x:si>
    <x:t>S022600</x:t>
  </x:si>
  <x:si>
    <x:t>33801-54P00</x:t>
  </x:si>
  <x:si>
    <x:t>S022601</x:t>
  </x:si>
  <x:si>
    <x:t>36653-85S00</x:t>
  </x:si>
  <x:si>
    <x:t>S022602</x:t>
  </x:si>
  <x:si>
    <x:t>S022603</x:t>
  </x:si>
  <x:si>
    <x:t>S022604</x:t>
  </x:si>
  <x:si>
    <x:t>49115-61M50</x:t>
  </x:si>
  <x:si>
    <x:t>S022605</x:t>
  </x:si>
  <x:si>
    <x:t>S022606</x:t>
  </x:si>
  <x:si>
    <x:t>S022607</x:t>
  </x:si>
  <x:si>
    <x:t>6703006442-71121-X7A47</x:t>
  </x:si>
  <x:si>
    <x:t>S022608</x:t>
  </x:si>
  <x:si>
    <x:t>89667-F7010</x:t>
  </x:si>
  <x:si>
    <x:t>S022609</x:t>
  </x:si>
  <x:si>
    <x:t>82715-VTA70</x:t>
  </x:si>
  <x:si>
    <x:t>S022610</x:t>
  </x:si>
  <x:si>
    <x:t>16575-VT030</x:t>
  </x:si>
  <x:si>
    <x:t>S022611</x:t>
  </x:si>
  <x:si>
    <x:t>82715-VT840</x:t>
  </x:si>
  <x:si>
    <x:t>S022613</x:t>
  </x:si>
  <x:si>
    <x:t>57633.4-VT010</x:t>
  </x:si>
  <x:si>
    <x:t>S022615</x:t>
  </x:si>
  <x:si>
    <x:t>52141.2-VT010</x:t>
  </x:si>
  <x:si>
    <x:t>S022617</x:t>
  </x:si>
  <x:si>
    <x:t>57613.4-VT010</x:t>
  </x:si>
  <x:si>
    <x:t>S022619</x:t>
  </x:si>
  <x:si>
    <x:t>64141-76T00</x:t>
  </x:si>
  <x:si>
    <x:t>S022620</x:t>
  </x:si>
  <x:si>
    <x:t>61167.8-KK010</x:t>
  </x:si>
  <x:si>
    <x:t>S022621</x:t>
  </x:si>
  <x:si>
    <x:t>6703006429-71305.6-X7V66/71</x:t>
  </x:si>
  <x:si>
    <x:t>S022622</x:t>
  </x:si>
  <x:si>
    <x:t>6703006410-72405-X7V18</x:t>
  </x:si>
  <x:si>
    <x:t>S022623</x:t>
  </x:si>
  <x:si>
    <x:t>6703006430-73012-X7V55</x:t>
  </x:si>
  <x:si>
    <x:t>S022625</x:t>
  </x:si>
  <x:si>
    <x:t>S022626</x:t>
  </x:si>
  <x:si>
    <x:t>S022627</x:t>
  </x:si>
  <x:si>
    <x:t>5533BVT030</x:t>
  </x:si>
  <x:si>
    <x:t>S022628</x:t>
  </x:si>
  <x:si>
    <x:t>67143.4</x:t>
  </x:si>
  <x:si>
    <x:t>S022629</x:t>
  </x:si>
  <x:si>
    <x:t>15104F3010-2</x:t>
  </x:si>
  <x:si>
    <x:t>S022632</x:t>
  </x:si>
  <x:si>
    <x:t>S022634</x:t>
  </x:si>
  <x:si>
    <x:t>61621.2</x:t>
  </x:si>
  <x:si>
    <x:t>S022635</x:t>
  </x:si>
  <x:si>
    <x:t>61627.8</x:t>
  </x:si>
  <x:si>
    <x:t>S022636</x:t>
  </x:si>
  <x:si>
    <x:t>61512-76T00</x:t>
  </x:si>
  <x:si>
    <x:t>S022637</x:t>
  </x:si>
  <x:si>
    <x:t>S022638</x:t>
  </x:si>
  <x:si>
    <x:t>6703006435-85868-VT010</x:t>
  </x:si>
  <x:si>
    <x:t>S022640</x:t>
  </x:si>
  <x:si>
    <x:t>S022641</x:t>
  </x:si>
  <x:si>
    <x:t>S022642</x:t>
  </x:si>
  <x:si>
    <x:t>S022644</x:t>
  </x:si>
  <x:si>
    <x:t>S022646</x:t>
  </x:si>
  <x:si>
    <x:t>S022647</x:t>
  </x:si>
  <x:si>
    <x:t>57645.6-VT010</x:t>
  </x:si>
  <x:si>
    <x:t>S022648</x:t>
  </x:si>
  <x:si>
    <x:t>5531AVT030</x:t>
  </x:si>
  <x:si>
    <x:t>S022649</x:t>
  </x:si>
  <x:si>
    <x:t>55381VT030</x:t>
  </x:si>
  <x:si>
    <x:t>S022650</x:t>
  </x:si>
  <x:si>
    <x:t>5531BVT030</x:t>
  </x:si>
  <x:si>
    <x:t>S022651</x:t>
  </x:si>
  <x:si>
    <x:t>55336VT030</x:t>
  </x:si>
  <x:si>
    <x:t>S022652</x:t>
  </x:si>
  <x:si>
    <x:t>55382VT030</x:t>
  </x:si>
  <x:si>
    <x:t>S022653</x:t>
  </x:si>
  <x:si>
    <x:t>5531CVT030</x:t>
  </x:si>
  <x:si>
    <x:t>S022654</x:t>
  </x:si>
  <x:si>
    <x:t>82715-VT340</x:t>
  </x:si>
  <x:si>
    <x:t>S022656</x:t>
  </x:si>
  <x:si>
    <x:t>74411VT010</x:t>
  </x:si>
  <x:si>
    <x:t>S022657</x:t>
  </x:si>
  <x:si>
    <x:t>6703006431-74411VT010</x:t>
  </x:si>
  <x:si>
    <x:t>S022658</x:t>
  </x:si>
  <x:si>
    <x:t>S022659</x:t>
  </x:si>
  <x:si>
    <x:t>K1EA TANK R/L</x:t>
  </x:si>
  <x:si>
    <x:t>S022660</x:t>
  </x:si>
  <x:si>
    <x:t>S022661</x:t>
  </x:si>
  <x:si>
    <x:t>S022662</x:t>
  </x:si>
  <x:si>
    <x:t>S022663</x:t>
  </x:si>
  <x:si>
    <x:t>SG530/510-W0100/150-01</x:t>
  </x:si>
  <x:si>
    <x:t>S022665</x:t>
  </x:si>
  <x:si>
    <x:t>44594VT050</x:t>
  </x:si>
  <x:si>
    <x:t>S022666</x:t>
  </x:si>
  <x:si>
    <x:t>44596VT020</x:t>
  </x:si>
  <x:si>
    <x:t>S022668</x:t>
  </x:si>
  <x:si>
    <x:t>48471-VT020</x:t>
  </x:si>
  <x:si>
    <x:t>S022670</x:t>
  </x:si>
  <x:si>
    <x:t>S022674</x:t>
  </x:si>
  <x:si>
    <x:t>18453-VT010</x:t>
  </x:si>
  <x:si>
    <x:t>S022675</x:t>
  </x:si>
  <x:si>
    <x:t>61513-76T00</x:t>
  </x:si>
  <x:si>
    <x:t>S022677</x:t>
  </x:si>
  <x:si>
    <x:t>S022678</x:t>
  </x:si>
  <x:si>
    <x:t>68511.711-76T00</x:t>
  </x:si>
  <x:si>
    <x:t>S022679</x:t>
  </x:si>
  <x:si>
    <x:t>68111.311-76T00</x:t>
  </x:si>
  <x:si>
    <x:t>S022681</x:t>
  </x:si>
  <x:si>
    <x:t>S022685</x:t>
  </x:si>
  <x:si>
    <x:t>S022686</x:t>
  </x:si>
  <x:si>
    <x:t>S022687</x:t>
  </x:si>
  <x:si>
    <x:t>57181.2-VT010</x:t>
  </x:si>
  <x:si>
    <x:t>S022696</x:t>
  </x:si>
  <x:si>
    <x:t>S022697</x:t>
  </x:si>
  <x:si>
    <x:t>57483.4-VT010</x:t>
  </x:si>
  <x:si>
    <x:t>S022698</x:t>
  </x:si>
  <x:si>
    <x:t>6703006405-71345.6-XP700</x:t>
  </x:si>
  <x:si>
    <x:t>S022699</x:t>
  </x:si>
  <x:si>
    <x:t>S022701</x:t>
  </x:si>
  <x:si>
    <x:t>6703006404-7X723.4-X7P00</x:t>
  </x:si>
  <x:si>
    <x:t>S022702</x:t>
  </x:si>
  <x:si>
    <x:t>SG453-W0050</x:t>
  </x:si>
  <x:si>
    <x:t>S022703</x:t>
  </x:si>
  <x:si>
    <x:t>S022704</x:t>
  </x:si>
  <x:si>
    <x:t>S022705</x:t>
  </x:si>
  <x:si>
    <x:t>S022706</x:t>
  </x:si>
  <x:si>
    <x:t>S022707</x:t>
  </x:si>
  <x:si>
    <x:t>S022708</x:t>
  </x:si>
  <x:si>
    <x:t>S022709</x:t>
  </x:si>
  <x:si>
    <x:t>53737.8-VT010</x:t>
  </x:si>
  <x:si>
    <x:t>S022710</x:t>
  </x:si>
  <x:si>
    <x:t>S022711</x:t>
  </x:si>
  <x:si>
    <x:t>57163.4-VT010</x:t>
  </x:si>
  <x:si>
    <x:t>S022712</x:t>
  </x:si>
  <x:si>
    <x:t>53743.4-VT010</x:t>
  </x:si>
  <x:si>
    <x:t>S022713</x:t>
  </x:si>
  <x:si>
    <x:t>57411.2-VT010</x:t>
  </x:si>
  <x:si>
    <x:t>S022714</x:t>
  </x:si>
  <x:si>
    <x:t>57151.2-VT010</x:t>
  </x:si>
  <x:si>
    <x:t>S022715</x:t>
  </x:si>
  <x:si>
    <x:t>S022716</x:t>
  </x:si>
  <x:si>
    <x:t>S022717</x:t>
  </x:si>
  <x:si>
    <x:t>S022719</x:t>
  </x:si>
  <x:si>
    <x:t>17138124YL</x:t>
  </x:si>
  <x:si>
    <x:t>S022720</x:t>
  </x:si>
  <x:si>
    <x:t>6703006411-72147-X7H00</x:t>
  </x:si>
  <x:si>
    <x:t>S022721</x:t>
  </x:si>
  <x:si>
    <x:t>6703006412-72143-VT010</x:t>
  </x:si>
  <x:si>
    <x:t>S022723</x:t>
  </x:si>
  <x:si>
    <x:t>S022724</x:t>
  </x:si>
  <x:si>
    <x:t>S022725</x:t>
  </x:si>
  <x:si>
    <x:t>S022727</x:t>
  </x:si>
  <x:si>
    <x:t>S022728</x:t>
  </x:si>
  <x:si>
    <x:t>S022730</x:t>
  </x:si>
  <x:si>
    <x:t>S022736</x:t>
  </x:si>
  <x:si>
    <x:t>S022737</x:t>
  </x:si>
  <x:si>
    <x:t>61623.4-VT010/20</x:t>
  </x:si>
  <x:si>
    <x:t>S022738</x:t>
  </x:si>
  <x:si>
    <x:t>S022739</x:t>
  </x:si>
  <x:si>
    <x:t>67151.2-VT010/20</x:t>
  </x:si>
  <x:si>
    <x:t>S022740</x:t>
  </x:si>
  <x:si>
    <x:t>S022741</x:t>
  </x:si>
  <x:si>
    <x:t>61761-VT010/20</x:t>
  </x:si>
  <x:si>
    <x:t>S022743</x:t>
  </x:si>
  <x:si>
    <x:t>17118F3040</x:t>
  </x:si>
  <x:si>
    <x:t>S022744</x:t>
  </x:si>
  <x:si>
    <x:t>69111-76T00</x:t>
  </x:si>
  <x:si>
    <x:t>S022745</x:t>
  </x:si>
  <x:si>
    <x:t>S022746</x:t>
  </x:si>
  <x:si>
    <x:t>S022747</x:t>
  </x:si>
  <x:si>
    <x:t>S022748</x:t>
  </x:si>
  <x:si>
    <x:t>S022749</x:t>
  </x:si>
  <x:si>
    <x:t>S022750</x:t>
  </x:si>
  <x:si>
    <x:t>S022751</x:t>
  </x:si>
  <x:si>
    <x:t>S022752</x:t>
  </x:si>
  <x:si>
    <x:t>S022758</x:t>
  </x:si>
  <x:si>
    <x:t>R0715090LH</x:t>
  </x:si>
  <x:si>
    <x:t>S022762</x:t>
  </x:si>
  <x:si>
    <x:t>S022771</x:t>
  </x:si>
  <x:si>
    <x:t>000000000000008759-67111.2-0K070-660A</x:t>
  </x:si>
  <x:si>
    <x:t>S022772</x:t>
  </x:si>
  <x:si>
    <x:t>000000000000008760-67113.4-0K070-660A</x:t>
  </x:si>
  <x:si>
    <x:t>S022773</x:t>
  </x:si>
  <x:si>
    <x:t>57661-VT010</x:t>
  </x:si>
  <x:si>
    <x:t>S022775</x:t>
  </x:si>
  <x:si>
    <x:t>S022777</x:t>
  </x:si>
  <x:si>
    <x:t>77277-VT040</x:t>
  </x:si>
  <x:si>
    <x:t>S022778</x:t>
  </x:si>
  <x:si>
    <x:t>77277-VT060</x:t>
  </x:si>
  <x:si>
    <x:t>S022782</x:t>
  </x:si>
  <x:si>
    <x:t>S022783</x:t>
  </x:si>
  <x:si>
    <x:t>63148.9-VT010</x:t>
  </x:si>
  <x:si>
    <x:t>S022786</x:t>
  </x:si>
  <x:si>
    <x:t>S022787</x:t>
  </x:si>
  <x:si>
    <x:t>S022788</x:t>
  </x:si>
  <x:si>
    <x:t>S022789</x:t>
  </x:si>
  <x:si>
    <x:t>S022790</x:t>
  </x:si>
  <x:si>
    <x:t>S022791</x:t>
  </x:si>
  <x:si>
    <x:t>S022792</x:t>
  </x:si>
  <x:si>
    <x:t>S022793</x:t>
  </x:si>
  <x:si>
    <x:t>S022794</x:t>
  </x:si>
  <x:si>
    <x:t>S022795</x:t>
  </x:si>
  <x:si>
    <x:t>S022796</x:t>
  </x:si>
  <x:si>
    <x:t>S022812</x:t>
  </x:si>
  <x:si>
    <x:t>47273VT020</x:t>
  </x:si>
  <x:si>
    <x:t>S022814</x:t>
  </x:si>
  <x:si>
    <x:t>S022815</x:t>
  </x:si>
  <x:si>
    <x:t>33823-VT040</x:t>
  </x:si>
  <x:si>
    <x:t>S022816</x:t>
  </x:si>
  <x:si>
    <x:t>S022817</x:t>
  </x:si>
  <x:si>
    <x:t>S022818</x:t>
  </x:si>
  <x:si>
    <x:t>S022819</x:t>
  </x:si>
  <x:si>
    <x:t>S022820</x:t>
  </x:si>
  <x:si>
    <x:t>6703006425-71111-X7V15</x:t>
  </x:si>
  <x:si>
    <x:t>S022821</x:t>
  </x:si>
  <x:si>
    <x:t>S022822</x:t>
  </x:si>
  <x:si>
    <x:t>6703006289-71158-X7V33</x:t>
  </x:si>
  <x:si>
    <x:t>S022823</x:t>
  </x:si>
  <x:si>
    <x:t>6703006392-72262.3-VT010</x:t>
  </x:si>
  <x:si>
    <x:t>S022824</x:t>
  </x:si>
  <x:si>
    <x:t>58395.6-VT010</x:t>
  </x:si>
  <x:si>
    <x:t>S022825</x:t>
  </x:si>
  <x:si>
    <x:t>52143.4-VT010</x:t>
  </x:si>
  <x:si>
    <x:t>S022826</x:t>
  </x:si>
  <x:si>
    <x:t>67321.2-VT020</x:t>
  </x:si>
  <x:si>
    <x:t>S022827</x:t>
  </x:si>
  <x:si>
    <x:t>67323.4-VT020</x:t>
  </x:si>
  <x:si>
    <x:t>S022829</x:t>
  </x:si>
  <x:si>
    <x:t>S022830</x:t>
  </x:si>
  <x:si>
    <x:t>6703006437-71162-X7V93</x:t>
  </x:si>
  <x:si>
    <x:t>S022831</x:t>
  </x:si>
  <x:si>
    <x:t>57435.6-VT010</x:t>
  </x:si>
  <x:si>
    <x:t>S022832</x:t>
  </x:si>
  <x:si>
    <x:t>57351.2-VT010</x:t>
  </x:si>
  <x:si>
    <x:t>S022833</x:t>
  </x:si>
  <x:si>
    <x:t>S022834</x:t>
  </x:si>
  <x:si>
    <x:t>57465.6-VT010</x:t>
  </x:si>
  <x:si>
    <x:t>S022835</x:t>
  </x:si>
  <x:si>
    <x:t>57335.6/694-VT010</x:t>
  </x:si>
  <x:si>
    <x:t>S022836</x:t>
  </x:si>
  <x:si>
    <x:t>S022837</x:t>
  </x:si>
  <x:si>
    <x:t>57771.2-VT010</x:t>
  </x:si>
  <x:si>
    <x:t>S022838</x:t>
  </x:si>
  <x:si>
    <x:t>63141-VT020</x:t>
  </x:si>
  <x:si>
    <x:t>S022839</x:t>
  </x:si>
  <x:si>
    <x:t>57631.2-VT010</x:t>
  </x:si>
  <x:si>
    <x:t>S022840</x:t>
  </x:si>
  <x:si>
    <x:t>S022841</x:t>
  </x:si>
  <x:si>
    <x:t>89573F7010</x:t>
  </x:si>
  <x:si>
    <x:t>S022842</x:t>
  </x:si>
  <x:si>
    <x:t>S022843</x:t>
  </x:si>
  <x:si>
    <x:t>57656-VT010</x:t>
  </x:si>
  <x:si>
    <x:t>S022844</x:t>
  </x:si>
  <x:si>
    <x:t>S022845</x:t>
  </x:si>
  <x:si>
    <x:t>S022846</x:t>
  </x:si>
  <x:si>
    <x:t>S022847</x:t>
  </x:si>
  <x:si>
    <x:t>S022848</x:t>
  </x:si>
  <x:si>
    <x:t>S022849</x:t>
  </x:si>
  <x:si>
    <x:t>S022850</x:t>
  </x:si>
  <x:si>
    <x:t>S022851</x:t>
  </x:si>
  <x:si>
    <x:t>S022852</x:t>
  </x:si>
  <x:si>
    <x:t>S022853</x:t>
  </x:si>
  <x:si>
    <x:t>S022854</x:t>
  </x:si>
  <x:si>
    <x:t>74482VT010</x:t>
  </x:si>
  <x:si>
    <x:t>S022855</x:t>
  </x:si>
  <x:si>
    <x:t>6703006417-7P845-X7H01</x:t>
  </x:si>
  <x:si>
    <x:t>S022856</x:t>
  </x:si>
  <x:si>
    <x:t>23835F3020</x:t>
  </x:si>
  <x:si>
    <x:t>S022857</x:t>
  </x:si>
  <x:si>
    <x:t>6703006419_72439-X7V62</x:t>
  </x:si>
  <x:si>
    <x:t>S022858</x:t>
  </x:si>
  <x:si>
    <x:t>S022859</x:t>
  </x:si>
  <x:si>
    <x:t>6703006443-71343-X7P00</x:t>
  </x:si>
  <x:si>
    <x:t>S022860</x:t>
  </x:si>
  <x:si>
    <x:t>6703006444-73751-X7P00</x:t>
  </x:si>
  <x:si>
    <x:t>S022863</x:t>
  </x:si>
  <x:si>
    <x:t>S022864</x:t>
  </x:si>
  <x:si>
    <x:t>68981 - 0K040</x:t>
  </x:si>
  <x:si>
    <x:t>S022865</x:t>
  </x:si>
  <x:si>
    <x:t>S022866</x:t>
  </x:si>
  <x:si>
    <x:t>S022867</x:t>
  </x:si>
  <x:si>
    <x:t>S022868</x:t>
  </x:si>
  <x:si>
    <x:t>S022869</x:t>
  </x:si>
  <x:si>
    <x:t>S022870</x:t>
  </x:si>
  <x:si>
    <x:t>S022871</x:t>
  </x:si>
  <x:si>
    <x:t>S022872</x:t>
  </x:si>
  <x:si>
    <x:t>S022873</x:t>
  </x:si>
  <x:si>
    <x:t>S022874</x:t>
  </x:si>
  <x:si>
    <x:t>S022876</x:t>
  </x:si>
  <x:si>
    <x:t>S022877</x:t>
  </x:si>
  <x:si>
    <x:t>S022878</x:t>
  </x:si>
  <x:si>
    <x:t>47381F7030</x:t>
  </x:si>
  <x:si>
    <x:t>S022879</x:t>
  </x:si>
  <x:si>
    <x:t>57647.8-VT010</x:t>
  </x:si>
  <x:si>
    <x:t>S022880</x:t>
  </x:si>
  <x:si>
    <x:t>82715VT310</x:t>
  </x:si>
  <x:si>
    <x:t>S022881</x:t>
  </x:si>
  <x:si>
    <x:t>17138125YL</x:t>
  </x:si>
  <x:si>
    <x:t>S022882</x:t>
  </x:si>
  <x:si>
    <x:t>S022883</x:t>
  </x:si>
  <x:si>
    <x:t>S022884</x:t>
  </x:si>
  <x:si>
    <x:t>S022885</x:t>
  </x:si>
  <x:si>
    <x:t>S022886</x:t>
  </x:si>
  <x:si>
    <x:t>S022889</x:t>
  </x:si>
  <x:si>
    <x:t>S022898</x:t>
  </x:si>
  <x:si>
    <x:t>S022899</x:t>
  </x:si>
  <x:si>
    <x:t>61153.4-VT010</x:t>
  </x:si>
  <x:si>
    <x:t>S022900</x:t>
  </x:si>
  <x:si>
    <x:t>S022901</x:t>
  </x:si>
  <x:si>
    <x:t>S022902</x:t>
  </x:si>
  <x:si>
    <x:t>S022903</x:t>
  </x:si>
  <x:si>
    <x:t>S022904</x:t>
  </x:si>
  <x:si>
    <x:t>S022905</x:t>
  </x:si>
  <x:si>
    <x:t>S022906</x:t>
  </x:si>
  <x:si>
    <x:t>S022907</x:t>
  </x:si>
  <x:si>
    <x:t>S022914</x:t>
  </x:si>
  <x:si>
    <x:t>67127.8-VT010/20</x:t>
  </x:si>
  <x:si>
    <x:t>S022915</x:t>
  </x:si>
  <x:si>
    <x:t>61125.6-VT010/20-Z2</x:t>
  </x:si>
  <x:si>
    <x:t>S022916</x:t>
  </x:si>
  <x:si>
    <x:t>61615.6-VT010/20</x:t>
  </x:si>
  <x:si>
    <x:t>S022917</x:t>
  </x:si>
  <x:si>
    <x:t>61673.4-VT010</x:t>
  </x:si>
  <x:si>
    <x:t>S022918</x:t>
  </x:si>
  <x:si>
    <x:t>S022919</x:t>
  </x:si>
  <x:si>
    <x:t>55723.4-VT010/20-Z2</x:t>
  </x:si>
  <x:si>
    <x:t>S022920</x:t>
  </x:si>
  <x:si>
    <x:t>61768.9-VT010-Z1</x:t>
  </x:si>
  <x:si>
    <x:t>S022921</x:t>
  </x:si>
  <x:si>
    <x:t>67125.6-VT010/20</x:t>
  </x:si>
  <x:si>
    <x:t>S022922</x:t>
  </x:si>
  <x:si>
    <x:t>58271.2-VT010</x:t>
  </x:si>
  <x:si>
    <x:t>S022923</x:t>
  </x:si>
  <x:si>
    <x:t>S022924</x:t>
  </x:si>
  <x:si>
    <x:t>61683.4-VT010/20</x:t>
  </x:si>
  <x:si>
    <x:t>S022925</x:t>
  </x:si>
  <x:si>
    <x:t>S022926</x:t>
  </x:si>
  <x:si>
    <x:t>S022927</x:t>
  </x:si>
  <x:si>
    <x:t>61113.4-VT010/20-Z2</x:t>
  </x:si>
  <x:si>
    <x:t>S022928</x:t>
  </x:si>
  <x:si>
    <x:t>S022929</x:t>
  </x:si>
  <x:si>
    <x:t>67197.8-VT010/20-Z2</x:t>
  </x:si>
  <x:si>
    <x:t>S022930</x:t>
  </x:si>
  <x:si>
    <x:t>S022931</x:t>
  </x:si>
  <x:si>
    <x:t>S022939</x:t>
  </x:si>
  <x:si>
    <x:t>S022941</x:t>
  </x:si>
  <x:si>
    <x:t>S022942</x:t>
  </x:si>
  <x:si>
    <x:t>55157-VT010/20-Z1</x:t>
  </x:si>
  <x:si>
    <x:t>S022943</x:t>
  </x:si>
  <x:si>
    <x:t>61637.8-VT010/20</x:t>
  </x:si>
  <x:si>
    <x:t>S022944</x:t>
  </x:si>
  <x:si>
    <x:t>S022945</x:t>
  </x:si>
  <x:si>
    <x:t>61491.2-VT010(20)-Z1</x:t>
  </x:si>
  <x:si>
    <x:t>S022946</x:t>
  </x:si>
  <x:si>
    <x:t>61641.2-VT010/20</x:t>
  </x:si>
  <x:si>
    <x:t>S022947</x:t>
  </x:si>
  <x:si>
    <x:t>61717.8-VT010</x:t>
  </x:si>
  <x:si>
    <x:t>S022948</x:t>
  </x:si>
  <x:si>
    <x:t>S022955</x:t>
  </x:si>
  <x:si>
    <x:t>S022956</x:t>
  </x:si>
  <x:si>
    <x:t>S022957</x:t>
  </x:si>
  <x:si>
    <x:t>61645.6-VT010/20</x:t>
  </x:si>
  <x:si>
    <x:t>S022958</x:t>
  </x:si>
  <x:si>
    <x:t>61647.8-VT10/20</x:t>
  </x:si>
  <x:si>
    <x:t>S022959</x:t>
  </x:si>
  <x:si>
    <x:t>S022960</x:t>
  </x:si>
  <x:si>
    <x:t>S022961</x:t>
  </x:si>
  <x:si>
    <x:t>64154DY000RM1</x:t>
  </x:si>
  <x:si>
    <x:t>S022962</x:t>
  </x:si>
  <x:si>
    <x:t>77195/6BV700RM1</x:t>
  </x:si>
  <x:si>
    <x:t>S022964</x:t>
  </x:si>
  <x:si>
    <x:t>64152DY000RM1</x:t>
  </x:si>
  <x:si>
    <x:t>S022966</x:t>
  </x:si>
  <x:si>
    <x:t>51631-KK010-A</x:t>
  </x:si>
  <x:si>
    <x:t>S022968</x:t>
  </x:si>
  <x:si>
    <x:t>S022969</x:t>
  </x:si>
  <x:si>
    <x:t>6703006434-79944-VT010</x:t>
  </x:si>
  <x:si>
    <x:t>S022978</x:t>
  </x:si>
  <x:si>
    <x:t>61231.2-0K080</x:t>
  </x:si>
  <x:si>
    <x:t>S022979</x:t>
  </x:si>
  <x:si>
    <x:t>61231.2-KK040</x:t>
  </x:si>
  <x:si>
    <x:t>S022980</x:t>
  </x:si>
  <x:si>
    <x:t>61161.2-KK010-A</x:t>
  </x:si>
  <x:si>
    <x:t>S022981</x:t>
  </x:si>
  <x:si>
    <x:t>S022982</x:t>
  </x:si>
  <x:si>
    <x:t>S022983</x:t>
  </x:si>
  <x:si>
    <x:t>S022984</x:t>
  </x:si>
  <x:si>
    <x:t>61211.2-660AB</x:t>
  </x:si>
  <x:si>
    <x:t>S022985</x:t>
  </x:si>
  <x:si>
    <x:t>61135.6-660AB</x:t>
  </x:si>
  <x:si>
    <x:t>S022987</x:t>
  </x:si>
  <x:si>
    <x:t>S022988</x:t>
  </x:si>
  <x:si>
    <x:t>S022989</x:t>
  </x:si>
  <x:si>
    <x:t>S022990</x:t>
  </x:si>
  <x:si>
    <x:t>S022991</x:t>
  </x:si>
  <x:si>
    <x:t>86211.2VT020</x:t>
  </x:si>
  <x:si>
    <x:t>S022992</x:t>
  </x:si>
  <x:si>
    <x:t>5538EVT030</x:t>
  </x:si>
  <x:si>
    <x:t>S022993</x:t>
  </x:si>
  <x:si>
    <x:t>6703006423-71162-X7V90</x:t>
  </x:si>
  <x:si>
    <x:t>S022994</x:t>
  </x:si>
  <x:si>
    <x:t>6703006422-71111-X7V17</x:t>
  </x:si>
  <x:si>
    <x:t>S022995</x:t>
  </x:si>
  <x:si>
    <x:t>6703006440-85868-X7A00-A</x:t>
  </x:si>
  <x:si>
    <x:t>S022996</x:t>
  </x:si>
  <x:si>
    <x:t>82715VTA50</x:t>
  </x:si>
  <x:si>
    <x:t>S022997</x:t>
  </x:si>
  <x:si>
    <x:t>6703006439-72511-X7A00-A</x:t>
  </x:si>
  <x:si>
    <x:t>S022998</x:t>
  </x:si>
  <x:si>
    <x:t>6703006409-72261-VT010.30</x:t>
  </x:si>
  <x:si>
    <x:t>S022999</x:t>
  </x:si>
  <x:si>
    <x:t>6703006406-72335-VT010</x:t>
  </x:si>
  <x:si>
    <x:t>S023000</x:t>
  </x:si>
  <x:si>
    <x:t>86719VT020</x:t>
  </x:si>
  <x:si>
    <x:t>S023001</x:t>
  </x:si>
  <x:si>
    <x:t>86719VT010</x:t>
  </x:si>
  <x:si>
    <x:t>S023002</x:t>
  </x:si>
  <x:si>
    <x:t>86211.2-VT010</x:t>
  </x:si>
  <x:si>
    <x:t>S023003</x:t>
  </x:si>
  <x:si>
    <x:t>53336VT010</x:t>
  </x:si>
  <x:si>
    <x:t>S023004</x:t>
  </x:si>
  <x:si>
    <x:t>82715VT320</x:t>
  </x:si>
  <x:si>
    <x:t>S023005</x:t>
  </x:si>
  <x:si>
    <x:t>6703006413-71199-VT010</x:t>
  </x:si>
  <x:si>
    <x:t>S023006</x:t>
  </x:si>
  <x:si>
    <x:t>6703006415-71121-VT010</x:t>
  </x:si>
  <x:si>
    <x:t>S023007</x:t>
  </x:si>
  <x:si>
    <x:t>S023008</x:t>
  </x:si>
  <x:si>
    <x:t>6703006436-85868-VT020</x:t>
  </x:si>
  <x:si>
    <x:t>S023009</x:t>
  </x:si>
  <x:si>
    <x:t>55388.9VT030</x:t>
  </x:si>
  <x:si>
    <x:t>S023010</x:t>
  </x:si>
  <x:si>
    <x:t>S023011</x:t>
  </x:si>
  <x:si>
    <x:t>S023012</x:t>
  </x:si>
  <x:si>
    <x:t>S023013</x:t>
  </x:si>
  <x:si>
    <x:t>S023014</x:t>
  </x:si>
  <x:si>
    <x:t>S023015</x:t>
  </x:si>
  <x:si>
    <x:t>57793.4-VT010</x:t>
  </x:si>
  <x:si>
    <x:t>S023016</x:t>
  </x:si>
  <x:si>
    <x:t>52297.8VT010</x:t>
  </x:si>
  <x:si>
    <x:t>S023017</x:t>
  </x:si>
  <x:si>
    <x:t>S023018</x:t>
  </x:si>
  <x:si>
    <x:t>S023019</x:t>
  </x:si>
  <x:si>
    <x:t>S023020</x:t>
  </x:si>
  <x:si>
    <x:t>S023021</x:t>
  </x:si>
  <x:si>
    <x:t>S023022</x:t>
  </x:si>
  <x:si>
    <x:t>S023023</x:t>
  </x:si>
  <x:si>
    <x:t>S023024</x:t>
  </x:si>
  <x:si>
    <x:t>S023025</x:t>
  </x:si>
  <x:si>
    <x:t>S023026</x:t>
  </x:si>
  <x:si>
    <x:t>S023027</x:t>
  </x:si>
  <x:si>
    <x:t>S023028</x:t>
  </x:si>
  <x:si>
    <x:t>SG510-W0150-08</x:t>
  </x:si>
  <x:si>
    <x:t>S023030</x:t>
  </x:si>
  <x:si>
    <x:t>17442-VT020/10</x:t>
  </x:si>
  <x:si>
    <x:t>S023031</x:t>
  </x:si>
  <x:si>
    <x:t>58387-0K010</x:t>
  </x:si>
  <x:si>
    <x:t>S023033</x:t>
  </x:si>
  <x:si>
    <x:t>SG530-W0100-01</x:t>
  </x:si>
  <x:si>
    <x:t>S023037</x:t>
  </x:si>
  <x:si>
    <x:t>51321.2-VT010</x:t>
  </x:si>
  <x:si>
    <x:t>S023038</x:t>
  </x:si>
  <x:si>
    <x:t>S023039</x:t>
  </x:si>
  <x:si>
    <x:t>S023043</x:t>
  </x:si>
  <x:si>
    <x:t>6703005246-72521-X7P04</x:t>
  </x:si>
  <x:si>
    <x:t>S023044</x:t>
  </x:si>
  <x:si>
    <x:t>S023045</x:t>
  </x:si>
  <x:si>
    <x:t>JSH590_RN</x:t>
  </x:si>
  <x:si>
    <x:t>S023046</x:t>
  </x:si>
  <x:si>
    <x:t>6703005257-71357-X7P00</x:t>
  </x:si>
  <x:si>
    <x:t>S023047</x:t>
  </x:si>
  <x:si>
    <x:t>S023048</x:t>
  </x:si>
  <x:si>
    <x:t>6703006445-73752-X7P00</x:t>
  </x:si>
  <x:si>
    <x:t>S023049</x:t>
  </x:si>
  <x:si>
    <x:t>6703006405- 71345-XP700</x:t>
  </x:si>
  <x:si>
    <x:t>S023050</x:t>
  </x:si>
  <x:si>
    <x:t>6703005259- 71341.2-X7P00</x:t>
  </x:si>
  <x:si>
    <x:t>S023051</x:t>
  </x:si>
  <x:si>
    <x:t>6703006443- 71343-X7P00</x:t>
  </x:si>
  <x:si>
    <x:t>S023052</x:t>
  </x:si>
  <x:si>
    <x:t>S023053</x:t>
  </x:si>
  <x:si>
    <x:t>S023054</x:t>
  </x:si>
  <x:si>
    <x:t>S023056</x:t>
  </x:si>
  <x:si>
    <x:t>62132.332-76T00</x:t>
  </x:si>
  <x:si>
    <x:t>S023058</x:t>
  </x:si>
  <x:si>
    <x:t>61181-76T00</x:t>
  </x:si>
  <x:si>
    <x:t>S023060</x:t>
  </x:si>
  <x:si>
    <x:t>S023061</x:t>
  </x:si>
  <x:si>
    <x:t>S023062</x:t>
  </x:si>
  <x:si>
    <x:t>S023064</x:t>
  </x:si>
  <x:si>
    <x:t>S023066</x:t>
  </x:si>
  <x:si>
    <x:t>S023073</x:t>
  </x:si>
  <x:si>
    <x:t>68531.731-76T00</x:t>
  </x:si>
  <x:si>
    <x:t>S023074</x:t>
  </x:si>
  <x:si>
    <x:t>S023075</x:t>
  </x:si>
  <x:si>
    <x:t>"68521-76T00
68721-76T00"</x:t>
  </x:si>
  <x:si>
    <x:t>S023076</x:t>
  </x:si>
  <x:si>
    <x:t>63362.762-76T00</x:t>
  </x:si>
  <x:si>
    <x:t>S023077</x:t>
  </x:si>
  <x:si>
    <x:t>S023078</x:t>
  </x:si>
  <x:si>
    <x:t>59115-61M00</x:t>
  </x:si>
  <x:si>
    <x:t>S023079</x:t>
  </x:si>
  <x:si>
    <x:t>23872-61M00</x:t>
  </x:si>
  <x:si>
    <x:t>S023080</x:t>
  </x:si>
  <x:si>
    <x:t>S023081</x:t>
  </x:si>
  <x:si>
    <x:t>S023082</x:t>
  </x:si>
  <x:si>
    <x:t>49511-61M50</x:t>
  </x:si>
  <x:si>
    <x:t>S023086</x:t>
  </x:si>
  <x:si>
    <x:t>S023087</x:t>
  </x:si>
  <x:si>
    <x:t>S023088</x:t>
  </x:si>
  <x:si>
    <x:t>S023089</x:t>
  </x:si>
  <x:si>
    <x:t>S023090</x:t>
  </x:si>
  <x:si>
    <x:t>S023091</x:t>
  </x:si>
  <x:si>
    <x:t>61657.8-VT010/20</x:t>
  </x:si>
  <x:si>
    <x:t>S023093</x:t>
  </x:si>
  <x:si>
    <x:t>S023094</x:t>
  </x:si>
  <x:si>
    <x:t>S023095</x:t>
  </x:si>
  <x:si>
    <x:t>63155-VT010</x:t>
  </x:si>
  <x:si>
    <x:t>S023096</x:t>
  </x:si>
  <x:si>
    <x:t>S023097</x:t>
  </x:si>
  <x:si>
    <x:t>S023098</x:t>
  </x:si>
  <x:si>
    <x:t>52135-VT010</x:t>
  </x:si>
  <x:si>
    <x:t>S023099</x:t>
  </x:si>
  <x:si>
    <x:t>S023100</x:t>
  </x:si>
  <x:si>
    <x:t>S023101</x:t>
  </x:si>
  <x:si>
    <x:t>S023102</x:t>
  </x:si>
  <x:si>
    <x:t>S023103</x:t>
  </x:si>
  <x:si>
    <x:t>S023104</x:t>
  </x:si>
  <x:si>
    <x:t>S023105</x:t>
  </x:si>
  <x:si>
    <x:t>G5120029</x:t>
  </x:si>
  <x:si>
    <x:t>S023107</x:t>
  </x:si>
  <x:si>
    <x:t>S023108</x:t>
  </x:si>
  <x:si>
    <x:t>S023110</x:t>
  </x:si>
  <x:si>
    <x:t>S023112</x:t>
  </x:si>
  <x:si>
    <x:t>S023114</x:t>
  </x:si>
  <x:si>
    <x:t>S023116</x:t>
  </x:si>
  <x:si>
    <x:t>S023117</x:t>
  </x:si>
  <x:si>
    <x:t>S023118</x:t>
  </x:si>
  <x:si>
    <x:t>17442-VT010</x:t>
  </x:si>
  <x:si>
    <x:t>S023123</x:t>
  </x:si>
  <x:si>
    <x:t>S023126</x:t>
  </x:si>
  <x:si>
    <x:t>S023127</x:t>
  </x:si>
  <x:si>
    <x:t>S023128</x:t>
  </x:si>
  <x:si>
    <x:t>S023130</x:t>
  </x:si>
  <x:si>
    <x:t>55719-0K050</x:t>
  </x:si>
  <x:si>
    <x:t>S023131</x:t>
  </x:si>
  <x:si>
    <x:t>S023132</x:t>
  </x:si>
  <x:si>
    <x:t>S023133</x:t>
  </x:si>
  <x:si>
    <x:t>S023134</x:t>
  </x:si>
  <x:si>
    <x:t>S023135</x:t>
  </x:si>
  <x:si>
    <x:t>61111.2</x:t>
  </x:si>
  <x:si>
    <x:t>S023136</x:t>
  </x:si>
  <x:si>
    <x:t>S023137</x:t>
  </x:si>
  <x:si>
    <x:t>S023138</x:t>
  </x:si>
  <x:si>
    <x:t>S023139</x:t>
  </x:si>
  <x:si>
    <x:t>17141-124YL-12-M1</x:t>
  </x:si>
  <x:si>
    <x:t>S023140</x:t>
  </x:si>
  <x:si>
    <x:t>S023141</x:t>
  </x:si>
  <x:si>
    <x:t>S023142</x:t>
  </x:si>
  <x:si>
    <x:t>K1EA TANK BOTTOM</x:t>
  </x:si>
  <x:si>
    <x:t>S023143</x:t>
  </x:si>
  <x:si>
    <x:t>S023144</x:t>
  </x:si>
  <x:si>
    <x:t>S023145</x:t>
  </x:si>
  <x:si>
    <x:t>S023146</x:t>
  </x:si>
  <x:si>
    <x:t>S023147</x:t>
  </x:si>
  <x:si>
    <x:t>S023148</x:t>
  </x:si>
  <x:si>
    <x:t>S023149</x:t>
  </x:si>
  <x:si>
    <x:t>S023151</x:t>
  </x:si>
  <x:si>
    <x:t>61715.6-VT010</x:t>
  </x:si>
  <x:si>
    <x:t>S023153</x:t>
  </x:si>
  <x:si>
    <x:t>S023154</x:t>
  </x:si>
  <x:si>
    <x:t>S023155</x:t>
  </x:si>
  <x:si>
    <x:t>S023156</x:t>
  </x:si>
  <x:si>
    <x:t>S023158</x:t>
  </x:si>
  <x:si>
    <x:t>S023159</x:t>
  </x:si>
  <x:si>
    <x:t>S023160</x:t>
  </x:si>
  <x:si>
    <x:t>S023161</x:t>
  </x:si>
  <x:si>
    <x:t>S023162</x:t>
  </x:si>
  <x:si>
    <x:t>S023164</x:t>
  </x:si>
  <x:si>
    <x:t>S023166</x:t>
  </x:si>
  <x:si>
    <x:t>S023168</x:t>
  </x:si>
  <x:si>
    <x:t>S023170</x:t>
  </x:si>
  <x:si>
    <x:t>S023172</x:t>
  </x:si>
  <x:si>
    <x:t>S023174</x:t>
  </x:si>
  <x:si>
    <x:t>S023176</x:t>
  </x:si>
  <x:si>
    <x:t>S023178</x:t>
  </x:si>
  <x:si>
    <x:t>S023180</x:t>
  </x:si>
  <x:si>
    <x:t>S023182</x:t>
  </x:si>
  <x:si>
    <x:t>63142.3-VT010</x:t>
  </x:si>
  <x:si>
    <x:t>S023184</x:t>
  </x:si>
  <x:si>
    <x:t>S023186</x:t>
  </x:si>
  <x:si>
    <x:t>61613.4-VT010</x:t>
  </x:si>
  <x:si>
    <x:t>S023187</x:t>
  </x:si>
  <x:si>
    <x:t>55741-VT020</x:t>
  </x:si>
  <x:si>
    <x:t>S023190</x:t>
  </x:si>
  <x:si>
    <x:t>55745-VT020</x:t>
  </x:si>
  <x:si>
    <x:t>S023192</x:t>
  </x:si>
  <x:si>
    <x:t>61241/2-VT020</x:t>
  </x:si>
  <x:si>
    <x:t>S023194</x:t>
  </x:si>
  <x:si>
    <x:t>S023196</x:t>
  </x:si>
  <x:si>
    <x:t>S023198</x:t>
  </x:si>
  <x:si>
    <x:t>S023200</x:t>
  </x:si>
  <x:si>
    <x:t>S023203</x:t>
  </x:si>
  <x:si>
    <x:t>S023205</x:t>
  </x:si>
  <x:si>
    <x:t>S023207</x:t>
  </x:si>
  <x:si>
    <x:t>S023208</x:t>
  </x:si>
  <x:si>
    <x:t>73217-76T00</x:t>
  </x:si>
  <x:si>
    <x:t>S023210</x:t>
  </x:si>
  <x:si>
    <x:t>S023212</x:t>
  </x:si>
  <x:si>
    <x:t>S023213</x:t>
  </x:si>
  <x:si>
    <x:t>S023215</x:t>
  </x:si>
  <x:si>
    <x:t>S023217</x:t>
  </x:si>
  <x:si>
    <x:t>S023218</x:t>
  </x:si>
  <x:si>
    <x:t>57417.8-VT010</x:t>
  </x:si>
  <x:si>
    <x:t>S023220</x:t>
  </x:si>
  <x:si>
    <x:t>S023222</x:t>
  </x:si>
  <x:si>
    <x:t>S023224</x:t>
  </x:si>
  <x:si>
    <x:t>S023226</x:t>
  </x:si>
  <x:si>
    <x:t>57197.8-VT010</x:t>
  </x:si>
  <x:si>
    <x:t>S023227</x:t>
  </x:si>
  <x:si>
    <x:t>61111.2-560B</x:t>
  </x:si>
  <x:si>
    <x:t>S023229</x:t>
  </x:si>
  <x:si>
    <x:t>S023232</x:t>
  </x:si>
  <x:si>
    <x:t>63145.6-VT010</x:t>
  </x:si>
  <x:si>
    <x:t>S023234</x:t>
  </x:si>
  <x:si>
    <x:t>S023235</x:t>
  </x:si>
  <x:si>
    <x:t>52112-VT010</x:t>
  </x:si>
  <x:si>
    <x:t>S023237</x:t>
  </x:si>
  <x:si>
    <x:t>S023239</x:t>
  </x:si>
  <x:si>
    <x:t>S023241</x:t>
  </x:si>
  <x:si>
    <x:t>S023243</x:t>
  </x:si>
  <x:si>
    <x:t>S023244</x:t>
  </x:si>
  <x:si>
    <x:t>55743.4-VT010</x:t>
  </x:si>
  <x:si>
    <x:t>S023246</x:t>
  </x:si>
  <x:si>
    <x:t>S023248</x:t>
  </x:si>
  <x:si>
    <x:t>58114.5-VT010</x:t>
  </x:si>
  <x:si>
    <x:t>S023250</x:t>
  </x:si>
  <x:si>
    <x:t>S023252</x:t>
  </x:si>
  <x:si>
    <x:t>S023253</x:t>
  </x:si>
  <x:si>
    <x:t>61418.9-VT010</x:t>
  </x:si>
  <x:si>
    <x:t>S023254</x:t>
  </x:si>
  <x:si>
    <x:t>S023256</x:t>
  </x:si>
  <x:si>
    <x:t>S023258</x:t>
  </x:si>
  <x:si>
    <x:t>S023260</x:t>
  </x:si>
  <x:si>
    <x:t>53877.8-VT010</x:t>
  </x:si>
  <x:si>
    <x:t>S023262</x:t>
  </x:si>
  <x:si>
    <x:t>S023264</x:t>
  </x:si>
  <x:si>
    <x:t>S023266</x:t>
  </x:si>
  <x:si>
    <x:t>S023268</x:t>
  </x:si>
  <x:si>
    <x:t>S023270</x:t>
  </x:si>
  <x:si>
    <x:t>S023272</x:t>
  </x:si>
  <x:si>
    <x:t>S023274</x:t>
  </x:si>
  <x:si>
    <x:t>S023276</x:t>
  </x:si>
  <x:si>
    <x:t>S023278</x:t>
  </x:si>
  <x:si>
    <x:t>53273.4-VT010</x:t>
  </x:si>
  <x:si>
    <x:t>S023281</x:t>
  </x:si>
  <x:si>
    <x:t>S023282</x:t>
  </x:si>
  <x:si>
    <x:t>58141.2-VT010</x:t>
  </x:si>
  <x:si>
    <x:t>S023284</x:t>
  </x:si>
  <x:si>
    <x:t>53745.6-VT010</x:t>
  </x:si>
  <x:si>
    <x:t>S023286</x:t>
  </x:si>
  <x:si>
    <x:t>57118-VT020</x:t>
  </x:si>
  <x:si>
    <x:t>S023287</x:t>
  </x:si>
  <x:si>
    <x:t>53731.2-VT010</x:t>
  </x:si>
  <x:si>
    <x:t>S023290</x:t>
  </x:si>
  <x:si>
    <x:t>S023292</x:t>
  </x:si>
  <x:si>
    <x:t>S023293</x:t>
  </x:si>
  <x:si>
    <x:t>S023301</x:t>
  </x:si>
  <x:si>
    <x:t>57132-VT010</x:t>
  </x:si>
  <x:si>
    <x:t>S023303</x:t>
  </x:si>
  <x:si>
    <x:t>S023305</x:t>
  </x:si>
  <x:si>
    <x:t>S023307</x:t>
  </x:si>
  <x:si>
    <x:t>S023309</x:t>
  </x:si>
  <x:si>
    <x:t>S023311</x:t>
  </x:si>
  <x:si>
    <x:t>S023313</x:t>
  </x:si>
  <x:si>
    <x:t>S023314</x:t>
  </x:si>
  <x:si>
    <x:t>S023318</x:t>
  </x:si>
  <x:si>
    <x:t>61133.4-VT010</x:t>
  </x:si>
  <x:si>
    <x:t>S023320</x:t>
  </x:si>
  <x:si>
    <x:t>S023322</x:t>
  </x:si>
  <x:si>
    <x:t>S023324</x:t>
  </x:si>
  <x:si>
    <x:t>61247-VT010.20</x:t>
  </x:si>
  <x:si>
    <x:t>S023326</x:t>
  </x:si>
  <x:si>
    <x:t>S023328</x:t>
  </x:si>
  <x:si>
    <x:t>S023330</x:t>
  </x:si>
  <x:si>
    <x:t>S023333</x:t>
  </x:si>
  <x:si>
    <x:t>S023335</x:t>
  </x:si>
  <x:si>
    <x:t>S023337</x:t>
  </x:si>
  <x:si>
    <x:t>S023338</x:t>
  </x:si>
  <x:si>
    <x:t>S023340</x:t>
  </x:si>
  <x:si>
    <x:t>S023342</x:t>
  </x:si>
  <x:si>
    <x:t>52131-VT010</x:t>
  </x:si>
  <x:si>
    <x:t>S023344</x:t>
  </x:si>
  <x:si>
    <x:t>S023346</x:t>
  </x:si>
  <x:si>
    <x:t>57681-VT010</x:t>
  </x:si>
  <x:si>
    <x:t>S023348</x:t>
  </x:si>
  <x:si>
    <x:t>S023350</x:t>
  </x:si>
  <x:si>
    <x:t>S023351</x:t>
  </x:si>
  <x:si>
    <x:t>57191.2-VT010</x:t>
  </x:si>
  <x:si>
    <x:t>S023354</x:t>
  </x:si>
  <x:si>
    <x:t>57171.2-VT010</x:t>
  </x:si>
  <x:si>
    <x:t>S023356</x:t>
  </x:si>
  <x:si>
    <x:t>61367.8-VT010</x:t>
  </x:si>
  <x:si>
    <x:t>S023360</x:t>
  </x:si>
  <x:si>
    <x:t>47351.2-F7030</x:t>
  </x:si>
  <x:si>
    <x:t>S023362</x:t>
  </x:si>
  <x:si>
    <x:t>S023363</x:t>
  </x:si>
  <x:si>
    <x:t>S023365</x:t>
  </x:si>
  <x:si>
    <x:t>S023367</x:t>
  </x:si>
  <x:si>
    <x:t>S023368</x:t>
  </x:si>
  <x:si>
    <x:t>S023370</x:t>
  </x:si>
  <x:si>
    <x:t>S023372</x:t>
  </x:si>
  <x:si>
    <x:t>S023374</x:t>
  </x:si>
  <x:si>
    <x:t>S023378</x:t>
  </x:si>
  <x:si>
    <x:t>S023380</x:t>
  </x:si>
  <x:si>
    <x:t>S023383</x:t>
  </x:si>
  <x:si>
    <x:t>53741.2-VT010</x:t>
  </x:si>
  <x:si>
    <x:t>S023385</x:t>
  </x:si>
  <x:si>
    <x:t>S023387</x:t>
  </x:si>
  <x:si>
    <x:t>S023389</x:t>
  </x:si>
  <x:si>
    <x:t>53713.4-VT010</x:t>
  </x:si>
  <x:si>
    <x:t>S023391</x:t>
  </x:si>
  <x:si>
    <x:t>S023393</x:t>
  </x:si>
  <x:si>
    <x:t>S023395</x:t>
  </x:si>
  <x:si>
    <x:t>S023397</x:t>
  </x:si>
  <x:si>
    <x:t>S023399</x:t>
  </x:si>
  <x:si>
    <x:t>S023400</x:t>
  </x:si>
  <x:si>
    <x:t>S023401</x:t>
  </x:si>
  <x:si>
    <x:t>S023402</x:t>
  </x:si>
  <x:si>
    <x:t>S023403</x:t>
  </x:si>
  <x:si>
    <x:t>S023405</x:t>
  </x:si>
  <x:si>
    <x:t>S023408</x:t>
  </x:si>
  <x:si>
    <x:t>63175.6-VT010</x:t>
  </x:si>
  <x:si>
    <x:t>S023409</x:t>
  </x:si>
  <x:si>
    <x:t>S023411</x:t>
  </x:si>
  <x:si>
    <x:t>S023412</x:t>
  </x:si>
  <x:si>
    <x:t>S023413</x:t>
  </x:si>
  <x:si>
    <x:t>S023415</x:t>
  </x:si>
  <x:si>
    <x:t>S023417</x:t>
  </x:si>
  <x:si>
    <x:t>S023419</x:t>
  </x:si>
  <x:si>
    <x:t>S023420</x:t>
  </x:si>
  <x:si>
    <x:t>S023422</x:t>
  </x:si>
  <x:si>
    <x:t>S023423</x:t>
  </x:si>
  <x:si>
    <x:t>S023424</x:t>
  </x:si>
  <x:si>
    <x:t>S023425</x:t>
  </x:si>
  <x:si>
    <x:t>48711.2-560B</x:t>
  </x:si>
  <x:si>
    <x:t>S023426</x:t>
  </x:si>
  <x:si>
    <x:t>48721.2-560B</x:t>
  </x:si>
  <x:si>
    <x:t>S023427</x:t>
  </x:si>
  <x:si>
    <x:t>SPC270DX-G</x:t>
  </x:si>
  <x:si>
    <x:t>63111-560B</x:t>
  </x:si>
  <x:si>
    <x:t>S023428</x:t>
  </x:si>
  <x:si>
    <x:t>67149-560B</x:t>
  </x:si>
  <x:si>
    <x:t>S023430</x:t>
  </x:si>
  <x:si>
    <x:t>S023431</x:t>
  </x:si>
  <x:si>
    <x:t>YZA1865308-61615.6-660A</x:t>
  </x:si>
  <x:si>
    <x:t>S023432</x:t>
  </x:si>
  <x:si>
    <x:t>S023433</x:t>
  </x:si>
  <x:si>
    <x:t>S023434</x:t>
  </x:si>
  <x:si>
    <x:t>S023435</x:t>
  </x:si>
  <x:si>
    <x:t>S023437</x:t>
  </x:si>
  <x:si>
    <x:t>S023438</x:t>
  </x:si>
  <x:si>
    <x:t>53268/9-KK010</x:t>
  </x:si>
  <x:si>
    <x:t>S023440</x:t>
  </x:si>
  <x:si>
    <x:t>SCGA340BHX-ET</x:t>
  </x:si>
  <x:si>
    <x:t>67115-560B</x:t>
  </x:si>
  <x:si>
    <x:t>S023441</x:t>
  </x:si>
  <x:si>
    <x:t>58111-560B</x:t>
  </x:si>
  <x:si>
    <x:t>S023442</x:t>
  </x:si>
  <x:si>
    <x:t>S023443</x:t>
  </x:si>
  <x:si>
    <x:t>S023444</x:t>
  </x:si>
  <x:si>
    <x:t>S023445</x:t>
  </x:si>
  <x:si>
    <x:t>S023446</x:t>
  </x:si>
  <x:si>
    <x:t>S023447</x:t>
  </x:si>
  <x:si>
    <x:t>S023448</x:t>
  </x:si>
  <x:si>
    <x:t>S023449</x:t>
  </x:si>
  <x:si>
    <x:t>S023450</x:t>
  </x:si>
  <x:si>
    <x:t>S023451</x:t>
  </x:si>
  <x:si>
    <x:t>S023452</x:t>
  </x:si>
  <x:si>
    <x:t>S023454</x:t>
  </x:si>
  <x:si>
    <x:t>S023456</x:t>
  </x:si>
  <x:si>
    <x:t>S023457</x:t>
  </x:si>
  <x:si>
    <x:t>S023458</x:t>
  </x:si>
  <x:si>
    <x:t>S023459</x:t>
  </x:si>
  <x:si>
    <x:t>S023460</x:t>
  </x:si>
  <x:si>
    <x:t>S023461</x:t>
  </x:si>
  <x:si>
    <x:t>S023463</x:t>
  </x:si>
  <x:si>
    <x:t>S023465</x:t>
  </x:si>
  <x:si>
    <x:t>S023467</x:t>
  </x:si>
  <x:si>
    <x:t>YZA1865204-53717.8-660A &amp; 650A</x:t>
  </x:si>
  <x:si>
    <x:t>S023469</x:t>
  </x:si>
  <x:si>
    <x:t>671265-KK020-B</x:t>
  </x:si>
  <x:si>
    <x:t>S023471</x:t>
  </x:si>
  <x:si>
    <x:t>S023472</x:t>
  </x:si>
  <x:si>
    <x:t>S023473</x:t>
  </x:si>
  <x:si>
    <x:t>S023474</x:t>
  </x:si>
  <x:si>
    <x:t>67337.8-KK030-A</x:t>
  </x:si>
  <x:si>
    <x:t>S023475</x:t>
  </x:si>
  <x:si>
    <x:t>S023476</x:t>
  </x:si>
  <x:si>
    <x:t>YZA1865301-53713.4-660A</x:t>
  </x:si>
  <x:si>
    <x:t>S023477</x:t>
  </x:si>
  <x:si>
    <x:t>S023478</x:t>
  </x:si>
  <x:si>
    <x:t>S023479</x:t>
  </x:si>
  <x:si>
    <x:t>S023480</x:t>
  </x:si>
  <x:si>
    <x:t>S023481</x:t>
  </x:si>
  <x:si>
    <x:t>S023482</x:t>
  </x:si>
  <x:si>
    <x:t>S023483</x:t>
  </x:si>
  <x:si>
    <x:t>SPC270FX-G</x:t>
  </x:si>
  <x:si>
    <x:t>YZA1865162-63111-650A-RECTANGLENGLE</x:t>
  </x:si>
  <x:si>
    <x:t>S023484</x:t>
  </x:si>
  <x:si>
    <x:t>S023485</x:t>
  </x:si>
  <x:si>
    <x:t>SA00015</x:t>
  </x:si>
  <x:si>
    <x:t>YZA1863290-67141.2-COM</x:t>
  </x:si>
  <x:si>
    <x:t>SA00021</x:t>
  </x:si>
  <x:si>
    <x:t>YZA1863291-67143.4-800L</x:t>
  </x:si>
  <x:si>
    <x:t>SA00025</x:t>
  </x:si>
  <x:si>
    <x:t>YZA1865098-63111- Corolla</x:t>
  </x:si>
  <x:si>
    <x:t>SA00031</x:t>
  </x:si>
  <x:si>
    <x:t>YZA1863292-67143.4-801L</x:t>
  </x:si>
  <x:si>
    <x:t>SA00033</x:t>
  </x:si>
  <x:si>
    <x:t>YZA1863295-67149-800L</x:t>
  </x:si>
  <x:si>
    <x:t>SA00036</x:t>
  </x:si>
  <x:si>
    <x:t>YZA1863281-61633.4- COM</x:t>
  </x:si>
  <x:si>
    <x:t>SA00038</x:t>
  </x:si>
  <x:si>
    <x:t>YZA1863279-61631-800L</x:t>
  </x:si>
  <x:si>
    <x:t>SA00039</x:t>
  </x:si>
  <x:si>
    <x:t>YZA1865070-61632-800L</x:t>
  </x:si>
  <x:si>
    <x:t>SA00040</x:t>
  </x:si>
  <x:si>
    <x:t>YZA1863280-61631-801L</x:t>
  </x:si>
  <x:si>
    <x:t>SA00041</x:t>
  </x:si>
  <x:si>
    <x:t>YZA1865069-61632-801L</x:t>
  </x:si>
  <x:si>
    <x:t>SA00054</x:t>
  </x:si>
  <x:si>
    <x:t>YZA1863249-53721.2-COM</x:t>
  </x:si>
  <x:si>
    <x:t>SA00060</x:t>
  </x:si>
  <x:si>
    <x:t>YZA1865063-67145.6-COM</x:t>
  </x:si>
  <x:si>
    <x:t>SA00074</x:t>
  </x:si>
  <x:si>
    <x:t>YZA1863258-57411.2-801L</x:t>
  </x:si>
  <x:si>
    <x:t>SA00085</x:t>
  </x:si>
  <x:si>
    <x:t>YZA1863250-53727.8 - COM</x:t>
  </x:si>
  <x:si>
    <x:t>SA00093</x:t>
  </x:si>
  <x:si>
    <x:t>YZA1863294-67147.8-COM</x:t>
  </x:si>
  <x:si>
    <x:t>SA00106</x:t>
  </x:si>
  <x:si>
    <x:t>58315-0D080</x:t>
  </x:si>
  <x:si>
    <x:t>SA00138</x:t>
  </x:si>
  <x:si>
    <x:t>YZA1863419 -53311-0K040</x:t>
  </x:si>
  <x:si>
    <x:t>SA00141</x:t>
  </x:si>
  <x:si>
    <x:t>SCTZ270D</x:t>
  </x:si>
  <x:si>
    <x:t>YZA1863417 --77111-IMV</x:t>
  </x:si>
  <x:si>
    <x:t>SA00245</x:t>
  </x:si>
  <x:si>
    <x:t>SA00255</x:t>
  </x:si>
  <x:si>
    <x:t>YZA1865105 - 61111 - COR-SER</x:t>
  </x:si>
  <x:si>
    <x:t>SA00325</x:t>
  </x:si>
  <x:si>
    <x:t>YZA1863418-77112</x:t>
  </x:si>
  <x:si>
    <x:t>SA00333</x:t>
  </x:si>
  <x:si>
    <x:t>57123.4-0D030RM</x:t>
  </x:si>
  <x:si>
    <x:t>SA00430</x:t>
  </x:si>
  <x:si>
    <x:t>SPH590-OD-T</x:t>
  </x:si>
  <x:si>
    <x:t>6703006086</x:t>
  </x:si>
  <x:si>
    <x:t>SA00592</x:t>
  </x:si>
  <x:si>
    <x:t>67125.6-0D070</x:t>
  </x:si>
  <x:si>
    <x:t>SA00643</x:t>
  </x:si>
  <x:si>
    <x:t>67415/6-0D010</x:t>
  </x:si>
  <x:si>
    <x:t>SA00816</x:t>
  </x:si>
  <x:si>
    <x:t>67361-0D020</x:t>
  </x:si>
  <x:si>
    <x:t>SA00834</x:t>
  </x:si>
  <x:si>
    <x:t>SA00899</x:t>
  </x:si>
  <x:si>
    <x:t>55753-0D060</x:t>
  </x:si>
  <x:si>
    <x:t>SA00909</x:t>
  </x:si>
  <x:si>
    <x:t>77216-0D090</x:t>
  </x:si>
  <x:si>
    <x:t>SA00917</x:t>
  </x:si>
  <x:si>
    <x:t>78114-0D050</x:t>
  </x:si>
  <x:si>
    <x:t>SA00918</x:t>
  </x:si>
  <x:si>
    <x:t>67325.6-0D040</x:t>
  </x:si>
  <x:si>
    <x:t>SA00920</x:t>
  </x:si>
  <x:si>
    <x:t>77217-0D090</x:t>
  </x:si>
  <x:si>
    <x:t>SA00931</x:t>
  </x:si>
  <x:si>
    <x:t>SA00936</x:t>
  </x:si>
  <x:si>
    <x:t>SA00960</x:t>
  </x:si>
  <x:si>
    <x:t>23921-0N030-d</x:t>
  </x:si>
  <x:si>
    <x:t>SA00967</x:t>
  </x:si>
  <x:si>
    <x:t>571130D010RM</x:t>
  </x:si>
  <x:si>
    <x:t>SA00991</x:t>
  </x:si>
  <x:si>
    <x:t>175920Y020RM</x:t>
  </x:si>
  <x:si>
    <x:t>SA00995</x:t>
  </x:si>
  <x:si>
    <x:t>58127-0D010</x:t>
  </x:si>
  <x:si>
    <x:t>SA00996</x:t>
  </x:si>
  <x:si>
    <x:t>48234.50D020RM</x:t>
  </x:si>
  <x:si>
    <x:t>SA01375</x:t>
  </x:si>
  <x:si>
    <x:t>SA01395</x:t>
  </x:si>
  <x:si>
    <x:t>61745/6RM-800L</x:t>
  </x:si>
  <x:si>
    <x:t>SA01540</x:t>
  </x:si>
  <x:si>
    <x:t>PYZA1410293RM-</x:t>
  </x:si>
  <x:si>
    <x:t>SA01546</x:t>
  </x:si>
  <x:si>
    <x:t>PYZA1861889RM</x:t>
  </x:si>
  <x:si>
    <x:t>SA01548</x:t>
  </x:si>
  <x:si>
    <x:t>31341-0D020</x:t>
  </x:si>
  <x:si>
    <x:t>SA01551</x:t>
  </x:si>
  <x:si>
    <x:t>31341-0D010</x:t>
  </x:si>
  <x:si>
    <x:t>SA01580</x:t>
  </x:si>
  <x:si>
    <x:t>551710D080RM</x:t>
  </x:si>
  <x:si>
    <x:t>SA01583</x:t>
  </x:si>
  <x:si>
    <x:t>46211TL003RM</x:t>
  </x:si>
  <x:si>
    <x:t>SA01584</x:t>
  </x:si>
  <x:si>
    <x:t>551750D080RM</x:t>
  </x:si>
  <x:si>
    <x:t>SA01641</x:t>
  </x:si>
  <x:si>
    <x:t>64180-99808</x:t>
  </x:si>
  <x:si>
    <x:t>SA01643</x:t>
  </x:si>
  <x:si>
    <x:t>413451-10010</x:t>
  </x:si>
  <x:si>
    <x:t>SA01708</x:t>
  </x:si>
  <x:si>
    <x:t>512110k01000</x:t>
  </x:si>
  <x:si>
    <x:t>ttia serv</x:t>
  </x:si>
  <x:si>
    <x:t>SA01874</x:t>
  </x:si>
  <x:si>
    <x:t>57125-0B010</x:t>
  </x:si>
  <x:si>
    <x:t>SA01986</x:t>
  </x:si>
  <x:si>
    <x:t>STTI-42161/2</x:t>
  </x:si>
  <x:si>
    <x:t>SA02003</x:t>
  </x:si>
  <x:si>
    <x:t>48516-0K010</x:t>
  </x:si>
  <x:si>
    <x:t>SA02023</x:t>
  </x:si>
  <x:si>
    <x:t>SA02041</x:t>
  </x:si>
  <x:si>
    <x:t>415431-12700</x:t>
  </x:si>
  <x:si>
    <x:t>SA02256</x:t>
  </x:si>
  <x:si>
    <x:t>42163-0K040</x:t>
  </x:si>
  <x:si>
    <x:t>SA02278</x:t>
  </x:si>
  <x:si>
    <x:t>16385-0Y011</x:t>
  </x:si>
  <x:si>
    <x:t>SA02295</x:t>
  </x:si>
  <x:si>
    <x:t>512130D040RM</x:t>
  </x:si>
  <x:si>
    <x:t>SA02320</x:t>
  </x:si>
  <x:si>
    <x:t>42182-0D010</x:t>
  </x:si>
  <x:si>
    <x:t>SA02340</x:t>
  </x:si>
  <x:si>
    <x:t>STTI-51525/6</x:t>
  </x:si>
  <x:si>
    <x:t>SA02350</x:t>
  </x:si>
  <x:si>
    <x:t>48623-0K010</x:t>
  </x:si>
  <x:si>
    <x:t>SA02354</x:t>
  </x:si>
  <x:si>
    <x:t>YZA1863296-48711.2(C-SERVO)</x:t>
  </x:si>
  <x:si>
    <x:t>SA02360</x:t>
  </x:si>
  <x:si>
    <x:t>48514-0K010-A</x:t>
  </x:si>
  <x:si>
    <x:t>SA02416</x:t>
  </x:si>
  <x:si>
    <x:t>YZA1863301-48621-COM</x:t>
  </x:si>
  <x:si>
    <x:t>SA02439</x:t>
  </x:si>
  <x:si>
    <x:t>12325-0N050-A</x:t>
  </x:si>
  <x:si>
    <x:t>SA02454</x:t>
  </x:si>
  <x:si>
    <x:t>31311-0D080</x:t>
  </x:si>
  <x:si>
    <x:t>SA02470</x:t>
  </x:si>
  <x:si>
    <x:t>SA02502</x:t>
  </x:si>
  <x:si>
    <x:t>532180D060RM</x:t>
  </x:si>
  <x:si>
    <x:t>SA02503</x:t>
  </x:si>
  <x:si>
    <x:t>SA02529</x:t>
  </x:si>
  <x:si>
    <x:t>55131/6-0D040</x:t>
  </x:si>
  <x:si>
    <x:t>SA02548</x:t>
  </x:si>
  <x:si>
    <x:t>12325-0Y040-B</x:t>
  </x:si>
  <x:si>
    <x:t>SA02549</x:t>
  </x:si>
  <x:si>
    <x:t>12325-0Y040-A</x:t>
  </x:si>
  <x:si>
    <x:t>SA02637</x:t>
  </x:si>
  <x:si>
    <x:t>6703006149</x:t>
  </x:si>
  <x:si>
    <x:t>SA02795</x:t>
  </x:si>
  <x:si>
    <x:t>SA02800</x:t>
  </x:si>
  <x:si>
    <x:t>58371-0D060</x:t>
  </x:si>
  <x:si>
    <x:t>SA02840</x:t>
  </x:si>
  <x:si>
    <x:t>YZA1863402-51143.4</x:t>
  </x:si>
  <x:si>
    <x:t>SA03056</x:t>
  </x:si>
  <x:si>
    <x:t>SA03105</x:t>
  </x:si>
  <x:si>
    <x:t>67121.2-0D040</x:t>
  </x:si>
  <x:si>
    <x:t>SA03108</x:t>
  </x:si>
  <x:si>
    <x:t>SA03215</x:t>
  </x:si>
  <x:si>
    <x:t>551780D080RM</x:t>
  </x:si>
  <x:si>
    <x:t>SA03218</x:t>
  </x:si>
  <x:si>
    <x:t>SA03220</x:t>
  </x:si>
  <x:si>
    <x:t>STTI-51241</x:t>
  </x:si>
  <x:si>
    <x:t>SA03286</x:t>
  </x:si>
  <x:si>
    <x:t>61665/6-0D060/40</x:t>
  </x:si>
  <x:si>
    <x:t>SA03310</x:t>
  </x:si>
  <x:si>
    <x:t>SA03353</x:t>
  </x:si>
  <x:si>
    <x:t>SA03407</x:t>
  </x:si>
  <x:si>
    <x:t>55135-0D070</x:t>
  </x:si>
  <x:si>
    <x:t>SA03510</x:t>
  </x:si>
  <x:si>
    <x:t>SA03514</x:t>
  </x:si>
  <x:si>
    <x:t>61711.2</x:t>
  </x:si>
  <x:si>
    <x:t>SA03555</x:t>
  </x:si>
  <x:si>
    <x:t>PYZA1030568RM-55122-0D090</x:t>
  </x:si>
  <x:si>
    <x:t>SA03587</x:t>
  </x:si>
  <x:si>
    <x:t>12325-0N050-B</x:t>
  </x:si>
  <x:si>
    <x:t>SA03598</x:t>
  </x:si>
  <x:si>
    <x:t>67123-0D030</x:t>
  </x:si>
  <x:si>
    <x:t>SA03663</x:t>
  </x:si>
  <x:si>
    <x:t>SA03664</x:t>
  </x:si>
  <x:si>
    <x:t>SA03701</x:t>
  </x:si>
  <x:si>
    <x:t>SA03708</x:t>
  </x:si>
  <x:si>
    <x:t>67127-0D050</x:t>
  </x:si>
  <x:si>
    <x:t>SA03743</x:t>
  </x:si>
  <x:si>
    <x:t>SA03763</x:t>
  </x:si>
  <x:si>
    <x:t>SA03792</x:t>
  </x:si>
  <x:si>
    <x:t>67335.6-0D020</x:t>
  </x:si>
  <x:si>
    <x:t>SA03813</x:t>
  </x:si>
  <x:si>
    <x:t>58241.2-0D020</x:t>
  </x:si>
  <x:si>
    <x:t>SA03826</x:t>
  </x:si>
  <x:si>
    <x:t>58375-0D030</x:t>
  </x:si>
  <x:si>
    <x:t>SA03924</x:t>
  </x:si>
  <x:si>
    <x:t>SA03955</x:t>
  </x:si>
  <x:si>
    <x:t>SA04024</x:t>
  </x:si>
  <x:si>
    <x:t>YZA1863462- 57122-0B020</x:t>
  </x:si>
  <x:si>
    <x:t>SA04065</x:t>
  </x:si>
  <x:si>
    <x:t>SA04082</x:t>
  </x:si>
  <x:si>
    <x:t>YZA1470264</x:t>
  </x:si>
  <x:si>
    <x:t>SA04096</x:t>
  </x:si>
  <x:si>
    <x:t>63133-0D080</x:t>
  </x:si>
  <x:si>
    <x:t>SA04129</x:t>
  </x:si>
  <x:si>
    <x:t>53713-0D010</x:t>
  </x:si>
  <x:si>
    <x:t>SA04149</x:t>
  </x:si>
  <x:si>
    <x:t>SA04173</x:t>
  </x:si>
  <x:si>
    <x:t>YZA1440097</x:t>
  </x:si>
  <x:si>
    <x:t>SA04178</x:t>
  </x:si>
  <x:si>
    <x:t>YZA1863298-51211-COM</x:t>
  </x:si>
  <x:si>
    <x:t>SA04203</x:t>
  </x:si>
  <x:si>
    <x:t>SA04204</x:t>
  </x:si>
  <x:si>
    <x:t>SA04289</x:t>
  </x:si>
  <x:si>
    <x:t>YZA1863297-48721.2</x:t>
  </x:si>
  <x:si>
    <x:t>SA04291</x:t>
  </x:si>
  <x:si>
    <x:t>641110D060RM</x:t>
  </x:si>
  <x:si>
    <x:t>SA04299</x:t>
  </x:si>
  <x:si>
    <x:t>57468-0D060</x:t>
  </x:si>
  <x:si>
    <x:t>SA04477</x:t>
  </x:si>
  <x:si>
    <x:t>63132-0D070</x:t>
  </x:si>
  <x:si>
    <x:t>SA04481</x:t>
  </x:si>
  <x:si>
    <x:t>58374-0D060</x:t>
  </x:si>
  <x:si>
    <x:t>SA04486</x:t>
  </x:si>
  <x:si>
    <x:t>31484-0D070</x:t>
  </x:si>
  <x:si>
    <x:t>SA04552</x:t>
  </x:si>
  <x:si>
    <x:t>YZA1863396-51234-IMV</x:t>
  </x:si>
  <x:si>
    <x:t>SA04580</x:t>
  </x:si>
  <x:si>
    <x:t>521470D080RM</x:t>
  </x:si>
  <x:si>
    <x:t>SA04598</x:t>
  </x:si>
  <x:si>
    <x:t>YZA1863399 -51135.6</x:t>
  </x:si>
  <x:si>
    <x:t>SA04602</x:t>
  </x:si>
  <x:si>
    <x:t>SA04603</x:t>
  </x:si>
  <x:si>
    <x:t>SA04741</x:t>
  </x:si>
  <x:si>
    <x:t>YZA1863286-67111-COM</x:t>
  </x:si>
  <x:si>
    <x:t>SA04742</x:t>
  </x:si>
  <x:si>
    <x:t>SA04746</x:t>
  </x:si>
  <x:si>
    <x:t>YZA1865209 – 67112-COM</x:t>
  </x:si>
  <x:si>
    <x:t>SA04748</x:t>
  </x:si>
  <x:si>
    <x:t>SA04758</x:t>
  </x:si>
  <x:si>
    <x:t>YZA1863282--63111-800L</x:t>
  </x:si>
  <x:si>
    <x:t>SA04776</x:t>
  </x:si>
  <x:si>
    <x:t>57613</x:t>
  </x:si>
  <x:si>
    <x:t>SA04778</x:t>
  </x:si>
  <x:si>
    <x:t>YZA1863363-51131.2</x:t>
  </x:si>
  <x:si>
    <x:t>SA04806</x:t>
  </x:si>
  <x:si>
    <x:t>SA04878</x:t>
  </x:si>
  <x:si>
    <x:t>SA04912</x:t>
  </x:si>
  <x:si>
    <x:t>SA04917</x:t>
  </x:si>
  <x:si>
    <x:t>SA04918</x:t>
  </x:si>
  <x:si>
    <x:t>SA04938</x:t>
  </x:si>
  <x:si>
    <x:t>SA05005</x:t>
  </x:si>
  <x:si>
    <x:t>58378-0D021</x:t>
  </x:si>
  <x:si>
    <x:t>SA05033</x:t>
  </x:si>
  <x:si>
    <x:t>YZA1863345-61112-COR</x:t>
  </x:si>
  <x:si>
    <x:t>SA05034</x:t>
  </x:si>
  <x:si>
    <x:t>SA05072</x:t>
  </x:si>
  <x:si>
    <x:t>571230D030RM</x:t>
  </x:si>
  <x:si>
    <x:t>SA05075</x:t>
  </x:si>
  <x:si>
    <x:t>SA05076</x:t>
  </x:si>
  <x:si>
    <x:t>SA05077</x:t>
  </x:si>
  <x:si>
    <x:t>YZA1863410 - 67113.4-IMV</x:t>
  </x:si>
  <x:si>
    <x:t>SA05097</x:t>
  </x:si>
  <x:si>
    <x:t>SA05098</x:t>
  </x:si>
  <x:si>
    <x:t>SA05120</x:t>
  </x:si>
  <x:si>
    <x:t>SA05206</x:t>
  </x:si>
  <x:si>
    <x:t>53215-0D170-00RM</x:t>
  </x:si>
  <x:si>
    <x:t>SA05287</x:t>
  </x:si>
  <x:si>
    <x:t>16381-0Y011</x:t>
  </x:si>
  <x:si>
    <x:t>SA05321</x:t>
  </x:si>
  <x:si>
    <x:t>SA05371</x:t>
  </x:si>
  <x:si>
    <x:t>PYZA1410062RM-17442</x:t>
  </x:si>
  <x:si>
    <x:t>SA05409</x:t>
  </x:si>
  <x:si>
    <x:t>SA05438</x:t>
  </x:si>
  <x:si>
    <x:t>58315.6-0D080</x:t>
  </x:si>
  <x:si>
    <x:t>SA05455</x:t>
  </x:si>
  <x:si>
    <x:t>TRIAL STTI-51247</x:t>
  </x:si>
  <x:si>
    <x:t>SA05508</x:t>
  </x:si>
  <x:si>
    <x:t>12313-0Y020-A</x:t>
  </x:si>
  <x:si>
    <x:t>SA05511</x:t>
  </x:si>
  <x:si>
    <x:t>YZA1863392--61231.2-0K030</x:t>
  </x:si>
  <x:si>
    <x:t>SA05534</x:t>
  </x:si>
  <x:si>
    <x:t>51219-0D040</x:t>
  </x:si>
  <x:si>
    <x:t>SA05545</x:t>
  </x:si>
  <x:si>
    <x:t>SA05546</x:t>
  </x:si>
  <x:si>
    <x:t>YZA1863255-57115.6-COM</x:t>
  </x:si>
  <x:si>
    <x:t>SA05551</x:t>
  </x:si>
  <x:si>
    <x:t>61635/6-0D010</x:t>
  </x:si>
  <x:si>
    <x:t>SA05595</x:t>
  </x:si>
  <x:si>
    <x:t>52165-02020</x:t>
  </x:si>
  <x:si>
    <x:t>SA05598</x:t>
  </x:si>
  <x:si>
    <x:t>52167-02030</x:t>
  </x:si>
  <x:si>
    <x:t>SA05609</x:t>
  </x:si>
  <x:si>
    <x:t>58374-0D050</x:t>
  </x:si>
  <x:si>
    <x:t>SA05676</x:t>
  </x:si>
  <x:si>
    <x:t>YZA1865096-48622-COM</x:t>
  </x:si>
  <x:si>
    <x:t>SA05725</x:t>
  </x:si>
  <x:si>
    <x:t>YZA1863367 - 53311-328A</x:t>
  </x:si>
  <x:si>
    <x:t>SA05762</x:t>
  </x:si>
  <x:si>
    <x:t>642470D010RM</x:t>
  </x:si>
  <x:si>
    <x:t>SA05764</x:t>
  </x:si>
  <x:si>
    <x:t>YZA1865101 - 67145.6</x:t>
  </x:si>
  <x:si>
    <x:t>SA05774</x:t>
  </x:si>
  <x:si>
    <x:t>SA05831</x:t>
  </x:si>
  <x:si>
    <x:t>YZA1860800  -  71121</x:t>
  </x:si>
  <x:si>
    <x:t>SA05852</x:t>
  </x:si>
  <x:si>
    <x:t>75869/790D020RM</x:t>
  </x:si>
  <x:si>
    <x:t>SA05854</x:t>
  </x:si>
  <x:si>
    <x:t>758610D020T1RM</x:t>
  </x:si>
  <x:si>
    <x:t>SA05915</x:t>
  </x:si>
  <x:si>
    <x:t>6703006104-72429-X1700</x:t>
  </x:si>
  <x:si>
    <x:t>SA05932</x:t>
  </x:si>
  <x:si>
    <x:t>SA06249</x:t>
  </x:si>
  <x:si>
    <x:t>YZA1440125-58788-0K030</x:t>
  </x:si>
  <x:si>
    <x:t>SA06263</x:t>
  </x:si>
  <x:si>
    <x:t>PYZA1480088RM - 55331/326</x:t>
  </x:si>
  <x:si>
    <x:t>SA06353</x:t>
  </x:si>
  <x:si>
    <x:t>PYZA1480098RM - 55326-0D060</x:t>
  </x:si>
  <x:si>
    <x:t>SA06446</x:t>
  </x:si>
  <x:si>
    <x:t>PYZA1861892RM - 55323-KK010 640A</x:t>
  </x:si>
  <x:si>
    <x:t>SA06447</x:t>
  </x:si>
  <x:si>
    <x:t>PYZA1861891RM</x:t>
  </x:si>
  <x:si>
    <x:t>SA06656</x:t>
  </x:si>
  <x:si>
    <x:t>551810D070RM</x:t>
  </x:si>
  <x:si>
    <x:t>SA06661</x:t>
  </x:si>
  <x:si>
    <x:t>551830D040RM</x:t>
  </x:si>
  <x:si>
    <x:t>SA06699</x:t>
  </x:si>
  <x:si>
    <x:t>551840D070RM</x:t>
  </x:si>
  <x:si>
    <x:t>SA06701</x:t>
  </x:si>
  <x:si>
    <x:t>551880D101RM</x:t>
  </x:si>
  <x:si>
    <x:t>SA06702</x:t>
  </x:si>
  <x:si>
    <x:t>551820D070RM</x:t>
  </x:si>
  <x:si>
    <x:t>SA06707</x:t>
  </x:si>
  <x:si>
    <x:t>17361-0N041-A</x:t>
  </x:si>
  <x:si>
    <x:t>SA06793</x:t>
  </x:si>
  <x:si>
    <x:t>SA07127</x:t>
  </x:si>
  <x:si>
    <x:t>SA07273</x:t>
  </x:si>
  <x:si>
    <x:t>52562-0D050</x:t>
  </x:si>
  <x:si>
    <x:t>SA07307</x:t>
  </x:si>
  <x:si>
    <x:t>YZA1863256-57191.2-COM</x:t>
  </x:si>
  <x:si>
    <x:t>SA07317</x:t>
  </x:si>
  <x:si>
    <x:t>576520D060RM</x:t>
  </x:si>
  <x:si>
    <x:t>SA07345</x:t>
  </x:si>
  <x:si>
    <x:t>SA07387</x:t>
  </x:si>
  <x:si>
    <x:t>YZA1220109</x:t>
  </x:si>
  <x:si>
    <x:t>SA07635</x:t>
  </x:si>
  <x:si>
    <x:t>58375-0D070 - 801L</x:t>
  </x:si>
  <x:si>
    <x:t>SA07678</x:t>
  </x:si>
  <x:si>
    <x:t>SA07692</x:t>
  </x:si>
  <x:si>
    <x:t>SA07750</x:t>
  </x:si>
  <x:si>
    <x:t>PYZA1861608RM- 55191-KK010</x:t>
  </x:si>
  <x:si>
    <x:t>SA07751</x:t>
  </x:si>
  <x:si>
    <x:t>SA07767</x:t>
  </x:si>
  <x:si>
    <x:t>PYZA1861625RM</x:t>
  </x:si>
  <x:si>
    <x:t>SA07779</x:t>
  </x:si>
  <x:si>
    <x:t>89658-0D040-640A</x:t>
  </x:si>
  <x:si>
    <x:t>SA07800</x:t>
  </x:si>
  <x:si>
    <x:t>SA07901</x:t>
  </x:si>
  <x:si>
    <x:t>53525 0K330</x:t>
  </x:si>
  <x:si>
    <x:t>SA07913</x:t>
  </x:si>
  <x:si>
    <x:t>YZA1863300--42111(C SERVO)-COM</x:t>
  </x:si>
  <x:si>
    <x:t>SA07954</x:t>
  </x:si>
  <x:si>
    <x:t>SA08024</x:t>
  </x:si>
  <x:si>
    <x:t>YZA1860863 - 48609-OK120 -  640A TRIAL</x:t>
  </x:si>
  <x:si>
    <x:t>SA08416</x:t>
  </x:si>
  <x:si>
    <x:t>6703006017-71356-X7A04</x:t>
  </x:si>
  <x:si>
    <x:t>SA08424</x:t>
  </x:si>
  <x:si>
    <x:t>SA08451</x:t>
  </x:si>
  <x:si>
    <x:t>YZA1863375 -51111.2-0K010</x:t>
  </x:si>
  <x:si>
    <x:t>SA08458</x:t>
  </x:si>
  <x:si>
    <x:t>48824-0D060</x:t>
  </x:si>
  <x:si>
    <x:t>SA08459</x:t>
  </x:si>
  <x:si>
    <x:t>YZA1861312-333524-0D150</x:t>
  </x:si>
  <x:si>
    <x:t>708K</x:t>
  </x:si>
  <x:si>
    <x:t>SA08463</x:t>
  </x:si>
  <x:si>
    <x:t>YZA1440123-48609-0K120</x:t>
  </x:si>
  <x:si>
    <x:t>SA08493</x:t>
  </x:si>
  <x:si>
    <x:t>SA08516</x:t>
  </x:si>
  <x:si>
    <x:t>671880D020RM</x:t>
  </x:si>
  <x:si>
    <x:t>SA08551</x:t>
  </x:si>
  <x:si>
    <x:t>SA08597</x:t>
  </x:si>
  <x:si>
    <x:t>571250D050RM</x:t>
  </x:si>
  <x:si>
    <x:t>SA08602</x:t>
  </x:si>
  <x:si>
    <x:t>STTI-SL-67183</x:t>
  </x:si>
  <x:si>
    <x:t>SA08613</x:t>
  </x:si>
  <x:si>
    <x:t>33524-0D050</x:t>
  </x:si>
  <x:si>
    <x:t>SA08628</x:t>
  </x:si>
  <x:si>
    <x:t>SA08668</x:t>
  </x:si>
  <x:si>
    <x:t>SA08689</x:t>
  </x:si>
  <x:si>
    <x:t>YZA1862452</x:t>
  </x:si>
  <x:si>
    <x:t>SA08692</x:t>
  </x:si>
  <x:si>
    <x:t>31484-0D080</x:t>
  </x:si>
  <x:si>
    <x:t>SA08739</x:t>
  </x:si>
  <x:si>
    <x:t>SA08800</x:t>
  </x:si>
  <x:si>
    <x:t>SA08911</x:t>
  </x:si>
  <x:si>
    <x:t>SA08915</x:t>
  </x:si>
  <x:si>
    <x:t>671760D040RM</x:t>
  </x:si>
  <x:si>
    <x:t>SA08929</x:t>
  </x:si>
  <x:si>
    <x:t>YZA1863342-55111-660A</x:t>
  </x:si>
  <x:si>
    <x:t>SA08930</x:t>
  </x:si>
  <x:si>
    <x:t>SA09061</x:t>
  </x:si>
  <x:si>
    <x:t>SA09069</x:t>
  </x:si>
  <x:si>
    <x:t>82715-ODP20</x:t>
  </x:si>
  <x:si>
    <x:t>SA09071</x:t>
  </x:si>
  <x:si>
    <x:t>PYZA55322-KK020RM</x:t>
  </x:si>
  <x:si>
    <x:t>SA09072</x:t>
  </x:si>
  <x:si>
    <x:t>PYZA55323-KK030RM</x:t>
  </x:si>
  <x:si>
    <x:t>SA09109</x:t>
  </x:si>
  <x:si>
    <x:t>SA09132</x:t>
  </x:si>
  <x:si>
    <x:t>82715-ODP50</x:t>
  </x:si>
  <x:si>
    <x:t>SA09136</x:t>
  </x:si>
  <x:si>
    <x:t>82715-ODP60</x:t>
  </x:si>
  <x:si>
    <x:t>SA09275</x:t>
  </x:si>
  <x:si>
    <x:t>51515-0K020</x:t>
  </x:si>
  <x:si>
    <x:t>SA09296</x:t>
  </x:si>
  <x:si>
    <x:t>63175-0D120</x:t>
  </x:si>
  <x:si>
    <x:t>SA09322</x:t>
  </x:si>
  <x:si>
    <x:t>77675-KK010</x:t>
  </x:si>
  <x:si>
    <x:t>SA09372</x:t>
  </x:si>
  <x:si>
    <x:t>YZA1862215-90080-34018</x:t>
  </x:si>
  <x:si>
    <x:t>SA09414</x:t>
  </x:si>
  <x:si>
    <x:t>SA09418</x:t>
  </x:si>
  <x:si>
    <x:t>48836-0K010</x:t>
  </x:si>
  <x:si>
    <x:t>SA09419</x:t>
  </x:si>
  <x:si>
    <x:t>48621-0K010</x:t>
  </x:si>
  <x:si>
    <x:t>SA09460</x:t>
  </x:si>
  <x:si>
    <x:t>YZA1863319-51116-2-640A-KK030</x:t>
  </x:si>
  <x:si>
    <x:t>SA09464</x:t>
  </x:si>
  <x:si>
    <x:t>51231-KK020-B</x:t>
  </x:si>
  <x:si>
    <x:t>SA09483</x:t>
  </x:si>
  <x:si>
    <x:t>51231-KK030-B</x:t>
  </x:si>
  <x:si>
    <x:t>SA09512</x:t>
  </x:si>
  <x:si>
    <x:t>57121.2-0K010</x:t>
  </x:si>
  <x:si>
    <x:t>SA09557</x:t>
  </x:si>
  <x:si>
    <x:t>31485KK010RM</x:t>
  </x:si>
  <x:si>
    <x:t>SA09590</x:t>
  </x:si>
  <x:si>
    <x:t>SA09650</x:t>
  </x:si>
  <x:si>
    <x:t>58373-0K010</x:t>
  </x:si>
  <x:si>
    <x:t>SA09662</x:t>
  </x:si>
  <x:si>
    <x:t>SA09671</x:t>
  </x:si>
  <x:si>
    <x:t>48657-0K010</x:t>
  </x:si>
  <x:si>
    <x:t>SA09677</x:t>
  </x:si>
  <x:si>
    <x:t>SA09678</x:t>
  </x:si>
  <x:si>
    <x:t>SA09704</x:t>
  </x:si>
  <x:si>
    <x:t>SA09708</x:t>
  </x:si>
  <x:si>
    <x:t>57835-0K020</x:t>
  </x:si>
  <x:si>
    <x:t>SA09737</x:t>
  </x:si>
  <x:si>
    <x:t>YZA1862435</x:t>
  </x:si>
  <x:si>
    <x:t>SA09755</x:t>
  </x:si>
  <x:si>
    <x:t>IMV:FOR</x:t>
  </x:si>
  <x:si>
    <x:t>SA09761</x:t>
  </x:si>
  <x:si>
    <x:t>YZA1862294</x:t>
  </x:si>
  <x:si>
    <x:t>SA09774</x:t>
  </x:si>
  <x:si>
    <x:t>SA09775</x:t>
  </x:si>
  <x:si>
    <x:t>SA09796</x:t>
  </x:si>
  <x:si>
    <x:t>239210L190T4RM</x:t>
  </x:si>
  <x:si>
    <x:t>SA09797</x:t>
  </x:si>
  <x:si>
    <x:t>SA09798</x:t>
  </x:si>
  <x:si>
    <x:t>239210L190T6RM</x:t>
  </x:si>
  <x:si>
    <x:t>SA09799</x:t>
  </x:si>
  <x:si>
    <x:t>SA09803</x:t>
  </x:si>
  <x:si>
    <x:t>SA09804</x:t>
  </x:si>
  <x:si>
    <x:t>SA09810</x:t>
  </x:si>
  <x:si>
    <x:t>SA09812</x:t>
  </x:si>
  <x:si>
    <x:t>57461-0K020RM</x:t>
  </x:si>
  <x:si>
    <x:t>SA09817</x:t>
  </x:si>
  <x:si>
    <x:t>58918KK020RM</x:t>
  </x:si>
  <x:si>
    <x:t>SA09819</x:t>
  </x:si>
  <x:si>
    <x:t>239210L190T3RM</x:t>
  </x:si>
  <x:si>
    <x:t>SA09824</x:t>
  </x:si>
  <x:si>
    <x:t>SA09850</x:t>
  </x:si>
  <x:si>
    <x:t>SA09851</x:t>
  </x:si>
  <x:si>
    <x:t>SA09860</x:t>
  </x:si>
  <x:si>
    <x:t>SA09870</x:t>
  </x:si>
  <x:si>
    <x:t>YZA1863305-42111.2 660A</x:t>
  </x:si>
  <x:si>
    <x:t>SA09877</x:t>
  </x:si>
  <x:si>
    <x:t>YZA1863344--57413.4-0K010</x:t>
  </x:si>
  <x:si>
    <x:t>SA09885</x:t>
  </x:si>
  <x:si>
    <x:t>51511-KK010</x:t>
  </x:si>
  <x:si>
    <x:t>SA09892</x:t>
  </x:si>
  <x:si>
    <x:t>SA09893</x:t>
  </x:si>
  <x:si>
    <x:t>SA09896</x:t>
  </x:si>
  <x:si>
    <x:t>48611-0K010-A</x:t>
  </x:si>
  <x:si>
    <x:t>SA09922</x:t>
  </x:si>
  <x:si>
    <x:t>51291KK010RM</x:t>
  </x:si>
  <x:si>
    <x:t>SA09924</x:t>
  </x:si>
  <x:si>
    <x:t>57511KK020RM</x:t>
  </x:si>
  <x:si>
    <x:t>SA09930</x:t>
  </x:si>
  <x:si>
    <x:t>631340K040RM</x:t>
  </x:si>
  <x:si>
    <x:t>SA09934</x:t>
  </x:si>
  <x:si>
    <x:t>557410K100RM</x:t>
  </x:si>
  <x:si>
    <x:t>SA09937</x:t>
  </x:si>
  <x:si>
    <x:t>YZA1863318--51111.2-640A</x:t>
  </x:si>
  <x:si>
    <x:t>SA09945</x:t>
  </x:si>
  <x:si>
    <x:t>SA09951</x:t>
  </x:si>
  <x:si>
    <x:t>42157-KK010</x:t>
  </x:si>
  <x:si>
    <x:t>SA09968</x:t>
  </x:si>
  <x:si>
    <x:t>SA09970</x:t>
  </x:si>
  <x:si>
    <x:t>6703006023.4-72242.1-X7A01</x:t>
  </x:si>
  <x:si>
    <x:t>SA09987</x:t>
  </x:si>
  <x:si>
    <x:t>SA10014</x:t>
  </x:si>
  <x:si>
    <x:t>SA10018</x:t>
  </x:si>
  <x:si>
    <x:t>51513-0K010-B</x:t>
  </x:si>
  <x:si>
    <x:t>SA10024</x:t>
  </x:si>
  <x:si>
    <x:t>YZA1863315-61633.4-0K030-640A</x:t>
  </x:si>
  <x:si>
    <x:t>SA10025</x:t>
  </x:si>
  <x:si>
    <x:t>YZA1865276-53711.2-KK040-640A</x:t>
  </x:si>
  <x:si>
    <x:t>SA10029</x:t>
  </x:si>
  <x:si>
    <x:t>53551-0K240-B</x:t>
  </x:si>
  <x:si>
    <x:t>SA10033</x:t>
  </x:si>
  <x:si>
    <x:t>YZA1862431</x:t>
  </x:si>
  <x:si>
    <x:t>SA10041</x:t>
  </x:si>
  <x:si>
    <x:t>SA10043</x:t>
  </x:si>
  <x:si>
    <x:t>SA10045</x:t>
  </x:si>
  <x:si>
    <x:t>SA10047</x:t>
  </x:si>
  <x:si>
    <x:t>SA10051</x:t>
  </x:si>
  <x:si>
    <x:t>6703006018-71356-X7A05-640A</x:t>
  </x:si>
  <x:si>
    <x:t>S000548</x:t>
  </x:si>
  <x:si>
    <x:t>SMI</x:t>
  </x:si>
  <x:si>
    <x:t>SPH270C-OD-G</x:t>
  </x:si>
  <x:si>
    <x:t>STTISQE13-ES FOR ***31233-0K020</x:t>
  </x:si>
  <x:si>
    <x:t>S007455</x:t>
  </x:si>
  <x:si>
    <x:t>YZA1120247- [61775.6]</x:t>
  </x:si>
  <x:si>
    <x:t>S010101</x:t>
  </x:si>
  <x:si>
    <x:t>YZA1860726 - 52171-02210</x:t>
  </x:si>
  <x:si>
    <x:t>S010105</x:t>
  </x:si>
  <x:si>
    <x:t>ES FOR 68947-0K030</x:t>
  </x:si>
  <x:si>
    <x:t>650A+Exprt</x:t>
  </x:si>
  <x:si>
    <x:t>S010107</x:t>
  </x:si>
  <x:si>
    <x:t>S010137</x:t>
  </x:si>
  <x:si>
    <x:t>S010146</x:t>
  </x:si>
  <x:si>
    <x:t>STTI 367A</x:t>
  </x:si>
  <x:si>
    <x:t>S010168</x:t>
  </x:si>
  <x:si>
    <x:t>S010212</x:t>
  </x:si>
  <x:si>
    <x:t>660A 650A</x:t>
  </x:si>
  <x:si>
    <x:t>S010268</x:t>
  </x:si>
  <x:si>
    <x:t>S010282</x:t>
  </x:si>
  <x:si>
    <x:t>S010293</x:t>
  </x:si>
  <x:si>
    <x:t>TKMSQE1280</x:t>
  </x:si>
  <x:si>
    <x:t>S010307</x:t>
  </x:si>
  <x:si>
    <x:t>TKMSQE12129</x:t>
  </x:si>
  <x:si>
    <x:t>S010344</x:t>
  </x:si>
  <x:si>
    <x:t>S010350</x:t>
  </x:si>
  <x:si>
    <x:t>EFC-ES-SQE-233</x:t>
  </x:si>
  <x:si>
    <x:t>S010393</x:t>
  </x:si>
  <x:si>
    <x:t>S010469</x:t>
  </x:si>
  <x:si>
    <x:t>S010479</x:t>
  </x:si>
  <x:si>
    <x:t>S010488</x:t>
  </x:si>
  <x:si>
    <x:t>S010514</x:t>
  </x:si>
  <x:si>
    <x:t>S010520</x:t>
  </x:si>
  <x:si>
    <x:t>SFG 55747-0K050</x:t>
  </x:si>
  <x:si>
    <x:t>S010531</x:t>
  </x:si>
  <x:si>
    <x:t>SFG</x:t>
  </x:si>
  <x:si>
    <x:t>S010543</x:t>
  </x:si>
  <x:si>
    <x:t>ES 55341-KK020</x:t>
  </x:si>
  <x:si>
    <x:t>S010580</x:t>
  </x:si>
  <x:si>
    <x:t>57221</x:t>
  </x:si>
  <x:si>
    <x:t>S010592</x:t>
  </x:si>
  <x:si>
    <x:t>S010594</x:t>
  </x:si>
  <x:si>
    <x:t>S010598</x:t>
  </x:si>
  <x:si>
    <x:t>S010603</x:t>
  </x:si>
  <x:si>
    <x:t>HB&amp;SD+Expo</x:t>
  </x:si>
  <x:si>
    <x:t>S010607</x:t>
  </x:si>
  <x:si>
    <x:t>S010630</x:t>
  </x:si>
  <x:si>
    <x:t>S010672</x:t>
  </x:si>
  <x:si>
    <x:t>S010835</x:t>
  </x:si>
  <x:si>
    <x:t>S010839</x:t>
  </x:si>
  <x:si>
    <x:t>S010925</x:t>
  </x:si>
  <x:si>
    <x:t>S010946</x:t>
  </x:si>
  <x:si>
    <x:t>S010985</x:t>
  </x:si>
  <x:si>
    <x:t>STTI ES</x:t>
  </x:si>
  <x:si>
    <x:t>S010993</x:t>
  </x:si>
  <x:si>
    <x:t>S010995</x:t>
  </x:si>
  <x:si>
    <x:t>TKM-SER-ES-192</x:t>
  </x:si>
  <x:si>
    <x:t>S011013</x:t>
  </x:si>
  <x:si>
    <x:t>S011076</x:t>
  </x:si>
  <x:si>
    <x:t>S011090</x:t>
  </x:si>
  <x:si>
    <x:t>TKM-ESTEE-ES-620</x:t>
  </x:si>
  <x:si>
    <x:t>S011106</x:t>
  </x:si>
  <x:si>
    <x:t>SFG 58371-0D090</x:t>
  </x:si>
  <x:si>
    <x:t>S011122</x:t>
  </x:si>
  <x:si>
    <x:t>S011131</x:t>
  </x:si>
  <x:si>
    <x:t>YZA1862311-57615-0K010</x:t>
  </x:si>
  <x:si>
    <x:t>S011133</x:t>
  </x:si>
  <x:si>
    <x:t>S011157</x:t>
  </x:si>
  <x:si>
    <x:t>SFG 67121.2-0K050</x:t>
  </x:si>
  <x:si>
    <x:t>S011164</x:t>
  </x:si>
  <x:si>
    <x:t>S011168</x:t>
  </x:si>
  <x:si>
    <x:t>S011170</x:t>
  </x:si>
  <x:si>
    <x:t>S011182</x:t>
  </x:si>
  <x:si>
    <x:t>000000000000006740-31315-OD360</x:t>
  </x:si>
  <x:si>
    <x:t>S011202</x:t>
  </x:si>
  <x:si>
    <x:t>S011239</x:t>
  </x:si>
  <x:si>
    <x:t>S011284</x:t>
  </x:si>
  <x:si>
    <x:t>S011286</x:t>
  </x:si>
  <x:si>
    <x:t>S011297</x:t>
  </x:si>
  <x:si>
    <x:t>S011358</x:t>
  </x:si>
  <x:si>
    <x:t>S011383</x:t>
  </x:si>
  <x:si>
    <x:t>S011385</x:t>
  </x:si>
  <x:si>
    <x:t>S011477</x:t>
  </x:si>
  <x:si>
    <x:t>FAURECIA ES</x:t>
  </x:si>
  <x:si>
    <x:t>S011479</x:t>
  </x:si>
  <x:si>
    <x:t>S011532</x:t>
  </x:si>
  <x:si>
    <x:t>SANGO</x:t>
  </x:si>
  <x:si>
    <x:t>S011769</x:t>
  </x:si>
  <x:si>
    <x:t>S011953</x:t>
  </x:si>
  <x:si>
    <x:t>YZA1050010</x:t>
  </x:si>
  <x:si>
    <x:t>S011978</x:t>
  </x:si>
  <x:si>
    <x:t>S011980</x:t>
  </x:si>
  <x:si>
    <x:t>TKM-ESTEE-ES-601</x:t>
  </x:si>
  <x:si>
    <x:t>S011996</x:t>
  </x:si>
  <x:si>
    <x:t>S012020</x:t>
  </x:si>
  <x:si>
    <x:t>S012024</x:t>
  </x:si>
  <x:si>
    <x:t>S012026</x:t>
  </x:si>
  <x:si>
    <x:t>S012028</x:t>
  </x:si>
  <x:si>
    <x:t>S012030</x:t>
  </x:si>
  <x:si>
    <x:t>S012045</x:t>
  </x:si>
  <x:si>
    <x:t>S012063</x:t>
  </x:si>
  <x:si>
    <x:t>S012124</x:t>
  </x:si>
  <x:si>
    <x:t>S012133</x:t>
  </x:si>
  <x:si>
    <x:t>S012210</x:t>
  </x:si>
  <x:si>
    <x:t>3276728/3276726</x:t>
  </x:si>
  <x:si>
    <x:t>S012248</x:t>
  </x:si>
  <x:si>
    <x:t>.</x:t>
  </x:si>
  <x:si>
    <x:t>S012271</x:t>
  </x:si>
  <x:si>
    <x:t>S012274</x:t>
  </x:si>
  <x:si>
    <x:t>S012284</x:t>
  </x:si>
  <x:si>
    <x:t>S012288</x:t>
  </x:si>
  <x:si>
    <x:t>S012289</x:t>
  </x:si>
  <x:si>
    <x:t>S012321</x:t>
  </x:si>
  <x:si>
    <x:t>S012323</x:t>
  </x:si>
  <x:si>
    <x:t>ES FOR STTI</x:t>
  </x:si>
  <x:si>
    <x:t>S012360</x:t>
  </x:si>
  <x:si>
    <x:t>S012370</x:t>
  </x:si>
  <x:si>
    <x:t>S012375</x:t>
  </x:si>
  <x:si>
    <x:t>JBM ES</x:t>
  </x:si>
  <x:si>
    <x:t>S012378</x:t>
  </x:si>
  <x:si>
    <x:t>S012380</x:t>
  </x:si>
  <x:si>
    <x:t>S012382</x:t>
  </x:si>
  <x:si>
    <x:t>S012436</x:t>
  </x:si>
  <x:si>
    <x:t>S012438</x:t>
  </x:si>
  <x:si>
    <x:t>S012469</x:t>
  </x:si>
  <x:si>
    <x:t>S012471</x:t>
  </x:si>
  <x:si>
    <x:t>S012478</x:t>
  </x:si>
  <x:si>
    <x:t>S012481</x:t>
  </x:si>
  <x:si>
    <x:t>S012490</x:t>
  </x:si>
  <x:si>
    <x:t>S012494</x:t>
  </x:si>
  <x:si>
    <x:t>S012499</x:t>
  </x:si>
  <x:si>
    <x:t>S012509</x:t>
  </x:si>
  <x:si>
    <x:t>S012530</x:t>
  </x:si>
  <x:si>
    <x:t>SFG FOR 51219-650A</x:t>
  </x:si>
  <x:si>
    <x:t>S012532</x:t>
  </x:si>
  <x:si>
    <x:t>SFG FOR 51569-650A</x:t>
  </x:si>
  <x:si>
    <x:t>S012534</x:t>
  </x:si>
  <x:si>
    <x:t>SFG FOR 77625-650A</x:t>
  </x:si>
  <x:si>
    <x:t>S012587</x:t>
  </x:si>
  <x:si>
    <x:t>S012589</x:t>
  </x:si>
  <x:si>
    <x:t>S012618</x:t>
  </x:si>
  <x:si>
    <x:t>S012677</x:t>
  </x:si>
  <x:si>
    <x:t>S012681</x:t>
  </x:si>
  <x:si>
    <x:t>S012687</x:t>
  </x:si>
  <x:si>
    <x:t>S012691</x:t>
  </x:si>
  <x:si>
    <x:t>S012699</x:t>
  </x:si>
  <x:si>
    <x:t>S012709</x:t>
  </x:si>
  <x:si>
    <x:t>S012726</x:t>
  </x:si>
  <x:si>
    <x:t>S012754</x:t>
  </x:si>
  <x:si>
    <x:t>S012762</x:t>
  </x:si>
  <x:si>
    <x:t>S012770</x:t>
  </x:si>
  <x:si>
    <x:t>S012788</x:t>
  </x:si>
  <x:si>
    <x:t>S012789</x:t>
  </x:si>
  <x:si>
    <x:t>S012818</x:t>
  </x:si>
  <x:si>
    <x:t>S012830</x:t>
  </x:si>
  <x:si>
    <x:t>S012836</x:t>
  </x:si>
  <x:si>
    <x:t>S012844</x:t>
  </x:si>
  <x:si>
    <x:t>S012856</x:t>
  </x:si>
  <x:si>
    <x:t>S012857</x:t>
  </x:si>
  <x:si>
    <x:t>S012859</x:t>
  </x:si>
  <x:si>
    <x:t>S012894</x:t>
  </x:si>
  <x:si>
    <x:t>ES 61131-0D080</x:t>
  </x:si>
  <x:si>
    <x:t>S012896</x:t>
  </x:si>
  <x:si>
    <x:t>ES 61236-0K020</x:t>
  </x:si>
  <x:si>
    <x:t>S012917</x:t>
  </x:si>
  <x:si>
    <x:t>S012958</x:t>
  </x:si>
  <x:si>
    <x:t>TBI ES</x:t>
  </x:si>
  <x:si>
    <x:t>S012968</x:t>
  </x:si>
  <x:si>
    <x:t>S012995</x:t>
  </x:si>
  <x:si>
    <x:t>ES 58377-0D010</x:t>
  </x:si>
  <x:si>
    <x:t>S013016</x:t>
  </x:si>
  <x:si>
    <x:t>55327-KK020</x:t>
  </x:si>
  <x:si>
    <x:t>S013018</x:t>
  </x:si>
  <x:si>
    <x:t>S013165</x:t>
  </x:si>
  <x:si>
    <x:t>S013176</x:t>
  </x:si>
  <x:si>
    <x:t>S013216</x:t>
  </x:si>
  <x:si>
    <x:t>S013279</x:t>
  </x:si>
  <x:si>
    <x:t>S013289</x:t>
  </x:si>
  <x:si>
    <x:t>S013325</x:t>
  </x:si>
  <x:si>
    <x:t>000000000000006803</x:t>
  </x:si>
  <x:si>
    <x:t>S013334</x:t>
  </x:si>
  <x:si>
    <x:t>S013362</x:t>
  </x:si>
  <x:si>
    <x:t>S013397</x:t>
  </x:si>
  <x:si>
    <x:t>S013400</x:t>
  </x:si>
  <x:si>
    <x:t>S013422</x:t>
  </x:si>
  <x:si>
    <x:t>S013427</x:t>
  </x:si>
  <x:si>
    <x:t>YZA1861010</x:t>
  </x:si>
  <x:si>
    <x:t>S013462</x:t>
  </x:si>
  <x:si>
    <x:t>57476-0D090</x:t>
  </x:si>
  <x:si>
    <x:t>S013480</x:t>
  </x:si>
  <x:si>
    <x:t>SFG 23921-0N030-A</x:t>
  </x:si>
  <x:si>
    <x:t>S013489</x:t>
  </x:si>
  <x:si>
    <x:t>JBM-ES-1204</x:t>
  </x:si>
  <x:si>
    <x:t>S013523</x:t>
  </x:si>
  <x:si>
    <x:t>S013538</x:t>
  </x:si>
  <x:si>
    <x:t>S013547</x:t>
  </x:si>
  <x:si>
    <x:t>6703006023/24--72242.1-X7A01</x:t>
  </x:si>
  <x:si>
    <x:t>S013552</x:t>
  </x:si>
  <x:si>
    <x:t>ES 68945.6-0K070</x:t>
  </x:si>
  <x:si>
    <x:t>S013591</x:t>
  </x:si>
  <x:si>
    <x:t>S013594</x:t>
  </x:si>
  <x:si>
    <x:t>S013597</x:t>
  </x:si>
  <x:si>
    <x:t>S013639</x:t>
  </x:si>
  <x:si>
    <x:t>SFG FOR AISIN</x:t>
  </x:si>
  <x:si>
    <x:t>S013763</x:t>
  </x:si>
  <x:si>
    <x:t>S013810</x:t>
  </x:si>
  <x:si>
    <x:t>S013844</x:t>
  </x:si>
  <x:si>
    <x:t>S013846</x:t>
  </x:si>
  <x:si>
    <x:t>S013848</x:t>
  </x:si>
  <x:si>
    <x:t>S013850</x:t>
  </x:si>
  <x:si>
    <x:t>S013875</x:t>
  </x:si>
  <x:si>
    <x:t>S013931</x:t>
  </x:si>
  <x:si>
    <x:t>S013965</x:t>
  </x:si>
  <x:si>
    <x:t>S014103</x:t>
  </x:si>
  <x:si>
    <x:t>S014105</x:t>
  </x:si>
  <x:si>
    <x:t>S014136</x:t>
  </x:si>
  <x:si>
    <x:t>S014138</x:t>
  </x:si>
  <x:si>
    <x:t>S014147</x:t>
  </x:si>
  <x:si>
    <x:t>S014177</x:t>
  </x:si>
  <x:si>
    <x:t>SFG FOR 415431-12200</x:t>
  </x:si>
  <x:si>
    <x:t>S014187</x:t>
  </x:si>
  <x:si>
    <x:t>S014197</x:t>
  </x:si>
  <x:si>
    <x:t>S014207</x:t>
  </x:si>
  <x:si>
    <x:t>650A ES</x:t>
  </x:si>
  <x:si>
    <x:t>S014209</x:t>
  </x:si>
  <x:si>
    <x:t>S014215</x:t>
  </x:si>
  <x:si>
    <x:t>S014223</x:t>
  </x:si>
  <x:si>
    <x:t>S014225</x:t>
  </x:si>
  <x:si>
    <x:t>S014230</x:t>
  </x:si>
  <x:si>
    <x:t>ES FOR FAURECIA</x:t>
  </x:si>
  <x:si>
    <x:t>S014232</x:t>
  </x:si>
  <x:si>
    <x:t>S014243</x:t>
  </x:si>
  <x:si>
    <x:t>IMV SERVICE PART</x:t>
  </x:si>
  <x:si>
    <x:t>TRIAL</x:t>
  </x:si>
  <x:si>
    <x:t>S014261</x:t>
  </x:si>
  <x:si>
    <x:t>S014263</x:t>
  </x:si>
  <x:si>
    <x:t>S014265</x:t>
  </x:si>
  <x:si>
    <x:t>S014267</x:t>
  </x:si>
  <x:si>
    <x:t>S014272</x:t>
  </x:si>
  <x:si>
    <x:t>S014276</x:t>
  </x:si>
  <x:si>
    <x:t>S014278</x:t>
  </x:si>
  <x:si>
    <x:t>SFG 55381-KK030</x:t>
  </x:si>
  <x:si>
    <x:t>S014280</x:t>
  </x:si>
  <x:si>
    <x:t>S014282</x:t>
  </x:si>
  <x:si>
    <x:t>S014294</x:t>
  </x:si>
  <x:si>
    <x:t>S014318</x:t>
  </x:si>
  <x:si>
    <x:t>SP</x:t>
  </x:si>
  <x:si>
    <x:t>S014335</x:t>
  </x:si>
  <x:si>
    <x:t>S014337</x:t>
  </x:si>
  <x:si>
    <x:t>S014343</x:t>
  </x:si>
  <x:si>
    <x:t>S014345</x:t>
  </x:si>
  <x:si>
    <x:t>650 A</x:t>
  </x:si>
  <x:si>
    <x:t>S014434</x:t>
  </x:si>
  <x:si>
    <x:t>S014442</x:t>
  </x:si>
  <x:si>
    <x:t>S014451</x:t>
  </x:si>
  <x:si>
    <x:t>S014458</x:t>
  </x:si>
  <x:si>
    <x:t>S014494</x:t>
  </x:si>
  <x:si>
    <x:t>SERVICE PART</x:t>
  </x:si>
  <x:si>
    <x:t>S014503</x:t>
  </x:si>
  <x:si>
    <x:t>S014511</x:t>
  </x:si>
  <x:si>
    <x:t>S014572</x:t>
  </x:si>
  <x:si>
    <x:t>S014592</x:t>
  </x:si>
  <x:si>
    <x:t>S014606</x:t>
  </x:si>
  <x:si>
    <x:t>END SCRAP</x:t>
  </x:si>
  <x:si>
    <x:t>S014621</x:t>
  </x:si>
  <x:si>
    <x:t>S014639</x:t>
  </x:si>
  <x:si>
    <x:t>S014647</x:t>
  </x:si>
  <x:si>
    <x:t>S014649</x:t>
  </x:si>
  <x:si>
    <x:t>S014675</x:t>
  </x:si>
  <x:si>
    <x:t>S014677</x:t>
  </x:si>
  <x:si>
    <x:t>S014678</x:t>
  </x:si>
  <x:si>
    <x:t>S014679</x:t>
  </x:si>
  <x:si>
    <x:t>S014708</x:t>
  </x:si>
  <x:si>
    <x:t>S014718</x:t>
  </x:si>
  <x:si>
    <x:t>S014724</x:t>
  </x:si>
  <x:si>
    <x:t>S014730</x:t>
  </x:si>
  <x:si>
    <x:t>S014732</x:t>
  </x:si>
  <x:si>
    <x:t>S014842</x:t>
  </x:si>
  <x:si>
    <x:t>S014844</x:t>
  </x:si>
  <x:si>
    <x:t>S014881</x:t>
  </x:si>
  <x:si>
    <x:t>S014887</x:t>
  </x:si>
  <x:si>
    <x:t>S014913</x:t>
  </x:si>
  <x:si>
    <x:t>S014915</x:t>
  </x:si>
  <x:si>
    <x:t>S014961</x:t>
  </x:si>
  <x:si>
    <x:t>S014980</x:t>
  </x:si>
  <x:si>
    <x:t>S014987</x:t>
  </x:si>
  <x:si>
    <x:t>S015001</x:t>
  </x:si>
  <x:si>
    <x:t>S015010</x:t>
  </x:si>
  <x:si>
    <x:t>S015012</x:t>
  </x:si>
  <x:si>
    <x:t>S015014</x:t>
  </x:si>
  <x:si>
    <x:t>S015018</x:t>
  </x:si>
  <x:si>
    <x:t>STTI-01</x:t>
  </x:si>
  <x:si>
    <x:t>S015027</x:t>
  </x:si>
  <x:si>
    <x:t>S015032</x:t>
  </x:si>
  <x:si>
    <x:t>S015034</x:t>
  </x:si>
  <x:si>
    <x:t>S015048</x:t>
  </x:si>
  <x:si>
    <x:t>S015049</x:t>
  </x:si>
  <x:si>
    <x:t>S015050</x:t>
  </x:si>
  <x:si>
    <x:t>ES 63135-0D020</x:t>
  </x:si>
  <x:si>
    <x:t>S015051</x:t>
  </x:si>
  <x:si>
    <x:t>S015052</x:t>
  </x:si>
  <x:si>
    <x:t>ES 57671/2-OK010</x:t>
  </x:si>
  <x:si>
    <x:t>S015070</x:t>
  </x:si>
  <x:si>
    <x:t>S015122</x:t>
  </x:si>
  <x:si>
    <x:t>S015171</x:t>
  </x:si>
  <x:si>
    <x:t>650A&amp;660A ES</x:t>
  </x:si>
  <x:si>
    <x:t>S015188</x:t>
  </x:si>
  <x:si>
    <x:t>S015190</x:t>
  </x:si>
  <x:si>
    <x:t>S015200</x:t>
  </x:si>
  <x:si>
    <x:t>S015224</x:t>
  </x:si>
  <x:si>
    <x:t>S015238</x:t>
  </x:si>
  <x:si>
    <x:t>S015242</x:t>
  </x:si>
  <x:si>
    <x:t>S015249</x:t>
  </x:si>
  <x:si>
    <x:t>61173-KK020</x:t>
  </x:si>
  <x:si>
    <x:t>S015251</x:t>
  </x:si>
  <x:si>
    <x:t>S015261</x:t>
  </x:si>
  <x:si>
    <x:t>S015268</x:t>
  </x:si>
  <x:si>
    <x:t>S015270</x:t>
  </x:si>
  <x:si>
    <x:t>S015272</x:t>
  </x:si>
  <x:si>
    <x:t>S015294</x:t>
  </x:si>
  <x:si>
    <x:t>S015307</x:t>
  </x:si>
  <x:si>
    <x:t>S015309</x:t>
  </x:si>
  <x:si>
    <x:t>S015311</x:t>
  </x:si>
  <x:si>
    <x:t>S015347</x:t>
  </x:si>
  <x:si>
    <x:t>231B TRIAL</x:t>
  </x:si>
  <x:si>
    <x:t>S015355</x:t>
  </x:si>
  <x:si>
    <x:t>S015358</x:t>
  </x:si>
  <x:si>
    <x:t>S015362</x:t>
  </x:si>
  <x:si>
    <x:t>S015364</x:t>
  </x:si>
  <x:si>
    <x:t>S015372</x:t>
  </x:si>
  <x:si>
    <x:t>S015397</x:t>
  </x:si>
  <x:si>
    <x:t>S015404</x:t>
  </x:si>
  <x:si>
    <x:t>S015407</x:t>
  </x:si>
  <x:si>
    <x:t>S015417</x:t>
  </x:si>
  <x:si>
    <x:t>S015421</x:t>
  </x:si>
  <x:si>
    <x:t>S015423</x:t>
  </x:si>
  <x:si>
    <x:t>S015425</x:t>
  </x:si>
  <x:si>
    <x:t>S015431</x:t>
  </x:si>
  <x:si>
    <x:t>S015441</x:t>
  </x:si>
  <x:si>
    <x:t>S015459</x:t>
  </x:si>
  <x:si>
    <x:t>0</x:t>
  </x:si>
  <x:si>
    <x:t>S015469</x:t>
  </x:si>
  <x:si>
    <x:t>S015474</x:t>
  </x:si>
  <x:si>
    <x:t>S015478</x:t>
  </x:si>
  <x:si>
    <x:t>S015480</x:t>
  </x:si>
  <x:si>
    <x:t>S015485</x:t>
  </x:si>
  <x:si>
    <x:t>S015490</x:t>
  </x:si>
  <x:si>
    <x:t>S015492</x:t>
  </x:si>
  <x:si>
    <x:t>S015504</x:t>
  </x:si>
  <x:si>
    <x:t>S015508</x:t>
  </x:si>
  <x:si>
    <x:t>S015513</x:t>
  </x:si>
  <x:si>
    <x:t>S015518</x:t>
  </x:si>
  <x:si>
    <x:t>S015521</x:t>
  </x:si>
  <x:si>
    <x:t>S015537</x:t>
  </x:si>
  <x:si>
    <x:t>S015544</x:t>
  </x:si>
  <x:si>
    <x:t>S015548</x:t>
  </x:si>
  <x:si>
    <x:t>S015550</x:t>
  </x:si>
  <x:si>
    <x:t>S015575</x:t>
  </x:si>
  <x:si>
    <x:t>S015577</x:t>
  </x:si>
  <x:si>
    <x:t>S015590</x:t>
  </x:si>
  <x:si>
    <x:t>S015592</x:t>
  </x:si>
  <x:si>
    <x:t>S015603</x:t>
  </x:si>
  <x:si>
    <x:t>S015623</x:t>
  </x:si>
  <x:si>
    <x:t>S015657</x:t>
  </x:si>
  <x:si>
    <x:t>S015663</x:t>
  </x:si>
  <x:si>
    <x:t>S015675</x:t>
  </x:si>
  <x:si>
    <x:t>560B COM ES</x:t>
  </x:si>
  <x:si>
    <x:t>S015753</x:t>
  </x:si>
  <x:si>
    <x:t>S015755</x:t>
  </x:si>
  <x:si>
    <x:t>S015762</x:t>
  </x:si>
  <x:si>
    <x:t>S015764</x:t>
  </x:si>
  <x:si>
    <x:t>S015769</x:t>
  </x:si>
  <x:si>
    <x:t>FOR OFFAL MELA</x:t>
  </x:si>
  <x:si>
    <x:t>S015771</x:t>
  </x:si>
  <x:si>
    <x:t>S015773</x:t>
  </x:si>
  <x:si>
    <x:t>S015774</x:t>
  </x:si>
  <x:si>
    <x:t>S015776</x:t>
  </x:si>
  <x:si>
    <x:t>S015778</x:t>
  </x:si>
  <x:si>
    <x:t>S015782</x:t>
  </x:si>
  <x:si>
    <x:t>S015790</x:t>
  </x:si>
  <x:si>
    <x:t>E-hb</x:t>
  </x:si>
  <x:si>
    <x:t>S015797</x:t>
  </x:si>
  <x:si>
    <x:t>S015799</x:t>
  </x:si>
  <x:si>
    <x:t>S015801</x:t>
  </x:si>
  <x:si>
    <x:t>OFFAL MELA</x:t>
  </x:si>
  <x:si>
    <x:t>S015826</x:t>
  </x:si>
  <x:si>
    <x:t>S015832</x:t>
  </x:si>
  <x:si>
    <x:t>TKM-FCI-ES-570</x:t>
  </x:si>
  <x:si>
    <x:t>S015871</x:t>
  </x:si>
  <x:si>
    <x:t>S015906</x:t>
  </x:si>
  <x:si>
    <x:t>OFFAL FOR OFFAL MELA</x:t>
  </x:si>
  <x:si>
    <x:t>S015908</x:t>
  </x:si>
  <x:si>
    <x:t>S015910</x:t>
  </x:si>
  <x:si>
    <x:t>S015924</x:t>
  </x:si>
  <x:si>
    <x:t>TTIA 650A ES</x:t>
  </x:si>
  <x:si>
    <x:t>S015927</x:t>
  </x:si>
  <x:si>
    <x:t>650 A ES</x:t>
  </x:si>
  <x:si>
    <x:t>S015957</x:t>
  </x:si>
  <x:si>
    <x:t>S015961</x:t>
  </x:si>
  <x:si>
    <x:t>S016002</x:t>
  </x:si>
  <x:si>
    <x:t>231B ES</x:t>
  </x:si>
  <x:si>
    <x:t>S016004</x:t>
  </x:si>
  <x:si>
    <x:t>S016021</x:t>
  </x:si>
  <x:si>
    <x:t>S016025</x:t>
  </x:si>
  <x:si>
    <x:t>S016026</x:t>
  </x:si>
  <x:si>
    <x:t>231B-ES</x:t>
  </x:si>
  <x:si>
    <x:t>S016031</x:t>
  </x:si>
  <x:si>
    <x:t>S016052</x:t>
  </x:si>
  <x:si>
    <x:t>S016059</x:t>
  </x:si>
  <x:si>
    <x:t>S016061</x:t>
  </x:si>
  <x:si>
    <x:t>S016064</x:t>
  </x:si>
  <x:si>
    <x:t>S016083</x:t>
  </x:si>
  <x:si>
    <x:t>S016085</x:t>
  </x:si>
  <x:si>
    <x:t>67030006041-72441-X1C02-B</x:t>
  </x:si>
  <x:si>
    <x:t>S016094</x:t>
  </x:si>
  <x:si>
    <x:t>89978-X1C02-A</x:t>
  </x:si>
  <x:si>
    <x:t>S016102</x:t>
  </x:si>
  <x:si>
    <x:t>S016127</x:t>
  </x:si>
  <x:si>
    <x:t>S016137</x:t>
  </x:si>
  <x:si>
    <x:t>S016159</x:t>
  </x:si>
  <x:si>
    <x:t>S016199</x:t>
  </x:si>
  <x:si>
    <x:t>000000000000008582-53717.8</x:t>
  </x:si>
  <x:si>
    <x:t>S016294</x:t>
  </x:si>
  <x:si>
    <x:t>S016300</x:t>
  </x:si>
  <x:si>
    <x:t>S016304</x:t>
  </x:si>
  <x:si>
    <x:t>S016310</x:t>
  </x:si>
  <x:si>
    <x:t>S016312</x:t>
  </x:si>
  <x:si>
    <x:t>S016321</x:t>
  </x:si>
  <x:si>
    <x:t>S016325</x:t>
  </x:si>
  <x:si>
    <x:t>650A SFG</x:t>
  </x:si>
  <x:si>
    <x:t>S016335</x:t>
  </x:si>
  <x:si>
    <x:t>660a+650a</x:t>
  </x:si>
  <x:si>
    <x:t>S016381</x:t>
  </x:si>
  <x:si>
    <x:t>S016391</x:t>
  </x:si>
  <x:si>
    <x:t>S016399</x:t>
  </x:si>
  <x:si>
    <x:t>S016403</x:t>
  </x:si>
  <x:si>
    <x:t>S016457</x:t>
  </x:si>
  <x:si>
    <x:t>S016472</x:t>
  </x:si>
  <x:si>
    <x:t>S016474</x:t>
  </x:si>
  <x:si>
    <x:t>S016476</x:t>
  </x:si>
  <x:si>
    <x:t>S016481</x:t>
  </x:si>
  <x:si>
    <x:t>S016483</x:t>
  </x:si>
  <x:si>
    <x:t>S016487</x:t>
  </x:si>
  <x:si>
    <x:t>64112-0D060/58267-VT010 ES</x:t>
  </x:si>
  <x:si>
    <x:t>S016490</x:t>
  </x:si>
  <x:si>
    <x:t>660</x:t>
  </x:si>
  <x:si>
    <x:t>S016495</x:t>
  </x:si>
  <x:si>
    <x:t>FORTUNER</x:t>
  </x:si>
  <x:si>
    <x:t>S016502</x:t>
  </x:si>
  <x:si>
    <x:t>SERVICE PART ES</x:t>
  </x:si>
  <x:si>
    <x:t>S016532</x:t>
  </x:si>
  <x:si>
    <x:t>S016534</x:t>
  </x:si>
  <x:si>
    <x:t>S016536</x:t>
  </x:si>
  <x:si>
    <x:t>S016538</x:t>
  </x:si>
  <x:si>
    <x:t>S016541</x:t>
  </x:si>
  <x:si>
    <x:t>S016543</x:t>
  </x:si>
  <x:si>
    <x:t>S016545</x:t>
  </x:si>
  <x:si>
    <x:t>S016546</x:t>
  </x:si>
  <x:si>
    <x:t>S016552</x:t>
  </x:si>
  <x:si>
    <x:t>S016554</x:t>
  </x:si>
  <x:si>
    <x:t>S016556</x:t>
  </x:si>
  <x:si>
    <x:t>S016558</x:t>
  </x:si>
  <x:si>
    <x:t>S016631</x:t>
  </x:si>
  <x:si>
    <x:t>S016640</x:t>
  </x:si>
  <x:si>
    <x:t>S016684</x:t>
  </x:si>
  <x:si>
    <x:t>S016706</x:t>
  </x:si>
  <x:si>
    <x:t>S016708</x:t>
  </x:si>
  <x:si>
    <x:t>S016712</x:t>
  </x:si>
  <x:si>
    <x:t>S016714</x:t>
  </x:si>
  <x:si>
    <x:t>S016716</x:t>
  </x:si>
  <x:si>
    <x:t>S016718</x:t>
  </x:si>
  <x:si>
    <x:t>S016720</x:t>
  </x:si>
  <x:si>
    <x:t>S016722</x:t>
  </x:si>
  <x:si>
    <x:t>S016724</x:t>
  </x:si>
  <x:si>
    <x:t>S016760</x:t>
  </x:si>
  <x:si>
    <x:t>S016762</x:t>
  </x:si>
  <x:si>
    <x:t>S016764</x:t>
  </x:si>
  <x:si>
    <x:t>S016800</x:t>
  </x:si>
  <x:si>
    <x:t>S016853</x:t>
  </x:si>
  <x:si>
    <x:t>S016860</x:t>
  </x:si>
  <x:si>
    <x:t>S016866</x:t>
  </x:si>
  <x:si>
    <x:t>S016871</x:t>
  </x:si>
  <x:si>
    <x:t>S016872</x:t>
  </x:si>
  <x:si>
    <x:t>S016875</x:t>
  </x:si>
  <x:si>
    <x:t>231B+EXPO</x:t>
  </x:si>
  <x:si>
    <x:t>S016883</x:t>
  </x:si>
  <x:si>
    <x:t>S016897</x:t>
  </x:si>
  <x:si>
    <x:t>S016899</x:t>
  </x:si>
  <x:si>
    <x:t>S016977</x:t>
  </x:si>
  <x:si>
    <x:t>S016983</x:t>
  </x:si>
  <x:si>
    <x:t>S016985</x:t>
  </x:si>
  <x:si>
    <x:t>S017018</x:t>
  </x:si>
  <x:si>
    <x:t>53235-0K030</x:t>
  </x:si>
  <x:si>
    <x:t>S017070</x:t>
  </x:si>
  <x:si>
    <x:t>S017084</x:t>
  </x:si>
  <x:si>
    <x:t>S017118</x:t>
  </x:si>
  <x:si>
    <x:t>S017136</x:t>
  </x:si>
  <x:si>
    <x:t>S017138</x:t>
  </x:si>
  <x:si>
    <x:t>S017162</x:t>
  </x:si>
  <x:si>
    <x:t>S017164</x:t>
  </x:si>
  <x:si>
    <x:t>S017170</x:t>
  </x:si>
  <x:si>
    <x:t>S017251</x:t>
  </x:si>
  <x:si>
    <x:t>S017254</x:t>
  </x:si>
  <x:si>
    <x:t>S017278</x:t>
  </x:si>
  <x:si>
    <x:t>S017281</x:t>
  </x:si>
  <x:si>
    <x:t>S017288</x:t>
  </x:si>
  <x:si>
    <x:t>S017294</x:t>
  </x:si>
  <x:si>
    <x:t>77851-KK030-2 RM</x:t>
  </x:si>
  <x:si>
    <x:t>S017304</x:t>
  </x:si>
  <x:si>
    <x:t>S017306</x:t>
  </x:si>
  <x:si>
    <x:t>77856-KK010</x:t>
  </x:si>
  <x:si>
    <x:t>S017308</x:t>
  </x:si>
  <x:si>
    <x:t>S017404</x:t>
  </x:si>
  <x:si>
    <x:t>S017406</x:t>
  </x:si>
  <x:si>
    <x:t>S017408</x:t>
  </x:si>
  <x:si>
    <x:t>S017416</x:t>
  </x:si>
  <x:si>
    <x:t>S017430</x:t>
  </x:si>
  <x:si>
    <x:t>S017448</x:t>
  </x:si>
  <x:si>
    <x:t>S017451</x:t>
  </x:si>
  <x:si>
    <x:t>service p</x:t>
  </x:si>
  <x:si>
    <x:t>S017472</x:t>
  </x:si>
  <x:si>
    <x:t>SFG FOR 61622-650A</x:t>
  </x:si>
  <x:si>
    <x:t>S017474</x:t>
  </x:si>
  <x:si>
    <x:t>SFG FOR 61621-650A</x:t>
  </x:si>
  <x:si>
    <x:t>S017487</x:t>
  </x:si>
  <x:si>
    <x:t>S017496</x:t>
  </x:si>
  <x:si>
    <x:t>S017518</x:t>
  </x:si>
  <x:si>
    <x:t>S017540</x:t>
  </x:si>
  <x:si>
    <x:t>S017566</x:t>
  </x:si>
  <x:si>
    <x:t>68945.6-0K051-ES</x:t>
  </x:si>
  <x:si>
    <x:t>S017593</x:t>
  </x:si>
  <x:si>
    <x:t>S017610</x:t>
  </x:si>
  <x:si>
    <x:t>S017626</x:t>
  </x:si>
  <x:si>
    <x:t>S017641</x:t>
  </x:si>
  <x:si>
    <x:t>S017643</x:t>
  </x:si>
  <x:si>
    <x:t>S017645</x:t>
  </x:si>
  <x:si>
    <x:t>S017662</x:t>
  </x:si>
  <x:si>
    <x:t>S017682</x:t>
  </x:si>
  <x:si>
    <x:t>67321.2-0D040-ES</x:t>
  </x:si>
  <x:si>
    <x:t>S017684</x:t>
  </x:si>
  <x:si>
    <x:t>51224/5-0D070-ES</x:t>
  </x:si>
  <x:si>
    <x:t>S017696</x:t>
  </x:si>
  <x:si>
    <x:t>67327.8-0D030-ES</x:t>
  </x:si>
  <x:si>
    <x:t>S017698</x:t>
  </x:si>
  <x:si>
    <x:t>67323-0D040-ES</x:t>
  </x:si>
  <x:si>
    <x:t>S017699</x:t>
  </x:si>
  <x:si>
    <x:t>58373-0D040-ES</x:t>
  </x:si>
  <x:si>
    <x:t>S017704</x:t>
  </x:si>
  <x:si>
    <x:t>64431-0D050-ES</x:t>
  </x:si>
  <x:si>
    <x:t>S017875</x:t>
  </x:si>
  <x:si>
    <x:t>S017928</x:t>
  </x:si>
  <x:si>
    <x:t>GA2511659000-ES</x:t>
  </x:si>
  <x:si>
    <x:t>S017942</x:t>
  </x:si>
  <x:si>
    <x:t>S017962</x:t>
  </x:si>
  <x:si>
    <x:t>51221-KK010-B-ES</x:t>
  </x:si>
  <x:si>
    <x:t>S017994</x:t>
  </x:si>
  <x:si>
    <x:t>S017997</x:t>
  </x:si>
  <x:si>
    <x:t>S018005</x:t>
  </x:si>
  <x:si>
    <x:t>77851-KK030-1-ES</x:t>
  </x:si>
  <x:si>
    <x:t>S018007</x:t>
  </x:si>
  <x:si>
    <x:t>8946A-KK040-2-ES</x:t>
  </x:si>
  <x:si>
    <x:t>S018009</x:t>
  </x:si>
  <x:si>
    <x:t>77851-KK020-ES</x:t>
  </x:si>
  <x:si>
    <x:t>S018037</x:t>
  </x:si>
  <x:si>
    <x:t>S018039</x:t>
  </x:si>
  <x:si>
    <x:t>S018043</x:t>
  </x:si>
  <x:si>
    <x:t>51457-KK030SFG</x:t>
  </x:si>
  <x:si>
    <x:t>S018047</x:t>
  </x:si>
  <x:si>
    <x:t>55727-0K060-ES</x:t>
  </x:si>
  <x:si>
    <x:t>S018049</x:t>
  </x:si>
  <x:si>
    <x:t>77273-KK010-ES</x:t>
  </x:si>
  <x:si>
    <x:t>S018052</x:t>
  </x:si>
  <x:si>
    <x:t>8946A-SFG</x:t>
  </x:si>
  <x:si>
    <x:t>S018056</x:t>
  </x:si>
  <x:si>
    <x:t>77865-SFG</x:t>
  </x:si>
  <x:si>
    <x:t>S018061</x:t>
  </x:si>
  <x:si>
    <x:t>S018063</x:t>
  </x:si>
  <x:si>
    <x:t>77856-SFG</x:t>
  </x:si>
  <x:si>
    <x:t>S018065</x:t>
  </x:si>
  <x:si>
    <x:t>S018069</x:t>
  </x:si>
  <x:si>
    <x:t>31484-SFG</x:t>
  </x:si>
  <x:si>
    <x:t>S018071</x:t>
  </x:si>
  <x:si>
    <x:t>31485-SFG</x:t>
  </x:si>
  <x:si>
    <x:t>S018082</x:t>
  </x:si>
  <x:si>
    <x:t>57152-0D040-ES</x:t>
  </x:si>
  <x:si>
    <x:t>S018088</x:t>
  </x:si>
  <x:si>
    <x:t>577210D070RM-ES</x:t>
  </x:si>
  <x:si>
    <x:t>S018105</x:t>
  </x:si>
  <x:si>
    <x:t>S018109</x:t>
  </x:si>
  <x:si>
    <x:t>S018119</x:t>
  </x:si>
  <x:si>
    <x:t>00000000000000-8817-ES</x:t>
  </x:si>
  <x:si>
    <x:t>S018123</x:t>
  </x:si>
  <x:si>
    <x:t>S018128</x:t>
  </x:si>
  <x:si>
    <x:t>S018135</x:t>
  </x:si>
  <x:si>
    <x:t>S018148</x:t>
  </x:si>
  <x:si>
    <x:t>31484-0K060-SFG</x:t>
  </x:si>
  <x:si>
    <x:t>S018150</x:t>
  </x:si>
  <x:si>
    <x:t>31484-0K080-SFG</x:t>
  </x:si>
  <x:si>
    <x:t>S018152</x:t>
  </x:si>
  <x:si>
    <x:t>31484-0K020-SFG</x:t>
  </x:si>
  <x:si>
    <x:t>S018186</x:t>
  </x:si>
  <x:si>
    <x:t>512170D060RM-ES</x:t>
  </x:si>
  <x:si>
    <x:t>S018201</x:t>
  </x:si>
  <x:si>
    <x:t>51391-0K020-ES</x:t>
  </x:si>
  <x:si>
    <x:t>IMV SER PA</x:t>
  </x:si>
  <x:si>
    <x:t>S018213</x:t>
  </x:si>
  <x:si>
    <x:t>S018218</x:t>
  </x:si>
  <x:si>
    <x:t>61211.2-KK010-A-ES</x:t>
  </x:si>
  <x:si>
    <x:t>S018226</x:t>
  </x:si>
  <x:si>
    <x:t>S018237</x:t>
  </x:si>
  <x:si>
    <x:t>S018243</x:t>
  </x:si>
  <x:si>
    <x:t>S018255</x:t>
  </x:si>
  <x:si>
    <x:t>S018266</x:t>
  </x:si>
  <x:si>
    <x:t>S018268</x:t>
  </x:si>
  <x:si>
    <x:t>S018271</x:t>
  </x:si>
  <x:si>
    <x:t>S018276</x:t>
  </x:si>
  <x:si>
    <x:t>S018287</x:t>
  </x:si>
  <x:si>
    <x:t>IMV Ser</x:t>
  </x:si>
  <x:si>
    <x:t>S018342</x:t>
  </x:si>
  <x:si>
    <x:t>S018344</x:t>
  </x:si>
  <x:si>
    <x:t>S018352</x:t>
  </x:si>
  <x:si>
    <x:t>S018354</x:t>
  </x:si>
  <x:si>
    <x:t>S018357</x:t>
  </x:si>
  <x:si>
    <x:t>S018368</x:t>
  </x:si>
  <x:si>
    <x:t>S018371</x:t>
  </x:si>
  <x:si>
    <x:t>S018375</x:t>
  </x:si>
  <x:si>
    <x:t>S018384</x:t>
  </x:si>
  <x:si>
    <x:t>S018386</x:t>
  </x:si>
  <x:si>
    <x:t>S018403</x:t>
  </x:si>
  <x:si>
    <x:t>SFG -61622- 650A OFFAL</x:t>
  </x:si>
  <x:si>
    <x:t>S018404</x:t>
  </x:si>
  <x:si>
    <x:t>SFG FOR 61621-650A OFFAL</x:t>
  </x:si>
  <x:si>
    <x:t>S018413</x:t>
  </x:si>
  <x:si>
    <x:t>S018417</x:t>
  </x:si>
  <x:si>
    <x:t>S018422</x:t>
  </x:si>
  <x:si>
    <x:t>S018424</x:t>
  </x:si>
  <x:si>
    <x:t>S018426</x:t>
  </x:si>
  <x:si>
    <x:t>S018442</x:t>
  </x:si>
  <x:si>
    <x:t>S018516</x:t>
  </x:si>
  <x:si>
    <x:t>S018540</x:t>
  </x:si>
  <x:si>
    <x:t>S018546</x:t>
  </x:si>
  <x:si>
    <x:t>S018559</x:t>
  </x:si>
  <x:si>
    <x:t>55321-560BL2</x:t>
  </x:si>
  <x:si>
    <x:t>S018562</x:t>
  </x:si>
  <x:si>
    <x:t>S018564</x:t>
  </x:si>
  <x:si>
    <x:t>S018566</x:t>
  </x:si>
  <x:si>
    <x:t>S018675</x:t>
  </x:si>
  <x:si>
    <x:t>S018677</x:t>
  </x:si>
  <x:si>
    <x:t>S018679</x:t>
  </x:si>
  <x:si>
    <x:t>S018681</x:t>
  </x:si>
  <x:si>
    <x:t>S018693</x:t>
  </x:si>
  <x:si>
    <x:t>S018699</x:t>
  </x:si>
  <x:si>
    <x:t>S018727</x:t>
  </x:si>
  <x:si>
    <x:t>S018740</x:t>
  </x:si>
  <x:si>
    <x:t>S018752</x:t>
  </x:si>
  <x:si>
    <x:t>S018758</x:t>
  </x:si>
  <x:si>
    <x:t>S018764</x:t>
  </x:si>
  <x:si>
    <x:t>S018770</x:t>
  </x:si>
  <x:si>
    <x:t>S018772</x:t>
  </x:si>
  <x:si>
    <x:t>S018818</x:t>
  </x:si>
  <x:si>
    <x:t>S018820</x:t>
  </x:si>
  <x:si>
    <x:t>S018822</x:t>
  </x:si>
  <x:si>
    <x:t>S018826</x:t>
  </x:si>
  <x:si>
    <x:t>S018828</x:t>
  </x:si>
  <x:si>
    <x:t>S018830</x:t>
  </x:si>
  <x:si>
    <x:t>S018832</x:t>
  </x:si>
  <x:si>
    <x:t>S018836</x:t>
  </x:si>
  <x:si>
    <x:t>S018842</x:t>
  </x:si>
  <x:si>
    <x:t>S018844</x:t>
  </x:si>
  <x:si>
    <x:t>S018861</x:t>
  </x:si>
  <x:si>
    <x:t>S018872</x:t>
  </x:si>
  <x:si>
    <x:t>S018887</x:t>
  </x:si>
  <x:si>
    <x:t>S018917</x:t>
  </x:si>
  <x:si>
    <x:t>S018923</x:t>
  </x:si>
  <x:si>
    <x:t>S018930</x:t>
  </x:si>
  <x:si>
    <x:t>S018932</x:t>
  </x:si>
  <x:si>
    <x:t>SPC980DU</x:t>
  </x:si>
  <x:si>
    <x:t>S018933</x:t>
  </x:si>
  <x:si>
    <x:t>S018934</x:t>
  </x:si>
  <x:si>
    <x:t>S018935</x:t>
  </x:si>
  <x:si>
    <x:t>S018969</x:t>
  </x:si>
  <x:si>
    <x:t>S018976</x:t>
  </x:si>
  <x:si>
    <x:t>S018987</x:t>
  </x:si>
  <x:si>
    <x:t>S018999</x:t>
  </x:si>
  <x:si>
    <x:t>S019026</x:t>
  </x:si>
  <x:si>
    <x:t>S019028</x:t>
  </x:si>
  <x:si>
    <x:t>S019030</x:t>
  </x:si>
  <x:si>
    <x:t>S019035</x:t>
  </x:si>
  <x:si>
    <x:t>S019059</x:t>
  </x:si>
  <x:si>
    <x:t>S019067</x:t>
  </x:si>
  <x:si>
    <x:t>S019069</x:t>
  </x:si>
  <x:si>
    <x:t>S019110</x:t>
  </x:si>
  <x:si>
    <x:t>S019123</x:t>
  </x:si>
  <x:si>
    <x:t>S019136</x:t>
  </x:si>
  <x:si>
    <x:t>47114-TRA01</x:t>
  </x:si>
  <x:si>
    <x:t>S019138</x:t>
  </x:si>
  <x:si>
    <x:t>S019196</x:t>
  </x:si>
  <x:si>
    <x:t>S019211</x:t>
  </x:si>
  <x:si>
    <x:t>S019239</x:t>
  </x:si>
  <x:si>
    <x:t>S019253</x:t>
  </x:si>
  <x:si>
    <x:t>S019299</x:t>
  </x:si>
  <x:si>
    <x:t>S019300</x:t>
  </x:si>
  <x:si>
    <x:t>S019301</x:t>
  </x:si>
  <x:si>
    <x:t>S019302</x:t>
  </x:si>
  <x:si>
    <x:t>S019303</x:t>
  </x:si>
  <x:si>
    <x:t>S019304</x:t>
  </x:si>
  <x:si>
    <x:t>S019331</x:t>
  </x:si>
  <x:si>
    <x:t>S019354</x:t>
  </x:si>
  <x:si>
    <x:t>S019356</x:t>
  </x:si>
  <x:si>
    <x:t>S019408</x:t>
  </x:si>
  <x:si>
    <x:t>S019418</x:t>
  </x:si>
  <x:si>
    <x:t>63224.624-64M00</x:t>
  </x:si>
  <x:si>
    <x:t>S019419</x:t>
  </x:si>
  <x:si>
    <x:t>S019430</x:t>
  </x:si>
  <x:si>
    <x:t>S019432</x:t>
  </x:si>
  <x:si>
    <x:t>S019434</x:t>
  </x:si>
  <x:si>
    <x:t>S019460</x:t>
  </x:si>
  <x:si>
    <x:t>64112/75469-76T00 SFG</x:t>
  </x:si>
  <x:si>
    <x:t>S019467</x:t>
  </x:si>
  <x:si>
    <x:t>S019468</x:t>
  </x:si>
  <x:si>
    <x:t>S019469</x:t>
  </x:si>
  <x:si>
    <x:t>S019470</x:t>
  </x:si>
  <x:si>
    <x:t>S019471</x:t>
  </x:si>
  <x:si>
    <x:t>S019472</x:t>
  </x:si>
  <x:si>
    <x:t>S019473</x:t>
  </x:si>
  <x:si>
    <x:t>S019480</x:t>
  </x:si>
  <x:si>
    <x:t>S019481</x:t>
  </x:si>
  <x:si>
    <x:t>S019490</x:t>
  </x:si>
  <x:si>
    <x:t>S019491</x:t>
  </x:si>
  <x:si>
    <x:t>S019494</x:t>
  </x:si>
  <x:si>
    <x:t>17510-F2190-04.05.06</x:t>
  </x:si>
  <x:si>
    <x:t>S019498</x:t>
  </x:si>
  <x:si>
    <x:t>S019500</x:t>
  </x:si>
  <x:si>
    <x:t>S019537</x:t>
  </x:si>
  <x:si>
    <x:t>S019571</x:t>
  </x:si>
  <x:si>
    <x:t>S019573</x:t>
  </x:si>
  <x:si>
    <x:t>62123-68P00-000-sfg</x:t>
  </x:si>
  <x:si>
    <x:t>S019575</x:t>
  </x:si>
  <x:si>
    <x:t>59233-76T00-000-sfg</x:t>
  </x:si>
  <x:si>
    <x:t>S019579</x:t>
  </x:si>
  <x:si>
    <x:t>62615-76T00-000-sfg</x:t>
  </x:si>
  <x:si>
    <x:t>S019581</x:t>
  </x:si>
  <x:si>
    <x:t>S019625</x:t>
  </x:si>
  <x:si>
    <x:t>59714-76T00-sfg</x:t>
  </x:si>
  <x:si>
    <x:t>S019646</x:t>
  </x:si>
  <x:si>
    <x:t>63311.711-76T00-sfg</x:t>
  </x:si>
  <x:si>
    <x:t>S019652</x:t>
  </x:si>
  <x:si>
    <x:t>S019661</x:t>
  </x:si>
  <x:si>
    <x:t>S019662</x:t>
  </x:si>
  <x:si>
    <x:t>S019666</x:t>
  </x:si>
  <x:si>
    <x:t>S019671</x:t>
  </x:si>
  <x:si>
    <x:t>S019675</x:t>
  </x:si>
  <x:si>
    <x:t>S019681</x:t>
  </x:si>
  <x:si>
    <x:t>S019689</x:t>
  </x:si>
  <x:si>
    <x:t>S019692</x:t>
  </x:si>
  <x:si>
    <x:t>S019702</x:t>
  </x:si>
  <x:si>
    <x:t>62122.322-55KC0-000-sfg</x:t>
  </x:si>
  <x:si>
    <x:t>S019707</x:t>
  </x:si>
  <x:si>
    <x:t>62112-76T00-000-sfg</x:t>
  </x:si>
  <x:si>
    <x:t>S019710</x:t>
  </x:si>
  <x:si>
    <x:t>59231.281-76T00-000-sfg</x:t>
  </x:si>
  <x:si>
    <x:t>S019712</x:t>
  </x:si>
  <x:si>
    <x:t>S019713</x:t>
  </x:si>
  <x:si>
    <x:t>63331.731-76T00-sfg</x:t>
  </x:si>
  <x:si>
    <x:t>S019718</x:t>
  </x:si>
  <x:si>
    <x:t>S019723</x:t>
  </x:si>
  <x:si>
    <x:t>59741.51-76T00-sfg</x:t>
  </x:si>
  <x:si>
    <x:t>S019733</x:t>
  </x:si>
  <x:si>
    <x:t>62136-76T00-000-sfg</x:t>
  </x:si>
  <x:si>
    <x:t>S019735</x:t>
  </x:si>
  <x:si>
    <x:t>62213-61M00-000-sfg</x:t>
  </x:si>
  <x:si>
    <x:t>S019737</x:t>
  </x:si>
  <x:si>
    <x:t>62841.51-61M00-000-sfg</x:t>
  </x:si>
  <x:si>
    <x:t>S019754</x:t>
  </x:si>
  <x:si>
    <x:t>S019759</x:t>
  </x:si>
  <x:si>
    <x:t>S019761</x:t>
  </x:si>
  <x:si>
    <x:t>S019805</x:t>
  </x:si>
  <x:si>
    <x:t>S019811</x:t>
  </x:si>
  <x:si>
    <x:t>S019835</x:t>
  </x:si>
  <x:si>
    <x:t>S019837</x:t>
  </x:si>
  <x:si>
    <x:t>S019838</x:t>
  </x:si>
  <x:si>
    <x:t>S019839</x:t>
  </x:si>
  <x:si>
    <x:t>S019842</x:t>
  </x:si>
  <x:si>
    <x:t>S019856</x:t>
  </x:si>
  <x:si>
    <x:t>S019858</x:t>
  </x:si>
  <x:si>
    <x:t>S019860</x:t>
  </x:si>
  <x:si>
    <x:t>S019863</x:t>
  </x:si>
  <x:si>
    <x:t>S019883</x:t>
  </x:si>
  <x:si>
    <x:t>S019886</x:t>
  </x:si>
  <x:si>
    <x:t>S019890</x:t>
  </x:si>
  <x:si>
    <x:t>7P845-X7H02</x:t>
  </x:si>
  <x:si>
    <x:t>S019894</x:t>
  </x:si>
  <x:si>
    <x:t>55344-VT020</x:t>
  </x:si>
  <x:si>
    <x:t>S019898</x:t>
  </x:si>
  <x:si>
    <x:t>71199-VT010</x:t>
  </x:si>
  <x:si>
    <x:t>S019927</x:t>
  </x:si>
  <x:si>
    <x:t>71111-X1V07</x:t>
  </x:si>
  <x:si>
    <x:t>S019936</x:t>
  </x:si>
  <x:si>
    <x:t>81559-X7V19</x:t>
  </x:si>
  <x:si>
    <x:t>S019938</x:t>
  </x:si>
  <x:si>
    <x:t>72131.4-X7V52</x:t>
  </x:si>
  <x:si>
    <x:t>S019939</x:t>
  </x:si>
  <x:si>
    <x:t>79989-X7V00.01</x:t>
  </x:si>
  <x:si>
    <x:t>S019940</x:t>
  </x:si>
  <x:si>
    <x:t>72147.3-X7H00</x:t>
  </x:si>
  <x:si>
    <x:t>S019955</x:t>
  </x:si>
  <x:si>
    <x:t>71121-X7H00</x:t>
  </x:si>
  <x:si>
    <x:t>S019957</x:t>
  </x:si>
  <x:si>
    <x:t>72141-VT010</x:t>
  </x:si>
  <x:si>
    <x:t>S019962</x:t>
  </x:si>
  <x:si>
    <x:t>S019969</x:t>
  </x:si>
  <x:si>
    <x:t>S019970</x:t>
  </x:si>
  <x:si>
    <x:t>S019971</x:t>
  </x:si>
  <x:si>
    <x:t>S019972</x:t>
  </x:si>
  <x:si>
    <x:t>S019988</x:t>
  </x:si>
  <x:si>
    <x:t>S019992</x:t>
  </x:si>
  <x:si>
    <x:t>S019993</x:t>
  </x:si>
  <x:si>
    <x:t>S020014</x:t>
  </x:si>
  <x:si>
    <x:t>S020016</x:t>
  </x:si>
  <x:si>
    <x:t>S020022</x:t>
  </x:si>
  <x:si>
    <x:t>S020023</x:t>
  </x:si>
  <x:si>
    <x:t>59285_235-76T00/68181_381-81R00</x:t>
  </x:si>
  <x:si>
    <x:t>S020030</x:t>
  </x:si>
  <x:si>
    <x:t>S020084</x:t>
  </x:si>
  <x:si>
    <x:t>S020111</x:t>
  </x:si>
  <x:si>
    <x:t>S020132</x:t>
  </x:si>
  <x:si>
    <x:t>59181-76T00/58233-76T00</x:t>
  </x:si>
  <x:si>
    <x:t>S020134</x:t>
  </x:si>
  <x:si>
    <x:t>S020156</x:t>
  </x:si>
  <x:si>
    <x:t>63362-76T00/62912-76TA0</x:t>
  </x:si>
  <x:si>
    <x:t>S020178</x:t>
  </x:si>
  <x:si>
    <x:t>S020180</x:t>
  </x:si>
  <x:si>
    <x:t>S020189</x:t>
  </x:si>
  <x:si>
    <x:t>S020192</x:t>
  </x:si>
  <x:si>
    <x:t>S020237</x:t>
  </x:si>
  <x:si>
    <x:t>S020268</x:t>
  </x:si>
  <x:si>
    <x:t>S020274</x:t>
  </x:si>
  <x:si>
    <x:t>S020276</x:t>
  </x:si>
  <x:si>
    <x:t>S020278</x:t>
  </x:si>
  <x:si>
    <x:t>S020300</x:t>
  </x:si>
  <x:si>
    <x:t>72262.3-VT010</x:t>
  </x:si>
  <x:si>
    <x:t>S020304</x:t>
  </x:si>
  <x:si>
    <x:t>S020308</x:t>
  </x:si>
  <x:si>
    <x:t>S020318</x:t>
  </x:si>
  <x:si>
    <x:t>S020320</x:t>
  </x:si>
  <x:si>
    <x:t>S020324</x:t>
  </x:si>
  <x:si>
    <x:t>S020329</x:t>
  </x:si>
  <x:si>
    <x:t>S020333</x:t>
  </x:si>
  <x:si>
    <x:t>S020352</x:t>
  </x:si>
  <x:si>
    <x:t>S020354</x:t>
  </x:si>
  <x:si>
    <x:t>S020361</x:t>
  </x:si>
  <x:si>
    <x:t>S020369</x:t>
  </x:si>
  <x:si>
    <x:t>S020371</x:t>
  </x:si>
  <x:si>
    <x:t>S020373</x:t>
  </x:si>
  <x:si>
    <x:t>S020379</x:t>
  </x:si>
  <x:si>
    <x:t>S020381</x:t>
  </x:si>
  <x:si>
    <x:t>S020382</x:t>
  </x:si>
  <x:si>
    <x:t>53737.38-VT010-sfg</x:t>
  </x:si>
  <x:si>
    <x:t>S020399</x:t>
  </x:si>
  <x:si>
    <x:t>61145.46-VT010-Z2-sfg</x:t>
  </x:si>
  <x:si>
    <x:t>S020403</x:t>
  </x:si>
  <x:si>
    <x:t>63126-VT010/20-sfg</x:t>
  </x:si>
  <x:si>
    <x:t>56B</x:t>
  </x:si>
  <x:si>
    <x:t>S020419</x:t>
  </x:si>
  <x:si>
    <x:t>S020427</x:t>
  </x:si>
  <x:si>
    <x:t>65565-VT010-sfg</x:t>
  </x:si>
  <x:si>
    <x:t>S020498</x:t>
  </x:si>
  <x:si>
    <x:t>55723.24-VT010/20-Z2-sfg</x:t>
  </x:si>
  <x:si>
    <x:t>S020507</x:t>
  </x:si>
  <x:si>
    <x:t>17766-VT010/20-sfg</x:t>
  </x:si>
  <x:si>
    <x:t>S020509</x:t>
  </x:si>
  <x:si>
    <x:t>17767-VT010/20-sfg</x:t>
  </x:si>
  <x:si>
    <x:t>S020511</x:t>
  </x:si>
  <x:si>
    <x:t>17768-VT010/20-sfg</x:t>
  </x:si>
  <x:si>
    <x:t>S020517</x:t>
  </x:si>
  <x:si>
    <x:t>17765-VT010/20-sfg</x:t>
  </x:si>
  <x:si>
    <x:t>S020521</x:t>
  </x:si>
  <x:si>
    <x:t>72511-X7A00-A-sfg</x:t>
  </x:si>
  <x:si>
    <x:t>S020526</x:t>
  </x:si>
  <x:si>
    <x:t>71315.16-X7A05</x:t>
  </x:si>
  <x:si>
    <x:t>S020532</x:t>
  </x:si>
  <x:si>
    <x:t>451673.74-12180-sfg</x:t>
  </x:si>
  <x:si>
    <x:t>S020534</x:t>
  </x:si>
  <x:si>
    <x:t>S020536</x:t>
  </x:si>
  <x:si>
    <x:t>S020538</x:t>
  </x:si>
  <x:si>
    <x:t>S020541</x:t>
  </x:si>
  <x:si>
    <x:t>S020559</x:t>
  </x:si>
  <x:si>
    <x:t>S020561</x:t>
  </x:si>
  <x:si>
    <x:t>S020563</x:t>
  </x:si>
  <x:si>
    <x:t>S020565</x:t>
  </x:si>
  <x:si>
    <x:t>S020582</x:t>
  </x:si>
  <x:si>
    <x:t>S020590</x:t>
  </x:si>
  <x:si>
    <x:t>S020591</x:t>
  </x:si>
  <x:si>
    <x:t>S020634</x:t>
  </x:si>
  <x:si>
    <x:t>S020635</x:t>
  </x:si>
  <x:si>
    <x:t>S020636</x:t>
  </x:si>
  <x:si>
    <x:t>S020637</x:t>
  </x:si>
  <x:si>
    <x:t>S020638</x:t>
  </x:si>
  <x:si>
    <x:t>S020639</x:t>
  </x:si>
  <x:si>
    <x:t>S020640</x:t>
  </x:si>
  <x:si>
    <x:t>S020641</x:t>
  </x:si>
  <x:si>
    <x:t>S020642</x:t>
  </x:si>
  <x:si>
    <x:t>S020644</x:t>
  </x:si>
  <x:si>
    <x:t>S020646</x:t>
  </x:si>
  <x:si>
    <x:t>S020647</x:t>
  </x:si>
  <x:si>
    <x:t>S020648</x:t>
  </x:si>
  <x:si>
    <x:t>S020673</x:t>
  </x:si>
  <x:si>
    <x:t>S020676</x:t>
  </x:si>
  <x:si>
    <x:t>S020677</x:t>
  </x:si>
  <x:si>
    <x:t>S020687</x:t>
  </x:si>
  <x:si>
    <x:t>S020689</x:t>
  </x:si>
  <x:si>
    <x:t>S020691</x:t>
  </x:si>
  <x:si>
    <x:t>S020702</x:t>
  </x:si>
  <x:si>
    <x:t>TNGA-G1716</x:t>
  </x:si>
  <x:si>
    <x:t>S020704</x:t>
  </x:si>
  <x:si>
    <x:t>S020708</x:t>
  </x:si>
  <x:si>
    <x:t>S020710</x:t>
  </x:si>
  <x:si>
    <x:t>S020711</x:t>
  </x:si>
  <x:si>
    <x:t>S020712</x:t>
  </x:si>
  <x:si>
    <x:t>S020713</x:t>
  </x:si>
  <x:si>
    <x:t>S020718</x:t>
  </x:si>
  <x:si>
    <x:t>S020719</x:t>
  </x:si>
  <x:si>
    <x:t>S020720</x:t>
  </x:si>
  <x:si>
    <x:t>S020722</x:t>
  </x:si>
  <x:si>
    <x:t>S020723</x:t>
  </x:si>
  <x:si>
    <x:t>S020724</x:t>
  </x:si>
  <x:si>
    <x:t>S020725</x:t>
  </x:si>
  <x:si>
    <x:t>S020726</x:t>
  </x:si>
  <x:si>
    <x:t>S020727</x:t>
  </x:si>
  <x:si>
    <x:t>S020728</x:t>
  </x:si>
  <x:si>
    <x:t>S020730</x:t>
  </x:si>
  <x:si>
    <x:t>S020731</x:t>
  </x:si>
  <x:si>
    <x:t>S020732</x:t>
  </x:si>
  <x:si>
    <x:t>S020736</x:t>
  </x:si>
  <x:si>
    <x:t>15104F3010-6/15104F3010-4</x:t>
  </x:si>
  <x:si>
    <x:t>S020739</x:t>
  </x:si>
  <x:si>
    <x:t>S020740</x:t>
  </x:si>
  <x:si>
    <x:t>S020741</x:t>
  </x:si>
  <x:si>
    <x:t>S020742</x:t>
  </x:si>
  <x:si>
    <x:t>S020744</x:t>
  </x:si>
  <x:si>
    <x:t>S020745</x:t>
  </x:si>
  <x:si>
    <x:t>S020746</x:t>
  </x:si>
  <x:si>
    <x:t>S020747</x:t>
  </x:si>
  <x:si>
    <x:t>S020748</x:t>
  </x:si>
  <x:si>
    <x:t>S020749</x:t>
  </x:si>
  <x:si>
    <x:t>S020750</x:t>
  </x:si>
  <x:si>
    <x:t>S020751</x:t>
  </x:si>
  <x:si>
    <x:t>S020752</x:t>
  </x:si>
  <x:si>
    <x:t>S020754</x:t>
  </x:si>
  <x:si>
    <x:t>S020755</x:t>
  </x:si>
  <x:si>
    <x:t>S020756</x:t>
  </x:si>
  <x:si>
    <x:t>S020757</x:t>
  </x:si>
  <x:si>
    <x:t>S020758</x:t>
  </x:si>
  <x:si>
    <x:t>52123.124-VT010-Z2</x:t>
  </x:si>
  <x:si>
    <x:t>S020759</x:t>
  </x:si>
  <x:si>
    <x:t>S020760</x:t>
  </x:si>
  <x:si>
    <x:t>33823-560B0</x:t>
  </x:si>
  <x:si>
    <x:t>S020805</x:t>
  </x:si>
  <x:si>
    <x:t>55125-560BL2</x:t>
  </x:si>
  <x:si>
    <x:t>S020807</x:t>
  </x:si>
  <x:si>
    <x:t>S020809</x:t>
  </x:si>
  <x:si>
    <x:t>S020819</x:t>
  </x:si>
  <x:si>
    <x:t>73217-76T00.50-sfg</x:t>
  </x:si>
  <x:si>
    <x:t>S020824</x:t>
  </x:si>
  <x:si>
    <x:t>73222-76T00-sfg</x:t>
  </x:si>
  <x:si>
    <x:t>S020826</x:t>
  </x:si>
  <x:si>
    <x:t>S020845</x:t>
  </x:si>
  <x:si>
    <x:t>67127.28-VT010/20-sfg</x:t>
  </x:si>
  <x:si>
    <x:t>S020847</x:t>
  </x:si>
  <x:si>
    <x:t>67125.26-VT010/20-sfg</x:t>
  </x:si>
  <x:si>
    <x:t>S020849</x:t>
  </x:si>
  <x:si>
    <x:t>61623.24-VT010/20-sfg</x:t>
  </x:si>
  <x:si>
    <x:t>S020851</x:t>
  </x:si>
  <x:si>
    <x:t>S020853</x:t>
  </x:si>
  <x:si>
    <x:t>S020855</x:t>
  </x:si>
  <x:si>
    <x:t>S020857</x:t>
  </x:si>
  <x:si>
    <x:t>58213-VT010-sfg</x:t>
  </x:si>
  <x:si>
    <x:t>S020859</x:t>
  </x:si>
  <x:si>
    <x:t>55131-VT010/20-Z2-sfg</x:t>
  </x:si>
  <x:si>
    <x:t>S020861</x:t>
  </x:si>
  <x:si>
    <x:t>S020863</x:t>
  </x:si>
  <x:si>
    <x:t>61848-VT010-sfg</x:t>
  </x:si>
  <x:si>
    <x:t>S020865</x:t>
  </x:si>
  <x:si>
    <x:t>67135.36-VT020-sfg</x:t>
  </x:si>
  <x:si>
    <x:t>S020867</x:t>
  </x:si>
  <x:si>
    <x:t>67151.52-VT010/20-sfg</x:t>
  </x:si>
  <x:si>
    <x:t>S020871</x:t>
  </x:si>
  <x:si>
    <x:t>61723.24-VT010/20-sfg</x:t>
  </x:si>
  <x:si>
    <x:t>S020876</x:t>
  </x:si>
  <x:si>
    <x:t>58241.42-VT010/20-Z2-sfg</x:t>
  </x:si>
  <x:si>
    <x:t>S020878</x:t>
  </x:si>
  <x:si>
    <x:t>S020880</x:t>
  </x:si>
  <x:si>
    <x:t>S020884</x:t>
  </x:si>
  <x:si>
    <x:t>51988-VT010/20-sfg</x:t>
  </x:si>
  <x:si>
    <x:t>S020886</x:t>
  </x:si>
  <x:si>
    <x:t>S020888</x:t>
  </x:si>
  <x:si>
    <x:t>61141.42-VT010/20-Z2-sfg</x:t>
  </x:si>
  <x:si>
    <x:t>S020890</x:t>
  </x:si>
  <x:si>
    <x:t>63125-VT010/20-sfg</x:t>
  </x:si>
  <x:si>
    <x:t>S020907</x:t>
  </x:si>
  <x:si>
    <x:t>S020916</x:t>
  </x:si>
  <x:si>
    <x:t>S020918</x:t>
  </x:si>
  <x:si>
    <x:t>S020920</x:t>
  </x:si>
  <x:si>
    <x:t>S020926</x:t>
  </x:si>
  <x:si>
    <x:t>S020929</x:t>
  </x:si>
  <x:si>
    <x:t>S020931</x:t>
  </x:si>
  <x:si>
    <x:t>S020933</x:t>
  </x:si>
  <x:si>
    <x:t>S020935</x:t>
  </x:si>
  <x:si>
    <x:t>S020937</x:t>
  </x:si>
  <x:si>
    <x:t>S020939</x:t>
  </x:si>
  <x:si>
    <x:t>S020941</x:t>
  </x:si>
  <x:si>
    <x:t>S020943</x:t>
  </x:si>
  <x:si>
    <x:t>S020947</x:t>
  </x:si>
  <x:si>
    <x:t>S020949</x:t>
  </x:si>
  <x:si>
    <x:t>S020952</x:t>
  </x:si>
  <x:si>
    <x:t>S020954</x:t>
  </x:si>
  <x:si>
    <x:t>S020956</x:t>
  </x:si>
  <x:si>
    <x:t>S020958</x:t>
  </x:si>
  <x:si>
    <x:t>S020960</x:t>
  </x:si>
  <x:si>
    <x:t>S020962</x:t>
  </x:si>
  <x:si>
    <x:t>S020964</x:t>
  </x:si>
  <x:si>
    <x:t>S020966</x:t>
  </x:si>
  <x:si>
    <x:t>S020968</x:t>
  </x:si>
  <x:si>
    <x:t>S020970</x:t>
  </x:si>
  <x:si>
    <x:t>S020973</x:t>
  </x:si>
  <x:si>
    <x:t>S020980</x:t>
  </x:si>
  <x:si>
    <x:t>S020982</x:t>
  </x:si>
  <x:si>
    <x:t>S020984</x:t>
  </x:si>
  <x:si>
    <x:t>S020986</x:t>
  </x:si>
  <x:si>
    <x:t>S020991</x:t>
  </x:si>
  <x:si>
    <x:t>S020993</x:t>
  </x:si>
  <x:si>
    <x:t>S020998</x:t>
  </x:si>
  <x:si>
    <x:t>S021001</x:t>
  </x:si>
  <x:si>
    <x:t>S021004</x:t>
  </x:si>
  <x:si>
    <x:t>S021008</x:t>
  </x:si>
  <x:si>
    <x:t>S021010</x:t>
  </x:si>
  <x:si>
    <x:t>S021019</x:t>
  </x:si>
  <x:si>
    <x:t>S021025</x:t>
  </x:si>
  <x:si>
    <x:t>S021030</x:t>
  </x:si>
  <x:si>
    <x:t>S021043</x:t>
  </x:si>
  <x:si>
    <x:t>S021047</x:t>
  </x:si>
  <x:si>
    <x:t>S021049</x:t>
  </x:si>
  <x:si>
    <x:t>S021051</x:t>
  </x:si>
  <x:si>
    <x:t>77154-DY000/77164-DY000</x:t>
  </x:si>
  <x:si>
    <x:t>S021053</x:t>
  </x:si>
  <x:si>
    <x:t>S021058</x:t>
  </x:si>
  <x:si>
    <x:t>S021062</x:t>
  </x:si>
  <x:si>
    <x:t>S021066</x:t>
  </x:si>
  <x:si>
    <x:t>S021078</x:t>
  </x:si>
  <x:si>
    <x:t>S021082</x:t>
  </x:si>
  <x:si>
    <x:t>S021083</x:t>
  </x:si>
  <x:si>
    <x:t>S021086</x:t>
  </x:si>
  <x:si>
    <x:t>S021087</x:t>
  </x:si>
  <x:si>
    <x:t>S021090</x:t>
  </x:si>
  <x:si>
    <x:t>S021094</x:t>
  </x:si>
  <x:si>
    <x:t>S021096</x:t>
  </x:si>
  <x:si>
    <x:t>S021098</x:t>
  </x:si>
  <x:si>
    <x:t>S021099</x:t>
  </x:si>
  <x:si>
    <x:t>S021100</x:t>
  </x:si>
  <x:si>
    <x:t>S021101</x:t>
  </x:si>
  <x:si>
    <x:t>S021102</x:t>
  </x:si>
  <x:si>
    <x:t>S021103</x:t>
  </x:si>
  <x:si>
    <x:t>S021104</x:t>
  </x:si>
  <x:si>
    <x:t>S021105</x:t>
  </x:si>
  <x:si>
    <x:t>S021117</x:t>
  </x:si>
  <x:si>
    <x:t>S021122</x:t>
  </x:si>
  <x:si>
    <x:t>S021124</x:t>
  </x:si>
  <x:si>
    <x:t>S021126</x:t>
  </x:si>
  <x:si>
    <x:t>S021130</x:t>
  </x:si>
  <x:si>
    <x:t>S021133</x:t>
  </x:si>
  <x:si>
    <x:t>S021135</x:t>
  </x:si>
  <x:si>
    <x:t>S021139</x:t>
  </x:si>
  <x:si>
    <x:t>S021144</x:t>
  </x:si>
  <x:si>
    <x:t>S021147</x:t>
  </x:si>
  <x:si>
    <x:t>S021151</x:t>
  </x:si>
  <x:si>
    <x:t>S021161</x:t>
  </x:si>
  <x:si>
    <x:t>S021163</x:t>
  </x:si>
  <x:si>
    <x:t>S021165</x:t>
  </x:si>
  <x:si>
    <x:t>S021168</x:t>
  </x:si>
  <x:si>
    <x:t>S021170</x:t>
  </x:si>
  <x:si>
    <x:t>S021176</x:t>
  </x:si>
  <x:si>
    <x:t>S021178</x:t>
  </x:si>
  <x:si>
    <x:t>S021188</x:t>
  </x:si>
  <x:si>
    <x:t>S021189</x:t>
  </x:si>
  <x:si>
    <x:t>S021190</x:t>
  </x:si>
  <x:si>
    <x:t>S021192</x:t>
  </x:si>
  <x:si>
    <x:t>S021194</x:t>
  </x:si>
  <x:si>
    <x:t>S021212</x:t>
  </x:si>
  <x:si>
    <x:t>S021213</x:t>
  </x:si>
  <x:si>
    <x:t>S021214</x:t>
  </x:si>
  <x:si>
    <x:t>S021223</x:t>
  </x:si>
  <x:si>
    <x:t>S021230</x:t>
  </x:si>
  <x:si>
    <x:t>S021231</x:t>
  </x:si>
  <x:si>
    <x:t>23872-76T00/58245-76T00</x:t>
  </x:si>
  <x:si>
    <x:t>S021232</x:t>
  </x:si>
  <x:si>
    <x:t>S021234</x:t>
  </x:si>
  <x:si>
    <x:t>S021235</x:t>
  </x:si>
  <x:si>
    <x:t>S021236</x:t>
  </x:si>
  <x:si>
    <x:t>S021262</x:t>
  </x:si>
  <x:si>
    <x:t>S021264</x:t>
  </x:si>
  <x:si>
    <x:t>S021266</x:t>
  </x:si>
  <x:si>
    <x:t>S021268</x:t>
  </x:si>
  <x:si>
    <x:t>S021270</x:t>
  </x:si>
  <x:si>
    <x:t>S021272</x:t>
  </x:si>
  <x:si>
    <x:t>S021274</x:t>
  </x:si>
  <x:si>
    <x:t>S021276</x:t>
  </x:si>
  <x:si>
    <x:t>S021278</x:t>
  </x:si>
  <x:si>
    <x:t>S021280</x:t>
  </x:si>
  <x:si>
    <x:t>S021282</x:t>
  </x:si>
  <x:si>
    <x:t>S021284</x:t>
  </x:si>
  <x:si>
    <x:t>S021288</x:t>
  </x:si>
  <x:si>
    <x:t>S021290</x:t>
  </x:si>
  <x:si>
    <x:t>S021292</x:t>
  </x:si>
  <x:si>
    <x:t>S021293</x:t>
  </x:si>
  <x:si>
    <x:t>S021294</x:t>
  </x:si>
  <x:si>
    <x:t>S021295</x:t>
  </x:si>
  <x:si>
    <x:t>S021296</x:t>
  </x:si>
  <x:si>
    <x:t>S021297</x:t>
  </x:si>
  <x:si>
    <x:t>S021298</x:t>
  </x:si>
  <x:si>
    <x:t>S021299</x:t>
  </x:si>
  <x:si>
    <x:t>S021300</x:t>
  </x:si>
  <x:si>
    <x:t>S021301</x:t>
  </x:si>
  <x:si>
    <x:t>S021302</x:t>
  </x:si>
  <x:si>
    <x:t>S021303</x:t>
  </x:si>
  <x:si>
    <x:t>S021304</x:t>
  </x:si>
  <x:si>
    <x:t>S021319</x:t>
  </x:si>
  <x:si>
    <x:t>S021320</x:t>
  </x:si>
  <x:si>
    <x:t>S021321</x:t>
  </x:si>
  <x:si>
    <x:t>S021322</x:t>
  </x:si>
  <x:si>
    <x:t>S021323</x:t>
  </x:si>
  <x:si>
    <x:t>S021324</x:t>
  </x:si>
  <x:si>
    <x:t>S021326</x:t>
  </x:si>
  <x:si>
    <x:t>S021327</x:t>
  </x:si>
  <x:si>
    <x:t>S021328</x:t>
  </x:si>
  <x:si>
    <x:t>S021329</x:t>
  </x:si>
  <x:si>
    <x:t>S021330</x:t>
  </x:si>
  <x:si>
    <x:t>S021331</x:t>
  </x:si>
  <x:si>
    <x:t>S021332</x:t>
  </x:si>
  <x:si>
    <x:t>S021333</x:t>
  </x:si>
  <x:si>
    <x:t>S021334</x:t>
  </x:si>
  <x:si>
    <x:t>S021335</x:t>
  </x:si>
  <x:si>
    <x:t>S021336</x:t>
  </x:si>
  <x:si>
    <x:t>S021337</x:t>
  </x:si>
  <x:si>
    <x:t>S021338</x:t>
  </x:si>
  <x:si>
    <x:t>S021339</x:t>
  </x:si>
  <x:si>
    <x:t>S021340</x:t>
  </x:si>
  <x:si>
    <x:t>S021341</x:t>
  </x:si>
  <x:si>
    <x:t>S021342</x:t>
  </x:si>
  <x:si>
    <x:t>S021343</x:t>
  </x:si>
  <x:si>
    <x:t>S021344</x:t>
  </x:si>
  <x:si>
    <x:t>S021345</x:t>
  </x:si>
  <x:si>
    <x:t>S021346</x:t>
  </x:si>
  <x:si>
    <x:t>57123-VT010 / 57124-VT020</x:t>
  </x:si>
  <x:si>
    <x:t>S021347</x:t>
  </x:si>
  <x:si>
    <x:t>S021348</x:t>
  </x:si>
  <x:si>
    <x:t>S021381</x:t>
  </x:si>
  <x:si>
    <x:t>S021383</x:t>
  </x:si>
  <x:si>
    <x:t>S021386</x:t>
  </x:si>
  <x:si>
    <x:t>S021388</x:t>
  </x:si>
  <x:si>
    <x:t>58362-VT010-sfg</x:t>
  </x:si>
  <x:si>
    <x:t>S021391</x:t>
  </x:si>
  <x:si>
    <x:t>57311-VT010 / 57312-VT020-SFG</x:t>
  </x:si>
  <x:si>
    <x:t>S021393</x:t>
  </x:si>
  <x:si>
    <x:t>57145-VT010 / 57146-VT020-SFG</x:t>
  </x:si>
  <x:si>
    <x:t>S021395</x:t>
  </x:si>
  <x:si>
    <x:t>61411-VT010 / 61412-VT020-SFG</x:t>
  </x:si>
  <x:si>
    <x:t>S021398</x:t>
  </x:si>
  <x:si>
    <x:t>61242-VT010-SFG</x:t>
  </x:si>
  <x:si>
    <x:t>S021400</x:t>
  </x:si>
  <x:si>
    <x:t>S021451</x:t>
  </x:si>
  <x:si>
    <x:t>57455-VT010 / 57456-VT020-SFG</x:t>
  </x:si>
  <x:si>
    <x:t>S021453</x:t>
  </x:si>
  <x:si>
    <x:t>57836-VT010-SFG</x:t>
  </x:si>
  <x:si>
    <x:t>S021455</x:t>
  </x:si>
  <x:si>
    <x:t>55743-VT010 / 55744-VT010-SFG</x:t>
  </x:si>
  <x:si>
    <x:t>S021457</x:t>
  </x:si>
  <x:si>
    <x:t>61161-VT010 / 61162-VT010-SFG</x:t>
  </x:si>
  <x:si>
    <x:t>S021459</x:t>
  </x:si>
  <x:si>
    <x:t>S021461</x:t>
  </x:si>
  <x:si>
    <x:t>57157-VT010 / 57158-VT020-SFG</x:t>
  </x:si>
  <x:si>
    <x:t>S021463</x:t>
  </x:si>
  <x:si>
    <x:t>57833-VT010-SFG</x:t>
  </x:si>
  <x:si>
    <x:t>S021465</x:t>
  </x:si>
  <x:si>
    <x:t>53281.82-VT010-SFG</x:t>
  </x:si>
  <x:si>
    <x:t>S021467</x:t>
  </x:si>
  <x:si>
    <x:t>53715-VT010 / 53716-VT020-SFG</x:t>
  </x:si>
  <x:si>
    <x:t>S021470</x:t>
  </x:si>
  <x:si>
    <x:t>57353-VT010 / 57354-VT020-SFG</x:t>
  </x:si>
  <x:si>
    <x:t>S021472</x:t>
  </x:si>
  <x:si>
    <x:t>61425-VT010 / 61426-VT020-SFG</x:t>
  </x:si>
  <x:si>
    <x:t>S021474</x:t>
  </x:si>
  <x:si>
    <x:t>57425-VT010 / 57426-VT010</x:t>
  </x:si>
  <x:si>
    <x:t>S021475</x:t>
  </x:si>
  <x:si>
    <x:t>S021476</x:t>
  </x:si>
  <x:si>
    <x:t>S021478</x:t>
  </x:si>
  <x:si>
    <x:t>S021479</x:t>
  </x:si>
  <x:si>
    <x:t>S021480</x:t>
  </x:si>
  <x:si>
    <x:t>S021491</x:t>
  </x:si>
  <x:si>
    <x:t>57185-VT010 / 57186-VT010</x:t>
  </x:si>
  <x:si>
    <x:t>S021492</x:t>
  </x:si>
  <x:si>
    <x:t>S021496</x:t>
  </x:si>
  <x:si>
    <x:t>57355-VT010 / 57356-VT020-SFG</x:t>
  </x:si>
  <x:si>
    <x:t>S021502</x:t>
  </x:si>
  <x:si>
    <x:t>63197-VT010-SFG</x:t>
  </x:si>
  <x:si>
    <x:t>S021506</x:t>
  </x:si>
  <x:si>
    <x:t>63175-VT010 / 63176-VT010-SFG</x:t>
  </x:si>
  <x:si>
    <x:t>S021508</x:t>
  </x:si>
  <x:si>
    <x:t>57655-VT010-SFG</x:t>
  </x:si>
  <x:si>
    <x:t>S021512</x:t>
  </x:si>
  <x:si>
    <x:t>S021514</x:t>
  </x:si>
  <x:si>
    <x:t>S021516</x:t>
  </x:si>
  <x:si>
    <x:t>S021518</x:t>
  </x:si>
  <x:si>
    <x:t>S021520</x:t>
  </x:si>
  <x:si>
    <x:t>S021522</x:t>
  </x:si>
  <x:si>
    <x:t>S021523</x:t>
  </x:si>
  <x:si>
    <x:t>S021526</x:t>
  </x:si>
  <x:si>
    <x:t>S021528</x:t>
  </x:si>
  <x:si>
    <x:t>S021530</x:t>
  </x:si>
  <x:si>
    <x:t>S021534</x:t>
  </x:si>
  <x:si>
    <x:t>61345.46-KK010-A</x:t>
  </x:si>
  <x:si>
    <x:t>S021536</x:t>
  </x:si>
  <x:si>
    <x:t>58375.76-0K030</x:t>
  </x:si>
  <x:si>
    <x:t>S021539</x:t>
  </x:si>
  <x:si>
    <x:t>S021545</x:t>
  </x:si>
  <x:si>
    <x:t>S021547</x:t>
  </x:si>
  <x:si>
    <x:t>S021549</x:t>
  </x:si>
  <x:si>
    <x:t>S021551</x:t>
  </x:si>
  <x:si>
    <x:t>S021556</x:t>
  </x:si>
  <x:si>
    <x:t>71167.8-47010-B</x:t>
  </x:si>
  <x:si>
    <x:t>S021559</x:t>
  </x:si>
  <x:si>
    <x:t>S021561</x:t>
  </x:si>
  <x:si>
    <x:t>S021563</x:t>
  </x:si>
  <x:si>
    <x:t>S021566</x:t>
  </x:si>
  <x:si>
    <x:t>S021568</x:t>
  </x:si>
  <x:si>
    <x:t>S021570</x:t>
  </x:si>
  <x:si>
    <x:t>S021581</x:t>
  </x:si>
  <x:si>
    <x:t>S021586</x:t>
  </x:si>
  <x:si>
    <x:t>S021588</x:t>
  </x:si>
  <x:si>
    <x:t>S021590</x:t>
  </x:si>
  <x:si>
    <x:t>S021610</x:t>
  </x:si>
  <x:si>
    <x:t>S021614</x:t>
  </x:si>
  <x:si>
    <x:t>S021616</x:t>
  </x:si>
  <x:si>
    <x:t>S021618</x:t>
  </x:si>
  <x:si>
    <x:t>S021620</x:t>
  </x:si>
  <x:si>
    <x:t>S021623</x:t>
  </x:si>
  <x:si>
    <x:t>S021633</x:t>
  </x:si>
  <x:si>
    <x:t>S021645</x:t>
  </x:si>
  <x:si>
    <x:t>62113-76T00-000</x:t>
  </x:si>
  <x:si>
    <x:t>S021648</x:t>
  </x:si>
  <x:si>
    <x:t>S021650</x:t>
  </x:si>
  <x:si>
    <x:t>S021654</x:t>
  </x:si>
  <x:si>
    <x:t>S021658</x:t>
  </x:si>
  <x:si>
    <x:t>S021660</x:t>
  </x:si>
  <x:si>
    <x:t>S021662</x:t>
  </x:si>
  <x:si>
    <x:t>S021665</x:t>
  </x:si>
  <x:si>
    <x:t>S021668</x:t>
  </x:si>
  <x:si>
    <x:t>S021678</x:t>
  </x:si>
  <x:si>
    <x:t>S021680</x:t>
  </x:si>
  <x:si>
    <x:t>S021690</x:t>
  </x:si>
  <x:si>
    <x:t>S021694</x:t>
  </x:si>
  <x:si>
    <x:t>S021696</x:t>
  </x:si>
  <x:si>
    <x:t>53735-VT010 / 53736-VT020-560B</x:t>
  </x:si>
  <x:si>
    <x:t>S021698</x:t>
  </x:si>
  <x:si>
    <x:t>S021700</x:t>
  </x:si>
  <x:si>
    <x:t>S021708</x:t>
  </x:si>
  <x:si>
    <x:t>S021712</x:t>
  </x:si>
  <x:si>
    <x:t>S021716</x:t>
  </x:si>
  <x:si>
    <x:t>S021718</x:t>
  </x:si>
  <x:si>
    <x:t>S021722</x:t>
  </x:si>
  <x:si>
    <x:t>57413.4-0K010</x:t>
  </x:si>
  <x:si>
    <x:t>S021729</x:t>
  </x:si>
  <x:si>
    <x:t>S021749</x:t>
  </x:si>
  <x:si>
    <x:t>S021757</x:t>
  </x:si>
  <x:si>
    <x:t>58341-76TA0-000-SFG</x:t>
  </x:si>
  <x:si>
    <x:t>S021759</x:t>
  </x:si>
  <x:si>
    <x:t>61142.92-76T00-000-SFG</x:t>
  </x:si>
  <x:si>
    <x:t>S021761</x:t>
  </x:si>
  <x:si>
    <x:t>61145.95-76T00-000-SFG</x:t>
  </x:si>
  <x:si>
    <x:t>S021763</x:t>
  </x:si>
  <x:si>
    <x:t>65176.7-76T50-SFG</x:t>
  </x:si>
  <x:si>
    <x:t>S021765</x:t>
  </x:si>
  <x:si>
    <x:t>63341.741-76T00-000-SFG</x:t>
  </x:si>
  <x:si>
    <x:t>S021773</x:t>
  </x:si>
  <x:si>
    <x:t>58792_VT010-sfg</x:t>
  </x:si>
  <x:si>
    <x:t>S021775</x:t>
  </x:si>
  <x:si>
    <x:t>61145-VT020 / 61146-VT010-SFG</x:t>
  </x:si>
  <x:si>
    <x:t>S021778</x:t>
  </x:si>
  <x:si>
    <x:t>17119-VT010-SFG</x:t>
  </x:si>
  <x:si>
    <x:t>S021780</x:t>
  </x:si>
  <x:si>
    <x:t>58791_VT010-SFG</x:t>
  </x:si>
  <x:si>
    <x:t>S021782</x:t>
  </x:si>
  <x:si>
    <x:t>58793_VT010-SFG</x:t>
  </x:si>
  <x:si>
    <x:t>S021786</x:t>
  </x:si>
  <x:si>
    <x:t>58995-VT020-SFG</x:t>
  </x:si>
  <x:si>
    <x:t>S021788</x:t>
  </x:si>
  <x:si>
    <x:t>77751-VT010-SFG</x:t>
  </x:si>
  <x:si>
    <x:t>S021791</x:t>
  </x:si>
  <x:si>
    <x:t>SP2i PEKMI</x:t>
  </x:si>
  <x:si>
    <x:t>S021793</x:t>
  </x:si>
  <x:si>
    <x:t>S021795</x:t>
  </x:si>
  <x:si>
    <x:t>S021797</x:t>
  </x:si>
  <x:si>
    <x:t>S021799</x:t>
  </x:si>
  <x:si>
    <x:t>S021805</x:t>
  </x:si>
  <x:si>
    <x:t>S021812</x:t>
  </x:si>
  <x:si>
    <x:t>S021814</x:t>
  </x:si>
  <x:si>
    <x:t>S021816</x:t>
  </x:si>
  <x:si>
    <x:t>S021818</x:t>
  </x:si>
  <x:si>
    <x:t>47115-TR019/82715-VT840</x:t>
  </x:si>
  <x:si>
    <x:t>S021822</x:t>
  </x:si>
  <x:si>
    <x:t>S021824</x:t>
  </x:si>
  <x:si>
    <x:t>S021826</x:t>
  </x:si>
  <x:si>
    <x:t>S021830</x:t>
  </x:si>
  <x:si>
    <x:t>S021835</x:t>
  </x:si>
  <x:si>
    <x:t>58991-VT040-SFG</x:t>
  </x:si>
  <x:si>
    <x:t>S021837</x:t>
  </x:si>
  <x:si>
    <x:t>58992-VT020-SFG</x:t>
  </x:si>
  <x:si>
    <x:t>S021839</x:t>
  </x:si>
  <x:si>
    <x:t>S021847</x:t>
  </x:si>
  <x:si>
    <x:t>S021849</x:t>
  </x:si>
  <x:si>
    <x:t>S021853</x:t>
  </x:si>
  <x:si>
    <x:t>S021855</x:t>
  </x:si>
  <x:si>
    <x:t>S021857</x:t>
  </x:si>
  <x:si>
    <x:t>S021859</x:t>
  </x:si>
  <x:si>
    <x:t>58828-VT020-SFG</x:t>
  </x:si>
  <x:si>
    <x:t>S021861</x:t>
  </x:si>
  <x:si>
    <x:t>58857-VT020-SFG</x:t>
  </x:si>
  <x:si>
    <x:t>S021863</x:t>
  </x:si>
  <x:si>
    <x:t>61171-VT010 / 61172-VT010-SFG</x:t>
  </x:si>
  <x:si>
    <x:t>S021865</x:t>
  </x:si>
  <x:si>
    <x:t>55178-F7030-SFG</x:t>
  </x:si>
  <x:si>
    <x:t>S021867</x:t>
  </x:si>
  <x:si>
    <x:t>53651-VT010/20-Z2 / 53652-VT010/20-Z2-SFG</x:t>
  </x:si>
  <x:si>
    <x:t>S021869</x:t>
  </x:si>
  <x:si>
    <x:t>55174-F7030-SFG</x:t>
  </x:si>
  <x:si>
    <x:t>S021872</x:t>
  </x:si>
  <x:si>
    <x:t>S021876</x:t>
  </x:si>
  <x:si>
    <x:t>S021877</x:t>
  </x:si>
  <x:si>
    <x:t>S021883</x:t>
  </x:si>
  <x:si>
    <x:t>S021885</x:t>
  </x:si>
  <x:si>
    <x:t>S021887</x:t>
  </x:si>
  <x:si>
    <x:t>S021889</x:t>
  </x:si>
  <x:si>
    <x:t>S021891</x:t>
  </x:si>
  <x:si>
    <x:t>S021897</x:t>
  </x:si>
  <x:si>
    <x:t>S021901</x:t>
  </x:si>
  <x:si>
    <x:t>55116-VT010-SFG</x:t>
  </x:si>
  <x:si>
    <x:t>S021909</x:t>
  </x:si>
  <x:si>
    <x:t>S021911</x:t>
  </x:si>
  <x:si>
    <x:t>55172_V1010-SFG</x:t>
  </x:si>
  <x:si>
    <x:t>S021929</x:t>
  </x:si>
  <x:si>
    <x:t>S021931</x:t>
  </x:si>
  <x:si>
    <x:t>S021933</x:t>
  </x:si>
  <x:si>
    <x:t>S021935</x:t>
  </x:si>
  <x:si>
    <x:t>S021937</x:t>
  </x:si>
  <x:si>
    <x:t>64123-DY000</x:t>
  </x:si>
  <x:si>
    <x:t>S021947</x:t>
  </x:si>
  <x:si>
    <x:t>S021953</x:t>
  </x:si>
  <x:si>
    <x:t>S021960</x:t>
  </x:si>
  <x:si>
    <x:t>S021962</x:t>
  </x:si>
  <x:si>
    <x:t>S021964</x:t>
  </x:si>
  <x:si>
    <x:t>S021966</x:t>
  </x:si>
  <x:si>
    <x:t>S021968</x:t>
  </x:si>
  <x:si>
    <x:t>S021970</x:t>
  </x:si>
  <x:si>
    <x:t>S021974</x:t>
  </x:si>
  <x:si>
    <x:t>S021978</x:t>
  </x:si>
  <x:si>
    <x:t>S021982</x:t>
  </x:si>
  <x:si>
    <x:t>S021984</x:t>
  </x:si>
  <x:si>
    <x:t>S021987</x:t>
  </x:si>
  <x:si>
    <x:t>63243-76T00-SFG</x:t>
  </x:si>
  <x:si>
    <x:t>S021990</x:t>
  </x:si>
  <x:si>
    <x:t>62126-76TA0-SFG</x:t>
  </x:si>
  <x:si>
    <x:t>S021994</x:t>
  </x:si>
  <x:si>
    <x:t>S021997</x:t>
  </x:si>
  <x:si>
    <x:t>62622-64M00-SFG</x:t>
  </x:si>
  <x:si>
    <x:t>S022001</x:t>
  </x:si>
  <x:si>
    <x:t>S022004</x:t>
  </x:si>
  <x:si>
    <x:t>71111-76T00-SFG</x:t>
  </x:si>
  <x:si>
    <x:t>S022006</x:t>
  </x:si>
  <x:si>
    <x:t>71181-76T00-SFG</x:t>
  </x:si>
  <x:si>
    <x:t>S022008</x:t>
  </x:si>
  <x:si>
    <x:t>S022010</x:t>
  </x:si>
  <x:si>
    <x:t>63223-64M00-SFG</x:t>
  </x:si>
  <x:si>
    <x:t>S022012</x:t>
  </x:si>
  <x:si>
    <x:t>59236-61M00-SFG</x:t>
  </x:si>
  <x:si>
    <x:t>S022015</x:t>
  </x:si>
  <x:si>
    <x:t>62715-55KA0-SFG</x:t>
  </x:si>
  <x:si>
    <x:t>S022017</x:t>
  </x:si>
  <x:si>
    <x:t>62716-76T00-SFG</x:t>
  </x:si>
  <x:si>
    <x:t>S022019</x:t>
  </x:si>
  <x:si>
    <x:t>62811-76TA0-SFG</x:t>
  </x:si>
  <x:si>
    <x:t>S022021</x:t>
  </x:si>
  <x:si>
    <x:t>63224/624-76T00/64M00-SFG</x:t>
  </x:si>
  <x:si>
    <x:t>S022023</x:t>
  </x:si>
  <x:si>
    <x:t>62834-76T00-SFG</x:t>
  </x:si>
  <x:si>
    <x:t>S022025</x:t>
  </x:si>
  <x:si>
    <x:t>62811-76T00-SFG</x:t>
  </x:si>
  <x:si>
    <x:t>S022027</x:t>
  </x:si>
  <x:si>
    <x:t>59741.51-76T00-SFG</x:t>
  </x:si>
  <x:si>
    <x:t>S022036</x:t>
  </x:si>
  <x:si>
    <x:t>S022040</x:t>
  </x:si>
  <x:si>
    <x:t>S022042</x:t>
  </x:si>
  <x:si>
    <x:t>S022044</x:t>
  </x:si>
  <x:si>
    <x:t>S022047</x:t>
  </x:si>
  <x:si>
    <x:t>S022050</x:t>
  </x:si>
  <x:si>
    <x:t>P55342-VT030-RM-SFG</x:t>
  </x:si>
  <x:si>
    <x:t>S022054</x:t>
  </x:si>
  <x:si>
    <x:t>P55365-VT030-RM-SFG</x:t>
  </x:si>
  <x:si>
    <x:t>S022057</x:t>
  </x:si>
  <x:si>
    <x:t>P55339-VT020-RM-SFG</x:t>
  </x:si>
  <x:si>
    <x:t>S022059</x:t>
  </x:si>
  <x:si>
    <x:t>P55333-VT020-RM-SFG</x:t>
  </x:si>
  <x:si>
    <x:t>S022061</x:t>
  </x:si>
  <x:si>
    <x:t>P55338-VT020-RM-SFG</x:t>
  </x:si>
  <x:si>
    <x:t>S022065</x:t>
  </x:si>
  <x:si>
    <x:t>P55324-VT030-RM-SFG</x:t>
  </x:si>
  <x:si>
    <x:t>S022076</x:t>
  </x:si>
  <x:si>
    <x:t>S022077</x:t>
  </x:si>
  <x:si>
    <x:t>S022078</x:t>
  </x:si>
  <x:si>
    <x:t>S022079</x:t>
  </x:si>
  <x:si>
    <x:t>S022085</x:t>
  </x:si>
  <x:si>
    <x:t>S022087</x:t>
  </x:si>
  <x:si>
    <x:t>S022089</x:t>
  </x:si>
  <x:si>
    <x:t>S022091</x:t>
  </x:si>
  <x:si>
    <x:t>S022094</x:t>
  </x:si>
  <x:si>
    <x:t>S022096</x:t>
  </x:si>
  <x:si>
    <x:t>S022098</x:t>
  </x:si>
  <x:si>
    <x:t>S022101</x:t>
  </x:si>
  <x:si>
    <x:t>S022103</x:t>
  </x:si>
  <x:si>
    <x:t>S022106</x:t>
  </x:si>
  <x:si>
    <x:t>67172-DY000/67182-DY000</x:t>
  </x:si>
  <x:si>
    <x:t>S022108</x:t>
  </x:si>
  <x:si>
    <x:t>S022110</x:t>
  </x:si>
  <x:si>
    <x:t>S022117</x:t>
  </x:si>
  <x:si>
    <x:t>67134DY000RM-SFG</x:t>
  </x:si>
  <x:si>
    <x:t>S022119</x:t>
  </x:si>
  <x:si>
    <x:t>67136DY000RM-SFG</x:t>
  </x:si>
  <x:si>
    <x:t>S022121</x:t>
  </x:si>
  <x:si>
    <x:t>64138DY000RM-SFG</x:t>
  </x:si>
  <x:si>
    <x:t>S022123</x:t>
  </x:si>
  <x:si>
    <x:t>S022125</x:t>
  </x:si>
  <x:si>
    <x:t>S022127</x:t>
  </x:si>
  <x:si>
    <x:t>S022131</x:t>
  </x:si>
  <x:si>
    <x:t>S022133</x:t>
  </x:si>
  <x:si>
    <x:t>64136DY000RM-SFG</x:t>
  </x:si>
  <x:si>
    <x:t>S022135</x:t>
  </x:si>
  <x:si>
    <x:t>641D2DY000RM-SFG</x:t>
  </x:si>
  <x:si>
    <x:t>S022137</x:t>
  </x:si>
  <x:si>
    <x:t>641C2DY000RM-SFG</x:t>
  </x:si>
  <x:si>
    <x:t>S022141</x:t>
  </x:si>
  <x:si>
    <x:t>S022143</x:t>
  </x:si>
  <x:si>
    <x:t>S022147</x:t>
  </x:si>
  <x:si>
    <x:t>S022150</x:t>
  </x:si>
  <x:si>
    <x:t>58434-76T00-000</x:t>
  </x:si>
  <x:si>
    <x:t>S022152</x:t>
  </x:si>
  <x:si>
    <x:t>S022154</x:t>
  </x:si>
  <x:si>
    <x:t>S022156</x:t>
  </x:si>
  <x:si>
    <x:t>S022158</x:t>
  </x:si>
  <x:si>
    <x:t>S022160</x:t>
  </x:si>
  <x:si>
    <x:t>S022162</x:t>
  </x:si>
  <x:si>
    <x:t>S022164</x:t>
  </x:si>
  <x:si>
    <x:t>S022166</x:t>
  </x:si>
  <x:si>
    <x:t>S022168</x:t>
  </x:si>
  <x:si>
    <x:t>S022170</x:t>
  </x:si>
  <x:si>
    <x:t>S022173</x:t>
  </x:si>
  <x:si>
    <x:t>S022175</x:t>
  </x:si>
  <x:si>
    <x:t>S022181</x:t>
  </x:si>
  <x:si>
    <x:t>S022183</x:t>
  </x:si>
  <x:si>
    <x:t>S022185</x:t>
  </x:si>
  <x:si>
    <x:t>S022187</x:t>
  </x:si>
  <x:si>
    <x:t>S022189</x:t>
  </x:si>
  <x:si>
    <x:t>S022191</x:t>
  </x:si>
  <x:si>
    <x:t>S022193</x:t>
  </x:si>
  <x:si>
    <x:t>S022195</x:t>
  </x:si>
  <x:si>
    <x:t>S022197</x:t>
  </x:si>
  <x:si>
    <x:t>S022213</x:t>
  </x:si>
  <x:si>
    <x:t>S022221</x:t>
  </x:si>
  <x:si>
    <x:t>S022222</x:t>
  </x:si>
  <x:si>
    <x:t>S022228</x:t>
  </x:si>
  <x:si>
    <x:t>S022238</x:t>
  </x:si>
  <x:si>
    <x:t>S022240</x:t>
  </x:si>
  <x:si>
    <x:t>S022242</x:t>
  </x:si>
  <x:si>
    <x:t>S022252</x:t>
  </x:si>
  <x:si>
    <x:t>S022258</x:t>
  </x:si>
  <x:si>
    <x:t>S022263</x:t>
  </x:si>
  <x:si>
    <x:t>S022265</x:t>
  </x:si>
  <x:si>
    <x:t>S022267</x:t>
  </x:si>
  <x:si>
    <x:t>S022269</x:t>
  </x:si>
  <x:si>
    <x:t>S022271</x:t>
  </x:si>
  <x:si>
    <x:t>S022272</x:t>
  </x:si>
  <x:si>
    <x:t>S022274</x:t>
  </x:si>
  <x:si>
    <x:t>S022278</x:t>
  </x:si>
  <x:si>
    <x:t>S022282</x:t>
  </x:si>
  <x:si>
    <x:t>S022290</x:t>
  </x:si>
  <x:si>
    <x:t>S022293</x:t>
  </x:si>
  <x:si>
    <x:t>S022301</x:t>
  </x:si>
  <x:si>
    <x:t>S022304</x:t>
  </x:si>
  <x:si>
    <x:t>S022306</x:t>
  </x:si>
  <x:si>
    <x:t>S022311</x:t>
  </x:si>
  <x:si>
    <x:t>S022316</x:t>
  </x:si>
  <x:si>
    <x:t>S022318</x:t>
  </x:si>
  <x:si>
    <x:t>S022321</x:t>
  </x:si>
  <x:si>
    <x:t>S022325</x:t>
  </x:si>
  <x:si>
    <x:t>S022326</x:t>
  </x:si>
  <x:si>
    <x:t>S022327</x:t>
  </x:si>
  <x:si>
    <x:t>S022328</x:t>
  </x:si>
  <x:si>
    <x:t>S022329</x:t>
  </x:si>
  <x:si>
    <x:t>S022330</x:t>
  </x:si>
  <x:si>
    <x:t>S022331</x:t>
  </x:si>
  <x:si>
    <x:t>S022332</x:t>
  </x:si>
  <x:si>
    <x:t>S022342</x:t>
  </x:si>
  <x:si>
    <x:t>S022345</x:t>
  </x:si>
  <x:si>
    <x:t>S022350</x:t>
  </x:si>
  <x:si>
    <x:t>S022355</x:t>
  </x:si>
  <x:si>
    <x:t>S022356</x:t>
  </x:si>
  <x:si>
    <x:t>S022357</x:t>
  </x:si>
  <x:si>
    <x:t>S022358</x:t>
  </x:si>
  <x:si>
    <x:t>77617-0K010</x:t>
  </x:si>
  <x:si>
    <x:t>S022359</x:t>
  </x:si>
  <x:si>
    <x:t>S022363</x:t>
  </x:si>
  <x:si>
    <x:t>S022365</x:t>
  </x:si>
  <x:si>
    <x:t>S022369</x:t>
  </x:si>
  <x:si>
    <x:t>S022373</x:t>
  </x:si>
  <x:si>
    <x:t>S022377</x:t>
  </x:si>
  <x:si>
    <x:t>S022386</x:t>
  </x:si>
  <x:si>
    <x:t>S022388</x:t>
  </x:si>
  <x:si>
    <x:t>S022390</x:t>
  </x:si>
  <x:si>
    <x:t>S022393</x:t>
  </x:si>
  <x:si>
    <x:t>S022402</x:t>
  </x:si>
  <x:si>
    <x:t>S022404</x:t>
  </x:si>
  <x:si>
    <x:t>S022407</x:t>
  </x:si>
  <x:si>
    <x:t>S022409</x:t>
  </x:si>
  <x:si>
    <x:t>S022414</x:t>
  </x:si>
  <x:si>
    <x:t>S022428</x:t>
  </x:si>
  <x:si>
    <x:t>S022437</x:t>
  </x:si>
  <x:si>
    <x:t>71452-X7P00/72608-X7P00</x:t>
  </x:si>
  <x:si>
    <x:t>S022449</x:t>
  </x:si>
  <x:si>
    <x:t>S022451</x:t>
  </x:si>
  <x:si>
    <x:t>S022453</x:t>
  </x:si>
  <x:si>
    <x:t>S022462</x:t>
  </x:si>
  <x:si>
    <x:t>S022463</x:t>
  </x:si>
  <x:si>
    <x:t>S022466</x:t>
  </x:si>
  <x:si>
    <x:t>S022474</x:t>
  </x:si>
  <x:si>
    <x:t>S022485</x:t>
  </x:si>
  <x:si>
    <x:t>S022488</x:t>
  </x:si>
  <x:si>
    <x:t>71167-X7V36</x:t>
  </x:si>
  <x:si>
    <x:t>S022490</x:t>
  </x:si>
  <x:si>
    <x:t>71371-X7V39</x:t>
  </x:si>
  <x:si>
    <x:t>S022504</x:t>
  </x:si>
  <x:si>
    <x:t>S022506</x:t>
  </x:si>
  <x:si>
    <x:t>S022521</x:t>
  </x:si>
  <x:si>
    <x:t>S022524</x:t>
  </x:si>
  <x:si>
    <x:t>53322-VT010SFG</x:t>
  </x:si>
  <x:si>
    <x:t>S022526</x:t>
  </x:si>
  <x:si>
    <x:t>S022529</x:t>
  </x:si>
  <x:si>
    <x:t>S022531</x:t>
  </x:si>
  <x:si>
    <x:t>S022536</x:t>
  </x:si>
  <x:si>
    <x:t>S022537</x:t>
  </x:si>
  <x:si>
    <x:t>53324-VT010SFG</x:t>
  </x:si>
  <x:si>
    <x:t>S022540</x:t>
  </x:si>
  <x:si>
    <x:t>S022544</x:t>
  </x:si>
  <x:si>
    <x:t>S022547</x:t>
  </x:si>
  <x:si>
    <x:t>55114-VT010SFG</x:t>
  </x:si>
  <x:si>
    <x:t>S022550</x:t>
  </x:si>
  <x:si>
    <x:t>S022557</x:t>
  </x:si>
  <x:si>
    <x:t>72155-X7V12</x:t>
  </x:si>
  <x:si>
    <x:t>S022562</x:t>
  </x:si>
  <x:si>
    <x:t>57843-VT010</x:t>
  </x:si>
  <x:si>
    <x:t>S022568</x:t>
  </x:si>
  <x:si>
    <x:t>S022572</x:t>
  </x:si>
  <x:si>
    <x:t>S022575</x:t>
  </x:si>
  <x:si>
    <x:t>S022577</x:t>
  </x:si>
  <x:si>
    <x:t>S022581</x:t>
  </x:si>
  <x:si>
    <x:t>S022582</x:t>
  </x:si>
  <x:si>
    <x:t>S022584</x:t>
  </x:si>
  <x:si>
    <x:t>S022612</x:t>
  </x:si>
  <x:si>
    <x:t>S022614</x:t>
  </x:si>
  <x:si>
    <x:t>S022616</x:t>
  </x:si>
  <x:si>
    <x:t>S022618</x:t>
  </x:si>
  <x:si>
    <x:t>S022624</x:t>
  </x:si>
  <x:si>
    <x:t>S022631</x:t>
  </x:si>
  <x:si>
    <x:t>S022633</x:t>
  </x:si>
  <x:si>
    <x:t>S022639</x:t>
  </x:si>
  <x:si>
    <x:t>S022643</x:t>
  </x:si>
  <x:si>
    <x:t>S022645</x:t>
  </x:si>
  <x:si>
    <x:t>S022655</x:t>
  </x:si>
  <x:si>
    <x:t>S022667</x:t>
  </x:si>
  <x:si>
    <x:t>S022669</x:t>
  </x:si>
  <x:si>
    <x:t>S022672</x:t>
  </x:si>
  <x:si>
    <x:t>S022673</x:t>
  </x:si>
  <x:si>
    <x:t>S022676</x:t>
  </x:si>
  <x:si>
    <x:t>S022680</x:t>
  </x:si>
  <x:si>
    <x:t>S022682</x:t>
  </x:si>
  <x:si>
    <x:t>S022683</x:t>
  </x:si>
  <x:si>
    <x:t>S022684</x:t>
  </x:si>
  <x:si>
    <x:t>S022688</x:t>
  </x:si>
  <x:si>
    <x:t>S022689</x:t>
  </x:si>
  <x:si>
    <x:t>S022690</x:t>
  </x:si>
  <x:si>
    <x:t>S022691</x:t>
  </x:si>
  <x:si>
    <x:t>S022692</x:t>
  </x:si>
  <x:si>
    <x:t>S022693</x:t>
  </x:si>
  <x:si>
    <x:t>S022694</x:t>
  </x:si>
  <x:si>
    <x:t>S022695</x:t>
  </x:si>
  <x:si>
    <x:t>S022718</x:t>
  </x:si>
  <x:si>
    <x:t>S022722</x:t>
  </x:si>
  <x:si>
    <x:t>S022726</x:t>
  </x:si>
  <x:si>
    <x:t>S022729</x:t>
  </x:si>
  <x:si>
    <x:t>S022731</x:t>
  </x:si>
  <x:si>
    <x:t>S022732</x:t>
  </x:si>
  <x:si>
    <x:t>S022733</x:t>
  </x:si>
  <x:si>
    <x:t>S022734</x:t>
  </x:si>
  <x:si>
    <x:t>S022735</x:t>
  </x:si>
  <x:si>
    <x:t>S022742</x:t>
  </x:si>
  <x:si>
    <x:t>S022753</x:t>
  </x:si>
  <x:si>
    <x:t>S022754</x:t>
  </x:si>
  <x:si>
    <x:t>S022755</x:t>
  </x:si>
  <x:si>
    <x:t>S022756</x:t>
  </x:si>
  <x:si>
    <x:t>S022757</x:t>
  </x:si>
  <x:si>
    <x:t>S022759</x:t>
  </x:si>
  <x:si>
    <x:t>S022760</x:t>
  </x:si>
  <x:si>
    <x:t>S022761</x:t>
  </x:si>
  <x:si>
    <x:t>S022763</x:t>
  </x:si>
  <x:si>
    <x:t>S022764</x:t>
  </x:si>
  <x:si>
    <x:t>S022765</x:t>
  </x:si>
  <x:si>
    <x:t>S022766</x:t>
  </x:si>
  <x:si>
    <x:t>S022767</x:t>
  </x:si>
  <x:si>
    <x:t>S022768</x:t>
  </x:si>
  <x:si>
    <x:t>S022769</x:t>
  </x:si>
  <x:si>
    <x:t>S022770</x:t>
  </x:si>
  <x:si>
    <x:t>S022774</x:t>
  </x:si>
  <x:si>
    <x:t>S022776</x:t>
  </x:si>
  <x:si>
    <x:t>S022780</x:t>
  </x:si>
  <x:si>
    <x:t>S022781</x:t>
  </x:si>
  <x:si>
    <x:t>S022784</x:t>
  </x:si>
  <x:si>
    <x:t>S022797</x:t>
  </x:si>
  <x:si>
    <x:t>S022798</x:t>
  </x:si>
  <x:si>
    <x:t>71111-X7V15</x:t>
  </x:si>
  <x:si>
    <x:t>S022799</x:t>
  </x:si>
  <x:si>
    <x:t>S022800</x:t>
  </x:si>
  <x:si>
    <x:t>S022801</x:t>
  </x:si>
  <x:si>
    <x:t>S022802</x:t>
  </x:si>
  <x:si>
    <x:t>S022803</x:t>
  </x:si>
  <x:si>
    <x:t>S022804</x:t>
  </x:si>
  <x:si>
    <x:t>S022805</x:t>
  </x:si>
  <x:si>
    <x:t>S022806</x:t>
  </x:si>
  <x:si>
    <x:t>S022808</x:t>
  </x:si>
  <x:si>
    <x:t>S022809</x:t>
  </x:si>
  <x:si>
    <x:t>S022810</x:t>
  </x:si>
  <x:si>
    <x:t>S022811</x:t>
  </x:si>
  <x:si>
    <x:t>S022813</x:t>
  </x:si>
  <x:si>
    <x:t>S022828</x:t>
  </x:si>
  <x:si>
    <x:t>S022875</x:t>
  </x:si>
  <x:si>
    <x:t>S022887</x:t>
  </x:si>
  <x:si>
    <x:t>S022888</x:t>
  </x:si>
  <x:si>
    <x:t>S022890</x:t>
  </x:si>
  <x:si>
    <x:t>S022891</x:t>
  </x:si>
  <x:si>
    <x:t>S022892</x:t>
  </x:si>
  <x:si>
    <x:t>S022893</x:t>
  </x:si>
  <x:si>
    <x:t>S022895</x:t>
  </x:si>
  <x:si>
    <x:t>S022896</x:t>
  </x:si>
  <x:si>
    <x:t>S022909</x:t>
  </x:si>
  <x:si>
    <x:t>S022910</x:t>
  </x:si>
  <x:si>
    <x:t>S022911</x:t>
  </x:si>
  <x:si>
    <x:t>S022912</x:t>
  </x:si>
  <x:si>
    <x:t>S022913</x:t>
  </x:si>
  <x:si>
    <x:t>S022932</x:t>
  </x:si>
  <x:si>
    <x:t>S022933</x:t>
  </x:si>
  <x:si>
    <x:t>S022934</x:t>
  </x:si>
  <x:si>
    <x:t>S022935</x:t>
  </x:si>
  <x:si>
    <x:t>S022936</x:t>
  </x:si>
  <x:si>
    <x:t>S022937</x:t>
  </x:si>
  <x:si>
    <x:t>S022938</x:t>
  </x:si>
  <x:si>
    <x:t>S022940</x:t>
  </x:si>
  <x:si>
    <x:t>S022949</x:t>
  </x:si>
  <x:si>
    <x:t>S022950</x:t>
  </x:si>
  <x:si>
    <x:t>S022951</x:t>
  </x:si>
  <x:si>
    <x:t>S022952</x:t>
  </x:si>
  <x:si>
    <x:t>S022953</x:t>
  </x:si>
  <x:si>
    <x:t>S022954</x:t>
  </x:si>
  <x:si>
    <x:t>S022963</x:t>
  </x:si>
  <x:si>
    <x:t>S022965</x:t>
  </x:si>
  <x:si>
    <x:t>S022967</x:t>
  </x:si>
  <x:si>
    <x:t>S022970</x:t>
  </x:si>
  <x:si>
    <x:t>S022971</x:t>
  </x:si>
  <x:si>
    <x:t>S022972</x:t>
  </x:si>
  <x:si>
    <x:t>S022973</x:t>
  </x:si>
  <x:si>
    <x:t>S022974</x:t>
  </x:si>
  <x:si>
    <x:t>S022975</x:t>
  </x:si>
  <x:si>
    <x:t>S022976</x:t>
  </x:si>
  <x:si>
    <x:t>S022977</x:t>
  </x:si>
  <x:si>
    <x:t>S022986</x:t>
  </x:si>
  <x:si>
    <x:t>S023029</x:t>
  </x:si>
  <x:si>
    <x:t>S023034</x:t>
  </x:si>
  <x:si>
    <x:t>S023035</x:t>
  </x:si>
  <x:si>
    <x:t>S023036</x:t>
  </x:si>
  <x:si>
    <x:t>S023041</x:t>
  </x:si>
  <x:si>
    <x:t>S023055</x:t>
  </x:si>
  <x:si>
    <x:t>S023057</x:t>
  </x:si>
  <x:si>
    <x:t>S023059</x:t>
  </x:si>
  <x:si>
    <x:t>S023063</x:t>
  </x:si>
  <x:si>
    <x:t>S023065</x:t>
  </x:si>
  <x:si>
    <x:t>S023067</x:t>
  </x:si>
  <x:si>
    <x:t>S023068</x:t>
  </x:si>
  <x:si>
    <x:t>S023069</x:t>
  </x:si>
  <x:si>
    <x:t>S023070</x:t>
  </x:si>
  <x:si>
    <x:t>S023071</x:t>
  </x:si>
  <x:si>
    <x:t>S023072</x:t>
  </x:si>
  <x:si>
    <x:t>S023083</x:t>
  </x:si>
  <x:si>
    <x:t>S023084</x:t>
  </x:si>
  <x:si>
    <x:t>S023085</x:t>
  </x:si>
  <x:si>
    <x:t>S023092</x:t>
  </x:si>
  <x:si>
    <x:t>S023106</x:t>
  </x:si>
  <x:si>
    <x:t>S023109</x:t>
  </x:si>
  <x:si>
    <x:t>S023111</x:t>
  </x:si>
  <x:si>
    <x:t>S023113</x:t>
  </x:si>
  <x:si>
    <x:t>S023115</x:t>
  </x:si>
  <x:si>
    <x:t>S023119</x:t>
  </x:si>
  <x:si>
    <x:t>S023120</x:t>
  </x:si>
  <x:si>
    <x:t>S023121</x:t>
  </x:si>
  <x:si>
    <x:t>S023122</x:t>
  </x:si>
  <x:si>
    <x:t>S023129</x:t>
  </x:si>
  <x:si>
    <x:t>S023150</x:t>
  </x:si>
  <x:si>
    <x:t>S023152</x:t>
  </x:si>
  <x:si>
    <x:t>S023157</x:t>
  </x:si>
  <x:si>
    <x:t>S023163</x:t>
  </x:si>
  <x:si>
    <x:t>S023165</x:t>
  </x:si>
  <x:si>
    <x:t>S023167</x:t>
  </x:si>
  <x:si>
    <x:t>S023169</x:t>
  </x:si>
  <x:si>
    <x:t>S023171</x:t>
  </x:si>
  <x:si>
    <x:t>S023173</x:t>
  </x:si>
  <x:si>
    <x:t>S023175</x:t>
  </x:si>
  <x:si>
    <x:t>S023177</x:t>
  </x:si>
  <x:si>
    <x:t>S023179</x:t>
  </x:si>
  <x:si>
    <x:t>S023181</x:t>
  </x:si>
  <x:si>
    <x:t>S023183</x:t>
  </x:si>
  <x:si>
    <x:t>S023185</x:t>
  </x:si>
  <x:si>
    <x:t>S023188</x:t>
  </x:si>
  <x:si>
    <x:t>S023189</x:t>
  </x:si>
  <x:si>
    <x:t>S023191</x:t>
  </x:si>
  <x:si>
    <x:t>S023193</x:t>
  </x:si>
  <x:si>
    <x:t>S023195</x:t>
  </x:si>
  <x:si>
    <x:t>S023197</x:t>
  </x:si>
  <x:si>
    <x:t>S023199</x:t>
  </x:si>
  <x:si>
    <x:t>S023202</x:t>
  </x:si>
  <x:si>
    <x:t>S023204</x:t>
  </x:si>
  <x:si>
    <x:t>S023206</x:t>
  </x:si>
  <x:si>
    <x:t>S023209</x:t>
  </x:si>
  <x:si>
    <x:t>S023211</x:t>
  </x:si>
  <x:si>
    <x:t>S023214</x:t>
  </x:si>
  <x:si>
    <x:t>S023216</x:t>
  </x:si>
  <x:si>
    <x:t>S023219</x:t>
  </x:si>
  <x:si>
    <x:t>S023221</x:t>
  </x:si>
  <x:si>
    <x:t>S023223</x:t>
  </x:si>
  <x:si>
    <x:t>S023225</x:t>
  </x:si>
  <x:si>
    <x:t>S023228</x:t>
  </x:si>
  <x:si>
    <x:t>S023230</x:t>
  </x:si>
  <x:si>
    <x:t>63145.6-VT010e</x:t>
  </x:si>
  <x:si>
    <x:t>S023231</x:t>
  </x:si>
  <x:si>
    <x:t>S023233</x:t>
  </x:si>
  <x:si>
    <x:t>S023236</x:t>
  </x:si>
  <x:si>
    <x:t>S023238</x:t>
  </x:si>
  <x:si>
    <x:t>S023240</x:t>
  </x:si>
  <x:si>
    <x:t>S023242</x:t>
  </x:si>
  <x:si>
    <x:t>S023245</x:t>
  </x:si>
  <x:si>
    <x:t>S023247</x:t>
  </x:si>
  <x:si>
    <x:t>S023249</x:t>
  </x:si>
  <x:si>
    <x:t>S023251</x:t>
  </x:si>
  <x:si>
    <x:t>S023255</x:t>
  </x:si>
  <x:si>
    <x:t>S023257</x:t>
  </x:si>
  <x:si>
    <x:t>S023259</x:t>
  </x:si>
  <x:si>
    <x:t>S023261</x:t>
  </x:si>
  <x:si>
    <x:t>S023263</x:t>
  </x:si>
  <x:si>
    <x:t>S023265</x:t>
  </x:si>
  <x:si>
    <x:t>S023267</x:t>
  </x:si>
  <x:si>
    <x:t>S023269</x:t>
  </x:si>
  <x:si>
    <x:t>S023271</x:t>
  </x:si>
  <x:si>
    <x:t>S023273</x:t>
  </x:si>
  <x:si>
    <x:t>S023275</x:t>
  </x:si>
  <x:si>
    <x:t>S023277</x:t>
  </x:si>
  <x:si>
    <x:t>S023279</x:t>
  </x:si>
  <x:si>
    <x:t>S023280</x:t>
  </x:si>
  <x:si>
    <x:t>S023283</x:t>
  </x:si>
  <x:si>
    <x:t>S023285</x:t>
  </x:si>
  <x:si>
    <x:t>57117-VT010</x:t>
  </x:si>
  <x:si>
    <x:t>S023288</x:t>
  </x:si>
  <x:si>
    <x:t>S023289</x:t>
  </x:si>
  <x:si>
    <x:t>S023291</x:t>
  </x:si>
  <x:si>
    <x:t>S023294</x:t>
  </x:si>
  <x:si>
    <x:t>S023296</x:t>
  </x:si>
  <x:si>
    <x:t>S023298</x:t>
  </x:si>
  <x:si>
    <x:t>S023302</x:t>
  </x:si>
  <x:si>
    <x:t>S023304</x:t>
  </x:si>
  <x:si>
    <x:t>S023306</x:t>
  </x:si>
  <x:si>
    <x:t>S023308</x:t>
  </x:si>
  <x:si>
    <x:t>S023310</x:t>
  </x:si>
  <x:si>
    <x:t>S023312</x:t>
  </x:si>
  <x:si>
    <x:t>S023315</x:t>
  </x:si>
  <x:si>
    <x:t>S023316</x:t>
  </x:si>
  <x:si>
    <x:t>S023317</x:t>
  </x:si>
  <x:si>
    <x:t>S023319</x:t>
  </x:si>
  <x:si>
    <x:t>S023321</x:t>
  </x:si>
  <x:si>
    <x:t>S023323</x:t>
  </x:si>
  <x:si>
    <x:t>S023325</x:t>
  </x:si>
  <x:si>
    <x:t>S023327</x:t>
  </x:si>
  <x:si>
    <x:t>S023329</x:t>
  </x:si>
  <x:si>
    <x:t>S023331</x:t>
  </x:si>
  <x:si>
    <x:t>S023334</x:t>
  </x:si>
  <x:si>
    <x:t>S023336</x:t>
  </x:si>
  <x:si>
    <x:t>S023339</x:t>
  </x:si>
  <x:si>
    <x:t>S023341</x:t>
  </x:si>
  <x:si>
    <x:t>S023343</x:t>
  </x:si>
  <x:si>
    <x:t>S023345</x:t>
  </x:si>
  <x:si>
    <x:t>S023347</x:t>
  </x:si>
  <x:si>
    <x:t>S023349</x:t>
  </x:si>
  <x:si>
    <x:t>S023353</x:t>
  </x:si>
  <x:si>
    <x:t>S023355</x:t>
  </x:si>
  <x:si>
    <x:t>S023357</x:t>
  </x:si>
  <x:si>
    <x:t>S023359</x:t>
  </x:si>
  <x:si>
    <x:t>S023364</x:t>
  </x:si>
  <x:si>
    <x:t>S023366</x:t>
  </x:si>
  <x:si>
    <x:t>S023369</x:t>
  </x:si>
  <x:si>
    <x:t>S023371</x:t>
  </x:si>
  <x:si>
    <x:t>S023373</x:t>
  </x:si>
  <x:si>
    <x:t>S023375</x:t>
  </x:si>
  <x:si>
    <x:t>S023377</x:t>
  </x:si>
  <x:si>
    <x:t>S023379</x:t>
  </x:si>
  <x:si>
    <x:t>S023381</x:t>
  </x:si>
  <x:si>
    <x:t>S023384</x:t>
  </x:si>
  <x:si>
    <x:t>S023386</x:t>
  </x:si>
  <x:si>
    <x:t>S023388</x:t>
  </x:si>
  <x:si>
    <x:t>S023390</x:t>
  </x:si>
  <x:si>
    <x:t>S023392</x:t>
  </x:si>
  <x:si>
    <x:t>S023394</x:t>
  </x:si>
  <x:si>
    <x:t>S023396</x:t>
  </x:si>
  <x:si>
    <x:t>S023398</x:t>
  </x:si>
  <x:si>
    <x:t>S023404</x:t>
  </x:si>
  <x:si>
    <x:t>S023406</x:t>
  </x:si>
  <x:si>
    <x:t>S023410</x:t>
  </x:si>
  <x:si>
    <x:t>S023414</x:t>
  </x:si>
  <x:si>
    <x:t>S023416</x:t>
  </x:si>
  <x:si>
    <x:t>S023418</x:t>
  </x:si>
  <x:si>
    <x:t>S023421</x:t>
  </x:si>
  <x:si>
    <x:t>S023429</x:t>
  </x:si>
  <x:si>
    <x:t>S023436</x:t>
  </x:si>
  <x:si>
    <x:t>S023439</x:t>
  </x:si>
  <x:si>
    <x:t>S023453</x:t>
  </x:si>
  <x:si>
    <x:t>S023455</x:t>
  </x:si>
  <x:si>
    <x:t>S023462</x:t>
  </x:si>
  <x:si>
    <x:t>S023464</x:t>
  </x:si>
  <x:si>
    <x:t>S023466</x:t>
  </x:si>
  <x:si>
    <x:t>S023468</x:t>
  </x:si>
  <x:si>
    <x:t>S023470</x:t>
  </x:si>
  <x:si>
    <x:t>SA00258</x:t>
  </x:si>
  <x:si>
    <x:t>TKMSQE1384</x:t>
  </x:si>
  <x:si>
    <x:t>SA00326</x:t>
  </x:si>
  <x:si>
    <x:t>TKMSQE6851</x:t>
  </x:si>
  <x:si>
    <x:t>SA00334</x:t>
  </x:si>
  <x:si>
    <x:t>TKM-ES-TTID-1234</x:t>
  </x:si>
  <x:si>
    <x:t>SA00432</x:t>
  </x:si>
  <x:si>
    <x:t>TKM-FCI-ES-511</x:t>
  </x:si>
  <x:si>
    <x:t>SA00614</x:t>
  </x:si>
  <x:si>
    <x:t>JBM-ES-1115</x:t>
  </x:si>
  <x:si>
    <x:t>SA00616</x:t>
  </x:si>
  <x:si>
    <x:t>JBM-ES-1648</x:t>
  </x:si>
  <x:si>
    <x:t>SA00650</x:t>
  </x:si>
  <x:si>
    <x:t>TKMSQE44445</x:t>
  </x:si>
  <x:si>
    <x:t>SA00951</x:t>
  </x:si>
  <x:si>
    <x:t>TKMSQE77547</x:t>
  </x:si>
  <x:si>
    <x:t>SA00982</x:t>
  </x:si>
  <x:si>
    <x:t>TTID-ES-1145</x:t>
  </x:si>
  <x:si>
    <x:t>SA01620</x:t>
  </x:si>
  <x:si>
    <x:t>JBM-ES-1640</x:t>
  </x:si>
  <x:si>
    <x:t>SA02322</x:t>
  </x:si>
  <x:si>
    <x:t>TTID-ES-1566</x:t>
  </x:si>
  <x:si>
    <x:t>SA02324</x:t>
  </x:si>
  <x:si>
    <x:t>JBM-ES-1602</x:t>
  </x:si>
  <x:si>
    <x:t>SA02624</x:t>
  </x:si>
  <x:si>
    <x:t>JBM-ES-REG</x:t>
  </x:si>
  <x:si>
    <x:t>SA02632</x:t>
  </x:si>
  <x:si>
    <x:t>HB&amp;SD+Expr</x:t>
  </x:si>
  <x:si>
    <x:t>SA02812</x:t>
  </x:si>
  <x:si>
    <x:t>JBM-ES-1111</x:t>
  </x:si>
  <x:si>
    <x:t>SA02906</x:t>
  </x:si>
  <x:si>
    <x:t>TTID-ES-4242</x:t>
  </x:si>
  <x:si>
    <x:t>SA02924</x:t>
  </x:si>
  <x:si>
    <x:t>YZA NO 5592 - ES</x:t>
  </x:si>
  <x:si>
    <x:t>SA02941</x:t>
  </x:si>
  <x:si>
    <x:t>STTI - ES</x:t>
  </x:si>
  <x:si>
    <x:t>SA02942</x:t>
  </x:si>
  <x:si>
    <x:t>SA02993</x:t>
  </x:si>
  <x:si>
    <x:t>TTID-ES-1589</x:t>
  </x:si>
  <x:si>
    <x:t>SA03031</x:t>
  </x:si>
  <x:si>
    <x:t>YZA1860332</x:t>
  </x:si>
  <x:si>
    <x:t>SA03104</x:t>
  </x:si>
  <x:si>
    <x:t>YZA1860251</x:t>
  </x:si>
  <x:si>
    <x:t>SA03219</x:t>
  </x:si>
  <x:si>
    <x:t>51234-IMV</x:t>
  </x:si>
  <x:si>
    <x:t>SA03318</x:t>
  </x:si>
  <x:si>
    <x:t>58373-0D080-ES</x:t>
  </x:si>
  <x:si>
    <x:t>SA03341</x:t>
  </x:si>
  <x:si>
    <x:t>JBM-ES-1492</x:t>
  </x:si>
  <x:si>
    <x:t>SA03766</x:t>
  </x:si>
  <x:si>
    <x:t>SA03825</x:t>
  </x:si>
  <x:si>
    <x:t>JBM-ES-1239</x:t>
  </x:si>
  <x:si>
    <x:t>SA03829</x:t>
  </x:si>
  <x:si>
    <x:t>JBM-ES-2434</x:t>
  </x:si>
  <x:si>
    <x:t>SA03831</x:t>
  </x:si>
  <x:si>
    <x:t>JBM-ES-2435</x:t>
  </x:si>
  <x:si>
    <x:t>SA03908</x:t>
  </x:si>
  <x:si>
    <x:t>532150D090RM-ES</x:t>
  </x:si>
  <x:si>
    <x:t>SA03971</x:t>
  </x:si>
  <x:si>
    <x:t>TTID-FCT-ES-101</x:t>
  </x:si>
  <x:si>
    <x:t>SA03977</x:t>
  </x:si>
  <x:si>
    <x:t>ES-JBM-12234</x:t>
  </x:si>
  <x:si>
    <x:t>SA04047</x:t>
  </x:si>
  <x:si>
    <x:t>YZA1030511</x:t>
  </x:si>
  <x:si>
    <x:t>SA04048</x:t>
  </x:si>
  <x:si>
    <x:t>YZA1030512</x:t>
  </x:si>
  <x:si>
    <x:t>SA04085</x:t>
  </x:si>
  <x:si>
    <x:t>YZA1030571</x:t>
  </x:si>
  <x:si>
    <x:t>SA04480</x:t>
  </x:si>
  <x:si>
    <x:t>SA04589</x:t>
  </x:si>
  <x:si>
    <x:t>SA05138</x:t>
  </x:si>
  <x:si>
    <x:t>SA05205</x:t>
  </x:si>
  <x:si>
    <x:t>53215</x:t>
  </x:si>
  <x:si>
    <x:t>SA05277</x:t>
  </x:si>
  <x:si>
    <x:t>SA05492</x:t>
  </x:si>
  <x:si>
    <x:t>SA05594</x:t>
  </x:si>
  <x:si>
    <x:t>52165.6-ES</x:t>
  </x:si>
  <x:si>
    <x:t>SA05606</x:t>
  </x:si>
  <x:si>
    <x:t>57127.8-0D030-A - TRIAL</x:t>
  </x:si>
  <x:si>
    <x:t>SA05608</x:t>
  </x:si>
  <x:si>
    <x:t>ES FOR 58374-0D050</x:t>
  </x:si>
  <x:si>
    <x:t>SA05651</x:t>
  </x:si>
  <x:si>
    <x:t>58175-EFC</x:t>
  </x:si>
  <x:si>
    <x:t>SA05653</x:t>
  </x:si>
  <x:si>
    <x:t>57637.8-EFC</x:t>
  </x:si>
  <x:si>
    <x:t>SA05692</x:t>
  </x:si>
  <x:si>
    <x:t>53213.4 - EFC -Trial</x:t>
  </x:si>
  <x:si>
    <x:t>SA05763</x:t>
  </x:si>
  <x:si>
    <x:t>TKMSQE7126</x:t>
  </x:si>
  <x:si>
    <x:t>SA05851</x:t>
  </x:si>
  <x:si>
    <x:t>ES FOR 75869/79-0D020</x:t>
  </x:si>
  <x:si>
    <x:t>SA05853</x:t>
  </x:si>
  <x:si>
    <x:t>ES FOR 75861-0D020</x:t>
  </x:si>
  <x:si>
    <x:t>SA05858</x:t>
  </x:si>
  <x:si>
    <x:t>52145/6-0D120</x:t>
  </x:si>
  <x:si>
    <x:t>SA06100</x:t>
  </x:si>
  <x:si>
    <x:t>SA06152</x:t>
  </x:si>
  <x:si>
    <x:t>SFG FOR 61182-0K010</x:t>
  </x:si>
  <x:si>
    <x:t>INNOVA</x:t>
  </x:si>
  <x:si>
    <x:t>SA06172</x:t>
  </x:si>
  <x:si>
    <x:t>SA06705</x:t>
  </x:si>
  <x:si>
    <x:t>SA06902</x:t>
  </x:si>
  <x:si>
    <x:t>SA07331</x:t>
  </x:si>
  <x:si>
    <x:t>SA07365</x:t>
  </x:si>
  <x:si>
    <x:t>SA07422</x:t>
  </x:si>
  <x:si>
    <x:t>YZA1030433</x:t>
  </x:si>
  <x:si>
    <x:t>SA07455</x:t>
  </x:si>
  <x:si>
    <x:t>SA07464</x:t>
  </x:si>
  <x:si>
    <x:t>55328</x:t>
  </x:si>
  <x:si>
    <x:t>imv</x:t>
  </x:si>
  <x:si>
    <x:t>SA07466</x:t>
  </x:si>
  <x:si>
    <x:t>YZA1030686</x:t>
  </x:si>
  <x:si>
    <x:t>SA07634</x:t>
  </x:si>
  <x:si>
    <x:t>SA07684</x:t>
  </x:si>
  <x:si>
    <x:t>SA07714</x:t>
  </x:si>
  <x:si>
    <x:t>451717-11020-640A</x:t>
  </x:si>
  <x:si>
    <x:t>SA07748</x:t>
  </x:si>
  <x:si>
    <x:t>SA07766</x:t>
  </x:si>
  <x:si>
    <x:t>SA07898</x:t>
  </x:si>
  <x:si>
    <x:t>ES FOR 350A</x:t>
  </x:si>
  <x:si>
    <x:t>SA08023</x:t>
  </x:si>
  <x:si>
    <x:t>SA08096</x:t>
  </x:si>
  <x:si>
    <x:t>SA08344</x:t>
  </x:si>
  <x:si>
    <x:t>000000000000007655-63105-0D150-NCAP</x:t>
  </x:si>
  <x:si>
    <x:t>SA08515</x:t>
  </x:si>
  <x:si>
    <x:t>SA08596</x:t>
  </x:si>
  <x:si>
    <x:t>HB/SD</x:t>
  </x:si>
  <x:si>
    <x:t>SA08601</x:t>
  </x:si>
  <x:si>
    <x:t>SA08623</x:t>
  </x:si>
  <x:si>
    <x:t>SA08691</x:t>
  </x:si>
  <x:si>
    <x:t>SA08914</x:t>
  </x:si>
  <x:si>
    <x:t>SA09034</x:t>
  </x:si>
  <x:si>
    <x:t>000000000000007570-61765.6-KK010-650A</x:t>
  </x:si>
  <x:si>
    <x:t>SA09070</x:t>
  </x:si>
  <x:si>
    <x:t>SA09118</x:t>
  </x:si>
  <x:si>
    <x:t>ES FOR 82715-ODP30</x:t>
  </x:si>
  <x:si>
    <x:t>SA09167</x:t>
  </x:si>
  <x:si>
    <x:t>SA09321</x:t>
  </x:si>
  <x:si>
    <x:t>ES FOR 77675-0K010</x:t>
  </x:si>
  <x:si>
    <x:t>SA09637</x:t>
  </x:si>
  <x:si>
    <x:t>SA09649</x:t>
  </x:si>
  <x:si>
    <x:t>SA09765</x:t>
  </x:si>
  <x:si>
    <x:t>53711.2-KK040</x:t>
  </x:si>
  <x:si>
    <x:t>SA09766</x:t>
  </x:si>
  <x:si>
    <x:t>SA09788</x:t>
  </x:si>
  <x:si>
    <x:t>SA09789</x:t>
  </x:si>
  <x:si>
    <x:t>SA09790</x:t>
  </x:si>
  <x:si>
    <x:t>SA09791</x:t>
  </x:si>
  <x:si>
    <x:t>SA09825</x:t>
  </x:si>
  <x:si>
    <x:t>YZA1863372 - 61615.6-IMV</x:t>
  </x:si>
  <x:si>
    <x:t>SA09844</x:t>
  </x:si>
  <x:si>
    <x:t>000000000000007812</x:t>
  </x:si>
  <x:si>
    <x:t>SA09845</x:t>
  </x:si>
  <x:si>
    <x:t>SA09876</x:t>
  </x:si>
  <x:si>
    <x:t>SA09890</x:t>
  </x:si>
  <x:si>
    <x:t>SA09891</x:t>
  </x:si>
  <x:si>
    <x:t>SA09911</x:t>
  </x:si>
  <x:si>
    <x:t>SA09921</x:t>
  </x:si>
  <x:si>
    <x:t>YZA1862198- 51291-KK010-C</x:t>
  </x:si>
  <x:si>
    <x:t>SA09923</x:t>
  </x:si>
  <x:si>
    <x:t>SA09929</x:t>
  </x:si>
  <x:si>
    <x:t>SA09933</x:t>
  </x:si>
  <x:si>
    <x:t>SA09969</x:t>
  </x:si>
  <x:si>
    <x:t>SA10008</x:t>
  </x:si>
  <x:si>
    <x:t>SA10011</x:t>
  </x:si>
  <x:si>
    <x:t>SL-ES-111</x:t>
  </x:si>
  <x:si>
    <x:t>SA10050</x:t>
  </x:si>
  <x:si>
    <x:t>ScamsNo</x:t>
  </x:si>
  <x:si>
    <x:t>Team</x:t>
  </x:si>
  <x:si>
    <x:t>Shift</x:t>
  </x:si>
  <x:si>
    <x:t>TMS</x:t>
  </x:si>
  <x:si>
    <x:t>PartialPart</x:t>
  </x:si>
  <x:si>
    <x:t>DetailsForLineStop</x:t>
  </x:si>
  <x:si>
    <x:t>ScheduledProductionTime</x:t>
  </x:si>
  <x:si>
    <x:t>ActualStartTime</x:t>
  </x:si>
  <x:si>
    <x:t>ActualFinishTime</x:t>
  </x:si>
  <x:si>
    <x:t>ActualAutoRunTime</x:t>
  </x:si>
  <x:si>
    <x:t>ActualTotaltime</x:t>
  </x:si>
  <x:si>
    <x:t>PlanStartTime</x:t>
  </x:si>
  <x:si>
    <x:t>PlanFinishTime</x:t>
  </x:si>
  <x:si>
    <x:t>PlanSPM</x:t>
  </x:si>
  <x:si>
    <x:t>ActualSPM</x:t>
  </x:si>
  <x:si>
    <x:t>PlanSetUpTime</x:t>
  </x:si>
  <x:si>
    <x:t>ActualSetUpTime</x:t>
  </x:si>
  <x:si>
    <x:t>PlanAutoRunTime</x:t>
  </x:si>
  <x:si>
    <x:t>BreakTime</x:t>
  </x:si>
  <x:si>
    <x:t>ActualQuantity</x:t>
  </x:si>
  <x:si>
    <x:t>NoOfRewindCoils</x:t>
  </x:si>
  <x:si>
    <x:t>UnitNo</x:t>
  </x:si>
  <x:si>
    <x:t>TPPPartNo</x:t>
  </x:si>
  <x:si>
    <x:t>TPPModel</x:t>
  </x:si>
  <x:si>
    <x:t>ScamsUnit</x:t>
  </x:si>
  <x:si>
    <x:t>ScamsUnitShift</x:t>
  </x:si>
  <x:si>
    <x:t>BreakDownTime</x:t>
  </x:si>
  <x:si>
    <x:t>ActualTime</x:t>
  </x:si>
  <x:si>
    <x:t>PreviousLineStop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</x:si>
</x:sst>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1">
    <x:numFmt numFmtId="164" formatCode="0.00_ "/>
  </x:numFmts>
  <x:fonts count="23"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charset val="128"/>
      <x:scheme val="minor"/>
    </x:font>
    <x:font>
      <x:sz val="10"/>
      <x:name val="Arial"/>
      <x:family val="2"/>
    </x:font>
    <x:font>
      <x:sz val="14"/>
      <x:name val="Terminal"/>
      <x:family val="3"/>
      <x:charset val="255"/>
    </x:font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rgb="FF000000"/>
      <x:name val="Calibri"/>
      <x:family val="2"/>
      <x:scheme val="minor"/>
    </x:font>
    <x:font>
      <x:sz val="30"/>
      <x:color theme="1"/>
      <x:name val="Times New Roman"/>
      <x:family val="1"/>
    </x:font>
    <x:font>
      <x:b/>
      <x:sz val="30"/>
      <x:color theme="1"/>
      <x:name val="Times New Roman"/>
      <x:family val="1"/>
    </x:font>
    <x:font>
      <x:sz val="30"/>
      <x:name val="Times New Roman"/>
      <x:family val="1"/>
    </x:font>
    <x:font>
      <x:b/>
      <x:sz val="30"/>
      <x:color theme="0"/>
      <x:name val="Times New Roman"/>
      <x:family val="1"/>
    </x:font>
    <x:font>
      <x:b/>
      <x:vertAlign val="subscript"/>
      <x:sz val="30"/>
      <x:color theme="1"/>
      <x:name val="Times New Roman"/>
      <x:family val="1"/>
    </x:font>
    <x:font>
      <x:b/>
      <x:sz val="36"/>
      <x:name val="Times New Roman"/>
      <x:family val="1"/>
    </x:font>
    <x:font>
      <x:sz val="36"/>
      <x:name val="Times New Roman"/>
      <x:family val="1"/>
    </x:font>
    <x:font>
      <x:b/>
      <x:sz val="36"/>
      <x:color theme="1"/>
      <x:name val="Times New Roman"/>
      <x:family val="1"/>
    </x:font>
    <x:font>
      <x:sz val="36"/>
      <x:color theme="1"/>
      <x:name val="Times New Roman"/>
      <x:family val="1"/>
    </x:font>
    <x:font>
      <x:sz val="36"/>
      <x:color indexed="8"/>
      <x:name val="Times New Roman"/>
      <x:family val="1"/>
    </x:font>
    <x:font>
      <x:b/>
      <x:sz val="72"/>
      <x:name val="Times New Roman"/>
      <x:family val="1"/>
    </x:font>
    <x:font>
      <x:sz val="36"/>
      <x:color theme="1"/>
      <x:name val="Calibri"/>
      <x:family val="2"/>
      <x:scheme val="minor"/>
    </x:font>
    <x:font>
      <x:sz val="30"/>
      <x:color theme="0"/>
      <x:name val="Times New Roman"/>
      <x:family val="1"/>
    </x:font>
    <x:font>
      <x:b/>
      <x:sz val="48"/>
      <x:color theme="1"/>
      <x:name val="Times New Roman"/>
      <x:family val="1"/>
    </x:font>
    <x:font>
      <x:b/>
      <x:sz val="72"/>
      <x:color theme="1"/>
      <x:name val="Times New Roman"/>
      <x:family val="1"/>
    </x:font>
    <x:font>
      <x:b/>
      <x:sz val="48"/>
      <x:name val="Times New Roman"/>
      <x:family val="1"/>
    </x:font>
  </x:fonts>
  <x:fills count="14">
    <x:fill>
      <x:patternFill patternType="none"/>
    </x:fill>
    <x:fill>
      <x:patternFill patternType="gray125"/>
    </x:fill>
    <x:fill>
      <x:patternFill patternType="solid">
        <x:fgColor rgb="FF00FFFF"/>
        <x:bgColor indexed="64"/>
      </x:patternFill>
    </x:fill>
    <x:fill>
      <x:patternFill patternType="solid">
        <x:fgColor theme="5" tint="0.79998168889431442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FFFF00"/>
        <x:bgColor indexed="64"/>
      </x:patternFill>
    </x:fill>
    <x:fill>
      <x:patternFill patternType="solid">
        <x:fgColor theme="3" tint="0.79998168889431442"/>
        <x:bgColor indexed="64"/>
      </x:patternFill>
    </x:fill>
    <x:fill>
      <x:patternFill patternType="solid">
        <x:fgColor theme="0" tint="-0.14999847407452621"/>
        <x:bgColor indexed="64"/>
      </x:patternFill>
    </x:fill>
    <x:fill>
      <x:patternFill patternType="solid">
        <x:fgColor theme="5"/>
        <x:bgColor indexed="64"/>
      </x:patternFill>
    </x:fill>
    <x:fill>
      <x:patternFill patternType="solid">
        <x:fgColor theme="9" tint="0.79998168889431442"/>
        <x:bgColor indexed="64"/>
      </x:patternFill>
    </x:fill>
    <x:fill>
      <x:patternFill patternType="solid">
        <x:fgColor rgb="FFFFC000"/>
        <x:bgColor indexed="64"/>
      </x:patternFill>
    </x:fill>
    <x:fill>
      <x:patternFill patternType="solid">
        <x:fgColor theme="3"/>
        <x:bgColor indexed="64"/>
      </x:patternFill>
    </x:fill>
    <x:fill>
      <x:patternFill patternType="solid">
        <x:fgColor theme="2" tint="-9.9978637043366805E-2"/>
        <x:bgColor indexed="64"/>
      </x:patternFill>
    </x:fill>
    <x:fill>
      <x:patternFill patternType="solid">
        <x:fgColor theme="0" tint="-4.9989318521683403E-2"/>
        <x:bgColor indexed="64"/>
      </x:patternFill>
    </x:fill>
  </x:fills>
  <x:borders count="50">
    <x:border>
      <x:left/>
      <x:right/>
      <x:top/>
      <x:bottom/>
      <x:diagonal/>
    </x:border>
    <x:border>
      <x:left style="medium">
        <x:color indexed="64"/>
      </x:left>
      <x:right/>
      <x:top style="medium">
        <x:color indexed="64"/>
      </x:top>
      <x:bottom style="medium">
        <x:color indexed="64"/>
      </x:bottom>
      <x:diagonal/>
    </x:border>
    <x:border>
      <x:left/>
      <x:right/>
      <x:top style="medium">
        <x:color indexed="64"/>
      </x:top>
      <x:bottom style="medium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/>
      <x:right/>
      <x:top/>
      <x:bottom style="medium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/>
      <x:right style="medium">
        <x:color indexed="64"/>
      </x:right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/>
      <x:diagonal/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/>
      <x:top/>
      <x:bottom style="thin">
        <x:color indexed="64"/>
      </x:bottom>
      <x:diagonal/>
    </x:border>
    <x:border>
      <x:left/>
      <x:right/>
      <x:top style="thin">
        <x:color indexed="64"/>
      </x:top>
      <x:bottom/>
      <x:diagonal/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medium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thin">
        <x:color indexed="64"/>
      </x:top>
      <x:bottom/>
      <x:diagonal/>
    </x:border>
    <x:border>
      <x:left style="medium">
        <x:color indexed="64"/>
      </x:left>
      <x:right style="medium">
        <x:color indexed="64"/>
      </x:right>
      <x:top style="thick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thick">
        <x:color indexed="64"/>
      </x:top>
      <x:bottom/>
      <x:diagonal/>
    </x:border>
    <x:border>
      <x:left/>
      <x:right style="medium">
        <x:color indexed="64"/>
      </x:right>
      <x:top style="thick">
        <x:color indexed="64"/>
      </x:top>
      <x:bottom/>
      <x:diagonal/>
    </x:border>
    <x:border>
      <x:left style="medium">
        <x:color indexed="64"/>
      </x:left>
      <x:right style="thick">
        <x:color indexed="64"/>
      </x:right>
      <x:top style="thick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thick">
        <x:color indexed="64"/>
      </x:bottom>
      <x:diagonal/>
    </x:border>
    <x:border>
      <x:left style="medium">
        <x:color indexed="64"/>
      </x:left>
      <x:right style="medium">
        <x:color indexed="64"/>
      </x:right>
      <x:top/>
      <x:bottom style="thick">
        <x:color indexed="64"/>
      </x:bottom>
      <x:diagonal/>
    </x:border>
    <x:border>
      <x:left/>
      <x:right style="medium">
        <x:color indexed="64"/>
      </x:right>
      <x:top/>
      <x:bottom style="thick">
        <x:color indexed="64"/>
      </x:bottom>
      <x:diagonal/>
    </x:border>
    <x:border>
      <x:left style="medium">
        <x:color indexed="64"/>
      </x:left>
      <x:right style="thick">
        <x:color indexed="64"/>
      </x:right>
      <x:top style="medium">
        <x:color indexed="64"/>
      </x:top>
      <x:bottom style="thick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medium">
        <x:color indexed="64"/>
      </x:left>
      <x:right/>
      <x:top style="thick">
        <x:color indexed="64"/>
      </x:top>
      <x:bottom/>
      <x:diagonal/>
    </x:border>
    <x:border>
      <x:left/>
      <x:right/>
      <x:top style="thick">
        <x:color indexed="64"/>
      </x:top>
      <x:bottom/>
      <x:diagonal/>
    </x:border>
    <x:border>
      <x:left style="medium">
        <x:color indexed="64"/>
      </x:left>
      <x:right/>
      <x:top/>
      <x:bottom style="thick">
        <x:color indexed="64"/>
      </x:bottom>
      <x:diagonal/>
    </x:border>
    <x:border>
      <x:left/>
      <x:right/>
      <x:top/>
      <x:bottom style="thick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/>
      <x:diagonal/>
    </x:border>
    <x:border>
      <x:left style="thin">
        <x:color indexed="64"/>
      </x:left>
      <x:right style="thin">
        <x:color indexed="64"/>
      </x:right>
      <x:top style="medium">
        <x:color indexed="64"/>
      </x:top>
      <x:bottom/>
      <x:diagonal/>
    </x:border>
    <x:border>
      <x:left style="thin">
        <x:color indexed="64"/>
      </x:left>
      <x:right/>
      <x:top style="medium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 style="medium">
        <x:color indexed="64"/>
      </x:right>
      <x:top style="medium">
        <x:color indexed="64"/>
      </x:top>
      <x:bottom/>
      <x:diagonal/>
    </x:border>
    <x:border>
      <x:left style="medium">
        <x:color indexed="64"/>
      </x:left>
      <x:right/>
      <x:top style="medium">
        <x:color indexed="64"/>
      </x:top>
      <x:bottom/>
      <x:diagonal/>
    </x:border>
    <x:border>
      <x:left style="medium">
        <x:color indexed="64"/>
      </x:left>
      <x:right/>
      <x:top/>
      <x:bottom style="medium">
        <x:color indexed="64"/>
      </x:bottom>
      <x:diagonal/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  <x:diagonal/>
    </x:border>
    <x:border>
      <x:left style="thin">
        <x:color indexed="64"/>
      </x:left>
      <x:right style="medium">
        <x:color indexed="64"/>
      </x:right>
      <x:top/>
      <x:bottom style="medium">
        <x:color indexed="64"/>
      </x:bottom>
      <x:diagonal/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  <x:diagonal/>
    </x:border>
    <x:border>
      <x:left/>
      <x:right/>
      <x:top style="medium">
        <x:color indexed="64"/>
      </x:top>
      <x:bottom/>
      <x:diagonal/>
    </x:border>
    <x:border>
      <x:left/>
      <x:right style="medium">
        <x:color indexed="64"/>
      </x:right>
      <x:top/>
      <x:bottom style="medium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/>
      <x:bottom style="medium">
        <x:color indexed="64"/>
      </x:bottom>
      <x:diagonal/>
    </x:border>
  </x:borders>
  <x:cellStyleXfs count="218">
    <x:xf numFmtId="0" fontId="0" fillId="0" borderId="0"/>
    <x:xf numFmtId="0" fontId="1" fillId="0" borderId="0">
      <x:alignment vertical="center"/>
    </x:xf>
    <x:xf numFmtId="0" fontId="2" fillId="0" borderId="0"/>
    <x:xf numFmtId="0" fontId="3" fillId="0" borderId="0"/>
    <x:xf numFmtId="9" fontId="1" fillId="0" borderId="0" applyFont="0" applyFill="0" applyBorder="0" applyAlignment="0" applyProtection="0"/>
    <x:xf numFmtId="0" fontId="2" fillId="0" borderId="0"/>
    <x:xf numFmtId="0" fontId="4" fillId="0" borderId="0"/>
    <x:xf numFmtId="0" fontId="4" fillId="0" borderId="0"/>
    <x:xf numFmtId="0" fontId="4" fillId="0" borderId="0"/>
    <x:xf numFmtId="0" fontId="4" fillId="0" borderId="0"/>
    <x:xf numFmtId="9" fontId="4" fillId="0" borderId="0" applyFont="0" applyFill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0" hidden="0"/>
    </x:xf>
    <x:xf numFmtId="20" fontId="15" fillId="0" borderId="13" applyNumberFormat="1" applyFill="1" applyBorder="1" applyAlignment="1" applyProtection="1">
      <x:protection locked="1" hidden="0"/>
    </x:xf>
    <x:xf numFmtId="0" fontId="15" fillId="0" borderId="5" applyNumberFormat="1" applyFill="1" applyBorder="1" applyAlignment="1" applyProtection="1">
      <x:protection locked="0" hidden="0"/>
    </x:xf>
    <x:xf numFmtId="0" fontId="15" fillId="2" borderId="12" applyNumberFormat="1" applyFill="0" applyBorder="1" applyAlignment="1" applyProtection="1">
      <x:protection locked="0" hidden="0"/>
    </x:xf>
    <x:xf numFmtId="2" fontId="16" fillId="4" borderId="37" applyNumberFormat="1" applyFill="0" applyBorder="1" applyAlignment="1" applyProtection="1">
      <x:protection locked="0" hidden="0"/>
    </x:xf>
    <x:xf numFmtId="0" fontId="15" fillId="0" borderId="37" applyNumberFormat="1" applyFill="1" applyBorder="1" applyAlignment="1" applyProtection="1">
      <x:protection locked="0" hidden="0"/>
    </x:xf>
    <x:xf numFmtId="0" fontId="15" fillId="2" borderId="37" applyNumberFormat="1" applyFill="0" applyBorder="1" applyAlignment="1" applyProtection="1">
      <x:protection locked="0" hidden="0"/>
    </x:xf>
    <x:xf numFmtId="164" fontId="15" fillId="0" borderId="37" applyNumberFormat="1" applyFill="1" applyBorder="1" applyAlignment="1" applyProtection="1">
      <x:protection locked="0" hidden="0"/>
    </x:xf>
    <x:xf numFmtId="2" fontId="15" fillId="0" borderId="38" applyNumberFormat="1" applyFill="1" applyBorder="1" applyAlignment="1" applyProtection="1">
      <x:protection locked="0" hidden="0"/>
    </x:xf>
    <x:xf numFmtId="2" fontId="15" fillId="0" borderId="13" applyNumberFormat="1" applyFill="1" applyBorder="1" applyAlignment="1" applyProtection="1">
      <x:protection locked="0" hidden="0"/>
    </x:xf>
    <x:xf numFmtId="1" fontId="15" fillId="5" borderId="40" applyNumberFormat="1" applyFill="0" applyBorder="1" applyAlignment="1" applyProtection="1">
      <x:protection locked="0" hidden="0"/>
    </x:xf>
    <x:xf numFmtId="1" fontId="15" fillId="0" borderId="0" applyNumberFormat="1" applyFill="1" applyBorder="0" applyAlignment="1" applyProtection="1">
      <x:protection locked="0" hidden="0"/>
    </x:xf>
    <x:xf numFmtId="1" fontId="15" fillId="0" borderId="7" applyNumberFormat="1" applyFill="1" applyBorder="1" applyAlignment="1" applyProtection="1">
      <x:protection locked="0" hidden="0"/>
    </x:xf>
    <x:xf numFmtId="20" fontId="15" fillId="0" borderId="10" applyNumberFormat="1" applyFill="1" applyBorder="1" applyAlignment="1" applyProtection="1">
      <x:protection locked="0" hidden="0"/>
    </x:xf>
    <x:xf numFmtId="2" fontId="15" fillId="0" borderId="19" applyNumberFormat="1" applyFill="1" applyBorder="1" applyAlignment="1" applyProtection="1">
      <x:protection locked="1" hidden="0"/>
    </x:xf>
    <x:xf numFmtId="2" fontId="15" fillId="0" borderId="13" applyNumberFormat="1" applyFill="1" applyBorder="1" applyAlignment="1" applyProtection="1">
      <x:protection locked="1" hidden="0"/>
    </x:xf>
    <x:xf numFmtId="1" fontId="15" fillId="0" borderId="13" applyNumberFormat="1" applyFill="1" applyBorder="1" applyAlignment="1" applyProtection="1">
      <x:protection locked="1" hidden="0"/>
    </x:xf>
    <x:xf numFmtId="2" fontId="15" fillId="0" borderId="16" applyNumberFormat="1" applyFill="1" applyBorder="1" applyAlignment="1" applyProtection="1">
      <x:protection locked="1" hidden="0"/>
    </x:xf>
    <x:xf numFmtId="20" fontId="15" fillId="9" borderId="13" applyNumberFormat="1" applyFill="0" applyBorder="1" applyAlignment="1" applyProtection="1">
      <x:protection locked="0" hidden="0"/>
    </x:xf>
    <x:xf numFmtId="0" fontId="15" fillId="0" borderId="13" applyNumberFormat="1" applyFill="1" applyBorder="1" applyAlignment="1" applyProtection="1">
      <x:protection locked="1" hidden="0"/>
    </x:xf>
    <x:xf numFmtId="0" fontId="15" fillId="9" borderId="13" applyNumberFormat="1" applyFill="0" applyBorder="1" applyAlignment="1" applyProtection="1">
      <x:protection locked="0" hidden="0"/>
    </x:xf>
    <x:xf numFmtId="2" fontId="15" fillId="0" borderId="6" applyNumberFormat="1" applyFill="1" applyBorder="1" applyAlignment="1" applyProtection="1">
      <x:protection locked="1" hidden="0"/>
    </x:xf>
    <x:xf numFmtId="1" fontId="15" fillId="9" borderId="13" applyNumberFormat="1" applyFill="0" applyBorder="1" applyAlignment="1" applyProtection="1">
      <x:protection locked="0" hidden="0"/>
    </x:xf>
    <x:xf numFmtId="1" fontId="15" fillId="0" borderId="6" applyNumberFormat="1" applyFill="1" applyBorder="1" applyAlignment="1" applyProtection="1">
      <x:protection locked="1" hidden="0"/>
    </x:xf>
    <x:xf numFmtId="0" fontId="15" fillId="0" borderId="13" applyNumberFormat="1" applyFill="1" applyBorder="1" applyAlignment="1" applyProtection="1">
      <x:protection locked="0" hidden="0"/>
    </x:xf>
    <x:xf numFmtId="1" fontId="15" fillId="9" borderId="16" applyNumberFormat="1" applyFill="0" applyBorder="1" applyAlignment="1" applyProtection="1">
      <x:protection locked="1" hidden="0"/>
    </x:xf>
    <x:xf numFmtId="0" fontId="14" fillId="3" borderId="48" applyNumberFormat="1" applyFill="0" applyBorder="1" applyAlignment="1" applyProtection="1">
      <x:protection locked="1" hidden="0"/>
    </x:xf>
    <x:xf numFmtId="1" fontId="15" fillId="9" borderId="13" applyNumberFormat="1" applyFill="0" applyBorder="1" applyAlignment="1" applyProtection="1">
      <x:protection locked="1" hidden="0"/>
    </x:xf>
    <x:xf numFmtId="0" fontId="8" fillId="12" borderId="45" applyNumberFormat="1" applyFill="0" applyBorder="1" applyAlignment="1" applyProtection="1">
      <x:protection locked="0" hidden="0"/>
    </x:xf>
    <x:xf numFmtId="0" fontId="7" fillId="13" borderId="43" applyNumberFormat="1" applyFill="0" applyBorder="1" applyAlignment="1" applyProtection="1">
      <x:protection locked="0" hidden="0"/>
    </x:xf>
    <x:xf numFmtId="19" fontId="7" fillId="0" borderId="0" applyNumberFormat="1" applyFill="1" applyBorder="0" applyAlignment="1" applyProtection="1">
      <x:protection locked="0" hidden="0"/>
    </x:xf>
    <x:xf numFmtId="20" fontId="7" fillId="0" borderId="0" applyNumberFormat="1" applyFill="1" applyBorder="0" applyAlignment="1" applyProtection="1">
      <x:protection locked="0" hidden="0"/>
    </x:xf>
    <x:xf numFmtId="0" fontId="7" fillId="0" borderId="4" applyNumberFormat="1" applyFill="1" applyBorder="1" applyAlignment="1" applyProtection="1">
      <x:protection locked="0" hidden="0"/>
    </x:xf>
    <x:xf numFmtId="2" fontId="8" fillId="0" borderId="17" applyNumberFormat="1" applyFill="1" applyBorder="1" applyAlignment="1" applyProtection="1">
      <x:protection locked="0" hidden="0"/>
    </x:xf>
    <x:xf numFmtId="2" fontId="8" fillId="0" borderId="0" applyNumberFormat="1" applyFill="1" applyBorder="0" applyAlignment="1" applyProtection="1">
      <x:protection locked="0" hidden="0"/>
    </x:xf>
    <x:xf numFmtId="0" fontId="21" fillId="7" borderId="29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0" hidden="0"/>
    </x:xf>
    <x:xf numFmtId="0" fontId="14" fillId="0" borderId="0" applyNumberFormat="1" applyFill="1" applyBorder="0" applyAlignment="1" applyProtection="1">
      <x:protection locked="0" hidden="0"/>
    </x:xf>
    <x:xf numFmtId="2" fontId="21" fillId="0" borderId="41" applyNumberFormat="1" applyFill="1" applyBorder="1" applyAlignment="1" applyProtection="1">
      <x:protection locked="1" hidden="0"/>
    </x:xf>
    <x:xf numFmtId="2" fontId="21" fillId="0" borderId="46" applyNumberFormat="1" applyFill="1" applyBorder="1" applyAlignment="1" applyProtection="1">
      <x:protection locked="1" hidden="0"/>
    </x:xf>
    <x:xf numFmtId="2" fontId="21" fillId="0" borderId="40" applyNumberFormat="1" applyFill="1" applyBorder="1" applyAlignment="1" applyProtection="1">
      <x:protection locked="1" hidden="0"/>
    </x:xf>
    <x:xf numFmtId="2" fontId="20" fillId="0" borderId="41" applyNumberFormat="1" applyFill="1" applyBorder="1" applyAlignment="1" applyProtection="1">
      <x:protection locked="1" hidden="0"/>
    </x:xf>
    <x:xf numFmtId="2" fontId="20" fillId="0" borderId="40" applyNumberFormat="1" applyFill="1" applyBorder="1" applyAlignment="1" applyProtection="1">
      <x:protection locked="1" hidden="0"/>
    </x:xf>
    <x:xf numFmtId="2" fontId="14" fillId="0" borderId="41" applyNumberFormat="1" applyFill="1" applyBorder="1" applyAlignment="1" applyProtection="1">
      <x:protection locked="0" hidden="0"/>
    </x:xf>
    <x:xf numFmtId="2" fontId="14" fillId="0" borderId="40" applyNumberFormat="1" applyFill="1" applyBorder="1" applyAlignment="1" applyProtection="1">
      <x:protection locked="0" hidden="0"/>
    </x:xf>
    <x:xf numFmtId="0" fontId="20" fillId="0" borderId="1" applyNumberFormat="1" applyFill="1" applyBorder="1" applyAlignment="1" applyProtection="1">
      <x:protection locked="1" hidden="0"/>
    </x:xf>
    <x:xf numFmtId="0" fontId="20" fillId="0" borderId="2" applyNumberFormat="1" applyFill="1" applyBorder="1" applyAlignment="1" applyProtection="1">
      <x:protection locked="1" hidden="0"/>
    </x:xf>
    <x:xf numFmtId="0" fontId="20" fillId="0" borderId="3" applyNumberFormat="1" applyFill="1" applyBorder="1" applyAlignment="1" applyProtection="1">
      <x:protection locked="1" hidden="0"/>
    </x:xf>
    <x:xf numFmtId="2" fontId="20" fillId="0" borderId="46" applyNumberFormat="1" applyFill="1" applyBorder="1" applyAlignment="1" applyProtection="1">
      <x:protection locked="1" hidden="0"/>
    </x:xf>
    <x:xf numFmtId="1" fontId="20" fillId="0" borderId="41" applyNumberFormat="1" applyFill="1" applyBorder="1" applyAlignment="1" applyProtection="1">
      <x:protection locked="1" hidden="0"/>
    </x:xf>
    <x:xf numFmtId="1" fontId="20" fillId="0" borderId="46" applyNumberFormat="1" applyFill="1" applyBorder="1" applyAlignment="1" applyProtection="1">
      <x:protection locked="1" hidden="0"/>
    </x:xf>
    <x:xf numFmtId="1" fontId="20" fillId="0" borderId="40" applyNumberFormat="1" applyFill="1" applyBorder="1" applyAlignment="1" applyProtection="1">
      <x:protection locked="1" hidden="0"/>
    </x:xf>
    <x:xf numFmtId="0" fontId="14" fillId="6" borderId="1" applyNumberFormat="1" applyFill="0" applyBorder="1" applyAlignment="1" applyProtection="1">
      <x:protection locked="0" hidden="0"/>
    </x:xf>
    <x:xf numFmtId="0" fontId="14" fillId="6" borderId="2" applyNumberFormat="1" applyFill="0" applyBorder="1" applyAlignment="1" applyProtection="1">
      <x:protection locked="0" hidden="0"/>
    </x:xf>
    <x:xf numFmtId="0" fontId="14" fillId="6" borderId="3" applyNumberFormat="1" applyFill="0" applyBorder="1" applyAlignment="1" applyProtection="1">
      <x:protection locked="0" hidden="0"/>
    </x:xf>
    <x:xf numFmtId="0" fontId="14" fillId="6" borderId="29" applyNumberFormat="1" applyFill="0" applyBorder="1" applyAlignment="1" applyProtection="1">
      <x:protection locked="0" hidden="0"/>
    </x:xf>
    <x:xf numFmtId="1" fontId="14" fillId="6" borderId="29" applyNumberFormat="1" applyFill="0" applyBorder="1" applyAlignment="1" applyProtection="1">
      <x:protection locked="0" hidden="0"/>
    </x:xf>
    <x:xf numFmtId="2" fontId="21" fillId="0" borderId="42" applyNumberFormat="1" applyFill="1" applyBorder="1" applyAlignment="1" applyProtection="1">
      <x:protection locked="1" hidden="0"/>
    </x:xf>
    <x:xf numFmtId="2" fontId="21" fillId="0" borderId="4" applyNumberFormat="1" applyFill="1" applyBorder="1" applyAlignment="1" applyProtection="1">
      <x:protection locked="1" hidden="0"/>
    </x:xf>
    <x:xf numFmtId="2" fontId="21" fillId="0" borderId="47" applyNumberFormat="1" applyFill="1" applyBorder="1" applyAlignment="1" applyProtection="1">
      <x:protection locked="1" hidden="0"/>
    </x:xf>
    <x:xf numFmtId="2" fontId="20" fillId="0" borderId="42" applyNumberFormat="1" applyFill="1" applyBorder="1" applyAlignment="1" applyProtection="1">
      <x:protection locked="1" hidden="0"/>
    </x:xf>
    <x:xf numFmtId="2" fontId="20" fillId="0" borderId="47" applyNumberFormat="1" applyFill="1" applyBorder="1" applyAlignment="1" applyProtection="1">
      <x:protection locked="1" hidden="0"/>
    </x:xf>
    <x:xf numFmtId="2" fontId="14" fillId="0" borderId="42" applyNumberFormat="1" applyFill="1" applyBorder="1" applyAlignment="1" applyProtection="1">
      <x:protection locked="0" hidden="0"/>
    </x:xf>
    <x:xf numFmtId="2" fontId="14" fillId="0" borderId="47" applyNumberFormat="1" applyFill="1" applyBorder="1" applyAlignment="1" applyProtection="1">
      <x:protection locked="0" hidden="0"/>
    </x:xf>
    <x:xf numFmtId="2" fontId="20" fillId="0" borderId="1" applyNumberFormat="1" applyFill="1" applyBorder="1" applyAlignment="1" applyProtection="1">
      <x:protection locked="1" hidden="0"/>
    </x:xf>
    <x:xf numFmtId="2" fontId="20" fillId="0" borderId="2" applyNumberFormat="1" applyFill="1" applyBorder="1" applyAlignment="1" applyProtection="1">
      <x:protection locked="1" hidden="0"/>
    </x:xf>
    <x:xf numFmtId="2" fontId="20" fillId="0" borderId="3" applyNumberFormat="1" applyFill="1" applyBorder="1" applyAlignment="1" applyProtection="1">
      <x:protection locked="1" hidden="0"/>
    </x:xf>
    <x:xf numFmtId="2" fontId="20" fillId="0" borderId="4" applyNumberFormat="1" applyFill="1" applyBorder="1" applyAlignment="1" applyProtection="1">
      <x:protection locked="1" hidden="0"/>
    </x:xf>
    <x:xf numFmtId="1" fontId="20" fillId="0" borderId="42" applyNumberFormat="1" applyFill="1" applyBorder="1" applyAlignment="1" applyProtection="1">
      <x:protection locked="1" hidden="0"/>
    </x:xf>
    <x:xf numFmtId="1" fontId="20" fillId="0" borderId="4" applyNumberFormat="1" applyFill="1" applyBorder="1" applyAlignment="1" applyProtection="1">
      <x:protection locked="1" hidden="0"/>
    </x:xf>
    <x:xf numFmtId="1" fontId="20" fillId="0" borderId="47" applyNumberFormat="1" applyFill="1" applyBorder="1" applyAlignment="1" applyProtection="1">
      <x:protection locked="1" hidden="0"/>
    </x:xf>
    <x:xf numFmtId="0" fontId="14" fillId="6" borderId="29" applyNumberFormat="1" applyFill="0" applyBorder="1" applyAlignment="1" applyProtection="1">
      <x:protection locked="0" hidden="0"/>
    </x:xf>
    <x:xf numFmtId="2" fontId="14" fillId="3" borderId="29" applyNumberFormat="1" applyFill="0" applyBorder="1" applyAlignment="1" applyProtection="1">
      <x:protection locked="0" hidden="0"/>
    </x:xf>
    <x:xf numFmtId="2" fontId="14" fillId="3" borderId="29" applyNumberFormat="1" applyFill="0" applyBorder="1" applyAlignment="1" applyProtection="1">
      <x:protection locked="0" hidden="0"/>
    </x:xf>
    <x:xf numFmtId="0" fontId="14" fillId="3" borderId="29" applyNumberFormat="1" applyFill="0" applyBorder="1" applyAlignment="1" applyProtection="1">
      <x:protection locked="0" hidden="0"/>
    </x:xf>
    <x:xf numFmtId="2" fontId="14" fillId="3" borderId="42" applyNumberFormat="1" applyFill="0" applyBorder="1" applyAlignment="1" applyProtection="1">
      <x:protection locked="0" hidden="0"/>
    </x:xf>
    <x:xf numFmtId="2" fontId="14" fillId="3" borderId="4" applyNumberFormat="1" applyFill="0" applyBorder="1" applyAlignment="1" applyProtection="1">
      <x:protection locked="0" hidden="0"/>
    </x:xf>
    <x:xf numFmtId="2" fontId="14" fillId="3" borderId="49" applyNumberFormat="1" applyFill="0" applyBorder="1" applyAlignment="1" applyProtection="1">
      <x:protection locked="0" hidden="0"/>
    </x:xf>
    <x:xf numFmtId="0" fontId="14" fillId="3" borderId="8" applyNumberFormat="1" applyFill="0" applyBorder="1" applyAlignment="1" applyProtection="1">
      <x:protection locked="1" hidden="0"/>
    </x:xf>
    <x:xf numFmtId="0" fontId="14" fillId="7" borderId="4" applyNumberFormat="1" applyFill="0" applyBorder="1" applyAlignment="1" applyProtection="1">
      <x:protection locked="0" hidden="0"/>
    </x:xf>
    <x:xf numFmtId="0" fontId="14" fillId="0" borderId="6" applyNumberFormat="1" applyFill="1" applyBorder="1" applyAlignment="1" applyProtection="1">
      <x:protection locked="0" hidden="0"/>
    </x:xf>
    <x:xf numFmtId="2" fontId="14" fillId="8" borderId="29" applyNumberFormat="1" applyFill="0" applyBorder="1" applyAlignment="1" applyProtection="1">
      <x:protection locked="0" hidden="0"/>
    </x:xf>
    <x:xf numFmtId="20" fontId="14" fillId="3" borderId="29" applyNumberFormat="1" applyFill="0" applyBorder="1" applyAlignment="1" applyProtection="1">
      <x:protection locked="0" hidden="0"/>
    </x:xf>
    <x:xf numFmtId="1" fontId="14" fillId="3" borderId="29" applyNumberFormat="1" applyFill="0" applyBorder="1" applyAlignment="1" applyProtection="1">
      <x:protection locked="0" hidden="0"/>
    </x:xf>
    <x:xf numFmtId="0" fontId="14" fillId="3" borderId="13" applyNumberFormat="1" applyFill="0" applyBorder="1" applyAlignment="1" applyProtection="1">
      <x:protection locked="1" hidden="0"/>
    </x:xf>
    <x:xf numFmtId="0" fontId="10" fillId="11" borderId="41" applyNumberFormat="1" applyFill="0" applyBorder="1" applyAlignment="1" applyProtection="1">
      <x:protection locked="0" hidden="0"/>
    </x:xf>
    <x:xf numFmtId="0" fontId="10" fillId="11" borderId="40" applyNumberFormat="1" applyFill="0" applyBorder="1" applyAlignment="1" applyProtection="1">
      <x:protection locked="0" hidden="0"/>
    </x:xf>
    <x:xf numFmtId="0" fontId="15" fillId="0" borderId="18" applyNumberFormat="1" applyFill="1" applyBorder="1" applyAlignment="1" applyProtection="1">
      <x:protection locked="0" hidden="0"/>
    </x:xf>
    <x:xf numFmtId="0" fontId="15" fillId="2" borderId="6" applyNumberFormat="1" applyFill="0" applyBorder="1" applyAlignment="1" applyProtection="1">
      <x:protection locked="0" hidden="0"/>
    </x:xf>
    <x:xf numFmtId="2" fontId="16" fillId="4" borderId="6" applyNumberFormat="1" applyFill="0" applyBorder="1" applyAlignment="1" applyProtection="1">
      <x:protection locked="0" hidden="0"/>
    </x:xf>
    <x:xf numFmtId="0" fontId="15" fillId="0" borderId="6" applyNumberFormat="1" applyFill="1" applyBorder="1" applyAlignment="1" applyProtection="1">
      <x:protection locked="0" hidden="0"/>
    </x:xf>
    <x:xf numFmtId="164" fontId="15" fillId="0" borderId="6" applyNumberFormat="1" applyFill="1" applyBorder="1" applyAlignment="1" applyProtection="1">
      <x:protection locked="0" hidden="0"/>
    </x:xf>
    <x:xf numFmtId="4" fontId="15" fillId="0" borderId="6" applyNumberFormat="1" applyFill="1" applyBorder="1" applyAlignment="1" applyProtection="1">
      <x:protection locked="0" hidden="0"/>
    </x:xf>
    <x:xf numFmtId="2" fontId="15" fillId="0" borderId="10" applyNumberFormat="1" applyFill="1" applyBorder="1" applyAlignment="1" applyProtection="1">
      <x:protection locked="0" hidden="0"/>
    </x:xf>
    <x:xf numFmtId="1" fontId="15" fillId="5" borderId="9" applyNumberFormat="1" applyFill="0" applyBorder="1" applyAlignment="1" applyProtection="1">
      <x:protection locked="0" hidden="0"/>
    </x:xf>
    <x:xf numFmtId="2" fontId="15" fillId="0" borderId="18" applyNumberFormat="1" applyFill="1" applyBorder="1" applyAlignment="1" applyProtection="1">
      <x:protection locked="1" hidden="0"/>
    </x:xf>
    <x:xf numFmtId="2" fontId="15" fillId="0" borderId="6" applyNumberFormat="1" applyFill="1" applyBorder="1" applyAlignment="1" applyProtection="1">
      <x:protection locked="0" hidden="0"/>
    </x:xf>
    <x:xf numFmtId="2" fontId="15" fillId="0" borderId="10" applyNumberFormat="1" applyFill="1" applyBorder="1" applyAlignment="1" applyProtection="1">
      <x:protection locked="1" hidden="0"/>
    </x:xf>
    <x:xf numFmtId="20" fontId="15" fillId="0" borderId="6" applyNumberFormat="1" applyFill="1" applyBorder="1" applyAlignment="1" applyProtection="1">
      <x:protection locked="1" hidden="0"/>
    </x:xf>
    <x:xf numFmtId="20" fontId="15" fillId="9" borderId="6" applyNumberFormat="1" applyFill="0" applyBorder="1" applyAlignment="1" applyProtection="1">
      <x:protection locked="0" hidden="0"/>
    </x:xf>
    <x:xf numFmtId="0" fontId="15" fillId="9" borderId="6" applyNumberFormat="1" applyFill="0" applyBorder="1" applyAlignment="1" applyProtection="1">
      <x:protection locked="0" hidden="0"/>
    </x:xf>
    <x:xf numFmtId="0" fontId="15" fillId="0" borderId="6" applyNumberFormat="1" applyFill="1" applyBorder="1" applyAlignment="1" applyProtection="1">
      <x:protection locked="1" hidden="0"/>
    </x:xf>
    <x:xf numFmtId="1" fontId="15" fillId="9" borderId="6" applyNumberFormat="1" applyFill="0" applyBorder="1" applyAlignment="1" applyProtection="1">
      <x:protection locked="0" hidden="0"/>
    </x:xf>
    <x:xf numFmtId="1" fontId="15" fillId="9" borderId="10" applyNumberFormat="1" applyFill="0" applyBorder="1" applyAlignment="1" applyProtection="1">
      <x:protection locked="1" hidden="0"/>
    </x:xf>
    <x:xf numFmtId="0" fontId="14" fillId="0" borderId="48" applyNumberFormat="1" applyFill="1" applyBorder="1" applyAlignment="1" applyProtection="1">
      <x:protection locked="0" hidden="0"/>
    </x:xf>
    <x:xf numFmtId="0" fontId="8" fillId="12" borderId="14" applyNumberFormat="1" applyFill="0" applyBorder="1" applyAlignment="1" applyProtection="1">
      <x:protection locked="0" hidden="0"/>
    </x:xf>
    <x:xf numFmtId="0" fontId="7" fillId="13" borderId="15" applyNumberFormat="1" applyFill="0" applyBorder="1" applyAlignment="1" applyProtection="1">
      <x:protection locked="0" hidden="0"/>
    </x:xf>
    <x:xf numFmtId="0" fontId="14" fillId="4" borderId="48" applyNumberFormat="1" applyFill="0" applyBorder="1" applyAlignment="1" applyProtection="1">
      <x:protection locked="0" hidden="0"/>
    </x:xf>
    <x:xf numFmtId="0" fontId="8" fillId="12" borderId="42" applyNumberFormat="1" applyFill="0" applyBorder="1" applyAlignment="1" applyProtection="1">
      <x:protection locked="0" hidden="0"/>
    </x:xf>
    <x:xf numFmtId="0" fontId="7" fillId="13" borderId="44" applyNumberFormat="1" applyFill="0" applyBorder="1" applyAlignment="1" applyProtection="1">
      <x:protection locked="0" hidden="0"/>
    </x:xf>
    <x:xf numFmtId="20" fontId="14" fillId="4" borderId="48" applyNumberFormat="1" applyFill="0" applyBorder="1" applyAlignment="1" applyProtection="1">
      <x:protection locked="0" hidden="0"/>
    </x:xf>
    <x:xf numFmtId="0" fontId="19" fillId="0" borderId="0" applyNumberFormat="1" applyFill="1" applyBorder="0" applyAlignment="1" applyProtection="1">
      <x:protection locked="0" hidden="0"/>
    </x:xf>
    <x:xf numFmtId="1" fontId="14" fillId="3" borderId="48" applyNumberFormat="1" applyFill="0" applyBorder="1" applyAlignment="1" applyProtection="1">
      <x:protection locked="0" hidden="0"/>
    </x:xf>
    <x:xf numFmtId="0" fontId="14" fillId="3" borderId="48" applyNumberFormat="1" applyFill="0" applyBorder="1" applyAlignment="1" applyProtection="1">
      <x:protection locked="1" hidden="0"/>
    </x:xf>
    <x:xf numFmtId="0" fontId="15" fillId="0" borderId="8" applyNumberFormat="1" applyFill="1" applyBorder="1" applyAlignment="1" applyProtection="1">
      <x:protection locked="0" hidden="0"/>
    </x:xf>
    <x:xf numFmtId="0" fontId="15" fillId="0" borderId="36" applyNumberFormat="1" applyFill="1" applyBorder="1" applyAlignment="1" applyProtection="1">
      <x:protection locked="0" hidden="0"/>
    </x:xf>
    <x:xf numFmtId="0" fontId="15" fillId="0" borderId="20" applyNumberFormat="1" applyFill="1" applyBorder="1" applyAlignment="1" applyProtection="1">
      <x:protection locked="0" hidden="0"/>
    </x:xf>
    <x:xf numFmtId="0" fontId="15" fillId="2" borderId="8" applyNumberFormat="1" applyFill="0" applyBorder="1" applyAlignment="1" applyProtection="1">
      <x:protection locked="0" hidden="0"/>
    </x:xf>
    <x:xf numFmtId="2" fontId="16" fillId="4" borderId="36" applyNumberFormat="1" applyFill="0" applyBorder="1" applyAlignment="1" applyProtection="1">
      <x:protection locked="0" hidden="0"/>
    </x:xf>
    <x:xf numFmtId="0" fontId="15" fillId="2" borderId="36" applyNumberFormat="1" applyFill="0" applyBorder="1" applyAlignment="1" applyProtection="1">
      <x:protection locked="0" hidden="0"/>
    </x:xf>
    <x:xf numFmtId="164" fontId="15" fillId="0" borderId="36" applyNumberFormat="1" applyFill="1" applyBorder="1" applyAlignment="1" applyProtection="1">
      <x:protection locked="0" hidden="0"/>
    </x:xf>
    <x:xf numFmtId="2" fontId="15" fillId="0" borderId="39" applyNumberFormat="1" applyFill="1" applyBorder="1" applyAlignment="1" applyProtection="1">
      <x:protection locked="0" hidden="0"/>
    </x:xf>
    <x:xf numFmtId="1" fontId="15" fillId="5" borderId="15" applyNumberFormat="1" applyFill="0" applyBorder="1" applyAlignment="1" applyProtection="1">
      <x:protection locked="0" hidden="0"/>
    </x:xf>
    <x:xf numFmtId="2" fontId="15" fillId="0" borderId="14" applyNumberFormat="1" applyFill="1" applyBorder="1" applyAlignment="1" applyProtection="1">
      <x:protection locked="1" hidden="0"/>
    </x:xf>
    <x:xf numFmtId="2" fontId="15" fillId="0" borderId="11" applyNumberFormat="1" applyFill="1" applyBorder="1" applyAlignment="1" applyProtection="1">
      <x:protection locked="1" hidden="0"/>
    </x:xf>
    <x:xf numFmtId="2" fontId="15" fillId="0" borderId="11" applyNumberFormat="1" applyFill="1" applyBorder="1" applyAlignment="1" applyProtection="1">
      <x:protection locked="0" hidden="0"/>
    </x:xf>
    <x:xf numFmtId="1" fontId="15" fillId="0" borderId="11" applyNumberFormat="1" applyFill="1" applyBorder="1" applyAlignment="1" applyProtection="1">
      <x:protection locked="1" hidden="0"/>
    </x:xf>
    <x:xf numFmtId="2" fontId="15" fillId="0" borderId="34" applyNumberFormat="1" applyFill="1" applyBorder="1" applyAlignment="1" applyProtection="1">
      <x:protection locked="1" hidden="0"/>
    </x:xf>
    <x:xf numFmtId="20" fontId="15" fillId="0" borderId="11" applyNumberFormat="1" applyFill="1" applyBorder="1" applyAlignment="1" applyProtection="1">
      <x:protection locked="1" hidden="0"/>
    </x:xf>
    <x:xf numFmtId="20" fontId="15" fillId="9" borderId="11" applyNumberFormat="1" applyFill="0" applyBorder="1" applyAlignment="1" applyProtection="1">
      <x:protection locked="0" hidden="0"/>
    </x:xf>
    <x:xf numFmtId="0" fontId="15" fillId="0" borderId="35" applyNumberFormat="1" applyFill="1" applyBorder="1" applyAlignment="1" applyProtection="1">
      <x:protection locked="1" hidden="0"/>
    </x:xf>
    <x:xf numFmtId="0" fontId="15" fillId="9" borderId="11" applyNumberFormat="1" applyFill="0" applyBorder="1" applyAlignment="1" applyProtection="1">
      <x:protection locked="0" hidden="0"/>
    </x:xf>
    <x:xf numFmtId="0" fontId="15" fillId="0" borderId="11" applyNumberFormat="1" applyFill="1" applyBorder="1" applyAlignment="1" applyProtection="1">
      <x:protection locked="1" hidden="0"/>
    </x:xf>
    <x:xf numFmtId="2" fontId="15" fillId="0" borderId="35" applyNumberFormat="1" applyFill="1" applyBorder="1" applyAlignment="1" applyProtection="1">
      <x:protection locked="1" hidden="0"/>
    </x:xf>
    <x:xf numFmtId="1" fontId="15" fillId="9" borderId="11" applyNumberFormat="1" applyFill="0" applyBorder="1" applyAlignment="1" applyProtection="1">
      <x:protection locked="0" hidden="0"/>
    </x:xf>
    <x:xf numFmtId="0" fontId="15" fillId="0" borderId="11" applyNumberFormat="1" applyFill="1" applyBorder="1" applyAlignment="1" applyProtection="1">
      <x:protection locked="0" hidden="0"/>
    </x:xf>
    <x:xf numFmtId="1" fontId="15" fillId="9" borderId="34" applyNumberFormat="1" applyFill="0" applyBorder="1" applyAlignment="1" applyProtection="1">
      <x:protection locked="1" hidden="0"/>
    </x:xf>
    <x:xf numFmtId="0" fontId="14" fillId="6" borderId="1" applyNumberFormat="1" applyFill="0" applyBorder="1" applyAlignment="1" applyProtection="1">
      <x:protection locked="0" hidden="0"/>
    </x:xf>
    <x:xf numFmtId="0" fontId="14" fillId="6" borderId="2" applyNumberFormat="1" applyFill="0" applyBorder="1" applyAlignment="1" applyProtection="1">
      <x:protection locked="0" hidden="0"/>
    </x:xf>
    <x:xf numFmtId="0" fontId="14" fillId="6" borderId="3" applyNumberFormat="1" applyFill="0" applyBorder="1" applyAlignment="1" applyProtection="1">
      <x:protection locked="0" hidden="0"/>
    </x:xf>
    <x:xf numFmtId="0" fontId="14" fillId="0" borderId="29" applyNumberFormat="1" applyFill="1" applyBorder="1" applyAlignment="1" applyProtection="1">
      <x:protection locked="0" hidden="0"/>
    </x:xf>
    <x:xf numFmtId="164" fontId="14" fillId="0" borderId="29" applyNumberFormat="1" applyFill="1" applyBorder="1" applyAlignment="1" applyProtection="1">
      <x:protection locked="0" hidden="0"/>
    </x:xf>
    <x:xf numFmtId="2" fontId="14" fillId="0" borderId="29" applyNumberFormat="1" applyFill="1" applyBorder="1" applyAlignment="1" applyProtection="1">
      <x:protection locked="0" hidden="0"/>
    </x:xf>
    <x:xf numFmtId="2" fontId="14" fillId="6" borderId="29" applyNumberFormat="1" applyFill="0" applyBorder="1" applyAlignment="1" applyProtection="1">
      <x:protection locked="0" hidden="0"/>
    </x:xf>
    <x:xf numFmtId="0" fontId="15" fillId="0" borderId="7" applyNumberFormat="1" applyFill="1" applyBorder="1" applyAlignment="1" applyProtection="1">
      <x:protection locked="0" hidden="0"/>
    </x:xf>
    <x:xf numFmtId="2" fontId="15" fillId="0" borderId="0" applyNumberFormat="1" applyFill="1" applyBorder="0" applyAlignment="1" applyProtection="1">
      <x:protection locked="0" hidden="0"/>
    </x:xf>
    <x:xf numFmtId="20" fontId="15" fillId="0" borderId="0" applyNumberFormat="1" applyFill="1" applyBorder="0" applyAlignment="1" applyProtection="1">
      <x:protection locked="0" hidden="0"/>
    </x:xf>
    <x:xf numFmtId="0" fontId="14" fillId="10" borderId="1" applyNumberFormat="1" applyFill="0" applyBorder="1" applyAlignment="1" applyProtection="1">
      <x:protection locked="0" hidden="0"/>
    </x:xf>
    <x:xf numFmtId="0" fontId="14" fillId="10" borderId="2" applyNumberFormat="1" applyFill="0" applyBorder="1" applyAlignment="1" applyProtection="1">
      <x:protection locked="0" hidden="0"/>
    </x:xf>
    <x:xf numFmtId="0" fontId="14" fillId="10" borderId="3" applyNumberFormat="1" applyFill="0" applyBorder="1" applyAlignment="1" applyProtection="1">
      <x:protection locked="0" hidden="0"/>
    </x:xf>
    <x:xf numFmtId="0" fontId="14" fillId="0" borderId="29" applyNumberFormat="1" applyFill="1" applyBorder="1" applyAlignment="1" applyProtection="1">
      <x:protection locked="0" hidden="0"/>
    </x:xf>
    <x:xf numFmtId="0" fontId="14" fillId="10" borderId="29" applyNumberFormat="1" applyFill="0" applyBorder="1" applyAlignment="1" applyProtection="1">
      <x:protection locked="0" hidden="0"/>
    </x:xf>
    <x:xf numFmtId="0" fontId="14" fillId="10" borderId="29" applyNumberFormat="1" applyFill="0" applyBorder="1" applyAlignment="1" applyProtection="1">
      <x:protection locked="0" hidden="0"/>
    </x:xf>
    <x:xf numFmtId="0" fontId="14" fillId="8" borderId="41" applyNumberFormat="1" applyFill="0" applyBorder="1" applyAlignment="1" applyProtection="1">
      <x:protection locked="1" hidden="0"/>
    </x:xf>
    <x:xf numFmtId="0" fontId="14" fillId="8" borderId="40" applyNumberFormat="1" applyFill="0" applyBorder="1" applyAlignment="1" applyProtection="1">
      <x:protection locked="1" hidden="0"/>
    </x:xf>
    <x:xf numFmtId="0" fontId="14" fillId="4" borderId="31" applyNumberFormat="1" applyFill="0" applyBorder="1" applyAlignment="1" applyProtection="1">
      <x:protection locked="1" hidden="0"/>
    </x:xf>
    <x:xf numFmtId="0" fontId="14" fillId="4" borderId="23" applyNumberFormat="1" applyFill="0" applyBorder="1" applyAlignment="1" applyProtection="1">
      <x:protection locked="1" hidden="0"/>
    </x:xf>
    <x:xf numFmtId="0" fontId="14" fillId="6" borderId="41" applyNumberFormat="1" applyFill="0" applyBorder="1" applyAlignment="1" applyProtection="1">
      <x:protection locked="1" hidden="0"/>
    </x:xf>
    <x:xf numFmtId="0" fontId="14" fillId="6" borderId="40" applyNumberFormat="1" applyFill="0" applyBorder="1" applyAlignment="1" applyProtection="1">
      <x:protection locked="1" hidden="0"/>
    </x:xf>
    <x:xf numFmtId="1" fontId="14" fillId="0" borderId="22" applyNumberFormat="1" applyFill="1" applyBorder="1" applyAlignment="1" applyProtection="1">
      <x:protection locked="1" hidden="0"/>
    </x:xf>
    <x:xf numFmtId="0" fontId="14" fillId="8" borderId="30" applyNumberFormat="1" applyFill="0" applyBorder="1" applyAlignment="1" applyProtection="1">
      <x:protection locked="1" hidden="0"/>
    </x:xf>
    <x:xf numFmtId="0" fontId="14" fillId="8" borderId="31" applyNumberFormat="1" applyFill="0" applyBorder="1" applyAlignment="1" applyProtection="1">
      <x:protection locked="1" hidden="0"/>
    </x:xf>
    <x:xf numFmtId="0" fontId="15" fillId="0" borderId="22" applyNumberFormat="1" applyFill="1" applyBorder="1" applyAlignment="1" applyProtection="1">
      <x:protection locked="1" hidden="0"/>
    </x:xf>
    <x:xf numFmtId="1" fontId="14" fillId="6" borderId="22" applyNumberFormat="1" applyFill="0" applyBorder="1" applyAlignment="1" applyProtection="1">
      <x:protection locked="1" hidden="0"/>
    </x:xf>
    <x:xf numFmtId="2" fontId="14" fillId="6" borderId="21" applyNumberFormat="1" applyFill="0" applyBorder="1" applyAlignment="1" applyProtection="1">
      <x:protection locked="1" hidden="0"/>
    </x:xf>
    <x:xf numFmtId="2" fontId="14" fillId="0" borderId="21" applyNumberFormat="1" applyFill="1" applyBorder="1" applyAlignment="1" applyProtection="1">
      <x:protection locked="1" hidden="0"/>
    </x:xf>
    <x:xf numFmtId="2" fontId="14" fillId="8" borderId="22" applyNumberFormat="1" applyFill="0" applyBorder="1" applyAlignment="1" applyProtection="1">
      <x:protection locked="1" hidden="0"/>
    </x:xf>
    <x:xf numFmtId="2" fontId="14" fillId="8" borderId="21" applyNumberFormat="1" applyFill="0" applyBorder="1" applyAlignment="1" applyProtection="1">
      <x:protection locked="1" hidden="0"/>
    </x:xf>
    <x:xf numFmtId="1" fontId="14" fillId="6" borderId="22" applyNumberFormat="1" applyFill="0" applyBorder="1" applyAlignment="1" applyProtection="1">
      <x:protection locked="1" hidden="0"/>
    </x:xf>
    <x:xf numFmtId="1" fontId="14" fillId="0" borderId="21" applyNumberFormat="1" applyFill="1" applyBorder="1" applyAlignment="1" applyProtection="1">
      <x:protection locked="1" hidden="0"/>
    </x:xf>
    <x:xf numFmtId="1" fontId="14" fillId="0" borderId="23" applyNumberFormat="1" applyFill="1" applyBorder="1" applyAlignment="1" applyProtection="1">
      <x:protection locked="1" hidden="0"/>
    </x:xf>
    <x:xf numFmtId="2" fontId="14" fillId="0" borderId="24" applyNumberFormat="1" applyFill="1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0" fontId="14" fillId="0" borderId="1" applyNumberFormat="1" applyFill="1" applyBorder="1" applyAlignment="1" applyProtection="1">
      <x:protection locked="0" hidden="0"/>
    </x:xf>
    <x:xf numFmtId="0" fontId="14" fillId="0" borderId="2" applyNumberFormat="1" applyFill="1" applyBorder="1" applyAlignment="1" applyProtection="1">
      <x:protection locked="0" hidden="0"/>
    </x:xf>
    <x:xf numFmtId="0" fontId="14" fillId="0" borderId="3" applyNumberFormat="1" applyFill="1" applyBorder="1" applyAlignment="1" applyProtection="1">
      <x:protection locked="0" hidden="0"/>
    </x:xf>
    <x:xf numFmtId="0" fontId="14" fillId="8" borderId="42" applyNumberFormat="1" applyFill="0" applyBorder="1" applyAlignment="1" applyProtection="1">
      <x:protection locked="1" hidden="0"/>
    </x:xf>
    <x:xf numFmtId="0" fontId="14" fillId="8" borderId="47" applyNumberFormat="1" applyFill="0" applyBorder="1" applyAlignment="1" applyProtection="1">
      <x:protection locked="1" hidden="0"/>
    </x:xf>
    <x:xf numFmtId="0" fontId="14" fillId="4" borderId="33" applyNumberFormat="1" applyFill="0" applyBorder="1" applyAlignment="1" applyProtection="1">
      <x:protection locked="1" hidden="0"/>
    </x:xf>
    <x:xf numFmtId="0" fontId="14" fillId="4" borderId="27" applyNumberFormat="1" applyFill="0" applyBorder="1" applyAlignment="1" applyProtection="1">
      <x:protection locked="1" hidden="0"/>
    </x:xf>
    <x:xf numFmtId="0" fontId="14" fillId="6" borderId="42" applyNumberFormat="1" applyFill="0" applyBorder="1" applyAlignment="1" applyProtection="1">
      <x:protection locked="1" hidden="0"/>
    </x:xf>
    <x:xf numFmtId="0" fontId="14" fillId="6" borderId="47" applyNumberFormat="1" applyFill="0" applyBorder="1" applyAlignment="1" applyProtection="1">
      <x:protection locked="1" hidden="0"/>
    </x:xf>
    <x:xf numFmtId="1" fontId="14" fillId="0" borderId="26" applyNumberFormat="1" applyFill="1" applyBorder="1" applyAlignment="1" applyProtection="1">
      <x:protection locked="1" hidden="0"/>
    </x:xf>
    <x:xf numFmtId="0" fontId="14" fillId="8" borderId="32" applyNumberFormat="1" applyFill="0" applyBorder="1" applyAlignment="1" applyProtection="1">
      <x:protection locked="1" hidden="0"/>
    </x:xf>
    <x:xf numFmtId="0" fontId="14" fillId="8" borderId="33" applyNumberFormat="1" applyFill="0" applyBorder="1" applyAlignment="1" applyProtection="1">
      <x:protection locked="1" hidden="0"/>
    </x:xf>
    <x:xf numFmtId="0" fontId="15" fillId="0" borderId="26" applyNumberFormat="1" applyFill="1" applyBorder="1" applyAlignment="1" applyProtection="1">
      <x:protection locked="1" hidden="0"/>
    </x:xf>
    <x:xf numFmtId="1" fontId="14" fillId="6" borderId="26" applyNumberFormat="1" applyFill="0" applyBorder="1" applyAlignment="1" applyProtection="1">
      <x:protection locked="1" hidden="0"/>
    </x:xf>
    <x:xf numFmtId="2" fontId="14" fillId="6" borderId="25" applyNumberFormat="1" applyFill="0" applyBorder="1" applyAlignment="1" applyProtection="1">
      <x:protection locked="1" hidden="0"/>
    </x:xf>
    <x:xf numFmtId="2" fontId="14" fillId="0" borderId="25" applyNumberFormat="1" applyFill="1" applyBorder="1" applyAlignment="1" applyProtection="1">
      <x:protection locked="1" hidden="0"/>
    </x:xf>
    <x:xf numFmtId="2" fontId="14" fillId="8" borderId="26" applyNumberFormat="1" applyFill="0" applyBorder="1" applyAlignment="1" applyProtection="1">
      <x:protection locked="1" hidden="0"/>
    </x:xf>
    <x:xf numFmtId="2" fontId="14" fillId="8" borderId="25" applyNumberFormat="1" applyFill="0" applyBorder="1" applyAlignment="1" applyProtection="1">
      <x:protection locked="1" hidden="0"/>
    </x:xf>
    <x:xf numFmtId="1" fontId="14" fillId="6" borderId="26" applyNumberFormat="1" applyFill="0" applyBorder="1" applyAlignment="1" applyProtection="1">
      <x:protection locked="1" hidden="0"/>
    </x:xf>
    <x:xf numFmtId="1" fontId="14" fillId="0" borderId="25" applyNumberFormat="1" applyFill="1" applyBorder="1" applyAlignment="1" applyProtection="1">
      <x:protection locked="1" hidden="0"/>
    </x:xf>
    <x:xf numFmtId="1" fontId="14" fillId="0" borderId="27" applyNumberFormat="1" applyFill="1" applyBorder="1" applyAlignment="1" applyProtection="1">
      <x:protection locked="1" hidden="0"/>
    </x:xf>
    <x:xf numFmtId="2" fontId="14" fillId="0" borderId="28" applyNumberFormat="1" applyFill="1" applyBorder="1" applyAlignment="1" applyProtection="1">
      <x:protection locked="1" hidden="0"/>
    </x:xf>
    <x:xf numFmtId="0" fontId="18" fillId="0" borderId="0" applyNumberFormat="1" applyFill="1" applyBorder="0" applyAlignment="1" applyProtection="1">
      <x:protection locked="0" hidden="0"/>
    </x:xf>
    <x:xf numFmtId="1" fontId="7" fillId="0" borderId="0" applyNumberFormat="1" applyFill="1" applyBorder="0" applyAlignment="1" applyProtection="1">
      <x:protection locked="0" hidden="0"/>
    </x:xf>
    <x:xf numFmtId="0" fontId="5" fillId="0" borderId="0" applyNumberFormat="1" applyFill="1" applyBorder="0" applyAlignment="1" applyProtection="1">
      <x:protection locked="1" hidden="0"/>
    </x:xf>
    <x:xf numFmtId="2" fontId="0" fillId="0" borderId="0" applyNumberFormat="1" applyFill="1" applyBorder="0" applyAlignment="1" applyProtection="1">
      <x:protection locked="1" hidden="0"/>
    </x:xf>
    <x:xf numFmtId="0" fontId="5" fillId="5" borderId="0" applyNumberFormat="1" applyFill="0" applyBorder="0" applyAlignment="1" applyProtection="1">
      <x:protection locked="1" hidden="0"/>
    </x:xf>
    <x:xf numFmtId="2" fontId="6" fillId="0" borderId="0" applyNumberFormat="1" applyFill="1" applyBorder="0" applyAlignment="1" applyProtection="1">
      <x:protection locked="1" hidden="0"/>
    </x:xf>
    <x:xf numFmtId="1" fontId="6" fillId="0" borderId="0" applyNumberFormat="1" applyFill="1" applyBorder="0" applyAlignment="1" applyProtection="1">
      <x:protection locked="1" hidden="0"/>
    </x:xf>
    <x:xf numFmtId="0" fontId="6" fillId="0" borderId="0" applyNumberFormat="1" applyFill="1" applyBorder="0" applyAlignment="1" applyProtection="1">
      <x:protection locked="1" hidden="0"/>
    </x:xf>
    <x:xf numFmtId="20" fontId="0" fillId="0" borderId="0" applyNumberFormat="1" applyFill="1" applyBorder="0" applyAlignment="1" applyProtection="1">
      <x:protection locked="1" hidden="0"/>
    </x:xf>
    <x:xf numFmtId="1" fontId="0" fillId="0" borderId="0" applyNumberFormat="1" applyFill="1" applyBorder="0" applyAlignment="1" applyProtection="1">
      <x:protection locked="1" hidden="0"/>
    </x:xf>
    <x:xf numFmtId="20" fontId="6" fillId="0" borderId="0" applyNumberFormat="1" applyFill="1" applyBorder="0" applyAlignment="1" applyProtection="1">
      <x:protection locked="1" hidden="0"/>
    </x:xf>
  </x:cellStyleXfs>
  <x:cellXfs count="460">
    <x:xf numFmtId="0" fontId="0" fillId="0" borderId="0" xfId="0"/>
    <x:xf numFmtId="0" fontId="9" fillId="0" borderId="0" xfId="2" applyFont="1" applyAlignment="1" applyProtection="1">
      <x:alignment horizontal="center" vertical="center"/>
      <x:protection locked="0"/>
    </x:xf>
    <x:xf numFmtId="0" fontId="9" fillId="0" borderId="0" xfId="2" applyFont="1" applyFill="1" applyAlignment="1" applyProtection="1">
      <x:alignment horizontal="center" vertical="center"/>
      <x:protection locked="0"/>
    </x:xf>
    <x:xf numFmtId="0" fontId="13" fillId="0" borderId="0" xfId="2" applyFont="1" applyBorder="1" applyAlignment="1" applyProtection="1">
      <x:alignment horizontal="center" vertical="center"/>
      <x:protection locked="0"/>
    </x:xf>
    <x:xf numFmtId="0" fontId="12" fillId="0" borderId="0" xfId="2" applyFont="1" applyBorder="1" applyAlignment="1" applyProtection="1">
      <x:alignment horizontal="center" vertical="center"/>
      <x:protection locked="0"/>
    </x:xf>
    <x:xf numFmtId="0" fontId="13" fillId="0" borderId="0" xfId="2" applyFont="1" applyAlignment="1" applyProtection="1">
      <x:alignment horizontal="center" vertical="center"/>
      <x:protection locked="0"/>
    </x:xf>
    <x:xf numFmtId="0" fontId="12" fillId="0" borderId="0" xfId="2" applyFont="1" applyFill="1" applyBorder="1" applyAlignment="1" applyProtection="1">
      <x:alignment horizontal="center" vertical="center"/>
      <x:protection locked="0"/>
    </x:xf>
    <x:xf numFmtId="0" fontId="13" fillId="0" borderId="0" xfId="2" applyFont="1" applyFill="1" applyBorder="1" applyAlignment="1" applyProtection="1">
      <x:alignment horizontal="center" vertical="center"/>
      <x:protection locked="0"/>
    </x:xf>
    <x:xf numFmtId="0" fontId="12" fillId="7" borderId="4" xfId="2" applyFont="1" applyFill="1" applyBorder="1" applyAlignment="1" applyProtection="1">
      <x:alignment horizontal="center" vertical="center" wrapText="1"/>
      <x:protection locked="0"/>
    </x:xf>
    <x:xf numFmtId="0" fontId="12" fillId="0" borderId="6" xfId="2" applyFont="1" applyBorder="1" applyAlignment="1" applyProtection="1">
      <x:alignment horizontal="center" vertical="center" wrapText="1"/>
      <x:protection locked="0"/>
    </x:xf>
    <x:xf numFmtId="0" fontId="12" fillId="0" borderId="48" xfId="2" applyFont="1" applyBorder="1" applyAlignment="1" applyProtection="1">
      <x:alignment horizontal="center" vertical="center"/>
      <x:protection locked="0"/>
    </x:xf>
    <x:xf numFmtId="0" fontId="14" fillId="0" borderId="48" xfId="1" applyFont="1" applyBorder="1" applyAlignment="1" applyProtection="1">
      <x:alignment horizontal="center" vertical="center"/>
      <x:protection locked="0"/>
    </x:xf>
    <x:xf numFmtId="0" fontId="12" fillId="4" borderId="48" xfId="1" applyFont="1" applyFill="1" applyBorder="1" applyAlignment="1" applyProtection="1">
      <x:alignment horizontal="center" vertical="center"/>
      <x:protection locked="0"/>
    </x:xf>
    <x:xf numFmtId="20" fontId="12" fillId="4" borderId="48" xfId="1" applyNumberFormat="1" applyFont="1" applyFill="1" applyBorder="1" applyAlignment="1" applyProtection="1">
      <x:alignment horizontal="center" vertical="center"/>
      <x:protection locked="0"/>
    </x:xf>
    <x:xf numFmtId="1" fontId="12" fillId="3" borderId="48" xfId="1" applyNumberFormat="1" applyFont="1" applyFill="1" applyBorder="1" applyAlignment="1" applyProtection="1">
      <x:alignment horizontal="center" vertical="center"/>
      <x:protection locked="0"/>
    </x:xf>
    <x:xf numFmtId="2" fontId="14" fillId="6" borderId="29" xfId="1" applyNumberFormat="1" applyFont="1" applyFill="1" applyBorder="1" applyAlignment="1" applyProtection="1">
      <x:alignment horizontal="center" vertical="center"/>
      <x:protection locked="0"/>
    </x:xf>
    <x:xf numFmtId="0" fontId="14" fillId="6" borderId="29" xfId="0" applyNumberFormat="1" applyFont="1" applyFill="1" applyBorder="1" applyAlignment="1" applyProtection="1">
      <x:alignment horizontal="center" vertical="center" wrapText="1"/>
      <x:protection locked="0"/>
    </x:xf>
    <x:xf numFmtId="0" fontId="7" fillId="0" borderId="0" xfId="0" applyNumberFormat="1" applyFont="1" applyFill="1" applyAlignment="1" applyProtection="1">
      <x:alignment horizontal="center" vertical="center"/>
      <x:protection locked="0"/>
    </x:xf>
    <x:xf numFmtId="0" fontId="12" fillId="6" borderId="29" xfId="2" applyFont="1" applyFill="1" applyBorder="1" applyAlignment="1" applyProtection="1">
      <x:alignment horizontal="center" vertical="center"/>
      <x:protection locked="0"/>
    </x:xf>
    <x:xf numFmtId="0" fontId="7" fillId="0" borderId="4" xfId="1" applyFont="1" applyBorder="1" applyAlignment="1" applyProtection="1">
      <x:alignment horizontal="center" vertical="center"/>
      <x:protection locked="0"/>
    </x:xf>
    <x:xf numFmtId="0" fontId="7" fillId="0" borderId="0" xfId="1" applyFont="1" applyAlignment="1" applyProtection="1">
      <x:alignment horizontal="center" vertical="center"/>
      <x:protection locked="0"/>
    </x:xf>
    <x:xf numFmtId="2" fontId="8" fillId="0" borderId="17" xfId="1" applyNumberFormat="1" applyFont="1" applyBorder="1" applyAlignment="1" applyProtection="1">
      <x:alignment horizontal="center" vertical="center" wrapText="1"/>
      <x:protection locked="0"/>
    </x:xf>
    <x:xf numFmtId="2" fontId="8" fillId="0" borderId="0" xfId="1" applyNumberFormat="1" applyFont="1" applyBorder="1" applyAlignment="1" applyProtection="1">
      <x:alignment horizontal="center" vertical="center" wrapText="1"/>
      <x:protection locked="0"/>
    </x:xf>
    <x:xf numFmtId="0" fontId="7" fillId="0" borderId="0" xfId="1" applyFont="1" applyBorder="1" applyAlignment="1" applyProtection="1">
      <x:alignment horizontal="center" vertical="center"/>
      <x:protection locked="0"/>
    </x:xf>
    <x:xf numFmtId="2" fontId="14" fillId="3" borderId="29" xfId="1" applyNumberFormat="1" applyFont="1" applyFill="1" applyBorder="1" applyAlignment="1" applyProtection="1">
      <x:alignment horizontal="center" vertical="center" wrapText="1"/>
      <x:protection locked="0"/>
    </x:xf>
    <x:xf numFmtId="2" fontId="14" fillId="8" borderId="29" xfId="1" applyNumberFormat="1" applyFont="1" applyFill="1" applyBorder="1" applyAlignment="1" applyProtection="1">
      <x:alignment horizontal="center" vertical="center" wrapText="1"/>
      <x:protection locked="0"/>
    </x:xf>
    <x:xf numFmtId="2" fontId="14" fillId="3" borderId="29" xfId="1" applyNumberFormat="1" applyFont="1" applyFill="1" applyBorder="1" applyAlignment="1" applyProtection="1">
      <x:alignment horizontal="center" vertical="center"/>
      <x:protection locked="0"/>
    </x:xf>
    <x:xf numFmtId="20" fontId="14" fillId="3" borderId="29" xfId="1" applyNumberFormat="1" applyFont="1" applyFill="1" applyBorder="1" applyAlignment="1" applyProtection="1">
      <x:alignment horizontal="center" vertical="center" wrapText="1"/>
      <x:protection locked="0"/>
    </x:xf>
    <x:xf numFmtId="1" fontId="14" fillId="3" borderId="29" xfId="1" applyNumberFormat="1" applyFont="1" applyFill="1" applyBorder="1" applyAlignment="1" applyProtection="1">
      <x:alignment horizontal="center" vertical="center" wrapText="1"/>
      <x:protection locked="0"/>
    </x:xf>
    <x:xf numFmtId="0" fontId="12" fillId="3" borderId="29" xfId="2" applyFont="1" applyFill="1" applyBorder="1" applyAlignment="1" applyProtection="1">
      <x:alignment horizontal="center" vertical="center" wrapText="1"/>
      <x:protection locked="0"/>
    </x:xf>
    <x:xf numFmtId="2" fontId="14" fillId="3" borderId="29" xfId="0" applyNumberFormat="1" applyFont="1" applyFill="1" applyBorder="1" applyAlignment="1" applyProtection="1">
      <x:alignment horizontal="center" vertical="center" wrapText="1"/>
      <x:protection locked="0"/>
    </x:xf>
    <x:xf numFmtId="0" fontId="15" fillId="0" borderId="5" xfId="1" applyFont="1" applyBorder="1" applyAlignment="1" applyProtection="1">
      <x:alignment horizontal="center" vertical="center"/>
      <x:protection locked="0"/>
    </x:xf>
    <x:xf numFmtId="0" fontId="15" fillId="2" borderId="12" xfId="1" applyFont="1" applyFill="1" applyBorder="1" applyAlignment="1" applyProtection="1">
      <x:alignment horizontal="center" vertical="center"/>
      <x:protection locked="0"/>
    </x:xf>
    <x:xf numFmtId="0" fontId="15" fillId="2" borderId="12" xfId="0" applyNumberFormat="1" applyFont="1" applyFill="1" applyBorder="1" applyAlignment="1" applyProtection="1">
      <x:alignment horizontal="center" vertical="center"/>
      <x:protection locked="0"/>
    </x:xf>
    <x:xf numFmtId="2" fontId="16" fillId="4" borderId="37" xfId="3" applyNumberFormat="1" applyFont="1" applyFill="1" applyBorder="1" applyAlignment="1" applyProtection="1">
      <x:alignment horizontal="center" vertical="center"/>
      <x:protection locked="0"/>
    </x:xf>
    <x:xf numFmtId="0" fontId="15" fillId="0" borderId="37" xfId="1" applyFont="1" applyFill="1" applyBorder="1" applyAlignment="1" applyProtection="1">
      <x:alignment horizontal="center" vertical="center"/>
      <x:protection locked="0"/>
    </x:xf>
    <x:xf numFmtId="0" fontId="15" fillId="0" borderId="37" xfId="1" applyFont="1" applyBorder="1" applyAlignment="1" applyProtection="1">
      <x:alignment horizontal="center" vertical="center"/>
      <x:protection locked="0"/>
    </x:xf>
    <x:xf numFmtId="0" fontId="15" fillId="0" borderId="37" xfId="10" applyNumberFormat="1" applyFont="1" applyBorder="1" applyAlignment="1" applyProtection="1">
      <x:alignment horizontal="center" vertical="center"/>
      <x:protection locked="0"/>
    </x:xf>
    <x:xf numFmtId="0" fontId="15" fillId="2" borderId="37" xfId="1" applyFont="1" applyFill="1" applyBorder="1" applyAlignment="1" applyProtection="1">
      <x:alignment horizontal="center" vertical="center"/>
      <x:protection locked="0"/>
    </x:xf>
    <x:xf numFmtId="164" fontId="15" fillId="0" borderId="37" xfId="1" quotePrefix="1" applyNumberFormat="1" applyFont="1" applyBorder="1" applyAlignment="1" applyProtection="1">
      <x:alignment horizontal="center" vertical="center"/>
      <x:protection locked="0"/>
    </x:xf>
    <x:xf numFmtId="164" fontId="15" fillId="0" borderId="37" xfId="1" applyNumberFormat="1" applyFont="1" applyBorder="1" applyAlignment="1" applyProtection="1">
      <x:alignment horizontal="center" vertical="center"/>
      <x:protection locked="0"/>
    </x:xf>
    <x:xf numFmtId="2" fontId="15" fillId="0" borderId="38" xfId="1" applyNumberFormat="1" applyFont="1" applyBorder="1" applyAlignment="1" applyProtection="1">
      <x:alignment horizontal="center" vertical="center"/>
      <x:protection locked="0"/>
    </x:xf>
    <x:xf numFmtId="2" fontId="15" fillId="0" borderId="13" xfId="1" applyNumberFormat="1" applyFont="1" applyBorder="1" applyAlignment="1" applyProtection="1">
      <x:alignment horizontal="center" vertical="center"/>
      <x:protection locked="0"/>
    </x:xf>
    <x:xf numFmtId="1" fontId="15" fillId="5" borderId="40" xfId="1" applyNumberFormat="1" applyFont="1" applyFill="1" applyBorder="1" applyAlignment="1" applyProtection="1">
      <x:alignment horizontal="center" vertical="center"/>
      <x:protection locked="0"/>
    </x:xf>
    <x:xf numFmtId="1" fontId="15" fillId="0" borderId="0" xfId="1" applyNumberFormat="1" applyFont="1" applyBorder="1" applyAlignment="1" applyProtection="1">
      <x:alignment horizontal="center" vertical="center"/>
      <x:protection locked="0"/>
    </x:xf>
    <x:xf numFmtId="1" fontId="15" fillId="0" borderId="7" xfId="1" applyNumberFormat="1" applyFont="1" applyBorder="1" applyAlignment="1" applyProtection="1">
      <x:alignment horizontal="center" vertical="center"/>
      <x:protection locked="0"/>
    </x:xf>
    <x:xf numFmtId="20" fontId="15" fillId="0" borderId="10" xfId="1" applyNumberFormat="1" applyFont="1" applyBorder="1" applyAlignment="1" applyProtection="1">
      <x:alignment horizontal="center" vertical="center"/>
      <x:protection locked="0"/>
    </x:xf>
    <x:xf numFmtId="20" fontId="15" fillId="9" borderId="13" xfId="1" applyNumberFormat="1" applyFont="1" applyFill="1" applyBorder="1" applyAlignment="1" applyProtection="1">
      <x:alignment horizontal="center" vertical="center"/>
      <x:protection locked="0"/>
    </x:xf>
    <x:xf numFmtId="0" fontId="15" fillId="9" borderId="13" xfId="1" applyNumberFormat="1" applyFont="1" applyFill="1" applyBorder="1" applyAlignment="1" applyProtection="1">
      <x:alignment horizontal="center" vertical="center"/>
      <x:protection locked="0"/>
    </x:xf>
    <x:xf numFmtId="0" fontId="15" fillId="0" borderId="13" xfId="1" applyFont="1" applyBorder="1" applyAlignment="1" applyProtection="1">
      <x:alignment horizontal="center" vertical="center"/>
      <x:protection locked="0"/>
    </x:xf>
    <x:xf numFmtId="0" fontId="15" fillId="9" borderId="13" xfId="1" applyFont="1" applyFill="1" applyBorder="1" applyAlignment="1" applyProtection="1">
      <x:alignment horizontal="center" vertical="center"/>
      <x:protection locked="0"/>
    </x:xf>
    <x:xf numFmtId="1" fontId="15" fillId="9" borderId="13" xfId="1" applyNumberFormat="1" applyFont="1" applyFill="1" applyBorder="1" applyAlignment="1" applyProtection="1">
      <x:alignment horizontal="center" vertical="center"/>
      <x:protection locked="0"/>
    </x:xf>
    <x:xf numFmtId="0" fontId="8" fillId="12" borderId="45" xfId="1" applyFont="1" applyFill="1" applyBorder="1" applyAlignment="1" applyProtection="1">
      <x:alignment horizontal="center" vertical="center"/>
      <x:protection locked="0"/>
    </x:xf>
    <x:xf numFmtId="0" fontId="7" fillId="13" borderId="43" xfId="0" applyNumberFormat="1" applyFont="1" applyFill="1" applyBorder="1" applyAlignment="1" applyProtection="1">
      <x:alignment horizontal="center" vertical="center"/>
      <x:protection locked="0"/>
    </x:xf>
    <x:xf numFmtId="0" fontId="7" fillId="0" borderId="0" xfId="0" applyFont="1" applyAlignment="1" applyProtection="1">
      <x:alignment horizontal="center" vertical="center"/>
      <x:protection locked="0"/>
    </x:xf>
    <x:xf numFmtId="0" fontId="15" fillId="0" borderId="18" xfId="1" applyFont="1" applyBorder="1" applyAlignment="1" applyProtection="1">
      <x:alignment horizontal="center" vertical="center"/>
      <x:protection locked="0"/>
    </x:xf>
    <x:xf numFmtId="0" fontId="15" fillId="2" borderId="6" xfId="1" applyFont="1" applyFill="1" applyBorder="1" applyAlignment="1" applyProtection="1">
      <x:alignment horizontal="center" vertical="center"/>
      <x:protection locked="0"/>
    </x:xf>
    <x:xf numFmtId="2" fontId="16" fillId="4" borderId="6" xfId="3" applyNumberFormat="1" applyFont="1" applyFill="1" applyBorder="1" applyAlignment="1" applyProtection="1">
      <x:alignment horizontal="center" vertical="center"/>
      <x:protection locked="0"/>
    </x:xf>
    <x:xf numFmtId="0" fontId="15" fillId="0" borderId="6" xfId="1" applyFont="1" applyFill="1" applyBorder="1" applyAlignment="1" applyProtection="1">
      <x:alignment horizontal="center" vertical="center"/>
      <x:protection locked="0"/>
    </x:xf>
    <x:xf numFmtId="0" fontId="15" fillId="0" borderId="6" xfId="1" applyFont="1" applyBorder="1" applyAlignment="1" applyProtection="1">
      <x:alignment horizontal="center" vertical="center"/>
      <x:protection locked="0"/>
    </x:xf>
    <x:xf numFmtId="0" fontId="15" fillId="0" borderId="6" xfId="10" applyNumberFormat="1" applyFont="1" applyBorder="1" applyAlignment="1" applyProtection="1">
      <x:alignment horizontal="center" vertical="center"/>
      <x:protection locked="0"/>
    </x:xf>
    <x:xf numFmtId="164" fontId="15" fillId="0" borderId="6" xfId="1" quotePrefix="1" applyNumberFormat="1" applyFont="1" applyBorder="1" applyAlignment="1" applyProtection="1">
      <x:alignment horizontal="center" vertical="center"/>
      <x:protection locked="0"/>
    </x:xf>
    <x:xf numFmtId="164" fontId="15" fillId="0" borderId="6" xfId="1" applyNumberFormat="1" applyFont="1" applyBorder="1" applyAlignment="1" applyProtection="1">
      <x:alignment horizontal="center" vertical="center"/>
      <x:protection locked="0"/>
    </x:xf>
    <x:xf numFmtId="4" fontId="15" fillId="0" borderId="6" xfId="1" applyNumberFormat="1" applyFont="1" applyBorder="1" applyAlignment="1" applyProtection="1">
      <x:alignment horizontal="center" vertical="center"/>
      <x:protection locked="0"/>
    </x:xf>
    <x:xf numFmtId="2" fontId="15" fillId="0" borderId="10" xfId="1" applyNumberFormat="1" applyFont="1" applyBorder="1" applyAlignment="1" applyProtection="1">
      <x:alignment horizontal="center" vertical="center"/>
      <x:protection locked="0"/>
    </x:xf>
    <x:xf numFmtId="1" fontId="15" fillId="5" borderId="9" xfId="1" applyNumberFormat="1" applyFont="1" applyFill="1" applyBorder="1" applyAlignment="1" applyProtection="1">
      <x:alignment horizontal="center" vertical="center"/>
      <x:protection locked="0"/>
    </x:xf>
    <x:xf numFmtId="2" fontId="15" fillId="0" borderId="6" xfId="1" applyNumberFormat="1" applyFont="1" applyBorder="1" applyAlignment="1" applyProtection="1">
      <x:alignment horizontal="center" vertical="center"/>
      <x:protection locked="0"/>
    </x:xf>
    <x:xf numFmtId="20" fontId="15" fillId="9" borderId="6" xfId="1" applyNumberFormat="1" applyFont="1" applyFill="1" applyBorder="1" applyAlignment="1" applyProtection="1">
      <x:alignment horizontal="center" vertical="center"/>
      <x:protection locked="0"/>
    </x:xf>
    <x:xf numFmtId="0" fontId="15" fillId="9" borderId="6" xfId="1" applyNumberFormat="1" applyFont="1" applyFill="1" applyBorder="1" applyAlignment="1" applyProtection="1">
      <x:alignment horizontal="center" vertical="center"/>
      <x:protection locked="0"/>
    </x:xf>
    <x:xf numFmtId="0" fontId="15" fillId="9" borderId="6" xfId="1" applyFont="1" applyFill="1" applyBorder="1" applyAlignment="1" applyProtection="1">
      <x:alignment horizontal="center" vertical="center"/>
      <x:protection locked="0"/>
    </x:xf>
    <x:xf numFmtId="1" fontId="15" fillId="9" borderId="6" xfId="1" applyNumberFormat="1" applyFont="1" applyFill="1" applyBorder="1" applyAlignment="1" applyProtection="1">
      <x:alignment horizontal="center" vertical="center"/>
      <x:protection locked="0"/>
    </x:xf>
    <x:xf numFmtId="0" fontId="8" fillId="12" borderId="14" xfId="1" applyFont="1" applyFill="1" applyBorder="1" applyAlignment="1" applyProtection="1">
      <x:alignment horizontal="center" vertical="center"/>
      <x:protection locked="0"/>
    </x:xf>
    <x:xf numFmtId="0" fontId="7" fillId="13" borderId="15" xfId="0" applyNumberFormat="1" applyFont="1" applyFill="1" applyBorder="1" applyAlignment="1" applyProtection="1">
      <x:alignment horizontal="center" vertical="center"/>
      <x:protection locked="0"/>
    </x:xf>
    <x:xf numFmtId="0" fontId="8" fillId="12" borderId="42" xfId="1" applyFont="1" applyFill="1" applyBorder="1" applyAlignment="1" applyProtection="1">
      <x:alignment horizontal="center" vertical="center"/>
      <x:protection locked="0"/>
    </x:xf>
    <x:xf numFmtId="0" fontId="7" fillId="13" borderId="44" xfId="0" applyNumberFormat="1" applyFont="1" applyFill="1" applyBorder="1" applyAlignment="1" applyProtection="1">
      <x:alignment horizontal="center" vertical="center"/>
      <x:protection locked="0"/>
    </x:xf>
    <x:xf numFmtId="0" fontId="19" fillId="0" borderId="0" xfId="1" applyFont="1" applyAlignment="1" applyProtection="1">
      <x:alignment horizontal="center" vertical="center"/>
      <x:protection locked="0"/>
    </x:xf>
    <x:xf numFmtId="0" fontId="15" fillId="0" borderId="20" xfId="1" applyFont="1" applyBorder="1" applyAlignment="1" applyProtection="1">
      <x:alignment horizontal="center" vertical="center"/>
      <x:protection locked="0"/>
    </x:xf>
    <x:xf numFmtId="0" fontId="15" fillId="2" borderId="8" xfId="1" applyFont="1" applyFill="1" applyBorder="1" applyAlignment="1" applyProtection="1">
      <x:alignment horizontal="center" vertical="center"/>
      <x:protection locked="0"/>
    </x:xf>
    <x:xf numFmtId="2" fontId="16" fillId="4" borderId="36" xfId="3" applyNumberFormat="1" applyFont="1" applyFill="1" applyBorder="1" applyAlignment="1" applyProtection="1">
      <x:alignment horizontal="center" vertical="center"/>
      <x:protection locked="0"/>
    </x:xf>
    <x:xf numFmtId="0" fontId="15" fillId="0" borderId="36" xfId="1" applyFont="1" applyFill="1" applyBorder="1" applyAlignment="1" applyProtection="1">
      <x:alignment horizontal="center" vertical="center"/>
      <x:protection locked="0"/>
    </x:xf>
    <x:xf numFmtId="0" fontId="15" fillId="0" borderId="36" xfId="1" applyFont="1" applyBorder="1" applyAlignment="1" applyProtection="1">
      <x:alignment horizontal="center" vertical="center"/>
      <x:protection locked="0"/>
    </x:xf>
    <x:xf numFmtId="0" fontId="15" fillId="0" borderId="36" xfId="10" applyNumberFormat="1" applyFont="1" applyBorder="1" applyAlignment="1" applyProtection="1">
      <x:alignment horizontal="center" vertical="center"/>
      <x:protection locked="0"/>
    </x:xf>
    <x:xf numFmtId="0" fontId="15" fillId="2" borderId="36" xfId="1" applyFont="1" applyFill="1" applyBorder="1" applyAlignment="1" applyProtection="1">
      <x:alignment horizontal="center" vertical="center"/>
      <x:protection locked="0"/>
    </x:xf>
    <x:xf numFmtId="164" fontId="15" fillId="0" borderId="36" xfId="1" quotePrefix="1" applyNumberFormat="1" applyFont="1" applyBorder="1" applyAlignment="1" applyProtection="1">
      <x:alignment horizontal="center" vertical="center"/>
      <x:protection locked="0"/>
    </x:xf>
    <x:xf numFmtId="164" fontId="15" fillId="0" borderId="36" xfId="1" applyNumberFormat="1" applyFont="1" applyBorder="1" applyAlignment="1" applyProtection="1">
      <x:alignment horizontal="center" vertical="center"/>
      <x:protection locked="0"/>
    </x:xf>
    <x:xf numFmtId="2" fontId="15" fillId="0" borderId="39" xfId="1" applyNumberFormat="1" applyFont="1" applyBorder="1" applyAlignment="1" applyProtection="1">
      <x:alignment horizontal="center" vertical="center"/>
      <x:protection locked="0"/>
    </x:xf>
    <x:xf numFmtId="1" fontId="15" fillId="5" borderId="15" xfId="1" applyNumberFormat="1" applyFont="1" applyFill="1" applyBorder="1" applyAlignment="1" applyProtection="1">
      <x:alignment horizontal="center" vertical="center"/>
      <x:protection locked="0"/>
    </x:xf>
    <x:xf numFmtId="2" fontId="15" fillId="0" borderId="11" xfId="1" applyNumberFormat="1" applyFont="1" applyBorder="1" applyAlignment="1" applyProtection="1">
      <x:alignment horizontal="center" vertical="center"/>
      <x:protection locked="0"/>
    </x:xf>
    <x:xf numFmtId="20" fontId="15" fillId="9" borderId="11" xfId="1" applyNumberFormat="1" applyFont="1" applyFill="1" applyBorder="1" applyAlignment="1" applyProtection="1">
      <x:alignment horizontal="center" vertical="center"/>
      <x:protection locked="0"/>
    </x:xf>
    <x:xf numFmtId="0" fontId="15" fillId="9" borderId="11" xfId="1" applyNumberFormat="1" applyFont="1" applyFill="1" applyBorder="1" applyAlignment="1" applyProtection="1">
      <x:alignment horizontal="center" vertical="center"/>
      <x:protection locked="0"/>
    </x:xf>
    <x:xf numFmtId="0" fontId="15" fillId="9" borderId="11" xfId="1" applyFont="1" applyFill="1" applyBorder="1" applyAlignment="1" applyProtection="1">
      <x:alignment horizontal="center" vertical="center"/>
      <x:protection locked="0"/>
    </x:xf>
    <x:xf numFmtId="1" fontId="15" fillId="9" borderId="11" xfId="1" applyNumberFormat="1" applyFont="1" applyFill="1" applyBorder="1" applyAlignment="1" applyProtection="1">
      <x:alignment horizontal="center" vertical="center"/>
      <x:protection locked="0"/>
    </x:xf>
    <x:xf numFmtId="0" fontId="14" fillId="0" borderId="29" xfId="1" applyFont="1" applyBorder="1" applyAlignment="1" applyProtection="1">
      <x:alignment horizontal="center" vertical="center"/>
      <x:protection locked="0"/>
    </x:xf>
    <x:xf numFmtId="0" fontId="14" fillId="6" borderId="29" xfId="1" applyFont="1" applyFill="1" applyBorder="1" applyAlignment="1" applyProtection="1">
      <x:alignment horizontal="center" vertical="center"/>
      <x:protection locked="0"/>
    </x:xf>
    <x:xf numFmtId="0" fontId="15" fillId="0" borderId="0" xfId="1" applyFont="1" applyBorder="1" applyAlignment="1" applyProtection="1">
      <x:alignment horizontal="center" vertical="center"/>
      <x:protection locked="0"/>
    </x:xf>
    <x:xf numFmtId="0" fontId="15" fillId="0" borderId="7" xfId="1" applyFont="1" applyBorder="1" applyAlignment="1" applyProtection="1">
      <x:alignment horizontal="center" vertical="center"/>
      <x:protection locked="0"/>
    </x:xf>
    <x:xf numFmtId="0" fontId="15" fillId="0" borderId="0" xfId="1" applyFont="1" applyAlignment="1" applyProtection="1">
      <x:alignment horizontal="center" vertical="center"/>
      <x:protection locked="0"/>
    </x:xf>
    <x:xf numFmtId="2" fontId="15" fillId="0" borderId="0" xfId="1" applyNumberFormat="1" applyFont="1" applyFill="1" applyBorder="1" applyAlignment="1" applyProtection="1">
      <x:alignment horizontal="center" vertical="center"/>
      <x:protection locked="0"/>
    </x:xf>
    <x:xf numFmtId="0" fontId="15" fillId="0" borderId="0" xfId="0" applyFont="1" applyFill="1" applyBorder="1" applyAlignment="1" applyProtection="1">
      <x:alignment horizontal="center" vertical="center"/>
      <x:protection locked="0"/>
    </x:xf>
    <x:xf numFmtId="1" fontId="15" fillId="0" borderId="0" xfId="1" applyNumberFormat="1" applyFont="1" applyFill="1" applyBorder="1" applyAlignment="1" applyProtection="1">
      <x:alignment horizontal="center" vertical="center"/>
      <x:protection locked="0"/>
    </x:xf>
    <x:xf numFmtId="20" fontId="15" fillId="0" borderId="0" xfId="1" applyNumberFormat="1" applyFont="1" applyFill="1" applyBorder="1" applyAlignment="1" applyProtection="1">
      <x:alignment horizontal="center" vertical="center"/>
      <x:protection locked="0"/>
    </x:xf>
    <x:xf numFmtId="0" fontId="15" fillId="0" borderId="0" xfId="1" applyNumberFormat="1" applyFont="1" applyFill="1" applyBorder="1" applyAlignment="1" applyProtection="1">
      <x:alignment horizontal="center" vertical="center"/>
      <x:protection locked="0"/>
    </x:xf>
    <x:xf numFmtId="0" fontId="15" fillId="0" borderId="0" xfId="1" applyFont="1" applyFill="1" applyBorder="1" applyAlignment="1" applyProtection="1">
      <x:alignment horizontal="center" vertical="center"/>
      <x:protection locked="0"/>
    </x:xf>
    <x:xf numFmtId="0" fontId="15" fillId="0" borderId="0" xfId="1" applyFont="1" applyFill="1" applyAlignment="1" applyProtection="1">
      <x:alignment horizontal="center" vertical="center"/>
      <x:protection locked="0"/>
    </x:xf>
    <x:xf numFmtId="0" fontId="15" fillId="0" borderId="0" xfId="0" applyNumberFormat="1" applyFont="1" applyFill="1" applyAlignment="1" applyProtection="1">
      <x:alignment horizontal="center" vertical="center"/>
      <x:protection locked="0"/>
    </x:xf>
    <x:xf numFmtId="0" fontId="15" fillId="0" borderId="0" xfId="0" applyFont="1" applyFill="1" applyAlignment="1" applyProtection="1">
      <x:alignment horizontal="center" vertical="center"/>
      <x:protection locked="0"/>
    </x:xf>
    <x:xf numFmtId="0" fontId="18" fillId="0" borderId="0" xfId="0" applyFont="1" applyProtection="1">
      <x:protection locked="0"/>
    </x:xf>
    <x:xf numFmtId="0" fontId="9" fillId="0" borderId="0" xfId="2" applyFont="1" applyBorder="1" applyAlignment="1" applyProtection="1">
      <x:alignment horizontal="center" vertical="center"/>
      <x:protection locked="0"/>
    </x:xf>
    <x:xf numFmtId="0" fontId="7" fillId="0" borderId="0" xfId="0" applyFont="1" applyFill="1" applyAlignment="1" applyProtection="1">
      <x:alignment horizontal="center" vertical="center"/>
      <x:protection locked="0"/>
    </x:xf>
    <x:xf numFmtId="1" fontId="7" fillId="0" borderId="0" xfId="1" applyNumberFormat="1" applyFont="1" applyAlignment="1" applyProtection="1">
      <x:alignment horizontal="center" vertical="center"/>
      <x:protection locked="0"/>
    </x:xf>
    <x:xf numFmtId="2" fontId="15" fillId="0" borderId="19" xfId="1" applyNumberFormat="1" applyFont="1" applyBorder="1" applyAlignment="1" applyProtection="1">
      <x:alignment horizontal="center" vertical="center"/>
    </x:xf>
    <x:xf numFmtId="2" fontId="15" fillId="0" borderId="13" xfId="1" applyNumberFormat="1" applyFont="1" applyBorder="1" applyAlignment="1" applyProtection="1">
      <x:alignment horizontal="center" vertical="center"/>
    </x:xf>
    <x:xf numFmtId="2" fontId="15" fillId="0" borderId="18" xfId="1" applyNumberFormat="1" applyFont="1" applyBorder="1" applyAlignment="1" applyProtection="1">
      <x:alignment horizontal="center" vertical="center"/>
    </x:xf>
    <x:xf numFmtId="2" fontId="15" fillId="0" borderId="6" xfId="1" applyNumberFormat="1" applyFont="1" applyBorder="1" applyAlignment="1" applyProtection="1">
      <x:alignment horizontal="center" vertical="center"/>
    </x:xf>
    <x:xf numFmtId="2" fontId="15" fillId="0" borderId="14" xfId="1" applyNumberFormat="1" applyFont="1" applyBorder="1" applyAlignment="1" applyProtection="1">
      <x:alignment horizontal="center" vertical="center"/>
    </x:xf>
    <x:xf numFmtId="2" fontId="15" fillId="0" borderId="11" xfId="1" applyNumberFormat="1" applyFont="1" applyBorder="1" applyAlignment="1" applyProtection="1">
      <x:alignment horizontal="center" vertical="center"/>
    </x:xf>
    <x:xf numFmtId="1" fontId="15" fillId="0" borderId="13" xfId="1" applyNumberFormat="1" applyFont="1" applyBorder="1" applyAlignment="1" applyProtection="1">
      <x:alignment horizontal="center" vertical="center"/>
    </x:xf>
    <x:xf numFmtId="2" fontId="15" fillId="0" borderId="16" xfId="1" applyNumberFormat="1" applyFont="1" applyBorder="1" applyAlignment="1" applyProtection="1">
      <x:alignment horizontal="center" vertical="center"/>
    </x:xf>
    <x:xf numFmtId="20" fontId="15" fillId="0" borderId="13" xfId="1" applyNumberFormat="1" applyFont="1" applyBorder="1" applyAlignment="1" applyProtection="1">
      <x:alignment horizontal="center" vertical="center"/>
    </x:xf>
    <x:xf numFmtId="1" fontId="15" fillId="0" borderId="6" xfId="1" applyNumberFormat="1" applyFont="1" applyBorder="1" applyAlignment="1" applyProtection="1">
      <x:alignment horizontal="center" vertical="center"/>
    </x:xf>
    <x:xf numFmtId="2" fontId="15" fillId="0" borderId="10" xfId="1" applyNumberFormat="1" applyFont="1" applyBorder="1" applyAlignment="1" applyProtection="1">
      <x:alignment horizontal="center" vertical="center"/>
    </x:xf>
    <x:xf numFmtId="20" fontId="15" fillId="0" borderId="6" xfId="1" applyNumberFormat="1" applyFont="1" applyBorder="1" applyAlignment="1" applyProtection="1">
      <x:alignment horizontal="center" vertical="center"/>
    </x:xf>
    <x:xf numFmtId="1" fontId="15" fillId="0" borderId="11" xfId="1" applyNumberFormat="1" applyFont="1" applyBorder="1" applyAlignment="1" applyProtection="1">
      <x:alignment horizontal="center" vertical="center"/>
    </x:xf>
    <x:xf numFmtId="2" fontId="15" fillId="0" borderId="34" xfId="1" applyNumberFormat="1" applyFont="1" applyBorder="1" applyAlignment="1" applyProtection="1">
      <x:alignment horizontal="center" vertical="center"/>
    </x:xf>
    <x:xf numFmtId="20" fontId="15" fillId="0" borderId="11" xfId="1" applyNumberFormat="1" applyFont="1" applyBorder="1" applyAlignment="1" applyProtection="1">
      <x:alignment horizontal="center" vertical="center"/>
    </x:xf>
    <x:xf numFmtId="0" fontId="15" fillId="0" borderId="13" xfId="1" applyNumberFormat="1" applyFont="1" applyFill="1" applyBorder="1" applyAlignment="1" applyProtection="1">
      <x:alignment horizontal="center" vertical="center"/>
    </x:xf>
    <x:xf numFmtId="0" fontId="15" fillId="0" borderId="35" xfId="1" applyNumberFormat="1" applyFont="1" applyFill="1" applyBorder="1" applyAlignment="1" applyProtection="1">
      <x:alignment horizontal="center" vertical="center"/>
    </x:xf>
    <x:xf numFmtId="0" fontId="15" fillId="0" borderId="13" xfId="1" applyFont="1" applyBorder="1" applyAlignment="1" applyProtection="1">
      <x:alignment horizontal="center" vertical="center"/>
    </x:xf>
    <x:xf numFmtId="0" fontId="15" fillId="0" borderId="6" xfId="1" applyFont="1" applyBorder="1" applyAlignment="1" applyProtection="1">
      <x:alignment horizontal="center" vertical="center"/>
    </x:xf>
    <x:xf numFmtId="0" fontId="15" fillId="0" borderId="11" xfId="1" applyFont="1" applyBorder="1" applyAlignment="1" applyProtection="1">
      <x:alignment horizontal="center" vertical="center"/>
    </x:xf>
    <x:xf numFmtId="2" fontId="15" fillId="0" borderId="6" xfId="1" applyNumberFormat="1" applyFont="1" applyFill="1" applyBorder="1" applyAlignment="1" applyProtection="1">
      <x:alignment horizontal="center" vertical="center"/>
    </x:xf>
    <x:xf numFmtId="2" fontId="15" fillId="0" borderId="13" xfId="1" applyNumberFormat="1" applyFont="1" applyFill="1" applyBorder="1" applyAlignment="1" applyProtection="1">
      <x:alignment horizontal="center" vertical="center"/>
    </x:xf>
    <x:xf numFmtId="2" fontId="15" fillId="0" borderId="35" xfId="1" applyNumberFormat="1" applyFont="1" applyFill="1" applyBorder="1" applyAlignment="1" applyProtection="1">
      <x:alignment horizontal="center" vertical="center"/>
    </x:xf>
    <x:xf numFmtId="1" fontId="15" fillId="0" borderId="13" xfId="1" applyNumberFormat="1" applyFont="1" applyFill="1" applyBorder="1" applyAlignment="1" applyProtection="1">
      <x:alignment horizontal="center" vertical="center"/>
    </x:xf>
    <x:xf numFmtId="1" fontId="15" fillId="0" borderId="6" xfId="1" applyNumberFormat="1" applyFont="1" applyFill="1" applyBorder="1" applyAlignment="1" applyProtection="1">
      <x:alignment horizontal="center" vertical="center"/>
    </x:xf>
    <x:xf numFmtId="1" fontId="15" fillId="0" borderId="11" xfId="1" applyNumberFormat="1" applyFont="1" applyFill="1" applyBorder="1" applyAlignment="1" applyProtection="1">
      <x:alignment horizontal="center" vertical="center"/>
    </x:xf>
    <x:xf numFmtId="19" fontId="7" fillId="0" borderId="0" xfId="1" applyNumberFormat="1" applyFont="1" applyAlignment="1" applyProtection="1">
      <x:alignment horizontal="center" vertical="center"/>
      <x:protection locked="0"/>
    </x:xf>
    <x:xf numFmtId="20" fontId="7" fillId="0" borderId="0" xfId="1" applyNumberFormat="1" applyFont="1" applyAlignment="1" applyProtection="1">
      <x:alignment horizontal="center" vertical="center"/>
      <x:protection locked="0"/>
    </x:xf>
    <x:xf numFmtId="2" fontId="0" fillId="0" borderId="0" xfId="0" applyNumberFormat="1"/>
    <x:xf numFmtId="0" fontId="5" fillId="0" borderId="0" xfId="0" applyFont="1"/>
    <x:xf numFmtId="0" fontId="5" fillId="5" borderId="0" xfId="0" applyFont="1" applyFill="1"/>
    <x:xf numFmtId="2" fontId="6" fillId="0" borderId="0" xfId="0" applyNumberFormat="1" applyFont="1" applyAlignment="1">
      <x:alignment vertical="center"/>
    </x:xf>
    <x:xf numFmtId="1" fontId="6" fillId="0" borderId="0" xfId="0" applyNumberFormat="1" applyFont="1" applyAlignment="1">
      <x:alignment vertical="center"/>
    </x:xf>
    <x:xf numFmtId="0" fontId="6" fillId="0" borderId="0" xfId="0" applyFont="1" applyAlignment="1">
      <x:alignment vertical="center"/>
    </x:xf>
    <x:xf numFmtId="20" fontId="0" fillId="0" borderId="0" xfId="0" applyNumberFormat="1"/>
    <x:xf numFmtId="1" fontId="0" fillId="0" borderId="0" xfId="0" applyNumberFormat="1"/>
    <x:xf numFmtId="20" fontId="6" fillId="0" borderId="0" xfId="0" applyNumberFormat="1" applyFont="1" applyAlignment="1">
      <x:alignment vertical="center"/>
    </x:xf>
    <x:xf numFmtId="0" fontId="12" fillId="3" borderId="48" xfId="1" applyFont="1" applyFill="1" applyBorder="1" applyAlignment="1" applyProtection="1">
      <x:alignment horizontal="center" vertical="center"/>
    </x:xf>
    <x:xf numFmtId="0" fontId="12" fillId="3" borderId="48" xfId="1" applyFont="1" applyFill="1" applyBorder="1" applyAlignment="1" applyProtection="1">
      <x:alignment horizontal="center" vertical="center" wrapText="1"/>
    </x:xf>
    <x:xf numFmtId="1" fontId="15" fillId="9" borderId="13" xfId="0" applyNumberFormat="1" applyFont="1" applyFill="1" applyBorder="1" applyAlignment="1" applyProtection="1">
      <x:alignment horizontal="center" vertical="center"/>
    </x:xf>
    <x:xf numFmtId="1" fontId="15" fillId="9" borderId="16" xfId="1" applyNumberFormat="1" applyFont="1" applyFill="1" applyBorder="1" applyAlignment="1" applyProtection="1">
      <x:alignment horizontal="center" vertical="center"/>
    </x:xf>
    <x:xf numFmtId="1" fontId="15" fillId="9" borderId="10" xfId="1" applyNumberFormat="1" applyFont="1" applyFill="1" applyBorder="1" applyAlignment="1" applyProtection="1">
      <x:alignment horizontal="center" vertical="center"/>
    </x:xf>
    <x:xf numFmtId="1" fontId="15" fillId="9" borderId="34" xfId="1" applyNumberFormat="1" applyFont="1" applyFill="1" applyBorder="1" applyAlignment="1" applyProtection="1">
      <x:alignment horizontal="center" vertical="center"/>
    </x:xf>
    <x:xf numFmtId="0" fontId="15" fillId="0" borderId="22" xfId="1" applyFont="1" applyBorder="1" applyAlignment="1" applyProtection="1">
      <x:alignment vertical="center"/>
    </x:xf>
    <x:xf numFmtId="2" fontId="14" fillId="6" borderId="21" xfId="1" applyNumberFormat="1" applyFont="1" applyFill="1" applyBorder="1" applyAlignment="1" applyProtection="1">
      <x:alignment horizontal="center" vertical="center" wrapText="1"/>
    </x:xf>
    <x:xf numFmtId="2" fontId="14" fillId="0" borderId="21" xfId="1" applyNumberFormat="1" applyFont="1" applyBorder="1" applyAlignment="1" applyProtection="1">
      <x:alignment horizontal="center" vertical="center"/>
    </x:xf>
    <x:xf numFmtId="2" fontId="14" fillId="8" borderId="21" xfId="1" applyNumberFormat="1" applyFont="1" applyFill="1" applyBorder="1" applyAlignment="1" applyProtection="1">
      <x:alignment horizontal="center" vertical="center" wrapText="1"/>
    </x:xf>
    <x:xf numFmtId="2" fontId="14" fillId="0" borderId="21" xfId="1" applyNumberFormat="1" applyFont="1" applyFill="1" applyBorder="1" applyAlignment="1" applyProtection="1">
      <x:alignment horizontal="center" vertical="center"/>
    </x:xf>
    <x:xf numFmtId="1" fontId="14" fillId="0" borderId="21" xfId="1" applyNumberFormat="1" applyFont="1" applyBorder="1" applyAlignment="1" applyProtection="1">
      <x:alignment horizontal="center" vertical="center"/>
    </x:xf>
    <x:xf numFmtId="1" fontId="14" fillId="0" borderId="23" xfId="1" applyNumberFormat="1" applyFont="1" applyBorder="1" applyAlignment="1" applyProtection="1">
      <x:alignment horizontal="center" vertical="center"/>
    </x:xf>
    <x:xf numFmtId="2" fontId="14" fillId="0" borderId="24" xfId="1" applyNumberFormat="1" applyFont="1" applyFill="1" applyBorder="1" applyAlignment="1" applyProtection="1">
      <x:alignment horizontal="center" vertical="center"/>
    </x:xf>
    <x:xf numFmtId="2" fontId="14" fillId="8" borderId="22" xfId="1" applyNumberFormat="1" applyFont="1" applyFill="1" applyBorder="1" applyAlignment="1" applyProtection="1">
      <x:alignment horizontal="center" vertical="center" wrapText="1"/>
    </x:xf>
    <x:xf numFmtId="0" fontId="15" fillId="0" borderId="0" xfId="1" applyFont="1" applyAlignment="1" applyProtection="1">
      <x:alignment horizontal="center" vertical="center"/>
    </x:xf>
    <x:xf numFmtId="2" fontId="14" fillId="6" borderId="21" xfId="0" applyNumberFormat="1" applyFont="1" applyFill="1" applyBorder="1" applyAlignment="1" applyProtection="1">
      <x:alignment horizontal="center" vertical="center" wrapText="1"/>
    </x:xf>
    <x:xf numFmtId="1" fontId="14" fillId="0" borderId="21" xfId="0" applyNumberFormat="1" applyFont="1" applyFill="1" applyBorder="1" applyAlignment="1" applyProtection="1">
      <x:alignment horizontal="center" vertical="center"/>
    </x:xf>
    <x:xf numFmtId="0" fontId="15" fillId="0" borderId="26" xfId="1" applyFont="1" applyBorder="1" applyAlignment="1" applyProtection="1">
      <x:alignment vertical="center"/>
    </x:xf>
    <x:xf numFmtId="2" fontId="14" fillId="6" borderId="25" xfId="1" applyNumberFormat="1" applyFont="1" applyFill="1" applyBorder="1" applyAlignment="1" applyProtection="1">
      <x:alignment horizontal="center" vertical="center" wrapText="1"/>
    </x:xf>
    <x:xf numFmtId="2" fontId="14" fillId="0" borderId="25" xfId="1" applyNumberFormat="1" applyFont="1" applyBorder="1" applyAlignment="1" applyProtection="1">
      <x:alignment horizontal="center" vertical="center"/>
    </x:xf>
    <x:xf numFmtId="2" fontId="14" fillId="8" borderId="25" xfId="1" applyNumberFormat="1" applyFont="1" applyFill="1" applyBorder="1" applyAlignment="1" applyProtection="1">
      <x:alignment horizontal="center" vertical="center" wrapText="1"/>
    </x:xf>
    <x:xf numFmtId="2" fontId="14" fillId="0" borderId="25" xfId="1" applyNumberFormat="1" applyFont="1" applyFill="1" applyBorder="1" applyAlignment="1" applyProtection="1">
      <x:alignment horizontal="center" vertical="center"/>
    </x:xf>
    <x:xf numFmtId="1" fontId="14" fillId="0" borderId="25" xfId="1" applyNumberFormat="1" applyFont="1" applyBorder="1" applyAlignment="1" applyProtection="1">
      <x:alignment horizontal="center" vertical="center"/>
    </x:xf>
    <x:xf numFmtId="1" fontId="14" fillId="0" borderId="27" xfId="1" applyNumberFormat="1" applyFont="1" applyBorder="1" applyAlignment="1" applyProtection="1">
      <x:alignment horizontal="center" vertical="center"/>
    </x:xf>
    <x:xf numFmtId="2" fontId="14" fillId="0" borderId="28" xfId="1" applyNumberFormat="1" applyFont="1" applyFill="1" applyBorder="1" applyAlignment="1" applyProtection="1">
      <x:alignment horizontal="center" vertical="center"/>
    </x:xf>
    <x:xf numFmtId="2" fontId="14" fillId="8" borderId="25" xfId="0" applyNumberFormat="1" applyFont="1" applyFill="1" applyBorder="1" applyAlignment="1" applyProtection="1">
      <x:alignment horizontal="center" vertical="center" wrapText="1"/>
    </x:xf>
    <x:xf numFmtId="1" fontId="14" fillId="0" borderId="25" xfId="0" applyNumberFormat="1" applyFont="1" applyFill="1" applyBorder="1" applyAlignment="1" applyProtection="1">
      <x:alignment horizontal="center" vertical="center"/>
    </x:xf>
    <x:xf numFmtId="0" fontId="14" fillId="6" borderId="29" xfId="0" applyNumberFormat="1" applyFont="1" applyFill="1" applyBorder="1" applyAlignment="1" applyProtection="1">
      <x:alignment vertical="center" wrapText="1"/>
      <x:protection locked="0"/>
    </x:xf>
    <x:xf numFmtId="0" fontId="14" fillId="0" borderId="29" xfId="0" applyNumberFormat="1" applyFont="1" applyFill="1" applyBorder="1" applyAlignment="1" applyProtection="1">
      <x:alignment horizontal="center" vertical="center"/>
      <x:protection locked="0"/>
    </x:xf>
    <x:xf numFmtId="2" fontId="14" fillId="3" borderId="29" xfId="0" applyNumberFormat="1" applyFont="1" applyFill="1" applyBorder="1" applyAlignment="1" applyProtection="1">
      <x:alignment horizontal="center" vertical="center" wrapText="1"/>
      <x:protection locked="0"/>
    </x:xf>
    <x:xf numFmtId="0" fontId="15" fillId="0" borderId="8" xfId="1" applyFont="1" applyBorder="1" applyAlignment="1" applyProtection="1">
      <x:alignment horizontal="center" vertical="center"/>
      <x:protection locked="0"/>
    </x:xf>
    <x:xf numFmtId="0" fontId="15" fillId="0" borderId="36" xfId="1" applyFont="1" applyBorder="1" applyAlignment="1" applyProtection="1">
      <x:alignment horizontal="center" vertical="center"/>
      <x:protection locked="0"/>
    </x:xf>
    <x:xf numFmtId="0" fontId="15" fillId="0" borderId="13" xfId="1" applyFont="1" applyBorder="1" applyAlignment="1" applyProtection="1">
      <x:alignment horizontal="center" vertical="center"/>
      <x:protection locked="0"/>
    </x:xf>
    <x:xf numFmtId="0" fontId="14" fillId="0" borderId="29" xfId="1" applyFont="1" applyBorder="1" applyAlignment="1" applyProtection="1">
      <x:alignment horizontal="center" vertical="center"/>
      <x:protection locked="0"/>
    </x:xf>
    <x:xf numFmtId="0" fontId="12" fillId="3" borderId="29" xfId="2" applyFont="1" applyFill="1" applyBorder="1" applyAlignment="1" applyProtection="1">
      <x:alignment horizontal="center" vertical="center" wrapText="1"/>
      <x:protection locked="0"/>
    </x:xf>
    <x:xf numFmtId="2" fontId="14" fillId="3" borderId="29" xfId="1" applyNumberFormat="1" applyFont="1" applyFill="1" applyBorder="1" applyAlignment="1" applyProtection="1">
      <x:alignment horizontal="center" vertical="center"/>
      <x:protection locked="0"/>
    </x:xf>
    <x:xf numFmtId="2" fontId="14" fillId="3" borderId="29" xfId="1" applyNumberFormat="1" applyFont="1" applyFill="1" applyBorder="1" applyAlignment="1" applyProtection="1">
      <x:alignment horizontal="center" vertical="center" wrapText="1"/>
      <x:protection locked="0"/>
    </x:xf>
    <x:xf numFmtId="0" fontId="15" fillId="0" borderId="6" xfId="1" applyFont="1" applyBorder="1" applyAlignment="1" applyProtection="1">
      <x:alignment horizontal="center" vertical="center"/>
      <x:protection locked="0"/>
    </x:xf>
    <x:xf numFmtId="0" fontId="14" fillId="6" borderId="29" xfId="1" applyFont="1" applyFill="1" applyBorder="1" applyAlignment="1" applyProtection="1">
      <x:alignment horizontal="center" vertical="center" wrapText="1"/>
      <x:protection locked="0"/>
    </x:xf>
    <x:xf numFmtId="164" fontId="14" fillId="0" borderId="29" xfId="1" applyNumberFormat="1" applyFont="1" applyBorder="1" applyAlignment="1" applyProtection="1">
      <x:alignment horizontal="center" vertical="center"/>
      <x:protection locked="0"/>
    </x:xf>
    <x:xf numFmtId="0" fontId="14" fillId="6" borderId="29" xfId="1" applyFont="1" applyFill="1" applyBorder="1" applyAlignment="1" applyProtection="1">
      <x:alignment horizontal="center" vertical="center"/>
      <x:protection locked="0"/>
    </x:xf>
    <x:xf numFmtId="0" fontId="14" fillId="6" borderId="1" xfId="0" applyNumberFormat="1" applyFont="1" applyFill="1" applyBorder="1" applyAlignment="1" applyProtection="1">
      <x:alignment horizontal="center" vertical="center" wrapText="1"/>
      <x:protection locked="0"/>
    </x:xf>
    <x:xf numFmtId="0" fontId="14" fillId="6" borderId="3" xfId="0" applyNumberFormat="1" applyFont="1" applyFill="1" applyBorder="1" applyAlignment="1" applyProtection="1">
      <x:alignment horizontal="center" vertical="center" wrapText="1"/>
      <x:protection locked="0"/>
    </x:xf>
    <x:xf numFmtId="0" fontId="14" fillId="6" borderId="1" xfId="1" applyFont="1" applyFill="1" applyBorder="1" applyAlignment="1" applyProtection="1">
      <x:alignment horizontal="center" vertical="center"/>
      <x:protection locked="0"/>
    </x:xf>
    <x:xf numFmtId="0" fontId="14" fillId="6" borderId="2" xfId="1" applyFont="1" applyFill="1" applyBorder="1" applyAlignment="1" applyProtection="1">
      <x:alignment horizontal="center" vertical="center"/>
      <x:protection locked="0"/>
    </x:xf>
    <x:xf numFmtId="0" fontId="14" fillId="6" borderId="3" xfId="1" applyFont="1" applyFill="1" applyBorder="1" applyAlignment="1" applyProtection="1">
      <x:alignment horizontal="center" vertical="center"/>
      <x:protection locked="0"/>
    </x:xf>
    <x:xf numFmtId="0" fontId="12" fillId="6" borderId="29" xfId="2" applyFont="1" applyFill="1" applyBorder="1" applyAlignment="1" applyProtection="1">
      <x:alignment horizontal="center" vertical="center"/>
      <x:protection locked="0"/>
    </x:xf>
    <x:xf numFmtId="0" fontId="14" fillId="10" borderId="29" xfId="1" applyFont="1" applyFill="1" applyBorder="1" applyAlignment="1" applyProtection="1">
      <x:alignment horizontal="center" vertical="center"/>
      <x:protection locked="0"/>
    </x:xf>
    <x:xf numFmtId="1" fontId="12" fillId="6" borderId="29" xfId="2" applyNumberFormat="1" applyFont="1" applyFill="1" applyBorder="1" applyAlignment="1" applyProtection="1">
      <x:alignment horizontal="center" vertical="center"/>
      <x:protection locked="0"/>
    </x:xf>
    <x:xf numFmtId="2" fontId="14" fillId="0" borderId="29" xfId="1" applyNumberFormat="1" applyFont="1" applyBorder="1" applyAlignment="1" applyProtection="1">
      <x:alignment horizontal="center" vertical="center"/>
      <x:protection locked="0"/>
    </x:xf>
    <x:xf numFmtId="0" fontId="12" fillId="6" borderId="29" xfId="2" applyFont="1" applyFill="1" applyBorder="1" applyAlignment="1" applyProtection="1">
      <x:alignment horizontal="center" vertical="center" wrapText="1"/>
      <x:protection locked="0"/>
    </x:xf>
    <x:xf numFmtId="0" fontId="17" fillId="7" borderId="29" xfId="2" applyFont="1" applyFill="1" applyBorder="1" applyAlignment="1" applyProtection="1">
      <x:alignment horizontal="center" vertical="center"/>
      <x:protection locked="0"/>
    </x:xf>
    <x:xf numFmtId="0" fontId="12" fillId="6" borderId="1" xfId="2" applyFont="1" applyFill="1" applyBorder="1" applyAlignment="1" applyProtection="1">
      <x:alignment horizontal="center" vertical="center" wrapText="1"/>
      <x:protection locked="0"/>
    </x:xf>
    <x:xf numFmtId="0" fontId="12" fillId="6" borderId="2" xfId="2" applyFont="1" applyFill="1" applyBorder="1" applyAlignment="1" applyProtection="1">
      <x:alignment horizontal="center" vertical="center" wrapText="1"/>
      <x:protection locked="0"/>
    </x:xf>
    <x:xf numFmtId="0" fontId="12" fillId="6" borderId="3" xfId="2" applyFont="1" applyFill="1" applyBorder="1" applyAlignment="1" applyProtection="1">
      <x:alignment horizontal="center" vertical="center" wrapText="1"/>
      <x:protection locked="0"/>
    </x:xf>
    <x:xf numFmtId="0" fontId="14" fillId="0" borderId="29" xfId="1" applyFont="1" applyBorder="1" applyAlignment="1" applyProtection="1">
      <x:alignment horizontal="center" vertical="center" wrapText="1"/>
      <x:protection locked="0"/>
    </x:xf>
    <x:xf numFmtId="0" fontId="14" fillId="0" borderId="1" xfId="1" applyFont="1" applyBorder="1" applyAlignment="1" applyProtection="1">
      <x:alignment horizontal="center" vertical="center"/>
      <x:protection locked="0"/>
    </x:xf>
    <x:xf numFmtId="0" fontId="14" fillId="0" borderId="2" xfId="1" applyFont="1" applyBorder="1" applyAlignment="1" applyProtection="1">
      <x:alignment horizontal="center" vertical="center"/>
      <x:protection locked="0"/>
    </x:xf>
    <x:xf numFmtId="0" fontId="14" fillId="0" borderId="3" xfId="1" applyFont="1" applyBorder="1" applyAlignment="1" applyProtection="1">
      <x:alignment horizontal="center" vertical="center"/>
      <x:protection locked="0"/>
    </x:xf>
    <x:xf numFmtId="0" fontId="14" fillId="6" borderId="41" xfId="1" applyFont="1" applyFill="1" applyBorder="1" applyAlignment="1" applyProtection="1">
      <x:alignment horizontal="center" vertical="center"/>
    </x:xf>
    <x:xf numFmtId="0" fontId="14" fillId="6" borderId="40" xfId="1" applyFont="1" applyFill="1" applyBorder="1" applyAlignment="1" applyProtection="1">
      <x:alignment horizontal="center" vertical="center"/>
    </x:xf>
    <x:xf numFmtId="0" fontId="14" fillId="6" borderId="42" xfId="1" applyFont="1" applyFill="1" applyBorder="1" applyAlignment="1" applyProtection="1">
      <x:alignment horizontal="center" vertical="center"/>
    </x:xf>
    <x:xf numFmtId="0" fontId="14" fillId="6" borderId="47" xfId="1" applyFont="1" applyFill="1" applyBorder="1" applyAlignment="1" applyProtection="1">
      <x:alignment horizontal="center" vertical="center"/>
    </x:xf>
    <x:xf numFmtId="0" fontId="14" fillId="4" borderId="31" xfId="1" applyFont="1" applyFill="1" applyBorder="1" applyAlignment="1" applyProtection="1">
      <x:alignment horizontal="center" vertical="center"/>
    </x:xf>
    <x:xf numFmtId="0" fontId="14" fillId="4" borderId="23" xfId="1" applyFont="1" applyFill="1" applyBorder="1" applyAlignment="1" applyProtection="1">
      <x:alignment horizontal="center" vertical="center"/>
    </x:xf>
    <x:xf numFmtId="0" fontId="14" fillId="4" borderId="33" xfId="1" applyFont="1" applyFill="1" applyBorder="1" applyAlignment="1" applyProtection="1">
      <x:alignment horizontal="center" vertical="center"/>
    </x:xf>
    <x:xf numFmtId="0" fontId="14" fillId="4" borderId="27" xfId="1" applyFont="1" applyFill="1" applyBorder="1" applyAlignment="1" applyProtection="1">
      <x:alignment horizontal="center" vertical="center"/>
    </x:xf>
    <x:xf numFmtId="0" fontId="14" fillId="8" borderId="41" xfId="1" applyFont="1" applyFill="1" applyBorder="1" applyAlignment="1" applyProtection="1">
      <x:alignment horizontal="center" vertical="center"/>
    </x:xf>
    <x:xf numFmtId="0" fontId="14" fillId="8" borderId="40" xfId="1" applyFont="1" applyFill="1" applyBorder="1" applyAlignment="1" applyProtection="1">
      <x:alignment horizontal="center" vertical="center"/>
    </x:xf>
    <x:xf numFmtId="0" fontId="14" fillId="8" borderId="42" xfId="1" applyFont="1" applyFill="1" applyBorder="1" applyAlignment="1" applyProtection="1">
      <x:alignment horizontal="center" vertical="center"/>
    </x:xf>
    <x:xf numFmtId="0" fontId="14" fillId="8" borderId="47" xfId="1" applyFont="1" applyFill="1" applyBorder="1" applyAlignment="1" applyProtection="1">
      <x:alignment horizontal="center" vertical="center"/>
    </x:xf>
    <x:xf numFmtId="0" fontId="14" fillId="0" borderId="29" xfId="1" applyFont="1" applyFill="1" applyBorder="1" applyAlignment="1" applyProtection="1">
      <x:alignment horizontal="center" vertical="center" wrapText="1"/>
      <x:protection locked="0"/>
    </x:xf>
    <x:xf numFmtId="0" fontId="14" fillId="10" borderId="29" xfId="1" applyFont="1" applyFill="1" applyBorder="1" applyAlignment="1" applyProtection="1">
      <x:alignment horizontal="center" vertical="center" wrapText="1"/>
      <x:protection locked="0"/>
    </x:xf>
    <x:xf numFmtId="0" fontId="14" fillId="10" borderId="1" xfId="1" applyFont="1" applyFill="1" applyBorder="1" applyAlignment="1" applyProtection="1">
      <x:alignment horizontal="center" vertical="center"/>
      <x:protection locked="0"/>
    </x:xf>
    <x:xf numFmtId="0" fontId="14" fillId="10" borderId="2" xfId="1" applyFont="1" applyFill="1" applyBorder="1" applyAlignment="1" applyProtection="1">
      <x:alignment horizontal="center" vertical="center"/>
      <x:protection locked="0"/>
    </x:xf>
    <x:xf numFmtId="0" fontId="14" fillId="10" borderId="3" xfId="1" applyFont="1" applyFill="1" applyBorder="1" applyAlignment="1" applyProtection="1">
      <x:alignment horizontal="center" vertical="center"/>
      <x:protection locked="0"/>
    </x:xf>
    <x:xf numFmtId="1" fontId="14" fillId="0" borderId="22" xfId="1" applyNumberFormat="1" applyFont="1" applyBorder="1" applyAlignment="1" applyProtection="1">
      <x:alignment horizontal="center" vertical="center"/>
    </x:xf>
    <x:xf numFmtId="1" fontId="14" fillId="0" borderId="26" xfId="1" applyNumberFormat="1" applyFont="1" applyBorder="1" applyAlignment="1" applyProtection="1">
      <x:alignment horizontal="center" vertical="center"/>
    </x:xf>
    <x:xf numFmtId="0" fontId="10" fillId="11" borderId="41" xfId="2" applyFont="1" applyFill="1" applyBorder="1" applyAlignment="1" applyProtection="1">
      <x:alignment horizontal="center" vertical="center" wrapText="1"/>
      <x:protection locked="0"/>
    </x:xf>
    <x:xf numFmtId="0" fontId="10" fillId="11" borderId="40" xfId="2" applyFont="1" applyFill="1" applyBorder="1" applyAlignment="1" applyProtection="1">
      <x:alignment horizontal="center" vertical="center"/>
      <x:protection locked="0"/>
    </x:xf>
    <x:xf numFmtId="1" fontId="14" fillId="6" borderId="22" xfId="1" applyNumberFormat="1" applyFont="1" applyFill="1" applyBorder="1" applyAlignment="1" applyProtection="1">
      <x:alignment horizontal="center" vertical="center"/>
    </x:xf>
    <x:xf numFmtId="1" fontId="14" fillId="6" borderId="26" xfId="1" applyNumberFormat="1" applyFont="1" applyFill="1" applyBorder="1" applyAlignment="1" applyProtection="1">
      <x:alignment horizontal="center" vertical="center"/>
    </x:xf>
    <x:xf numFmtId="2" fontId="14" fillId="8" borderId="22" xfId="1" applyNumberFormat="1" applyFont="1" applyFill="1" applyBorder="1" applyAlignment="1" applyProtection="1">
      <x:alignment horizontal="center" vertical="center" wrapText="1"/>
    </x:xf>
    <x:xf numFmtId="2" fontId="14" fillId="8" borderId="26" xfId="1" applyNumberFormat="1" applyFont="1" applyFill="1" applyBorder="1" applyAlignment="1" applyProtection="1">
      <x:alignment horizontal="center" vertical="center" wrapText="1"/>
    </x:xf>
    <x:xf numFmtId="0" fontId="15" fillId="0" borderId="11" xfId="1" applyFont="1" applyBorder="1" applyAlignment="1" applyProtection="1">
      <x:alignment horizontal="center" vertical="center"/>
      <x:protection locked="0"/>
    </x:xf>
    <x:xf numFmtId="1" fontId="14" fillId="6" borderId="22" xfId="1" applyNumberFormat="1" applyFont="1" applyFill="1" applyBorder="1" applyAlignment="1" applyProtection="1">
      <x:alignment horizontal="center" vertical="center" wrapText="1"/>
    </x:xf>
    <x:xf numFmtId="1" fontId="14" fillId="6" borderId="26" xfId="1" applyNumberFormat="1" applyFont="1" applyFill="1" applyBorder="1" applyAlignment="1" applyProtection="1">
      <x:alignment horizontal="center" vertical="center" wrapText="1"/>
    </x:xf>
    <x:xf numFmtId="1" fontId="14" fillId="0" borderId="22" xfId="1" applyNumberFormat="1" applyFont="1" applyFill="1" applyBorder="1" applyAlignment="1" applyProtection="1">
      <x:alignment horizontal="center" vertical="center"/>
    </x:xf>
    <x:xf numFmtId="1" fontId="14" fillId="0" borderId="26" xfId="1" applyNumberFormat="1" applyFont="1" applyFill="1" applyBorder="1" applyAlignment="1" applyProtection="1">
      <x:alignment horizontal="center" vertical="center"/>
    </x:xf>
    <x:xf numFmtId="0" fontId="14" fillId="8" borderId="30" xfId="1" applyFont="1" applyFill="1" applyBorder="1" applyAlignment="1" applyProtection="1">
      <x:alignment horizontal="center" vertical="center"/>
    </x:xf>
    <x:xf numFmtId="0" fontId="14" fillId="8" borderId="31" xfId="1" applyFont="1" applyFill="1" applyBorder="1" applyAlignment="1" applyProtection="1">
      <x:alignment horizontal="center" vertical="center"/>
    </x:xf>
    <x:xf numFmtId="0" fontId="14" fillId="8" borderId="32" xfId="1" applyFont="1" applyFill="1" applyBorder="1" applyAlignment="1" applyProtection="1">
      <x:alignment horizontal="center" vertical="center"/>
    </x:xf>
    <x:xf numFmtId="0" fontId="14" fillId="8" borderId="33" xfId="1" applyFont="1" applyFill="1" applyBorder="1" applyAlignment="1" applyProtection="1">
      <x:alignment horizontal="center" vertical="center"/>
    </x:xf>
    <x:xf numFmtId="0" fontId="12" fillId="3" borderId="8" xfId="1" applyFont="1" applyFill="1" applyBorder="1" applyAlignment="1" applyProtection="1">
      <x:alignment horizontal="center" vertical="center" wrapText="1"/>
    </x:xf>
    <x:xf numFmtId="0" fontId="12" fillId="3" borderId="13" xfId="1" applyFont="1" applyFill="1" applyBorder="1" applyAlignment="1" applyProtection="1">
      <x:alignment horizontal="center" vertical="center" wrapText="1"/>
    </x:xf>
    <x:xf numFmtId="2" fontId="21" fillId="0" borderId="41" xfId="1" applyNumberFormat="1" applyFont="1" applyBorder="1" applyAlignment="1" applyProtection="1">
      <x:alignment horizontal="center" vertical="center" wrapText="1"/>
    </x:xf>
    <x:xf numFmtId="2" fontId="21" fillId="0" borderId="46" xfId="1" applyNumberFormat="1" applyFont="1" applyBorder="1" applyAlignment="1" applyProtection="1">
      <x:alignment horizontal="center" vertical="center" wrapText="1"/>
    </x:xf>
    <x:xf numFmtId="2" fontId="21" fillId="0" borderId="40" xfId="1" applyNumberFormat="1" applyFont="1" applyBorder="1" applyAlignment="1" applyProtection="1">
      <x:alignment horizontal="center" vertical="center" wrapText="1"/>
    </x:xf>
    <x:xf numFmtId="2" fontId="21" fillId="0" borderId="42" xfId="1" applyNumberFormat="1" applyFont="1" applyBorder="1" applyAlignment="1" applyProtection="1">
      <x:alignment horizontal="center" vertical="center" wrapText="1"/>
    </x:xf>
    <x:xf numFmtId="2" fontId="21" fillId="0" borderId="4" xfId="1" applyNumberFormat="1" applyFont="1" applyBorder="1" applyAlignment="1" applyProtection="1">
      <x:alignment horizontal="center" vertical="center" wrapText="1"/>
    </x:xf>
    <x:xf numFmtId="2" fontId="21" fillId="0" borderId="47" xfId="1" applyNumberFormat="1" applyFont="1" applyBorder="1" applyAlignment="1" applyProtection="1">
      <x:alignment horizontal="center" vertical="center" wrapText="1"/>
    </x:xf>
    <x:xf numFmtId="2" fontId="20" fillId="0" borderId="41" xfId="1" applyNumberFormat="1" applyFont="1" applyBorder="1" applyAlignment="1" applyProtection="1">
      <x:alignment horizontal="center" vertical="center" wrapText="1"/>
    </x:xf>
    <x:xf numFmtId="2" fontId="20" fillId="0" borderId="40" xfId="1" applyNumberFormat="1" applyFont="1" applyBorder="1" applyAlignment="1" applyProtection="1">
      <x:alignment horizontal="center" vertical="center" wrapText="1"/>
    </x:xf>
    <x:xf numFmtId="2" fontId="20" fillId="0" borderId="42" xfId="1" applyNumberFormat="1" applyFont="1" applyBorder="1" applyAlignment="1" applyProtection="1">
      <x:alignment horizontal="center" vertical="center" wrapText="1"/>
    </x:xf>
    <x:xf numFmtId="2" fontId="20" fillId="0" borderId="47" xfId="1" applyNumberFormat="1" applyFont="1" applyBorder="1" applyAlignment="1" applyProtection="1">
      <x:alignment horizontal="center" vertical="center" wrapText="1"/>
    </x:xf>
    <x:xf numFmtId="2" fontId="14" fillId="0" borderId="41" xfId="1" applyNumberFormat="1" applyFont="1" applyBorder="1" applyAlignment="1" applyProtection="1">
      <x:alignment horizontal="center" vertical="center" wrapText="1"/>
      <x:protection locked="0"/>
    </x:xf>
    <x:xf numFmtId="2" fontId="14" fillId="0" borderId="40" xfId="1" applyNumberFormat="1" applyFont="1" applyBorder="1" applyAlignment="1" applyProtection="1">
      <x:alignment horizontal="center" vertical="center" wrapText="1"/>
      <x:protection locked="0"/>
    </x:xf>
    <x:xf numFmtId="2" fontId="14" fillId="0" borderId="42" xfId="1" applyNumberFormat="1" applyFont="1" applyBorder="1" applyAlignment="1" applyProtection="1">
      <x:alignment horizontal="center" vertical="center" wrapText="1"/>
      <x:protection locked="0"/>
    </x:xf>
    <x:xf numFmtId="2" fontId="14" fillId="0" borderId="47" xfId="1" applyNumberFormat="1" applyFont="1" applyBorder="1" applyAlignment="1" applyProtection="1">
      <x:alignment horizontal="center" vertical="center" wrapText="1"/>
      <x:protection locked="0"/>
    </x:xf>
    <x:xf numFmtId="0" fontId="22" fillId="0" borderId="1" xfId="2" applyFont="1" applyBorder="1" applyAlignment="1" applyProtection="1">
      <x:alignment horizontal="center" vertical="center"/>
    </x:xf>
    <x:xf numFmtId="0" fontId="22" fillId="0" borderId="2" xfId="2" applyFont="1" applyBorder="1" applyAlignment="1" applyProtection="1">
      <x:alignment horizontal="center" vertical="center"/>
    </x:xf>
    <x:xf numFmtId="0" fontId="22" fillId="0" borderId="3" xfId="2" applyFont="1" applyBorder="1" applyAlignment="1" applyProtection="1">
      <x:alignment horizontal="center" vertical="center"/>
    </x:xf>
    <x:xf numFmtId="2" fontId="20" fillId="0" borderId="1" xfId="1" applyNumberFormat="1" applyFont="1" applyBorder="1" applyAlignment="1" applyProtection="1">
      <x:alignment horizontal="center" vertical="center" wrapText="1"/>
    </x:xf>
    <x:xf numFmtId="2" fontId="20" fillId="0" borderId="2" xfId="1" applyNumberFormat="1" applyFont="1" applyBorder="1" applyAlignment="1" applyProtection="1">
      <x:alignment horizontal="center" vertical="center" wrapText="1"/>
    </x:xf>
    <x:xf numFmtId="2" fontId="20" fillId="0" borderId="3" xfId="1" applyNumberFormat="1" applyFont="1" applyBorder="1" applyAlignment="1" applyProtection="1">
      <x:alignment horizontal="center" vertical="center" wrapText="1"/>
    </x:xf>
    <x:xf numFmtId="2" fontId="20" fillId="0" borderId="46" xfId="1" applyNumberFormat="1" applyFont="1" applyBorder="1" applyAlignment="1" applyProtection="1">
      <x:alignment horizontal="center" vertical="center" wrapText="1"/>
    </x:xf>
    <x:xf numFmtId="2" fontId="20" fillId="0" borderId="4" xfId="1" applyNumberFormat="1" applyFont="1" applyBorder="1" applyAlignment="1" applyProtection="1">
      <x:alignment horizontal="center" vertical="center" wrapText="1"/>
    </x:xf>
    <x:xf numFmtId="2" fontId="14" fillId="3" borderId="42" xfId="1" applyNumberFormat="1" applyFont="1" applyFill="1" applyBorder="1" applyAlignment="1" applyProtection="1">
      <x:alignment horizontal="center" vertical="center" wrapText="1"/>
      <x:protection locked="0"/>
    </x:xf>
    <x:xf numFmtId="2" fontId="14" fillId="3" borderId="4" xfId="1" applyNumberFormat="1" applyFont="1" applyFill="1" applyBorder="1" applyAlignment="1" applyProtection="1">
      <x:alignment horizontal="center" vertical="center" wrapText="1"/>
      <x:protection locked="0"/>
    </x:xf>
    <x:xf numFmtId="2" fontId="14" fillId="3" borderId="49" xfId="1" applyNumberFormat="1" applyFont="1" applyFill="1" applyBorder="1" applyAlignment="1" applyProtection="1">
      <x:alignment horizontal="center" vertical="center" wrapText="1"/>
      <x:protection locked="0"/>
    </x:xf>
    <x:xf numFmtId="1" fontId="20" fillId="0" borderId="41" xfId="1" applyNumberFormat="1" applyFont="1" applyBorder="1" applyAlignment="1" applyProtection="1">
      <x:alignment horizontal="center" vertical="center" wrapText="1"/>
    </x:xf>
    <x:xf numFmtId="1" fontId="20" fillId="0" borderId="46" xfId="1" applyNumberFormat="1" applyFont="1" applyBorder="1" applyAlignment="1" applyProtection="1">
      <x:alignment horizontal="center" vertical="center" wrapText="1"/>
    </x:xf>
    <x:xf numFmtId="1" fontId="20" fillId="0" borderId="40" xfId="1" applyNumberFormat="1" applyFont="1" applyBorder="1" applyAlignment="1" applyProtection="1">
      <x:alignment horizontal="center" vertical="center" wrapText="1"/>
    </x:xf>
    <x:xf numFmtId="1" fontId="20" fillId="0" borderId="42" xfId="1" applyNumberFormat="1" applyFont="1" applyBorder="1" applyAlignment="1" applyProtection="1">
      <x:alignment horizontal="center" vertical="center" wrapText="1"/>
    </x:xf>
    <x:xf numFmtId="1" fontId="20" fillId="0" borderId="4" xfId="1" applyNumberFormat="1" applyFont="1" applyBorder="1" applyAlignment="1" applyProtection="1">
      <x:alignment horizontal="center" vertical="center" wrapText="1"/>
    </x:xf>
    <x:xf numFmtId="1" fontId="20" fillId="0" borderId="47" xfId="1" applyNumberFormat="1" applyFont="1" applyBorder="1" applyAlignment="1" applyProtection="1">
      <x:alignment horizontal="center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5" fillId="0" borderId="1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5" fillId="0" borderId="5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2" borderId="1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4" borderId="3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2" borderId="3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64" fontId="15" fillId="0" borderId="37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3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1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5" fillId="5" borderId="4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5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5" fillId="0" borderId="7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5" fillId="0" borderId="10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19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15" fillId="0" borderId="1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5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5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0" borderId="1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5" fillId="9" borderId="1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3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5" fillId="9" borderId="1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8" fillId="12" borderId="4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7" fillId="13" borderId="4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9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7" fillId="0" borderId="4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8" fillId="0" borderId="1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8" fillId="0" borderId="0" xfId="0" applyNumberFormat="1" applyFill="1" applyBorder="0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21" fillId="7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21" fillId="0" borderId="4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1" fillId="0" borderId="46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1" fillId="0" borderId="40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0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4" fillId="0" borderId="4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4" fillId="0" borderId="40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20" fillId="0" borderId="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20" fillId="0" borderId="2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20" fillId="0" borderId="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20" fillId="0" borderId="46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6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0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4" fillId="6" borderId="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4" fillId="6" borderId="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4" fillId="6" borderId="3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4" fillId="6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4" fillId="6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21" fillId="0" borderId="4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1" fillId="0" borderId="4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1" fillId="0" borderId="4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4" fillId="0" borderId="4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4" fillId="0" borderId="4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20" fillId="0" borderId="1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3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20" fillId="0" borderId="4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2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20" fillId="0" borderId="47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4" fillId="6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4" fillId="3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4" fillId="3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4" fillId="3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4" fillId="3" borderId="4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4" fillId="3" borderId="4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4" fillId="3" borderId="4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4" fillId="3" borderId="8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4" fillId="7" borderId="4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4" fillId="0" borderId="6" xfId="0" applyNumberFormat="1" applyFill="1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" fontId="14" fillId="8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20" fontId="14" fillId="3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1" fontId="14" fillId="3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4" fillId="3" borderId="13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0" fillId="11" borderId="4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0" fillId="11" borderId="4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0" borderId="1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2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4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64" fontId="15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4" fontId="15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10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5" fillId="5" borderId="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1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15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10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5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5" fillId="9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9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0" borderId="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5" fillId="9" borderId="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5" fillId="9" borderId="1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0" borderId="4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8" fillId="12" borderId="1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7" fillId="13" borderId="1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4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8" fillId="12" borderId="4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7" fillId="13" borderId="4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4" fillId="4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9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4" fillId="3" borderId="4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3" borderId="48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0" fontId="15" fillId="0" borderId="8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0" borderId="20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2" borderId="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6" fillId="4" borderId="3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2" borderId="3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64" fontId="15" fillId="0" borderId="3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39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5" fillId="5" borderId="15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14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15" fillId="0" borderId="1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" fontId="15" fillId="0" borderId="1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34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5" fillId="0" borderId="1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20" fontId="15" fillId="9" borderId="1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9" borderId="1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0" borderId="1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5" fillId="9" borderId="1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0" borderId="1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15" fillId="9" borderId="34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6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6" borderId="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6" borderId="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64" fontId="14" fillId="0" borderId="29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4" fillId="0" borderId="29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4" fillId="6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5" fillId="0" borderId="7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" fontId="15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20" fontId="15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10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10" borderId="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10" borderId="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10" borderId="29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0" hidden="0"/>
    </x:xf>
    <x:xf numFmtId="0" fontId="14" fillId="10" borderId="2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8" borderId="4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8" borderId="4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4" borderId="3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4" borderId="2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6" borderId="4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6" borderId="4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8" borderId="3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8" borderId="3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5" fillId="0" borderId="22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4" fillId="6" borderId="2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4" fillId="6" borderId="2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4" fillId="8" borderId="22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4" fillId="8" borderId="21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14" fillId="6" borderId="2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4" fillId="0" borderId="2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0" borderId="1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0" borderId="2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0" borderId="3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14" fillId="8" borderId="4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8" borderId="4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4" borderId="3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4" borderId="2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6" borderId="4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6" borderId="47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8" borderId="32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4" fillId="8" borderId="3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5" fillId="0" borderId="26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4" fillId="6" borderId="26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4" fillId="6" borderId="25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4" fillId="8" borderId="26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2" fontId="14" fillId="8" borderId="25" xfId="0" applyNumberFormat="1" applyFill="0" applyBorder="1" applyAlignment="1" applyProtection="1">
      <x:alignment horizontal="center" vertical="center" textRotation="0" wrapText="1" indent="0" relativeIndent="0" justifyLastLine="0" shrinkToFit="0" readingOrder="0"/>
      <x:protection locked="1" hidden="0"/>
    </x:xf>
    <x:xf numFmtId="1" fontId="14" fillId="6" borderId="26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4" fillId="0" borderId="27" xfId="0" applyNumberFormat="1" applyFill="1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18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1" fontId="7" fillId="0" borderId="0" xfId="0" applyNumberFormat="1" applyFill="1" applyBorder="0" applyAlignment="1" applyProtection="1">
      <x:alignment horizontal="center" vertical="center" textRotation="0" wrapText="0" indent="0" relativeIndent="0" justifyLastLine="0" shrinkToFit="0" readingOrder="0"/>
      <x:protection locked="0" hidden="0"/>
    </x:xf>
    <x:xf numFmtId="0" fontId="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2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5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2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0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2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20" fontId="6" fillId="0" borderId="0" xfId="0" applyNumberFormat="1" applyFill="1" applyBorder="0" applyAlignment="1" applyProtection="1">
      <x:alignment horizontal="general" vertical="center" textRotation="0" wrapText="0" indent="0" relativeIndent="0" justifyLastLine="0" shrinkToFit="0" readingOrder="0"/>
      <x:protection locked="1" hidden="0"/>
    </x:xf>
  </x:cellXfs>
  <x:cellStyles count="11">
    <x:cellStyle name="Normal" xfId="0" builtinId="0"/>
    <x:cellStyle name="Normal 2" xfId="1"/>
    <x:cellStyle name="Normal 2 2" xfId="2"/>
    <x:cellStyle name="Normal 2 2 2" xfId="5"/>
    <x:cellStyle name="Normal 4 12" xfId="6"/>
    <x:cellStyle name="Normal 4 12 3" xfId="7"/>
    <x:cellStyle name="Normal 5 12" xfId="8"/>
    <x:cellStyle name="Normal 5 12 3" xfId="9"/>
    <x:cellStyle name="Normal_Gentan-I imp. as on Dec'06." xfId="3"/>
    <x:cellStyle name="Percent" xfId="10" builtinId="5"/>
    <x:cellStyle name="Percent 2" xfId="4"/>
  </x:cellStyles>
  <x:dxfs count="6">
    <x:dxf>
      <x:fill>
        <x:patternFill>
          <x:bgColor rgb="FFFF0000"/>
        </x:patternFill>
      </x:fill>
    </x:dxf>
    <x:dxf>
      <x:font>
        <x:b/>
        <x:i val="0"/>
      </x:font>
      <x:fill>
        <x:patternFill>
          <x:bgColor rgb="FFFF0000"/>
        </x:patternFill>
      </x:fill>
    </x:dxf>
    <x:dxf>
      <x:font>
        <x:b/>
        <x:i val="0"/>
      </x:font>
      <x:fill>
        <x:patternFill>
          <x:bgColor rgb="FFFF0000"/>
        </x:patternFill>
      </x:fill>
    </x:dxf>
    <x:dxf>
      <x:font>
        <x:b/>
        <x:i val="0"/>
      </x:font>
      <x:fill>
        <x:patternFill>
          <x:bgColor rgb="FFFF0000"/>
        </x:patternFill>
      </x:fill>
    </x:dxf>
    <x:dxf>
      <x:font>
        <x:b/>
      </x:font>
      <x:fill>
        <x:patternFill patternType="solid">
          <x:bgColor rgb="FFFF0000"/>
        </x:patternFill>
      </x:fill>
      <x:border/>
    </x:dxf>
    <x:dxf>
      <x:font/>
      <x:fill>
        <x:patternFill patternType="solid">
          <x:bgColor rgb="FFFF0000"/>
        </x:patternFill>
      </x:fill>
      <x:border/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tabColor rgb="FFFF0000"/>
    <x:outlinePr summaryBelow="1" summaryRight="1"/>
    <x:pageSetUpPr fitToPage="1"/>
  </x:sheetPr>
  <x:dimension ref="B1:GA229"/>
  <x:sheetViews>
    <x:sheetView showGridLines="0" tabSelected="1" topLeftCell="AH1" zoomScale="25" zoomScaleNormal="25" zoomScaleSheetLayoutView="25" workbookViewId="0">
      <x:selection activeCell="AV6" sqref="AV6 AV6:AV6"/>
    </x:sheetView>
  </x:sheetViews>
  <x:sheetFormatPr defaultColWidth="9.140625" defaultRowHeight="38.25"/>
  <x:cols>
    <x:col min="1" max="1" width="5.855469" style="275" customWidth="1"/>
    <x:col min="2" max="2" width="28" style="275" customWidth="1"/>
    <x:col min="3" max="3" width="4.425781" style="275" hidden="1" customWidth="1"/>
    <x:col min="4" max="5" width="23" style="275" hidden="1" customWidth="1"/>
    <x:col min="6" max="6" width="42.855469" style="275" customWidth="1"/>
    <x:col min="7" max="7" width="40.710938" style="275" customWidth="1"/>
    <x:col min="8" max="8" width="51.855469" style="275" customWidth="1"/>
    <x:col min="9" max="9" width="33.425781" style="275" customWidth="1"/>
    <x:col min="10" max="10" width="30.425781" style="275" customWidth="1"/>
    <x:col min="11" max="11" width="54.285156" style="275" customWidth="1"/>
    <x:col min="12" max="14" width="26.570312" style="275" customWidth="1"/>
    <x:col min="15" max="25" width="23.140625" style="275" customWidth="1"/>
    <x:col min="26" max="26" width="35.570312" style="275" customWidth="1"/>
    <x:col min="27" max="27" width="29.570312" style="275" customWidth="1"/>
    <x:col min="28" max="28" width="32.570312" style="275" customWidth="1"/>
    <x:col min="29" max="29" width="27.570312" style="275" customWidth="1"/>
    <x:col min="30" max="30" width="29.285156" style="275" customWidth="1"/>
    <x:col min="31" max="31" width="21.855469" style="275" customWidth="1"/>
    <x:col min="32" max="32" width="24.855469" style="275" customWidth="1"/>
    <x:col min="33" max="33" width="38.285156" style="275" customWidth="1"/>
    <x:col min="34" max="34" width="43.855469" style="275" customWidth="1"/>
    <x:col min="35" max="35" width="23.570312" style="275" bestFit="1" customWidth="1"/>
    <x:col min="36" max="36" width="19.570312" style="275" hidden="1" customWidth="1"/>
    <x:col min="37" max="37" width="42.710938" style="275" hidden="1" customWidth="1"/>
    <x:col min="38" max="38" width="16.855469" style="275" customWidth="1"/>
    <x:col min="39" max="39" width="41.855469" style="275" customWidth="1"/>
    <x:col min="40" max="40" width="42.285156" style="275" customWidth="1"/>
    <x:col min="41" max="41" width="63.710938" style="275" customWidth="1"/>
    <x:col min="42" max="43" width="48.570312" style="275" customWidth="1"/>
    <x:col min="44" max="45" width="53" style="275" customWidth="1"/>
    <x:col min="46" max="46" width="82.425781" style="275" customWidth="1"/>
    <x:col min="47" max="47" width="83.140625" style="275" customWidth="1"/>
    <x:col min="48" max="51" width="49.425781" style="275" customWidth="1"/>
    <x:col min="52" max="53" width="48.570312" style="275" customWidth="1"/>
    <x:col min="54" max="55" width="50.140625" style="275" customWidth="1"/>
    <x:col min="56" max="56" width="34.855469" style="275" customWidth="1"/>
    <x:col min="57" max="59" width="57.140625" style="275" customWidth="1"/>
    <x:col min="60" max="60" width="40.425781" style="275" customWidth="1"/>
    <x:col min="61" max="62" width="63.855469" style="275" customWidth="1"/>
    <x:col min="63" max="63" width="60.710938" style="275" customWidth="1"/>
    <x:col min="64" max="65" width="20.710938" style="275" customWidth="1"/>
    <x:col min="66" max="66" width="49" style="275" customWidth="1"/>
    <x:col min="67" max="67" width="20.710938" style="275" customWidth="1"/>
    <x:col min="68" max="69" width="44.285156" style="275" customWidth="1"/>
    <x:col min="70" max="70" width="94.855469" style="275" customWidth="1"/>
    <x:col min="71" max="72" width="45.710938" style="275" customWidth="1"/>
    <x:col min="73" max="74" width="26.285156" style="275" customWidth="1"/>
    <x:col min="75" max="91" width="13" style="275" bestFit="1" customWidth="1"/>
    <x:col min="92" max="135" width="9.140625" style="275" customWidth="1"/>
    <x:col min="136" max="136" width="0" style="275" hidden="1" customWidth="1"/>
    <x:col min="137" max="183" width="9.140625" style="275" hidden="1" customWidth="1"/>
    <x:col min="184" max="184" width="0" style="275" hidden="1" customWidth="1"/>
    <x:col min="185" max="16384" width="9.140625" style="275" customWidth="1"/>
  </x:cols>
  <x:sheetData>
    <x:row r="1" spans="1:184" customFormat="1" ht="62.25" customHeight="1" thickBot="1">
      <x:c r="B1" s="301" t="s"/>
      <x:c r="C1" s="301" t="s"/>
      <x:c r="D1" s="301" t="s"/>
      <x:c r="E1" s="301" t="s"/>
      <x:c r="F1" s="301" t="s"/>
      <x:c r="G1" s="301" t="s"/>
      <x:c r="H1" s="301" t="s"/>
      <x:c r="I1" s="301" t="s"/>
      <x:c r="J1" s="301" t="s"/>
      <x:c r="K1" s="301" t="s"/>
      <x:c r="L1" s="301" t="s"/>
      <x:c r="M1" s="301" t="s"/>
      <x:c r="N1" s="301" t="s"/>
      <x:c r="O1" s="301" t="s"/>
      <x:c r="P1" s="301" t="s"/>
      <x:c r="Q1" s="301" t="s"/>
      <x:c r="R1" s="301" t="s"/>
      <x:c r="S1" s="301" t="s"/>
      <x:c r="T1" s="301" t="s"/>
      <x:c r="U1" s="301" t="s"/>
      <x:c r="V1" s="301" t="s"/>
      <x:c r="W1" s="301" t="s"/>
      <x:c r="X1" s="301" t="s"/>
      <x:c r="Y1" s="301" t="s"/>
      <x:c r="Z1" s="301" t="s"/>
      <x:c r="AA1" s="301" t="s"/>
      <x:c r="AB1" s="301" t="s"/>
      <x:c r="AC1" s="301" t="s"/>
      <x:c r="AD1" s="301" t="s"/>
      <x:c r="AE1" s="301" t="s"/>
      <x:c r="AF1" s="301" t="s"/>
      <x:c r="AG1" s="301" t="s"/>
      <x:c r="AH1" s="301" t="s"/>
      <x:c r="AI1" s="301" t="s"/>
      <x:c r="AN1" s="302" t="s"/>
      <x:c r="AO1" s="302" t="s"/>
      <x:c r="AP1" s="302" t="s"/>
      <x:c r="AQ1" s="302" t="s"/>
      <x:c r="AR1" s="302" t="s"/>
      <x:c r="AS1" s="302" t="s"/>
      <x:c r="AT1" s="302" t="s"/>
      <x:c r="AU1" s="302" t="s"/>
      <x:c r="AV1" s="302" t="s"/>
      <x:c r="AW1" s="302" t="s"/>
      <x:c r="AX1" s="302" t="s"/>
      <x:c r="AY1" s="302" t="s"/>
      <x:c r="AZ1" s="302" t="s"/>
      <x:c r="BA1" s="302" t="s"/>
      <x:c r="BB1" s="302" t="s"/>
      <x:c r="BC1" s="302" t="s"/>
      <x:c r="BD1" s="302" t="s"/>
      <x:c r="BE1" s="302" t="s"/>
      <x:c r="BF1" s="303" t="s"/>
      <x:c r="BG1" s="303" t="s"/>
      <x:c r="BI1" s="303" t="s"/>
      <x:c r="BJ1" s="303" t="s"/>
    </x:row>
    <x:row r="2" spans="1:184" customFormat="1" ht="87" customHeight="1" thickBot="1">
      <x:c r="B2" s="304" t="s">
        <x:v>0</x:v>
      </x:c>
      <x:c r="C2" s="304" t="s"/>
      <x:c r="D2" s="304" t="s"/>
      <x:c r="E2" s="304" t="s"/>
      <x:c r="F2" s="304" t="s"/>
      <x:c r="G2" s="304" t="s"/>
      <x:c r="H2" s="304" t="s"/>
      <x:c r="I2" s="304" t="s"/>
      <x:c r="J2" s="304" t="s"/>
      <x:c r="K2" s="304" t="s"/>
      <x:c r="L2" s="304" t="s"/>
      <x:c r="M2" s="304" t="s"/>
      <x:c r="N2" s="304" t="s"/>
      <x:c r="O2" s="304" t="s"/>
      <x:c r="P2" s="304" t="s"/>
      <x:c r="Q2" s="304" t="s"/>
      <x:c r="R2" s="304" t="s"/>
      <x:c r="S2" s="304" t="s"/>
      <x:c r="T2" s="304" t="s"/>
      <x:c r="U2" s="304" t="s"/>
      <x:c r="V2" s="304" t="s"/>
      <x:c r="W2" s="304" t="s"/>
      <x:c r="X2" s="304" t="s"/>
      <x:c r="Y2" s="304" t="s"/>
      <x:c r="Z2" s="304" t="s"/>
      <x:c r="AA2" s="304" t="s"/>
      <x:c r="AB2" s="304" t="s"/>
      <x:c r="AC2" s="304" t="s"/>
      <x:c r="AD2" s="304" t="s"/>
      <x:c r="AE2" s="304" t="s"/>
      <x:c r="AF2" s="304" t="s"/>
      <x:c r="AG2" s="304" t="s"/>
      <x:c r="AH2" s="304" t="s"/>
      <x:c r="AI2" s="304" t="s"/>
      <x:c r="AJ2" s="305" t="s"/>
      <x:c r="AK2" s="305" t="s"/>
      <x:c r="AL2" s="306" t="s"/>
      <x:c r="AM2" s="307" t="s">
        <x:v>1</x:v>
      </x:c>
      <x:c r="AN2" s="308" t="s"/>
      <x:c r="AO2" s="308" t="s"/>
      <x:c r="AP2" s="308" t="s"/>
      <x:c r="AQ2" s="308" t="s"/>
      <x:c r="AR2" s="308" t="s"/>
      <x:c r="AS2" s="308" t="s"/>
      <x:c r="AT2" s="308" t="s"/>
      <x:c r="AU2" s="308" t="s"/>
      <x:c r="AV2" s="308" t="s"/>
      <x:c r="AW2" s="308" t="s"/>
      <x:c r="AX2" s="308" t="s"/>
      <x:c r="AY2" s="309" t="s"/>
      <x:c r="AZ2" s="310" t="s">
        <x:v>2</x:v>
      </x:c>
      <x:c r="BA2" s="311" t="s"/>
      <x:c r="BB2" s="312" t="s"/>
      <x:c r="BC2" s="313" t="s"/>
      <x:c r="BD2" s="314" t="s">
        <x:v>3</x:v>
      </x:c>
      <x:c r="BE2" s="315" t="s"/>
      <x:c r="BF2" s="315" t="s"/>
      <x:c r="BG2" s="316" t="s"/>
      <x:c r="BH2" s="310" t="str">
        <x:f>CONCATENATE("Shift","-",V3)</x:f>
      </x:c>
      <x:c r="BI2" s="317" t="s"/>
      <x:c r="BJ2" s="317" t="s"/>
      <x:c r="BK2" s="311" t="s"/>
      <x:c r="BL2" s="310" t="s">
        <x:v>4</x:v>
      </x:c>
      <x:c r="BM2" s="317" t="s"/>
      <x:c r="BN2" s="311" t="s"/>
      <x:c r="BO2" s="318" t="n">
        <x:v>2</x:v>
      </x:c>
      <x:c r="BP2" s="319" t="s"/>
      <x:c r="BQ2" s="320" t="s"/>
      <x:c r="BR2" s="305" t="s"/>
    </x:row>
    <x:row r="3" spans="1:184" customFormat="1" ht="87" customHeight="1" thickBot="1">
      <x:c r="B3" s="321" t="s">
        <x:v>5</x:v>
      </x:c>
      <x:c r="C3" s="322" t="s"/>
      <x:c r="D3" s="322" t="s"/>
      <x:c r="E3" s="322" t="s"/>
      <x:c r="F3" s="322" t="s"/>
      <x:c r="G3" s="322" t="s"/>
      <x:c r="H3" s="322" t="s"/>
      <x:c r="I3" s="323" t="s"/>
      <x:c r="J3" s="324" t="s"/>
      <x:c r="K3" s="324" t="s"/>
      <x:c r="L3" s="324" t="s"/>
      <x:c r="M3" s="324" t="s">
        <x:v>6</x:v>
      </x:c>
      <x:c r="N3" s="324" t="s"/>
      <x:c r="O3" s="324" t="s"/>
      <x:c r="P3" s="324" t="s"/>
      <x:c r="Q3" s="324" t="s"/>
      <x:c r="R3" s="324" t="s">
        <x:v>7</x:v>
      </x:c>
      <x:c r="S3" s="324" t="s"/>
      <x:c r="T3" s="324" t="s"/>
      <x:c r="U3" s="324" t="s"/>
      <x:c r="V3" s="324" t="s"/>
      <x:c r="W3" s="324" t="s">
        <x:v>8</x:v>
      </x:c>
      <x:c r="X3" s="324" t="s"/>
      <x:c r="Y3" s="324" t="s"/>
      <x:c r="Z3" s="324" t="s"/>
      <x:c r="AA3" s="325">
        <x:f>IF(ISERROR(Y30/AG30),0,Y30/AG30)</x:f>
      </x:c>
      <x:c r="AB3" s="325" t="s"/>
      <x:c r="AC3" s="324" t="s">
        <x:v>9</x:v>
      </x:c>
      <x:c r="AD3" s="324" t="s"/>
      <x:c r="AE3" s="324" t="s"/>
      <x:c r="AF3" s="325" t="s"/>
      <x:c r="AG3" s="325" t="s"/>
      <x:c r="AH3" s="325" t="s"/>
      <x:c r="AI3" s="325" t="s"/>
      <x:c r="AJ3" s="305" t="s"/>
      <x:c r="AK3" s="305" t="s"/>
      <x:c r="AL3" s="305" t="s"/>
      <x:c r="AM3" s="326" t="s"/>
      <x:c r="AN3" s="327" t="s"/>
      <x:c r="AO3" s="327" t="s"/>
      <x:c r="AP3" s="327" t="s"/>
      <x:c r="AQ3" s="327" t="s"/>
      <x:c r="AR3" s="327" t="s"/>
      <x:c r="AS3" s="327" t="s"/>
      <x:c r="AT3" s="327" t="s"/>
      <x:c r="AU3" s="327" t="s"/>
      <x:c r="AV3" s="327" t="s"/>
      <x:c r="AW3" s="327" t="s"/>
      <x:c r="AX3" s="327" t="s"/>
      <x:c r="AY3" s="328" t="s"/>
      <x:c r="AZ3" s="329" t="s"/>
      <x:c r="BA3" s="330" t="s"/>
      <x:c r="BB3" s="331" t="s"/>
      <x:c r="BC3" s="332" t="s"/>
      <x:c r="BD3" s="333" t="str">
        <x:f>CONCATENATE(J3,"-",K3,"-",L3)</x:f>
      </x:c>
      <x:c r="BE3" s="334" t="s"/>
      <x:c r="BF3" s="334" t="s"/>
      <x:c r="BG3" s="335" t="s"/>
      <x:c r="BH3" s="329" t="s"/>
      <x:c r="BI3" s="336" t="s"/>
      <x:c r="BJ3" s="336" t="s"/>
      <x:c r="BK3" s="330" t="s"/>
      <x:c r="BL3" s="329" t="s"/>
      <x:c r="BM3" s="336" t="s"/>
      <x:c r="BN3" s="330" t="s"/>
      <x:c r="BO3" s="337" t="s"/>
      <x:c r="BP3" s="338" t="s"/>
      <x:c r="BQ3" s="339" t="s"/>
      <x:c r="BR3" s="305" t="s"/>
    </x:row>
    <x:row r="4" spans="1:184" customFormat="1" ht="111.75" customHeight="1" thickBot="1">
      <x:c r="B4" s="340" t="s">
        <x:v>10</x:v>
      </x:c>
      <x:c r="C4" s="340" t="s"/>
      <x:c r="D4" s="340" t="s"/>
      <x:c r="E4" s="340" t="s"/>
      <x:c r="F4" s="340" t="s"/>
      <x:c r="G4" s="340" t="s"/>
      <x:c r="H4" s="340" t="s"/>
      <x:c r="I4" s="340" t="s"/>
      <x:c r="J4" s="340" t="s"/>
      <x:c r="K4" s="340" t="s"/>
      <x:c r="L4" s="340" t="s"/>
      <x:c r="M4" s="340" t="s"/>
      <x:c r="N4" s="340" t="s"/>
      <x:c r="O4" s="324" t="s">
        <x:v>11</x:v>
      </x:c>
      <x:c r="P4" s="324" t="s"/>
      <x:c r="Q4" s="324" t="s"/>
      <x:c r="R4" s="324" t="s"/>
      <x:c r="S4" s="324" t="s"/>
      <x:c r="T4" s="324" t="s"/>
      <x:c r="U4" s="324" t="s"/>
      <x:c r="V4" s="324" t="s"/>
      <x:c r="W4" s="324" t="s"/>
      <x:c r="X4" s="324" t="s"/>
      <x:c r="Y4" s="324" t="s"/>
      <x:c r="Z4" s="340" t="s">
        <x:v>12</x:v>
      </x:c>
      <x:c r="AA4" s="340" t="s"/>
      <x:c r="AB4" s="340" t="s"/>
      <x:c r="AC4" s="325" t="s">
        <x:v>13</x:v>
      </x:c>
      <x:c r="AD4" s="325" t="s"/>
      <x:c r="AE4" s="325" t="s"/>
      <x:c r="AF4" s="325" t="s"/>
      <x:c r="AG4" s="325" t="s"/>
      <x:c r="AH4" s="325" t="s"/>
      <x:c r="AI4" s="325" t="s"/>
      <x:c r="AJ4" s="305" t="s"/>
      <x:c r="AK4" s="306" t="s"/>
      <x:c r="AL4" s="305" t="s"/>
      <x:c r="AM4" s="341" t="s">
        <x:v>14</x:v>
      </x:c>
      <x:c r="AN4" s="341" t="s"/>
      <x:c r="AO4" s="341" t="s"/>
      <x:c r="AP4" s="341" t="s"/>
      <x:c r="AQ4" s="341" t="s"/>
      <x:c r="AR4" s="341" t="s"/>
      <x:c r="AS4" s="341" t="s"/>
      <x:c r="AT4" s="341" t="s"/>
      <x:c r="AU4" s="341" t="s"/>
      <x:c r="AV4" s="341" t="s">
        <x:v>15</x:v>
      </x:c>
      <x:c r="AW4" s="341" t="s"/>
      <x:c r="AX4" s="342" t="s">
        <x:v>16</x:v>
      </x:c>
      <x:c r="AY4" s="342" t="s"/>
      <x:c r="AZ4" s="341" t="s">
        <x:v>17</x:v>
      </x:c>
      <x:c r="BA4" s="341" t="s"/>
      <x:c r="BB4" s="342" t="s">
        <x:v>18</x:v>
      </x:c>
      <x:c r="BC4" s="342" t="s"/>
      <x:c r="BD4" s="342" t="s">
        <x:v>19</x:v>
      </x:c>
      <x:c r="BE4" s="342" t="s"/>
      <x:c r="BF4" s="342" t="s"/>
      <x:c r="BG4" s="342" t="s">
        <x:v>20</x:v>
      </x:c>
      <x:c r="BH4" s="342" t="s"/>
      <x:c r="BI4" s="343" t="s">
        <x:v>21</x:v>
      </x:c>
      <x:c r="BJ4" s="343" t="s"/>
      <x:c r="BK4" s="344" t="s">
        <x:v>22</x:v>
      </x:c>
      <x:c r="BL4" s="345" t="s"/>
      <x:c r="BM4" s="345" t="s"/>
      <x:c r="BN4" s="345" t="s"/>
      <x:c r="BO4" s="345" t="s"/>
      <x:c r="BP4" s="345" t="s"/>
      <x:c r="BQ4" s="346" t="s"/>
      <x:c r="BR4" s="347" t="s">
        <x:v>23</x:v>
      </x:c>
      <x:c r="BS4" s="342" t="s">
        <x:v>24</x:v>
      </x:c>
      <x:c r="BT4" s="342" t="s"/>
    </x:row>
    <x:row r="5" spans="1:184" customFormat="1" ht="254.25" customHeight="1" thickBot="1">
      <x:c r="B5" s="340" t="s">
        <x:v>25</x:v>
      </x:c>
      <x:c r="C5" s="340" t="s">
        <x:v>26</x:v>
      </x:c>
      <x:c r="D5" s="340" t="s">
        <x:v>27</x:v>
      </x:c>
      <x:c r="E5" s="340" t="s">
        <x:v>28</x:v>
      </x:c>
      <x:c r="F5" s="340" t="s">
        <x:v>28</x:v>
      </x:c>
      <x:c r="G5" s="340" t="s">
        <x:v>29</x:v>
      </x:c>
      <x:c r="H5" s="340" t="s">
        <x:v>30</x:v>
      </x:c>
      <x:c r="I5" s="340" t="s">
        <x:v>31</x:v>
      </x:c>
      <x:c r="J5" s="340" t="s">
        <x:v>32</x:v>
      </x:c>
      <x:c r="K5" s="340" t="s">
        <x:v>33</x:v>
      </x:c>
      <x:c r="L5" s="340" t="s">
        <x:v>34</x:v>
      </x:c>
      <x:c r="M5" s="340" t="s">
        <x:v>35</x:v>
      </x:c>
      <x:c r="N5" s="340" t="s">
        <x:v>36</x:v>
      </x:c>
      <x:c r="O5" s="340" t="s">
        <x:v>37</x:v>
      </x:c>
      <x:c r="P5" s="340" t="s">
        <x:v>38</x:v>
      </x:c>
      <x:c r="Q5" s="340" t="s">
        <x:v>39</x:v>
      </x:c>
      <x:c r="R5" s="340" t="s">
        <x:v>40</x:v>
      </x:c>
      <x:c r="S5" s="340" t="s">
        <x:v>39</x:v>
      </x:c>
      <x:c r="T5" s="340" t="s">
        <x:v>41</x:v>
      </x:c>
      <x:c r="U5" s="340" t="s">
        <x:v>39</x:v>
      </x:c>
      <x:c r="V5" s="340" t="s">
        <x:v>42</x:v>
      </x:c>
      <x:c r="W5" s="340" t="s">
        <x:v>39</x:v>
      </x:c>
      <x:c r="X5" s="340" t="s">
        <x:v>43</x:v>
      </x:c>
      <x:c r="Y5" s="340" t="s">
        <x:v>39</x:v>
      </x:c>
      <x:c r="Z5" s="340" t="s">
        <x:v>44</x:v>
      </x:c>
      <x:c r="AA5" s="340" t="s">
        <x:v>45</x:v>
      </x:c>
      <x:c r="AB5" s="340" t="s">
        <x:v>46</x:v>
      </x:c>
      <x:c r="AC5" s="340" t="s">
        <x:v>17</x:v>
      </x:c>
      <x:c r="AD5" s="340" t="s">
        <x:v>47</x:v>
      </x:c>
      <x:c r="AE5" s="340" t="s">
        <x:v>48</x:v>
      </x:c>
      <x:c r="AF5" s="340" t="s">
        <x:v>49</x:v>
      </x:c>
      <x:c r="AG5" s="340" t="s">
        <x:v>50</x:v>
      </x:c>
      <x:c r="AH5" s="340" t="s">
        <x:v>51</x:v>
      </x:c>
      <x:c r="AI5" s="340" t="s">
        <x:v>52</x:v>
      </x:c>
      <x:c r="AJ5" s="348" t="s">
        <x:v>53</x:v>
      </x:c>
      <x:c r="AK5" s="349" t="s">
        <x:v>54</x:v>
      </x:c>
      <x:c r="AL5" s="305" t="s"/>
      <x:c r="AM5" s="342" t="s">
        <x:v>55</x:v>
      </x:c>
      <x:c r="AN5" s="342" t="s">
        <x:v>56</x:v>
      </x:c>
      <x:c r="AO5" s="342" t="s">
        <x:v>57</x:v>
      </x:c>
      <x:c r="AP5" s="350" t="s">
        <x:v>58</x:v>
      </x:c>
      <x:c r="AQ5" s="350" t="s">
        <x:v>59</x:v>
      </x:c>
      <x:c r="AR5" s="341" t="s">
        <x:v>60</x:v>
      </x:c>
      <x:c r="AS5" s="341" t="s">
        <x:v>61</x:v>
      </x:c>
      <x:c r="AT5" s="341" t="s">
        <x:v>62</x:v>
      </x:c>
      <x:c r="AU5" s="341" t="s">
        <x:v>63</x:v>
      </x:c>
      <x:c r="AV5" s="351" t="s">
        <x:v>64</x:v>
      </x:c>
      <x:c r="AW5" s="342" t="s">
        <x:v>65</x:v>
      </x:c>
      <x:c r="AX5" s="342" t="s">
        <x:v>66</x:v>
      </x:c>
      <x:c r="AY5" s="342" t="s">
        <x:v>67</x:v>
      </x:c>
      <x:c r="AZ5" s="342" t="s">
        <x:v>68</x:v>
      </x:c>
      <x:c r="BA5" s="342" t="s">
        <x:v>69</x:v>
      </x:c>
      <x:c r="BB5" s="342" t="s">
        <x:v>70</x:v>
      </x:c>
      <x:c r="BC5" s="342" t="s">
        <x:v>71</x:v>
      </x:c>
      <x:c r="BD5" s="342" t="s">
        <x:v>72</x:v>
      </x:c>
      <x:c r="BE5" s="342" t="s">
        <x:v>73</x:v>
      </x:c>
      <x:c r="BF5" s="342" t="s">
        <x:v>74</x:v>
      </x:c>
      <x:c r="BG5" s="342" t="s">
        <x:v>75</x:v>
      </x:c>
      <x:c r="BH5" s="342" t="s">
        <x:v>76</x:v>
      </x:c>
      <x:c r="BI5" s="352" t="s">
        <x:v>8</x:v>
      </x:c>
      <x:c r="BJ5" s="352" t="s">
        <x:v>77</x:v>
      </x:c>
      <x:c r="BK5" s="343" t="s">
        <x:v>78</x:v>
      </x:c>
      <x:c r="BL5" s="343" t="s"/>
      <x:c r="BM5" s="343" t="s"/>
      <x:c r="BN5" s="343" t="s"/>
      <x:c r="BO5" s="343" t="s"/>
      <x:c r="BP5" s="343" t="s">
        <x:v>79</x:v>
      </x:c>
      <x:c r="BQ5" s="343" t="s">
        <x:v>80</x:v>
      </x:c>
      <x:c r="BR5" s="353" t="s"/>
      <x:c r="BS5" s="342" t="s">
        <x:v>81</x:v>
      </x:c>
      <x:c r="BT5" s="342" t="s">
        <x:v>82</x:v>
      </x:c>
      <x:c r="BU5" s="354" t="s">
        <x:v>83</x:v>
      </x:c>
      <x:c r="BV5" s="355" t="s"/>
    </x:row>
    <x:row r="6" spans="1:184" customFormat="1" ht="115.5" customHeight="1">
      <x:c r="B6" s="277" t="str">
        <x:f>IF(F6="","",1)</x:f>
      </x:c>
      <x:c r="C6" s="278" t="s"/>
      <x:c r="D6" s="278" t="s"/>
      <x:c r="E6" s="278" t="s"/>
      <x:c r="F6" s="278" t="s"/>
      <x:c r="G6" s="278" t="s"/>
      <x:c r="H6" s="279" t="str">
        <x:f>IF(F6="","",VLOOKUP(F6,Sheet_Master!A:M,13,FALSE))</x:f>
      </x:c>
      <x:c r="I6" s="35" t="str">
        <x:f>IF(F6="","",VLOOKUP(F6,Sheet_Master!A:N,14,FALSE))</x:f>
      </x:c>
      <x:c r="J6" s="35" t="str">
        <x:f>IF(F6="","",VLOOKUP(F6,Sheet_Master!A:F,6,FALSE))</x:f>
      </x:c>
      <x:c r="K6" s="35" t="s"/>
      <x:c r="L6" s="35" t="s"/>
      <x:c r="M6" s="35" t="s"/>
      <x:c r="N6" s="35" t="s"/>
      <x:c r="O6" s="280" t="str">
        <x:f>IF(F6="","",1)</x:f>
      </x:c>
      <x:c r="P6" s="280" t="s"/>
      <x:c r="Q6" s="280" t="s"/>
      <x:c r="R6" s="280" t="s"/>
      <x:c r="S6" s="280" t="s"/>
      <x:c r="T6" s="280" t="s"/>
      <x:c r="U6" s="280" t="s"/>
      <x:c r="V6" s="280" t="s"/>
      <x:c r="W6" s="280" t="s"/>
      <x:c r="X6" s="280" t="s"/>
      <x:c r="Y6" s="280" t="s"/>
      <x:c r="Z6" s="35" t="str">
        <x:f>IF((P6*Q6)+(R6*S6)+(T6*U6)+(V6*W6)+(X6*Y6)=0,"",(P6*Q6)+(R6*S6)+(T6*U6)+(V6*W6)+(X6*Y6))</x:f>
      </x:c>
      <x:c r="AA6" s="281" t="str">
        <x:f>IF(F6="","",VLOOKUP(F6,Sheet_Master!A:B,2,FALSE))</x:f>
      </x:c>
      <x:c r="AB6" s="281" t="str">
        <x:f>IF(F6="","",(Z6*AA6)/1000)</x:f>
      </x:c>
      <x:c r="AC6" s="35" t="str">
        <x:f>IF(F6="","",VLOOKUP(F6,Sheet_Master!A:E,5,FALSE))</x:f>
      </x:c>
      <x:c r="AD6" s="35" t="str">
        <x:f>IF(O6="","",IF(O6="-",0,7.5))</x:f>
      </x:c>
      <x:c r="AE6" s="35" t="str">
        <x:f>IF(F6="","",1.3)</x:f>
      </x:c>
      <x:c r="AF6" s="35" t="str">
        <x:f>IF(AND(F6&lt;&gt;"",O6&lt;&gt;"-"),((Q6+S6+U6+W6+Y6-O6)*AE6),(IF(AND(F6&lt;&gt;"",O6="-"),((Q6+S6+U6+W6+Y6)*AE6),"")))</x:f>
      </x:c>
      <x:c r="AG6" s="282" t="str">
        <x:f>IF(F6="","",(Z6/AC6))</x:f>
      </x:c>
      <x:c r="AH6" s="283" t="str">
        <x:f>IF(F6="","",(AD6+AF6+AG6))</x:f>
      </x:c>
      <x:c r="AI6" s="284" t="str">
        <x:f>IF(OR(F6="",ISTEXT(AH6)),"",(Z6*60)/AH6)</x:f>
      </x:c>
      <x:c r="AJ6" s="285" t="s"/>
      <x:c r="AK6" s="286" t="s"/>
      <x:c r="AL6" s="287" t="str">
        <x:f>IF(AH6="","",AH6/1440)</x:f>
      </x:c>
      <x:c r="AM6" s="288" t="str">
        <x:f>IF(F6="","",F6)</x:f>
      </x:c>
      <x:c r="AN6" s="131" t="str">
        <x:f>IF(G6="","",G6)</x:f>
      </x:c>
      <x:c r="AO6" s="131" t="str">
        <x:f>IF(ISERROR(AB6*1000),"",AB6*1000)</x:f>
      </x:c>
      <x:c r="AP6" s="283" t="s"/>
      <x:c r="AQ6" s="283" t="s"/>
      <x:c r="AR6" s="133" t="str">
        <x:f>IF(B6="","",B6)</x:f>
      </x:c>
      <x:c r="AS6" s="131" t="str">
        <x:f>IF(J6="","",J6)</x:f>
      </x:c>
      <x:c r="AT6" s="131" t="str">
        <x:f>IF(K6="","",K6)</x:f>
      </x:c>
      <x:c r="AU6" s="289" t="str">
        <x:f>IF(L6="","",CONCATENATE(L6,"X",M6,"X",N6))</x:f>
      </x:c>
      <x:c r="AV6" s="276" t="str">
        <x:f>IF(OR(V3="1",V3=1),"05:30",IF(OR(V3="2",V3=2),"14:20","23:00"))</x:f>
      </x:c>
      <x:c r="AW6" s="276" t="str">
        <x:f>IFERROR(AV6+AL6,"")</x:f>
      </x:c>
      <x:c r="AX6" s="290" t="s"/>
      <x:c r="AY6" s="290" t="s"/>
      <x:c r="AZ6" s="125" t="str">
        <x:f>AC6</x:f>
      </x:c>
      <x:c r="BA6" s="291" t="s"/>
      <x:c r="BB6" s="125" t="str">
        <x:f>IF(AD6="","",(AD6+AF6))</x:f>
      </x:c>
      <x:c r="BC6" s="291" t="s"/>
      <x:c r="BD6" s="131" t="str">
        <x:f>IF(AH6="","",AH6)</x:f>
      </x:c>
      <x:c r="BE6" s="130" t="str">
        <x:f>IF(AX6="","",IF((AY6-AX6)*1440-(BF6+BP6)&lt;0,(AY6-AX6)*1440-(BF6+BP6)+1440,(AY6-AX6)*1440-(BF6+BP6)))</x:f>
      </x:c>
      <x:c r="BF6" s="283" t="s"/>
      <x:c r="BG6" s="131" t="str">
        <x:f>IF(Z6=0,"",Z6)</x:f>
      </x:c>
      <x:c r="BH6" s="292" t="s"/>
      <x:c r="BI6" s="133" t="str">
        <x:f>IF(AI6="","",AI6)</x:f>
      </x:c>
      <x:c r="BJ6" s="134" t="str">
        <x:f>IFERROR(BH6/(BE6/60),"")</x:f>
      </x:c>
      <x:c r="BK6" s="293" t="s"/>
      <x:c r="BL6" s="293" t="s"/>
      <x:c r="BM6" s="293" t="s"/>
      <x:c r="BN6" s="293" t="s"/>
      <x:c r="BO6" s="293" t="s"/>
      <x:c r="BP6" s="294" t="s"/>
      <x:c r="BQ6" s="125" t="str">
        <x:f>IF(AX6="","",(BE6-BC6))</x:f>
      </x:c>
      <x:c r="BR6" s="295" t="s">
        <x:v>56</x:v>
      </x:c>
      <x:c r="BS6" s="131" t="str">
        <x:f>IF(F6="","",BG6*AA6)</x:f>
      </x:c>
      <x:c r="BT6" s="296" t="str">
        <x:f>IF(F6="","",BH6*AA6)</x:f>
      </x:c>
      <x:c r="BU6" s="297" t="s">
        <x:v>84</x:v>
      </x:c>
      <x:c r="BV6" s="298" t="n">
        <x:v>0.6</x:v>
      </x:c>
      <x:c r="EI6" s="299" t="s"/>
      <x:c r="EJ6" s="300" t="s"/>
    </x:row>
    <x:row r="7" spans="1:184" customFormat="1" ht="115.5" customHeight="1" thickBot="1">
      <x:c r="B7" s="356" t="str">
        <x:f>IF(F7="","",B6+1)</x:f>
      </x:c>
      <x:c r="C7" s="357" t="s"/>
      <x:c r="D7" s="357" t="s"/>
      <x:c r="E7" s="357" t="s"/>
      <x:c r="F7" s="357" t="s"/>
      <x:c r="G7" s="357" t="s"/>
      <x:c r="H7" s="358" t="str">
        <x:f>IF(F7="","",VLOOKUP(F7,Sheet_Master!A:M,13,FALSE))</x:f>
      </x:c>
      <x:c r="I7" s="58" t="str">
        <x:f>IF(F7="","",VLOOKUP(F7,Sheet_Master!A:N,14,FALSE))</x:f>
      </x:c>
      <x:c r="J7" s="58" t="str">
        <x:f>IF(F7="","",VLOOKUP(F7,Sheet_Master!A:F,6,FALSE))</x:f>
      </x:c>
      <x:c r="K7" s="58" t="s"/>
      <x:c r="L7" s="58" t="s"/>
      <x:c r="M7" s="58" t="s"/>
      <x:c r="N7" s="58" t="s"/>
      <x:c r="O7" s="357" t="str">
        <x:f>IF(F7="","",1)</x:f>
      </x:c>
      <x:c r="P7" s="357" t="s"/>
      <x:c r="Q7" s="357" t="s"/>
      <x:c r="R7" s="357" t="s"/>
      <x:c r="S7" s="357" t="s"/>
      <x:c r="T7" s="357" t="s"/>
      <x:c r="U7" s="357" t="s"/>
      <x:c r="V7" s="357" t="s"/>
      <x:c r="W7" s="357" t="s"/>
      <x:c r="X7" s="357" t="s"/>
      <x:c r="Y7" s="357" t="s"/>
      <x:c r="Z7" s="58" t="str">
        <x:f>IF((P7*Q7)+(R7*S7)+(T7*U7)+(V7*W7)+(X7*Y7)=0,"",(P7*Q7)+(R7*S7)+(T7*U7)+(V7*W7)+(X7*Y7))</x:f>
      </x:c>
      <x:c r="AA7" s="359" t="str">
        <x:f>IF(F7="","",VLOOKUP(F7,Sheet_Master!A:B,2,FALSE))</x:f>
      </x:c>
      <x:c r="AB7" s="359" t="str">
        <x:f>IF(F7="","",(Z7*AA7)/1000)</x:f>
      </x:c>
      <x:c r="AC7" s="58" t="str">
        <x:f>IF(F7="","",VLOOKUP(F7,Sheet_Master!A:E,5,FALSE))</x:f>
      </x:c>
      <x:c r="AD7" s="58" t="str">
        <x:f>IF(O7="","",IF(O7="-",0,7.5))</x:f>
      </x:c>
      <x:c r="AE7" s="58" t="str">
        <x:f>IF(F7="","",1.3)</x:f>
      </x:c>
      <x:c r="AF7" s="360" t="str">
        <x:f>IF(AND(F7&lt;&gt;"",O7&lt;&gt;"-"),((Q7+S7+U7+W7+Y7-O7)*AE7),(IF(AND(F7&lt;&gt;"",O7="-"),((Q7+S7+U7+W7+Y7)*AE7),"")))</x:f>
      </x:c>
      <x:c r="AG7" s="361" t="str">
        <x:f>IF(F7="","",(Z7/AC7))</x:f>
      </x:c>
      <x:c r="AH7" s="283" t="str">
        <x:f>IF(F7="","",(AD7+AF7+AG7))</x:f>
      </x:c>
      <x:c r="AI7" s="362" t="str">
        <x:f>IF(OR(F7="",ISTEXT(AH7)),"",(Z7*60)/AH7)</x:f>
      </x:c>
      <x:c r="AJ7" s="285" t="s"/>
      <x:c r="AK7" s="286" t="s"/>
      <x:c r="AL7" s="287" t="str">
        <x:f>IF(AH7="","",AH7/1440)</x:f>
      </x:c>
      <x:c r="AM7" s="363" t="str">
        <x:f>IF(F7="","",F7)</x:f>
      </x:c>
      <x:c r="AN7" s="130" t="str">
        <x:f>IF(G7="","",G7)</x:f>
      </x:c>
      <x:c r="AO7" s="130" t="str">
        <x:f>IF(ISERROR(AB7*1000),"",AB7*1000)</x:f>
      </x:c>
      <x:c r="AP7" s="364" t="s"/>
      <x:c r="AQ7" s="364" t="s"/>
      <x:c r="AR7" s="134" t="str">
        <x:f>IF(B7="","",B7)</x:f>
      </x:c>
      <x:c r="AS7" s="130" t="str">
        <x:f>IF(J7="","",J7)</x:f>
      </x:c>
      <x:c r="AT7" s="130" t="str">
        <x:f>IF(K7="","",K7)</x:f>
      </x:c>
      <x:c r="AU7" s="365" t="str">
        <x:f>IF(L7="","",CONCATENATE(L7,"X",M7,"X",N7))</x:f>
      </x:c>
      <x:c r="AV7" s="366" t="str">
        <x:f>IF(AL7="",AL7,AV6+AL6)</x:f>
      </x:c>
      <x:c r="AW7" s="366" t="str">
        <x:f>IFERROR(AV7+AL7,"")</x:f>
      </x:c>
      <x:c r="AX7" s="367" t="s"/>
      <x:c r="AY7" s="367" t="s"/>
      <x:c r="AZ7" s="125" t="str">
        <x:f>AC7</x:f>
      </x:c>
      <x:c r="BA7" s="368" t="s"/>
      <x:c r="BB7" s="369" t="str">
        <x:f>IF(AD7="","",(AD7+AF7))</x:f>
      </x:c>
      <x:c r="BC7" s="368" t="s"/>
      <x:c r="BD7" s="130" t="str">
        <x:f>IF(AH7="","",AH7)</x:f>
      </x:c>
      <x:c r="BE7" s="130" t="str">
        <x:f>IF(AX7="","",IF((AY7-AX7)*1440-(BF7+BP7)&lt;0,(AY7-AX7)*1440-(BF7+BP7)+1440,(AY7-AX7)*1440-(BF7+BP7)))</x:f>
      </x:c>
      <x:c r="BF7" s="364" t="s"/>
      <x:c r="BG7" s="131" t="str">
        <x:f>IF(Z7=0,"",Z7)</x:f>
      </x:c>
      <x:c r="BH7" s="370" t="s"/>
      <x:c r="BI7" s="134" t="str">
        <x:f>IF(AI7="","",AI7)</x:f>
      </x:c>
      <x:c r="BJ7" s="134" t="str">
        <x:f>IFERROR(BH7/(BE7/60),"")</x:f>
      </x:c>
      <x:c r="BK7" s="58" t="s"/>
      <x:c r="BL7" s="58" t="s"/>
      <x:c r="BM7" s="58" t="s"/>
      <x:c r="BN7" s="58" t="s"/>
      <x:c r="BO7" s="58" t="s"/>
      <x:c r="BP7" s="371" t="s"/>
      <x:c r="BQ7" s="125" t="str">
        <x:f>IF(AX7="","",(BE7-BC7))</x:f>
      </x:c>
      <x:c r="BR7" s="372" t="s"/>
      <x:c r="BS7" s="131" t="str">
        <x:f>IF(F7="","",BG7*AA7)</x:f>
      </x:c>
      <x:c r="BT7" s="296" t="str">
        <x:f>IF(F7="","",BH7*AA7)</x:f>
      </x:c>
      <x:c r="BU7" s="373" t="s">
        <x:v>85</x:v>
      </x:c>
      <x:c r="BV7" s="374" t="n">
        <x:v>3.2</x:v>
      </x:c>
    </x:row>
    <x:row r="8" spans="1:184" customFormat="1" ht="115.5" customHeight="1">
      <x:c r="B8" s="356" t="str">
        <x:f>IF(F8="","",B7+1)</x:f>
      </x:c>
      <x:c r="C8" s="357" t="s"/>
      <x:c r="D8" s="357" t="s"/>
      <x:c r="E8" s="357" t="s"/>
      <x:c r="F8" s="357" t="s"/>
      <x:c r="G8" s="357" t="s"/>
      <x:c r="H8" s="358" t="str">
        <x:f>IF(F8="","",VLOOKUP(F8,Sheet_Master!A:M,13,FALSE))</x:f>
      </x:c>
      <x:c r="I8" s="58" t="str">
        <x:f>IF(F8="","",VLOOKUP(F8,Sheet_Master!A:N,14,FALSE))</x:f>
      </x:c>
      <x:c r="J8" s="58" t="str">
        <x:f>IF(F8="","",VLOOKUP(F8,Sheet_Master!A:F,6,FALSE))</x:f>
      </x:c>
      <x:c r="K8" s="58" t="s"/>
      <x:c r="L8" s="58" t="s"/>
      <x:c r="M8" s="58" t="s"/>
      <x:c r="N8" s="58" t="s"/>
      <x:c r="O8" s="357" t="str">
        <x:f>IF(F8="","",1)</x:f>
      </x:c>
      <x:c r="P8" s="357" t="s"/>
      <x:c r="Q8" s="357" t="s"/>
      <x:c r="R8" s="357" t="s"/>
      <x:c r="S8" s="357" t="s"/>
      <x:c r="T8" s="357" t="s"/>
      <x:c r="U8" s="357" t="s"/>
      <x:c r="V8" s="357" t="s"/>
      <x:c r="W8" s="357" t="s"/>
      <x:c r="X8" s="357" t="s"/>
      <x:c r="Y8" s="357" t="s"/>
      <x:c r="Z8" s="58" t="str">
        <x:f>IF((P8*Q8)+(R8*S8)+(T8*U8)+(V8*W8)+(X8*Y8)=0,"",(P8*Q8)+(R8*S8)+(T8*U8)+(V8*W8)+(X8*Y8))</x:f>
      </x:c>
      <x:c r="AA8" s="359" t="str">
        <x:f>IF(F8="","",VLOOKUP(F8,Sheet_Master!A:B,2,FALSE))</x:f>
      </x:c>
      <x:c r="AB8" s="359" t="str">
        <x:f>IF(F8="","",(Z8*AA8)/1000)</x:f>
      </x:c>
      <x:c r="AC8" s="58" t="str">
        <x:f>IF(F8="","",VLOOKUP(F8,Sheet_Master!A:E,5,FALSE))</x:f>
      </x:c>
      <x:c r="AD8" s="58" t="str">
        <x:f>IF(O8="","",IF(O8="-",0,7.5))</x:f>
      </x:c>
      <x:c r="AE8" s="58" t="str">
        <x:f>IF(F8="","",1.3)</x:f>
      </x:c>
      <x:c r="AF8" s="360" t="str">
        <x:f>IF(AND(F8&lt;&gt;"",O8&lt;&gt;"-"),((Q8+S8+U8+W8+Y8-O8)*AE8),(IF(AND(F8&lt;&gt;"",O8="-"),((Q8+S8+U8+W8+Y8)*AE8),"")))</x:f>
      </x:c>
      <x:c r="AG8" s="361" t="str">
        <x:f>IF(F8="","",(Z8/AC8))</x:f>
      </x:c>
      <x:c r="AH8" s="283" t="str">
        <x:f>IF(F8="","",(AD8+AF8+AG8))</x:f>
      </x:c>
      <x:c r="AI8" s="362" t="str">
        <x:f>IF(OR(F8="",ISTEXT(AH8)),"",(Z8*60)/AH8)</x:f>
      </x:c>
      <x:c r="AJ8" s="285" t="s"/>
      <x:c r="AK8" s="286" t="s"/>
      <x:c r="AL8" s="287" t="str">
        <x:f>IF(AH8="","",AH8/1440)</x:f>
      </x:c>
      <x:c r="AM8" s="363" t="str">
        <x:f>IF(F8="","",F8)</x:f>
      </x:c>
      <x:c r="AN8" s="130" t="str">
        <x:f>IF(G8="","",G8)</x:f>
      </x:c>
      <x:c r="AO8" s="130" t="str">
        <x:f>IF(ISERROR(AB8*1000),"",AB8*1000)</x:f>
      </x:c>
      <x:c r="AP8" s="364" t="s"/>
      <x:c r="AQ8" s="364" t="s"/>
      <x:c r="AR8" s="134" t="str">
        <x:f>IF(B8="","",B8)</x:f>
      </x:c>
      <x:c r="AS8" s="130" t="str">
        <x:f>IF(J8="","",J8)</x:f>
      </x:c>
      <x:c r="AT8" s="130" t="str">
        <x:f>IF(K8="","",K8)</x:f>
      </x:c>
      <x:c r="AU8" s="365" t="str">
        <x:f>IF(L8="","",CONCATENATE(L8,"X",M8,"X",N8))</x:f>
      </x:c>
      <x:c r="AV8" s="366" t="str">
        <x:f>IF(AL8="",AL8,AV7+AL7)</x:f>
      </x:c>
      <x:c r="AW8" s="366" t="str">
        <x:f>IFERROR(AV8+AL8,"")</x:f>
      </x:c>
      <x:c r="AX8" s="367" t="s"/>
      <x:c r="AY8" s="367" t="s"/>
      <x:c r="AZ8" s="125" t="str">
        <x:f>AC8</x:f>
      </x:c>
      <x:c r="BA8" s="368" t="s"/>
      <x:c r="BB8" s="369" t="str">
        <x:f>IF(AD8="","",(AD8+AF8))</x:f>
      </x:c>
      <x:c r="BC8" s="368" t="s"/>
      <x:c r="BD8" s="130" t="str">
        <x:f>IF(AH8="","",AH8)</x:f>
      </x:c>
      <x:c r="BE8" s="130" t="str">
        <x:f>IF(AX8="","",IF((AY8-AX8)*1440-(BF8+BP8)&lt;0,(AY8-AX8)*1440-(BF8+BP8)+1440,(AY8-AX8)*1440-(BF8+BP8)))</x:f>
      </x:c>
      <x:c r="BF8" s="364" t="s"/>
      <x:c r="BG8" s="131" t="str">
        <x:f>IF(Z8=0,"",Z8)</x:f>
      </x:c>
      <x:c r="BH8" s="370" t="s"/>
      <x:c r="BI8" s="134" t="str">
        <x:f>IF(AI8="","",AI8)</x:f>
      </x:c>
      <x:c r="BJ8" s="134" t="str">
        <x:f>IFERROR(BH8/(BE8/60),"")</x:f>
      </x:c>
      <x:c r="BK8" s="58" t="s"/>
      <x:c r="BL8" s="58" t="s"/>
      <x:c r="BM8" s="58" t="s"/>
      <x:c r="BN8" s="58" t="s"/>
      <x:c r="BO8" s="58" t="s"/>
      <x:c r="BP8" s="371" t="s"/>
      <x:c r="BQ8" s="125" t="str">
        <x:f>IF(AX8="","",(BE8-BC8))</x:f>
      </x:c>
      <x:c r="BR8" s="295" t="s">
        <x:v>86</x:v>
      </x:c>
      <x:c r="BS8" s="131" t="str">
        <x:f>IF(F8="","",BG8*AA8)</x:f>
      </x:c>
      <x:c r="BT8" s="296" t="str">
        <x:f>IF(F8="","",BH8*AA8)</x:f>
      </x:c>
      <x:c r="BU8" s="297" t="s">
        <x:v>87</x:v>
      </x:c>
      <x:c r="BV8" s="298" t="n">
        <x:v>65</x:v>
      </x:c>
    </x:row>
    <x:row r="9" spans="1:184" customFormat="1" ht="115.5" customHeight="1" thickBot="1">
      <x:c r="B9" s="356" t="str">
        <x:f>IF(F9="","",B8+1)</x:f>
      </x:c>
      <x:c r="C9" s="357" t="s"/>
      <x:c r="D9" s="357" t="s"/>
      <x:c r="E9" s="357" t="s"/>
      <x:c r="F9" s="357" t="s"/>
      <x:c r="G9" s="357" t="s"/>
      <x:c r="H9" s="358" t="str">
        <x:f>IF(F9="","",VLOOKUP(F9,Sheet_Master!A:M,13,FALSE))</x:f>
      </x:c>
      <x:c r="I9" s="58" t="str">
        <x:f>IF(F9="","",VLOOKUP(F9,Sheet_Master!A:N,14,FALSE))</x:f>
      </x:c>
      <x:c r="J9" s="58" t="str">
        <x:f>IF(F9="","",VLOOKUP(F9,Sheet_Master!A:F,6,FALSE))</x:f>
      </x:c>
      <x:c r="K9" s="58" t="s"/>
      <x:c r="L9" s="58" t="s"/>
      <x:c r="M9" s="58" t="s"/>
      <x:c r="N9" s="58" t="s"/>
      <x:c r="O9" s="357" t="str">
        <x:f>IF(F9="","",1)</x:f>
      </x:c>
      <x:c r="P9" s="357" t="s"/>
      <x:c r="Q9" s="357" t="s"/>
      <x:c r="R9" s="357" t="s"/>
      <x:c r="S9" s="357" t="s"/>
      <x:c r="T9" s="357" t="s"/>
      <x:c r="U9" s="357" t="s"/>
      <x:c r="V9" s="357" t="s"/>
      <x:c r="W9" s="357" t="s"/>
      <x:c r="X9" s="357" t="s"/>
      <x:c r="Y9" s="357" t="s"/>
      <x:c r="Z9" s="58" t="str">
        <x:f>IF((P9*Q9)+(R9*S9)+(T9*U9)+(V9*W9)+(X9*Y9)=0,"",(P9*Q9)+(R9*S9)+(T9*U9)+(V9*W9)+(X9*Y9))</x:f>
      </x:c>
      <x:c r="AA9" s="359" t="str">
        <x:f>IF(F9="","",VLOOKUP(F9,Sheet_Master!A:B,2,FALSE))</x:f>
      </x:c>
      <x:c r="AB9" s="359" t="str">
        <x:f>IF(F9="","",(Z9*AA9)/1000)</x:f>
      </x:c>
      <x:c r="AC9" s="58" t="str">
        <x:f>IF(F9="","",VLOOKUP(F9,Sheet_Master!A:E,5,FALSE))</x:f>
      </x:c>
      <x:c r="AD9" s="58" t="str">
        <x:f>IF(O9="","",IF(O9="-",0,7.5))</x:f>
      </x:c>
      <x:c r="AE9" s="58" t="str">
        <x:f>IF(F9="","",1.3)</x:f>
      </x:c>
      <x:c r="AF9" s="360" t="str">
        <x:f>IF(AND(F9&lt;&gt;"",O9&lt;&gt;"-"),((Q9+S9+U9+W9+Y9-O9)*AE9),(IF(AND(F9&lt;&gt;"",O9="-"),((Q9+S9+U9+W9+Y9)*AE9),"")))</x:f>
      </x:c>
      <x:c r="AG9" s="361" t="str">
        <x:f>IF(F9="","",(Z9/AC9))</x:f>
      </x:c>
      <x:c r="AH9" s="283" t="str">
        <x:f>IF(F9="","",(AD9+AF9+AG9))</x:f>
      </x:c>
      <x:c r="AI9" s="362" t="str">
        <x:f>IF(OR(F9="",ISTEXT(AH9)),"",(Z9*60)/AH9)</x:f>
      </x:c>
      <x:c r="AJ9" s="285" t="s"/>
      <x:c r="AK9" s="286" t="s"/>
      <x:c r="AL9" s="287" t="str">
        <x:f>IF(AH9="","",AH9/1440)</x:f>
      </x:c>
      <x:c r="AM9" s="363" t="str">
        <x:f>IF(F9="","",F9)</x:f>
      </x:c>
      <x:c r="AN9" s="130" t="str">
        <x:f>IF(G9="","",G9)</x:f>
      </x:c>
      <x:c r="AO9" s="130" t="str">
        <x:f>IF(ISERROR(AB9*1000),"",AB9*1000)</x:f>
      </x:c>
      <x:c r="AP9" s="364" t="s"/>
      <x:c r="AQ9" s="364" t="s"/>
      <x:c r="AR9" s="134" t="str">
        <x:f>IF(B9="","",B9)</x:f>
      </x:c>
      <x:c r="AS9" s="130" t="str">
        <x:f>IF(J9="","",J9)</x:f>
      </x:c>
      <x:c r="AT9" s="130" t="str">
        <x:f>IF(K9="","",K9)</x:f>
      </x:c>
      <x:c r="AU9" s="365" t="str">
        <x:f>IF(L9="","",CONCATENATE(L9,"X",M9,"X",N9))</x:f>
      </x:c>
      <x:c r="AV9" s="366" t="str">
        <x:f>IF(AL9="",AL9,AV8+AL8)</x:f>
      </x:c>
      <x:c r="AW9" s="366" t="str">
        <x:f>IFERROR(AV9+AL9,"")</x:f>
      </x:c>
      <x:c r="AX9" s="367" t="s"/>
      <x:c r="AY9" s="367" t="s"/>
      <x:c r="AZ9" s="125" t="str">
        <x:f>AC9</x:f>
      </x:c>
      <x:c r="BA9" s="368" t="s"/>
      <x:c r="BB9" s="369" t="str">
        <x:f>IF(AD9="","",(AD9+AF9))</x:f>
      </x:c>
      <x:c r="BC9" s="368" t="s"/>
      <x:c r="BD9" s="130" t="str">
        <x:f>IF(AH9="","",AH9)</x:f>
      </x:c>
      <x:c r="BE9" s="130" t="str">
        <x:f>IF(AX9="","",IF((AY9-AX9)*1440-(BF9+BP9)&lt;0,(AY9-AX9)*1440-(BF9+BP9)+1440,(AY9-AX9)*1440-(BF9+BP9)))</x:f>
      </x:c>
      <x:c r="BF9" s="364" t="s"/>
      <x:c r="BG9" s="131" t="str">
        <x:f>IF(Z9=0,"",Z9)</x:f>
      </x:c>
      <x:c r="BH9" s="370" t="s"/>
      <x:c r="BI9" s="134" t="str">
        <x:f>IF(AI9="","",AI9)</x:f>
      </x:c>
      <x:c r="BJ9" s="134" t="str">
        <x:f>IFERROR(BH9/(BE9/60),"")</x:f>
      </x:c>
      <x:c r="BK9" s="58" t="s"/>
      <x:c r="BL9" s="58" t="s"/>
      <x:c r="BM9" s="58" t="s"/>
      <x:c r="BN9" s="58" t="s"/>
      <x:c r="BO9" s="58" t="s"/>
      <x:c r="BP9" s="371" t="s"/>
      <x:c r="BQ9" s="125" t="str">
        <x:f>IF(AX9="","",(BE9-BC9))</x:f>
      </x:c>
      <x:c r="BR9" s="372" t="s"/>
      <x:c r="BS9" s="131" t="str">
        <x:f>IF(F9="","",BG9*AA9)</x:f>
      </x:c>
      <x:c r="BT9" s="296" t="str">
        <x:f>IF(F9="","",BH9*AA9)</x:f>
      </x:c>
      <x:c r="BU9" s="373" t="s">
        <x:v>88</x:v>
      </x:c>
      <x:c r="BV9" s="374" t="n">
        <x:v>600</x:v>
      </x:c>
    </x:row>
    <x:row r="10" spans="1:184" customFormat="1" ht="115.5" customHeight="1">
      <x:c r="B10" s="356" t="str">
        <x:f>IF(F10="","",B9+1)</x:f>
      </x:c>
      <x:c r="C10" s="357" t="s"/>
      <x:c r="D10" s="357" t="s"/>
      <x:c r="E10" s="357" t="s"/>
      <x:c r="F10" s="357" t="s"/>
      <x:c r="G10" s="357" t="s"/>
      <x:c r="H10" s="358" t="str">
        <x:f>IF(F10="","",VLOOKUP(F10,Sheet_Master!A:M,13,FALSE))</x:f>
      </x:c>
      <x:c r="I10" s="58" t="str">
        <x:f>IF(F10="","",VLOOKUP(F10,Sheet_Master!A:N,14,FALSE))</x:f>
      </x:c>
      <x:c r="J10" s="58" t="str">
        <x:f>IF(F10="","",VLOOKUP(F10,Sheet_Master!A:F,6,FALSE))</x:f>
      </x:c>
      <x:c r="K10" s="58" t="s"/>
      <x:c r="L10" s="58" t="s"/>
      <x:c r="M10" s="58" t="s"/>
      <x:c r="N10" s="58" t="s"/>
      <x:c r="O10" s="357" t="str">
        <x:f>IF(F10="","",1)</x:f>
      </x:c>
      <x:c r="P10" s="357" t="s"/>
      <x:c r="Q10" s="357" t="s"/>
      <x:c r="R10" s="357" t="s"/>
      <x:c r="S10" s="357" t="s"/>
      <x:c r="T10" s="357" t="s"/>
      <x:c r="U10" s="357" t="s"/>
      <x:c r="V10" s="357" t="s"/>
      <x:c r="W10" s="357" t="s"/>
      <x:c r="X10" s="357" t="s"/>
      <x:c r="Y10" s="357" t="s"/>
      <x:c r="Z10" s="58" t="str">
        <x:f>IF((P10*Q10)+(R10*S10)+(T10*U10)+(V10*W10)+(X10*Y10)=0,"",(P10*Q10)+(R10*S10)+(T10*U10)+(V10*W10)+(X10*Y10))</x:f>
      </x:c>
      <x:c r="AA10" s="359" t="str">
        <x:f>IF(F10="","",VLOOKUP(F10,Sheet_Master!A:B,2,FALSE))</x:f>
      </x:c>
      <x:c r="AB10" s="359" t="str">
        <x:f>IF(F10="","",(Z10*AA10)/1000)</x:f>
      </x:c>
      <x:c r="AC10" s="58" t="str">
        <x:f>IF(F10="","",VLOOKUP(F10,Sheet_Master!A:E,5,FALSE))</x:f>
      </x:c>
      <x:c r="AD10" s="58" t="str">
        <x:f>IF(O10="","",IF(O10="-",0,7.5))</x:f>
      </x:c>
      <x:c r="AE10" s="58" t="str">
        <x:f>IF(F10="","",1.3)</x:f>
      </x:c>
      <x:c r="AF10" s="360" t="str">
        <x:f>IF(AND(F10&lt;&gt;"",O10&lt;&gt;"-"),((Q10+S10+U10+W10+Y10-O10)*AE10),(IF(AND(F10&lt;&gt;"",O10="-"),((Q10+S10+U10+W10+Y10)*AE10),"")))</x:f>
      </x:c>
      <x:c r="AG10" s="361" t="str">
        <x:f>IF(F10="","",(Z10/AC10))</x:f>
      </x:c>
      <x:c r="AH10" s="283" t="str">
        <x:f>IF(F10="","",(AD10+AF10+AG10))</x:f>
      </x:c>
      <x:c r="AI10" s="362" t="str">
        <x:f>IF(OR(F10="",ISTEXT(AH10)),"",(Z10*60)/AH10)</x:f>
      </x:c>
      <x:c r="AJ10" s="285" t="s"/>
      <x:c r="AK10" s="286" t="s"/>
      <x:c r="AL10" s="287" t="str">
        <x:f>IF(AH10="","",AH10/1440)</x:f>
      </x:c>
      <x:c r="AM10" s="363" t="str">
        <x:f>IF(F10="","",F10)</x:f>
      </x:c>
      <x:c r="AN10" s="130" t="str">
        <x:f>IF(G10="","",G10)</x:f>
      </x:c>
      <x:c r="AO10" s="130" t="str">
        <x:f>IF(ISERROR(AB10*1000),"",AB10*1000)</x:f>
      </x:c>
      <x:c r="AP10" s="364" t="s"/>
      <x:c r="AQ10" s="364" t="s"/>
      <x:c r="AR10" s="134" t="str">
        <x:f>IF(B10="","",B10)</x:f>
      </x:c>
      <x:c r="AS10" s="130" t="str">
        <x:f>IF(J10="","",J10)</x:f>
      </x:c>
      <x:c r="AT10" s="130" t="str">
        <x:f>IF(K10="","",K10)</x:f>
      </x:c>
      <x:c r="AU10" s="365" t="str">
        <x:f>IF(L10="","",CONCATENATE(L10,"X",M10,"X",N10))</x:f>
      </x:c>
      <x:c r="AV10" s="366" t="str">
        <x:f>IF(AL10="",AL10,AV9+AL9)</x:f>
      </x:c>
      <x:c r="AW10" s="366" t="str">
        <x:f>IFERROR(AV10+AL10,"")</x:f>
      </x:c>
      <x:c r="AX10" s="367" t="s"/>
      <x:c r="AY10" s="367" t="s"/>
      <x:c r="AZ10" s="125" t="str">
        <x:f>AC10</x:f>
      </x:c>
      <x:c r="BA10" s="368" t="s"/>
      <x:c r="BB10" s="369" t="str">
        <x:f>IF(AD10="","",(AD10+AF10))</x:f>
      </x:c>
      <x:c r="BC10" s="368" t="s"/>
      <x:c r="BD10" s="130" t="str">
        <x:f>IF(AH10="","",AH10)</x:f>
      </x:c>
      <x:c r="BE10" s="130" t="str">
        <x:f>IF(AX10="","",IF((AY10-AX10)*1440-(BF10+BP10)&lt;0,(AY10-AX10)*1440-(BF10+BP10)+1440,(AY10-AX10)*1440-(BF10+BP10)))</x:f>
      </x:c>
      <x:c r="BF10" s="364" t="s"/>
      <x:c r="BG10" s="131" t="str">
        <x:f>IF(Z10=0,"",Z10)</x:f>
      </x:c>
      <x:c r="BH10" s="370" t="s"/>
      <x:c r="BI10" s="134" t="str">
        <x:f>IF(AI10="","",AI10)</x:f>
      </x:c>
      <x:c r="BJ10" s="134" t="str">
        <x:f>IFERROR(BH10/(BE10/60),"")</x:f>
      </x:c>
      <x:c r="BK10" s="58" t="s"/>
      <x:c r="BL10" s="58" t="s"/>
      <x:c r="BM10" s="58" t="s"/>
      <x:c r="BN10" s="58" t="s"/>
      <x:c r="BO10" s="58" t="s"/>
      <x:c r="BP10" s="371" t="s"/>
      <x:c r="BQ10" s="125" t="str">
        <x:f>IF(AX10="","",(BE10-BC10))</x:f>
      </x:c>
      <x:c r="BR10" s="295" t="s">
        <x:v>89</x:v>
      </x:c>
      <x:c r="BS10" s="131" t="str">
        <x:f>IF(F10="","",BG10*AA10)</x:f>
      </x:c>
      <x:c r="BT10" s="296" t="str">
        <x:f>IF(F10="","",BH10*AA10)</x:f>
      </x:c>
      <x:c r="BU10" s="297" t="s">
        <x:v>90</x:v>
      </x:c>
      <x:c r="BV10" s="298" t="n">
        <x:v>85</x:v>
      </x:c>
    </x:row>
    <x:row r="11" spans="1:184" customFormat="1" ht="115.5" customHeight="1" thickBot="1">
      <x:c r="B11" s="356" t="str">
        <x:f>IF(F11="","",B10+1)</x:f>
      </x:c>
      <x:c r="C11" s="357" t="s"/>
      <x:c r="D11" s="357" t="s"/>
      <x:c r="E11" s="357" t="s"/>
      <x:c r="F11" s="357" t="s"/>
      <x:c r="G11" s="357" t="s"/>
      <x:c r="H11" s="358" t="str">
        <x:f>IF(F11="","",VLOOKUP(F11,Sheet_Master!A:M,13,FALSE))</x:f>
      </x:c>
      <x:c r="I11" s="58" t="str">
        <x:f>IF(F11="","",VLOOKUP(F11,Sheet_Master!A:N,14,FALSE))</x:f>
      </x:c>
      <x:c r="J11" s="58" t="str">
        <x:f>IF(F11="","",VLOOKUP(F11,Sheet_Master!A:F,6,FALSE))</x:f>
      </x:c>
      <x:c r="K11" s="58" t="s"/>
      <x:c r="L11" s="58" t="s"/>
      <x:c r="M11" s="58" t="s"/>
      <x:c r="N11" s="58" t="s"/>
      <x:c r="O11" s="357" t="str">
        <x:f>IF(F11="","",1)</x:f>
      </x:c>
      <x:c r="P11" s="357" t="s"/>
      <x:c r="Q11" s="357" t="s"/>
      <x:c r="R11" s="357" t="s"/>
      <x:c r="S11" s="357" t="s"/>
      <x:c r="T11" s="357" t="s"/>
      <x:c r="U11" s="357" t="s"/>
      <x:c r="V11" s="357" t="s"/>
      <x:c r="W11" s="357" t="s"/>
      <x:c r="X11" s="357" t="s"/>
      <x:c r="Y11" s="357" t="s"/>
      <x:c r="Z11" s="58" t="str">
        <x:f>IF((P11*Q11)+(R11*S11)+(T11*U11)+(V11*W11)+(X11*Y11)=0,"",(P11*Q11)+(R11*S11)+(T11*U11)+(V11*W11)+(X11*Y11))</x:f>
      </x:c>
      <x:c r="AA11" s="359" t="str">
        <x:f>IF(F11="","",VLOOKUP(F11,Sheet_Master!A:B,2,FALSE))</x:f>
      </x:c>
      <x:c r="AB11" s="359" t="str">
        <x:f>IF(F11="","",(Z11*AA11)/1000)</x:f>
      </x:c>
      <x:c r="AC11" s="58" t="str">
        <x:f>IF(F11="","",VLOOKUP(F11,Sheet_Master!A:E,5,FALSE))</x:f>
      </x:c>
      <x:c r="AD11" s="58" t="str">
        <x:f>IF(O11="","",IF(O11="-",0,7.5))</x:f>
      </x:c>
      <x:c r="AE11" s="58" t="str">
        <x:f>IF(F11="","",1.3)</x:f>
      </x:c>
      <x:c r="AF11" s="360" t="str">
        <x:f>IF(AND(F11&lt;&gt;"",O11&lt;&gt;"-"),((Q11+S11+U11+W11+Y11-O11)*AE11),(IF(AND(F11&lt;&gt;"",O11="-"),((Q11+S11+U11+W11+Y11)*AE11),"")))</x:f>
      </x:c>
      <x:c r="AG11" s="361" t="str">
        <x:f>IF(F11="","",(Z11/AC11))</x:f>
      </x:c>
      <x:c r="AH11" s="283" t="str">
        <x:f>IF(F11="","",(AD11+AF11+AG11))</x:f>
      </x:c>
      <x:c r="AI11" s="362" t="str">
        <x:f>IF(OR(F11="",ISTEXT(AH11)),"",(Z11*60)/AH11)</x:f>
      </x:c>
      <x:c r="AJ11" s="285" t="s"/>
      <x:c r="AK11" s="286" t="s"/>
      <x:c r="AL11" s="287" t="str">
        <x:f>IF(AH11="","",AH11/1440)</x:f>
      </x:c>
      <x:c r="AM11" s="363" t="str">
        <x:f>IF(F11="","",F11)</x:f>
      </x:c>
      <x:c r="AN11" s="130" t="str">
        <x:f>IF(G11="","",G11)</x:f>
      </x:c>
      <x:c r="AO11" s="130" t="str">
        <x:f>IF(ISERROR(AB11*1000),"",AB11*1000)</x:f>
      </x:c>
      <x:c r="AP11" s="364" t="s"/>
      <x:c r="AQ11" s="364" t="s"/>
      <x:c r="AR11" s="134" t="str">
        <x:f>IF(B11="","",B11)</x:f>
      </x:c>
      <x:c r="AS11" s="130" t="str">
        <x:f>IF(J11="","",J11)</x:f>
      </x:c>
      <x:c r="AT11" s="130" t="str">
        <x:f>IF(K11="","",K11)</x:f>
      </x:c>
      <x:c r="AU11" s="365" t="str">
        <x:f>IF(L11="","",CONCATENATE(L11,"X",M11,"X",N11))</x:f>
      </x:c>
      <x:c r="AV11" s="366" t="str">
        <x:f>IF(AL11="",AL11,AV10+AL10)</x:f>
      </x:c>
      <x:c r="AW11" s="366" t="str">
        <x:f>IFERROR(AV11+AL11,"")</x:f>
      </x:c>
      <x:c r="AX11" s="367" t="s"/>
      <x:c r="AY11" s="367" t="s"/>
      <x:c r="AZ11" s="125" t="str">
        <x:f>AC11</x:f>
      </x:c>
      <x:c r="BA11" s="368" t="s"/>
      <x:c r="BB11" s="369" t="str">
        <x:f>IF(AD11="","",(AD11+AF11))</x:f>
      </x:c>
      <x:c r="BC11" s="368" t="s"/>
      <x:c r="BD11" s="130" t="str">
        <x:f>IF(AH11="","",AH11)</x:f>
      </x:c>
      <x:c r="BE11" s="130" t="str">
        <x:f>IF(AX11="","",IF((AY11-AX11)*1440-(BF11+BP11)&lt;0,(AY11-AX11)*1440-(BF11+BP11)+1440,(AY11-AX11)*1440-(BF11+BP11)))</x:f>
      </x:c>
      <x:c r="BF11" s="364" t="s"/>
      <x:c r="BG11" s="131" t="str">
        <x:f>IF(Z11=0,"",Z11)</x:f>
      </x:c>
      <x:c r="BH11" s="370" t="s"/>
      <x:c r="BI11" s="134" t="str">
        <x:f>IF(AI11="","",AI11)</x:f>
      </x:c>
      <x:c r="BJ11" s="134" t="str">
        <x:f>IFERROR(BH11/(BE11/60),"")</x:f>
      </x:c>
      <x:c r="BK11" s="58" t="s"/>
      <x:c r="BL11" s="58" t="s"/>
      <x:c r="BM11" s="58" t="s"/>
      <x:c r="BN11" s="58" t="s"/>
      <x:c r="BO11" s="58" t="s"/>
      <x:c r="BP11" s="371" t="s"/>
      <x:c r="BQ11" s="125" t="str">
        <x:f>IF(AX11="","",(BE11-BC11))</x:f>
      </x:c>
      <x:c r="BR11" s="375" t="s"/>
      <x:c r="BS11" s="131" t="str">
        <x:f>IF(F11="","",BG11*AA11)</x:f>
      </x:c>
      <x:c r="BT11" s="296" t="str">
        <x:f>IF(F11="","",BH11*AA11)</x:f>
      </x:c>
      <x:c r="BU11" s="373" t="s">
        <x:v>91</x:v>
      </x:c>
      <x:c r="BV11" s="374" t="n">
        <x:v>1450</x:v>
      </x:c>
    </x:row>
    <x:row r="12" spans="1:184" customFormat="1" ht="115.5" customHeight="1" thickBot="1">
      <x:c r="B12" s="356" t="str">
        <x:f>IF(F12="","",B11+1)</x:f>
      </x:c>
      <x:c r="C12" s="357" t="s"/>
      <x:c r="D12" s="357" t="s"/>
      <x:c r="E12" s="357" t="s"/>
      <x:c r="F12" s="357" t="s"/>
      <x:c r="G12" s="357" t="s"/>
      <x:c r="H12" s="358" t="str">
        <x:f>IF(F12="","",VLOOKUP(F12,Sheet_Master!A:M,13,FALSE))</x:f>
      </x:c>
      <x:c r="I12" s="58" t="str">
        <x:f>IF(F12="","",VLOOKUP(F12,Sheet_Master!A:N,14,FALSE))</x:f>
      </x:c>
      <x:c r="J12" s="58" t="str">
        <x:f>IF(F12="","",VLOOKUP(F12,Sheet_Master!A:F,6,FALSE))</x:f>
      </x:c>
      <x:c r="K12" s="58" t="s"/>
      <x:c r="L12" s="58" t="s"/>
      <x:c r="M12" s="58" t="s"/>
      <x:c r="N12" s="58" t="s"/>
      <x:c r="O12" s="357" t="str">
        <x:f>IF(F12="","",1)</x:f>
      </x:c>
      <x:c r="P12" s="357" t="s"/>
      <x:c r="Q12" s="357" t="s"/>
      <x:c r="R12" s="357" t="s"/>
      <x:c r="S12" s="357" t="s"/>
      <x:c r="T12" s="357" t="s"/>
      <x:c r="U12" s="357" t="s"/>
      <x:c r="V12" s="357" t="s"/>
      <x:c r="W12" s="357" t="s"/>
      <x:c r="X12" s="357" t="s"/>
      <x:c r="Y12" s="357" t="s"/>
      <x:c r="Z12" s="58" t="str">
        <x:f>IF((P12*Q12)+(R12*S12)+(T12*U12)+(V12*W12)+(X12*Y12)=0,"",(P12*Q12)+(R12*S12)+(T12*U12)+(V12*W12)+(X12*Y12))</x:f>
      </x:c>
      <x:c r="AA12" s="359" t="str">
        <x:f>IF(F12="","",VLOOKUP(F12,Sheet_Master!A:B,2,FALSE))</x:f>
      </x:c>
      <x:c r="AB12" s="359" t="str">
        <x:f>IF(F12="","",(Z12*AA12)/1000)</x:f>
      </x:c>
      <x:c r="AC12" s="58" t="str">
        <x:f>IF(F12="","",VLOOKUP(F12,Sheet_Master!A:E,5,FALSE))</x:f>
      </x:c>
      <x:c r="AD12" s="58" t="str">
        <x:f>IF(O12="","",IF(O12="-",0,7.5))</x:f>
      </x:c>
      <x:c r="AE12" s="58" t="str">
        <x:f>IF(F12="","",1.3)</x:f>
      </x:c>
      <x:c r="AF12" s="360" t="str">
        <x:f>IF(AND(F12&lt;&gt;"",O12&lt;&gt;"-"),((Q12+S12+U12+W12+Y12-O12)*AE12),(IF(AND(F12&lt;&gt;"",O12="-"),((Q12+S12+U12+W12+Y12)*AE12),"")))</x:f>
      </x:c>
      <x:c r="AG12" s="361" t="str">
        <x:f>IF(F12="","",(Z12/AC12))</x:f>
      </x:c>
      <x:c r="AH12" s="283" t="str">
        <x:f>IF(F12="","",(AD12+AF12+AG12))</x:f>
      </x:c>
      <x:c r="AI12" s="362" t="str">
        <x:f>IF(OR(F12="",ISTEXT(AH12)),"",(Z12*60)/AH12)</x:f>
      </x:c>
      <x:c r="AJ12" s="285" t="s"/>
      <x:c r="AK12" s="286" t="s"/>
      <x:c r="AL12" s="287" t="str">
        <x:f>IF(AH12="","",AH12/1440)</x:f>
      </x:c>
      <x:c r="AM12" s="363" t="str">
        <x:f>IF(F12="","",F12)</x:f>
      </x:c>
      <x:c r="AN12" s="130" t="str">
        <x:f>IF(G12="","",G12)</x:f>
      </x:c>
      <x:c r="AO12" s="130" t="str">
        <x:f>IF(ISERROR(AB12*1000),"",AB12*1000)</x:f>
      </x:c>
      <x:c r="AP12" s="364" t="s"/>
      <x:c r="AQ12" s="364" t="s"/>
      <x:c r="AR12" s="134" t="str">
        <x:f>IF(B12="","",B12)</x:f>
      </x:c>
      <x:c r="AS12" s="130" t="str">
        <x:f>IF(J12="","",J12)</x:f>
      </x:c>
      <x:c r="AT12" s="130" t="str">
        <x:f>IF(K12="","",K12)</x:f>
      </x:c>
      <x:c r="AU12" s="365" t="str">
        <x:f>IF(L12="","",CONCATENATE(L12,"X",M12,"X",N12))</x:f>
      </x:c>
      <x:c r="AV12" s="366" t="str">
        <x:f>IF(AL12="",AL12,AV11+AL11)</x:f>
      </x:c>
      <x:c r="AW12" s="366" t="str">
        <x:f>IFERROR(AV12+AL12,"")</x:f>
      </x:c>
      <x:c r="AX12" s="367" t="s"/>
      <x:c r="AY12" s="367" t="s"/>
      <x:c r="AZ12" s="125" t="str">
        <x:f>AC12</x:f>
      </x:c>
      <x:c r="BA12" s="368" t="s"/>
      <x:c r="BB12" s="369" t="str">
        <x:f>IF(AD12="","",(AD12+AF12))</x:f>
      </x:c>
      <x:c r="BC12" s="368" t="s"/>
      <x:c r="BD12" s="130" t="str">
        <x:f>IF(AH12="","",AH12)</x:f>
      </x:c>
      <x:c r="BE12" s="130" t="str">
        <x:f>IF(AX12="","",IF((AY12-AX12)*1440-(BF12+BP12)&lt;0,(AY12-AX12)*1440-(BF12+BP12)+1440,(AY12-AX12)*1440-(BF12+BP12)))</x:f>
      </x:c>
      <x:c r="BF12" s="364" t="s"/>
      <x:c r="BG12" s="131" t="str">
        <x:f>IF(Z12=0,"",Z12)</x:f>
      </x:c>
      <x:c r="BH12" s="370" t="s"/>
      <x:c r="BI12" s="134" t="str">
        <x:f>IF(AI12="","",AI12)</x:f>
      </x:c>
      <x:c r="BJ12" s="134" t="str">
        <x:f>IFERROR(BH12/(BE12/60),"")</x:f>
      </x:c>
      <x:c r="BK12" s="58" t="s"/>
      <x:c r="BL12" s="58" t="s"/>
      <x:c r="BM12" s="58" t="s"/>
      <x:c r="BN12" s="58" t="s"/>
      <x:c r="BO12" s="58" t="s"/>
      <x:c r="BP12" s="371" t="s"/>
      <x:c r="BQ12" s="125" t="str">
        <x:f>IF(AX12="","",(BE12-BC12))</x:f>
      </x:c>
      <x:c r="BR12" s="295" t="s">
        <x:v>66</x:v>
      </x:c>
      <x:c r="BS12" s="131" t="str">
        <x:f>IF(F12="","",BG12*AA12)</x:f>
      </x:c>
      <x:c r="BT12" s="296" t="str">
        <x:f>IF(F12="","",BH12*AA12)</x:f>
      </x:c>
      <x:c r="BU12" s="376" t="s">
        <x:v>92</x:v>
      </x:c>
      <x:c r="BV12" s="377" t="n">
        <x:v>3</x:v>
      </x:c>
    </x:row>
    <x:row r="13" spans="1:184" customFormat="1" ht="115.5" customHeight="1">
      <x:c r="B13" s="356" t="str">
        <x:f>IF(F13="","",B12+1)</x:f>
      </x:c>
      <x:c r="C13" s="357" t="s"/>
      <x:c r="D13" s="357" t="s"/>
      <x:c r="E13" s="357" t="s"/>
      <x:c r="F13" s="357" t="s"/>
      <x:c r="G13" s="357" t="s"/>
      <x:c r="H13" s="358" t="str">
        <x:f>IF(F13="","",VLOOKUP(F13,Sheet_Master!A:M,13,FALSE))</x:f>
      </x:c>
      <x:c r="I13" s="58" t="str">
        <x:f>IF(F13="","",VLOOKUP(F13,Sheet_Master!A:N,14,FALSE))</x:f>
      </x:c>
      <x:c r="J13" s="58" t="str">
        <x:f>IF(F13="","",VLOOKUP(F13,Sheet_Master!A:F,6,FALSE))</x:f>
      </x:c>
      <x:c r="K13" s="58" t="s"/>
      <x:c r="L13" s="58" t="s"/>
      <x:c r="M13" s="58" t="s"/>
      <x:c r="N13" s="58" t="s"/>
      <x:c r="O13" s="357" t="str">
        <x:f>IF(F13="","",1)</x:f>
      </x:c>
      <x:c r="P13" s="357" t="s"/>
      <x:c r="Q13" s="357" t="s"/>
      <x:c r="R13" s="357" t="s"/>
      <x:c r="S13" s="357" t="s"/>
      <x:c r="T13" s="357" t="s"/>
      <x:c r="U13" s="357" t="s"/>
      <x:c r="V13" s="357" t="s"/>
      <x:c r="W13" s="357" t="s"/>
      <x:c r="X13" s="357" t="s"/>
      <x:c r="Y13" s="357" t="s"/>
      <x:c r="Z13" s="58" t="str">
        <x:f>IF((P13*Q13)+(R13*S13)+(T13*U13)+(V13*W13)+(X13*Y13)=0,"",(P13*Q13)+(R13*S13)+(T13*U13)+(V13*W13)+(X13*Y13))</x:f>
      </x:c>
      <x:c r="AA13" s="359" t="str">
        <x:f>IF(F13="","",VLOOKUP(F13,Sheet_Master!A:B,2,FALSE))</x:f>
      </x:c>
      <x:c r="AB13" s="359" t="str">
        <x:f>IF(F13="","",(Z13*AA13)/1000)</x:f>
      </x:c>
      <x:c r="AC13" s="58" t="str">
        <x:f>IF(F13="","",VLOOKUP(F13,Sheet_Master!A:E,5,FALSE))</x:f>
      </x:c>
      <x:c r="AD13" s="58" t="str">
        <x:f>IF(O13="","",IF(O13="-",0,7.5))</x:f>
      </x:c>
      <x:c r="AE13" s="58" t="str">
        <x:f>IF(F13="","",1.3)</x:f>
      </x:c>
      <x:c r="AF13" s="360" t="str">
        <x:f>IF(AND(F13&lt;&gt;"",O13&lt;&gt;"-"),((Q13+S13+U13+W13+Y13-O13)*AE13),(IF(AND(F13&lt;&gt;"",O13="-"),((Q13+S13+U13+W13+Y13)*AE13),"")))</x:f>
      </x:c>
      <x:c r="AG13" s="361" t="str">
        <x:f>IF(F13="","",(Z13/AC13))</x:f>
      </x:c>
      <x:c r="AH13" s="283" t="str">
        <x:f>IF(F13="","",(AD13+AF13+AG13))</x:f>
      </x:c>
      <x:c r="AI13" s="362" t="str">
        <x:f>IF(OR(F13="",ISTEXT(AH13)),"",(Z13*60)/AH13)</x:f>
      </x:c>
      <x:c r="AJ13" s="285" t="s"/>
      <x:c r="AK13" s="286" t="s"/>
      <x:c r="AL13" s="287" t="str">
        <x:f>IF(AH13="","",AH13/1440)</x:f>
      </x:c>
      <x:c r="AM13" s="363" t="str">
        <x:f>IF(F13="","",F13)</x:f>
      </x:c>
      <x:c r="AN13" s="130" t="str">
        <x:f>IF(G13="","",G13)</x:f>
      </x:c>
      <x:c r="AO13" s="130" t="str">
        <x:f>IF(ISERROR(AB13*1000),"",AB13*1000)</x:f>
      </x:c>
      <x:c r="AP13" s="364" t="s"/>
      <x:c r="AQ13" s="364" t="s"/>
      <x:c r="AR13" s="134" t="str">
        <x:f>IF(B13="","",B13)</x:f>
      </x:c>
      <x:c r="AS13" s="130" t="str">
        <x:f>IF(J13="","",J13)</x:f>
      </x:c>
      <x:c r="AT13" s="130" t="str">
        <x:f>IF(K13="","",K13)</x:f>
      </x:c>
      <x:c r="AU13" s="365" t="str">
        <x:f>IF(L13="","",CONCATENATE(L13,"X",M13,"X",N13))</x:f>
      </x:c>
      <x:c r="AV13" s="366" t="str">
        <x:f>IF(AL13="",AL13,AV12+AL12)</x:f>
      </x:c>
      <x:c r="AW13" s="366" t="str">
        <x:f>IFERROR(AV13+AL13,"")</x:f>
      </x:c>
      <x:c r="AX13" s="367" t="s"/>
      <x:c r="AY13" s="367" t="s"/>
      <x:c r="AZ13" s="125" t="str">
        <x:f>AC13</x:f>
      </x:c>
      <x:c r="BA13" s="368" t="s"/>
      <x:c r="BB13" s="369" t="str">
        <x:f>IF(AD13="","",(AD13+AF13))</x:f>
      </x:c>
      <x:c r="BC13" s="368" t="s"/>
      <x:c r="BD13" s="130" t="str">
        <x:f>IF(AH13="","",AH13)</x:f>
      </x:c>
      <x:c r="BE13" s="130" t="str">
        <x:f>IF(AX13="","",IF((AY13-AX13)*1440-(BF13+BP13)&lt;0,(AY13-AX13)*1440-(BF13+BP13)+1440,(AY13-AX13)*1440-(BF13+BP13)))</x:f>
      </x:c>
      <x:c r="BF13" s="364" t="s"/>
      <x:c r="BG13" s="131" t="str">
        <x:f>IF(Z13=0,"",Z13)</x:f>
      </x:c>
      <x:c r="BH13" s="370" t="s"/>
      <x:c r="BI13" s="134" t="str">
        <x:f>IF(AI13="","",AI13)</x:f>
      </x:c>
      <x:c r="BJ13" s="134" t="str">
        <x:f>IFERROR(BH13/(BE13/60),"")</x:f>
      </x:c>
      <x:c r="BK13" s="58" t="s"/>
      <x:c r="BL13" s="58" t="s"/>
      <x:c r="BM13" s="58" t="s"/>
      <x:c r="BN13" s="58" t="s"/>
      <x:c r="BO13" s="58" t="s"/>
      <x:c r="BP13" s="371" t="s"/>
      <x:c r="BQ13" s="125" t="str">
        <x:f>IF(AX13="","",(BE13-BC13))</x:f>
      </x:c>
      <x:c r="BR13" s="378" t="s"/>
      <x:c r="BS13" s="131" t="str">
        <x:f>IF(F13="","",BG13*AA13)</x:f>
      </x:c>
      <x:c r="BT13" s="296" t="str">
        <x:f>IF(F13="","",BH13*AA13)</x:f>
      </x:c>
      <x:c r="BV13" s="379" t="s">
        <x:v>34</x:v>
      </x:c>
    </x:row>
    <x:row r="14" spans="1:184" customFormat="1" ht="115.5" customHeight="1">
      <x:c r="B14" s="356" t="str">
        <x:f>IF(F14="","",B13+1)</x:f>
      </x:c>
      <x:c r="C14" s="357" t="s"/>
      <x:c r="D14" s="357" t="s"/>
      <x:c r="E14" s="357" t="s"/>
      <x:c r="F14" s="357" t="s"/>
      <x:c r="G14" s="357" t="s"/>
      <x:c r="H14" s="358" t="str">
        <x:f>IF(F14="","",VLOOKUP(F14,Sheet_Master!A:M,13,FALSE))</x:f>
      </x:c>
      <x:c r="I14" s="58" t="str">
        <x:f>IF(F14="","",VLOOKUP(F14,Sheet_Master!A:N,14,FALSE))</x:f>
      </x:c>
      <x:c r="J14" s="58" t="str">
        <x:f>IF(F14="","",VLOOKUP(F14,Sheet_Master!A:F,6,FALSE))</x:f>
      </x:c>
      <x:c r="K14" s="58" t="s"/>
      <x:c r="L14" s="58" t="s"/>
      <x:c r="M14" s="58" t="s"/>
      <x:c r="N14" s="58" t="s"/>
      <x:c r="O14" s="357" t="str">
        <x:f>IF(F14="","",1)</x:f>
      </x:c>
      <x:c r="P14" s="357" t="s"/>
      <x:c r="Q14" s="357" t="s"/>
      <x:c r="R14" s="357" t="s"/>
      <x:c r="S14" s="357" t="s"/>
      <x:c r="T14" s="357" t="s"/>
      <x:c r="U14" s="357" t="s"/>
      <x:c r="V14" s="357" t="s"/>
      <x:c r="W14" s="357" t="s"/>
      <x:c r="X14" s="357" t="s"/>
      <x:c r="Y14" s="357" t="s"/>
      <x:c r="Z14" s="58" t="str">
        <x:f>IF((P14*Q14)+(R14*S14)+(T14*U14)+(V14*W14)+(X14*Y14)=0,"",(P14*Q14)+(R14*S14)+(T14*U14)+(V14*W14)+(X14*Y14))</x:f>
      </x:c>
      <x:c r="AA14" s="359" t="str">
        <x:f>IF(F14="","",VLOOKUP(F14,Sheet_Master!A:B,2,FALSE))</x:f>
      </x:c>
      <x:c r="AB14" s="359" t="str">
        <x:f>IF(F14="","",(Z14*AA14)/1000)</x:f>
      </x:c>
      <x:c r="AC14" s="58" t="str">
        <x:f>IF(F14="","",VLOOKUP(F14,Sheet_Master!A:E,5,FALSE))</x:f>
      </x:c>
      <x:c r="AD14" s="58" t="str">
        <x:f>IF(O14="","",IF(O14="-",0,7.5))</x:f>
      </x:c>
      <x:c r="AE14" s="58" t="str">
        <x:f>IF(F14="","",1.3)</x:f>
      </x:c>
      <x:c r="AF14" s="360" t="str">
        <x:f>IF(AND(F14&lt;&gt;"",O14&lt;&gt;"-"),((Q14+S14+U14+W14+Y14-O14)*AE14),(IF(AND(F14&lt;&gt;"",O14="-"),((Q14+S14+U14+W14+Y14)*AE14),"")))</x:f>
      </x:c>
      <x:c r="AG14" s="361" t="str">
        <x:f>IF(F14="","",(Z14/AC14))</x:f>
      </x:c>
      <x:c r="AH14" s="283" t="str">
        <x:f>IF(F14="","",(AD14+AF14+AG14))</x:f>
      </x:c>
      <x:c r="AI14" s="362" t="str">
        <x:f>IF(OR(F14="",ISTEXT(AH14)),"",(Z14*60)/AH14)</x:f>
      </x:c>
      <x:c r="AJ14" s="285" t="s"/>
      <x:c r="AK14" s="286" t="s"/>
      <x:c r="AL14" s="287" t="str">
        <x:f>IF(AH14="","",AH14/1440)</x:f>
      </x:c>
      <x:c r="AM14" s="363" t="str">
        <x:f>IF(F14="","",F14)</x:f>
      </x:c>
      <x:c r="AN14" s="130" t="str">
        <x:f>IF(G14="","",G14)</x:f>
      </x:c>
      <x:c r="AO14" s="130" t="str">
        <x:f>IF(ISERROR(AB14*1000),"",AB14*1000)</x:f>
      </x:c>
      <x:c r="AP14" s="364" t="s"/>
      <x:c r="AQ14" s="364" t="s"/>
      <x:c r="AR14" s="134" t="str">
        <x:f>IF(B14="","",B14)</x:f>
      </x:c>
      <x:c r="AS14" s="130" t="str">
        <x:f>IF(J14="","",J14)</x:f>
      </x:c>
      <x:c r="AT14" s="130" t="str">
        <x:f>IF(K14="","",K14)</x:f>
      </x:c>
      <x:c r="AU14" s="365" t="str">
        <x:f>IF(L14="","",CONCATENATE(L14,"X",M14,"X",N14))</x:f>
      </x:c>
      <x:c r="AV14" s="366" t="str">
        <x:f>IF(AL14="",AL14,AV13+AL13)</x:f>
      </x:c>
      <x:c r="AW14" s="366" t="str">
        <x:f>IFERROR(AV14+AL14,"")</x:f>
      </x:c>
      <x:c r="AX14" s="367" t="s"/>
      <x:c r="AY14" s="367" t="s"/>
      <x:c r="AZ14" s="125" t="str">
        <x:f>AC14</x:f>
      </x:c>
      <x:c r="BA14" s="368" t="s"/>
      <x:c r="BB14" s="369" t="str">
        <x:f>IF(AD14="","",(AD14+AF14))</x:f>
      </x:c>
      <x:c r="BC14" s="368" t="s"/>
      <x:c r="BD14" s="130" t="str">
        <x:f>IF(AH14="","",AH14)</x:f>
      </x:c>
      <x:c r="BE14" s="130" t="str">
        <x:f>IF(AX14="","",IF((AY14-AX14)*1440-(BF14+BP14)&lt;0,(AY14-AX14)*1440-(BF14+BP14)+1440,(AY14-AX14)*1440-(BF14+BP14)))</x:f>
      </x:c>
      <x:c r="BF14" s="364" t="s"/>
      <x:c r="BG14" s="131" t="str">
        <x:f>IF(Z14=0,"",Z14)</x:f>
      </x:c>
      <x:c r="BH14" s="370" t="s"/>
      <x:c r="BI14" s="134" t="str">
        <x:f>IF(AI14="","",AI14)</x:f>
      </x:c>
      <x:c r="BJ14" s="134" t="str">
        <x:f>IFERROR(BH14/(BE14/60),"")</x:f>
      </x:c>
      <x:c r="BK14" s="58" t="s"/>
      <x:c r="BL14" s="58" t="s"/>
      <x:c r="BM14" s="58" t="s"/>
      <x:c r="BN14" s="58" t="s"/>
      <x:c r="BO14" s="58" t="s"/>
      <x:c r="BP14" s="371" t="s"/>
      <x:c r="BQ14" s="125" t="str">
        <x:f>IF(AX14="","",(BE14-BC14))</x:f>
      </x:c>
      <x:c r="BR14" s="295" t="s">
        <x:v>93</x:v>
      </x:c>
      <x:c r="BS14" s="131" t="str">
        <x:f>IF(F14="","",BG14*AA14)</x:f>
      </x:c>
      <x:c r="BT14" s="296" t="str">
        <x:f>IF(F14="","",BH14*AA14)</x:f>
      </x:c>
    </x:row>
    <x:row r="15" spans="1:184" customFormat="1" ht="115.5" customHeight="1">
      <x:c r="B15" s="356" t="str">
        <x:f>IF(F15="","",B14+1)</x:f>
      </x:c>
      <x:c r="C15" s="357" t="s"/>
      <x:c r="D15" s="357" t="s"/>
      <x:c r="E15" s="357" t="s"/>
      <x:c r="F15" s="357" t="s"/>
      <x:c r="G15" s="357" t="s"/>
      <x:c r="H15" s="358" t="str">
        <x:f>IF(F15="","",VLOOKUP(F15,Sheet_Master!A:M,13,FALSE))</x:f>
      </x:c>
      <x:c r="I15" s="58" t="str">
        <x:f>IF(F15="","",VLOOKUP(F15,Sheet_Master!A:N,14,FALSE))</x:f>
      </x:c>
      <x:c r="J15" s="58" t="str">
        <x:f>IF(F15="","",VLOOKUP(F15,Sheet_Master!A:F,6,FALSE))</x:f>
      </x:c>
      <x:c r="K15" s="58" t="s"/>
      <x:c r="L15" s="58" t="s"/>
      <x:c r="M15" s="58" t="s"/>
      <x:c r="N15" s="58" t="s"/>
      <x:c r="O15" s="357" t="str">
        <x:f>IF(F15="","",1)</x:f>
      </x:c>
      <x:c r="P15" s="357" t="s"/>
      <x:c r="Q15" s="357" t="s"/>
      <x:c r="R15" s="357" t="s"/>
      <x:c r="S15" s="357" t="s"/>
      <x:c r="T15" s="357" t="s"/>
      <x:c r="U15" s="357" t="s"/>
      <x:c r="V15" s="357" t="s"/>
      <x:c r="W15" s="357" t="s"/>
      <x:c r="X15" s="357" t="s"/>
      <x:c r="Y15" s="357" t="s"/>
      <x:c r="Z15" s="58" t="str">
        <x:f>IF((P15*Q15)+(R15*S15)+(T15*U15)+(V15*W15)+(X15*Y15)=0,"",(P15*Q15)+(R15*S15)+(T15*U15)+(V15*W15)+(X15*Y15))</x:f>
      </x:c>
      <x:c r="AA15" s="359" t="str">
        <x:f>IF(F15="","",VLOOKUP(F15,Sheet_Master!A:B,2,FALSE))</x:f>
      </x:c>
      <x:c r="AB15" s="359" t="str">
        <x:f>IF(F15="","",(Z15*AA15)/1000)</x:f>
      </x:c>
      <x:c r="AC15" s="58" t="str">
        <x:f>IF(F15="","",VLOOKUP(F15,Sheet_Master!A:E,5,FALSE))</x:f>
      </x:c>
      <x:c r="AD15" s="58" t="str">
        <x:f>IF(O15="","",IF(O15="-",0,7.5))</x:f>
      </x:c>
      <x:c r="AE15" s="58" t="str">
        <x:f>IF(F15="","",1.3)</x:f>
      </x:c>
      <x:c r="AF15" s="360" t="str">
        <x:f>IF(AND(F15&lt;&gt;"",O15&lt;&gt;"-"),((Q15+S15+U15+W15+Y15-O15)*AE15),(IF(AND(F15&lt;&gt;"",O15="-"),((Q15+S15+U15+W15+Y15)*AE15),"")))</x:f>
      </x:c>
      <x:c r="AG15" s="361" t="str">
        <x:f>IF(F15="","",(Z15/AC15))</x:f>
      </x:c>
      <x:c r="AH15" s="283" t="str">
        <x:f>IF(F15="","",(AD15+AF15+AG15))</x:f>
      </x:c>
      <x:c r="AI15" s="362" t="str">
        <x:f>IF(OR(F15="",ISTEXT(AH15)),"",(Z15*60)/AH15)</x:f>
      </x:c>
      <x:c r="AJ15" s="285" t="s"/>
      <x:c r="AK15" s="286" t="s"/>
      <x:c r="AL15" s="287" t="str">
        <x:f>IF(AH15="","",AH15/1440)</x:f>
      </x:c>
      <x:c r="AM15" s="363" t="str">
        <x:f>IF(F15="","",F15)</x:f>
      </x:c>
      <x:c r="AN15" s="130" t="str">
        <x:f>IF(G15="","",G15)</x:f>
      </x:c>
      <x:c r="AO15" s="130" t="str">
        <x:f>IF(ISERROR(AB15*1000),"",AB15*1000)</x:f>
      </x:c>
      <x:c r="AP15" s="364" t="s"/>
      <x:c r="AQ15" s="364" t="s"/>
      <x:c r="AR15" s="134" t="str">
        <x:f>IF(B15="","",B15)</x:f>
      </x:c>
      <x:c r="AS15" s="130" t="str">
        <x:f>IF(J15="","",J15)</x:f>
      </x:c>
      <x:c r="AT15" s="130" t="str">
        <x:f>IF(K15="","",K15)</x:f>
      </x:c>
      <x:c r="AU15" s="365" t="str">
        <x:f>IF(L15="","",CONCATENATE(L15,"X",M15,"X",N15))</x:f>
      </x:c>
      <x:c r="AV15" s="366" t="str">
        <x:f>IF(AL15="",AL15,AV14+AL14)</x:f>
      </x:c>
      <x:c r="AW15" s="366" t="str">
        <x:f>IFERROR(AV15+AL15,"")</x:f>
      </x:c>
      <x:c r="AX15" s="367" t="s"/>
      <x:c r="AY15" s="367" t="s"/>
      <x:c r="AZ15" s="125" t="str">
        <x:f>AC15</x:f>
      </x:c>
      <x:c r="BA15" s="368" t="s"/>
      <x:c r="BB15" s="369" t="str">
        <x:f>IF(AD15="","",(AD15+AF15))</x:f>
      </x:c>
      <x:c r="BC15" s="368" t="s"/>
      <x:c r="BD15" s="130" t="str">
        <x:f>IF(AH15="","",AH15)</x:f>
      </x:c>
      <x:c r="BE15" s="130" t="str">
        <x:f>IF(AX15="","",IF((AY15-AX15)*1440-(BF15+BP15)&lt;0,(AY15-AX15)*1440-(BF15+BP15)+1440,(AY15-AX15)*1440-(BF15+BP15)))</x:f>
      </x:c>
      <x:c r="BF15" s="364" t="s"/>
      <x:c r="BG15" s="131" t="str">
        <x:f>IF(Z15=0,"",Z15)</x:f>
      </x:c>
      <x:c r="BH15" s="370" t="s"/>
      <x:c r="BI15" s="134" t="str">
        <x:f>IF(AI15="","",AI15)</x:f>
      </x:c>
      <x:c r="BJ15" s="134" t="str">
        <x:f>IFERROR(BH15/(BE15/60),"")</x:f>
      </x:c>
      <x:c r="BK15" s="58" t="s"/>
      <x:c r="BL15" s="58" t="s"/>
      <x:c r="BM15" s="58" t="s"/>
      <x:c r="BN15" s="58" t="s"/>
      <x:c r="BO15" s="58" t="s"/>
      <x:c r="BP15" s="371" t="s"/>
      <x:c r="BQ15" s="125" t="str">
        <x:f>IF(AX15="","",(BE15-BC15))</x:f>
      </x:c>
      <x:c r="BR15" s="378" t="s"/>
      <x:c r="BS15" s="131" t="str">
        <x:f>IF(F15="","",BG15*AA15)</x:f>
      </x:c>
      <x:c r="BT15" s="296" t="str">
        <x:f>IF(F15="","",BH15*AA15)</x:f>
      </x:c>
    </x:row>
    <x:row r="16" spans="1:184" customFormat="1" ht="115.5" customHeight="1">
      <x:c r="B16" s="356" t="str">
        <x:f>IF(F16="","",B15+1)</x:f>
      </x:c>
      <x:c r="C16" s="357" t="s"/>
      <x:c r="D16" s="357" t="s"/>
      <x:c r="E16" s="357" t="s"/>
      <x:c r="F16" s="357" t="s"/>
      <x:c r="G16" s="357" t="s"/>
      <x:c r="H16" s="358" t="str">
        <x:f>IF(F16="","",VLOOKUP(F16,Sheet_Master!A:M,13,FALSE))</x:f>
      </x:c>
      <x:c r="I16" s="58" t="str">
        <x:f>IF(F16="","",VLOOKUP(F16,Sheet_Master!A:N,14,FALSE))</x:f>
      </x:c>
      <x:c r="J16" s="58" t="str">
        <x:f>IF(F16="","",VLOOKUP(F16,Sheet_Master!A:F,6,FALSE))</x:f>
      </x:c>
      <x:c r="K16" s="58" t="s"/>
      <x:c r="L16" s="58" t="s"/>
      <x:c r="M16" s="58" t="s"/>
      <x:c r="N16" s="58" t="s"/>
      <x:c r="O16" s="357" t="str">
        <x:f>IF(F16="","",1)</x:f>
      </x:c>
      <x:c r="P16" s="357" t="s"/>
      <x:c r="Q16" s="357" t="s"/>
      <x:c r="R16" s="357" t="s"/>
      <x:c r="S16" s="357" t="s"/>
      <x:c r="T16" s="357" t="s"/>
      <x:c r="U16" s="357" t="s"/>
      <x:c r="V16" s="357" t="s"/>
      <x:c r="W16" s="357" t="s"/>
      <x:c r="X16" s="357" t="s"/>
      <x:c r="Y16" s="357" t="s"/>
      <x:c r="Z16" s="58" t="str">
        <x:f>IF((P16*Q16)+(R16*S16)+(T16*U16)+(V16*W16)+(X16*Y16)=0,"",(P16*Q16)+(R16*S16)+(T16*U16)+(V16*W16)+(X16*Y16))</x:f>
      </x:c>
      <x:c r="AA16" s="359" t="str">
        <x:f>IF(F16="","",VLOOKUP(F16,Sheet_Master!A:B,2,FALSE))</x:f>
      </x:c>
      <x:c r="AB16" s="359" t="str">
        <x:f>IF(F16="","",(Z16*AA16)/1000)</x:f>
      </x:c>
      <x:c r="AC16" s="58" t="str">
        <x:f>IF(F16="","",VLOOKUP(F16,Sheet_Master!A:E,5,FALSE))</x:f>
      </x:c>
      <x:c r="AD16" s="58" t="str">
        <x:f>IF(O16="","",IF(O16="-",0,7.5))</x:f>
      </x:c>
      <x:c r="AE16" s="58" t="str">
        <x:f>IF(F16="","",1.3)</x:f>
      </x:c>
      <x:c r="AF16" s="360" t="str">
        <x:f>IF(AND(F16&lt;&gt;"",O16&lt;&gt;"-"),((Q16+S16+U16+W16+Y16-O16)*AE16),(IF(AND(F16&lt;&gt;"",O16="-"),((Q16+S16+U16+W16+Y16)*AE16),"")))</x:f>
      </x:c>
      <x:c r="AG16" s="361" t="str">
        <x:f>IF(F16="","",(Z16/AC16))</x:f>
      </x:c>
      <x:c r="AH16" s="283" t="str">
        <x:f>IF(F16="","",(AD16+AF16+AG16))</x:f>
      </x:c>
      <x:c r="AI16" s="362" t="str">
        <x:f>IF(OR(F16="",ISTEXT(AH16)),"",(Z16*60)/AH16)</x:f>
      </x:c>
      <x:c r="AJ16" s="285" t="s"/>
      <x:c r="AK16" s="286" t="s"/>
      <x:c r="AL16" s="287" t="str">
        <x:f>IF(AH16="","",AH16/1440)</x:f>
      </x:c>
      <x:c r="AM16" s="363" t="str">
        <x:f>IF(F16="","",F16)</x:f>
      </x:c>
      <x:c r="AN16" s="130" t="str">
        <x:f>IF(G16="","",G16)</x:f>
      </x:c>
      <x:c r="AO16" s="130" t="str">
        <x:f>IF(ISERROR(AB16*1000),"",AB16*1000)</x:f>
      </x:c>
      <x:c r="AP16" s="364" t="s"/>
      <x:c r="AQ16" s="364" t="s"/>
      <x:c r="AR16" s="134" t="str">
        <x:f>IF(B16="","",B16)</x:f>
      </x:c>
      <x:c r="AS16" s="130" t="str">
        <x:f>IF(J16="","",J16)</x:f>
      </x:c>
      <x:c r="AT16" s="130" t="str">
        <x:f>IF(K16="","",K16)</x:f>
      </x:c>
      <x:c r="AU16" s="365" t="str">
        <x:f>IF(L16="","",CONCATENATE(L16,"X",M16,"X",N16))</x:f>
      </x:c>
      <x:c r="AV16" s="366" t="str">
        <x:f>IF(AL16="",AL16,AV15+AL15)</x:f>
      </x:c>
      <x:c r="AW16" s="366" t="str">
        <x:f>IFERROR(AV16+AL16,"")</x:f>
      </x:c>
      <x:c r="AX16" s="367" t="s"/>
      <x:c r="AY16" s="367" t="s"/>
      <x:c r="AZ16" s="125" t="str">
        <x:f>AC16</x:f>
      </x:c>
      <x:c r="BA16" s="368" t="s"/>
      <x:c r="BB16" s="369" t="str">
        <x:f>IF(AD16="","",(AD16+AF16))</x:f>
      </x:c>
      <x:c r="BC16" s="368" t="s"/>
      <x:c r="BD16" s="130" t="str">
        <x:f>IF(AH16="","",AH16)</x:f>
      </x:c>
      <x:c r="BE16" s="130" t="str">
        <x:f>IF(AX16="","",IF((AY16-AX16)*1440-(BF16+BP16)&lt;0,(AY16-AX16)*1440-(BF16+BP16)+1440,(AY16-AX16)*1440-(BF16+BP16)))</x:f>
      </x:c>
      <x:c r="BF16" s="364" t="s"/>
      <x:c r="BG16" s="131" t="str">
        <x:f>IF(Z16=0,"",Z16)</x:f>
      </x:c>
      <x:c r="BH16" s="370" t="s"/>
      <x:c r="BI16" s="134" t="str">
        <x:f>IF(AI16="","",AI16)</x:f>
      </x:c>
      <x:c r="BJ16" s="134" t="str">
        <x:f>IFERROR(BH16/(BE16/60),"")</x:f>
      </x:c>
      <x:c r="BK16" s="58" t="s"/>
      <x:c r="BL16" s="58" t="s"/>
      <x:c r="BM16" s="58" t="s"/>
      <x:c r="BN16" s="58" t="s"/>
      <x:c r="BO16" s="58" t="s"/>
      <x:c r="BP16" s="371" t="s"/>
      <x:c r="BQ16" s="125" t="str">
        <x:f>IF(AX16="","",(BE16-BC16))</x:f>
      </x:c>
      <x:c r="BR16" s="295" t="s">
        <x:v>94</x:v>
      </x:c>
      <x:c r="BS16" s="131" t="str">
        <x:f>IF(F16="","",BG16*AA16)</x:f>
      </x:c>
      <x:c r="BT16" s="296" t="str">
        <x:f>IF(F16="","",BH16*AA16)</x:f>
      </x:c>
    </x:row>
    <x:row r="17" spans="1:184" customFormat="1" ht="115.5" customHeight="1">
      <x:c r="B17" s="356" t="str">
        <x:f>IF(F17="","",B16+1)</x:f>
      </x:c>
      <x:c r="C17" s="357" t="s"/>
      <x:c r="D17" s="357" t="s"/>
      <x:c r="E17" s="357" t="s"/>
      <x:c r="F17" s="357" t="s"/>
      <x:c r="G17" s="357" t="s"/>
      <x:c r="H17" s="358" t="str">
        <x:f>IF(F17="","",VLOOKUP(F17,Sheet_Master!A:M,13,FALSE))</x:f>
      </x:c>
      <x:c r="I17" s="58" t="str">
        <x:f>IF(F17="","",VLOOKUP(F17,Sheet_Master!A:N,14,FALSE))</x:f>
      </x:c>
      <x:c r="J17" s="58" t="str">
        <x:f>IF(F17="","",VLOOKUP(F17,Sheet_Master!A:F,6,FALSE))</x:f>
      </x:c>
      <x:c r="K17" s="58" t="s"/>
      <x:c r="L17" s="58" t="s"/>
      <x:c r="M17" s="58" t="s"/>
      <x:c r="N17" s="58" t="s"/>
      <x:c r="O17" s="357" t="str">
        <x:f>IF(F17="","",1)</x:f>
      </x:c>
      <x:c r="P17" s="357" t="s"/>
      <x:c r="Q17" s="357" t="s"/>
      <x:c r="R17" s="357" t="s"/>
      <x:c r="S17" s="357" t="s"/>
      <x:c r="T17" s="357" t="s"/>
      <x:c r="U17" s="357" t="s"/>
      <x:c r="V17" s="357" t="s"/>
      <x:c r="W17" s="357" t="s"/>
      <x:c r="X17" s="357" t="s"/>
      <x:c r="Y17" s="357" t="s"/>
      <x:c r="Z17" s="58" t="str">
        <x:f>IF((P17*Q17)+(R17*S17)+(T17*U17)+(V17*W17)+(X17*Y17)=0,"",(P17*Q17)+(R17*S17)+(T17*U17)+(V17*W17)+(X17*Y17))</x:f>
      </x:c>
      <x:c r="AA17" s="359" t="str">
        <x:f>IF(F17="","",VLOOKUP(F17,Sheet_Master!A:B,2,FALSE))</x:f>
      </x:c>
      <x:c r="AB17" s="359" t="str">
        <x:f>IF(F17="","",(Z17*AA17)/1000)</x:f>
      </x:c>
      <x:c r="AC17" s="58" t="str">
        <x:f>IF(F17="","",VLOOKUP(F17,Sheet_Master!A:E,5,FALSE))</x:f>
      </x:c>
      <x:c r="AD17" s="58" t="str">
        <x:f>IF(O17="","",IF(O17="-",0,7.5))</x:f>
      </x:c>
      <x:c r="AE17" s="58" t="str">
        <x:f>IF(F17="","",1.3)</x:f>
      </x:c>
      <x:c r="AF17" s="360" t="str">
        <x:f>IF(AND(F17&lt;&gt;"",O17&lt;&gt;"-"),((Q17+S17+U17+W17+Y17-O17)*AE17),(IF(AND(F17&lt;&gt;"",O17="-"),((Q17+S17+U17+W17+Y17)*AE17),"")))</x:f>
      </x:c>
      <x:c r="AG17" s="361" t="str">
        <x:f>IF(F17="","",(Z17/AC17))</x:f>
      </x:c>
      <x:c r="AH17" s="283" t="str">
        <x:f>IF(F17="","",(AD17+AF17+AG17))</x:f>
      </x:c>
      <x:c r="AI17" s="362" t="str">
        <x:f>IF(OR(F17="",ISTEXT(AH17)),"",(Z17*60)/AH17)</x:f>
      </x:c>
      <x:c r="AJ17" s="285" t="s"/>
      <x:c r="AK17" s="286" t="s"/>
      <x:c r="AL17" s="287" t="str">
        <x:f>IF(AH17="","",AH17/1440)</x:f>
      </x:c>
      <x:c r="AM17" s="363" t="str">
        <x:f>IF(F17="","",F17)</x:f>
      </x:c>
      <x:c r="AN17" s="130" t="str">
        <x:f>IF(G17="","",G17)</x:f>
      </x:c>
      <x:c r="AO17" s="130" t="str">
        <x:f>IF(ISERROR(AB17*1000),"",AB17*1000)</x:f>
      </x:c>
      <x:c r="AP17" s="364" t="s"/>
      <x:c r="AQ17" s="364" t="s"/>
      <x:c r="AR17" s="134" t="str">
        <x:f>IF(B17="","",B17)</x:f>
      </x:c>
      <x:c r="AS17" s="130" t="str">
        <x:f>IF(J17="","",J17)</x:f>
      </x:c>
      <x:c r="AT17" s="130" t="str">
        <x:f>IF(K17="","",K17)</x:f>
      </x:c>
      <x:c r="AU17" s="365" t="str">
        <x:f>IF(L17="","",CONCATENATE(L17,"X",M17,"X",N17))</x:f>
      </x:c>
      <x:c r="AV17" s="366" t="str">
        <x:f>IF(AL17="",AL17,AV16+AL16)</x:f>
      </x:c>
      <x:c r="AW17" s="366" t="str">
        <x:f>IFERROR(AV17+AL17,"")</x:f>
      </x:c>
      <x:c r="AX17" s="367" t="s"/>
      <x:c r="AY17" s="367" t="s"/>
      <x:c r="AZ17" s="125" t="str">
        <x:f>AC17</x:f>
      </x:c>
      <x:c r="BA17" s="368" t="s"/>
      <x:c r="BB17" s="369" t="str">
        <x:f>IF(AD17="","",(AD17+AF17))</x:f>
      </x:c>
      <x:c r="BC17" s="368" t="s"/>
      <x:c r="BD17" s="130" t="str">
        <x:f>IF(AH17="","",AH17)</x:f>
      </x:c>
      <x:c r="BE17" s="130" t="str">
        <x:f>IF(AX17="","",IF((AY17-AX17)*1440-(BF17+BP17)&lt;0,(AY17-AX17)*1440-(BF17+BP17)+1440,(AY17-AX17)*1440-(BF17+BP17)))</x:f>
      </x:c>
      <x:c r="BF17" s="364" t="s"/>
      <x:c r="BG17" s="131" t="str">
        <x:f>IF(Z17=0,"",Z17)</x:f>
      </x:c>
      <x:c r="BH17" s="370" t="s"/>
      <x:c r="BI17" s="134" t="str">
        <x:f>IF(AI17="","",AI17)</x:f>
      </x:c>
      <x:c r="BJ17" s="134" t="str">
        <x:f>IFERROR(BH17/(BE17/60),"")</x:f>
      </x:c>
      <x:c r="BK17" s="58" t="s"/>
      <x:c r="BL17" s="58" t="s"/>
      <x:c r="BM17" s="58" t="s"/>
      <x:c r="BN17" s="58" t="s"/>
      <x:c r="BO17" s="58" t="s"/>
      <x:c r="BP17" s="371" t="s"/>
      <x:c r="BQ17" s="125" t="str">
        <x:f>IF(AX17="","",(BE17-BC17))</x:f>
      </x:c>
      <x:c r="BR17" s="380">
        <x:f>(BR15-BR13)*1440</x:f>
      </x:c>
      <x:c r="BS17" s="131" t="str">
        <x:f>IF(F17="","",BG17*AA17)</x:f>
      </x:c>
      <x:c r="BT17" s="296" t="str">
        <x:f>IF(F17="","",BH17*AA17)</x:f>
      </x:c>
    </x:row>
    <x:row r="18" spans="1:184" customFormat="1" ht="115.5" customHeight="1">
      <x:c r="B18" s="356" t="str">
        <x:f>IF(F18="","",B17+1)</x:f>
      </x:c>
      <x:c r="C18" s="357" t="s"/>
      <x:c r="D18" s="357" t="s"/>
      <x:c r="E18" s="357" t="s"/>
      <x:c r="F18" s="357" t="s"/>
      <x:c r="G18" s="357" t="s"/>
      <x:c r="H18" s="358" t="str">
        <x:f>IF(F18="","",VLOOKUP(F18,Sheet_Master!A:M,13,FALSE))</x:f>
      </x:c>
      <x:c r="I18" s="58" t="str">
        <x:f>IF(F18="","",VLOOKUP(F18,Sheet_Master!A:N,14,FALSE))</x:f>
      </x:c>
      <x:c r="J18" s="58" t="str">
        <x:f>IF(F18="","",VLOOKUP(F18,Sheet_Master!A:F,6,FALSE))</x:f>
      </x:c>
      <x:c r="K18" s="58" t="s"/>
      <x:c r="L18" s="58" t="s"/>
      <x:c r="M18" s="58" t="s"/>
      <x:c r="N18" s="58" t="s"/>
      <x:c r="O18" s="357" t="str">
        <x:f>IF(F18="","",1)</x:f>
      </x:c>
      <x:c r="P18" s="357" t="s"/>
      <x:c r="Q18" s="357" t="s"/>
      <x:c r="R18" s="357" t="s"/>
      <x:c r="S18" s="357" t="s"/>
      <x:c r="T18" s="357" t="s"/>
      <x:c r="U18" s="357" t="s"/>
      <x:c r="V18" s="357" t="s"/>
      <x:c r="W18" s="357" t="s"/>
      <x:c r="X18" s="357" t="s"/>
      <x:c r="Y18" s="357" t="s"/>
      <x:c r="Z18" s="58" t="str">
        <x:f>IF((P18*Q18)+(R18*S18)+(T18*U18)+(V18*W18)+(X18*Y18)=0,"",(P18*Q18)+(R18*S18)+(T18*U18)+(V18*W18)+(X18*Y18))</x:f>
      </x:c>
      <x:c r="AA18" s="359" t="str">
        <x:f>IF(F18="","",VLOOKUP(F18,Sheet_Master!A:B,2,FALSE))</x:f>
      </x:c>
      <x:c r="AB18" s="359" t="str">
        <x:f>IF(F18="","",(Z18*AA18)/1000)</x:f>
      </x:c>
      <x:c r="AC18" s="58" t="str">
        <x:f>IF(F18="","",VLOOKUP(F18,Sheet_Master!A:E,5,FALSE))</x:f>
      </x:c>
      <x:c r="AD18" s="58" t="str">
        <x:f>IF(O18="","",IF(O18="-",0,7.5))</x:f>
      </x:c>
      <x:c r="AE18" s="58" t="str">
        <x:f>IF(F18="","",1.3)</x:f>
      </x:c>
      <x:c r="AF18" s="360" t="str">
        <x:f>IF(AND(F18&lt;&gt;"",O18&lt;&gt;"-"),((Q18+S18+U18+W18+Y18-O18)*AE18),(IF(AND(F18&lt;&gt;"",O18="-"),((Q18+S18+U18+W18+Y18)*AE18),"")))</x:f>
      </x:c>
      <x:c r="AG18" s="361" t="str">
        <x:f>IF(F18="","",(Z18/AC18))</x:f>
      </x:c>
      <x:c r="AH18" s="283" t="str">
        <x:f>IF(F18="","",(AD18+AF18+AG18))</x:f>
      </x:c>
      <x:c r="AI18" s="362" t="str">
        <x:f>IF(OR(F18="",ISTEXT(AH18)),"",(Z18*60)/AH18)</x:f>
      </x:c>
      <x:c r="AJ18" s="285" t="s"/>
      <x:c r="AK18" s="286" t="s"/>
      <x:c r="AL18" s="287" t="str">
        <x:f>IF(AH18="","",AH18/1440)</x:f>
      </x:c>
      <x:c r="AM18" s="363" t="str">
        <x:f>IF(F18="","",F18)</x:f>
      </x:c>
      <x:c r="AN18" s="130" t="str">
        <x:f>IF(G18="","",G18)</x:f>
      </x:c>
      <x:c r="AO18" s="130" t="str">
        <x:f>IF(ISERROR(AB18*1000),"",AB18*1000)</x:f>
      </x:c>
      <x:c r="AP18" s="364" t="s"/>
      <x:c r="AQ18" s="364" t="s"/>
      <x:c r="AR18" s="134" t="str">
        <x:f>IF(B18="","",B18)</x:f>
      </x:c>
      <x:c r="AS18" s="130" t="str">
        <x:f>IF(J18="","",J18)</x:f>
      </x:c>
      <x:c r="AT18" s="130" t="str">
        <x:f>IF(K18="","",K18)</x:f>
      </x:c>
      <x:c r="AU18" s="365" t="str">
        <x:f>IF(L18="","",CONCATENATE(L18,"X",M18,"X",N18))</x:f>
      </x:c>
      <x:c r="AV18" s="366" t="str">
        <x:f>IF(AL18="",AL18,AV17+AL17)</x:f>
      </x:c>
      <x:c r="AW18" s="366" t="str">
        <x:f>IFERROR(AV18+AL18,"")</x:f>
      </x:c>
      <x:c r="AX18" s="367" t="s"/>
      <x:c r="AY18" s="367" t="s"/>
      <x:c r="AZ18" s="125" t="str">
        <x:f>AC18</x:f>
      </x:c>
      <x:c r="BA18" s="368" t="s"/>
      <x:c r="BB18" s="369" t="str">
        <x:f>IF(AD18="","",(AD18+AF18))</x:f>
      </x:c>
      <x:c r="BC18" s="368" t="s"/>
      <x:c r="BD18" s="130" t="str">
        <x:f>IF(AH18="","",AH18)</x:f>
      </x:c>
      <x:c r="BE18" s="130" t="str">
        <x:f>IF(AX18="","",IF((AY18-AX18)*1440-(BF18+BP18)&lt;0,(AY18-AX18)*1440-(BF18+BP18)+1440,(AY18-AX18)*1440-(BF18+BP18)))</x:f>
      </x:c>
      <x:c r="BF18" s="364" t="s"/>
      <x:c r="BG18" s="131" t="str">
        <x:f>IF(Z18=0,"",Z18)</x:f>
      </x:c>
      <x:c r="BH18" s="370" t="s"/>
      <x:c r="BI18" s="134" t="str">
        <x:f>IF(AI18="","",AI18)</x:f>
      </x:c>
      <x:c r="BJ18" s="134" t="str">
        <x:f>IFERROR(BH18/(BE18/60),"")</x:f>
      </x:c>
      <x:c r="BK18" s="58" t="s"/>
      <x:c r="BL18" s="58" t="s"/>
      <x:c r="BM18" s="58" t="s"/>
      <x:c r="BN18" s="58" t="s"/>
      <x:c r="BO18" s="58" t="s"/>
      <x:c r="BP18" s="371" t="s"/>
      <x:c r="BQ18" s="125" t="str">
        <x:f>IF(AX18="","",(BE18-BC18))</x:f>
      </x:c>
      <x:c r="BR18" s="381" t="s">
        <x:v>95</x:v>
      </x:c>
      <x:c r="BS18" s="131" t="str">
        <x:f>IF(F18="","",BG18*AA18)</x:f>
      </x:c>
      <x:c r="BT18" s="296" t="str">
        <x:f>IF(F18="","",BH18*AA18)</x:f>
      </x:c>
    </x:row>
    <x:row r="19" spans="1:184" customFormat="1" ht="115.5" customHeight="1">
      <x:c r="B19" s="356" t="str">
        <x:f>IF(F19="","",B18+1)</x:f>
      </x:c>
      <x:c r="C19" s="357" t="s"/>
      <x:c r="D19" s="357" t="s"/>
      <x:c r="E19" s="357" t="s"/>
      <x:c r="F19" s="357" t="s"/>
      <x:c r="G19" s="357" t="s"/>
      <x:c r="H19" s="358" t="str">
        <x:f>IF(F19="","",VLOOKUP(F19,Sheet_Master!A:M,13,FALSE))</x:f>
      </x:c>
      <x:c r="I19" s="58" t="str">
        <x:f>IF(F19="","",VLOOKUP(F19,Sheet_Master!A:N,14,FALSE))</x:f>
      </x:c>
      <x:c r="J19" s="58" t="str">
        <x:f>IF(F19="","",VLOOKUP(F19,Sheet_Master!A:F,6,FALSE))</x:f>
      </x:c>
      <x:c r="K19" s="58" t="s"/>
      <x:c r="L19" s="58" t="s"/>
      <x:c r="M19" s="58" t="s"/>
      <x:c r="N19" s="58" t="s"/>
      <x:c r="O19" s="357" t="str">
        <x:f>IF(F19="","",1)</x:f>
      </x:c>
      <x:c r="P19" s="357" t="s"/>
      <x:c r="Q19" s="357" t="s"/>
      <x:c r="R19" s="357" t="s"/>
      <x:c r="S19" s="357" t="s"/>
      <x:c r="T19" s="357" t="s"/>
      <x:c r="U19" s="357" t="s"/>
      <x:c r="V19" s="357" t="s"/>
      <x:c r="W19" s="357" t="s"/>
      <x:c r="X19" s="357" t="s"/>
      <x:c r="Y19" s="357" t="s"/>
      <x:c r="Z19" s="58" t="str">
        <x:f>IF((P19*Q19)+(R19*S19)+(T19*U19)+(V19*W19)+(X19*Y19)=0,"",(P19*Q19)+(R19*S19)+(T19*U19)+(V19*W19)+(X19*Y19))</x:f>
      </x:c>
      <x:c r="AA19" s="359" t="str">
        <x:f>IF(F19="","",VLOOKUP(F19,Sheet_Master!A:B,2,FALSE))</x:f>
      </x:c>
      <x:c r="AB19" s="359" t="str">
        <x:f>IF(F19="","",(Z19*AA19)/1000)</x:f>
      </x:c>
      <x:c r="AC19" s="58" t="str">
        <x:f>IF(F19="","",VLOOKUP(F19,Sheet_Master!A:E,5,FALSE))</x:f>
      </x:c>
      <x:c r="AD19" s="58" t="str">
        <x:f>IF(O19="","",IF(O19="-",0,7.5))</x:f>
      </x:c>
      <x:c r="AE19" s="58" t="str">
        <x:f>IF(F19="","",1.3)</x:f>
      </x:c>
      <x:c r="AF19" s="360" t="str">
        <x:f>IF(AND(F19&lt;&gt;"",O19&lt;&gt;"-"),((Q19+S19+U19+W19+Y19-O19)*AE19),(IF(AND(F19&lt;&gt;"",O19="-"),((Q19+S19+U19+W19+Y19)*AE19),"")))</x:f>
      </x:c>
      <x:c r="AG19" s="361" t="str">
        <x:f>IF(F19="","",(Z19/AC19))</x:f>
      </x:c>
      <x:c r="AH19" s="283" t="str">
        <x:f>IF(F19="","",(AD19+AF19+AG19))</x:f>
      </x:c>
      <x:c r="AI19" s="362" t="str">
        <x:f>IF(OR(F19="",ISTEXT(AH19)),"",(Z19*60)/AH19)</x:f>
      </x:c>
      <x:c r="AJ19" s="285" t="s"/>
      <x:c r="AK19" s="286" t="s"/>
      <x:c r="AL19" s="287" t="str">
        <x:f>IF(AH19="","",AH19/1440)</x:f>
      </x:c>
      <x:c r="AM19" s="363" t="str">
        <x:f>IF(F19="","",F19)</x:f>
      </x:c>
      <x:c r="AN19" s="130" t="str">
        <x:f>IF(G19="","",G19)</x:f>
      </x:c>
      <x:c r="AO19" s="130" t="str">
        <x:f>IF(ISERROR(AB19*1000),"",AB19*1000)</x:f>
      </x:c>
      <x:c r="AP19" s="364" t="s"/>
      <x:c r="AQ19" s="364" t="s"/>
      <x:c r="AR19" s="134" t="str">
        <x:f>IF(B19="","",B19)</x:f>
      </x:c>
      <x:c r="AS19" s="130" t="str">
        <x:f>IF(J19="","",J19)</x:f>
      </x:c>
      <x:c r="AT19" s="130" t="str">
        <x:f>IF(K19="","",K19)</x:f>
      </x:c>
      <x:c r="AU19" s="365" t="str">
        <x:f>IF(L19="","",CONCATENATE(L19,"X",M19,"X",N19))</x:f>
      </x:c>
      <x:c r="AV19" s="366" t="str">
        <x:f>IF(AL19="",AL19,AV18+AL18)</x:f>
      </x:c>
      <x:c r="AW19" s="366" t="str">
        <x:f>IFERROR(AV19+AL19,"")</x:f>
      </x:c>
      <x:c r="AX19" s="367" t="s"/>
      <x:c r="AY19" s="367" t="s"/>
      <x:c r="AZ19" s="125" t="str">
        <x:f>AC19</x:f>
      </x:c>
      <x:c r="BA19" s="368" t="s"/>
      <x:c r="BB19" s="369" t="str">
        <x:f>IF(AD19="","",(AD19+AF19))</x:f>
      </x:c>
      <x:c r="BC19" s="368" t="s"/>
      <x:c r="BD19" s="130" t="str">
        <x:f>IF(AH19="","",AH19)</x:f>
      </x:c>
      <x:c r="BE19" s="130" t="str">
        <x:f>IF(AX19="","",IF((AY19-AX19)*1440-(BF19+BP19)&lt;0,(AY19-AX19)*1440-(BF19+BP19)+1440,(AY19-AX19)*1440-(BF19+BP19)))</x:f>
      </x:c>
      <x:c r="BF19" s="364" t="s"/>
      <x:c r="BG19" s="131" t="str">
        <x:f>IF(Z19=0,"",Z19)</x:f>
      </x:c>
      <x:c r="BH19" s="370" t="s"/>
      <x:c r="BI19" s="134" t="str">
        <x:f>IF(AI19="","",AI19)</x:f>
      </x:c>
      <x:c r="BJ19" s="134" t="str">
        <x:f>IFERROR(BH19/(BE19/60),"")</x:f>
      </x:c>
      <x:c r="BK19" s="58" t="s"/>
      <x:c r="BL19" s="58" t="s"/>
      <x:c r="BM19" s="58" t="s"/>
      <x:c r="BN19" s="58" t="s"/>
      <x:c r="BO19" s="58" t="s"/>
      <x:c r="BP19" s="371" t="s"/>
      <x:c r="BQ19" s="125" t="str">
        <x:f>IF(AX19="","",(BE19-BC19))</x:f>
      </x:c>
      <x:c r="BR19" s="375" t="s"/>
      <x:c r="BS19" s="131" t="str">
        <x:f>IF(F19="","",BG19*AA19)</x:f>
      </x:c>
      <x:c r="BT19" s="296" t="str">
        <x:f>IF(F19="","",BH19*AA19)</x:f>
      </x:c>
    </x:row>
    <x:row r="20" spans="1:184" customFormat="1" ht="115.5" customHeight="1">
      <x:c r="B20" s="356" t="str">
        <x:f>IF(F20="","",B19+1)</x:f>
      </x:c>
      <x:c r="C20" s="357" t="s"/>
      <x:c r="D20" s="357" t="s"/>
      <x:c r="E20" s="357" t="s"/>
      <x:c r="F20" s="357" t="s"/>
      <x:c r="G20" s="357" t="s"/>
      <x:c r="H20" s="358" t="str">
        <x:f>IF(F20="","",VLOOKUP(F20,Sheet_Master!A:M,13,FALSE))</x:f>
      </x:c>
      <x:c r="I20" s="58" t="str">
        <x:f>IF(F20="","",VLOOKUP(F20,Sheet_Master!A:N,14,FALSE))</x:f>
      </x:c>
      <x:c r="J20" s="58" t="str">
        <x:f>IF(F20="","",VLOOKUP(F20,Sheet_Master!A:F,6,FALSE))</x:f>
      </x:c>
      <x:c r="K20" s="58" t="s"/>
      <x:c r="L20" s="58" t="s"/>
      <x:c r="M20" s="58" t="s"/>
      <x:c r="N20" s="58" t="s"/>
      <x:c r="O20" s="357" t="str">
        <x:f>IF(F20="","",1)</x:f>
      </x:c>
      <x:c r="P20" s="357" t="s"/>
      <x:c r="Q20" s="357" t="s"/>
      <x:c r="R20" s="357" t="s"/>
      <x:c r="S20" s="357" t="s"/>
      <x:c r="T20" s="357" t="s"/>
      <x:c r="U20" s="357" t="s"/>
      <x:c r="V20" s="357" t="s"/>
      <x:c r="W20" s="357" t="s"/>
      <x:c r="X20" s="357" t="s"/>
      <x:c r="Y20" s="357" t="s"/>
      <x:c r="Z20" s="58" t="str">
        <x:f>IF((P20*Q20)+(R20*S20)+(T20*U20)+(V20*W20)+(X20*Y20)=0,"",(P20*Q20)+(R20*S20)+(T20*U20)+(V20*W20)+(X20*Y20))</x:f>
      </x:c>
      <x:c r="AA20" s="359" t="str">
        <x:f>IF(F20="","",VLOOKUP(F20,Sheet_Master!A:B,2,FALSE))</x:f>
      </x:c>
      <x:c r="AB20" s="359" t="str">
        <x:f>IF(F20="","",(Z20*AA20)/1000)</x:f>
      </x:c>
      <x:c r="AC20" s="58" t="str">
        <x:f>IF(F20="","",VLOOKUP(F20,Sheet_Master!A:E,5,FALSE))</x:f>
      </x:c>
      <x:c r="AD20" s="58" t="str">
        <x:f>IF(O20="","",IF(O20="-",0,7.5))</x:f>
      </x:c>
      <x:c r="AE20" s="58" t="str">
        <x:f>IF(F20="","",1.3)</x:f>
      </x:c>
      <x:c r="AF20" s="360" t="str">
        <x:f>IF(AND(F20&lt;&gt;"",O20&lt;&gt;"-"),((Q20+S20+U20+W20+Y20-O20)*AE20),(IF(AND(F20&lt;&gt;"",O20="-"),((Q20+S20+U20+W20+Y20)*AE20),"")))</x:f>
      </x:c>
      <x:c r="AG20" s="361" t="str">
        <x:f>IF(F20="","",(Z20/AC20))</x:f>
      </x:c>
      <x:c r="AH20" s="283" t="str">
        <x:f>IF(F20="","",(AD20+AF20+AG20))</x:f>
      </x:c>
      <x:c r="AI20" s="362" t="str">
        <x:f>IF(OR(F20="",ISTEXT(AH20)),"",(Z20*60)/AH20)</x:f>
      </x:c>
      <x:c r="AJ20" s="285" t="s"/>
      <x:c r="AK20" s="286" t="s"/>
      <x:c r="AL20" s="287" t="str">
        <x:f>IF(AH20="","",AH20/1440)</x:f>
      </x:c>
      <x:c r="AM20" s="363" t="str">
        <x:f>IF(F20="","",F20)</x:f>
      </x:c>
      <x:c r="AN20" s="130" t="str">
        <x:f>IF(G20="","",G20)</x:f>
      </x:c>
      <x:c r="AO20" s="130" t="str">
        <x:f>IF(ISERROR(AB20*1000),"",AB20*1000)</x:f>
      </x:c>
      <x:c r="AP20" s="364" t="s"/>
      <x:c r="AQ20" s="364" t="s"/>
      <x:c r="AR20" s="134" t="str">
        <x:f>IF(B20="","",B20)</x:f>
      </x:c>
      <x:c r="AS20" s="130" t="str">
        <x:f>IF(J20="","",J20)</x:f>
      </x:c>
      <x:c r="AT20" s="130" t="str">
        <x:f>IF(K20="","",K20)</x:f>
      </x:c>
      <x:c r="AU20" s="365" t="str">
        <x:f>IF(L20="","",CONCATENATE(L20,"X",M20,"X",N20))</x:f>
      </x:c>
      <x:c r="AV20" s="366" t="str">
        <x:f>IF(AL20="",AL20,AV19+AL19)</x:f>
      </x:c>
      <x:c r="AW20" s="366" t="str">
        <x:f>IFERROR(AV20+AL20,"")</x:f>
      </x:c>
      <x:c r="AX20" s="367" t="s"/>
      <x:c r="AY20" s="367" t="s"/>
      <x:c r="AZ20" s="125" t="str">
        <x:f>AC20</x:f>
      </x:c>
      <x:c r="BA20" s="368" t="s"/>
      <x:c r="BB20" s="369" t="str">
        <x:f>IF(AD20="","",(AD20+AF20))</x:f>
      </x:c>
      <x:c r="BC20" s="368" t="s"/>
      <x:c r="BD20" s="130" t="str">
        <x:f>IF(AH20="","",AH20)</x:f>
      </x:c>
      <x:c r="BE20" s="130" t="str">
        <x:f>IF(AX20="","",IF((AY20-AX20)*1440-(BF20+BP20)&lt;0,(AY20-AX20)*1440-(BF20+BP20)+1440,(AY20-AX20)*1440-(BF20+BP20)))</x:f>
      </x:c>
      <x:c r="BF20" s="364" t="s"/>
      <x:c r="BG20" s="131" t="str">
        <x:f>IF(Z20=0,"",Z20)</x:f>
      </x:c>
      <x:c r="BH20" s="370" t="s"/>
      <x:c r="BI20" s="134" t="str">
        <x:f>IF(AI20="","",AI20)</x:f>
      </x:c>
      <x:c r="BJ20" s="134" t="str">
        <x:f>IFERROR(BH20/(BE20/60),"")</x:f>
      </x:c>
      <x:c r="BK20" s="58" t="s"/>
      <x:c r="BL20" s="58" t="s"/>
      <x:c r="BM20" s="58" t="s"/>
      <x:c r="BN20" s="58" t="s"/>
      <x:c r="BO20" s="58" t="s"/>
      <x:c r="BP20" s="371" t="s"/>
      <x:c r="BQ20" s="125" t="str">
        <x:f>IF(AX20="","",(BE20-BC20))</x:f>
      </x:c>
      <x:c r="BR20" s="381" t="s">
        <x:v>80</x:v>
      </x:c>
      <x:c r="BS20" s="131" t="str">
        <x:f>IF(F20="","",BG20*AA20)</x:f>
      </x:c>
      <x:c r="BT20" s="296" t="str">
        <x:f>IF(F20="","",BH20*AA20)</x:f>
      </x:c>
    </x:row>
    <x:row r="21" spans="1:184" customFormat="1" ht="115.5" customHeight="1">
      <x:c r="B21" s="356" t="str">
        <x:f>IF(F21="","",B20+1)</x:f>
      </x:c>
      <x:c r="C21" s="357" t="s"/>
      <x:c r="D21" s="357" t="s"/>
      <x:c r="E21" s="357" t="s"/>
      <x:c r="F21" s="357" t="s"/>
      <x:c r="G21" s="357" t="s"/>
      <x:c r="H21" s="358" t="str">
        <x:f>IF(F21="","",VLOOKUP(F21,Sheet_Master!A:M,13,FALSE))</x:f>
      </x:c>
      <x:c r="I21" s="58" t="str">
        <x:f>IF(F21="","",VLOOKUP(F21,Sheet_Master!A:N,14,FALSE))</x:f>
      </x:c>
      <x:c r="J21" s="58" t="str">
        <x:f>IF(F21="","",VLOOKUP(F21,Sheet_Master!A:F,6,FALSE))</x:f>
      </x:c>
      <x:c r="K21" s="58" t="s"/>
      <x:c r="L21" s="58" t="s"/>
      <x:c r="M21" s="58" t="s"/>
      <x:c r="N21" s="58" t="s"/>
      <x:c r="O21" s="357" t="str">
        <x:f>IF(F21="","",1)</x:f>
      </x:c>
      <x:c r="P21" s="357" t="s"/>
      <x:c r="Q21" s="357" t="s"/>
      <x:c r="R21" s="357" t="s"/>
      <x:c r="S21" s="357" t="s"/>
      <x:c r="T21" s="357" t="s"/>
      <x:c r="U21" s="357" t="s"/>
      <x:c r="V21" s="357" t="s"/>
      <x:c r="W21" s="357" t="s"/>
      <x:c r="X21" s="357" t="s"/>
      <x:c r="Y21" s="357" t="s"/>
      <x:c r="Z21" s="58" t="str">
        <x:f>IF((P21*Q21)+(R21*S21)+(T21*U21)+(V21*W21)+(X21*Y21)=0,"",(P21*Q21)+(R21*S21)+(T21*U21)+(V21*W21)+(X21*Y21))</x:f>
      </x:c>
      <x:c r="AA21" s="359" t="str">
        <x:f>IF(F21="","",VLOOKUP(F21,Sheet_Master!A:B,2,FALSE))</x:f>
      </x:c>
      <x:c r="AB21" s="359" t="str">
        <x:f>IF(F21="","",(Z21*AA21)/1000)</x:f>
      </x:c>
      <x:c r="AC21" s="58" t="str">
        <x:f>IF(F21="","",VLOOKUP(F21,Sheet_Master!A:E,5,FALSE))</x:f>
      </x:c>
      <x:c r="AD21" s="58" t="str">
        <x:f>IF(O21="","",IF(O21="-",0,7.5))</x:f>
      </x:c>
      <x:c r="AE21" s="58" t="str">
        <x:f>IF(F21="","",1.3)</x:f>
      </x:c>
      <x:c r="AF21" s="360" t="str">
        <x:f>IF(AND(F21&lt;&gt;"",O21&lt;&gt;"-"),((Q21+S21+U21+W21+Y21-O21)*AE21),(IF(AND(F21&lt;&gt;"",O21="-"),((Q21+S21+U21+W21+Y21)*AE21),"")))</x:f>
      </x:c>
      <x:c r="AG21" s="361" t="str">
        <x:f>IF(F21="","",(Z21/AC21))</x:f>
      </x:c>
      <x:c r="AH21" s="283" t="str">
        <x:f>IF(F21="","",(AD21+AF21+AG21))</x:f>
      </x:c>
      <x:c r="AI21" s="362" t="str">
        <x:f>IF(OR(F21="",ISTEXT(AH21)),"",(Z21*60)/AH21)</x:f>
      </x:c>
      <x:c r="AJ21" s="285" t="s"/>
      <x:c r="AK21" s="286" t="s"/>
      <x:c r="AL21" s="287" t="str">
        <x:f>IF(AH21="","",AH21/1440)</x:f>
      </x:c>
      <x:c r="AM21" s="363" t="str">
        <x:f>IF(F21="","",F21)</x:f>
      </x:c>
      <x:c r="AN21" s="130" t="str">
        <x:f>IF(G21="","",G21)</x:f>
      </x:c>
      <x:c r="AO21" s="130" t="str">
        <x:f>IF(ISERROR(AB21*1000),"",AB21*1000)</x:f>
      </x:c>
      <x:c r="AP21" s="364" t="s"/>
      <x:c r="AQ21" s="364" t="s"/>
      <x:c r="AR21" s="134" t="str">
        <x:f>IF(B21="","",B21)</x:f>
      </x:c>
      <x:c r="AS21" s="130" t="str">
        <x:f>IF(J21="","",J21)</x:f>
      </x:c>
      <x:c r="AT21" s="130" t="str">
        <x:f>IF(K21="","",K21)</x:f>
      </x:c>
      <x:c r="AU21" s="365" t="str">
        <x:f>IF(L21="","",CONCATENATE(L21,"X",M21,"X",N21))</x:f>
      </x:c>
      <x:c r="AV21" s="366" t="str">
        <x:f>IF(AL21="",AL21,AV20+AL20)</x:f>
      </x:c>
      <x:c r="AW21" s="366" t="str">
        <x:f>IFERROR(AV21+AL21,"")</x:f>
      </x:c>
      <x:c r="AX21" s="367" t="s"/>
      <x:c r="AY21" s="367" t="s"/>
      <x:c r="AZ21" s="125" t="str">
        <x:f>AC21</x:f>
      </x:c>
      <x:c r="BA21" s="368" t="s"/>
      <x:c r="BB21" s="369" t="str">
        <x:f>IF(AD21="","",(AD21+AF21))</x:f>
      </x:c>
      <x:c r="BC21" s="368" t="s"/>
      <x:c r="BD21" s="130" t="str">
        <x:f>IF(AH21="","",AH21)</x:f>
      </x:c>
      <x:c r="BE21" s="130" t="str">
        <x:f>IF(AX21="","",IF((AY21-AX21)*1440-(BF21+BP21)&lt;0,(AY21-AX21)*1440-(BF21+BP21)+1440,(AY21-AX21)*1440-(BF21+BP21)))</x:f>
      </x:c>
      <x:c r="BF21" s="364" t="s"/>
      <x:c r="BG21" s="131" t="str">
        <x:f>IF(Z21=0,"",Z21)</x:f>
      </x:c>
      <x:c r="BH21" s="370" t="s"/>
      <x:c r="BI21" s="134" t="str">
        <x:f>IF(AI21="","",AI21)</x:f>
      </x:c>
      <x:c r="BJ21" s="134" t="str">
        <x:f>IFERROR(BH21/(BE21/60),"")</x:f>
      </x:c>
      <x:c r="BK21" s="58" t="s"/>
      <x:c r="BL21" s="58" t="s"/>
      <x:c r="BM21" s="58" t="s"/>
      <x:c r="BN21" s="58" t="s"/>
      <x:c r="BO21" s="58" t="s"/>
      <x:c r="BP21" s="371" t="s"/>
      <x:c r="BQ21" s="125" t="str">
        <x:f>IF(AX21="","",(BE21-BC21))</x:f>
      </x:c>
      <x:c r="BR21" s="375" t="s"/>
      <x:c r="BS21" s="131" t="str">
        <x:f>IF(F21="","",BG21*AA21)</x:f>
      </x:c>
      <x:c r="BT21" s="296" t="str">
        <x:f>IF(F21="","",BH21*AA21)</x:f>
      </x:c>
    </x:row>
    <x:row r="22" spans="1:184" customFormat="1" ht="115.5" customHeight="1">
      <x:c r="B22" s="356" t="str">
        <x:f>IF(F22="","",B21+1)</x:f>
      </x:c>
      <x:c r="C22" s="357" t="s"/>
      <x:c r="D22" s="357" t="s"/>
      <x:c r="E22" s="357" t="s"/>
      <x:c r="F22" s="357" t="s"/>
      <x:c r="G22" s="357" t="s"/>
      <x:c r="H22" s="358" t="str">
        <x:f>IF(F22="","",VLOOKUP(F22,Sheet_Master!A:M,13,FALSE))</x:f>
      </x:c>
      <x:c r="I22" s="58" t="str">
        <x:f>IF(F22="","",VLOOKUP(F22,Sheet_Master!A:N,14,FALSE))</x:f>
      </x:c>
      <x:c r="J22" s="58" t="str">
        <x:f>IF(F22="","",VLOOKUP(F22,Sheet_Master!A:F,6,FALSE))</x:f>
      </x:c>
      <x:c r="K22" s="58" t="s"/>
      <x:c r="L22" s="58" t="s"/>
      <x:c r="M22" s="58" t="s"/>
      <x:c r="N22" s="58" t="s"/>
      <x:c r="O22" s="357" t="str">
        <x:f>IF(F22="","",1)</x:f>
      </x:c>
      <x:c r="P22" s="357" t="s"/>
      <x:c r="Q22" s="357" t="s"/>
      <x:c r="R22" s="357" t="s"/>
      <x:c r="S22" s="357" t="s"/>
      <x:c r="T22" s="357" t="s"/>
      <x:c r="U22" s="357" t="s"/>
      <x:c r="V22" s="357" t="s"/>
      <x:c r="W22" s="357" t="s"/>
      <x:c r="X22" s="357" t="s"/>
      <x:c r="Y22" s="357" t="s"/>
      <x:c r="Z22" s="58" t="str">
        <x:f>IF((P22*Q22)+(R22*S22)+(T22*U22)+(V22*W22)+(X22*Y22)=0,"",(P22*Q22)+(R22*S22)+(T22*U22)+(V22*W22)+(X22*Y22))</x:f>
      </x:c>
      <x:c r="AA22" s="359" t="str">
        <x:f>IF(F22="","",VLOOKUP(F22,Sheet_Master!A:B,2,FALSE))</x:f>
      </x:c>
      <x:c r="AB22" s="359" t="str">
        <x:f>IF(F22="","",(Z22*AA22)/1000)</x:f>
      </x:c>
      <x:c r="AC22" s="58" t="str">
        <x:f>IF(F22="","",VLOOKUP(F22,Sheet_Master!A:E,5,FALSE))</x:f>
      </x:c>
      <x:c r="AD22" s="58" t="str">
        <x:f>IF(O22="","",IF(O22="-",0,7.5))</x:f>
      </x:c>
      <x:c r="AE22" s="58" t="str">
        <x:f>IF(F22="","",1.3)</x:f>
      </x:c>
      <x:c r="AF22" s="360" t="str">
        <x:f>IF(AND(F22&lt;&gt;"",O22&lt;&gt;"-"),((Q22+S22+U22+W22+Y22-O22)*AE22),(IF(AND(F22&lt;&gt;"",O22="-"),((Q22+S22+U22+W22+Y22)*AE22),"")))</x:f>
      </x:c>
      <x:c r="AG22" s="361" t="str">
        <x:f>IF(F22="","",(Z22/AC22))</x:f>
      </x:c>
      <x:c r="AH22" s="283" t="str">
        <x:f>IF(F22="","",(AD22+AF22+AG22))</x:f>
      </x:c>
      <x:c r="AI22" s="362" t="str">
        <x:f>IF(OR(F22="",ISTEXT(AH22)),"",(Z22*60)/AH22)</x:f>
      </x:c>
      <x:c r="AJ22" s="285" t="s"/>
      <x:c r="AK22" s="286" t="s"/>
      <x:c r="AL22" s="287" t="str">
        <x:f>IF(AH22="","",AH22/1440)</x:f>
      </x:c>
      <x:c r="AM22" s="363" t="str">
        <x:f>IF(F22="","",F22)</x:f>
      </x:c>
      <x:c r="AN22" s="130" t="str">
        <x:f>IF(G22="","",G22)</x:f>
      </x:c>
      <x:c r="AO22" s="130" t="str">
        <x:f>IF(ISERROR(AB22*1000),"",AB22*1000)</x:f>
      </x:c>
      <x:c r="AP22" s="364" t="s"/>
      <x:c r="AQ22" s="364" t="s"/>
      <x:c r="AR22" s="134" t="str">
        <x:f>IF(B22="","",B22)</x:f>
      </x:c>
      <x:c r="AS22" s="130" t="str">
        <x:f>IF(J22="","",J22)</x:f>
      </x:c>
      <x:c r="AT22" s="130" t="str">
        <x:f>IF(K22="","",K22)</x:f>
      </x:c>
      <x:c r="AU22" s="365" t="str">
        <x:f>IF(L22="","",CONCATENATE(L22,"X",M22,"X",N22))</x:f>
      </x:c>
      <x:c r="AV22" s="366" t="str">
        <x:f>IF(AL22="",AL22,AV21+AL21)</x:f>
      </x:c>
      <x:c r="AW22" s="366" t="str">
        <x:f>IFERROR(AV22+AL22,"")</x:f>
      </x:c>
      <x:c r="AX22" s="367" t="s"/>
      <x:c r="AY22" s="367" t="s"/>
      <x:c r="AZ22" s="125" t="str">
        <x:f>AC22</x:f>
      </x:c>
      <x:c r="BA22" s="368" t="s"/>
      <x:c r="BB22" s="369" t="str">
        <x:f>IF(AD22="","",(AD22+AF22))</x:f>
      </x:c>
      <x:c r="BC22" s="368" t="s"/>
      <x:c r="BD22" s="130" t="str">
        <x:f>IF(AH22="","",AH22)</x:f>
      </x:c>
      <x:c r="BE22" s="130" t="str">
        <x:f>IF(AX22="","",IF((AY22-AX22)*1440-(BF22+BP22)&lt;0,(AY22-AX22)*1440-(BF22+BP22)+1440,(AY22-AX22)*1440-(BF22+BP22)))</x:f>
      </x:c>
      <x:c r="BF22" s="364" t="s"/>
      <x:c r="BG22" s="131" t="str">
        <x:f>IF(Z22=0,"",Z22)</x:f>
      </x:c>
      <x:c r="BH22" s="370" t="s"/>
      <x:c r="BI22" s="134" t="str">
        <x:f>IF(AI22="","",AI22)</x:f>
      </x:c>
      <x:c r="BJ22" s="134" t="str">
        <x:f>IFERROR(BH22/(BE22/60),"")</x:f>
      </x:c>
      <x:c r="BK22" s="58" t="s"/>
      <x:c r="BL22" s="58" t="s"/>
      <x:c r="BM22" s="58" t="s"/>
      <x:c r="BN22" s="58" t="s"/>
      <x:c r="BO22" s="58" t="s"/>
      <x:c r="BP22" s="371" t="s"/>
      <x:c r="BQ22" s="125" t="str">
        <x:f>IF(AX22="","",(BE22-BC22))</x:f>
      </x:c>
      <x:c r="BR22" s="382" t="s"/>
      <x:c r="BS22" s="131" t="str">
        <x:f>IF(F22="","",BG22*AA22)</x:f>
      </x:c>
      <x:c r="BT22" s="296" t="str">
        <x:f>IF(F22="","",BH22*AA22)</x:f>
      </x:c>
    </x:row>
    <x:row r="23" spans="1:184" customFormat="1" ht="115.5" customHeight="1">
      <x:c r="B23" s="356" t="str">
        <x:f>IF(F23="","",B22+1)</x:f>
      </x:c>
      <x:c r="C23" s="357" t="s"/>
      <x:c r="D23" s="357" t="s"/>
      <x:c r="E23" s="357" t="s"/>
      <x:c r="F23" s="357" t="s"/>
      <x:c r="G23" s="357" t="s"/>
      <x:c r="H23" s="358" t="str">
        <x:f>IF(F23="","",VLOOKUP(F23,Sheet_Master!A:M,13,FALSE))</x:f>
      </x:c>
      <x:c r="I23" s="58" t="str">
        <x:f>IF(F23="","",VLOOKUP(F23,Sheet_Master!A:N,14,FALSE))</x:f>
      </x:c>
      <x:c r="J23" s="58" t="str">
        <x:f>IF(F23="","",VLOOKUP(F23,Sheet_Master!A:F,6,FALSE))</x:f>
      </x:c>
      <x:c r="K23" s="58" t="s"/>
      <x:c r="L23" s="58" t="s"/>
      <x:c r="M23" s="58" t="s"/>
      <x:c r="N23" s="58" t="s"/>
      <x:c r="O23" s="357" t="str">
        <x:f>IF(F23="","",1)</x:f>
      </x:c>
      <x:c r="P23" s="357" t="s"/>
      <x:c r="Q23" s="357" t="s"/>
      <x:c r="R23" s="357" t="s"/>
      <x:c r="S23" s="357" t="s"/>
      <x:c r="T23" s="357" t="s"/>
      <x:c r="U23" s="357" t="s"/>
      <x:c r="V23" s="357" t="s"/>
      <x:c r="W23" s="357" t="s"/>
      <x:c r="X23" s="357" t="s"/>
      <x:c r="Y23" s="357" t="s"/>
      <x:c r="Z23" s="58" t="str">
        <x:f>IF((P23*Q23)+(R23*S23)+(T23*U23)+(V23*W23)+(X23*Y23)=0,"",(P23*Q23)+(R23*S23)+(T23*U23)+(V23*W23)+(X23*Y23))</x:f>
      </x:c>
      <x:c r="AA23" s="359" t="str">
        <x:f>IF(F23="","",VLOOKUP(F23,Sheet_Master!A:B,2,FALSE))</x:f>
      </x:c>
      <x:c r="AB23" s="359" t="str">
        <x:f>IF(F23="","",(Z23*AA23)/1000)</x:f>
      </x:c>
      <x:c r="AC23" s="58" t="str">
        <x:f>IF(F23="","",VLOOKUP(F23,Sheet_Master!A:E,5,FALSE))</x:f>
      </x:c>
      <x:c r="AD23" s="58" t="str">
        <x:f>IF(O23="","",IF(O23="-",0,7.5))</x:f>
      </x:c>
      <x:c r="AE23" s="58" t="str">
        <x:f>IF(F23="","",1.3)</x:f>
      </x:c>
      <x:c r="AF23" s="360" t="str">
        <x:f>IF(AND(F23&lt;&gt;"",O23&lt;&gt;"-"),((Q23+S23+U23+W23+Y23-O23)*AE23),(IF(AND(F23&lt;&gt;"",O23="-"),((Q23+S23+U23+W23+Y23)*AE23),"")))</x:f>
      </x:c>
      <x:c r="AG23" s="361" t="str">
        <x:f>IF(F23="","",(Z23/AC23))</x:f>
      </x:c>
      <x:c r="AH23" s="283" t="str">
        <x:f>IF(F23="","",(AD23+AF23+AG23))</x:f>
      </x:c>
      <x:c r="AI23" s="362" t="str">
        <x:f>IF(OR(F23="",ISTEXT(AH23)),"",(Z23*60)/AH23)</x:f>
      </x:c>
      <x:c r="AJ23" s="285" t="s"/>
      <x:c r="AK23" s="286" t="s"/>
      <x:c r="AL23" s="287" t="str">
        <x:f>IF(AH23="","",AH23/1440)</x:f>
      </x:c>
      <x:c r="AM23" s="363" t="str">
        <x:f>IF(F23="","",F23)</x:f>
      </x:c>
      <x:c r="AN23" s="130" t="str">
        <x:f>IF(G23="","",G23)</x:f>
      </x:c>
      <x:c r="AO23" s="130" t="str">
        <x:f>IF(ISERROR(AB23*1000),"",AB23*1000)</x:f>
      </x:c>
      <x:c r="AP23" s="364" t="s"/>
      <x:c r="AQ23" s="364" t="s"/>
      <x:c r="AR23" s="134" t="str">
        <x:f>IF(B23="","",B23)</x:f>
      </x:c>
      <x:c r="AS23" s="130" t="str">
        <x:f>IF(J23="","",J23)</x:f>
      </x:c>
      <x:c r="AT23" s="130" t="str">
        <x:f>IF(K23="","",K23)</x:f>
      </x:c>
      <x:c r="AU23" s="365" t="str">
        <x:f>IF(L23="","",CONCATENATE(L23,"X",M23,"X",N23))</x:f>
      </x:c>
      <x:c r="AV23" s="366" t="str">
        <x:f>IF(AL23="",AL23,AV22+AL22)</x:f>
      </x:c>
      <x:c r="AW23" s="366" t="str">
        <x:f>IFERROR(AV23+AL23,"")</x:f>
      </x:c>
      <x:c r="AX23" s="367" t="s"/>
      <x:c r="AY23" s="367" t="s"/>
      <x:c r="AZ23" s="125" t="str">
        <x:f>AC23</x:f>
      </x:c>
      <x:c r="BA23" s="368" t="s"/>
      <x:c r="BB23" s="369" t="str">
        <x:f>IF(AD23="","",(AD23+AF23))</x:f>
      </x:c>
      <x:c r="BC23" s="368" t="s"/>
      <x:c r="BD23" s="130" t="str">
        <x:f>IF(AH23="","",AH23)</x:f>
      </x:c>
      <x:c r="BE23" s="130" t="str">
        <x:f>IF(AX23="","",IF((AY23-AX23)*1440-(BF23+BP23)&lt;0,(AY23-AX23)*1440-(BF23+BP23)+1440,(AY23-AX23)*1440-(BF23+BP23)))</x:f>
      </x:c>
      <x:c r="BF23" s="364" t="s"/>
      <x:c r="BG23" s="131" t="str">
        <x:f>IF(Z23=0,"",Z23)</x:f>
      </x:c>
      <x:c r="BH23" s="370" t="s"/>
      <x:c r="BI23" s="134" t="str">
        <x:f>IF(AI23="","",AI23)</x:f>
      </x:c>
      <x:c r="BJ23" s="134" t="str">
        <x:f>IFERROR(BH23/(BE23/60),"")</x:f>
      </x:c>
      <x:c r="BK23" s="58" t="s"/>
      <x:c r="BL23" s="58" t="s"/>
      <x:c r="BM23" s="58" t="s"/>
      <x:c r="BN23" s="58" t="s"/>
      <x:c r="BO23" s="58" t="s"/>
      <x:c r="BP23" s="371" t="s"/>
      <x:c r="BQ23" s="125" t="str">
        <x:f>IF(AX23="","",(BE23-BC23))</x:f>
      </x:c>
      <x:c r="BR23" s="79" t="s"/>
      <x:c r="BS23" s="131" t="str">
        <x:f>IF(F23="","",BG23*AA23)</x:f>
      </x:c>
      <x:c r="BT23" s="296" t="str">
        <x:f>IF(F23="","",BH23*AA23)</x:f>
      </x:c>
    </x:row>
    <x:row r="24" spans="1:184" customFormat="1" ht="115.5" customHeight="1">
      <x:c r="B24" s="356" t="str">
        <x:f>IF(F24="","",B23+1)</x:f>
      </x:c>
      <x:c r="C24" s="357" t="s"/>
      <x:c r="D24" s="357" t="s"/>
      <x:c r="E24" s="357" t="s"/>
      <x:c r="F24" s="357" t="s"/>
      <x:c r="G24" s="357" t="s"/>
      <x:c r="H24" s="358" t="str">
        <x:f>IF(F24="","",VLOOKUP(F24,Sheet_Master!A:M,13,FALSE))</x:f>
      </x:c>
      <x:c r="I24" s="58" t="str">
        <x:f>IF(F24="","",VLOOKUP(F24,Sheet_Master!A:N,14,FALSE))</x:f>
      </x:c>
      <x:c r="J24" s="58" t="str">
        <x:f>IF(F24="","",VLOOKUP(F24,Sheet_Master!A:F,6,FALSE))</x:f>
      </x:c>
      <x:c r="K24" s="58" t="s"/>
      <x:c r="L24" s="58" t="s"/>
      <x:c r="M24" s="58" t="s"/>
      <x:c r="N24" s="58" t="s"/>
      <x:c r="O24" s="357" t="str">
        <x:f>IF(F24="","",1)</x:f>
      </x:c>
      <x:c r="P24" s="357" t="s"/>
      <x:c r="Q24" s="357" t="s"/>
      <x:c r="R24" s="357" t="s"/>
      <x:c r="S24" s="357" t="s"/>
      <x:c r="T24" s="357" t="s"/>
      <x:c r="U24" s="357" t="s"/>
      <x:c r="V24" s="357" t="s"/>
      <x:c r="W24" s="357" t="s"/>
      <x:c r="X24" s="357" t="s"/>
      <x:c r="Y24" s="357" t="s"/>
      <x:c r="Z24" s="58" t="str">
        <x:f>IF((P24*Q24)+(R24*S24)+(T24*U24)+(V24*W24)+(X24*Y24)=0,"",(P24*Q24)+(R24*S24)+(T24*U24)+(V24*W24)+(X24*Y24))</x:f>
      </x:c>
      <x:c r="AA24" s="359" t="str">
        <x:f>IF(F24="","",VLOOKUP(F24,Sheet_Master!A:B,2,FALSE))</x:f>
      </x:c>
      <x:c r="AB24" s="359" t="str">
        <x:f>IF(F24="","",(Z24*AA24)/1000)</x:f>
      </x:c>
      <x:c r="AC24" s="58" t="str">
        <x:f>IF(F24="","",VLOOKUP(F24,Sheet_Master!A:E,5,FALSE))</x:f>
      </x:c>
      <x:c r="AD24" s="58" t="str">
        <x:f>IF(O24="","",IF(O24="-",0,7.5))</x:f>
      </x:c>
      <x:c r="AE24" s="58" t="str">
        <x:f>IF(F24="","",1.3)</x:f>
      </x:c>
      <x:c r="AF24" s="360" t="str">
        <x:f>IF(AND(F24&lt;&gt;"",O24&lt;&gt;"-"),((Q24+S24+U24+W24+Y24-O24)*AE24),(IF(AND(F24&lt;&gt;"",O24="-"),((Q24+S24+U24+W24+Y24)*AE24),"")))</x:f>
      </x:c>
      <x:c r="AG24" s="361" t="str">
        <x:f>IF(F24="","",(Z24/AC24))</x:f>
      </x:c>
      <x:c r="AH24" s="283" t="str">
        <x:f>IF(F24="","",(AD24+AF24+AG24))</x:f>
      </x:c>
      <x:c r="AI24" s="362" t="str">
        <x:f>IF(OR(F24="",ISTEXT(AH24)),"",(Z24*60)/AH24)</x:f>
      </x:c>
      <x:c r="AJ24" s="285" t="s"/>
      <x:c r="AK24" s="286" t="s"/>
      <x:c r="AL24" s="287" t="str">
        <x:f>IF(AH24="","",AH24/1440)</x:f>
      </x:c>
      <x:c r="AM24" s="363" t="str">
        <x:f>IF(F24="","",F24)</x:f>
      </x:c>
      <x:c r="AN24" s="130" t="str">
        <x:f>IF(G24="","",G24)</x:f>
      </x:c>
      <x:c r="AO24" s="130" t="str">
        <x:f>IF(ISERROR(AB24*1000),"",AB24*1000)</x:f>
      </x:c>
      <x:c r="AP24" s="364" t="s"/>
      <x:c r="AQ24" s="364" t="s"/>
      <x:c r="AR24" s="134" t="str">
        <x:f>IF(B24="","",B24)</x:f>
      </x:c>
      <x:c r="AS24" s="130" t="str">
        <x:f>IF(J24="","",J24)</x:f>
      </x:c>
      <x:c r="AT24" s="130" t="str">
        <x:f>IF(K24="","",K24)</x:f>
      </x:c>
      <x:c r="AU24" s="365" t="str">
        <x:f>IF(L24="","",CONCATENATE(L24,"X",M24,"X",N24))</x:f>
      </x:c>
      <x:c r="AV24" s="366" t="str">
        <x:f>IF(AL24="",AL24,AV23+AL23)</x:f>
      </x:c>
      <x:c r="AW24" s="366" t="str">
        <x:f>IFERROR(AV24+AL24,"")</x:f>
      </x:c>
      <x:c r="AX24" s="367" t="s"/>
      <x:c r="AY24" s="367" t="s"/>
      <x:c r="AZ24" s="125" t="str">
        <x:f>AC24</x:f>
      </x:c>
      <x:c r="BA24" s="368" t="s"/>
      <x:c r="BB24" s="369" t="str">
        <x:f>IF(AD24="","",(AD24+AF24))</x:f>
      </x:c>
      <x:c r="BC24" s="368" t="s"/>
      <x:c r="BD24" s="130" t="str">
        <x:f>IF(AH24="","",AH24)</x:f>
      </x:c>
      <x:c r="BE24" s="130" t="str">
        <x:f>IF(AX24="","",IF((AY24-AX24)*1440-(BF24+BP24)&lt;0,(AY24-AX24)*1440-(BF24+BP24)+1440,(AY24-AX24)*1440-(BF24+BP24)))</x:f>
      </x:c>
      <x:c r="BF24" s="364" t="s"/>
      <x:c r="BG24" s="131" t="str">
        <x:f>IF(Z24=0,"",Z24)</x:f>
      </x:c>
      <x:c r="BH24" s="370" t="s"/>
      <x:c r="BI24" s="134" t="str">
        <x:f>IF(AI24="","",AI24)</x:f>
      </x:c>
      <x:c r="BJ24" s="134" t="str">
        <x:f>IFERROR(BH24/(BE24/60),"")</x:f>
      </x:c>
      <x:c r="BK24" s="58" t="s"/>
      <x:c r="BL24" s="58" t="s"/>
      <x:c r="BM24" s="58" t="s"/>
      <x:c r="BN24" s="58" t="s"/>
      <x:c r="BO24" s="58" t="s"/>
      <x:c r="BP24" s="371" t="s"/>
      <x:c r="BQ24" s="125" t="str">
        <x:f>IF(AX24="","",(BE24-BC24))</x:f>
      </x:c>
      <x:c r="BR24" s="79" t="s"/>
      <x:c r="BS24" s="131" t="str">
        <x:f>IF(F24="","",BG24*AA24)</x:f>
      </x:c>
      <x:c r="BT24" s="296" t="str">
        <x:f>IF(F24="","",BH24*AA24)</x:f>
      </x:c>
    </x:row>
    <x:row r="25" spans="1:184" customFormat="1" ht="115.5" customHeight="1">
      <x:c r="B25" s="356" t="str">
        <x:f>IF(F25="","",B24+1)</x:f>
      </x:c>
      <x:c r="C25" s="357" t="s"/>
      <x:c r="D25" s="357" t="s"/>
      <x:c r="E25" s="357" t="s"/>
      <x:c r="F25" s="357" t="s"/>
      <x:c r="G25" s="357" t="s"/>
      <x:c r="H25" s="358" t="str">
        <x:f>IF(F25="","",VLOOKUP(F25,Sheet_Master!A:M,13,FALSE))</x:f>
      </x:c>
      <x:c r="I25" s="58" t="str">
        <x:f>IF(F25="","",VLOOKUP(F25,Sheet_Master!A:N,14,FALSE))</x:f>
      </x:c>
      <x:c r="J25" s="58" t="str">
        <x:f>IF(F25="","",VLOOKUP(F25,Sheet_Master!A:F,6,FALSE))</x:f>
      </x:c>
      <x:c r="K25" s="58" t="s"/>
      <x:c r="L25" s="58" t="s"/>
      <x:c r="M25" s="58" t="s"/>
      <x:c r="N25" s="58" t="s"/>
      <x:c r="O25" s="357" t="str">
        <x:f>IF(F25="","",1)</x:f>
      </x:c>
      <x:c r="P25" s="357" t="s"/>
      <x:c r="Q25" s="357" t="s"/>
      <x:c r="R25" s="357" t="s"/>
      <x:c r="S25" s="357" t="s"/>
      <x:c r="T25" s="357" t="s"/>
      <x:c r="U25" s="357" t="s"/>
      <x:c r="V25" s="357" t="s"/>
      <x:c r="W25" s="357" t="s"/>
      <x:c r="X25" s="357" t="s"/>
      <x:c r="Y25" s="357" t="s"/>
      <x:c r="Z25" s="58" t="str">
        <x:f>IF((P25*Q25)+(R25*S25)+(T25*U25)+(V25*W25)+(X25*Y25)=0,"",(P25*Q25)+(R25*S25)+(T25*U25)+(V25*W25)+(X25*Y25))</x:f>
      </x:c>
      <x:c r="AA25" s="359" t="str">
        <x:f>IF(F25="","",VLOOKUP(F25,Sheet_Master!A:B,2,FALSE))</x:f>
      </x:c>
      <x:c r="AB25" s="359" t="str">
        <x:f>IF(F25="","",(Z25*AA25)/1000)</x:f>
      </x:c>
      <x:c r="AC25" s="58" t="str">
        <x:f>IF(F25="","",VLOOKUP(F25,Sheet_Master!A:E,5,FALSE))</x:f>
      </x:c>
      <x:c r="AD25" s="58" t="str">
        <x:f>IF(O25="","",IF(O25="-",0,7.5))</x:f>
      </x:c>
      <x:c r="AE25" s="58" t="str">
        <x:f>IF(F25="","",1.3)</x:f>
      </x:c>
      <x:c r="AF25" s="360" t="str">
        <x:f>IF(AND(F25&lt;&gt;"",O25&lt;&gt;"-"),((Q25+S25+U25+W25+Y25-O25)*AE25),(IF(AND(F25&lt;&gt;"",O25="-"),((Q25+S25+U25+W25+Y25)*AE25),"")))</x:f>
      </x:c>
      <x:c r="AG25" s="361" t="str">
        <x:f>IF(F25="","",(Z25/AC25))</x:f>
      </x:c>
      <x:c r="AH25" s="283" t="str">
        <x:f>IF(F25="","",(AD25+AF25+AG25))</x:f>
      </x:c>
      <x:c r="AI25" s="362" t="str">
        <x:f>IF(OR(F25="",ISTEXT(AH25)),"",(Z25*60)/AH25)</x:f>
      </x:c>
      <x:c r="AJ25" s="285" t="s"/>
      <x:c r="AK25" s="286" t="s"/>
      <x:c r="AL25" s="287" t="str">
        <x:f>IF(AH25="","",AH25/1440)</x:f>
      </x:c>
      <x:c r="AM25" s="363" t="str">
        <x:f>IF(F25="","",F25)</x:f>
      </x:c>
      <x:c r="AN25" s="130" t="str">
        <x:f>IF(G25="","",G25)</x:f>
      </x:c>
      <x:c r="AO25" s="130" t="str">
        <x:f>IF(ISERROR(AB25*1000),"",AB25*1000)</x:f>
      </x:c>
      <x:c r="AP25" s="364" t="s"/>
      <x:c r="AQ25" s="364" t="s"/>
      <x:c r="AR25" s="134" t="str">
        <x:f>IF(B25="","",B25)</x:f>
      </x:c>
      <x:c r="AS25" s="130" t="str">
        <x:f>IF(J25="","",J25)</x:f>
      </x:c>
      <x:c r="AT25" s="130" t="str">
        <x:f>IF(K25="","",K25)</x:f>
      </x:c>
      <x:c r="AU25" s="365" t="str">
        <x:f>IF(L25="","",CONCATENATE(L25,"X",M25,"X",N25))</x:f>
      </x:c>
      <x:c r="AV25" s="366" t="str">
        <x:f>IF(AL25="",AL25,AV24+AL24)</x:f>
      </x:c>
      <x:c r="AW25" s="366" t="str">
        <x:f>IFERROR(AV25+AL25,"")</x:f>
      </x:c>
      <x:c r="AX25" s="367" t="s"/>
      <x:c r="AY25" s="367" t="s"/>
      <x:c r="AZ25" s="125" t="str">
        <x:f>AC25</x:f>
      </x:c>
      <x:c r="BA25" s="368" t="s"/>
      <x:c r="BB25" s="369" t="str">
        <x:f>IF(AD25="","",(AD25+AF25))</x:f>
      </x:c>
      <x:c r="BC25" s="368" t="s"/>
      <x:c r="BD25" s="130" t="str">
        <x:f>IF(AH25="","",AH25)</x:f>
      </x:c>
      <x:c r="BE25" s="130" t="str">
        <x:f>IF(AX25="","",IF((AY25-AX25)*1440-(BF25+BP25)&lt;0,(AY25-AX25)*1440-(BF25+BP25)+1440,(AY25-AX25)*1440-(BF25+BP25)))</x:f>
      </x:c>
      <x:c r="BF25" s="364" t="s"/>
      <x:c r="BG25" s="131" t="str">
        <x:f>IF(Z25=0,"",Z25)</x:f>
      </x:c>
      <x:c r="BH25" s="370" t="s"/>
      <x:c r="BI25" s="134" t="str">
        <x:f>IF(AI25="","",AI25)</x:f>
      </x:c>
      <x:c r="BJ25" s="134" t="str">
        <x:f>IFERROR(BH25/(BE25/60),"")</x:f>
      </x:c>
      <x:c r="BK25" s="58" t="s"/>
      <x:c r="BL25" s="58" t="s"/>
      <x:c r="BM25" s="58" t="s"/>
      <x:c r="BN25" s="58" t="s"/>
      <x:c r="BO25" s="58" t="s"/>
      <x:c r="BP25" s="371" t="s"/>
      <x:c r="BQ25" s="125" t="str">
        <x:f>IF(AX25="","",(BE25-BC25))</x:f>
      </x:c>
      <x:c r="BR25" s="79" t="s"/>
      <x:c r="BS25" s="131" t="str">
        <x:f>IF(F25="","",BG25*AA25)</x:f>
      </x:c>
      <x:c r="BT25" s="296" t="str">
        <x:f>IF(F25="","",BH25*AA25)</x:f>
      </x:c>
    </x:row>
    <x:row r="26" spans="1:184" customFormat="1" ht="115.5" customHeight="1">
      <x:c r="B26" s="356" t="str">
        <x:f>IF(F26="","",B25+1)</x:f>
      </x:c>
      <x:c r="C26" s="357" t="s"/>
      <x:c r="D26" s="357" t="s"/>
      <x:c r="E26" s="357" t="s"/>
      <x:c r="F26" s="357" t="s"/>
      <x:c r="G26" s="357" t="s"/>
      <x:c r="H26" s="358" t="str">
        <x:f>IF(F26="","",VLOOKUP(F26,Sheet_Master!A:M,13,FALSE))</x:f>
      </x:c>
      <x:c r="I26" s="58" t="str">
        <x:f>IF(F26="","",VLOOKUP(F26,Sheet_Master!A:N,14,FALSE))</x:f>
      </x:c>
      <x:c r="J26" s="58" t="str">
        <x:f>IF(F26="","",VLOOKUP(F26,Sheet_Master!A:F,6,FALSE))</x:f>
      </x:c>
      <x:c r="K26" s="58" t="s"/>
      <x:c r="L26" s="58" t="s"/>
      <x:c r="M26" s="58" t="s"/>
      <x:c r="N26" s="58" t="s"/>
      <x:c r="O26" s="357" t="str">
        <x:f>IF(F26="","",1)</x:f>
      </x:c>
      <x:c r="P26" s="357" t="s"/>
      <x:c r="Q26" s="357" t="s"/>
      <x:c r="R26" s="357" t="s"/>
      <x:c r="S26" s="357" t="s"/>
      <x:c r="T26" s="357" t="s"/>
      <x:c r="U26" s="357" t="s"/>
      <x:c r="V26" s="357" t="s"/>
      <x:c r="W26" s="357" t="s"/>
      <x:c r="X26" s="357" t="s"/>
      <x:c r="Y26" s="357" t="s"/>
      <x:c r="Z26" s="58" t="str">
        <x:f>IF((P26*Q26)+(R26*S26)+(T26*U26)+(V26*W26)+(X26*Y26)=0,"",(P26*Q26)+(R26*S26)+(T26*U26)+(V26*W26)+(X26*Y26))</x:f>
      </x:c>
      <x:c r="AA26" s="359" t="str">
        <x:f>IF(F26="","",VLOOKUP(F26,Sheet_Master!A:B,2,FALSE))</x:f>
      </x:c>
      <x:c r="AB26" s="359" t="str">
        <x:f>IF(F26="","",(Z26*AA26)/1000)</x:f>
      </x:c>
      <x:c r="AC26" s="58" t="str">
        <x:f>IF(F26="","",VLOOKUP(F26,Sheet_Master!A:E,5,FALSE))</x:f>
      </x:c>
      <x:c r="AD26" s="58" t="str">
        <x:f>IF(O26="","",IF(O26="-",0,7.5))</x:f>
      </x:c>
      <x:c r="AE26" s="58" t="str">
        <x:f>IF(F26="","",1.3)</x:f>
      </x:c>
      <x:c r="AF26" s="360" t="str">
        <x:f>IF(AND(F26&lt;&gt;"",O26&lt;&gt;"-"),((Q26+S26+U26+W26+Y26-O26)*AE26),(IF(AND(F26&lt;&gt;"",O26="-"),((Q26+S26+U26+W26+Y26)*AE26),"")))</x:f>
      </x:c>
      <x:c r="AG26" s="361" t="str">
        <x:f>IF(F26="","",(Z26/AC26))</x:f>
      </x:c>
      <x:c r="AH26" s="283" t="str">
        <x:f>IF(F26="","",(AD26+AF26+AG26))</x:f>
      </x:c>
      <x:c r="AI26" s="362" t="str">
        <x:f>IF(OR(F26="",ISTEXT(AH26)),"",(Z26*60)/AH26)</x:f>
      </x:c>
      <x:c r="AJ26" s="285" t="s"/>
      <x:c r="AK26" s="286" t="s"/>
      <x:c r="AL26" s="287" t="str">
        <x:f>IF(AH26="","",AH26/1440)</x:f>
      </x:c>
      <x:c r="AM26" s="363" t="str">
        <x:f>IF(F26="","",F26)</x:f>
      </x:c>
      <x:c r="AN26" s="130" t="str">
        <x:f>IF(G26="","",G26)</x:f>
      </x:c>
      <x:c r="AO26" s="130" t="str">
        <x:f>IF(ISERROR(AB26*1000),"",AB26*1000)</x:f>
      </x:c>
      <x:c r="AP26" s="364" t="s"/>
      <x:c r="AQ26" s="364" t="s"/>
      <x:c r="AR26" s="134" t="str">
        <x:f>IF(B26="","",B26)</x:f>
      </x:c>
      <x:c r="AS26" s="130" t="str">
        <x:f>IF(J26="","",J26)</x:f>
      </x:c>
      <x:c r="AT26" s="130" t="str">
        <x:f>IF(K26="","",K26)</x:f>
      </x:c>
      <x:c r="AU26" s="365" t="str">
        <x:f>IF(L26="","",CONCATENATE(L26,"X",M26,"X",N26))</x:f>
      </x:c>
      <x:c r="AV26" s="366" t="str">
        <x:f>IF(AL26="",AL26,AV25+AL25)</x:f>
      </x:c>
      <x:c r="AW26" s="366" t="str">
        <x:f>IFERROR(AV26+AL26,"")</x:f>
      </x:c>
      <x:c r="AX26" s="367" t="s"/>
      <x:c r="AY26" s="367" t="s"/>
      <x:c r="AZ26" s="125" t="str">
        <x:f>AC26</x:f>
      </x:c>
      <x:c r="BA26" s="368" t="s"/>
      <x:c r="BB26" s="369" t="str">
        <x:f>IF(AD26="","",(AD26+AF26))</x:f>
      </x:c>
      <x:c r="BC26" s="368" t="s"/>
      <x:c r="BD26" s="130" t="str">
        <x:f>IF(AH26="","",AH26)</x:f>
      </x:c>
      <x:c r="BE26" s="130" t="str">
        <x:f>IF(AX26="","",IF((AY26-AX26)*1440-(BF26+BP26)&lt;0,(AY26-AX26)*1440-(BF26+BP26)+1440,(AY26-AX26)*1440-(BF26+BP26)))</x:f>
      </x:c>
      <x:c r="BF26" s="364" t="s"/>
      <x:c r="BG26" s="131" t="str">
        <x:f>IF(Z26=0,"",Z26)</x:f>
      </x:c>
      <x:c r="BH26" s="370" t="s"/>
      <x:c r="BI26" s="134" t="str">
        <x:f>IF(AI26="","",AI26)</x:f>
      </x:c>
      <x:c r="BJ26" s="134" t="str">
        <x:f>IFERROR(BH26/(BE26/60),"")</x:f>
      </x:c>
      <x:c r="BK26" s="58" t="s"/>
      <x:c r="BL26" s="58" t="s"/>
      <x:c r="BM26" s="58" t="s"/>
      <x:c r="BN26" s="58" t="s"/>
      <x:c r="BO26" s="58" t="s"/>
      <x:c r="BP26" s="371" t="s"/>
      <x:c r="BQ26" s="125" t="str">
        <x:f>IF(AX26="","",(BE26-BC26))</x:f>
      </x:c>
      <x:c r="BR26" s="79" t="s"/>
      <x:c r="BS26" s="131" t="str">
        <x:f>IF(F26="","",BG26*AA26)</x:f>
      </x:c>
      <x:c r="BT26" s="296" t="str">
        <x:f>IF(F26="","",BH26*AA26)</x:f>
      </x:c>
    </x:row>
    <x:row r="27" spans="1:184" customFormat="1" ht="115.5" customHeight="1">
      <x:c r="B27" s="356" t="str">
        <x:f>IF(F27="","",B26+1)</x:f>
      </x:c>
      <x:c r="C27" s="357" t="s"/>
      <x:c r="D27" s="357" t="s"/>
      <x:c r="E27" s="357" t="s"/>
      <x:c r="F27" s="357" t="s"/>
      <x:c r="G27" s="357" t="s"/>
      <x:c r="H27" s="358" t="str">
        <x:f>IF(F27="","",VLOOKUP(F27,Sheet_Master!A:M,13,FALSE))</x:f>
      </x:c>
      <x:c r="I27" s="58" t="str">
        <x:f>IF(F27="","",VLOOKUP(F27,Sheet_Master!A:N,14,FALSE))</x:f>
      </x:c>
      <x:c r="J27" s="58" t="str">
        <x:f>IF(F27="","",VLOOKUP(F27,Sheet_Master!A:F,6,FALSE))</x:f>
      </x:c>
      <x:c r="K27" s="58" t="s"/>
      <x:c r="L27" s="58" t="s"/>
      <x:c r="M27" s="58" t="s"/>
      <x:c r="N27" s="58" t="s"/>
      <x:c r="O27" s="357" t="str">
        <x:f>IF(F27="","",1)</x:f>
      </x:c>
      <x:c r="P27" s="357" t="s"/>
      <x:c r="Q27" s="357" t="s"/>
      <x:c r="R27" s="357" t="s"/>
      <x:c r="S27" s="357" t="s"/>
      <x:c r="T27" s="357" t="s"/>
      <x:c r="U27" s="357" t="s"/>
      <x:c r="V27" s="357" t="s"/>
      <x:c r="W27" s="357" t="s"/>
      <x:c r="X27" s="357" t="s"/>
      <x:c r="Y27" s="357" t="s"/>
      <x:c r="Z27" s="58" t="str">
        <x:f>IF((P27*Q27)+(R27*S27)+(T27*U27)+(V27*W27)+(X27*Y27)=0,"",(P27*Q27)+(R27*S27)+(T27*U27)+(V27*W27)+(X27*Y27))</x:f>
      </x:c>
      <x:c r="AA27" s="359" t="str">
        <x:f>IF(F27="","",VLOOKUP(F27,Sheet_Master!A:B,2,FALSE))</x:f>
      </x:c>
      <x:c r="AB27" s="359" t="str">
        <x:f>IF(F27="","",(Z27*AA27)/1000)</x:f>
      </x:c>
      <x:c r="AC27" s="58" t="str">
        <x:f>IF(F27="","",VLOOKUP(F27,Sheet_Master!A:E,5,FALSE))</x:f>
      </x:c>
      <x:c r="AD27" s="58" t="str">
        <x:f>IF(O27="","",IF(O27="-",0,7.5))</x:f>
      </x:c>
      <x:c r="AE27" s="58" t="str">
        <x:f>IF(F27="","",1.3)</x:f>
      </x:c>
      <x:c r="AF27" s="360" t="str">
        <x:f>IF(AND(F27&lt;&gt;"",O27&lt;&gt;"-"),((Q27+S27+U27+W27+Y27-O27)*AE27),(IF(AND(F27&lt;&gt;"",O27="-"),((Q27+S27+U27+W27+Y27)*AE27),"")))</x:f>
      </x:c>
      <x:c r="AG27" s="361" t="str">
        <x:f>IF(F27="","",(Z27/AC27))</x:f>
      </x:c>
      <x:c r="AH27" s="283" t="str">
        <x:f>IF(F27="","",(AD27+AF27+AG27))</x:f>
      </x:c>
      <x:c r="AI27" s="362" t="str">
        <x:f>IF(OR(F27="",ISTEXT(AH27)),"",(Z27*60)/AH27)</x:f>
      </x:c>
      <x:c r="AJ27" s="285" t="s"/>
      <x:c r="AK27" s="286" t="s"/>
      <x:c r="AL27" s="287" t="str">
        <x:f>IF(AH27="","",AH27/1440)</x:f>
      </x:c>
      <x:c r="AM27" s="363" t="str">
        <x:f>IF(F27="","",F27)</x:f>
      </x:c>
      <x:c r="AN27" s="130" t="str">
        <x:f>IF(G27="","",G27)</x:f>
      </x:c>
      <x:c r="AO27" s="130" t="str">
        <x:f>IF(ISERROR(AB27*1000),"",AB27*1000)</x:f>
      </x:c>
      <x:c r="AP27" s="364" t="s"/>
      <x:c r="AQ27" s="364" t="s"/>
      <x:c r="AR27" s="134" t="str">
        <x:f>IF(B27="","",B27)</x:f>
      </x:c>
      <x:c r="AS27" s="130" t="str">
        <x:f>IF(J27="","",J27)</x:f>
      </x:c>
      <x:c r="AT27" s="130" t="str">
        <x:f>IF(K27="","",K27)</x:f>
      </x:c>
      <x:c r="AU27" s="365" t="str">
        <x:f>IF(L27="","",CONCATENATE(L27,"X",M27,"X",N27))</x:f>
      </x:c>
      <x:c r="AV27" s="366" t="str">
        <x:f>IF(AL27="",AL27,AV26+AL26)</x:f>
      </x:c>
      <x:c r="AW27" s="366" t="str">
        <x:f>IFERROR(AV27+AL27,"")</x:f>
      </x:c>
      <x:c r="AX27" s="367" t="s"/>
      <x:c r="AY27" s="367" t="s"/>
      <x:c r="AZ27" s="125" t="str">
        <x:f>AC27</x:f>
      </x:c>
      <x:c r="BA27" s="368" t="s"/>
      <x:c r="BB27" s="369" t="str">
        <x:f>IF(AD27="","",(AD27+AF27))</x:f>
      </x:c>
      <x:c r="BC27" s="368" t="s"/>
      <x:c r="BD27" s="130" t="str">
        <x:f>IF(AH27="","",AH27)</x:f>
      </x:c>
      <x:c r="BE27" s="130" t="str">
        <x:f>IF(AX27="","",IF((AY27-AX27)*1440-(BF27+BP27)&lt;0,(AY27-AX27)*1440-(BF27+BP27)+1440,(AY27-AX27)*1440-(BF27+BP27)))</x:f>
      </x:c>
      <x:c r="BF27" s="364" t="s"/>
      <x:c r="BG27" s="131" t="str">
        <x:f>IF(Z27=0,"",Z27)</x:f>
      </x:c>
      <x:c r="BH27" s="370" t="s"/>
      <x:c r="BI27" s="134" t="str">
        <x:f>IF(AI27="","",AI27)</x:f>
      </x:c>
      <x:c r="BJ27" s="134" t="str">
        <x:f>IFERROR(BH27/(BE27/60),"")</x:f>
      </x:c>
      <x:c r="BK27" s="58" t="s"/>
      <x:c r="BL27" s="58" t="s"/>
      <x:c r="BM27" s="58" t="s"/>
      <x:c r="BN27" s="58" t="s"/>
      <x:c r="BO27" s="58" t="s"/>
      <x:c r="BP27" s="371" t="s"/>
      <x:c r="BQ27" s="125" t="str">
        <x:f>IF(AX27="","",(BE27-BC27))</x:f>
      </x:c>
      <x:c r="BR27" s="79" t="s"/>
      <x:c r="BS27" s="131" t="str">
        <x:f>IF(F27="","",BG27*AA27)</x:f>
      </x:c>
      <x:c r="BT27" s="296" t="str">
        <x:f>IF(F27="","",BH27*AA27)</x:f>
      </x:c>
    </x:row>
    <x:row r="28" spans="1:184" customFormat="1" ht="115.5" customHeight="1">
      <x:c r="B28" s="356" t="str">
        <x:f>IF(F28="","",B27+1)</x:f>
      </x:c>
      <x:c r="C28" s="357" t="s"/>
      <x:c r="D28" s="357" t="s"/>
      <x:c r="E28" s="357" t="s"/>
      <x:c r="F28" s="357" t="s"/>
      <x:c r="G28" s="357" t="s"/>
      <x:c r="H28" s="358" t="str">
        <x:f>IF(F28="","",VLOOKUP(F28,Sheet_Master!A:M,13,FALSE))</x:f>
      </x:c>
      <x:c r="I28" s="58" t="str">
        <x:f>IF(F28="","",VLOOKUP(F28,Sheet_Master!A:N,14,FALSE))</x:f>
      </x:c>
      <x:c r="J28" s="58" t="str">
        <x:f>IF(F28="","",VLOOKUP(F28,Sheet_Master!A:F,6,FALSE))</x:f>
      </x:c>
      <x:c r="K28" s="58" t="s"/>
      <x:c r="L28" s="58" t="s"/>
      <x:c r="M28" s="58" t="s"/>
      <x:c r="N28" s="58" t="s"/>
      <x:c r="O28" s="357" t="str">
        <x:f>IF(F28="","",1)</x:f>
      </x:c>
      <x:c r="P28" s="357" t="s"/>
      <x:c r="Q28" s="357" t="s"/>
      <x:c r="R28" s="357" t="s"/>
      <x:c r="S28" s="357" t="s"/>
      <x:c r="T28" s="357" t="s"/>
      <x:c r="U28" s="357" t="s"/>
      <x:c r="V28" s="357" t="s"/>
      <x:c r="W28" s="357" t="s"/>
      <x:c r="X28" s="357" t="s"/>
      <x:c r="Y28" s="357" t="s"/>
      <x:c r="Z28" s="58" t="str">
        <x:f>IF((P28*Q28)+(R28*S28)+(T28*U28)+(V28*W28)+(X28*Y28)=0,"",(P28*Q28)+(R28*S28)+(T28*U28)+(V28*W28)+(X28*Y28))</x:f>
      </x:c>
      <x:c r="AA28" s="359" t="str">
        <x:f>IF(F28="","",VLOOKUP(F28,Sheet_Master!A:B,2,FALSE))</x:f>
      </x:c>
      <x:c r="AB28" s="359" t="str">
        <x:f>IF(F28="","",(Z28*AA28)/1000)</x:f>
      </x:c>
      <x:c r="AC28" s="58" t="str">
        <x:f>IF(F28="","",VLOOKUP(F28,Sheet_Master!A:E,5,FALSE))</x:f>
      </x:c>
      <x:c r="AD28" s="58" t="str">
        <x:f>IF(O28="","",IF(O28="-",0,7.5))</x:f>
      </x:c>
      <x:c r="AE28" s="58" t="str">
        <x:f>IF(F28="","",1.3)</x:f>
      </x:c>
      <x:c r="AF28" s="360" t="str">
        <x:f>IF(AND(F28&lt;&gt;"",O28&lt;&gt;"-"),((Q28+S28+U28+W28+Y28-O28)*AE28),(IF(AND(F28&lt;&gt;"",O28="-"),((Q28+S28+U28+W28+Y28)*AE28),"")))</x:f>
      </x:c>
      <x:c r="AG28" s="361" t="str">
        <x:f>IF(F28="","",(Z28/AC28))</x:f>
      </x:c>
      <x:c r="AH28" s="283" t="str">
        <x:f>IF(F28="","",(AD28+AF28+AG28))</x:f>
      </x:c>
      <x:c r="AI28" s="362" t="str">
        <x:f>IF(OR(F28="",ISTEXT(AH28)),"",(Z28*60)/AH28)</x:f>
      </x:c>
      <x:c r="AJ28" s="285" t="s"/>
      <x:c r="AK28" s="286" t="s"/>
      <x:c r="AL28" s="287" t="str">
        <x:f>IF(AH28="","",AH28/1440)</x:f>
      </x:c>
      <x:c r="AM28" s="363" t="str">
        <x:f>IF(F28="","",F28)</x:f>
      </x:c>
      <x:c r="AN28" s="130" t="str">
        <x:f>IF(G28="","",G28)</x:f>
      </x:c>
      <x:c r="AO28" s="130" t="str">
        <x:f>IF(ISERROR(AB28*1000),"",AB28*1000)</x:f>
      </x:c>
      <x:c r="AP28" s="364" t="s"/>
      <x:c r="AQ28" s="364" t="s"/>
      <x:c r="AR28" s="134" t="str">
        <x:f>IF(B28="","",B28)</x:f>
      </x:c>
      <x:c r="AS28" s="130" t="str">
        <x:f>IF(J28="","",J28)</x:f>
      </x:c>
      <x:c r="AT28" s="130" t="str">
        <x:f>IF(K28="","",K28)</x:f>
      </x:c>
      <x:c r="AU28" s="365" t="str">
        <x:f>IF(L28="","",CONCATENATE(L28,"X",M28,"X",N28))</x:f>
      </x:c>
      <x:c r="AV28" s="366" t="str">
        <x:f>IF(AL28="",AL28,AV27+AL27)</x:f>
      </x:c>
      <x:c r="AW28" s="366" t="str">
        <x:f>IFERROR(AV28+AL28,"")</x:f>
      </x:c>
      <x:c r="AX28" s="367" t="s"/>
      <x:c r="AY28" s="367" t="s"/>
      <x:c r="AZ28" s="125" t="str">
        <x:f>AC28</x:f>
      </x:c>
      <x:c r="BA28" s="368" t="s"/>
      <x:c r="BB28" s="369" t="str">
        <x:f>IF(AD28="","",(AD28+AF28))</x:f>
      </x:c>
      <x:c r="BC28" s="368" t="s"/>
      <x:c r="BD28" s="130" t="str">
        <x:f>IF(AH28="","",AH28)</x:f>
      </x:c>
      <x:c r="BE28" s="130" t="str">
        <x:f>IF(AX28="","",IF((AY28-AX28)*1440-(BF28+BP28)&lt;0,(AY28-AX28)*1440-(BF28+BP28)+1440,(AY28-AX28)*1440-(BF28+BP28)))</x:f>
      </x:c>
      <x:c r="BF28" s="364" t="s"/>
      <x:c r="BG28" s="131" t="str">
        <x:f>IF(Z28=0,"",Z28)</x:f>
      </x:c>
      <x:c r="BH28" s="370" t="s"/>
      <x:c r="BI28" s="134" t="str">
        <x:f>IF(AI28="","",AI28)</x:f>
      </x:c>
      <x:c r="BJ28" s="134" t="str">
        <x:f>IFERROR(BH28/(BE28/60),"")</x:f>
      </x:c>
      <x:c r="BK28" s="58" t="s"/>
      <x:c r="BL28" s="58" t="s"/>
      <x:c r="BM28" s="58" t="s"/>
      <x:c r="BN28" s="58" t="s"/>
      <x:c r="BO28" s="58" t="s"/>
      <x:c r="BP28" s="371" t="s"/>
      <x:c r="BQ28" s="125" t="str">
        <x:f>IF(AX28="","",(BE28-BC28))</x:f>
      </x:c>
      <x:c r="BR28" s="79" t="s"/>
      <x:c r="BS28" s="131" t="str">
        <x:f>IF(F28="","",BG28*AA28)</x:f>
      </x:c>
      <x:c r="BT28" s="296" t="str">
        <x:f>IF(F28="","",BH28*AA28)</x:f>
      </x:c>
    </x:row>
    <x:row r="29" spans="1:184" customFormat="1" ht="115.5" customHeight="1" thickBot="1">
      <x:c r="B29" s="383" t="str">
        <x:f>IF(F29="","",B28+1)</x:f>
      </x:c>
      <x:c r="C29" s="384" t="s"/>
      <x:c r="D29" s="384" t="str">
        <x:f>BG29</x:f>
      </x:c>
      <x:c r="E29" s="384" t="s"/>
      <x:c r="F29" s="384" t="s"/>
      <x:c r="G29" s="384" t="s"/>
      <x:c r="H29" s="385" t="str">
        <x:f>IF(F29="","",VLOOKUP(F29,Sheet_Master!A:M,13,FALSE))</x:f>
      </x:c>
      <x:c r="I29" s="79" t="str">
        <x:f>IF(F29="","",VLOOKUP(F29,Sheet_Master!A:N,14,FALSE))</x:f>
      </x:c>
      <x:c r="J29" s="293" t="str">
        <x:f>IF(F29="","",VLOOKUP(F29,Sheet_Master!A:F,6,FALSE))</x:f>
      </x:c>
      <x:c r="K29" s="79" t="s"/>
      <x:c r="L29" s="79" t="s"/>
      <x:c r="M29" s="79" t="s"/>
      <x:c r="N29" s="79" t="s"/>
      <x:c r="O29" s="386" t="str">
        <x:f>IF(F29="","",1)</x:f>
      </x:c>
      <x:c r="P29" s="386" t="s"/>
      <x:c r="Q29" s="386" t="s"/>
      <x:c r="R29" s="386" t="s"/>
      <x:c r="S29" s="386" t="s"/>
      <x:c r="T29" s="386" t="s"/>
      <x:c r="U29" s="386" t="s"/>
      <x:c r="V29" s="386" t="s"/>
      <x:c r="W29" s="386" t="s"/>
      <x:c r="X29" s="386" t="s"/>
      <x:c r="Y29" s="386" t="s"/>
      <x:c r="Z29" s="293" t="str">
        <x:f>IF((P29*Q29)+(R29*S29)+(T29*U29)+(V29*W29)+(X29*Y29)=0,"",(P29*Q29)+(R29*S29)+(T29*U29)+(V29*W29)+(X29*Y29))</x:f>
      </x:c>
      <x:c r="AA29" s="387" t="str">
        <x:f>IF(F29="","",VLOOKUP(F29,Sheet_Master!A:B,2,FALSE))</x:f>
      </x:c>
      <x:c r="AB29" s="387" t="str">
        <x:f>IF(F29="","",(Z29*AA29)/1000)</x:f>
      </x:c>
      <x:c r="AC29" s="79" t="str">
        <x:f>IF(F29="","",VLOOKUP(F29,Sheet_Master!A:E,5,FALSE))</x:f>
      </x:c>
      <x:c r="AD29" s="293" t="str">
        <x:f>IF(O29="","",IF(O29="-",0,7.5))</x:f>
      </x:c>
      <x:c r="AE29" s="293" t="str">
        <x:f>IF(F29="","",1.3)</x:f>
      </x:c>
      <x:c r="AF29" s="293" t="str">
        <x:f>IF(AND(F29&lt;&gt;"",O29&lt;&gt;"-"),((Q29+S29+U29+W29+Y29-O29)*AE29),(IF(AND(F29&lt;&gt;"",O29="-"),((Q29+S29+U29+W29+Y29)*AE29),"")))</x:f>
      </x:c>
      <x:c r="AG29" s="388" t="str">
        <x:f>IF(F29="","",(Z29/AC29))</x:f>
      </x:c>
      <x:c r="AH29" s="283" t="str">
        <x:f>IF(F29="","",(AD29+AF29+AG29))</x:f>
      </x:c>
      <x:c r="AI29" s="389" t="str">
        <x:f>IF(OR(F29="",ISTEXT(AH29)),"",(Z29*60)/AH29)</x:f>
      </x:c>
      <x:c r="AJ29" s="285" t="s"/>
      <x:c r="AK29" s="286" t="s"/>
      <x:c r="AL29" s="287" t="str">
        <x:f>IF(AH29="","",AH29/1440)</x:f>
      </x:c>
      <x:c r="AM29" s="390" t="str">
        <x:f>IF(F29="","",F29)</x:f>
      </x:c>
      <x:c r="AN29" s="391" t="str">
        <x:f>IF(G29="","",G29)</x:f>
      </x:c>
      <x:c r="AO29" s="391" t="str">
        <x:f>IF(ISERROR(AB29*1000),"",AB29*1000)</x:f>
      </x:c>
      <x:c r="AP29" s="392" t="s"/>
      <x:c r="AQ29" s="392" t="s"/>
      <x:c r="AR29" s="135" t="str">
        <x:f>IF(B29="","",B29)</x:f>
      </x:c>
      <x:c r="AS29" s="391" t="str">
        <x:f>IF(J29="","",J29)</x:f>
      </x:c>
      <x:c r="AT29" s="391" t="str">
        <x:f>IF(K29="","",K29)</x:f>
      </x:c>
      <x:c r="AU29" s="393" t="str">
        <x:f>IF(L29="","",CONCATENATE(L29,"X",M29,"X",N29))</x:f>
      </x:c>
      <x:c r="AV29" s="394" t="str">
        <x:f>IF(AL29="",AL29,AV28+AL28)</x:f>
      </x:c>
      <x:c r="AW29" s="394" t="str">
        <x:f>IFERROR(AV29+AL29,"")</x:f>
      </x:c>
      <x:c r="AX29" s="395" t="s"/>
      <x:c r="AY29" s="395" t="str">
        <x:f>IFERROR(AV29+AL29,"")</x:f>
      </x:c>
      <x:c r="AZ29" s="126" t="str">
        <x:f>AC29</x:f>
      </x:c>
      <x:c r="BA29" s="396" t="s"/>
      <x:c r="BB29" s="397" t="str">
        <x:f>IF(AD29="","",(AD29+AF29))</x:f>
      </x:c>
      <x:c r="BC29" s="396" t="s"/>
      <x:c r="BD29" s="391" t="str">
        <x:f>IF(AH29="","",AH29)</x:f>
      </x:c>
      <x:c r="BE29" s="130" t="str">
        <x:f>IF(AX29="","",IF((AY29-AX29)*1440-(BF29+BP29)&lt;0,(AY29-AX29)*1440-(BF29+BP29)+1440,(AY29-AX29)*1440-(BF29+BP29)))</x:f>
      </x:c>
      <x:c r="BF29" s="392" t="s"/>
      <x:c r="BG29" s="132" t="str">
        <x:f>IF(Z29=0,"",Z29)</x:f>
      </x:c>
      <x:c r="BH29" s="398" t="s"/>
      <x:c r="BI29" s="135" t="str">
        <x:f>IF(AI29="","",AI29)</x:f>
      </x:c>
      <x:c r="BJ29" s="135" t="str">
        <x:f>IFERROR(BH29/(BE29/60),"")</x:f>
      </x:c>
      <x:c r="BK29" s="399" t="s"/>
      <x:c r="BL29" s="399" t="s"/>
      <x:c r="BM29" s="399" t="s"/>
      <x:c r="BN29" s="399" t="s"/>
      <x:c r="BO29" s="399" t="s"/>
      <x:c r="BP29" s="400" t="s"/>
      <x:c r="BQ29" s="125" t="str">
        <x:f>IF(AX29="","",(BE29-BC29))</x:f>
      </x:c>
      <x:c r="BR29" s="293" t="s"/>
      <x:c r="BS29" s="131" t="str">
        <x:f>IF(F29="","",BG29*AA29)</x:f>
      </x:c>
      <x:c r="BT29" s="296" t="str">
        <x:f>IF(F29="","",BH29*AA29)</x:f>
      </x:c>
    </x:row>
    <x:row r="30" spans="1:184" customFormat="1" ht="115.5" customHeight="1" thickBot="1">
      <x:c r="B30" s="401" t="s">
        <x:v>96</x:v>
      </x:c>
      <x:c r="C30" s="402" t="s"/>
      <x:c r="D30" s="402" t="s"/>
      <x:c r="E30" s="402" t="s"/>
      <x:c r="F30" s="402" t="s"/>
      <x:c r="G30" s="402" t="s"/>
      <x:c r="H30" s="402" t="s"/>
      <x:c r="I30" s="403" t="s"/>
      <x:c r="J30" s="340" t="s">
        <x:v>97</x:v>
      </x:c>
      <x:c r="K30" s="340" t="s"/>
      <x:c r="L30" s="176">
        <x:f>SUM(Q6:Q29)+SUM(S6:S29)+SUM(U6:U29)+SUM(W6:W29)+SUM(Y6:Y29)</x:f>
      </x:c>
      <x:c r="M30" s="324" t="s">
        <x:v>98</x:v>
      </x:c>
      <x:c r="N30" s="324" t="s"/>
      <x:c r="O30" s="324" t="s"/>
      <x:c r="P30" s="324" t="s"/>
      <x:c r="Q30" s="404">
        <x:f>SUM(AB6:AB29)</x:f>
      </x:c>
      <x:c r="R30" s="404" t="s"/>
      <x:c r="S30" s="324" t="s">
        <x:v>99</x:v>
      </x:c>
      <x:c r="T30" s="340" t="s">
        <x:v>100</x:v>
      </x:c>
      <x:c r="U30" s="340" t="s"/>
      <x:c r="V30" s="340" t="s"/>
      <x:c r="W30" s="340" t="s"/>
      <x:c r="X30" s="340" t="s"/>
      <x:c r="Y30" s="176">
        <x:f>SUM(Z6:Z29)</x:f>
      </x:c>
      <x:c r="Z30" s="176" t="s"/>
      <x:c r="AA30" s="340" t="s">
        <x:v>101</x:v>
      </x:c>
      <x:c r="AB30" s="176">
        <x:f>SUM(AF6:AF29)</x:f>
      </x:c>
      <x:c r="AC30" s="340" t="s">
        <x:v>102</x:v>
      </x:c>
      <x:c r="AD30" s="176">
        <x:f>SUM(AG6:AG29)</x:f>
      </x:c>
      <x:c r="AE30" s="321" t="s">
        <x:v>103</x:v>
      </x:c>
      <x:c r="AF30" s="323" t="s"/>
      <x:c r="AG30" s="405">
        <x:f>IF(ISERROR(SUM(AH6:AH29)/60),0,SUM(AH6:AH29)/60)</x:f>
      </x:c>
      <x:c r="AH30" s="405" t="s"/>
      <x:c r="AI30" s="406" t="s">
        <x:v>104</x:v>
      </x:c>
      <x:c r="AJ30" s="305" t="s"/>
      <x:c r="AK30" s="407" t="s"/>
      <x:c r="AL30" s="305" t="s"/>
      <x:c r="AM30" s="408" t="s"/>
      <x:c r="AN30" s="408" t="s"/>
      <x:c r="AO30" s="408" t="s"/>
      <x:c r="AP30" s="408" t="s"/>
      <x:c r="AQ30" s="305" t="s"/>
      <x:c r="AR30" s="285" t="s"/>
      <x:c r="AS30" s="408" t="s"/>
      <x:c r="AT30" s="408" t="s"/>
      <x:c r="AU30" s="408" t="s"/>
      <x:c r="AV30" s="409" t="s"/>
      <x:c r="AW30" s="409" t="s"/>
      <x:c r="AX30" s="409" t="s"/>
      <x:c r="AY30" s="409" t="s"/>
      <x:c r="AZ30" s="305" t="s"/>
      <x:c r="BA30" s="409" t="s"/>
      <x:c r="BB30" s="305" t="s"/>
      <x:c r="BC30" s="305" t="s"/>
      <x:c r="BD30" s="408" t="s"/>
      <x:c r="BE30" s="408" t="s"/>
      <x:c r="BF30" s="408" t="s"/>
      <x:c r="BG30" s="408" t="s"/>
      <x:c r="BH30" s="285" t="s"/>
      <x:c r="BI30" s="285" t="s"/>
      <x:c r="BJ30" s="285" t="s"/>
      <x:c r="BK30" s="305" t="s"/>
      <x:c r="BL30" s="305" t="s"/>
      <x:c r="BM30" s="305" t="s"/>
      <x:c r="BN30" s="305" t="s"/>
      <x:c r="BO30" s="305" t="s"/>
      <x:c r="BP30" s="285" t="s"/>
      <x:c r="BQ30" s="305" t="s"/>
      <x:c r="BR30" s="305" t="s"/>
      <x:c r="BS30" s="305" t="s"/>
      <x:c r="BT30" s="305" t="s"/>
    </x:row>
    <x:row r="31" spans="1:184" customFormat="1" ht="115.5" customHeight="1" thickTop="1" thickBot="1">
      <x:c r="B31" s="410" t="s">
        <x:v>105</x:v>
      </x:c>
      <x:c r="C31" s="411" t="s"/>
      <x:c r="D31" s="411" t="s"/>
      <x:c r="E31" s="411" t="s"/>
      <x:c r="F31" s="411" t="s"/>
      <x:c r="G31" s="411" t="s"/>
      <x:c r="H31" s="411" t="s"/>
      <x:c r="I31" s="412" t="s"/>
      <x:c r="J31" s="219" t="s">
        <x:v>97</x:v>
      </x:c>
      <x:c r="K31" s="219" t="s"/>
      <x:c r="L31" s="176" t="s"/>
      <x:c r="M31" s="413" t="s">
        <x:v>106</x:v>
      </x:c>
      <x:c r="N31" s="413" t="s"/>
      <x:c r="O31" s="413" t="s"/>
      <x:c r="P31" s="413" t="s"/>
      <x:c r="Q31" s="404" t="s"/>
      <x:c r="R31" s="404" t="s"/>
      <x:c r="S31" s="324" t="s">
        <x:v>99</x:v>
      </x:c>
      <x:c r="T31" s="413" t="s">
        <x:v>107</x:v>
      </x:c>
      <x:c r="U31" s="413" t="s"/>
      <x:c r="V31" s="413" t="s"/>
      <x:c r="W31" s="413" t="s"/>
      <x:c r="X31" s="413" t="s"/>
      <x:c r="Y31" s="219" t="s"/>
      <x:c r="Z31" s="219" t="s"/>
      <x:c r="AA31" s="414" t="s">
        <x:v>108</x:v>
      </x:c>
      <x:c r="AB31" s="414" t="s"/>
      <x:c r="AC31" s="414" t="s"/>
      <x:c r="AD31" s="414" t="s"/>
      <x:c r="AE31" s="414" t="s"/>
      <x:c r="AF31" s="414" t="s"/>
      <x:c r="AG31" s="176" t="s"/>
      <x:c r="AH31" s="176" t="s"/>
      <x:c r="AI31" s="406" t="s">
        <x:v>104</x:v>
      </x:c>
      <x:c r="AJ31" s="305" t="s"/>
      <x:c r="AK31" s="305" t="s"/>
      <x:c r="AL31" s="305" t="s"/>
      <x:c r="AM31" s="415" t="s">
        <x:v>109</x:v>
      </x:c>
      <x:c r="AN31" s="416" t="s"/>
      <x:c r="AO31" s="417">
        <x:f>SUMPRODUCT(AA6:AA29,BH6:BH29)</x:f>
      </x:c>
      <x:c r="AP31" s="418" t="s"/>
      <x:c r="AQ31" s="419" t="s">
        <x:v>110</x:v>
      </x:c>
      <x:c r="AR31" s="420" t="s"/>
      <x:c r="AS31" s="235">
        <x:f>Y30</x:f>
      </x:c>
      <x:c r="AT31" s="421" t="s">
        <x:v>111</x:v>
      </x:c>
      <x:c r="AU31" s="422" t="s"/>
      <x:c r="AV31" s="235">
        <x:f>SUM(BH6:BH29)</x:f>
      </x:c>
      <x:c r="AW31" s="423" t="s"/>
      <x:c r="AX31" s="424" t="s">
        <x:v>112</x:v>
      </x:c>
      <x:c r="AY31" s="425" t="s">
        <x:v>113</x:v>
      </x:c>
      <x:c r="AZ31" s="157">
        <x:f>SUM(BD6:BD29)</x:f>
      </x:c>
      <x:c r="BA31" s="423" t="s"/>
      <x:c r="BB31" s="426" t="s">
        <x:v>108</x:v>
      </x:c>
      <x:c r="BC31" s="427" t="s">
        <x:v>113</x:v>
      </x:c>
      <x:c r="BD31" s="157">
        <x:f>SUM(BE6:BF29)</x:f>
      </x:c>
      <x:c r="BE31" s="423" t="s"/>
      <x:c r="BF31" s="426" t="s">
        <x:v>114</x:v>
      </x:c>
      <x:c r="BG31" s="427" t="s">
        <x:v>113</x:v>
      </x:c>
      <x:c r="BH31" s="157">
        <x:f>SUM(BF6:BF29)</x:f>
      </x:c>
      <x:c r="BI31" s="423" t="s"/>
      <x:c r="BJ31" s="428" t="s">
        <x:v>52</x:v>
      </x:c>
      <x:c r="BK31" s="425" t="s">
        <x:v>115</x:v>
      </x:c>
      <x:c r="BL31" s="164" t="str">
        <x:f>IF(ISERROR(AS31/AZ32),"",AS31/AZ32)</x:f>
      </x:c>
      <x:c r="BM31" s="429" t="s"/>
      <x:c r="BN31" s="426" t="s">
        <x:v>116</x:v>
      </x:c>
      <x:c r="BO31" s="427" t="s">
        <x:v>113</x:v>
      </x:c>
      <x:c r="BP31" s="160">
        <x:f>SUM(BP6:BP29)</x:f>
      </x:c>
      <x:c r="BQ31" s="426" t="s">
        <x:v>117</x:v>
      </x:c>
      <x:c r="BR31" s="430" t="s"/>
      <x:c r="BS31" s="425" t="s">
        <x:v>81</x:v>
      </x:c>
      <x:c r="BT31" s="164">
        <x:f>SUM(BS6:BS29)</x:f>
      </x:c>
    </x:row>
    <x:row r="32" spans="1:184" customFormat="1" ht="115.5" customHeight="1" thickBot="1">
      <x:c r="B32" s="176" t="s">
        <x:v>118</x:v>
      </x:c>
      <x:c r="C32" s="176" t="s"/>
      <x:c r="D32" s="176" t="s"/>
      <x:c r="E32" s="176" t="s"/>
      <x:c r="F32" s="176" t="s"/>
      <x:c r="G32" s="176" t="s"/>
      <x:c r="H32" s="431" t="s"/>
      <x:c r="I32" s="432" t="s"/>
      <x:c r="J32" s="432" t="s"/>
      <x:c r="K32" s="432" t="s"/>
      <x:c r="L32" s="433" t="s"/>
      <x:c r="M32" s="176" t="s">
        <x:v>119</x:v>
      </x:c>
      <x:c r="N32" s="176" t="s"/>
      <x:c r="O32" s="176" t="s"/>
      <x:c r="P32" s="176" t="s"/>
      <x:c r="Q32" s="176" t="s"/>
      <x:c r="R32" s="176" t="s"/>
      <x:c r="S32" s="176" t="s"/>
      <x:c r="T32" s="176" t="s"/>
      <x:c r="U32" s="176" t="s"/>
      <x:c r="V32" s="176" t="s"/>
      <x:c r="W32" s="176" t="s"/>
      <x:c r="X32" s="176" t="s"/>
      <x:c r="Y32" s="176" t="s"/>
      <x:c r="Z32" s="176" t="s"/>
      <x:c r="AA32" s="176" t="s">
        <x:v>120</x:v>
      </x:c>
      <x:c r="AB32" s="176" t="s"/>
      <x:c r="AC32" s="176" t="s"/>
      <x:c r="AD32" s="176" t="s"/>
      <x:c r="AE32" s="176" t="s"/>
      <x:c r="AF32" s="176" t="s"/>
      <x:c r="AG32" s="176" t="s"/>
      <x:c r="AH32" s="176" t="s"/>
      <x:c r="AI32" s="176" t="s"/>
      <x:c r="AJ32" s="305" t="s"/>
      <x:c r="AK32" s="305" t="s"/>
      <x:c r="AL32" s="305" t="s"/>
      <x:c r="AM32" s="434" t="s"/>
      <x:c r="AN32" s="435" t="s"/>
      <x:c r="AO32" s="436" t="s"/>
      <x:c r="AP32" s="437" t="s"/>
      <x:c r="AQ32" s="438" t="s"/>
      <x:c r="AR32" s="439" t="s"/>
      <x:c r="AS32" s="236" t="s"/>
      <x:c r="AT32" s="440" t="s"/>
      <x:c r="AU32" s="441" t="s"/>
      <x:c r="AV32" s="236" t="s"/>
      <x:c r="AW32" s="442" t="s"/>
      <x:c r="AX32" s="443" t="s"/>
      <x:c r="AY32" s="444" t="s">
        <x:v>104</x:v>
      </x:c>
      <x:c r="AZ32" s="169">
        <x:f>SUM(BD6:BD29)/60</x:f>
      </x:c>
      <x:c r="BA32" s="442" t="s"/>
      <x:c r="BB32" s="445" t="s"/>
      <x:c r="BC32" s="446" t="s">
        <x:v>104</x:v>
      </x:c>
      <x:c r="BD32" s="169">
        <x:f>SUM(BE6:BF29)/60</x:f>
      </x:c>
      <x:c r="BE32" s="442" t="s"/>
      <x:c r="BF32" s="445" t="s"/>
      <x:c r="BG32" s="446" t="s">
        <x:v>104</x:v>
      </x:c>
      <x:c r="BH32" s="169">
        <x:f>SUM(BF6:BF29)/60</x:f>
      </x:c>
      <x:c r="BI32" s="442" t="s"/>
      <x:c r="BJ32" s="447" t="s"/>
      <x:c r="BK32" s="446" t="s">
        <x:v>105</x:v>
      </x:c>
      <x:c r="BL32" s="174" t="str">
        <x:f>IF(ISERROR(AV31/BD32),"",AV31/BD32)</x:f>
      </x:c>
      <x:c r="BM32" s="448" t="s"/>
      <x:c r="BN32" s="445" t="s"/>
      <x:c r="BO32" s="446" t="s">
        <x:v>104</x:v>
      </x:c>
      <x:c r="BP32" s="172">
        <x:f>BP31/60</x:f>
      </x:c>
      <x:c r="BQ32" s="172">
        <x:f>SUM(BQ6:BQ29)</x:f>
      </x:c>
      <x:c r="BR32" s="430" t="s"/>
      <x:c r="BS32" s="446" t="s">
        <x:v>82</x:v>
      </x:c>
      <x:c r="BT32" s="174">
        <x:f>SUM(BT6:BT29)</x:f>
      </x:c>
    </x:row>
    <x:row r="33" spans="1:184" customFormat="1" ht="76.5" customHeight="1" thickBot="1">
      <x:c r="B33" s="176" t="s">
        <x:v>121</x:v>
      </x:c>
      <x:c r="C33" s="176" t="s"/>
      <x:c r="D33" s="176" t="s"/>
      <x:c r="E33" s="176" t="s"/>
      <x:c r="F33" s="176" t="s"/>
      <x:c r="G33" s="176" t="s"/>
      <x:c r="H33" s="431" t="s"/>
      <x:c r="I33" s="432" t="s"/>
      <x:c r="J33" s="432" t="s"/>
      <x:c r="K33" s="432" t="s"/>
      <x:c r="L33" s="433" t="s"/>
      <x:c r="M33" s="219" t="s">
        <x:v>121</x:v>
      </x:c>
      <x:c r="N33" s="219" t="s"/>
      <x:c r="O33" s="219" t="s"/>
      <x:c r="P33" s="219" t="s"/>
      <x:c r="Q33" s="219" t="s"/>
      <x:c r="R33" s="219" t="s"/>
      <x:c r="S33" s="219" t="s"/>
      <x:c r="T33" s="219" t="s"/>
      <x:c r="U33" s="219" t="s"/>
      <x:c r="V33" s="219" t="s"/>
      <x:c r="W33" s="219" t="s"/>
      <x:c r="X33" s="219" t="s"/>
      <x:c r="Y33" s="219" t="s"/>
      <x:c r="Z33" s="219" t="s"/>
      <x:c r="AA33" s="176" t="s">
        <x:v>121</x:v>
      </x:c>
      <x:c r="AB33" s="176" t="s"/>
      <x:c r="AC33" s="176" t="s"/>
      <x:c r="AD33" s="176" t="s"/>
      <x:c r="AE33" s="176" t="s"/>
      <x:c r="AF33" s="176" t="s"/>
      <x:c r="AG33" s="176" t="s"/>
      <x:c r="AH33" s="176" t="s"/>
      <x:c r="AI33" s="176" t="s"/>
      <x:c r="AJ33" s="305" t="s"/>
      <x:c r="AK33" s="305" t="s"/>
      <x:c r="AL33" s="305" t="s"/>
      <x:c r="AM33" s="305" t="s"/>
      <x:c r="AN33" s="305" t="s"/>
      <x:c r="AO33" s="305" t="s"/>
      <x:c r="AP33" s="305" t="s"/>
      <x:c r="AQ33" s="305" t="s"/>
      <x:c r="AR33" s="305" t="s"/>
      <x:c r="AS33" s="305" t="s"/>
      <x:c r="AT33" s="305" t="s"/>
      <x:c r="AU33" s="305" t="s"/>
      <x:c r="AV33" s="305" t="s"/>
      <x:c r="AW33" s="305" t="s"/>
      <x:c r="AX33" s="305" t="s"/>
      <x:c r="AY33" s="305" t="s"/>
      <x:c r="AZ33" s="305" t="s"/>
      <x:c r="BA33" s="305" t="s"/>
      <x:c r="BB33" s="305" t="s"/>
      <x:c r="BC33" s="305" t="s"/>
      <x:c r="BD33" s="305" t="s"/>
      <x:c r="BE33" s="305" t="s"/>
      <x:c r="BF33" s="305" t="s"/>
      <x:c r="BG33" s="305" t="s"/>
      <x:c r="BH33" s="305" t="s"/>
      <x:c r="BI33" s="305" t="s"/>
      <x:c r="BJ33" s="305" t="s"/>
      <x:c r="BK33" s="305" t="s"/>
      <x:c r="BL33" s="305" t="s"/>
      <x:c r="BM33" s="305" t="s"/>
      <x:c r="BN33" s="305" t="s"/>
      <x:c r="BO33" s="305" t="s"/>
      <x:c r="BP33" s="305" t="s"/>
      <x:c r="BQ33" s="305" t="s"/>
      <x:c r="BR33" s="305" t="s"/>
      <x:c r="BS33" s="449" t="s"/>
      <x:c r="BT33" s="449" t="s"/>
    </x:row>
    <x:row r="34" spans="1:184"/>
    <x:row r="36" spans="1:184">
      <x:c r="M36" s="450" t="s"/>
    </x:row>
    <x:row r="65" spans="1:184" hidden="1"/>
    <x:row r="66" spans="1:184" hidden="1"/>
    <x:row r="67" spans="1:184" hidden="1"/>
    <x:row r="68" spans="1:184" hidden="1"/>
    <x:row r="69" spans="1:184" hidden="1"/>
    <x:row r="70" spans="1:184" hidden="1"/>
    <x:row r="71" spans="1:184" hidden="1"/>
    <x:row r="72" spans="1:184" hidden="1"/>
    <x:row r="73" spans="1:184" hidden="1"/>
    <x:row r="74" spans="1:184" hidden="1"/>
    <x:row r="75" spans="1:184" hidden="1"/>
    <x:row r="76" spans="1:184" hidden="1"/>
    <x:row r="77" spans="1:184" hidden="1"/>
    <x:row r="78" spans="1:184" hidden="1"/>
    <x:row r="79" spans="1:184" hidden="1"/>
    <x:row r="80" spans="1:184" hidden="1"/>
    <x:row r="81" spans="1:184" hidden="1"/>
    <x:row r="82" spans="1:184" hidden="1"/>
    <x:row r="83" spans="1:184" hidden="1"/>
    <x:row r="84" spans="1:184" hidden="1"/>
    <x:row r="85" spans="1:184" hidden="1"/>
    <x:row r="86" spans="1:184" hidden="1"/>
    <x:row r="87" spans="1:184" hidden="1"/>
    <x:row r="88" spans="1:184" hidden="1"/>
    <x:row r="89" spans="1:184" hidden="1"/>
    <x:row r="90" spans="1:184" hidden="1"/>
    <x:row r="91" spans="1:184" hidden="1"/>
    <x:row r="92" spans="1:184" hidden="1"/>
    <x:row r="93" spans="1:184" hidden="1"/>
    <x:row r="94" spans="1:184" hidden="1"/>
    <x:row r="95" spans="1:184" hidden="1"/>
    <x:row r="96" spans="1:184" hidden="1"/>
    <x:row r="97" spans="1:184" hidden="1"/>
    <x:row r="98" spans="1:184" hidden="1"/>
    <x:row r="99" spans="1:184" hidden="1"/>
    <x:row r="100" spans="1:184" hidden="1"/>
    <x:row r="101" spans="1:184" hidden="1"/>
    <x:row r="102" spans="1:184" hidden="1"/>
    <x:row r="103" spans="1:184" hidden="1"/>
    <x:row r="104" spans="1:184" hidden="1"/>
    <x:row r="105" spans="1:184" hidden="1"/>
    <x:row r="106" spans="1:184" hidden="1"/>
    <x:row r="107" spans="1:184" hidden="1"/>
    <x:row r="108" spans="1:184" hidden="1"/>
    <x:row r="109" spans="1:184" hidden="1"/>
    <x:row r="110" spans="1:184" hidden="1"/>
    <x:row r="111" spans="1:184" hidden="1"/>
    <x:row r="112" spans="1:184" hidden="1"/>
    <x:row r="113" spans="1:184" hidden="1"/>
    <x:row r="114" spans="1:184" hidden="1"/>
    <x:row r="115" spans="1:184" hidden="1"/>
    <x:row r="116" spans="1:184" hidden="1"/>
    <x:row r="117" spans="1:184" hidden="1"/>
    <x:row r="118" spans="1:184" hidden="1"/>
    <x:row r="119" spans="1:184" hidden="1"/>
    <x:row r="120" spans="1:184" hidden="1"/>
    <x:row r="121" spans="1:184" hidden="1"/>
    <x:row r="122" spans="1:184" hidden="1"/>
    <x:row r="123" spans="1:184" hidden="1"/>
    <x:row r="124" spans="1:184" hidden="1"/>
    <x:row r="125" spans="1:184" hidden="1"/>
    <x:row r="126" spans="1:184" hidden="1"/>
    <x:row r="127" spans="1:184" hidden="1"/>
    <x:row r="128" spans="1:184" hidden="1"/>
    <x:row r="129" spans="1:184" hidden="1"/>
    <x:row r="130" spans="1:184" hidden="1"/>
    <x:row r="131" spans="1:184" hidden="1"/>
    <x:row r="132" spans="1:184" hidden="1"/>
    <x:row r="133" spans="1:184" hidden="1"/>
    <x:row r="134" spans="1:184" hidden="1"/>
    <x:row r="135" spans="1:184" hidden="1"/>
    <x:row r="136" spans="1:184" hidden="1"/>
    <x:row r="137" spans="1:184" hidden="1"/>
    <x:row r="138" spans="1:184" hidden="1"/>
    <x:row r="139" spans="1:184" hidden="1"/>
    <x:row r="140" spans="1:184" hidden="1"/>
    <x:row r="141" spans="1:184" hidden="1"/>
    <x:row r="142" spans="1:184" hidden="1"/>
    <x:row r="143" spans="1:184" hidden="1"/>
    <x:row r="144" spans="1:184" hidden="1"/>
    <x:row r="145" spans="1:184" hidden="1"/>
    <x:row r="146" spans="1:184" hidden="1"/>
    <x:row r="147" spans="1:184" hidden="1"/>
    <x:row r="148" spans="1:184" hidden="1"/>
    <x:row r="149" spans="1:184" hidden="1"/>
    <x:row r="150" spans="1:184" hidden="1"/>
    <x:row r="151" spans="1:184" hidden="1"/>
    <x:row r="152" spans="1:184" hidden="1"/>
    <x:row r="153" spans="1:184" hidden="1"/>
    <x:row r="154" spans="1:184" hidden="1"/>
    <x:row r="155" spans="1:184" hidden="1"/>
    <x:row r="156" spans="1:184" hidden="1"/>
    <x:row r="157" spans="1:184" hidden="1"/>
    <x:row r="158" spans="1:184" hidden="1"/>
    <x:row r="159" spans="1:184" hidden="1"/>
    <x:row r="160" spans="1:184" hidden="1"/>
    <x:row r="161" spans="1:184" hidden="1"/>
    <x:row r="162" spans="1:184" hidden="1"/>
    <x:row r="163" spans="1:184" hidden="1"/>
    <x:row r="164" spans="1:184" hidden="1"/>
    <x:row r="165" spans="1:184" hidden="1"/>
    <x:row r="166" spans="1:184" hidden="1">
      <x:c r="AR166" s="300" t="s"/>
      <x:c r="AT166" s="300" t="s"/>
      <x:c r="BK166" s="275" t="str">
        <x:f>IFERROR(IF(bgr!AG2=0,"",bgr!AG2),"")</x:f>
      </x:c>
      <x:c r="BL166" s="275" t="str">
        <x:f>IFERROR(IF(bgr!AH2=0,"",bgr!AH2),"")</x:f>
      </x:c>
      <x:c r="BM166" s="275" t="str">
        <x:f>IFERROR(IF(bgr!AI2=0,"",bgr!AI2),"")</x:f>
      </x:c>
      <x:c r="BP166" s="275" t="str">
        <x:f>IFERROR(IF(bgr!AH2=0,"",bgr!AH2),"")</x:f>
      </x:c>
    </x:row>
    <x:row r="167" spans="1:184" hidden="1">
      <x:c r="BK167" s="275" t="str">
        <x:f>IFERROR(IF(bgr!AG3=0,"",bgr!AG3),"")</x:f>
      </x:c>
      <x:c r="BL167" s="275" t="str">
        <x:f>IFERROR(IF(bgr!AH3=0,"",bgr!AH3),"")</x:f>
      </x:c>
      <x:c r="BM167" s="275" t="str">
        <x:f>IFERROR(IF(bgr!AI3=0,"",bgr!AI3),"")</x:f>
      </x:c>
      <x:c r="BP167" s="275" t="str">
        <x:f>IFERROR(IF(bgr!AH3=0,"",bgr!AH3),"")</x:f>
      </x:c>
    </x:row>
    <x:row r="168" spans="1:184" hidden="1">
      <x:c r="BK168" s="275" t="str">
        <x:f>IFERROR(IF(bgr!AG4=0,"",bgr!AG4),"")</x:f>
      </x:c>
      <x:c r="BL168" s="275" t="str">
        <x:f>IFERROR(IF(bgr!AH4=0,"",bgr!AH4),"")</x:f>
      </x:c>
      <x:c r="BM168" s="275" t="str">
        <x:f>IFERROR(IF(bgr!AI4=0,"",bgr!AI4),"")</x:f>
      </x:c>
      <x:c r="BP168" s="275" t="str">
        <x:f>IFERROR(IF(bgr!AH4=0,"",bgr!AH4),"")</x:f>
      </x:c>
    </x:row>
    <x:row r="169" spans="1:184" hidden="1">
      <x:c r="BK169" s="275" t="str">
        <x:f>IFERROR(IF(bgr!AG5=0,"",bgr!AG5),"")</x:f>
      </x:c>
      <x:c r="BL169" s="275" t="str">
        <x:f>IFERROR(IF(bgr!AH5=0,"",bgr!AH5),"")</x:f>
      </x:c>
      <x:c r="BM169" s="275" t="str">
        <x:f>IFERROR(IF(bgr!AI5=0,"",bgr!AI5),"")</x:f>
      </x:c>
      <x:c r="BP169" s="275" t="str">
        <x:f>IFERROR(IF(bgr!AH5=0,"",bgr!AH5),"")</x:f>
      </x:c>
    </x:row>
    <x:row r="170" spans="1:184" hidden="1">
      <x:c r="BK170" s="275" t="str">
        <x:f>IFERROR(IF(bgr!AG6=0,"",bgr!AG6),"")</x:f>
      </x:c>
      <x:c r="BL170" s="275" t="str">
        <x:f>IFERROR(IF(bgr!AH6=0,"",bgr!AH6),"")</x:f>
      </x:c>
      <x:c r="BM170" s="275" t="str">
        <x:f>IFERROR(IF(bgr!AI6=0,"",bgr!AI6),"")</x:f>
      </x:c>
      <x:c r="BP170" s="275" t="str">
        <x:f>IFERROR(IF(bgr!AH6=0,"",bgr!AH6),"")</x:f>
      </x:c>
    </x:row>
    <x:row r="171" spans="1:184" hidden="1">
      <x:c r="BK171" s="275" t="str">
        <x:f>IFERROR(IF(bgr!AG7=0,"",bgr!AG7),"")</x:f>
      </x:c>
      <x:c r="BL171" s="275" t="str">
        <x:f>IFERROR(IF(bgr!AH7=0,"",bgr!AH7),"")</x:f>
      </x:c>
      <x:c r="BM171" s="275" t="str">
        <x:f>IFERROR(IF(bgr!AI7=0,"",bgr!AI7),"")</x:f>
      </x:c>
      <x:c r="BP171" s="275" t="str">
        <x:f>IFERROR(IF(bgr!AH7=0,"",bgr!AH7),"")</x:f>
      </x:c>
    </x:row>
    <x:row r="172" spans="1:184" hidden="1">
      <x:c r="BK172" s="275" t="str">
        <x:f>IFERROR(IF(bgr!AG8=0,"",bgr!AG8),"")</x:f>
      </x:c>
      <x:c r="BL172" s="275" t="str">
        <x:f>IFERROR(IF(bgr!AH8=0,"",bgr!AH8),"")</x:f>
      </x:c>
      <x:c r="BM172" s="275" t="str">
        <x:f>IFERROR(IF(bgr!AI8=0,"",bgr!AI8),"")</x:f>
      </x:c>
      <x:c r="BP172" s="275" t="str">
        <x:f>IFERROR(IF(bgr!AH8=0,"",bgr!AH8),"")</x:f>
      </x:c>
    </x:row>
    <x:row r="173" spans="1:184" hidden="1">
      <x:c r="BK173" s="275" t="str">
        <x:f>IFERROR(IF(bgr!AG9=0,"",bgr!AG9),"")</x:f>
      </x:c>
      <x:c r="BL173" s="275" t="str">
        <x:f>IFERROR(IF(bgr!AH9=0,"",bgr!AH9),"")</x:f>
      </x:c>
      <x:c r="BM173" s="275" t="str">
        <x:f>IFERROR(IF(bgr!AI9=0,"",bgr!AI9),"")</x:f>
      </x:c>
      <x:c r="BP173" s="275" t="str">
        <x:f>IFERROR(IF(bgr!AH9=0,"",bgr!AH9),"")</x:f>
      </x:c>
    </x:row>
    <x:row r="174" spans="1:184" hidden="1">
      <x:c r="BK174" s="275" t="str">
        <x:f>IFERROR(IF(bgr!AG10=0,"",bgr!AG10),"")</x:f>
      </x:c>
      <x:c r="BL174" s="275" t="str">
        <x:f>IFERROR(IF(bgr!AH10=0,"",bgr!AH10),"")</x:f>
      </x:c>
      <x:c r="BM174" s="275" t="str">
        <x:f>IFERROR(IF(bgr!AI10=0,"",bgr!AI10),"")</x:f>
      </x:c>
      <x:c r="BP174" s="275" t="str">
        <x:f>IFERROR(IF(bgr!AH10=0,"",bgr!AH10),"")</x:f>
      </x:c>
    </x:row>
    <x:row r="175" spans="1:184" hidden="1">
      <x:c r="BK175" s="275" t="str">
        <x:f>IFERROR(IF(bgr!AG11=0,"",bgr!AG11),"")</x:f>
      </x:c>
      <x:c r="BL175" s="275" t="str">
        <x:f>IFERROR(IF(bgr!AH11=0,"",bgr!AH11),"")</x:f>
      </x:c>
      <x:c r="BM175" s="275" t="str">
        <x:f>IFERROR(IF(bgr!AI11=0,"",bgr!AI11),"")</x:f>
      </x:c>
      <x:c r="BP175" s="275" t="str">
        <x:f>IFERROR(IF(bgr!AH11=0,"",bgr!AH11),"")</x:f>
      </x:c>
    </x:row>
    <x:row r="176" spans="1:184" hidden="1">
      <x:c r="BK176" s="275" t="str">
        <x:f>IFERROR(IF(bgr!AG12=0,"",bgr!AG12),"")</x:f>
      </x:c>
      <x:c r="BL176" s="275" t="str">
        <x:f>IFERROR(IF(bgr!AH12=0,"",bgr!AH12),"")</x:f>
      </x:c>
      <x:c r="BM176" s="275" t="str">
        <x:f>IFERROR(IF(bgr!AI12=0,"",bgr!AI12),"")</x:f>
      </x:c>
      <x:c r="BP176" s="275" t="str">
        <x:f>IFERROR(IF(bgr!AH12=0,"",bgr!AH12),"")</x:f>
      </x:c>
    </x:row>
    <x:row r="177" spans="1:184" hidden="1">
      <x:c r="BK177" s="275" t="str">
        <x:f>IFERROR(IF(bgr!AG13=0,"",bgr!AG13),"")</x:f>
      </x:c>
      <x:c r="BL177" s="275" t="str">
        <x:f>IFERROR(IF(bgr!AH13=0,"",bgr!AH13),"")</x:f>
      </x:c>
      <x:c r="BM177" s="275" t="str">
        <x:f>IFERROR(IF(bgr!AI13=0,"",bgr!AI13),"")</x:f>
      </x:c>
      <x:c r="BP177" s="275" t="str">
        <x:f>IFERROR(IF(bgr!AH13=0,"",bgr!AH13),"")</x:f>
      </x:c>
    </x:row>
    <x:row r="178" spans="1:184" hidden="1">
      <x:c r="BK178" s="275" t="str">
        <x:f>IFERROR(IF(bgr!AG14=0,"",bgr!AG14),"")</x:f>
      </x:c>
      <x:c r="BL178" s="275" t="str">
        <x:f>IFERROR(IF(bgr!AH14=0,"",bgr!AH14),"")</x:f>
      </x:c>
      <x:c r="BM178" s="275" t="str">
        <x:f>IFERROR(IF(bgr!AI14=0,"",bgr!AI14),"")</x:f>
      </x:c>
      <x:c r="BP178" s="275" t="str">
        <x:f>IFERROR(IF(bgr!AH14=0,"",bgr!AH14),"")</x:f>
      </x:c>
    </x:row>
    <x:row r="179" spans="1:184" hidden="1">
      <x:c r="BK179" s="275" t="str">
        <x:f>IFERROR(IF(bgr!AG15=0,"",bgr!AG15),"")</x:f>
      </x:c>
      <x:c r="BL179" s="275" t="str">
        <x:f>IFERROR(IF(bgr!AH15=0,"",bgr!AH15),"")</x:f>
      </x:c>
      <x:c r="BM179" s="275" t="str">
        <x:f>IFERROR(IF(bgr!AI15=0,"",bgr!AI15),"")</x:f>
      </x:c>
      <x:c r="BP179" s="275" t="str">
        <x:f>IFERROR(IF(bgr!AH15=0,"",bgr!AH15),"")</x:f>
      </x:c>
    </x:row>
    <x:row r="180" spans="1:184" hidden="1">
      <x:c r="BK180" s="275" t="str">
        <x:f>IFERROR(IF(bgr!AG16=0,"",bgr!AG16),"")</x:f>
      </x:c>
      <x:c r="BL180" s="275" t="str">
        <x:f>IFERROR(IF(bgr!AH16=0,"",bgr!AH16),"")</x:f>
      </x:c>
      <x:c r="BM180" s="275" t="str">
        <x:f>IFERROR(IF(bgr!AI16=0,"",bgr!AI16),"")</x:f>
      </x:c>
      <x:c r="BP180" s="275" t="str">
        <x:f>IFERROR(IF(bgr!AH16=0,"",bgr!AH16),"")</x:f>
      </x:c>
    </x:row>
    <x:row r="181" spans="1:184" hidden="1">
      <x:c r="BK181" s="275" t="str">
        <x:f>IFERROR(IF(bgr!AG17=0,"",bgr!AG17),"")</x:f>
      </x:c>
      <x:c r="BL181" s="275" t="str">
        <x:f>IFERROR(IF(bgr!AH17=0,"",bgr!AH17),"")</x:f>
      </x:c>
      <x:c r="BM181" s="275" t="str">
        <x:f>IFERROR(IF(bgr!AI17=0,"",bgr!AI17),"")</x:f>
      </x:c>
      <x:c r="BP181" s="275" t="str">
        <x:f>IFERROR(IF(bgr!AH17=0,"",bgr!AH17),"")</x:f>
      </x:c>
    </x:row>
    <x:row r="182" spans="1:184" hidden="1">
      <x:c r="BK182" s="275" t="str">
        <x:f>IFERROR(IF(bgr!AG18=0,"",bgr!AG18),"")</x:f>
      </x:c>
      <x:c r="BL182" s="275" t="str">
        <x:f>IFERROR(IF(bgr!AH18=0,"",bgr!AH18),"")</x:f>
      </x:c>
      <x:c r="BM182" s="275" t="str">
        <x:f>IFERROR(IF(bgr!AI18=0,"",bgr!AI18),"")</x:f>
      </x:c>
      <x:c r="BP182" s="275" t="str">
        <x:f>IFERROR(IF(bgr!AH18=0,"",bgr!AH18),"")</x:f>
      </x:c>
    </x:row>
    <x:row r="183" spans="1:184" hidden="1">
      <x:c r="BK183" s="275" t="str">
        <x:f>IFERROR(IF(bgr!AG19=0,"",bgr!AG19),"")</x:f>
      </x:c>
      <x:c r="BL183" s="275" t="str">
        <x:f>IFERROR(IF(bgr!AH19=0,"",bgr!AH19),"")</x:f>
      </x:c>
      <x:c r="BM183" s="275" t="str">
        <x:f>IFERROR(IF(bgr!AI19=0,"",bgr!AI19),"")</x:f>
      </x:c>
      <x:c r="BP183" s="275" t="str">
        <x:f>IFERROR(IF(bgr!AH19=0,"",bgr!AH19),"")</x:f>
      </x:c>
    </x:row>
    <x:row r="184" spans="1:184" hidden="1">
      <x:c r="BK184" s="275" t="str">
        <x:f>IFERROR(IF(bgr!AG20=0,"",bgr!AG20),"")</x:f>
      </x:c>
      <x:c r="BL184" s="275" t="str">
        <x:f>IFERROR(IF(bgr!AH20=0,"",bgr!AH20),"")</x:f>
      </x:c>
      <x:c r="BM184" s="275" t="str">
        <x:f>IFERROR(IF(bgr!AI20=0,"",bgr!AI20),"")</x:f>
      </x:c>
      <x:c r="BP184" s="275" t="str">
        <x:f>IFERROR(IF(bgr!AH20=0,"",bgr!AH20),"")</x:f>
      </x:c>
    </x:row>
    <x:row r="185" spans="1:184" hidden="1">
      <x:c r="BK185" s="275" t="str">
        <x:f>IFERROR(IF(bgr!AG21=0,"",bgr!AG21),"")</x:f>
      </x:c>
      <x:c r="BL185" s="275" t="str">
        <x:f>IFERROR(IF(bgr!AH21=0,"",bgr!AH21),"")</x:f>
      </x:c>
      <x:c r="BM185" s="275" t="str">
        <x:f>IFERROR(IF(bgr!AI21=0,"",bgr!AI21),"")</x:f>
      </x:c>
      <x:c r="BP185" s="275" t="str">
        <x:f>IFERROR(IF(bgr!AH21=0,"",bgr!AH21),"")</x:f>
      </x:c>
    </x:row>
    <x:row r="186" spans="1:184" hidden="1">
      <x:c r="BK186" s="275" t="str">
        <x:f>IFERROR(IF(bgr!AG22=0,"",bgr!AG22),"")</x:f>
      </x:c>
      <x:c r="BL186" s="275" t="str">
        <x:f>IFERROR(IF(bgr!AH22=0,"",bgr!AH22),"")</x:f>
      </x:c>
      <x:c r="BM186" s="275" t="str">
        <x:f>IFERROR(IF(bgr!AI22=0,"",bgr!AI22),"")</x:f>
      </x:c>
      <x:c r="BP186" s="275" t="str">
        <x:f>IFERROR(IF(bgr!AH22=0,"",bgr!AH22),"")</x:f>
      </x:c>
    </x:row>
    <x:row r="187" spans="1:184" hidden="1">
      <x:c r="BK187" s="275" t="str">
        <x:f>IFERROR(IF(bgr!AG23=0,"",bgr!AG23),"")</x:f>
      </x:c>
      <x:c r="BL187" s="275" t="str">
        <x:f>IFERROR(IF(bgr!AH23=0,"",bgr!AH23),"")</x:f>
      </x:c>
      <x:c r="BM187" s="275" t="str">
        <x:f>IFERROR(IF(bgr!AI23=0,"",bgr!AI23),"")</x:f>
      </x:c>
      <x:c r="BP187" s="275" t="str">
        <x:f>IFERROR(IF(bgr!AH23=0,"",bgr!AH23),"")</x:f>
      </x:c>
    </x:row>
    <x:row r="188" spans="1:184" hidden="1">
      <x:c r="BK188" s="275" t="str">
        <x:f>IFERROR(IF(bgr!AG24=0,"",bgr!AG24),"")</x:f>
      </x:c>
      <x:c r="BL188" s="275" t="str">
        <x:f>IFERROR(IF(bgr!AH24=0,"",bgr!AH24),"")</x:f>
      </x:c>
      <x:c r="BM188" s="275" t="str">
        <x:f>IFERROR(IF(bgr!AI24=0,"",bgr!AI24),"")</x:f>
      </x:c>
      <x:c r="BP188" s="275" t="str">
        <x:f>IFERROR(IF(bgr!AH24=0,"",bgr!AH24),"")</x:f>
      </x:c>
    </x:row>
    <x:row r="189" spans="1:184" hidden="1">
      <x:c r="BK189" s="275" t="str">
        <x:f>IFERROR(IF(bgr!AG25=0,"",bgr!AG25),"")</x:f>
      </x:c>
      <x:c r="BL189" s="275" t="str">
        <x:f>IFERROR(IF(bgr!AH25=0,"",bgr!AH25),"")</x:f>
      </x:c>
      <x:c r="BM189" s="275" t="str">
        <x:f>IFERROR(IF(bgr!AI25=0,"",bgr!AI25),"")</x:f>
      </x:c>
      <x:c r="BP189" s="275" t="str">
        <x:f>IFERROR(IF(bgr!AH25=0,"",bgr!AH25),"")</x:f>
      </x:c>
    </x:row>
    <x:row r="190" spans="1:184" hidden="1">
      <x:c r="BK190" s="275" t="str">
        <x:f>IFERROR(IF(bgr!AG26=0,"",bgr!AG26),"")</x:f>
      </x:c>
      <x:c r="BL190" s="275" t="str">
        <x:f>IFERROR(IF(bgr!AH26=0,"",bgr!AH26),"")</x:f>
      </x:c>
      <x:c r="BM190" s="275" t="str">
        <x:f>IFERROR(IF(bgr!AI26=0,"",bgr!AI26),"")</x:f>
      </x:c>
      <x:c r="BP190" s="275" t="str">
        <x:f>IFERROR(IF(bgr!AH26=0,"",bgr!AH26),"")</x:f>
      </x:c>
    </x:row>
    <x:row r="191" spans="1:184" hidden="1">
      <x:c r="BK191" s="275" t="str">
        <x:f>IFERROR(IF(bgr!AG27=0,"",bgr!AG27),"")</x:f>
      </x:c>
      <x:c r="BL191" s="275" t="str">
        <x:f>IFERROR(IF(bgr!AH27=0,"",bgr!AH27),"")</x:f>
      </x:c>
      <x:c r="BM191" s="275" t="str">
        <x:f>IFERROR(IF(bgr!AI27=0,"",bgr!AI27),"")</x:f>
      </x:c>
      <x:c r="BP191" s="275" t="str">
        <x:f>IFERROR(IF(bgr!AH27=0,"",bgr!AH27),"")</x:f>
      </x:c>
    </x:row>
    <x:row r="192" spans="1:184" hidden="1">
      <x:c r="BK192" s="275" t="str">
        <x:f>IFERROR(IF(bgr!AG28=0,"",bgr!AG28),"")</x:f>
      </x:c>
      <x:c r="BL192" s="275" t="str">
        <x:f>IFERROR(IF(bgr!AH28=0,"",bgr!AH28),"")</x:f>
      </x:c>
      <x:c r="BM192" s="275" t="str">
        <x:f>IFERROR(IF(bgr!AI28=0,"",bgr!AI28),"")</x:f>
      </x:c>
      <x:c r="BP192" s="275" t="str">
        <x:f>IFERROR(IF(bgr!AH28=0,"",bgr!AH28),"")</x:f>
      </x:c>
    </x:row>
    <x:row r="193" spans="1:184" hidden="1">
      <x:c r="BK193" s="275" t="str">
        <x:f>IFERROR(IF(bgr!AG29=0,"",bgr!AG29),"")</x:f>
      </x:c>
      <x:c r="BL193" s="275" t="str">
        <x:f>IFERROR(IF(bgr!AH29=0,"",bgr!AH29),"")</x:f>
      </x:c>
      <x:c r="BM193" s="275" t="str">
        <x:f>IFERROR(IF(bgr!AI29=0,"",bgr!AI29),"")</x:f>
      </x:c>
      <x:c r="BP193" s="275" t="str">
        <x:f>IFERROR(IF(bgr!AH29=0,"",bgr!AH29),"")</x:f>
      </x:c>
    </x:row>
    <x:row r="194" spans="1:184" hidden="1">
      <x:c r="BK194" s="275" t="str">
        <x:f>IFERROR(IF(bgr!AG30=0,"",bgr!AG30),"")</x:f>
      </x:c>
      <x:c r="BL194" s="275" t="str">
        <x:f>IFERROR(IF(bgr!AH30=0,"",bgr!AH30),"")</x:f>
      </x:c>
      <x:c r="BM194" s="275" t="str">
        <x:f>IFERROR(IF(bgr!AI30=0,"",bgr!AI30),"")</x:f>
      </x:c>
      <x:c r="BP194" s="275" t="str">
        <x:f>IFERROR(IF(bgr!AH30=0,"",bgr!AH30),"")</x:f>
      </x:c>
    </x:row>
    <x:row r="195" spans="1:184" hidden="1">
      <x:c r="BK195" s="275" t="str">
        <x:f>IFERROR(IF(bgr!AG31=0,"",bgr!AG31),"")</x:f>
      </x:c>
      <x:c r="BL195" s="275" t="str">
        <x:f>IFERROR(IF(bgr!AH31=0,"",bgr!AH31),"")</x:f>
      </x:c>
      <x:c r="BM195" s="275" t="str">
        <x:f>IFERROR(IF(bgr!AI31=0,"",bgr!AI31),"")</x:f>
      </x:c>
      <x:c r="BP195" s="275" t="str">
        <x:f>IFERROR(IF(bgr!AH31=0,"",bgr!AH31),"")</x:f>
      </x:c>
    </x:row>
    <x:row r="196" spans="1:184" hidden="1">
      <x:c r="BK196" s="275" t="str">
        <x:f>IFERROR(IF(bgr!AG32=0,"",bgr!AG32),"")</x:f>
      </x:c>
      <x:c r="BL196" s="275" t="str">
        <x:f>IFERROR(IF(bgr!AH32=0,"",bgr!AH32),"")</x:f>
      </x:c>
      <x:c r="BM196" s="275" t="str">
        <x:f>IFERROR(IF(bgr!AI32=0,"",bgr!AI32),"")</x:f>
      </x:c>
      <x:c r="BP196" s="275" t="str">
        <x:f>IFERROR(IF(bgr!AH32=0,"",bgr!AH32),"")</x:f>
      </x:c>
    </x:row>
    <x:row r="197" spans="1:184" hidden="1">
      <x:c r="BK197" s="275" t="str">
        <x:f>IFERROR(IF(bgr!AG33=0,"",bgr!AG33),"")</x:f>
      </x:c>
      <x:c r="BL197" s="275" t="str">
        <x:f>IFERROR(IF(bgr!AH33=0,"",bgr!AH33),"")</x:f>
      </x:c>
      <x:c r="BM197" s="275" t="str">
        <x:f>IFERROR(IF(bgr!AI33=0,"",bgr!AI33),"")</x:f>
      </x:c>
      <x:c r="BP197" s="275" t="str">
        <x:f>IFERROR(IF(bgr!AH33=0,"",bgr!AH33),"")</x:f>
      </x:c>
    </x:row>
    <x:row r="198" spans="1:184" hidden="1">
      <x:c r="BK198" s="275" t="str">
        <x:f>IFERROR(IF(bgr!AG34=0,"",bgr!AG34),"")</x:f>
      </x:c>
      <x:c r="BL198" s="275" t="str">
        <x:f>IFERROR(IF(bgr!AH34=0,"",bgr!AH34),"")</x:f>
      </x:c>
      <x:c r="BM198" s="275" t="str">
        <x:f>IFERROR(IF(bgr!AI34=0,"",bgr!AI34),"")</x:f>
      </x:c>
      <x:c r="BP198" s="275" t="str">
        <x:f>IFERROR(IF(bgr!AH34=0,"",bgr!AH34),"")</x:f>
      </x:c>
    </x:row>
    <x:row r="199" spans="1:184" hidden="1">
      <x:c r="BK199" s="275" t="str">
        <x:f>IFERROR(IF(bgr!AG35=0,"",bgr!AG35),"")</x:f>
      </x:c>
      <x:c r="BL199" s="275" t="str">
        <x:f>IFERROR(IF(bgr!AH35=0,"",bgr!AH35),"")</x:f>
      </x:c>
      <x:c r="BM199" s="275" t="str">
        <x:f>IFERROR(IF(bgr!AI35=0,"",bgr!AI35),"")</x:f>
      </x:c>
      <x:c r="BP199" s="275" t="str">
        <x:f>IFERROR(IF(bgr!AH35=0,"",bgr!AH35),"")</x:f>
      </x:c>
    </x:row>
    <x:row r="200" spans="1:184" hidden="1">
      <x:c r="BK200" s="275" t="str">
        <x:f>IFERROR(IF(bgr!AG36=0,"",bgr!AG36),"")</x:f>
      </x:c>
      <x:c r="BL200" s="275" t="str">
        <x:f>IFERROR(IF(bgr!AH36=0,"",bgr!AH36),"")</x:f>
      </x:c>
      <x:c r="BM200" s="275" t="str">
        <x:f>IFERROR(IF(bgr!AI36=0,"",bgr!AI36),"")</x:f>
      </x:c>
      <x:c r="BP200" s="275" t="str">
        <x:f>IFERROR(IF(bgr!AH36=0,"",bgr!AH36),"")</x:f>
      </x:c>
    </x:row>
    <x:row r="201" spans="1:184" hidden="1">
      <x:c r="BK201" s="275" t="str">
        <x:f>IFERROR(IF(bgr!AG37=0,"",bgr!AG37),"")</x:f>
      </x:c>
      <x:c r="BL201" s="275" t="str">
        <x:f>IFERROR(IF(bgr!AH37=0,"",bgr!AH37),"")</x:f>
      </x:c>
      <x:c r="BM201" s="275" t="str">
        <x:f>IFERROR(IF(bgr!AI37=0,"",bgr!AI37),"")</x:f>
      </x:c>
      <x:c r="BP201" s="275" t="str">
        <x:f>IFERROR(IF(bgr!AH37=0,"",bgr!AH37),"")</x:f>
      </x:c>
    </x:row>
    <x:row r="202" spans="1:184" hidden="1">
      <x:c r="BK202" s="275" t="str">
        <x:f>IFERROR(IF(bgr!AG38=0,"",bgr!AG38),"")</x:f>
      </x:c>
      <x:c r="BL202" s="275" t="str">
        <x:f>IFERROR(IF(bgr!AH38=0,"",bgr!AH38),"")</x:f>
      </x:c>
      <x:c r="BM202" s="275" t="str">
        <x:f>IFERROR(IF(bgr!AI38=0,"",bgr!AI38),"")</x:f>
      </x:c>
      <x:c r="BP202" s="275" t="str">
        <x:f>IFERROR(IF(bgr!AH38=0,"",bgr!AH38),"")</x:f>
      </x:c>
    </x:row>
    <x:row r="203" spans="1:184" hidden="1">
      <x:c r="BK203" s="275" t="str">
        <x:f>IFERROR(IF(bgr!AG39=0,"",bgr!AG39),"")</x:f>
      </x:c>
      <x:c r="BL203" s="275" t="str">
        <x:f>IFERROR(IF(bgr!AH39=0,"",bgr!AH39),"")</x:f>
      </x:c>
      <x:c r="BM203" s="275" t="str">
        <x:f>IFERROR(IF(bgr!AI39=0,"",bgr!AI39),"")</x:f>
      </x:c>
      <x:c r="BP203" s="275" t="str">
        <x:f>IFERROR(IF(bgr!AH39=0,"",bgr!AH39),"")</x:f>
      </x:c>
    </x:row>
    <x:row r="204" spans="1:184" hidden="1">
      <x:c r="BK204" s="275" t="str">
        <x:f>IFERROR(IF(bgr!AG40=0,"",bgr!AG40),"")</x:f>
      </x:c>
      <x:c r="BL204" s="275" t="str">
        <x:f>IFERROR(IF(bgr!AH40=0,"",bgr!AH40),"")</x:f>
      </x:c>
      <x:c r="BM204" s="275" t="str">
        <x:f>IFERROR(IF(bgr!AI40=0,"",bgr!AI40),"")</x:f>
      </x:c>
      <x:c r="BP204" s="275" t="str">
        <x:f>IFERROR(IF(bgr!AH40=0,"",bgr!AH40),"")</x:f>
      </x:c>
    </x:row>
    <x:row r="205" spans="1:184" hidden="1">
      <x:c r="BK205" s="275" t="str">
        <x:f>IFERROR(IF(bgr!AG41=0,"",bgr!AG41),"")</x:f>
      </x:c>
      <x:c r="BL205" s="275" t="str">
        <x:f>IFERROR(IF(bgr!AH41=0,"",bgr!AH41),"")</x:f>
      </x:c>
      <x:c r="BM205" s="275" t="str">
        <x:f>IFERROR(IF(bgr!AI41=0,"",bgr!AI41),"")</x:f>
      </x:c>
      <x:c r="BP205" s="275" t="str">
        <x:f>IFERROR(IF(bgr!AH41=0,"",bgr!AH41),"")</x:f>
      </x:c>
    </x:row>
    <x:row r="206" spans="1:184" hidden="1">
      <x:c r="BK206" s="275" t="str">
        <x:f>IFERROR(IF(bgr!AG42=0,"",bgr!AG42),"")</x:f>
      </x:c>
      <x:c r="BL206" s="275" t="str">
        <x:f>IFERROR(IF(bgr!AH42=0,"",bgr!AH42),"")</x:f>
      </x:c>
      <x:c r="BM206" s="275" t="str">
        <x:f>IFERROR(IF(bgr!AI42=0,"",bgr!AI42),"")</x:f>
      </x:c>
      <x:c r="BP206" s="275" t="str">
        <x:f>IFERROR(IF(bgr!AH42=0,"",bgr!AH42),"")</x:f>
      </x:c>
    </x:row>
    <x:row r="207" spans="1:184" hidden="1">
      <x:c r="BK207" s="275" t="str">
        <x:f>IFERROR(IF(bgr!AG43=0,"",bgr!AG43),"")</x:f>
      </x:c>
      <x:c r="BL207" s="275" t="str">
        <x:f>IFERROR(IF(bgr!AH43=0,"",bgr!AH43),"")</x:f>
      </x:c>
      <x:c r="BM207" s="275" t="str">
        <x:f>IFERROR(IF(bgr!AI43=0,"",bgr!AI43),"")</x:f>
      </x:c>
      <x:c r="BP207" s="275" t="str">
        <x:f>IFERROR(IF(bgr!AH43=0,"",bgr!AH43),"")</x:f>
      </x:c>
    </x:row>
    <x:row r="208" spans="1:184" hidden="1">
      <x:c r="BK208" s="275" t="str">
        <x:f>IFERROR(IF(bgr!AG44=0,"",bgr!AG44),"")</x:f>
      </x:c>
      <x:c r="BL208" s="275" t="str">
        <x:f>IFERROR(IF(bgr!AH44=0,"",bgr!AH44),"")</x:f>
      </x:c>
      <x:c r="BM208" s="275" t="str">
        <x:f>IFERROR(IF(bgr!AI44=0,"",bgr!AI44),"")</x:f>
      </x:c>
      <x:c r="BP208" s="275" t="str">
        <x:f>IFERROR(IF(bgr!AH44=0,"",bgr!AH44),"")</x:f>
      </x:c>
    </x:row>
    <x:row r="209" spans="1:184" hidden="1">
      <x:c r="BK209" s="275" t="str">
        <x:f>IFERROR(IF(bgr!AG45=0,"",bgr!AG45),"")</x:f>
      </x:c>
      <x:c r="BL209" s="275" t="str">
        <x:f>IFERROR(IF(bgr!AH45=0,"",bgr!AH45),"")</x:f>
      </x:c>
      <x:c r="BM209" s="275" t="str">
        <x:f>IFERROR(IF(bgr!AI45=0,"",bgr!AI45),"")</x:f>
      </x:c>
      <x:c r="BP209" s="275" t="str">
        <x:f>IFERROR(IF(bgr!AH45=0,"",bgr!AH45),"")</x:f>
      </x:c>
    </x:row>
    <x:row r="210" spans="1:184" hidden="1">
      <x:c r="BK210" s="275" t="str">
        <x:f>IFERROR(IF(bgr!AG46=0,"",bgr!AG46),"")</x:f>
      </x:c>
      <x:c r="BL210" s="275" t="str">
        <x:f>IFERROR(IF(bgr!AH46=0,"",bgr!AH46),"")</x:f>
      </x:c>
      <x:c r="BM210" s="275" t="str">
        <x:f>IFERROR(IF(bgr!AI46=0,"",bgr!AI46),"")</x:f>
      </x:c>
      <x:c r="BP210" s="275" t="str">
        <x:f>IFERROR(IF(bgr!AH46=0,"",bgr!AH46),"")</x:f>
      </x:c>
    </x:row>
    <x:row r="211" spans="1:184" hidden="1">
      <x:c r="BK211" s="275" t="str">
        <x:f>IFERROR(IF(bgr!AG47=0,"",bgr!AG47),"")</x:f>
      </x:c>
      <x:c r="BL211" s="275" t="str">
        <x:f>IFERROR(IF(bgr!AH47=0,"",bgr!AH47),"")</x:f>
      </x:c>
      <x:c r="BM211" s="275" t="str">
        <x:f>IFERROR(IF(bgr!AI47=0,"",bgr!AI47),"")</x:f>
      </x:c>
      <x:c r="BP211" s="275" t="str">
        <x:f>IFERROR(IF(bgr!AH47=0,"",bgr!AH47),"")</x:f>
      </x:c>
    </x:row>
    <x:row r="212" spans="1:184" hidden="1">
      <x:c r="BK212" s="275" t="str">
        <x:f>IFERROR(IF(bgr!AG48=0,"",bgr!AG48),"")</x:f>
      </x:c>
      <x:c r="BL212" s="275" t="str">
        <x:f>IFERROR(IF(bgr!AH48=0,"",bgr!AH48),"")</x:f>
      </x:c>
      <x:c r="BM212" s="275" t="str">
        <x:f>IFERROR(IF(bgr!AI48=0,"",bgr!AI48),"")</x:f>
      </x:c>
      <x:c r="BP212" s="275" t="str">
        <x:f>IFERROR(IF(bgr!AH48=0,"",bgr!AH48),"")</x:f>
      </x:c>
    </x:row>
    <x:row r="213" spans="1:184" hidden="1">
      <x:c r="BK213" s="275" t="str">
        <x:f>IFERROR(IF(bgr!AG49=0,"",bgr!AG49),"")</x:f>
      </x:c>
      <x:c r="BL213" s="275" t="str">
        <x:f>IFERROR(IF(bgr!AH49=0,"",bgr!AH49),"")</x:f>
      </x:c>
      <x:c r="BM213" s="275" t="str">
        <x:f>IFERROR(IF(bgr!AI49=0,"",bgr!AI49),"")</x:f>
      </x:c>
      <x:c r="BP213" s="275" t="str">
        <x:f>IFERROR(IF(bgr!AH49=0,"",bgr!AH49),"")</x:f>
      </x:c>
    </x:row>
    <x:row r="214" spans="1:184" hidden="1">
      <x:c r="BK214" s="275" t="str">
        <x:f>IFERROR(IF(bgr!AG50=0,"",bgr!AG50),"")</x:f>
      </x:c>
      <x:c r="BL214" s="275" t="str">
        <x:f>IFERROR(IF(bgr!AH50=0,"",bgr!AH50),"")</x:f>
      </x:c>
      <x:c r="BM214" s="275" t="str">
        <x:f>IFERROR(IF(bgr!AI50=0,"",bgr!AI50),"")</x:f>
      </x:c>
      <x:c r="BP214" s="275" t="str">
        <x:f>IFERROR(IF(bgr!AH50=0,"",bgr!AH50),"")</x:f>
      </x:c>
    </x:row>
    <x:row r="215" spans="1:184" hidden="1">
      <x:c r="BK215" s="275" t="str">
        <x:f>IFERROR(IF(bgr!AG51=0,"",bgr!AG51),"")</x:f>
      </x:c>
      <x:c r="BL215" s="275" t="str">
        <x:f>IFERROR(IF(bgr!AH51=0,"",bgr!AH51),"")</x:f>
      </x:c>
      <x:c r="BM215" s="275" t="str">
        <x:f>IFERROR(IF(bgr!AI51=0,"",bgr!AI51),"")</x:f>
      </x:c>
      <x:c r="BP215" s="275" t="str">
        <x:f>IFERROR(IF(bgr!AH51=0,"",bgr!AH51),"")</x:f>
      </x:c>
    </x:row>
    <x:row r="216" spans="1:184" hidden="1">
      <x:c r="BK216" s="275" t="str">
        <x:f>IFERROR(IF(bgr!AG52=0,"",bgr!AG52),"")</x:f>
      </x:c>
      <x:c r="BL216" s="275" t="str">
        <x:f>IFERROR(IF(bgr!AH52=0,"",bgr!AH52),"")</x:f>
      </x:c>
      <x:c r="BM216" s="275" t="str">
        <x:f>IFERROR(IF(bgr!AI52=0,"",bgr!AI52),"")</x:f>
      </x:c>
      <x:c r="BP216" s="275" t="str">
        <x:f>IFERROR(IF(bgr!AH52=0,"",bgr!AH52),"")</x:f>
      </x:c>
    </x:row>
    <x:row r="217" spans="1:184" hidden="1">
      <x:c r="BK217" s="275" t="str">
        <x:f>IFERROR(IF(bgr!AG53=0,"",bgr!AG53),"")</x:f>
      </x:c>
      <x:c r="BL217" s="275" t="str">
        <x:f>IFERROR(IF(bgr!AH53=0,"",bgr!AH53),"")</x:f>
      </x:c>
      <x:c r="BM217" s="275" t="str">
        <x:f>IFERROR(IF(bgr!AI53=0,"",bgr!AI53),"")</x:f>
      </x:c>
      <x:c r="BP217" s="275" t="str">
        <x:f>IFERROR(IF(bgr!AH53=0,"",bgr!AH53),"")</x:f>
      </x:c>
    </x:row>
    <x:row r="218" spans="1:184" hidden="1">
      <x:c r="BK218" s="275" t="str">
        <x:f>IFERROR(IF(bgr!AG54=0,"",bgr!AG54),"")</x:f>
      </x:c>
      <x:c r="BL218" s="275" t="str">
        <x:f>IFERROR(IF(bgr!AH54=0,"",bgr!AH54),"")</x:f>
      </x:c>
      <x:c r="BM218" s="275" t="str">
        <x:f>IFERROR(IF(bgr!AI54=0,"",bgr!AI54),"")</x:f>
      </x:c>
      <x:c r="BP218" s="275" t="str">
        <x:f>IFERROR(IF(bgr!AH54=0,"",bgr!AH54),"")</x:f>
      </x:c>
    </x:row>
    <x:row r="219" spans="1:184" hidden="1">
      <x:c r="BK219" s="275" t="str">
        <x:f>IFERROR(IF(bgr!AG55=0,"",bgr!AG55),"")</x:f>
      </x:c>
      <x:c r="BL219" s="275" t="str">
        <x:f>IFERROR(IF(bgr!AH55=0,"",bgr!AH55),"")</x:f>
      </x:c>
      <x:c r="BM219" s="275" t="str">
        <x:f>IFERROR(IF(bgr!AI55=0,"",bgr!AI55),"")</x:f>
      </x:c>
      <x:c r="BP219" s="275" t="str">
        <x:f>IFERROR(IF(bgr!AH55=0,"",bgr!AH55),"")</x:f>
      </x:c>
    </x:row>
    <x:row r="220" spans="1:184" hidden="1">
      <x:c r="BK220" s="275" t="str">
        <x:f>IFERROR(IF(bgr!AG56=0,"",bgr!AG56),"")</x:f>
      </x:c>
      <x:c r="BL220" s="275" t="str">
        <x:f>IFERROR(IF(bgr!AH56=0,"",bgr!AH56),"")</x:f>
      </x:c>
      <x:c r="BM220" s="275" t="str">
        <x:f>IFERROR(IF(bgr!AI56=0,"",bgr!AI56),"")</x:f>
      </x:c>
      <x:c r="BP220" s="275" t="str">
        <x:f>IFERROR(IF(bgr!AH56=0,"",bgr!AH56),"")</x:f>
      </x:c>
    </x:row>
    <x:row r="221" spans="1:184" hidden="1">
      <x:c r="BK221" s="275" t="str">
        <x:f>IFERROR(IF(bgr!AG57=0,"",bgr!AG57),"")</x:f>
      </x:c>
      <x:c r="BL221" s="275" t="str">
        <x:f>IFERROR(IF(bgr!AH57=0,"",bgr!AH57),"")</x:f>
      </x:c>
      <x:c r="BM221" s="275" t="str">
        <x:f>IFERROR(IF(bgr!AI57=0,"",bgr!AI57),"")</x:f>
      </x:c>
      <x:c r="BP221" s="275" t="str">
        <x:f>IFERROR(IF(bgr!AH57=0,"",bgr!AH57),"")</x:f>
      </x:c>
    </x:row>
    <x:row r="222" spans="1:184" hidden="1">
      <x:c r="BK222" s="275" t="str">
        <x:f>IFERROR(IF(bgr!AG58=0,"",bgr!AG58),"")</x:f>
      </x:c>
      <x:c r="BL222" s="275" t="str">
        <x:f>IFERROR(IF(bgr!AH58=0,"",bgr!AH58),"")</x:f>
      </x:c>
      <x:c r="BM222" s="275" t="str">
        <x:f>IFERROR(IF(bgr!AI58=0,"",bgr!AI58),"")</x:f>
      </x:c>
      <x:c r="BP222" s="275" t="str">
        <x:f>IFERROR(IF(bgr!AH58=0,"",bgr!AH58),"")</x:f>
      </x:c>
    </x:row>
    <x:row r="223" spans="1:184" hidden="1">
      <x:c r="BK223" s="275" t="str">
        <x:f>IFERROR(IF(bgr!AG59=0,"",bgr!AG59),"")</x:f>
      </x:c>
      <x:c r="BL223" s="275" t="str">
        <x:f>IFERROR(IF(bgr!AH59=0,"",bgr!AH59),"")</x:f>
      </x:c>
      <x:c r="BM223" s="275" t="str">
        <x:f>IFERROR(IF(bgr!AI59=0,"",bgr!AI59),"")</x:f>
      </x:c>
      <x:c r="BP223" s="275" t="str">
        <x:f>IFERROR(IF(bgr!AH59=0,"",bgr!AH59),"")</x:f>
      </x:c>
    </x:row>
    <x:row r="224" spans="1:184" hidden="1">
      <x:c r="BK224" s="275" t="str">
        <x:f>IFERROR(IF(bgr!AG60=0,"",bgr!AG60),"")</x:f>
      </x:c>
      <x:c r="BL224" s="275" t="str">
        <x:f>IFERROR(IF(bgr!AH60=0,"",bgr!AH60),"")</x:f>
      </x:c>
      <x:c r="BM224" s="275" t="str">
        <x:f>IFERROR(IF(bgr!AI60=0,"",bgr!AI60),"")</x:f>
      </x:c>
      <x:c r="BP224" s="275" t="str">
        <x:f>IFERROR(IF(bgr!AH60=0,"",bgr!AH60),"")</x:f>
      </x:c>
    </x:row>
    <x:row r="225" spans="1:184" hidden="1">
      <x:c r="BK225" s="275" t="str">
        <x:f>IFERROR(IF(bgr!AG61=0,"",bgr!AG61),"")</x:f>
      </x:c>
      <x:c r="BL225" s="275" t="str">
        <x:f>IFERROR(IF(bgr!AH61=0,"",bgr!AH61),"")</x:f>
      </x:c>
      <x:c r="BM225" s="275" t="str">
        <x:f>IFERROR(IF(bgr!AI61=0,"",bgr!AI61),"")</x:f>
      </x:c>
      <x:c r="BP225" s="275" t="str">
        <x:f>IFERROR(IF(bgr!AH61=0,"",bgr!AH61),"")</x:f>
      </x:c>
    </x:row>
    <x:row r="226" spans="1:184" hidden="1">
      <x:c r="BK226" s="275" t="str">
        <x:f>IFERROR(IF(bgr!AG62=0,"",bgr!AG62),"")</x:f>
      </x:c>
      <x:c r="BL226" s="275" t="str">
        <x:f>IFERROR(IF(bgr!AH62=0,"",bgr!AH62),"")</x:f>
      </x:c>
      <x:c r="BM226" s="275" t="str">
        <x:f>IFERROR(IF(bgr!AI62=0,"",bgr!AI62),"")</x:f>
      </x:c>
      <x:c r="BP226" s="275" t="str">
        <x:f>IFERROR(IF(bgr!AH62=0,"",bgr!AH62),"")</x:f>
      </x:c>
    </x:row>
    <x:row r="227" spans="1:184" hidden="1">
      <x:c r="BK227" s="275" t="str">
        <x:f>IFERROR(IF(bgr!AG63=0,"",bgr!AG63),"")</x:f>
      </x:c>
      <x:c r="BL227" s="275" t="str">
        <x:f>IFERROR(IF(bgr!AH63=0,"",bgr!AH63),"")</x:f>
      </x:c>
      <x:c r="BM227" s="275" t="str">
        <x:f>IFERROR(IF(bgr!AI63=0,"",bgr!AI63),"")</x:f>
      </x:c>
      <x:c r="BP227" s="275" t="str">
        <x:f>IFERROR(IF(bgr!AH63=0,"",bgr!AH63),"")</x:f>
      </x:c>
    </x:row>
    <x:row r="228" spans="1:184" hidden="1">
      <x:c r="BK228" s="275" t="str">
        <x:f>IFERROR(IF(bgr!AG64=0,"",bgr!AG64),"")</x:f>
      </x:c>
      <x:c r="BL228" s="275" t="str">
        <x:f>IFERROR(IF(bgr!AH64=0,"",bgr!AH64),"")</x:f>
      </x:c>
      <x:c r="BM228" s="275" t="str">
        <x:f>IFERROR(IF(bgr!AI64=0,"",bgr!AI64),"")</x:f>
      </x:c>
      <x:c r="BP228" s="275" t="str">
        <x:f>IFERROR(IF(bgr!AH64=0,"",bgr!AH64),"")</x:f>
      </x:c>
    </x:row>
    <x:row r="229" spans="1:184" hidden="1"/>
  </x:sheetData>
  <x:dataConsolidate/>
  <x:mergeCells count="98">
    <x:mergeCell ref="BR4:BR5"/>
    <x:mergeCell ref="AM2:AY3"/>
    <x:mergeCell ref="AZ2:BA3"/>
    <x:mergeCell ref="BB2:BC3"/>
    <x:mergeCell ref="BD2:BG2"/>
    <x:mergeCell ref="BD3:BG3"/>
    <x:mergeCell ref="BH2:BK3"/>
    <x:mergeCell ref="BL2:BN3"/>
    <x:mergeCell ref="BK4:BQ4"/>
    <x:mergeCell ref="BO2:BQ3"/>
    <x:mergeCell ref="BK7:BO7"/>
    <x:mergeCell ref="BK16:BO16"/>
    <x:mergeCell ref="BK15:BO15"/>
    <x:mergeCell ref="BK14:BO14"/>
    <x:mergeCell ref="BK13:BO13"/>
    <x:mergeCell ref="BK12:BO12"/>
    <x:mergeCell ref="BB31:BB32"/>
    <x:mergeCell ref="AX31:AX32"/>
    <x:mergeCell ref="AV31:AV32"/>
    <x:mergeCell ref="AT31:AU32"/>
    <x:mergeCell ref="BK21:BO21"/>
    <x:mergeCell ref="AS31:AS32"/>
    <x:mergeCell ref="BK11:BO11"/>
    <x:mergeCell ref="BK10:BO10"/>
    <x:mergeCell ref="BK9:BO9"/>
    <x:mergeCell ref="BU5:BV5"/>
    <x:mergeCell ref="BJ31:BJ32"/>
    <x:mergeCell ref="BN31:BN32"/>
    <x:mergeCell ref="BK27:BO27"/>
    <x:mergeCell ref="BK28:BO28"/>
    <x:mergeCell ref="BK29:BO29"/>
    <x:mergeCell ref="BK22:BO22"/>
    <x:mergeCell ref="BK23:BO23"/>
    <x:mergeCell ref="BK24:BO24"/>
    <x:mergeCell ref="BK25:BO25"/>
    <x:mergeCell ref="BK26:BO26"/>
    <x:mergeCell ref="BF31:BF32"/>
    <x:mergeCell ref="H33:L33"/>
    <x:mergeCell ref="S32:Z32"/>
    <x:mergeCell ref="M32:R32"/>
    <x:mergeCell ref="M33:R33"/>
    <x:mergeCell ref="S33:Z33"/>
    <x:mergeCell ref="Y31:Z31"/>
    <x:mergeCell ref="H32:L32"/>
    <x:mergeCell ref="AA32:AE32"/>
    <x:mergeCell ref="AF32:AI32"/>
    <x:mergeCell ref="AQ31:AR32"/>
    <x:mergeCell ref="AO31:AP32"/>
    <x:mergeCell ref="AM31:AN32"/>
    <x:mergeCell ref="J31:K31"/>
    <x:mergeCell ref="M31:P31"/>
    <x:mergeCell ref="Q31:R31"/>
    <x:mergeCell ref="T31:X31"/>
    <x:mergeCell ref="B31:I31"/>
    <x:mergeCell ref="B2:AI2"/>
    <x:mergeCell ref="M3:N3"/>
    <x:mergeCell ref="O4:Y4"/>
    <x:mergeCell ref="B4:N4"/>
    <x:mergeCell ref="B3:I3"/>
    <x:mergeCell ref="B30:I30"/>
    <x:mergeCell ref="B33:G33"/>
    <x:mergeCell ref="AA33:AE33"/>
    <x:mergeCell ref="AF33:AI33"/>
    <x:mergeCell ref="O3:Q3"/>
    <x:mergeCell ref="R3:U3"/>
    <x:mergeCell ref="AA31:AF31"/>
    <x:mergeCell ref="AG31:AH31"/>
    <x:mergeCell ref="AF3:AI3"/>
    <x:mergeCell ref="AG30:AH30"/>
    <x:mergeCell ref="Z4:AB4"/>
    <x:mergeCell ref="AC4:AI4"/>
    <x:mergeCell ref="W3:Z3"/>
    <x:mergeCell ref="AA3:AB3"/>
    <x:mergeCell ref="B32:G32"/>
    <x:mergeCell ref="AC3:AE3"/>
    <x:mergeCell ref="BK17:BO17"/>
    <x:mergeCell ref="BK8:BO8"/>
    <x:mergeCell ref="J30:K30"/>
    <x:mergeCell ref="Q30:R30"/>
    <x:mergeCell ref="M30:P30"/>
    <x:mergeCell ref="T30:X30"/>
    <x:mergeCell ref="AE30:AF30"/>
    <x:mergeCell ref="BS4:BT4"/>
    <x:mergeCell ref="BR22:BR29"/>
    <x:mergeCell ref="Y30:Z30"/>
    <x:mergeCell ref="BK5:BO5"/>
    <x:mergeCell ref="AM4:AU4"/>
    <x:mergeCell ref="AV4:AW4"/>
    <x:mergeCell ref="AX4:AY4"/>
    <x:mergeCell ref="BK6:BO6"/>
    <x:mergeCell ref="BB4:BC4"/>
    <x:mergeCell ref="AZ4:BA4"/>
    <x:mergeCell ref="BD4:BF4"/>
    <x:mergeCell ref="BG4:BH4"/>
    <x:mergeCell ref="BI4:BJ4"/>
    <x:mergeCell ref="BK20:BO20"/>
    <x:mergeCell ref="BK19:BO19"/>
    <x:mergeCell ref="BK18:BO18"/>
  </x:mergeCells>
  <x:conditionalFormatting sqref="B6:AI29">
    <x:cfRule type="expression" dxfId="4" priority="1" operator="equal">
      <x:formula>OR(AND(NOT(ISBLANK($M6)),$M6&gt;$BV$9),AND(NOT(ISBLANK($M6)),$M6&lt;$BV$8))</x:formula>
    </x:cfRule>
    <x:cfRule type="expression" dxfId="4" priority="2" operator="equal">
      <x:formula>OR(AND(NOT(ISBLANK($L6)),$L6&gt;$BV$7),AND(NOT(ISBLANK($L6)),$L6&lt;$BV$6))</x:formula>
    </x:cfRule>
    <x:cfRule type="expression" dxfId="4" priority="3" operator="equal">
      <x:formula>OR(AND(NOT(ISBLANK($N6)),$N6&gt;$BV$11),AND(NOT(ISBLANK($N6)),$N6&lt;$BV$10))</x:formula>
    </x:cfRule>
  </x:conditionalFormatting>
  <x:conditionalFormatting sqref="BB2:BC3">
    <x:cfRule type="containsBlanks" dxfId="5" priority="4">
      <x:formula>LEN(TRIM(BB2))=0</x:formula>
    </x:cfRule>
  </x:conditionalFormatting>
  <x:dataValidations count="5">
    <x:dataValidation type="time" errorStyle="stop" operator="between" allowBlank="1" showDropDown="0" showInputMessage="1" showErrorMessage="1" errorTitle="" error="" promptTitle="" prompt="" sqref="AX6:AY29">
      <x:formula1>0</x:formula1>
      <x:formula2>0.999988425925926</x:formula2>
    </x:dataValidation>
    <x:dataValidation type="decimal" errorStyle="stop" operator="greaterThanOrEqual" allowBlank="1" showDropDown="0" showInputMessage="1" showErrorMessage="1" errorTitle="" error="" promptTitle="" prompt="" sqref="BA6:BA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C6:BC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H6:BH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BP6:BP29">
      <x:formula1>0</x:formula1>
      <x:formula2/>
    </x:dataValidation>
  </x:dataValidations>
  <x:printOptions horizontalCentered="0" verticalCentered="0" headings="0" gridLines="0"/>
  <x:pageMargins left="0.23622047244094491" right="0.23622047244094491" top="0.74803149606299213" bottom="0.74803149606299213" header="0.31496062992125984" footer="0.31496062992125984"/>
  <x:pageSetup paperSize="9" fitToHeight="0" pageOrder="downThenOver" orientation="landscape" blackAndWhite="0" draft="0" cellComments="none" errors="displayed" r:id="rId1"/>
  <x:headerFooter/>
  <x:colBreaks count="1" manualBreakCount="1">
    <x:brk id="35" max="33" man="1"/>
    <x:brk id="35" max="16384" man="1"/>
  </x:colBreaks>
  <x:ignoredErrors>
    <x:ignoredError sqref="BR17" unlockedFormula="1"/>
  </x:ignoredErrors>
  <x:tableParts count="0"/>
  <x:extLst>
    <x: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6" id="{857AA40F-87BD-4FB4-97A3-2C094266035D}">
            <x14:iconSet iconSet="3Symbols2" custom="1">
              <x14:cfvo type="percent">
                <xm:f>0</xm:f>
              </x14:cfvo>
              <x14:cfvo type="num">
                <xm:f>$BV$6</xm:f>
              </x14:cfvo>
              <x14:cfvo type="num" gte="0">
                <xm:f>$BV$7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L6:L29</xm:sqref>
        </x14:conditionalFormatting>
        <x14:conditionalFormatting xmlns:xm="http://schemas.microsoft.com/office/excel/2006/main">
          <x14:cfRule type="iconSet" priority="47" id="{E02D30E8-B2E8-4471-BA96-3F5FAFC745C8}">
            <x14:iconSet custom="1">
              <x14:cfvo type="percent">
                <xm:f>0</xm:f>
              </x14:cfvo>
              <x14:cfvo type="num">
                <xm:f>$BV$8</xm:f>
              </x14:cfvo>
              <x14:cfvo type="num" gte="0">
                <xm:f>$BV$9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M6:M29</xm:sqref>
        </x14:conditionalFormatting>
        <x14:conditionalFormatting xmlns:xm="http://schemas.microsoft.com/office/excel/2006/main">
          <x14:cfRule type="iconSet" priority="48" id="{0DCD25A7-CD6A-4AD2-99A3-DCE1FC5673CA}">
            <x14:iconSet custom="1">
              <x14:cfvo type="percent">
                <xm:f>0</xm:f>
              </x14:cfvo>
              <x14:cfvo type="num">
                <xm:f>$BV$10</xm:f>
              </x14:cfvo>
              <x14:cfvo type="num" gte="0">
                <xm:f>$BV$11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N6:N29</xm:sqref>
        </x14:conditionalFormatting>
        <x14:conditionalFormatting xmlns:xm="http://schemas.microsoft.com/office/excel/2006/main">
          <x14:cfRule type="iconSet" priority="49" id="{A25B42C9-D79B-42F1-90AB-05551F319465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$BV$12</xm:f>
              </x14:cfvo>
              <x14:cfIcon iconSet="NoIcons" iconId="0"/>
              <x14:cfIcon iconSet="NoIcons" iconId="0"/>
              <x14:cfIcon iconSet="3Symbols" iconId="0"/>
            </x14:iconSet>
          </x14:cfRule>
          <xm:sqref>AB6:AB29</xm:sqref>
        </x14:conditionalFormatting>
      </x14:conditionalFormatting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4">
    <x:outlinePr summaryBelow="1" summaryRight="1"/>
  </x:sheetPr>
  <x:dimension ref="B2:AH65"/>
  <x:sheetViews>
    <x:sheetView workbookViewId="0">
      <x:selection activeCell="E5" sqref="E5 E5:E5"/>
    </x:sheetView>
  </x:sheetViews>
  <x:sheetFormatPr defaultRowHeight="15"/>
  <x:cols>
    <x:col min="1" max="2" width="9.140625" style="274" customWidth="1"/>
    <x:col min="3" max="4" width="10.285156" style="274" bestFit="1" customWidth="1"/>
  </x:cols>
  <x:sheetData>
    <x:row r="2" spans="1:34">
      <x:c r="B2" s="452" t="s"/>
      <x:c r="C2" s="274">
        <x:f>'ME-3'!AQ166</x:f>
      </x:c>
      <x:c r="D2" s="274">
        <x:f>'ME-3'!AR166</x:f>
      </x:c>
      <x:c r="E2" s="274" t="str">
        <x:f>'ME-3'!AS166</x:f>
      </x:c>
      <x:c r="F2" s="274">
        <x:f>'ME-3'!AT166</x:f>
      </x:c>
      <x:c r="G2" s="274" t="e">
        <x:f>IF((F2-E2)*1440&lt;0,(F2-E2)*1440+1440,(F2-E2)*1440)</x:f>
      </x:c>
      <x:c r="H2" s="274">
        <x:f>'ME-3'!AU166</x:f>
      </x:c>
      <x:c r="I2" s="274">
        <x:f>'ME-3'!AV166</x:f>
      </x:c>
      <x:c r="J2" s="274">
        <x:f>'ME-3'!AW166</x:f>
      </x:c>
      <x:c r="K2" s="274">
        <x:f>'ME-3'!AX166</x:f>
      </x:c>
      <x:c r="L2" s="274">
        <x:f>IF((K2-J2)*1440&lt;0,(K2-J2)*1440+1440,(K2-J2)*1440)</x:f>
      </x:c>
      <x:c r="M2" s="274">
        <x:f>'ME-3'!AY166</x:f>
      </x:c>
      <x:c r="N2" s="274">
        <x:f>'ME-3'!AZ166</x:f>
      </x:c>
      <x:c r="O2" s="274">
        <x:f>'ME-3'!BA166</x:f>
      </x:c>
      <x:c r="P2" s="274">
        <x:f>'ME-3'!BB166</x:f>
      </x:c>
      <x:c r="Q2" s="274">
        <x:f>IF((P2-O2)*1440&lt;0,(P2-O2)*1440+1440,(P2-O2)*1440)</x:f>
      </x:c>
      <x:c r="R2" s="274">
        <x:f>'ME-3'!BC166</x:f>
      </x:c>
      <x:c r="S2" s="274">
        <x:f>'ME-3'!BD166</x:f>
      </x:c>
      <x:c r="T2" s="274">
        <x:f>'ME-3'!BE166</x:f>
      </x:c>
      <x:c r="U2" s="274">
        <x:f>'ME-3'!BF166</x:f>
      </x:c>
      <x:c r="V2" s="274">
        <x:f>IF((U2-T2)*1440&lt;0,(U2-T2)*1440+1440,(U2-T2)*1440)</x:f>
      </x:c>
      <x:c r="W2" s="274">
        <x:f>'ME-3'!BG166</x:f>
      </x:c>
      <x:c r="X2" s="274">
        <x:f>'ME-3'!BH166</x:f>
      </x:c>
      <x:c r="Y2" s="274">
        <x:f>'ME-3'!BI166</x:f>
      </x:c>
      <x:c r="Z2" s="274">
        <x:f>'ME-3'!BJ166</x:f>
      </x:c>
      <x:c r="AA2" s="274">
        <x:f>IF((Z2-Y2)*1440&lt;0,(Z2-Y2)*1440+1440,(Z2-Y2)*1440)</x:f>
      </x:c>
      <x:c r="AB2" s="451">
        <x:f>IF(C2="BT",G2,0)</x:f>
      </x:c>
      <x:c r="AC2" s="451">
        <x:f>IF(H2="BT",L2,0)</x:f>
      </x:c>
      <x:c r="AD2" s="451">
        <x:f>IF(M2="BT",Q2,0)</x:f>
      </x:c>
      <x:c r="AE2" s="451">
        <x:f>IF(R2="BT",V2,0)</x:f>
      </x:c>
      <x:c r="AF2" s="451">
        <x:f>IF(W2="BT",AA2,0)</x:f>
      </x:c>
      <x:c r="AG2" s="274">
        <x:f>SUM(AB2:AF2)</x:f>
      </x:c>
      <x:c r="AH2" s="274" t="e">
        <x:f>(G2+L2+Q2+V2+AA2)-AG2</x:f>
      </x:c>
    </x:row>
    <x:row r="3" spans="1:34">
      <x:c r="C3" s="274">
        <x:f>'ME-3'!AQ167</x:f>
      </x:c>
      <x:c r="D3" s="274">
        <x:f>'ME-3'!AR167</x:f>
      </x:c>
      <x:c r="E3" s="274">
        <x:f>'ME-3'!AS167</x:f>
      </x:c>
      <x:c r="F3" s="274">
        <x:f>'ME-3'!AT167</x:f>
      </x:c>
      <x:c r="G3" s="274">
        <x:f>IF((F3-E3)*1440&lt;0,(F3-E3)*1440+1440,(F3-E3)*1440)</x:f>
      </x:c>
      <x:c r="H3" s="274">
        <x:f>'ME-3'!AU167</x:f>
      </x:c>
      <x:c r="I3" s="274">
        <x:f>'ME-3'!AV167</x:f>
      </x:c>
      <x:c r="J3" s="274">
        <x:f>'ME-3'!AW167</x:f>
      </x:c>
      <x:c r="K3" s="274">
        <x:f>'ME-3'!AX167</x:f>
      </x:c>
      <x:c r="L3" s="274">
        <x:f>IF((K3-J3)*1440&lt;0,(K3-J3)*1440+1440,(K3-J3)*1440)</x:f>
      </x:c>
      <x:c r="M3" s="274">
        <x:f>'ME-3'!AY167</x:f>
      </x:c>
      <x:c r="N3" s="274">
        <x:f>'ME-3'!AZ167</x:f>
      </x:c>
      <x:c r="O3" s="274">
        <x:f>'ME-3'!BA167</x:f>
      </x:c>
      <x:c r="P3" s="274">
        <x:f>'ME-3'!BB167</x:f>
      </x:c>
      <x:c r="Q3" s="274">
        <x:f>IF((P3-O3)*1440&lt;0,(P3-O3)*1440+1440,(P3-O3)*1440)</x:f>
      </x:c>
      <x:c r="R3" s="274">
        <x:f>'ME-3'!BC167</x:f>
      </x:c>
      <x:c r="S3" s="274">
        <x:f>'ME-3'!BD167</x:f>
      </x:c>
      <x:c r="T3" s="274">
        <x:f>'ME-3'!BE167</x:f>
      </x:c>
      <x:c r="U3" s="274">
        <x:f>'ME-3'!BF167</x:f>
      </x:c>
      <x:c r="V3" s="274">
        <x:f>IF((U3-T3)*1440&lt;0,(U3-T3)*1440+1440,(U3-T3)*1440)</x:f>
      </x:c>
      <x:c r="W3" s="274">
        <x:f>'ME-3'!BG167</x:f>
      </x:c>
      <x:c r="X3" s="274">
        <x:f>'ME-3'!BH167</x:f>
      </x:c>
      <x:c r="Y3" s="274">
        <x:f>'ME-3'!BI167</x:f>
      </x:c>
      <x:c r="Z3" s="274">
        <x:f>'ME-3'!BJ167</x:f>
      </x:c>
      <x:c r="AA3" s="274">
        <x:f>IF((Z3-Y3)*1440&lt;0,(Z3-Y3)*1440+1440,(Z3-Y3)*1440)</x:f>
      </x:c>
      <x:c r="AB3" s="451">
        <x:f>IF(C3="BT",G3,0)</x:f>
      </x:c>
      <x:c r="AC3" s="451">
        <x:f>IF(H3="BT",L3,0)</x:f>
      </x:c>
      <x:c r="AD3" s="451">
        <x:f>IF(M3="BT",Q3,0)</x:f>
      </x:c>
      <x:c r="AE3" s="451">
        <x:f>IF(R3="BT",V3,0)</x:f>
      </x:c>
      <x:c r="AF3" s="451">
        <x:f>IF(W3="BT",AA3,0)</x:f>
      </x:c>
      <x:c r="AG3" s="274">
        <x:f>SUM(AB3:AF3)</x:f>
      </x:c>
      <x:c r="AH3" s="274">
        <x:f>(G3+L3+Q3+V3+AA3)-AG3</x:f>
      </x:c>
    </x:row>
    <x:row r="4" spans="1:34">
      <x:c r="C4" s="274">
        <x:f>'ME-3'!AQ168</x:f>
      </x:c>
      <x:c r="D4" s="274">
        <x:f>'ME-3'!AR168</x:f>
      </x:c>
      <x:c r="E4" s="274">
        <x:f>'ME-3'!AS168</x:f>
      </x:c>
      <x:c r="F4" s="274">
        <x:f>'ME-3'!AT168</x:f>
      </x:c>
      <x:c r="G4" s="274">
        <x:f>IF((F4-E4)*1440&lt;0,(F4-E4)*1440+1440,(F4-E4)*1440)</x:f>
      </x:c>
      <x:c r="H4" s="274">
        <x:f>'ME-3'!AU168</x:f>
      </x:c>
      <x:c r="I4" s="274">
        <x:f>'ME-3'!AV168</x:f>
      </x:c>
      <x:c r="J4" s="274">
        <x:f>'ME-3'!AW168</x:f>
      </x:c>
      <x:c r="K4" s="274">
        <x:f>'ME-3'!AX168</x:f>
      </x:c>
      <x:c r="L4" s="274">
        <x:f>IF((K4-J4)*1440&lt;0,(K4-J4)*1440+1440,(K4-J4)*1440)</x:f>
      </x:c>
      <x:c r="M4" s="274">
        <x:f>'ME-3'!AY168</x:f>
      </x:c>
      <x:c r="N4" s="274">
        <x:f>'ME-3'!AZ168</x:f>
      </x:c>
      <x:c r="O4" s="274">
        <x:f>'ME-3'!BA168</x:f>
      </x:c>
      <x:c r="P4" s="274">
        <x:f>'ME-3'!BB168</x:f>
      </x:c>
      <x:c r="Q4" s="274">
        <x:f>IF((P4-O4)*1440&lt;0,(P4-O4)*1440+1440,(P4-O4)*1440)</x:f>
      </x:c>
      <x:c r="R4" s="274">
        <x:f>'ME-3'!BC168</x:f>
      </x:c>
      <x:c r="S4" s="274">
        <x:f>'ME-3'!BD168</x:f>
      </x:c>
      <x:c r="T4" s="274">
        <x:f>'ME-3'!BE168</x:f>
      </x:c>
      <x:c r="U4" s="274">
        <x:f>'ME-3'!BF168</x:f>
      </x:c>
      <x:c r="V4" s="274">
        <x:f>IF((U4-T4)*1440&lt;0,(U4-T4)*1440+1440,(U4-T4)*1440)</x:f>
      </x:c>
      <x:c r="W4" s="274">
        <x:f>'ME-3'!BG168</x:f>
      </x:c>
      <x:c r="X4" s="274">
        <x:f>'ME-3'!BH168</x:f>
      </x:c>
      <x:c r="Y4" s="274">
        <x:f>'ME-3'!BI168</x:f>
      </x:c>
      <x:c r="Z4" s="274">
        <x:f>'ME-3'!BJ168</x:f>
      </x:c>
      <x:c r="AA4" s="274">
        <x:f>IF((Z4-Y4)*1440&lt;0,(Z4-Y4)*1440+1440,(Z4-Y4)*1440)</x:f>
      </x:c>
      <x:c r="AB4" s="451">
        <x:f>IF(C4="BT",G4,0)</x:f>
      </x:c>
      <x:c r="AC4" s="451">
        <x:f>IF(H4="BT",L4,0)</x:f>
      </x:c>
      <x:c r="AD4" s="451">
        <x:f>IF(M4="BT",Q4,0)</x:f>
      </x:c>
      <x:c r="AE4" s="451">
        <x:f>IF(R4="BT",V4,0)</x:f>
      </x:c>
      <x:c r="AF4" s="451">
        <x:f>IF(W4="BT",AA4,0)</x:f>
      </x:c>
      <x:c r="AG4" s="274">
        <x:f>SUM(AB4:AF4)</x:f>
      </x:c>
      <x:c r="AH4" s="274">
        <x:f>(G4+L4+Q4+V4+AA4)-AG4</x:f>
      </x:c>
    </x:row>
    <x:row r="5" spans="1:34">
      <x:c r="C5" s="274">
        <x:f>'ME-3'!AQ169</x:f>
      </x:c>
      <x:c r="D5" s="274">
        <x:f>'ME-3'!AR169</x:f>
      </x:c>
      <x:c r="E5" s="274">
        <x:f>'ME-3'!AS169</x:f>
      </x:c>
      <x:c r="F5" s="274">
        <x:f>'ME-3'!AT169</x:f>
      </x:c>
      <x:c r="G5" s="274">
        <x:f>IF((F5-E5)*1440&lt;0,(F5-E5)*1440+1440,(F5-E5)*1440)</x:f>
      </x:c>
      <x:c r="H5" s="274">
        <x:f>'ME-3'!AU169</x:f>
      </x:c>
      <x:c r="I5" s="274">
        <x:f>'ME-3'!AV169</x:f>
      </x:c>
      <x:c r="J5" s="274">
        <x:f>'ME-3'!AW169</x:f>
      </x:c>
      <x:c r="K5" s="274">
        <x:f>'ME-3'!AX169</x:f>
      </x:c>
      <x:c r="L5" s="274">
        <x:f>IF((K5-J5)*1440&lt;0,(K5-J5)*1440+1440,(K5-J5)*1440)</x:f>
      </x:c>
      <x:c r="M5" s="274">
        <x:f>'ME-3'!AY169</x:f>
      </x:c>
      <x:c r="N5" s="274">
        <x:f>'ME-3'!AZ169</x:f>
      </x:c>
      <x:c r="O5" s="274">
        <x:f>'ME-3'!BA169</x:f>
      </x:c>
      <x:c r="P5" s="274">
        <x:f>'ME-3'!BB169</x:f>
      </x:c>
      <x:c r="Q5" s="274">
        <x:f>IF((P5-O5)*1440&lt;0,(P5-O5)*1440+1440,(P5-O5)*1440)</x:f>
      </x:c>
      <x:c r="R5" s="274">
        <x:f>'ME-3'!BC169</x:f>
      </x:c>
      <x:c r="S5" s="274">
        <x:f>'ME-3'!BD169</x:f>
      </x:c>
      <x:c r="T5" s="274">
        <x:f>'ME-3'!BE169</x:f>
      </x:c>
      <x:c r="U5" s="274">
        <x:f>'ME-3'!BF169</x:f>
      </x:c>
      <x:c r="V5" s="274">
        <x:f>IF((U5-T5)*1440&lt;0,(U5-T5)*1440+1440,(U5-T5)*1440)</x:f>
      </x:c>
      <x:c r="W5" s="274">
        <x:f>'ME-3'!BG169</x:f>
      </x:c>
      <x:c r="X5" s="274">
        <x:f>'ME-3'!BH169</x:f>
      </x:c>
      <x:c r="Y5" s="274">
        <x:f>'ME-3'!BI169</x:f>
      </x:c>
      <x:c r="Z5" s="274">
        <x:f>'ME-3'!BJ169</x:f>
      </x:c>
      <x:c r="AA5" s="274">
        <x:f>IF((Z5-Y5)*1440&lt;0,(Z5-Y5)*1440+1440,(Z5-Y5)*1440)</x:f>
      </x:c>
      <x:c r="AB5" s="451">
        <x:f>IF(C5="BT",G5,0)</x:f>
      </x:c>
      <x:c r="AC5" s="451">
        <x:f>IF(H5="BT",L5,0)</x:f>
      </x:c>
      <x:c r="AD5" s="451">
        <x:f>IF(M5="BT",Q5,0)</x:f>
      </x:c>
      <x:c r="AE5" s="451">
        <x:f>IF(R5="BT",V5,0)</x:f>
      </x:c>
      <x:c r="AF5" s="451">
        <x:f>IF(W5="BT",AA5,0)</x:f>
      </x:c>
      <x:c r="AG5" s="274">
        <x:f>SUM(AB5:AF5)</x:f>
      </x:c>
      <x:c r="AH5" s="274">
        <x:f>(G5+L5+Q5+V5+AA5)-AG5</x:f>
      </x:c>
    </x:row>
    <x:row r="6" spans="1:34">
      <x:c r="C6" s="274">
        <x:f>'ME-3'!AQ170</x:f>
      </x:c>
      <x:c r="D6" s="274">
        <x:f>'ME-3'!AR170</x:f>
      </x:c>
      <x:c r="E6" s="274">
        <x:f>'ME-3'!AS170</x:f>
      </x:c>
      <x:c r="F6" s="274">
        <x:f>'ME-3'!AT170</x:f>
      </x:c>
      <x:c r="G6" s="274">
        <x:f>IF((F6-E6)*1440&lt;0,(F6-E6)*1440+1440,(F6-E6)*1440)</x:f>
      </x:c>
      <x:c r="H6" s="274">
        <x:f>'ME-3'!AU170</x:f>
      </x:c>
      <x:c r="I6" s="274">
        <x:f>'ME-3'!AV170</x:f>
      </x:c>
      <x:c r="J6" s="274">
        <x:f>'ME-3'!AW170</x:f>
      </x:c>
      <x:c r="K6" s="274">
        <x:f>'ME-3'!AX170</x:f>
      </x:c>
      <x:c r="L6" s="274">
        <x:f>IF((K6-J6)*1440&lt;0,(K6-J6)*1440+1440,(K6-J6)*1440)</x:f>
      </x:c>
      <x:c r="M6" s="274">
        <x:f>'ME-3'!AY170</x:f>
      </x:c>
      <x:c r="N6" s="274">
        <x:f>'ME-3'!AZ170</x:f>
      </x:c>
      <x:c r="O6" s="274">
        <x:f>'ME-3'!BA170</x:f>
      </x:c>
      <x:c r="P6" s="274">
        <x:f>'ME-3'!BB170</x:f>
      </x:c>
      <x:c r="Q6" s="274">
        <x:f>IF((P6-O6)*1440&lt;0,(P6-O6)*1440+1440,(P6-O6)*1440)</x:f>
      </x:c>
      <x:c r="R6" s="274">
        <x:f>'ME-3'!BC170</x:f>
      </x:c>
      <x:c r="S6" s="274">
        <x:f>'ME-3'!BD170</x:f>
      </x:c>
      <x:c r="T6" s="274">
        <x:f>'ME-3'!BE170</x:f>
      </x:c>
      <x:c r="U6" s="274">
        <x:f>'ME-3'!BF170</x:f>
      </x:c>
      <x:c r="V6" s="274">
        <x:f>IF((U6-T6)*1440&lt;0,(U6-T6)*1440+1440,(U6-T6)*1440)</x:f>
      </x:c>
      <x:c r="W6" s="274">
        <x:f>'ME-3'!BG170</x:f>
      </x:c>
      <x:c r="X6" s="274">
        <x:f>'ME-3'!BH170</x:f>
      </x:c>
      <x:c r="Y6" s="274">
        <x:f>'ME-3'!BI170</x:f>
      </x:c>
      <x:c r="Z6" s="274">
        <x:f>'ME-3'!BJ170</x:f>
      </x:c>
      <x:c r="AA6" s="274">
        <x:f>IF((Z6-Y6)*1440&lt;0,(Z6-Y6)*1440+1440,(Z6-Y6)*1440)</x:f>
      </x:c>
      <x:c r="AB6" s="451">
        <x:f>IF(C6="BT",G6,0)</x:f>
      </x:c>
      <x:c r="AC6" s="451">
        <x:f>IF(H6="BT",L6,0)</x:f>
      </x:c>
      <x:c r="AD6" s="451">
        <x:f>IF(M6="BT",Q6,0)</x:f>
      </x:c>
      <x:c r="AE6" s="451">
        <x:f>IF(R6="BT",V6,0)</x:f>
      </x:c>
      <x:c r="AF6" s="451">
        <x:f>IF(W6="BT",AA6,0)</x:f>
      </x:c>
      <x:c r="AG6" s="274">
        <x:f>SUM(AB6:AF6)</x:f>
      </x:c>
      <x:c r="AH6" s="274">
        <x:f>(G6+L6+Q6+V6+AA6)-AG6</x:f>
      </x:c>
    </x:row>
    <x:row r="7" spans="1:34">
      <x:c r="C7" s="274">
        <x:f>'ME-3'!AQ171</x:f>
      </x:c>
      <x:c r="D7" s="274">
        <x:f>'ME-3'!AR171</x:f>
      </x:c>
      <x:c r="E7" s="274">
        <x:f>'ME-3'!AS171</x:f>
      </x:c>
      <x:c r="F7" s="274">
        <x:f>'ME-3'!AT171</x:f>
      </x:c>
      <x:c r="G7" s="274">
        <x:f>IF((F7-E7)*1440&lt;0,(F7-E7)*1440+1440,(F7-E7)*1440)</x:f>
      </x:c>
      <x:c r="H7" s="274">
        <x:f>'ME-3'!AU171</x:f>
      </x:c>
      <x:c r="I7" s="274">
        <x:f>'ME-3'!AV171</x:f>
      </x:c>
      <x:c r="J7" s="274">
        <x:f>'ME-3'!AW171</x:f>
      </x:c>
      <x:c r="K7" s="274">
        <x:f>'ME-3'!AX171</x:f>
      </x:c>
      <x:c r="L7" s="274">
        <x:f>IF((K7-J7)*1440&lt;0,(K7-J7)*1440+1440,(K7-J7)*1440)</x:f>
      </x:c>
      <x:c r="M7" s="274">
        <x:f>'ME-3'!AY171</x:f>
      </x:c>
      <x:c r="N7" s="274">
        <x:f>'ME-3'!AZ171</x:f>
      </x:c>
      <x:c r="O7" s="274">
        <x:f>'ME-3'!BA171</x:f>
      </x:c>
      <x:c r="P7" s="274">
        <x:f>'ME-3'!BB171</x:f>
      </x:c>
      <x:c r="Q7" s="274">
        <x:f>IF((P7-O7)*1440&lt;0,(P7-O7)*1440+1440,(P7-O7)*1440)</x:f>
      </x:c>
      <x:c r="R7" s="274">
        <x:f>'ME-3'!BC171</x:f>
      </x:c>
      <x:c r="S7" s="274">
        <x:f>'ME-3'!BD171</x:f>
      </x:c>
      <x:c r="T7" s="274">
        <x:f>'ME-3'!BE171</x:f>
      </x:c>
      <x:c r="U7" s="274">
        <x:f>'ME-3'!BF171</x:f>
      </x:c>
      <x:c r="V7" s="274">
        <x:f>IF((U7-T7)*1440&lt;0,(U7-T7)*1440+1440,(U7-T7)*1440)</x:f>
      </x:c>
      <x:c r="W7" s="274">
        <x:f>'ME-3'!BG171</x:f>
      </x:c>
      <x:c r="X7" s="274">
        <x:f>'ME-3'!BH171</x:f>
      </x:c>
      <x:c r="Y7" s="274">
        <x:f>'ME-3'!BI171</x:f>
      </x:c>
      <x:c r="Z7" s="274">
        <x:f>'ME-3'!BJ171</x:f>
      </x:c>
      <x:c r="AA7" s="274">
        <x:f>IF((Z7-Y7)*1440&lt;0,(Z7-Y7)*1440+1440,(Z7-Y7)*1440)</x:f>
      </x:c>
      <x:c r="AB7" s="451">
        <x:f>IF(C7="BT",G7,0)</x:f>
      </x:c>
      <x:c r="AC7" s="451">
        <x:f>IF(H7="BT",L7,0)</x:f>
      </x:c>
      <x:c r="AD7" s="451">
        <x:f>IF(M7="BT",Q7,0)</x:f>
      </x:c>
      <x:c r="AE7" s="451">
        <x:f>IF(R7="BT",V7,0)</x:f>
      </x:c>
      <x:c r="AF7" s="451">
        <x:f>IF(W7="BT",AA7,0)</x:f>
      </x:c>
      <x:c r="AG7" s="274">
        <x:f>SUM(AB7:AF7)</x:f>
      </x:c>
      <x:c r="AH7" s="274">
        <x:f>(G7+L7+Q7+V7+AA7)-AG7</x:f>
      </x:c>
    </x:row>
    <x:row r="8" spans="1:34">
      <x:c r="C8" s="274">
        <x:f>'ME-3'!AQ172</x:f>
      </x:c>
      <x:c r="D8" s="274">
        <x:f>'ME-3'!AR172</x:f>
      </x:c>
      <x:c r="E8" s="274">
        <x:f>'ME-3'!AS172</x:f>
      </x:c>
      <x:c r="F8" s="274">
        <x:f>'ME-3'!AT172</x:f>
      </x:c>
      <x:c r="G8" s="274">
        <x:f>IF((F8-E8)*1440&lt;0,(F8-E8)*1440+1440,(F8-E8)*1440)</x:f>
      </x:c>
      <x:c r="H8" s="274">
        <x:f>'ME-3'!AU172</x:f>
      </x:c>
      <x:c r="I8" s="274">
        <x:f>'ME-3'!AV172</x:f>
      </x:c>
      <x:c r="J8" s="274">
        <x:f>'ME-3'!AW172</x:f>
      </x:c>
      <x:c r="K8" s="274">
        <x:f>'ME-3'!AX172</x:f>
      </x:c>
      <x:c r="L8" s="274">
        <x:f>IF((K8-J8)*1440&lt;0,(K8-J8)*1440+1440,(K8-J8)*1440)</x:f>
      </x:c>
      <x:c r="M8" s="274">
        <x:f>'ME-3'!AY172</x:f>
      </x:c>
      <x:c r="N8" s="274">
        <x:f>'ME-3'!AZ172</x:f>
      </x:c>
      <x:c r="O8" s="274">
        <x:f>'ME-3'!BA172</x:f>
      </x:c>
      <x:c r="P8" s="274">
        <x:f>'ME-3'!BB172</x:f>
      </x:c>
      <x:c r="Q8" s="274">
        <x:f>IF((P8-O8)*1440&lt;0,(P8-O8)*1440+1440,(P8-O8)*1440)</x:f>
      </x:c>
      <x:c r="R8" s="274">
        <x:f>'ME-3'!BC172</x:f>
      </x:c>
      <x:c r="S8" s="274">
        <x:f>'ME-3'!BD172</x:f>
      </x:c>
      <x:c r="T8" s="274">
        <x:f>'ME-3'!BE172</x:f>
      </x:c>
      <x:c r="U8" s="274">
        <x:f>'ME-3'!BF172</x:f>
      </x:c>
      <x:c r="V8" s="274">
        <x:f>IF((U8-T8)*1440&lt;0,(U8-T8)*1440+1440,(U8-T8)*1440)</x:f>
      </x:c>
      <x:c r="W8" s="274">
        <x:f>'ME-3'!BG172</x:f>
      </x:c>
      <x:c r="X8" s="274">
        <x:f>'ME-3'!BH172</x:f>
      </x:c>
      <x:c r="Y8" s="274">
        <x:f>'ME-3'!BI172</x:f>
      </x:c>
      <x:c r="Z8" s="274">
        <x:f>'ME-3'!BJ172</x:f>
      </x:c>
      <x:c r="AA8" s="274">
        <x:f>IF((Z8-Y8)*1440&lt;0,(Z8-Y8)*1440+1440,(Z8-Y8)*1440)</x:f>
      </x:c>
      <x:c r="AB8" s="451">
        <x:f>IF(C8="BT",G8,0)</x:f>
      </x:c>
      <x:c r="AC8" s="451">
        <x:f>IF(H8="BT",L8,0)</x:f>
      </x:c>
      <x:c r="AD8" s="451">
        <x:f>IF(M8="BT",Q8,0)</x:f>
      </x:c>
      <x:c r="AE8" s="451">
        <x:f>IF(R8="BT",V8,0)</x:f>
      </x:c>
      <x:c r="AF8" s="451">
        <x:f>IF(W8="BT",AA8,0)</x:f>
      </x:c>
      <x:c r="AG8" s="274">
        <x:f>SUM(AB8:AF8)</x:f>
      </x:c>
      <x:c r="AH8" s="274">
        <x:f>(G8+L8+Q8+V8+AA8)-AG8</x:f>
      </x:c>
    </x:row>
    <x:row r="9" spans="1:34">
      <x:c r="C9" s="274">
        <x:f>'ME-3'!AQ173</x:f>
      </x:c>
      <x:c r="D9" s="274">
        <x:f>'ME-3'!AR173</x:f>
      </x:c>
      <x:c r="E9" s="274">
        <x:f>'ME-3'!AS173</x:f>
      </x:c>
      <x:c r="F9" s="274">
        <x:f>'ME-3'!AT173</x:f>
      </x:c>
      <x:c r="G9" s="274">
        <x:f>IF((F9-E9)*1440&lt;0,(F9-E9)*1440+1440,(F9-E9)*1440)</x:f>
      </x:c>
      <x:c r="H9" s="274">
        <x:f>'ME-3'!AU173</x:f>
      </x:c>
      <x:c r="I9" s="274">
        <x:f>'ME-3'!AV173</x:f>
      </x:c>
      <x:c r="J9" s="274">
        <x:f>'ME-3'!AW173</x:f>
      </x:c>
      <x:c r="K9" s="274">
        <x:f>'ME-3'!AX173</x:f>
      </x:c>
      <x:c r="L9" s="274">
        <x:f>IF((K9-J9)*1440&lt;0,(K9-J9)*1440+1440,(K9-J9)*1440)</x:f>
      </x:c>
      <x:c r="M9" s="274">
        <x:f>'ME-3'!AY173</x:f>
      </x:c>
      <x:c r="N9" s="274">
        <x:f>'ME-3'!AZ173</x:f>
      </x:c>
      <x:c r="O9" s="274">
        <x:f>'ME-3'!BA173</x:f>
      </x:c>
      <x:c r="P9" s="274">
        <x:f>'ME-3'!BB173</x:f>
      </x:c>
      <x:c r="Q9" s="274">
        <x:f>IF((P9-O9)*1440&lt;0,(P9-O9)*1440+1440,(P9-O9)*1440)</x:f>
      </x:c>
      <x:c r="R9" s="274">
        <x:f>'ME-3'!BC173</x:f>
      </x:c>
      <x:c r="S9" s="274">
        <x:f>'ME-3'!BD173</x:f>
      </x:c>
      <x:c r="T9" s="274">
        <x:f>'ME-3'!BE173</x:f>
      </x:c>
      <x:c r="U9" s="274">
        <x:f>'ME-3'!BF173</x:f>
      </x:c>
      <x:c r="V9" s="274">
        <x:f>IF((U9-T9)*1440&lt;0,(U9-T9)*1440+1440,(U9-T9)*1440)</x:f>
      </x:c>
      <x:c r="W9" s="274">
        <x:f>'ME-3'!BG173</x:f>
      </x:c>
      <x:c r="X9" s="274">
        <x:f>'ME-3'!BH173</x:f>
      </x:c>
      <x:c r="Y9" s="274">
        <x:f>'ME-3'!BI173</x:f>
      </x:c>
      <x:c r="Z9" s="274">
        <x:f>'ME-3'!BJ173</x:f>
      </x:c>
      <x:c r="AA9" s="274">
        <x:f>IF((Z9-Y9)*1440&lt;0,(Z9-Y9)*1440+1440,(Z9-Y9)*1440)</x:f>
      </x:c>
      <x:c r="AB9" s="451">
        <x:f>IF(C9="BT",G9,0)</x:f>
      </x:c>
      <x:c r="AC9" s="451">
        <x:f>IF(H9="BT",L9,0)</x:f>
      </x:c>
      <x:c r="AD9" s="451">
        <x:f>IF(M9="BT",Q9,0)</x:f>
      </x:c>
      <x:c r="AE9" s="451">
        <x:f>IF(R9="BT",V9,0)</x:f>
      </x:c>
      <x:c r="AF9" s="451">
        <x:f>IF(W9="BT",AA9,0)</x:f>
      </x:c>
      <x:c r="AG9" s="274">
        <x:f>SUM(AB9:AF9)</x:f>
      </x:c>
      <x:c r="AH9" s="274">
        <x:f>(G9+L9+Q9+V9+AA9)-AG9</x:f>
      </x:c>
    </x:row>
    <x:row r="10" spans="1:34">
      <x:c r="C10" s="274">
        <x:f>'ME-3'!AQ174</x:f>
      </x:c>
      <x:c r="D10" s="274">
        <x:f>'ME-3'!AR174</x:f>
      </x:c>
      <x:c r="E10" s="274">
        <x:f>'ME-3'!AS174</x:f>
      </x:c>
      <x:c r="F10" s="274">
        <x:f>'ME-3'!AT174</x:f>
      </x:c>
      <x:c r="G10" s="274">
        <x:f>IF((F10-E10)*1440&lt;0,(F10-E10)*1440+1440,(F10-E10)*1440)</x:f>
      </x:c>
      <x:c r="H10" s="274">
        <x:f>'ME-3'!AU174</x:f>
      </x:c>
      <x:c r="I10" s="274">
        <x:f>'ME-3'!AV174</x:f>
      </x:c>
      <x:c r="J10" s="274">
        <x:f>'ME-3'!AW174</x:f>
      </x:c>
      <x:c r="K10" s="274">
        <x:f>'ME-3'!AX174</x:f>
      </x:c>
      <x:c r="L10" s="274">
        <x:f>IF((K10-J10)*1440&lt;0,(K10-J10)*1440+1440,(K10-J10)*1440)</x:f>
      </x:c>
      <x:c r="M10" s="274">
        <x:f>'ME-3'!AY174</x:f>
      </x:c>
      <x:c r="N10" s="274">
        <x:f>'ME-3'!AZ174</x:f>
      </x:c>
      <x:c r="O10" s="274">
        <x:f>'ME-3'!BA174</x:f>
      </x:c>
      <x:c r="P10" s="274">
        <x:f>'ME-3'!BB174</x:f>
      </x:c>
      <x:c r="Q10" s="274">
        <x:f>IF((P10-O10)*1440&lt;0,(P10-O10)*1440+1440,(P10-O10)*1440)</x:f>
      </x:c>
      <x:c r="R10" s="274">
        <x:f>'ME-3'!BC174</x:f>
      </x:c>
      <x:c r="S10" s="274">
        <x:f>'ME-3'!BD174</x:f>
      </x:c>
      <x:c r="T10" s="274">
        <x:f>'ME-3'!BE174</x:f>
      </x:c>
      <x:c r="U10" s="274">
        <x:f>'ME-3'!BF174</x:f>
      </x:c>
      <x:c r="V10" s="274">
        <x:f>IF((U10-T10)*1440&lt;0,(U10-T10)*1440+1440,(U10-T10)*1440)</x:f>
      </x:c>
      <x:c r="W10" s="274">
        <x:f>'ME-3'!BG174</x:f>
      </x:c>
      <x:c r="X10" s="274">
        <x:f>'ME-3'!BH174</x:f>
      </x:c>
      <x:c r="Y10" s="274">
        <x:f>'ME-3'!BI174</x:f>
      </x:c>
      <x:c r="Z10" s="274">
        <x:f>'ME-3'!BJ174</x:f>
      </x:c>
      <x:c r="AA10" s="274">
        <x:f>IF((Z10-Y10)*1440&lt;0,(Z10-Y10)*1440+1440,(Z10-Y10)*1440)</x:f>
      </x:c>
      <x:c r="AB10" s="451">
        <x:f>IF(C10="BT",G10,0)</x:f>
      </x:c>
      <x:c r="AC10" s="451">
        <x:f>IF(H10="BT",L10,0)</x:f>
      </x:c>
      <x:c r="AD10" s="451">
        <x:f>IF(M10="BT",Q10,0)</x:f>
      </x:c>
      <x:c r="AE10" s="451">
        <x:f>IF(R10="BT",V10,0)</x:f>
      </x:c>
      <x:c r="AF10" s="451">
        <x:f>IF(W10="BT",AA10,0)</x:f>
      </x:c>
      <x:c r="AG10" s="274">
        <x:f>SUM(AB10:AF10)</x:f>
      </x:c>
      <x:c r="AH10" s="274">
        <x:f>(G10+L10+Q10+V10+AA10)-AG10</x:f>
      </x:c>
    </x:row>
    <x:row r="11" spans="1:34">
      <x:c r="C11" s="274">
        <x:f>'ME-3'!AQ175</x:f>
      </x:c>
      <x:c r="D11" s="274">
        <x:f>'ME-3'!AR175</x:f>
      </x:c>
      <x:c r="E11" s="274">
        <x:f>'ME-3'!AS175</x:f>
      </x:c>
      <x:c r="F11" s="274">
        <x:f>'ME-3'!AT175</x:f>
      </x:c>
      <x:c r="G11" s="274">
        <x:f>IF((F11-E11)*1440&lt;0,(F11-E11)*1440+1440,(F11-E11)*1440)</x:f>
      </x:c>
      <x:c r="H11" s="274">
        <x:f>'ME-3'!AU175</x:f>
      </x:c>
      <x:c r="I11" s="274">
        <x:f>'ME-3'!AV175</x:f>
      </x:c>
      <x:c r="J11" s="274">
        <x:f>'ME-3'!AW175</x:f>
      </x:c>
      <x:c r="K11" s="274">
        <x:f>'ME-3'!AX175</x:f>
      </x:c>
      <x:c r="L11" s="274">
        <x:f>IF((K11-J11)*1440&lt;0,(K11-J11)*1440+1440,(K11-J11)*1440)</x:f>
      </x:c>
      <x:c r="M11" s="274">
        <x:f>'ME-3'!AY175</x:f>
      </x:c>
      <x:c r="N11" s="274">
        <x:f>'ME-3'!AZ175</x:f>
      </x:c>
      <x:c r="O11" s="274">
        <x:f>'ME-3'!BA175</x:f>
      </x:c>
      <x:c r="P11" s="274">
        <x:f>'ME-3'!BB175</x:f>
      </x:c>
      <x:c r="Q11" s="274">
        <x:f>IF((P11-O11)*1440&lt;0,(P11-O11)*1440+1440,(P11-O11)*1440)</x:f>
      </x:c>
      <x:c r="R11" s="274">
        <x:f>'ME-3'!BC175</x:f>
      </x:c>
      <x:c r="S11" s="274">
        <x:f>'ME-3'!BD175</x:f>
      </x:c>
      <x:c r="T11" s="274">
        <x:f>'ME-3'!BE175</x:f>
      </x:c>
      <x:c r="U11" s="274">
        <x:f>'ME-3'!BF175</x:f>
      </x:c>
      <x:c r="V11" s="274">
        <x:f>IF((U11-T11)*1440&lt;0,(U11-T11)*1440+1440,(U11-T11)*1440)</x:f>
      </x:c>
      <x:c r="W11" s="274">
        <x:f>'ME-3'!BG175</x:f>
      </x:c>
      <x:c r="X11" s="274">
        <x:f>'ME-3'!BH175</x:f>
      </x:c>
      <x:c r="Y11" s="274">
        <x:f>'ME-3'!BI175</x:f>
      </x:c>
      <x:c r="Z11" s="274">
        <x:f>'ME-3'!BJ175</x:f>
      </x:c>
      <x:c r="AA11" s="274">
        <x:f>IF((Z11-Y11)*1440&lt;0,(Z11-Y11)*1440+1440,(Z11-Y11)*1440)</x:f>
      </x:c>
      <x:c r="AB11" s="451">
        <x:f>IF(C11="BT",G11,0)</x:f>
      </x:c>
      <x:c r="AC11" s="451">
        <x:f>IF(H11="BT",L11,0)</x:f>
      </x:c>
      <x:c r="AD11" s="451">
        <x:f>IF(M11="BT",Q11,0)</x:f>
      </x:c>
      <x:c r="AE11" s="451">
        <x:f>IF(R11="BT",V11,0)</x:f>
      </x:c>
      <x:c r="AF11" s="451">
        <x:f>IF(W11="BT",AA11,0)</x:f>
      </x:c>
      <x:c r="AG11" s="274">
        <x:f>SUM(AB11:AF11)</x:f>
      </x:c>
      <x:c r="AH11" s="274">
        <x:f>(G11+L11+Q11+V11+AA11)-AG11</x:f>
      </x:c>
    </x:row>
    <x:row r="12" spans="1:34">
      <x:c r="C12" s="274">
        <x:f>'ME-3'!AQ176</x:f>
      </x:c>
      <x:c r="D12" s="274">
        <x:f>'ME-3'!AR176</x:f>
      </x:c>
      <x:c r="E12" s="274">
        <x:f>'ME-3'!AS176</x:f>
      </x:c>
      <x:c r="F12" s="274">
        <x:f>'ME-3'!AT176</x:f>
      </x:c>
      <x:c r="G12" s="274">
        <x:f>IF((F12-E12)*1440&lt;0,(F12-E12)*1440+1440,(F12-E12)*1440)</x:f>
      </x:c>
      <x:c r="H12" s="274">
        <x:f>'ME-3'!AU176</x:f>
      </x:c>
      <x:c r="I12" s="274">
        <x:f>'ME-3'!AV176</x:f>
      </x:c>
      <x:c r="J12" s="274">
        <x:f>'ME-3'!AW176</x:f>
      </x:c>
      <x:c r="K12" s="274">
        <x:f>'ME-3'!AX176</x:f>
      </x:c>
      <x:c r="L12" s="274">
        <x:f>IF((K12-J12)*1440&lt;0,(K12-J12)*1440+1440,(K12-J12)*1440)</x:f>
      </x:c>
      <x:c r="M12" s="274">
        <x:f>'ME-3'!AY176</x:f>
      </x:c>
      <x:c r="N12" s="274">
        <x:f>'ME-3'!AZ176</x:f>
      </x:c>
      <x:c r="O12" s="274">
        <x:f>'ME-3'!BA176</x:f>
      </x:c>
      <x:c r="P12" s="274">
        <x:f>'ME-3'!BB176</x:f>
      </x:c>
      <x:c r="Q12" s="274">
        <x:f>IF((P12-O12)*1440&lt;0,(P12-O12)*1440+1440,(P12-O12)*1440)</x:f>
      </x:c>
      <x:c r="R12" s="274">
        <x:f>'ME-3'!BC176</x:f>
      </x:c>
      <x:c r="S12" s="274">
        <x:f>'ME-3'!BD176</x:f>
      </x:c>
      <x:c r="T12" s="274">
        <x:f>'ME-3'!BE176</x:f>
      </x:c>
      <x:c r="U12" s="274">
        <x:f>'ME-3'!BF176</x:f>
      </x:c>
      <x:c r="V12" s="274">
        <x:f>IF((U12-T12)*1440&lt;0,(U12-T12)*1440+1440,(U12-T12)*1440)</x:f>
      </x:c>
      <x:c r="W12" s="274">
        <x:f>'ME-3'!BG176</x:f>
      </x:c>
      <x:c r="X12" s="274">
        <x:f>'ME-3'!BH176</x:f>
      </x:c>
      <x:c r="Y12" s="274">
        <x:f>'ME-3'!BI176</x:f>
      </x:c>
      <x:c r="Z12" s="274">
        <x:f>'ME-3'!BJ176</x:f>
      </x:c>
      <x:c r="AA12" s="274">
        <x:f>IF((Z12-Y12)*1440&lt;0,(Z12-Y12)*1440+1440,(Z12-Y12)*1440)</x:f>
      </x:c>
      <x:c r="AB12" s="451">
        <x:f>IF(C12="BT",G12,0)</x:f>
      </x:c>
      <x:c r="AC12" s="451">
        <x:f>IF(H12="BT",L12,0)</x:f>
      </x:c>
      <x:c r="AD12" s="451">
        <x:f>IF(M12="BT",Q12,0)</x:f>
      </x:c>
      <x:c r="AE12" s="451">
        <x:f>IF(R12="BT",V12,0)</x:f>
      </x:c>
      <x:c r="AF12" s="451">
        <x:f>IF(W12="BT",AA12,0)</x:f>
      </x:c>
      <x:c r="AG12" s="274">
        <x:f>SUM(AB12:AF12)</x:f>
      </x:c>
      <x:c r="AH12" s="274">
        <x:f>(G12+L12+Q12+V12+AA12)-AG12</x:f>
      </x:c>
    </x:row>
    <x:row r="13" spans="1:34">
      <x:c r="C13" s="274">
        <x:f>'ME-3'!AQ177</x:f>
      </x:c>
      <x:c r="D13" s="274">
        <x:f>'ME-3'!AR177</x:f>
      </x:c>
      <x:c r="E13" s="274">
        <x:f>'ME-3'!AS177</x:f>
      </x:c>
      <x:c r="F13" s="274">
        <x:f>'ME-3'!AT177</x:f>
      </x:c>
      <x:c r="G13" s="274">
        <x:f>IF((F13-E13)*1440&lt;0,(F13-E13)*1440+1440,(F13-E13)*1440)</x:f>
      </x:c>
      <x:c r="H13" s="274">
        <x:f>'ME-3'!AU177</x:f>
      </x:c>
      <x:c r="I13" s="274">
        <x:f>'ME-3'!AV177</x:f>
      </x:c>
      <x:c r="J13" s="274">
        <x:f>'ME-3'!AW177</x:f>
      </x:c>
      <x:c r="K13" s="274">
        <x:f>'ME-3'!AX177</x:f>
      </x:c>
      <x:c r="L13" s="274">
        <x:f>IF((K13-J13)*1440&lt;0,(K13-J13)*1440+1440,(K13-J13)*1440)</x:f>
      </x:c>
      <x:c r="M13" s="274">
        <x:f>'ME-3'!AY177</x:f>
      </x:c>
      <x:c r="N13" s="274">
        <x:f>'ME-3'!AZ177</x:f>
      </x:c>
      <x:c r="O13" s="274">
        <x:f>'ME-3'!BA177</x:f>
      </x:c>
      <x:c r="P13" s="274">
        <x:f>'ME-3'!BB177</x:f>
      </x:c>
      <x:c r="Q13" s="274">
        <x:f>IF((P13-O13)*1440&lt;0,(P13-O13)*1440+1440,(P13-O13)*1440)</x:f>
      </x:c>
      <x:c r="R13" s="274">
        <x:f>'ME-3'!BC177</x:f>
      </x:c>
      <x:c r="S13" s="274">
        <x:f>'ME-3'!BD177</x:f>
      </x:c>
      <x:c r="T13" s="274">
        <x:f>'ME-3'!BE177</x:f>
      </x:c>
      <x:c r="U13" s="274">
        <x:f>'ME-3'!BF177</x:f>
      </x:c>
      <x:c r="V13" s="274">
        <x:f>IF((U13-T13)*1440&lt;0,(U13-T13)*1440+1440,(U13-T13)*1440)</x:f>
      </x:c>
      <x:c r="W13" s="274">
        <x:f>'ME-3'!BG177</x:f>
      </x:c>
      <x:c r="X13" s="274">
        <x:f>'ME-3'!BH177</x:f>
      </x:c>
      <x:c r="Y13" s="274">
        <x:f>'ME-3'!BI177</x:f>
      </x:c>
      <x:c r="Z13" s="274">
        <x:f>'ME-3'!BJ177</x:f>
      </x:c>
      <x:c r="AA13" s="274">
        <x:f>IF((Z13-Y13)*1440&lt;0,(Z13-Y13)*1440+1440,(Z13-Y13)*1440)</x:f>
      </x:c>
      <x:c r="AB13" s="451">
        <x:f>IF(C13="BT",G13,0)</x:f>
      </x:c>
      <x:c r="AC13" s="451">
        <x:f>IF(H13="BT",L13,0)</x:f>
      </x:c>
      <x:c r="AD13" s="451">
        <x:f>IF(M13="BT",Q13,0)</x:f>
      </x:c>
      <x:c r="AE13" s="451">
        <x:f>IF(R13="BT",V13,0)</x:f>
      </x:c>
      <x:c r="AF13" s="451">
        <x:f>IF(W13="BT",AA13,0)</x:f>
      </x:c>
      <x:c r="AG13" s="274">
        <x:f>SUM(AB13:AF13)</x:f>
      </x:c>
      <x:c r="AH13" s="274">
        <x:f>(G13+L13+Q13+V13+AA13)-AG13</x:f>
      </x:c>
    </x:row>
    <x:row r="14" spans="1:34">
      <x:c r="C14" s="274">
        <x:f>'ME-3'!AQ178</x:f>
      </x:c>
      <x:c r="D14" s="274">
        <x:f>'ME-3'!AR178</x:f>
      </x:c>
      <x:c r="E14" s="274">
        <x:f>'ME-3'!AS178</x:f>
      </x:c>
      <x:c r="F14" s="274">
        <x:f>'ME-3'!AT178</x:f>
      </x:c>
      <x:c r="G14" s="274">
        <x:f>IF((F14-E14)*1440&lt;0,(F14-E14)*1440+1440,(F14-E14)*1440)</x:f>
      </x:c>
      <x:c r="H14" s="274">
        <x:f>'ME-3'!AU178</x:f>
      </x:c>
      <x:c r="I14" s="274">
        <x:f>'ME-3'!AV178</x:f>
      </x:c>
      <x:c r="J14" s="274">
        <x:f>'ME-3'!AW178</x:f>
      </x:c>
      <x:c r="K14" s="274">
        <x:f>'ME-3'!AX178</x:f>
      </x:c>
      <x:c r="L14" s="274">
        <x:f>IF((K14-J14)*1440&lt;0,(K14-J14)*1440+1440,(K14-J14)*1440)</x:f>
      </x:c>
      <x:c r="M14" s="274">
        <x:f>'ME-3'!AY178</x:f>
      </x:c>
      <x:c r="N14" s="274">
        <x:f>'ME-3'!AZ178</x:f>
      </x:c>
      <x:c r="O14" s="274">
        <x:f>'ME-3'!BA178</x:f>
      </x:c>
      <x:c r="P14" s="274">
        <x:f>'ME-3'!BB178</x:f>
      </x:c>
      <x:c r="Q14" s="274">
        <x:f>IF((P14-O14)*1440&lt;0,(P14-O14)*1440+1440,(P14-O14)*1440)</x:f>
      </x:c>
      <x:c r="R14" s="274">
        <x:f>'ME-3'!BC178</x:f>
      </x:c>
      <x:c r="S14" s="274">
        <x:f>'ME-3'!BD178</x:f>
      </x:c>
      <x:c r="T14" s="274">
        <x:f>'ME-3'!BE178</x:f>
      </x:c>
      <x:c r="U14" s="274">
        <x:f>'ME-3'!BF178</x:f>
      </x:c>
      <x:c r="V14" s="274">
        <x:f>IF((U14-T14)*1440&lt;0,(U14-T14)*1440+1440,(U14-T14)*1440)</x:f>
      </x:c>
      <x:c r="W14" s="274">
        <x:f>'ME-3'!BG178</x:f>
      </x:c>
      <x:c r="X14" s="274">
        <x:f>'ME-3'!BH178</x:f>
      </x:c>
      <x:c r="Y14" s="274">
        <x:f>'ME-3'!BI178</x:f>
      </x:c>
      <x:c r="Z14" s="274">
        <x:f>'ME-3'!BJ178</x:f>
      </x:c>
      <x:c r="AA14" s="274">
        <x:f>IF((Z14-Y14)*1440&lt;0,(Z14-Y14)*1440+1440,(Z14-Y14)*1440)</x:f>
      </x:c>
      <x:c r="AB14" s="451">
        <x:f>IF(C14="BT",G14,0)</x:f>
      </x:c>
      <x:c r="AC14" s="451">
        <x:f>IF(H14="BT",L14,0)</x:f>
      </x:c>
      <x:c r="AD14" s="451">
        <x:f>IF(M14="BT",Q14,0)</x:f>
      </x:c>
      <x:c r="AE14" s="451">
        <x:f>IF(R14="BT",V14,0)</x:f>
      </x:c>
      <x:c r="AF14" s="451">
        <x:f>IF(W14="BT",AA14,0)</x:f>
      </x:c>
      <x:c r="AG14" s="274">
        <x:f>SUM(AB14:AF14)</x:f>
      </x:c>
      <x:c r="AH14" s="274">
        <x:f>(G14+L14+Q14+V14+AA14)-AG14</x:f>
      </x:c>
    </x:row>
    <x:row r="15" spans="1:34">
      <x:c r="C15" s="274">
        <x:f>'ME-3'!AQ179</x:f>
      </x:c>
      <x:c r="D15" s="274">
        <x:f>'ME-3'!AR179</x:f>
      </x:c>
      <x:c r="E15" s="274">
        <x:f>'ME-3'!AS179</x:f>
      </x:c>
      <x:c r="F15" s="274">
        <x:f>'ME-3'!AT179</x:f>
      </x:c>
      <x:c r="G15" s="274">
        <x:f>IF((F15-E15)*1440&lt;0,(F15-E15)*1440+1440,(F15-E15)*1440)</x:f>
      </x:c>
      <x:c r="H15" s="274">
        <x:f>'ME-3'!AU179</x:f>
      </x:c>
      <x:c r="I15" s="274">
        <x:f>'ME-3'!AV179</x:f>
      </x:c>
      <x:c r="J15" s="274">
        <x:f>'ME-3'!AW179</x:f>
      </x:c>
      <x:c r="K15" s="274">
        <x:f>'ME-3'!AX179</x:f>
      </x:c>
      <x:c r="L15" s="274">
        <x:f>IF((K15-J15)*1440&lt;0,(K15-J15)*1440+1440,(K15-J15)*1440)</x:f>
      </x:c>
      <x:c r="M15" s="274">
        <x:f>'ME-3'!AY179</x:f>
      </x:c>
      <x:c r="N15" s="274">
        <x:f>'ME-3'!AZ179</x:f>
      </x:c>
      <x:c r="O15" s="274">
        <x:f>'ME-3'!BA179</x:f>
      </x:c>
      <x:c r="P15" s="274">
        <x:f>'ME-3'!BB179</x:f>
      </x:c>
      <x:c r="Q15" s="274">
        <x:f>IF((P15-O15)*1440&lt;0,(P15-O15)*1440+1440,(P15-O15)*1440)</x:f>
      </x:c>
      <x:c r="R15" s="274">
        <x:f>'ME-3'!BC179</x:f>
      </x:c>
      <x:c r="S15" s="274">
        <x:f>'ME-3'!BD179</x:f>
      </x:c>
      <x:c r="T15" s="274">
        <x:f>'ME-3'!BE179</x:f>
      </x:c>
      <x:c r="U15" s="274">
        <x:f>'ME-3'!BF179</x:f>
      </x:c>
      <x:c r="V15" s="274">
        <x:f>IF((U15-T15)*1440&lt;0,(U15-T15)*1440+1440,(U15-T15)*1440)</x:f>
      </x:c>
      <x:c r="W15" s="274">
        <x:f>'ME-3'!BG179</x:f>
      </x:c>
      <x:c r="X15" s="274">
        <x:f>'ME-3'!BH179</x:f>
      </x:c>
      <x:c r="Y15" s="274">
        <x:f>'ME-3'!BI179</x:f>
      </x:c>
      <x:c r="Z15" s="274">
        <x:f>'ME-3'!BJ179</x:f>
      </x:c>
      <x:c r="AA15" s="274">
        <x:f>IF((Z15-Y15)*1440&lt;0,(Z15-Y15)*1440+1440,(Z15-Y15)*1440)</x:f>
      </x:c>
      <x:c r="AB15" s="451">
        <x:f>IF(C15="BT",G15,0)</x:f>
      </x:c>
      <x:c r="AC15" s="451">
        <x:f>IF(H15="BT",L15,0)</x:f>
      </x:c>
      <x:c r="AD15" s="451">
        <x:f>IF(M15="BT",Q15,0)</x:f>
      </x:c>
      <x:c r="AE15" s="451">
        <x:f>IF(R15="BT",V15,0)</x:f>
      </x:c>
      <x:c r="AF15" s="451">
        <x:f>IF(W15="BT",AA15,0)</x:f>
      </x:c>
      <x:c r="AG15" s="274">
        <x:f>SUM(AB15:AF15)</x:f>
      </x:c>
      <x:c r="AH15" s="274">
        <x:f>(G15+L15+Q15+V15+AA15)-AG15</x:f>
      </x:c>
    </x:row>
    <x:row r="16" spans="1:34">
      <x:c r="C16" s="274">
        <x:f>'ME-3'!AQ180</x:f>
      </x:c>
      <x:c r="D16" s="274">
        <x:f>'ME-3'!AR180</x:f>
      </x:c>
      <x:c r="E16" s="274">
        <x:f>'ME-3'!AS180</x:f>
      </x:c>
      <x:c r="F16" s="274">
        <x:f>'ME-3'!AT180</x:f>
      </x:c>
      <x:c r="G16" s="274">
        <x:f>IF((F16-E16)*1440&lt;0,(F16-E16)*1440+1440,(F16-E16)*1440)</x:f>
      </x:c>
      <x:c r="H16" s="274">
        <x:f>'ME-3'!AU180</x:f>
      </x:c>
      <x:c r="I16" s="274">
        <x:f>'ME-3'!AV180</x:f>
      </x:c>
      <x:c r="J16" s="274">
        <x:f>'ME-3'!AW180</x:f>
      </x:c>
      <x:c r="K16" s="274">
        <x:f>'ME-3'!AX180</x:f>
      </x:c>
      <x:c r="L16" s="274">
        <x:f>IF((K16-J16)*1440&lt;0,(K16-J16)*1440+1440,(K16-J16)*1440)</x:f>
      </x:c>
      <x:c r="M16" s="274">
        <x:f>'ME-3'!AY180</x:f>
      </x:c>
      <x:c r="N16" s="274">
        <x:f>'ME-3'!AZ180</x:f>
      </x:c>
      <x:c r="O16" s="274">
        <x:f>'ME-3'!BA180</x:f>
      </x:c>
      <x:c r="P16" s="274">
        <x:f>'ME-3'!BB180</x:f>
      </x:c>
      <x:c r="Q16" s="274">
        <x:f>IF((P16-O16)*1440&lt;0,(P16-O16)*1440+1440,(P16-O16)*1440)</x:f>
      </x:c>
      <x:c r="R16" s="274">
        <x:f>'ME-3'!BC180</x:f>
      </x:c>
      <x:c r="S16" s="274">
        <x:f>'ME-3'!BD180</x:f>
      </x:c>
      <x:c r="T16" s="274">
        <x:f>'ME-3'!BE180</x:f>
      </x:c>
      <x:c r="U16" s="274">
        <x:f>'ME-3'!BF180</x:f>
      </x:c>
      <x:c r="V16" s="274">
        <x:f>IF((U16-T16)*1440&lt;0,(U16-T16)*1440+1440,(U16-T16)*1440)</x:f>
      </x:c>
      <x:c r="W16" s="274">
        <x:f>'ME-3'!BG180</x:f>
      </x:c>
      <x:c r="X16" s="274">
        <x:f>'ME-3'!BH180</x:f>
      </x:c>
      <x:c r="Y16" s="274">
        <x:f>'ME-3'!BI180</x:f>
      </x:c>
      <x:c r="Z16" s="274">
        <x:f>'ME-3'!BJ180</x:f>
      </x:c>
      <x:c r="AA16" s="274">
        <x:f>IF((Z16-Y16)*1440&lt;0,(Z16-Y16)*1440+1440,(Z16-Y16)*1440)</x:f>
      </x:c>
      <x:c r="AB16" s="451">
        <x:f>IF(C16="BT",G16,0)</x:f>
      </x:c>
      <x:c r="AC16" s="451">
        <x:f>IF(H16="BT",L16,0)</x:f>
      </x:c>
      <x:c r="AD16" s="451">
        <x:f>IF(M16="BT",Q16,0)</x:f>
      </x:c>
      <x:c r="AE16" s="451">
        <x:f>IF(R16="BT",V16,0)</x:f>
      </x:c>
      <x:c r="AF16" s="451">
        <x:f>IF(W16="BT",AA16,0)</x:f>
      </x:c>
      <x:c r="AG16" s="274">
        <x:f>SUM(AB16:AF16)</x:f>
      </x:c>
      <x:c r="AH16" s="274">
        <x:f>(G16+L16+Q16+V16+AA16)-AG16</x:f>
      </x:c>
    </x:row>
    <x:row r="17" spans="1:34">
      <x:c r="C17" s="274">
        <x:f>'ME-3'!AQ181</x:f>
      </x:c>
      <x:c r="D17" s="274">
        <x:f>'ME-3'!AR181</x:f>
      </x:c>
      <x:c r="E17" s="274">
        <x:f>'ME-3'!AS181</x:f>
      </x:c>
      <x:c r="F17" s="274">
        <x:f>'ME-3'!AT181</x:f>
      </x:c>
      <x:c r="G17" s="274">
        <x:f>IF((F17-E17)*1440&lt;0,(F17-E17)*1440+1440,(F17-E17)*1440)</x:f>
      </x:c>
      <x:c r="H17" s="274">
        <x:f>'ME-3'!AU181</x:f>
      </x:c>
      <x:c r="I17" s="274">
        <x:f>'ME-3'!AV181</x:f>
      </x:c>
      <x:c r="J17" s="274">
        <x:f>'ME-3'!AW181</x:f>
      </x:c>
      <x:c r="K17" s="274">
        <x:f>'ME-3'!AX181</x:f>
      </x:c>
      <x:c r="L17" s="274">
        <x:f>IF((K17-J17)*1440&lt;0,(K17-J17)*1440+1440,(K17-J17)*1440)</x:f>
      </x:c>
      <x:c r="M17" s="274">
        <x:f>'ME-3'!AY181</x:f>
      </x:c>
      <x:c r="N17" s="274">
        <x:f>'ME-3'!AZ181</x:f>
      </x:c>
      <x:c r="O17" s="274">
        <x:f>'ME-3'!BA181</x:f>
      </x:c>
      <x:c r="P17" s="274">
        <x:f>'ME-3'!BB181</x:f>
      </x:c>
      <x:c r="Q17" s="274">
        <x:f>IF((P17-O17)*1440&lt;0,(P17-O17)*1440+1440,(P17-O17)*1440)</x:f>
      </x:c>
      <x:c r="R17" s="274">
        <x:f>'ME-3'!BC181</x:f>
      </x:c>
      <x:c r="S17" s="274">
        <x:f>'ME-3'!BD181</x:f>
      </x:c>
      <x:c r="T17" s="274">
        <x:f>'ME-3'!BE181</x:f>
      </x:c>
      <x:c r="U17" s="274">
        <x:f>'ME-3'!BF181</x:f>
      </x:c>
      <x:c r="V17" s="274">
        <x:f>IF((U17-T17)*1440&lt;0,(U17-T17)*1440+1440,(U17-T17)*1440)</x:f>
      </x:c>
      <x:c r="W17" s="274">
        <x:f>'ME-3'!BG181</x:f>
      </x:c>
      <x:c r="X17" s="274">
        <x:f>'ME-3'!BH181</x:f>
      </x:c>
      <x:c r="Y17" s="274">
        <x:f>'ME-3'!BI181</x:f>
      </x:c>
      <x:c r="Z17" s="274">
        <x:f>'ME-3'!BJ181</x:f>
      </x:c>
      <x:c r="AA17" s="274">
        <x:f>IF((Z17-Y17)*1440&lt;0,(Z17-Y17)*1440+1440,(Z17-Y17)*1440)</x:f>
      </x:c>
      <x:c r="AB17" s="451">
        <x:f>IF(C17="BT",G17,0)</x:f>
      </x:c>
      <x:c r="AC17" s="451">
        <x:f>IF(H17="BT",L17,0)</x:f>
      </x:c>
      <x:c r="AD17" s="451">
        <x:f>IF(M17="BT",Q17,0)</x:f>
      </x:c>
      <x:c r="AE17" s="451">
        <x:f>IF(R17="BT",V17,0)</x:f>
      </x:c>
      <x:c r="AF17" s="451">
        <x:f>IF(W17="BT",AA17,0)</x:f>
      </x:c>
      <x:c r="AG17" s="274">
        <x:f>SUM(AB17:AF17)</x:f>
      </x:c>
      <x:c r="AH17" s="274">
        <x:f>(G17+L17+Q17+V17+AA17)-AG17</x:f>
      </x:c>
    </x:row>
    <x:row r="18" spans="1:34">
      <x:c r="C18" s="274">
        <x:f>'ME-3'!AQ182</x:f>
      </x:c>
      <x:c r="D18" s="274">
        <x:f>'ME-3'!AR182</x:f>
      </x:c>
      <x:c r="E18" s="274">
        <x:f>'ME-3'!AS182</x:f>
      </x:c>
      <x:c r="F18" s="274">
        <x:f>'ME-3'!AT182</x:f>
      </x:c>
      <x:c r="G18" s="274">
        <x:f>IF((F18-E18)*1440&lt;0,(F18-E18)*1440+1440,(F18-E18)*1440)</x:f>
      </x:c>
      <x:c r="H18" s="274">
        <x:f>'ME-3'!AU182</x:f>
      </x:c>
      <x:c r="I18" s="274">
        <x:f>'ME-3'!AV182</x:f>
      </x:c>
      <x:c r="J18" s="274">
        <x:f>'ME-3'!AW182</x:f>
      </x:c>
      <x:c r="K18" s="274">
        <x:f>'ME-3'!AX182</x:f>
      </x:c>
      <x:c r="L18" s="274">
        <x:f>IF((K18-J18)*1440&lt;0,(K18-J18)*1440+1440,(K18-J18)*1440)</x:f>
      </x:c>
      <x:c r="M18" s="274">
        <x:f>'ME-3'!AY182</x:f>
      </x:c>
      <x:c r="N18" s="274">
        <x:f>'ME-3'!AZ182</x:f>
      </x:c>
      <x:c r="O18" s="274">
        <x:f>'ME-3'!BA182</x:f>
      </x:c>
      <x:c r="P18" s="274">
        <x:f>'ME-3'!BB182</x:f>
      </x:c>
      <x:c r="Q18" s="274">
        <x:f>IF((P18-O18)*1440&lt;0,(P18-O18)*1440+1440,(P18-O18)*1440)</x:f>
      </x:c>
      <x:c r="R18" s="274">
        <x:f>'ME-3'!BC182</x:f>
      </x:c>
      <x:c r="S18" s="274">
        <x:f>'ME-3'!BD182</x:f>
      </x:c>
      <x:c r="T18" s="274">
        <x:f>'ME-3'!BE182</x:f>
      </x:c>
      <x:c r="U18" s="274">
        <x:f>'ME-3'!BF182</x:f>
      </x:c>
      <x:c r="V18" s="274">
        <x:f>IF((U18-T18)*1440&lt;0,(U18-T18)*1440+1440,(U18-T18)*1440)</x:f>
      </x:c>
      <x:c r="W18" s="274">
        <x:f>'ME-3'!BG182</x:f>
      </x:c>
      <x:c r="X18" s="274">
        <x:f>'ME-3'!BH182</x:f>
      </x:c>
      <x:c r="Y18" s="274">
        <x:f>'ME-3'!BI182</x:f>
      </x:c>
      <x:c r="Z18" s="274">
        <x:f>'ME-3'!BJ182</x:f>
      </x:c>
      <x:c r="AA18" s="274">
        <x:f>IF((Z18-Y18)*1440&lt;0,(Z18-Y18)*1440+1440,(Z18-Y18)*1440)</x:f>
      </x:c>
      <x:c r="AB18" s="451">
        <x:f>IF(C18="BT",G18,0)</x:f>
      </x:c>
      <x:c r="AC18" s="451">
        <x:f>IF(H18="BT",L18,0)</x:f>
      </x:c>
      <x:c r="AD18" s="451">
        <x:f>IF(M18="BT",Q18,0)</x:f>
      </x:c>
      <x:c r="AE18" s="451">
        <x:f>IF(R18="BT",V18,0)</x:f>
      </x:c>
      <x:c r="AF18" s="451">
        <x:f>IF(W18="BT",AA18,0)</x:f>
      </x:c>
      <x:c r="AG18" s="274">
        <x:f>SUM(AB18:AF18)</x:f>
      </x:c>
      <x:c r="AH18" s="274">
        <x:f>(G18+L18+Q18+V18+AA18)-AG18</x:f>
      </x:c>
    </x:row>
    <x:row r="19" spans="1:34">
      <x:c r="C19" s="274">
        <x:f>'ME-3'!AQ183</x:f>
      </x:c>
      <x:c r="D19" s="274">
        <x:f>'ME-3'!AR183</x:f>
      </x:c>
      <x:c r="E19" s="274">
        <x:f>'ME-3'!AS183</x:f>
      </x:c>
      <x:c r="F19" s="274">
        <x:f>'ME-3'!AT183</x:f>
      </x:c>
      <x:c r="G19" s="274">
        <x:f>IF((F19-E19)*1440&lt;0,(F19-E19)*1440+1440,(F19-E19)*1440)</x:f>
      </x:c>
      <x:c r="H19" s="274">
        <x:f>'ME-3'!AU183</x:f>
      </x:c>
      <x:c r="I19" s="274">
        <x:f>'ME-3'!AV183</x:f>
      </x:c>
      <x:c r="J19" s="274">
        <x:f>'ME-3'!AW183</x:f>
      </x:c>
      <x:c r="K19" s="274">
        <x:f>'ME-3'!AX183</x:f>
      </x:c>
      <x:c r="L19" s="274">
        <x:f>IF((K19-J19)*1440&lt;0,(K19-J19)*1440+1440,(K19-J19)*1440)</x:f>
      </x:c>
      <x:c r="M19" s="274">
        <x:f>'ME-3'!AY183</x:f>
      </x:c>
      <x:c r="N19" s="274">
        <x:f>'ME-3'!AZ183</x:f>
      </x:c>
      <x:c r="O19" s="274">
        <x:f>'ME-3'!BA183</x:f>
      </x:c>
      <x:c r="P19" s="274">
        <x:f>'ME-3'!BB183</x:f>
      </x:c>
      <x:c r="Q19" s="274">
        <x:f>IF((P19-O19)*1440&lt;0,(P19-O19)*1440+1440,(P19-O19)*1440)</x:f>
      </x:c>
      <x:c r="R19" s="274">
        <x:f>'ME-3'!BC183</x:f>
      </x:c>
      <x:c r="S19" s="274">
        <x:f>'ME-3'!BD183</x:f>
      </x:c>
      <x:c r="T19" s="274">
        <x:f>'ME-3'!BE183</x:f>
      </x:c>
      <x:c r="U19" s="274">
        <x:f>'ME-3'!BF183</x:f>
      </x:c>
      <x:c r="V19" s="274">
        <x:f>IF((U19-T19)*1440&lt;0,(U19-T19)*1440+1440,(U19-T19)*1440)</x:f>
      </x:c>
      <x:c r="W19" s="274">
        <x:f>'ME-3'!BG183</x:f>
      </x:c>
      <x:c r="X19" s="274">
        <x:f>'ME-3'!BH183</x:f>
      </x:c>
      <x:c r="Y19" s="274">
        <x:f>'ME-3'!BI183</x:f>
      </x:c>
      <x:c r="Z19" s="274">
        <x:f>'ME-3'!BJ183</x:f>
      </x:c>
      <x:c r="AA19" s="274">
        <x:f>IF((Z19-Y19)*1440&lt;0,(Z19-Y19)*1440+1440,(Z19-Y19)*1440)</x:f>
      </x:c>
      <x:c r="AB19" s="451">
        <x:f>IF(C19="BT",G19,0)</x:f>
      </x:c>
      <x:c r="AC19" s="451">
        <x:f>IF(H19="BT",L19,0)</x:f>
      </x:c>
      <x:c r="AD19" s="451">
        <x:f>IF(M19="BT",Q19,0)</x:f>
      </x:c>
      <x:c r="AE19" s="451">
        <x:f>IF(R19="BT",V19,0)</x:f>
      </x:c>
      <x:c r="AF19" s="451">
        <x:f>IF(W19="BT",AA19,0)</x:f>
      </x:c>
      <x:c r="AG19" s="274">
        <x:f>SUM(AB19:AF19)</x:f>
      </x:c>
      <x:c r="AH19" s="274">
        <x:f>(G19+L19+Q19+V19+AA19)-AG19</x:f>
      </x:c>
    </x:row>
    <x:row r="20" spans="1:34">
      <x:c r="C20" s="274">
        <x:f>'ME-3'!AQ184</x:f>
      </x:c>
      <x:c r="D20" s="274">
        <x:f>'ME-3'!AR184</x:f>
      </x:c>
      <x:c r="E20" s="274">
        <x:f>'ME-3'!AS184</x:f>
      </x:c>
      <x:c r="F20" s="274">
        <x:f>'ME-3'!AT184</x:f>
      </x:c>
      <x:c r="G20" s="274">
        <x:f>IF((F20-E20)*1440&lt;0,(F20-E20)*1440+1440,(F20-E20)*1440)</x:f>
      </x:c>
      <x:c r="H20" s="274">
        <x:f>'ME-3'!AU184</x:f>
      </x:c>
      <x:c r="I20" s="274">
        <x:f>'ME-3'!AV184</x:f>
      </x:c>
      <x:c r="J20" s="274">
        <x:f>'ME-3'!AW184</x:f>
      </x:c>
      <x:c r="K20" s="274">
        <x:f>'ME-3'!AX184</x:f>
      </x:c>
      <x:c r="L20" s="274">
        <x:f>IF((K20-J20)*1440&lt;0,(K20-J20)*1440+1440,(K20-J20)*1440)</x:f>
      </x:c>
      <x:c r="M20" s="274">
        <x:f>'ME-3'!AY184</x:f>
      </x:c>
      <x:c r="N20" s="274">
        <x:f>'ME-3'!AZ184</x:f>
      </x:c>
      <x:c r="O20" s="274">
        <x:f>'ME-3'!BA184</x:f>
      </x:c>
      <x:c r="P20" s="274">
        <x:f>'ME-3'!BB184</x:f>
      </x:c>
      <x:c r="Q20" s="274">
        <x:f>IF((P20-O20)*1440&lt;0,(P20-O20)*1440+1440,(P20-O20)*1440)</x:f>
      </x:c>
      <x:c r="R20" s="274">
        <x:f>'ME-3'!BC184</x:f>
      </x:c>
      <x:c r="S20" s="274">
        <x:f>'ME-3'!BD184</x:f>
      </x:c>
      <x:c r="T20" s="274">
        <x:f>'ME-3'!BE184</x:f>
      </x:c>
      <x:c r="U20" s="274">
        <x:f>'ME-3'!BF184</x:f>
      </x:c>
      <x:c r="V20" s="274">
        <x:f>IF((U20-T20)*1440&lt;0,(U20-T20)*1440+1440,(U20-T20)*1440)</x:f>
      </x:c>
      <x:c r="W20" s="274">
        <x:f>'ME-3'!BG184</x:f>
      </x:c>
      <x:c r="X20" s="274">
        <x:f>'ME-3'!BH184</x:f>
      </x:c>
      <x:c r="Y20" s="274">
        <x:f>'ME-3'!BI184</x:f>
      </x:c>
      <x:c r="Z20" s="274">
        <x:f>'ME-3'!BJ184</x:f>
      </x:c>
      <x:c r="AA20" s="274">
        <x:f>IF((Z20-Y20)*1440&lt;0,(Z20-Y20)*1440+1440,(Z20-Y20)*1440)</x:f>
      </x:c>
      <x:c r="AB20" s="451">
        <x:f>IF(C20="BT",G20,0)</x:f>
      </x:c>
      <x:c r="AC20" s="451">
        <x:f>IF(H20="BT",L20,0)</x:f>
      </x:c>
      <x:c r="AD20" s="451">
        <x:f>IF(M20="BT",Q20,0)</x:f>
      </x:c>
      <x:c r="AE20" s="451">
        <x:f>IF(R20="BT",V20,0)</x:f>
      </x:c>
      <x:c r="AF20" s="451">
        <x:f>IF(W20="BT",AA20,0)</x:f>
      </x:c>
      <x:c r="AG20" s="274">
        <x:f>SUM(AB20:AF20)</x:f>
      </x:c>
      <x:c r="AH20" s="274">
        <x:f>(G20+L20+Q20+V20+AA20)-AG20</x:f>
      </x:c>
    </x:row>
    <x:row r="21" spans="1:34">
      <x:c r="C21" s="274">
        <x:f>'ME-3'!AQ185</x:f>
      </x:c>
      <x:c r="D21" s="274">
        <x:f>'ME-3'!AR185</x:f>
      </x:c>
      <x:c r="E21" s="274">
        <x:f>'ME-3'!AS185</x:f>
      </x:c>
      <x:c r="F21" s="274">
        <x:f>'ME-3'!AT185</x:f>
      </x:c>
      <x:c r="G21" s="274">
        <x:f>IF((F21-E21)*1440&lt;0,(F21-E21)*1440+1440,(F21-E21)*1440)</x:f>
      </x:c>
      <x:c r="H21" s="274">
        <x:f>'ME-3'!AU185</x:f>
      </x:c>
      <x:c r="I21" s="274">
        <x:f>'ME-3'!AV185</x:f>
      </x:c>
      <x:c r="J21" s="274">
        <x:f>'ME-3'!AW185</x:f>
      </x:c>
      <x:c r="K21" s="274">
        <x:f>'ME-3'!AX185</x:f>
      </x:c>
      <x:c r="L21" s="274">
        <x:f>IF((K21-J21)*1440&lt;0,(K21-J21)*1440+1440,(K21-J21)*1440)</x:f>
      </x:c>
      <x:c r="M21" s="274">
        <x:f>'ME-3'!AY185</x:f>
      </x:c>
      <x:c r="N21" s="274">
        <x:f>'ME-3'!AZ185</x:f>
      </x:c>
      <x:c r="O21" s="274">
        <x:f>'ME-3'!BA185</x:f>
      </x:c>
      <x:c r="P21" s="274">
        <x:f>'ME-3'!BB185</x:f>
      </x:c>
      <x:c r="Q21" s="274">
        <x:f>IF((P21-O21)*1440&lt;0,(P21-O21)*1440+1440,(P21-O21)*1440)</x:f>
      </x:c>
      <x:c r="R21" s="274">
        <x:f>'ME-3'!BC185</x:f>
      </x:c>
      <x:c r="S21" s="274">
        <x:f>'ME-3'!BD185</x:f>
      </x:c>
      <x:c r="T21" s="274">
        <x:f>'ME-3'!BE185</x:f>
      </x:c>
      <x:c r="U21" s="274">
        <x:f>'ME-3'!BF185</x:f>
      </x:c>
      <x:c r="V21" s="274">
        <x:f>IF((U21-T21)*1440&lt;0,(U21-T21)*1440+1440,(U21-T21)*1440)</x:f>
      </x:c>
      <x:c r="W21" s="274">
        <x:f>'ME-3'!BG185</x:f>
      </x:c>
      <x:c r="X21" s="274">
        <x:f>'ME-3'!BH185</x:f>
      </x:c>
      <x:c r="Y21" s="274">
        <x:f>'ME-3'!BI185</x:f>
      </x:c>
      <x:c r="Z21" s="274">
        <x:f>'ME-3'!BJ185</x:f>
      </x:c>
      <x:c r="AA21" s="274">
        <x:f>IF((Z21-Y21)*1440&lt;0,(Z21-Y21)*1440+1440,(Z21-Y21)*1440)</x:f>
      </x:c>
      <x:c r="AB21" s="451">
        <x:f>IF(C21="BT",G21,0)</x:f>
      </x:c>
      <x:c r="AC21" s="451">
        <x:f>IF(H21="BT",L21,0)</x:f>
      </x:c>
      <x:c r="AD21" s="451">
        <x:f>IF(M21="BT",Q21,0)</x:f>
      </x:c>
      <x:c r="AE21" s="451">
        <x:f>IF(R21="BT",V21,0)</x:f>
      </x:c>
      <x:c r="AF21" s="451">
        <x:f>IF(W21="BT",AA21,0)</x:f>
      </x:c>
      <x:c r="AG21" s="274">
        <x:f>SUM(AB21:AF21)</x:f>
      </x:c>
      <x:c r="AH21" s="274">
        <x:f>(G21+L21+Q21+V21+AA21)-AG21</x:f>
      </x:c>
    </x:row>
    <x:row r="22" spans="1:34">
      <x:c r="C22" s="274">
        <x:f>'ME-3'!AQ186</x:f>
      </x:c>
      <x:c r="D22" s="274">
        <x:f>'ME-3'!AR186</x:f>
      </x:c>
      <x:c r="E22" s="274">
        <x:f>'ME-3'!AS186</x:f>
      </x:c>
      <x:c r="F22" s="274">
        <x:f>'ME-3'!AT186</x:f>
      </x:c>
      <x:c r="G22" s="274">
        <x:f>IF((F22-E22)*1440&lt;0,(F22-E22)*1440+1440,(F22-E22)*1440)</x:f>
      </x:c>
      <x:c r="H22" s="274">
        <x:f>'ME-3'!AU186</x:f>
      </x:c>
      <x:c r="I22" s="274">
        <x:f>'ME-3'!AV186</x:f>
      </x:c>
      <x:c r="J22" s="274">
        <x:f>'ME-3'!AW186</x:f>
      </x:c>
      <x:c r="K22" s="274">
        <x:f>'ME-3'!AX186</x:f>
      </x:c>
      <x:c r="L22" s="274">
        <x:f>IF((K22-J22)*1440&lt;0,(K22-J22)*1440+1440,(K22-J22)*1440)</x:f>
      </x:c>
      <x:c r="M22" s="274">
        <x:f>'ME-3'!AY186</x:f>
      </x:c>
      <x:c r="N22" s="274">
        <x:f>'ME-3'!AZ186</x:f>
      </x:c>
      <x:c r="O22" s="274">
        <x:f>'ME-3'!BA186</x:f>
      </x:c>
      <x:c r="P22" s="274">
        <x:f>'ME-3'!BB186</x:f>
      </x:c>
      <x:c r="Q22" s="274">
        <x:f>IF((P22-O22)*1440&lt;0,(P22-O22)*1440+1440,(P22-O22)*1440)</x:f>
      </x:c>
      <x:c r="R22" s="274">
        <x:f>'ME-3'!BC186</x:f>
      </x:c>
      <x:c r="S22" s="274">
        <x:f>'ME-3'!BD186</x:f>
      </x:c>
      <x:c r="T22" s="274">
        <x:f>'ME-3'!BE186</x:f>
      </x:c>
      <x:c r="U22" s="274">
        <x:f>'ME-3'!BF186</x:f>
      </x:c>
      <x:c r="V22" s="274">
        <x:f>IF((U22-T22)*1440&lt;0,(U22-T22)*1440+1440,(U22-T22)*1440)</x:f>
      </x:c>
      <x:c r="W22" s="274">
        <x:f>'ME-3'!BG186</x:f>
      </x:c>
      <x:c r="X22" s="274">
        <x:f>'ME-3'!BH186</x:f>
      </x:c>
      <x:c r="Y22" s="274">
        <x:f>'ME-3'!BI186</x:f>
      </x:c>
      <x:c r="Z22" s="274">
        <x:f>'ME-3'!BJ186</x:f>
      </x:c>
      <x:c r="AA22" s="274">
        <x:f>IF((Z22-Y22)*1440&lt;0,(Z22-Y22)*1440+1440,(Z22-Y22)*1440)</x:f>
      </x:c>
      <x:c r="AB22" s="451">
        <x:f>IF(C22="BT",G22,0)</x:f>
      </x:c>
      <x:c r="AC22" s="451">
        <x:f>IF(H22="BT",L22,0)</x:f>
      </x:c>
      <x:c r="AD22" s="451">
        <x:f>IF(M22="BT",Q22,0)</x:f>
      </x:c>
      <x:c r="AE22" s="451">
        <x:f>IF(R22="BT",V22,0)</x:f>
      </x:c>
      <x:c r="AF22" s="451">
        <x:f>IF(W22="BT",AA22,0)</x:f>
      </x:c>
      <x:c r="AG22" s="274">
        <x:f>SUM(AB22:AF22)</x:f>
      </x:c>
      <x:c r="AH22" s="274">
        <x:f>(G22+L22+Q22+V22+AA22)-AG22</x:f>
      </x:c>
    </x:row>
    <x:row r="23" spans="1:34">
      <x:c r="C23" s="274">
        <x:f>'ME-3'!AQ187</x:f>
      </x:c>
      <x:c r="D23" s="274">
        <x:f>'ME-3'!AR187</x:f>
      </x:c>
      <x:c r="E23" s="274">
        <x:f>'ME-3'!AS187</x:f>
      </x:c>
      <x:c r="F23" s="274">
        <x:f>'ME-3'!AT187</x:f>
      </x:c>
      <x:c r="G23" s="274">
        <x:f>IF((F23-E23)*1440&lt;0,(F23-E23)*1440+1440,(F23-E23)*1440)</x:f>
      </x:c>
      <x:c r="H23" s="274">
        <x:f>'ME-3'!AU187</x:f>
      </x:c>
      <x:c r="I23" s="274">
        <x:f>'ME-3'!AV187</x:f>
      </x:c>
      <x:c r="J23" s="274">
        <x:f>'ME-3'!AW187</x:f>
      </x:c>
      <x:c r="K23" s="274">
        <x:f>'ME-3'!AX187</x:f>
      </x:c>
      <x:c r="L23" s="274">
        <x:f>IF((K23-J23)*1440&lt;0,(K23-J23)*1440+1440,(K23-J23)*1440)</x:f>
      </x:c>
      <x:c r="M23" s="274">
        <x:f>'ME-3'!AY187</x:f>
      </x:c>
      <x:c r="N23" s="274">
        <x:f>'ME-3'!AZ187</x:f>
      </x:c>
      <x:c r="O23" s="274">
        <x:f>'ME-3'!BA187</x:f>
      </x:c>
      <x:c r="P23" s="274">
        <x:f>'ME-3'!BB187</x:f>
      </x:c>
      <x:c r="Q23" s="274">
        <x:f>IF((P23-O23)*1440&lt;0,(P23-O23)*1440+1440,(P23-O23)*1440)</x:f>
      </x:c>
      <x:c r="R23" s="274">
        <x:f>'ME-3'!BC187</x:f>
      </x:c>
      <x:c r="S23" s="274">
        <x:f>'ME-3'!BD187</x:f>
      </x:c>
      <x:c r="T23" s="274">
        <x:f>'ME-3'!BE187</x:f>
      </x:c>
      <x:c r="U23" s="274">
        <x:f>'ME-3'!BF187</x:f>
      </x:c>
      <x:c r="V23" s="274">
        <x:f>IF((U23-T23)*1440&lt;0,(U23-T23)*1440+1440,(U23-T23)*1440)</x:f>
      </x:c>
      <x:c r="W23" s="274">
        <x:f>'ME-3'!BG187</x:f>
      </x:c>
      <x:c r="X23" s="274">
        <x:f>'ME-3'!BH187</x:f>
      </x:c>
      <x:c r="Y23" s="274">
        <x:f>'ME-3'!BI187</x:f>
      </x:c>
      <x:c r="Z23" s="274">
        <x:f>'ME-3'!BJ187</x:f>
      </x:c>
      <x:c r="AA23" s="274">
        <x:f>IF((Z23-Y23)*1440&lt;0,(Z23-Y23)*1440+1440,(Z23-Y23)*1440)</x:f>
      </x:c>
      <x:c r="AB23" s="451">
        <x:f>IF(C23="BT",G23,0)</x:f>
      </x:c>
      <x:c r="AC23" s="451">
        <x:f>IF(H23="BT",L23,0)</x:f>
      </x:c>
      <x:c r="AD23" s="451">
        <x:f>IF(M23="BT",Q23,0)</x:f>
      </x:c>
      <x:c r="AE23" s="451">
        <x:f>IF(R23="BT",V23,0)</x:f>
      </x:c>
      <x:c r="AF23" s="451">
        <x:f>IF(W23="BT",AA23,0)</x:f>
      </x:c>
      <x:c r="AG23" s="274">
        <x:f>SUM(AB23:AF23)</x:f>
      </x:c>
      <x:c r="AH23" s="274">
        <x:f>(G23+L23+Q23+V23+AA23)-AG23</x:f>
      </x:c>
    </x:row>
    <x:row r="24" spans="1:34">
      <x:c r="C24" s="274">
        <x:f>'ME-3'!AQ188</x:f>
      </x:c>
      <x:c r="D24" s="274">
        <x:f>'ME-3'!AR188</x:f>
      </x:c>
      <x:c r="E24" s="274">
        <x:f>'ME-3'!AS188</x:f>
      </x:c>
      <x:c r="F24" s="274">
        <x:f>'ME-3'!AT188</x:f>
      </x:c>
      <x:c r="G24" s="274">
        <x:f>IF((F24-E24)*1440&lt;0,(F24-E24)*1440+1440,(F24-E24)*1440)</x:f>
      </x:c>
      <x:c r="H24" s="274">
        <x:f>'ME-3'!AU188</x:f>
      </x:c>
      <x:c r="I24" s="274">
        <x:f>'ME-3'!AV188</x:f>
      </x:c>
      <x:c r="J24" s="274">
        <x:f>'ME-3'!AW188</x:f>
      </x:c>
      <x:c r="K24" s="274">
        <x:f>'ME-3'!AX188</x:f>
      </x:c>
      <x:c r="L24" s="274">
        <x:f>IF((K24-J24)*1440&lt;0,(K24-J24)*1440+1440,(K24-J24)*1440)</x:f>
      </x:c>
      <x:c r="M24" s="274">
        <x:f>'ME-3'!AY188</x:f>
      </x:c>
      <x:c r="N24" s="274">
        <x:f>'ME-3'!AZ188</x:f>
      </x:c>
      <x:c r="O24" s="274">
        <x:f>'ME-3'!BA188</x:f>
      </x:c>
      <x:c r="P24" s="274">
        <x:f>'ME-3'!BB188</x:f>
      </x:c>
      <x:c r="Q24" s="274">
        <x:f>IF((P24-O24)*1440&lt;0,(P24-O24)*1440+1440,(P24-O24)*1440)</x:f>
      </x:c>
      <x:c r="R24" s="274">
        <x:f>'ME-3'!BC188</x:f>
      </x:c>
      <x:c r="S24" s="274">
        <x:f>'ME-3'!BD188</x:f>
      </x:c>
      <x:c r="T24" s="274">
        <x:f>'ME-3'!BE188</x:f>
      </x:c>
      <x:c r="U24" s="274">
        <x:f>'ME-3'!BF188</x:f>
      </x:c>
      <x:c r="V24" s="274">
        <x:f>IF((U24-T24)*1440&lt;0,(U24-T24)*1440+1440,(U24-T24)*1440)</x:f>
      </x:c>
      <x:c r="W24" s="274">
        <x:f>'ME-3'!BG188</x:f>
      </x:c>
      <x:c r="X24" s="274">
        <x:f>'ME-3'!BH188</x:f>
      </x:c>
      <x:c r="Y24" s="274">
        <x:f>'ME-3'!BI188</x:f>
      </x:c>
      <x:c r="Z24" s="274">
        <x:f>'ME-3'!BJ188</x:f>
      </x:c>
      <x:c r="AA24" s="274">
        <x:f>IF((Z24-Y24)*1440&lt;0,(Z24-Y24)*1440+1440,(Z24-Y24)*1440)</x:f>
      </x:c>
      <x:c r="AB24" s="451">
        <x:f>IF(C24="BT",G24,0)</x:f>
      </x:c>
      <x:c r="AC24" s="451">
        <x:f>IF(H24="BT",L24,0)</x:f>
      </x:c>
      <x:c r="AD24" s="451">
        <x:f>IF(M24="BT",Q24,0)</x:f>
      </x:c>
      <x:c r="AE24" s="451">
        <x:f>IF(R24="BT",V24,0)</x:f>
      </x:c>
      <x:c r="AF24" s="451">
        <x:f>IF(W24="BT",AA24,0)</x:f>
      </x:c>
      <x:c r="AG24" s="274">
        <x:f>SUM(AB24:AF24)</x:f>
      </x:c>
      <x:c r="AH24" s="274">
        <x:f>(G24+L24+Q24+V24+AA24)-AG24</x:f>
      </x:c>
    </x:row>
    <x:row r="25" spans="1:34">
      <x:c r="C25" s="274">
        <x:f>'ME-3'!AQ189</x:f>
      </x:c>
      <x:c r="D25" s="274">
        <x:f>'ME-3'!AR189</x:f>
      </x:c>
      <x:c r="E25" s="274">
        <x:f>'ME-3'!AS189</x:f>
      </x:c>
      <x:c r="F25" s="274">
        <x:f>'ME-3'!AT189</x:f>
      </x:c>
      <x:c r="G25" s="274">
        <x:f>IF((F25-E25)*1440&lt;0,(F25-E25)*1440+1440,(F25-E25)*1440)</x:f>
      </x:c>
      <x:c r="H25" s="274">
        <x:f>'ME-3'!AU189</x:f>
      </x:c>
      <x:c r="I25" s="274">
        <x:f>'ME-3'!AV189</x:f>
      </x:c>
      <x:c r="J25" s="274">
        <x:f>'ME-3'!AW189</x:f>
      </x:c>
      <x:c r="K25" s="274">
        <x:f>'ME-3'!AX189</x:f>
      </x:c>
      <x:c r="L25" s="274">
        <x:f>IF((K25-J25)*1440&lt;0,(K25-J25)*1440+1440,(K25-J25)*1440)</x:f>
      </x:c>
      <x:c r="M25" s="274">
        <x:f>'ME-3'!AY189</x:f>
      </x:c>
      <x:c r="N25" s="274">
        <x:f>'ME-3'!AZ189</x:f>
      </x:c>
      <x:c r="O25" s="274">
        <x:f>'ME-3'!BA189</x:f>
      </x:c>
      <x:c r="P25" s="274">
        <x:f>'ME-3'!BB189</x:f>
      </x:c>
      <x:c r="Q25" s="274">
        <x:f>IF((P25-O25)*1440&lt;0,(P25-O25)*1440+1440,(P25-O25)*1440)</x:f>
      </x:c>
      <x:c r="R25" s="274">
        <x:f>'ME-3'!BC189</x:f>
      </x:c>
      <x:c r="S25" s="274">
        <x:f>'ME-3'!BD189</x:f>
      </x:c>
      <x:c r="T25" s="274">
        <x:f>'ME-3'!BE189</x:f>
      </x:c>
      <x:c r="U25" s="274">
        <x:f>'ME-3'!BF189</x:f>
      </x:c>
      <x:c r="V25" s="274">
        <x:f>IF((U25-T25)*1440&lt;0,(U25-T25)*1440+1440,(U25-T25)*1440)</x:f>
      </x:c>
      <x:c r="W25" s="274">
        <x:f>'ME-3'!BG189</x:f>
      </x:c>
      <x:c r="X25" s="274">
        <x:f>'ME-3'!BH189</x:f>
      </x:c>
      <x:c r="Y25" s="274">
        <x:f>'ME-3'!BI189</x:f>
      </x:c>
      <x:c r="Z25" s="274">
        <x:f>'ME-3'!BJ189</x:f>
      </x:c>
      <x:c r="AA25" s="274">
        <x:f>IF((Z25-Y25)*1440&lt;0,(Z25-Y25)*1440+1440,(Z25-Y25)*1440)</x:f>
      </x:c>
      <x:c r="AB25" s="451">
        <x:f>IF(C25="BT",G25,0)</x:f>
      </x:c>
      <x:c r="AC25" s="451">
        <x:f>IF(H25="BT",L25,0)</x:f>
      </x:c>
      <x:c r="AD25" s="451">
        <x:f>IF(M25="BT",Q25,0)</x:f>
      </x:c>
      <x:c r="AE25" s="451">
        <x:f>IF(R25="BT",V25,0)</x:f>
      </x:c>
      <x:c r="AF25" s="451">
        <x:f>IF(W25="BT",AA25,0)</x:f>
      </x:c>
      <x:c r="AG25" s="274">
        <x:f>SUM(AB25:AF25)</x:f>
      </x:c>
      <x:c r="AH25" s="274">
        <x:f>(G25+L25+Q25+V25+AA25)-AG25</x:f>
      </x:c>
    </x:row>
    <x:row r="26" spans="1:34">
      <x:c r="C26" s="274">
        <x:f>'ME-3'!AQ190</x:f>
      </x:c>
      <x:c r="D26" s="274">
        <x:f>'ME-3'!AR190</x:f>
      </x:c>
      <x:c r="E26" s="274">
        <x:f>'ME-3'!AS190</x:f>
      </x:c>
      <x:c r="F26" s="274">
        <x:f>'ME-3'!AT190</x:f>
      </x:c>
      <x:c r="G26" s="274">
        <x:f>IF((F26-E26)*1440&lt;0,(F26-E26)*1440+1440,(F26-E26)*1440)</x:f>
      </x:c>
      <x:c r="H26" s="274">
        <x:f>'ME-3'!AU190</x:f>
      </x:c>
      <x:c r="I26" s="274">
        <x:f>'ME-3'!AV190</x:f>
      </x:c>
      <x:c r="J26" s="274">
        <x:f>'ME-3'!AW190</x:f>
      </x:c>
      <x:c r="K26" s="274">
        <x:f>'ME-3'!AX190</x:f>
      </x:c>
      <x:c r="L26" s="274">
        <x:f>IF((K26-J26)*1440&lt;0,(K26-J26)*1440+1440,(K26-J26)*1440)</x:f>
      </x:c>
      <x:c r="M26" s="274">
        <x:f>'ME-3'!AY190</x:f>
      </x:c>
      <x:c r="N26" s="274">
        <x:f>'ME-3'!AZ190</x:f>
      </x:c>
      <x:c r="O26" s="274">
        <x:f>'ME-3'!BA190</x:f>
      </x:c>
      <x:c r="P26" s="274">
        <x:f>'ME-3'!BB190</x:f>
      </x:c>
      <x:c r="Q26" s="274">
        <x:f>IF((P26-O26)*1440&lt;0,(P26-O26)*1440+1440,(P26-O26)*1440)</x:f>
      </x:c>
      <x:c r="R26" s="274">
        <x:f>'ME-3'!BC190</x:f>
      </x:c>
      <x:c r="S26" s="274">
        <x:f>'ME-3'!BD190</x:f>
      </x:c>
      <x:c r="T26" s="274">
        <x:f>'ME-3'!BE190</x:f>
      </x:c>
      <x:c r="U26" s="274">
        <x:f>'ME-3'!BF190</x:f>
      </x:c>
      <x:c r="V26" s="274">
        <x:f>IF((U26-T26)*1440&lt;0,(U26-T26)*1440+1440,(U26-T26)*1440)</x:f>
      </x:c>
      <x:c r="W26" s="274">
        <x:f>'ME-3'!BG190</x:f>
      </x:c>
      <x:c r="X26" s="274">
        <x:f>'ME-3'!BH190</x:f>
      </x:c>
      <x:c r="Y26" s="274">
        <x:f>'ME-3'!BI190</x:f>
      </x:c>
      <x:c r="Z26" s="274">
        <x:f>'ME-3'!BJ190</x:f>
      </x:c>
      <x:c r="AA26" s="274">
        <x:f>IF((Z26-Y26)*1440&lt;0,(Z26-Y26)*1440+1440,(Z26-Y26)*1440)</x:f>
      </x:c>
      <x:c r="AB26" s="451">
        <x:f>IF(C26="BT",G26,0)</x:f>
      </x:c>
      <x:c r="AC26" s="451">
        <x:f>IF(H26="BT",L26,0)</x:f>
      </x:c>
      <x:c r="AD26" s="451">
        <x:f>IF(M26="BT",Q26,0)</x:f>
      </x:c>
      <x:c r="AE26" s="451">
        <x:f>IF(R26="BT",V26,0)</x:f>
      </x:c>
      <x:c r="AF26" s="451">
        <x:f>IF(W26="BT",AA26,0)</x:f>
      </x:c>
      <x:c r="AG26" s="274">
        <x:f>SUM(AB26:AF26)</x:f>
      </x:c>
      <x:c r="AH26" s="274">
        <x:f>(G26+L26+Q26+V26+AA26)-AG26</x:f>
      </x:c>
    </x:row>
    <x:row r="27" spans="1:34">
      <x:c r="C27" s="274">
        <x:f>'ME-3'!AQ191</x:f>
      </x:c>
      <x:c r="D27" s="274">
        <x:f>'ME-3'!AR191</x:f>
      </x:c>
      <x:c r="E27" s="274">
        <x:f>'ME-3'!AS191</x:f>
      </x:c>
      <x:c r="F27" s="274">
        <x:f>'ME-3'!AT191</x:f>
      </x:c>
      <x:c r="G27" s="274">
        <x:f>IF((F27-E27)*1440&lt;0,(F27-E27)*1440+1440,(F27-E27)*1440)</x:f>
      </x:c>
      <x:c r="H27" s="274">
        <x:f>'ME-3'!AU191</x:f>
      </x:c>
      <x:c r="I27" s="274">
        <x:f>'ME-3'!AV191</x:f>
      </x:c>
      <x:c r="J27" s="274">
        <x:f>'ME-3'!AW191</x:f>
      </x:c>
      <x:c r="K27" s="274">
        <x:f>'ME-3'!AX191</x:f>
      </x:c>
      <x:c r="L27" s="274">
        <x:f>IF((K27-J27)*1440&lt;0,(K27-J27)*1440+1440,(K27-J27)*1440)</x:f>
      </x:c>
      <x:c r="M27" s="274">
        <x:f>'ME-3'!AY191</x:f>
      </x:c>
      <x:c r="N27" s="274">
        <x:f>'ME-3'!AZ191</x:f>
      </x:c>
      <x:c r="O27" s="274">
        <x:f>'ME-3'!BA191</x:f>
      </x:c>
      <x:c r="P27" s="274">
        <x:f>'ME-3'!BB191</x:f>
      </x:c>
      <x:c r="Q27" s="274">
        <x:f>IF((P27-O27)*1440&lt;0,(P27-O27)*1440+1440,(P27-O27)*1440)</x:f>
      </x:c>
      <x:c r="R27" s="274">
        <x:f>'ME-3'!BC191</x:f>
      </x:c>
      <x:c r="S27" s="274">
        <x:f>'ME-3'!BD191</x:f>
      </x:c>
      <x:c r="T27" s="274">
        <x:f>'ME-3'!BE191</x:f>
      </x:c>
      <x:c r="U27" s="274">
        <x:f>'ME-3'!BF191</x:f>
      </x:c>
      <x:c r="V27" s="274">
        <x:f>IF((U27-T27)*1440&lt;0,(U27-T27)*1440+1440,(U27-T27)*1440)</x:f>
      </x:c>
      <x:c r="W27" s="274">
        <x:f>'ME-3'!BG191</x:f>
      </x:c>
      <x:c r="X27" s="274">
        <x:f>'ME-3'!BH191</x:f>
      </x:c>
      <x:c r="Y27" s="274">
        <x:f>'ME-3'!BI191</x:f>
      </x:c>
      <x:c r="Z27" s="274">
        <x:f>'ME-3'!BJ191</x:f>
      </x:c>
      <x:c r="AA27" s="274">
        <x:f>IF((Z27-Y27)*1440&lt;0,(Z27-Y27)*1440+1440,(Z27-Y27)*1440)</x:f>
      </x:c>
      <x:c r="AB27" s="451">
        <x:f>IF(C27="BT",G27,0)</x:f>
      </x:c>
      <x:c r="AC27" s="451">
        <x:f>IF(H27="BT",L27,0)</x:f>
      </x:c>
      <x:c r="AD27" s="451">
        <x:f>IF(M27="BT",Q27,0)</x:f>
      </x:c>
      <x:c r="AE27" s="451">
        <x:f>IF(R27="BT",V27,0)</x:f>
      </x:c>
      <x:c r="AF27" s="451">
        <x:f>IF(W27="BT",AA27,0)</x:f>
      </x:c>
      <x:c r="AG27" s="274">
        <x:f>SUM(AB27:AF27)</x:f>
      </x:c>
      <x:c r="AH27" s="274">
        <x:f>(G27+L27+Q27+V27+AA27)-AG27</x:f>
      </x:c>
    </x:row>
    <x:row r="28" spans="1:34">
      <x:c r="C28" s="274">
        <x:f>'ME-3'!AQ192</x:f>
      </x:c>
      <x:c r="D28" s="274">
        <x:f>'ME-3'!AR192</x:f>
      </x:c>
      <x:c r="E28" s="274">
        <x:f>'ME-3'!AS192</x:f>
      </x:c>
      <x:c r="F28" s="274">
        <x:f>'ME-3'!AT192</x:f>
      </x:c>
      <x:c r="G28" s="274">
        <x:f>IF((F28-E28)*1440&lt;0,(F28-E28)*1440+1440,(F28-E28)*1440)</x:f>
      </x:c>
      <x:c r="H28" s="274">
        <x:f>'ME-3'!AU192</x:f>
      </x:c>
      <x:c r="I28" s="274">
        <x:f>'ME-3'!AV192</x:f>
      </x:c>
      <x:c r="J28" s="274">
        <x:f>'ME-3'!AW192</x:f>
      </x:c>
      <x:c r="K28" s="274">
        <x:f>'ME-3'!AX192</x:f>
      </x:c>
      <x:c r="L28" s="274">
        <x:f>IF((K28-J28)*1440&lt;0,(K28-J28)*1440+1440,(K28-J28)*1440)</x:f>
      </x:c>
      <x:c r="M28" s="274">
        <x:f>'ME-3'!AY192</x:f>
      </x:c>
      <x:c r="N28" s="274">
        <x:f>'ME-3'!AZ192</x:f>
      </x:c>
      <x:c r="O28" s="274">
        <x:f>'ME-3'!BA192</x:f>
      </x:c>
      <x:c r="P28" s="274">
        <x:f>'ME-3'!BB192</x:f>
      </x:c>
      <x:c r="Q28" s="274">
        <x:f>IF((P28-O28)*1440&lt;0,(P28-O28)*1440+1440,(P28-O28)*1440)</x:f>
      </x:c>
      <x:c r="R28" s="274">
        <x:f>'ME-3'!BC192</x:f>
      </x:c>
      <x:c r="S28" s="274">
        <x:f>'ME-3'!BD192</x:f>
      </x:c>
      <x:c r="T28" s="274">
        <x:f>'ME-3'!BE192</x:f>
      </x:c>
      <x:c r="U28" s="274">
        <x:f>'ME-3'!BF192</x:f>
      </x:c>
      <x:c r="V28" s="274">
        <x:f>IF((U28-T28)*1440&lt;0,(U28-T28)*1440+1440,(U28-T28)*1440)</x:f>
      </x:c>
      <x:c r="W28" s="274">
        <x:f>'ME-3'!BG192</x:f>
      </x:c>
      <x:c r="X28" s="274">
        <x:f>'ME-3'!BH192</x:f>
      </x:c>
      <x:c r="Y28" s="274">
        <x:f>'ME-3'!BI192</x:f>
      </x:c>
      <x:c r="Z28" s="274">
        <x:f>'ME-3'!BJ192</x:f>
      </x:c>
      <x:c r="AA28" s="274">
        <x:f>IF((Z28-Y28)*1440&lt;0,(Z28-Y28)*1440+1440,(Z28-Y28)*1440)</x:f>
      </x:c>
      <x:c r="AB28" s="451">
        <x:f>IF(C28="BT",G28,0)</x:f>
      </x:c>
      <x:c r="AC28" s="451">
        <x:f>IF(H28="BT",L28,0)</x:f>
      </x:c>
      <x:c r="AD28" s="451">
        <x:f>IF(M28="BT",Q28,0)</x:f>
      </x:c>
      <x:c r="AE28" s="451">
        <x:f>IF(R28="BT",V28,0)</x:f>
      </x:c>
      <x:c r="AF28" s="451">
        <x:f>IF(W28="BT",AA28,0)</x:f>
      </x:c>
      <x:c r="AG28" s="274">
        <x:f>SUM(AB28:AF28)</x:f>
      </x:c>
      <x:c r="AH28" s="274">
        <x:f>(G28+L28+Q28+V28+AA28)-AG28</x:f>
      </x:c>
    </x:row>
    <x:row r="29" spans="1:34">
      <x:c r="C29" s="274">
        <x:f>'ME-3'!AQ193</x:f>
      </x:c>
      <x:c r="D29" s="274">
        <x:f>'ME-3'!AR193</x:f>
      </x:c>
      <x:c r="E29" s="274">
        <x:f>'ME-3'!AS193</x:f>
      </x:c>
      <x:c r="F29" s="274">
        <x:f>'ME-3'!AT193</x:f>
      </x:c>
      <x:c r="G29" s="274">
        <x:f>IF((F29-E29)*1440&lt;0,(F29-E29)*1440+1440,(F29-E29)*1440)</x:f>
      </x:c>
      <x:c r="H29" s="274">
        <x:f>'ME-3'!AU193</x:f>
      </x:c>
      <x:c r="I29" s="274">
        <x:f>'ME-3'!AV193</x:f>
      </x:c>
      <x:c r="J29" s="274">
        <x:f>'ME-3'!AW193</x:f>
      </x:c>
      <x:c r="K29" s="274">
        <x:f>'ME-3'!AX193</x:f>
      </x:c>
      <x:c r="L29" s="274">
        <x:f>IF((K29-J29)*1440&lt;0,(K29-J29)*1440+1440,(K29-J29)*1440)</x:f>
      </x:c>
      <x:c r="M29" s="274">
        <x:f>'ME-3'!AY193</x:f>
      </x:c>
      <x:c r="N29" s="274">
        <x:f>'ME-3'!AZ193</x:f>
      </x:c>
      <x:c r="O29" s="274">
        <x:f>'ME-3'!BA193</x:f>
      </x:c>
      <x:c r="P29" s="274">
        <x:f>'ME-3'!BB193</x:f>
      </x:c>
      <x:c r="Q29" s="274">
        <x:f>IF((P29-O29)*1440&lt;0,(P29-O29)*1440+1440,(P29-O29)*1440)</x:f>
      </x:c>
      <x:c r="R29" s="274">
        <x:f>'ME-3'!BC193</x:f>
      </x:c>
      <x:c r="S29" s="274">
        <x:f>'ME-3'!BD193</x:f>
      </x:c>
      <x:c r="T29" s="274">
        <x:f>'ME-3'!BE193</x:f>
      </x:c>
      <x:c r="U29" s="274">
        <x:f>'ME-3'!BF193</x:f>
      </x:c>
      <x:c r="V29" s="274">
        <x:f>IF((U29-T29)*1440&lt;0,(U29-T29)*1440+1440,(U29-T29)*1440)</x:f>
      </x:c>
      <x:c r="W29" s="274">
        <x:f>'ME-3'!BG193</x:f>
      </x:c>
      <x:c r="X29" s="274">
        <x:f>'ME-3'!BH193</x:f>
      </x:c>
      <x:c r="Y29" s="274">
        <x:f>'ME-3'!BI193</x:f>
      </x:c>
      <x:c r="Z29" s="274">
        <x:f>'ME-3'!BJ193</x:f>
      </x:c>
      <x:c r="AA29" s="274">
        <x:f>IF((Z29-Y29)*1440&lt;0,(Z29-Y29)*1440+1440,(Z29-Y29)*1440)</x:f>
      </x:c>
      <x:c r="AB29" s="451">
        <x:f>IF(C29="BT",G29,0)</x:f>
      </x:c>
      <x:c r="AC29" s="451">
        <x:f>IF(H29="BT",L29,0)</x:f>
      </x:c>
      <x:c r="AD29" s="451">
        <x:f>IF(M29="BT",Q29,0)</x:f>
      </x:c>
      <x:c r="AE29" s="451">
        <x:f>IF(R29="BT",V29,0)</x:f>
      </x:c>
      <x:c r="AF29" s="451">
        <x:f>IF(W29="BT",AA29,0)</x:f>
      </x:c>
      <x:c r="AG29" s="274">
        <x:f>SUM(AB29:AF29)</x:f>
      </x:c>
      <x:c r="AH29" s="274">
        <x:f>(G29+L29+Q29+V29+AA29)-AG29</x:f>
      </x:c>
    </x:row>
    <x:row r="30" spans="1:34">
      <x:c r="C30" s="274">
        <x:f>'ME-3'!AQ194</x:f>
      </x:c>
      <x:c r="D30" s="274">
        <x:f>'ME-3'!AR194</x:f>
      </x:c>
      <x:c r="E30" s="274">
        <x:f>'ME-3'!AS194</x:f>
      </x:c>
      <x:c r="F30" s="274">
        <x:f>'ME-3'!AT194</x:f>
      </x:c>
      <x:c r="G30" s="274">
        <x:f>IF((F30-E30)*1440&lt;0,(F30-E30)*1440+1440,(F30-E30)*1440)</x:f>
      </x:c>
      <x:c r="H30" s="274">
        <x:f>'ME-3'!AU194</x:f>
      </x:c>
      <x:c r="I30" s="274">
        <x:f>'ME-3'!AV194</x:f>
      </x:c>
      <x:c r="J30" s="274">
        <x:f>'ME-3'!AW194</x:f>
      </x:c>
      <x:c r="K30" s="274">
        <x:f>'ME-3'!AX194</x:f>
      </x:c>
      <x:c r="L30" s="274">
        <x:f>IF((K30-J30)*1440&lt;0,(K30-J30)*1440+1440,(K30-J30)*1440)</x:f>
      </x:c>
      <x:c r="M30" s="274">
        <x:f>'ME-3'!AY194</x:f>
      </x:c>
      <x:c r="N30" s="274">
        <x:f>'ME-3'!AZ194</x:f>
      </x:c>
      <x:c r="O30" s="274">
        <x:f>'ME-3'!BA194</x:f>
      </x:c>
      <x:c r="P30" s="274">
        <x:f>'ME-3'!BB194</x:f>
      </x:c>
      <x:c r="Q30" s="274">
        <x:f>IF((P30-O30)*1440&lt;0,(P30-O30)*1440+1440,(P30-O30)*1440)</x:f>
      </x:c>
      <x:c r="R30" s="274">
        <x:f>'ME-3'!BC194</x:f>
      </x:c>
      <x:c r="S30" s="274">
        <x:f>'ME-3'!BD194</x:f>
      </x:c>
      <x:c r="T30" s="274">
        <x:f>'ME-3'!BE194</x:f>
      </x:c>
      <x:c r="U30" s="274">
        <x:f>'ME-3'!BF194</x:f>
      </x:c>
      <x:c r="V30" s="274">
        <x:f>IF((U30-T30)*1440&lt;0,(U30-T30)*1440+1440,(U30-T30)*1440)</x:f>
      </x:c>
      <x:c r="W30" s="274">
        <x:f>'ME-3'!BG194</x:f>
      </x:c>
      <x:c r="X30" s="274">
        <x:f>'ME-3'!BH194</x:f>
      </x:c>
      <x:c r="Y30" s="274">
        <x:f>'ME-3'!BI194</x:f>
      </x:c>
      <x:c r="Z30" s="274">
        <x:f>'ME-3'!BJ194</x:f>
      </x:c>
      <x:c r="AA30" s="274">
        <x:f>IF((Z30-Y30)*1440&lt;0,(Z30-Y30)*1440+1440,(Z30-Y30)*1440)</x:f>
      </x:c>
      <x:c r="AB30" s="451">
        <x:f>IF(C30="BT",G30,0)</x:f>
      </x:c>
      <x:c r="AC30" s="451">
        <x:f>IF(H30="BT",L30,0)</x:f>
      </x:c>
      <x:c r="AD30" s="451">
        <x:f>IF(M30="BT",Q30,0)</x:f>
      </x:c>
      <x:c r="AE30" s="451">
        <x:f>IF(R30="BT",V30,0)</x:f>
      </x:c>
      <x:c r="AF30" s="451">
        <x:f>IF(W30="BT",AA30,0)</x:f>
      </x:c>
      <x:c r="AG30" s="274">
        <x:f>SUM(AB30:AF30)</x:f>
      </x:c>
      <x:c r="AH30" s="274">
        <x:f>(G30+L30+Q30+V30+AA30)-AG30</x:f>
      </x:c>
    </x:row>
    <x:row r="31" spans="1:34">
      <x:c r="C31" s="274">
        <x:f>'ME-3'!AQ195</x:f>
      </x:c>
      <x:c r="D31" s="274">
        <x:f>'ME-3'!AR195</x:f>
      </x:c>
      <x:c r="E31" s="274">
        <x:f>'ME-3'!AS195</x:f>
      </x:c>
      <x:c r="F31" s="274">
        <x:f>'ME-3'!AT195</x:f>
      </x:c>
      <x:c r="G31" s="274">
        <x:f>IF((F31-E31)*1440&lt;0,(F31-E31)*1440+1440,(F31-E31)*1440)</x:f>
      </x:c>
      <x:c r="H31" s="274">
        <x:f>'ME-3'!AU195</x:f>
      </x:c>
      <x:c r="I31" s="274">
        <x:f>'ME-3'!AV195</x:f>
      </x:c>
      <x:c r="J31" s="274">
        <x:f>'ME-3'!AW195</x:f>
      </x:c>
      <x:c r="K31" s="274">
        <x:f>'ME-3'!AX195</x:f>
      </x:c>
      <x:c r="L31" s="274">
        <x:f>IF((K31-J31)*1440&lt;0,(K31-J31)*1440+1440,(K31-J31)*1440)</x:f>
      </x:c>
      <x:c r="M31" s="274">
        <x:f>'ME-3'!AY195</x:f>
      </x:c>
      <x:c r="N31" s="274">
        <x:f>'ME-3'!AZ195</x:f>
      </x:c>
      <x:c r="O31" s="274">
        <x:f>'ME-3'!BA195</x:f>
      </x:c>
      <x:c r="P31" s="274">
        <x:f>'ME-3'!BB195</x:f>
      </x:c>
      <x:c r="Q31" s="274">
        <x:f>IF((P31-O31)*1440&lt;0,(P31-O31)*1440+1440,(P31-O31)*1440)</x:f>
      </x:c>
      <x:c r="R31" s="274">
        <x:f>'ME-3'!BC195</x:f>
      </x:c>
      <x:c r="S31" s="274">
        <x:f>'ME-3'!BD195</x:f>
      </x:c>
      <x:c r="T31" s="274">
        <x:f>'ME-3'!BE195</x:f>
      </x:c>
      <x:c r="U31" s="274">
        <x:f>'ME-3'!BF195</x:f>
      </x:c>
      <x:c r="V31" s="274">
        <x:f>IF((U31-T31)*1440&lt;0,(U31-T31)*1440+1440,(U31-T31)*1440)</x:f>
      </x:c>
      <x:c r="W31" s="274">
        <x:f>'ME-3'!BG195</x:f>
      </x:c>
      <x:c r="X31" s="274">
        <x:f>'ME-3'!BH195</x:f>
      </x:c>
      <x:c r="Y31" s="274">
        <x:f>'ME-3'!BI195</x:f>
      </x:c>
      <x:c r="Z31" s="274">
        <x:f>'ME-3'!BJ195</x:f>
      </x:c>
      <x:c r="AA31" s="274">
        <x:f>IF((Z31-Y31)*1440&lt;0,(Z31-Y31)*1440+1440,(Z31-Y31)*1440)</x:f>
      </x:c>
      <x:c r="AB31" s="451">
        <x:f>IF(C31="BT",G31,0)</x:f>
      </x:c>
      <x:c r="AC31" s="451">
        <x:f>IF(H31="BT",L31,0)</x:f>
      </x:c>
      <x:c r="AD31" s="451">
        <x:f>IF(M31="BT",Q31,0)</x:f>
      </x:c>
      <x:c r="AE31" s="451">
        <x:f>IF(R31="BT",V31,0)</x:f>
      </x:c>
      <x:c r="AF31" s="451">
        <x:f>IF(W31="BT",AA31,0)</x:f>
      </x:c>
      <x:c r="AG31" s="274">
        <x:f>SUM(AB31:AF31)</x:f>
      </x:c>
      <x:c r="AH31" s="274">
        <x:f>(G31+L31+Q31+V31+AA31)-AG31</x:f>
      </x:c>
    </x:row>
    <x:row r="32" spans="1:34">
      <x:c r="C32" s="274">
        <x:f>'ME-3'!AQ196</x:f>
      </x:c>
      <x:c r="D32" s="274">
        <x:f>'ME-3'!AR196</x:f>
      </x:c>
      <x:c r="E32" s="274">
        <x:f>'ME-3'!AS196</x:f>
      </x:c>
      <x:c r="F32" s="274">
        <x:f>'ME-3'!AT196</x:f>
      </x:c>
      <x:c r="G32" s="274">
        <x:f>IF((F32-E32)*1440&lt;0,(F32-E32)*1440+1440,(F32-E32)*1440)</x:f>
      </x:c>
      <x:c r="H32" s="274">
        <x:f>'ME-3'!AU196</x:f>
      </x:c>
      <x:c r="I32" s="274">
        <x:f>'ME-3'!AV196</x:f>
      </x:c>
      <x:c r="J32" s="274">
        <x:f>'ME-3'!AW196</x:f>
      </x:c>
      <x:c r="K32" s="274">
        <x:f>'ME-3'!AX196</x:f>
      </x:c>
      <x:c r="L32" s="274">
        <x:f>IF((K32-J32)*1440&lt;0,(K32-J32)*1440+1440,(K32-J32)*1440)</x:f>
      </x:c>
      <x:c r="M32" s="274">
        <x:f>'ME-3'!AY196</x:f>
      </x:c>
      <x:c r="N32" s="274">
        <x:f>'ME-3'!AZ196</x:f>
      </x:c>
      <x:c r="O32" s="274">
        <x:f>'ME-3'!BA196</x:f>
      </x:c>
      <x:c r="P32" s="274">
        <x:f>'ME-3'!BB196</x:f>
      </x:c>
      <x:c r="Q32" s="274">
        <x:f>IF((P32-O32)*1440&lt;0,(P32-O32)*1440+1440,(P32-O32)*1440)</x:f>
      </x:c>
      <x:c r="R32" s="274">
        <x:f>'ME-3'!BC196</x:f>
      </x:c>
      <x:c r="S32" s="274">
        <x:f>'ME-3'!BD196</x:f>
      </x:c>
      <x:c r="T32" s="274">
        <x:f>'ME-3'!BE196</x:f>
      </x:c>
      <x:c r="U32" s="274">
        <x:f>'ME-3'!BF196</x:f>
      </x:c>
      <x:c r="V32" s="274">
        <x:f>IF((U32-T32)*1440&lt;0,(U32-T32)*1440+1440,(U32-T32)*1440)</x:f>
      </x:c>
      <x:c r="W32" s="274">
        <x:f>'ME-3'!BG196</x:f>
      </x:c>
      <x:c r="X32" s="274">
        <x:f>'ME-3'!BH196</x:f>
      </x:c>
      <x:c r="Y32" s="274">
        <x:f>'ME-3'!BI196</x:f>
      </x:c>
      <x:c r="Z32" s="274">
        <x:f>'ME-3'!BJ196</x:f>
      </x:c>
      <x:c r="AA32" s="274">
        <x:f>IF((Z32-Y32)*1440&lt;0,(Z32-Y32)*1440+1440,(Z32-Y32)*1440)</x:f>
      </x:c>
      <x:c r="AB32" s="451">
        <x:f>IF(C32="BT",G32,0)</x:f>
      </x:c>
      <x:c r="AC32" s="451">
        <x:f>IF(H32="BT",L32,0)</x:f>
      </x:c>
      <x:c r="AD32" s="451">
        <x:f>IF(M32="BT",Q32,0)</x:f>
      </x:c>
      <x:c r="AE32" s="451">
        <x:f>IF(R32="BT",V32,0)</x:f>
      </x:c>
      <x:c r="AF32" s="451">
        <x:f>IF(W32="BT",AA32,0)</x:f>
      </x:c>
      <x:c r="AG32" s="274">
        <x:f>SUM(AB32:AF32)</x:f>
      </x:c>
      <x:c r="AH32" s="274">
        <x:f>(G32+L32+Q32+V32+AA32)-AG32</x:f>
      </x:c>
    </x:row>
    <x:row r="33" spans="1:34">
      <x:c r="C33" s="274">
        <x:f>'ME-3'!AQ197</x:f>
      </x:c>
      <x:c r="D33" s="274">
        <x:f>'ME-3'!AR197</x:f>
      </x:c>
      <x:c r="E33" s="274">
        <x:f>'ME-3'!AS197</x:f>
      </x:c>
      <x:c r="F33" s="274">
        <x:f>'ME-3'!AT197</x:f>
      </x:c>
      <x:c r="G33" s="274">
        <x:f>IF((F33-E33)*1440&lt;0,(F33-E33)*1440+1440,(F33-E33)*1440)</x:f>
      </x:c>
      <x:c r="H33" s="274">
        <x:f>'ME-3'!AU197</x:f>
      </x:c>
      <x:c r="I33" s="274">
        <x:f>'ME-3'!AV197</x:f>
      </x:c>
      <x:c r="J33" s="274">
        <x:f>'ME-3'!AW197</x:f>
      </x:c>
      <x:c r="K33" s="274">
        <x:f>'ME-3'!AX197</x:f>
      </x:c>
      <x:c r="L33" s="274">
        <x:f>IF((K33-J33)*1440&lt;0,(K33-J33)*1440+1440,(K33-J33)*1440)</x:f>
      </x:c>
      <x:c r="M33" s="274">
        <x:f>'ME-3'!AY197</x:f>
      </x:c>
      <x:c r="N33" s="274">
        <x:f>'ME-3'!AZ197</x:f>
      </x:c>
      <x:c r="O33" s="274">
        <x:f>'ME-3'!BA197</x:f>
      </x:c>
      <x:c r="P33" s="274">
        <x:f>'ME-3'!BB197</x:f>
      </x:c>
      <x:c r="Q33" s="274">
        <x:f>IF((P33-O33)*1440&lt;0,(P33-O33)*1440+1440,(P33-O33)*1440)</x:f>
      </x:c>
      <x:c r="R33" s="274">
        <x:f>'ME-3'!BC197</x:f>
      </x:c>
      <x:c r="S33" s="274">
        <x:f>'ME-3'!BD197</x:f>
      </x:c>
      <x:c r="T33" s="274">
        <x:f>'ME-3'!BE197</x:f>
      </x:c>
      <x:c r="U33" s="274">
        <x:f>'ME-3'!BF197</x:f>
      </x:c>
      <x:c r="V33" s="274">
        <x:f>IF((U33-T33)*1440&lt;0,(U33-T33)*1440+1440,(U33-T33)*1440)</x:f>
      </x:c>
      <x:c r="W33" s="274">
        <x:f>'ME-3'!BG197</x:f>
      </x:c>
      <x:c r="X33" s="274">
        <x:f>'ME-3'!BH197</x:f>
      </x:c>
      <x:c r="Y33" s="274">
        <x:f>'ME-3'!BI197</x:f>
      </x:c>
      <x:c r="Z33" s="274">
        <x:f>'ME-3'!BJ197</x:f>
      </x:c>
      <x:c r="AA33" s="274">
        <x:f>IF((Z33-Y33)*1440&lt;0,(Z33-Y33)*1440+1440,(Z33-Y33)*1440)</x:f>
      </x:c>
      <x:c r="AB33" s="451">
        <x:f>IF(C33="BT",G33,0)</x:f>
      </x:c>
      <x:c r="AC33" s="451">
        <x:f>IF(H33="BT",L33,0)</x:f>
      </x:c>
      <x:c r="AD33" s="451">
        <x:f>IF(M33="BT",Q33,0)</x:f>
      </x:c>
      <x:c r="AE33" s="451">
        <x:f>IF(R33="BT",V33,0)</x:f>
      </x:c>
      <x:c r="AF33" s="451">
        <x:f>IF(W33="BT",AA33,0)</x:f>
      </x:c>
      <x:c r="AG33" s="274">
        <x:f>SUM(AB33:AF33)</x:f>
      </x:c>
      <x:c r="AH33" s="274">
        <x:f>(G33+L33+Q33+V33+AA33)-AG33</x:f>
      </x:c>
    </x:row>
    <x:row r="34" spans="1:34">
      <x:c r="AB34" s="451" t="s"/>
      <x:c r="AC34" s="451" t="s"/>
      <x:c r="AD34" s="451" t="s"/>
      <x:c r="AE34" s="451" t="s"/>
      <x:c r="AF34" s="451" t="s"/>
    </x:row>
    <x:row r="35" spans="1:34">
      <x:c r="AB35" s="451" t="s"/>
      <x:c r="AC35" s="451" t="s"/>
      <x:c r="AD35" s="451" t="s"/>
      <x:c r="AE35" s="451" t="s"/>
      <x:c r="AF35" s="451" t="s"/>
    </x:row>
    <x:row r="36" spans="1:34">
      <x:c r="AB36" s="451" t="s"/>
      <x:c r="AC36" s="451" t="s"/>
      <x:c r="AD36" s="451" t="s"/>
      <x:c r="AE36" s="451" t="s"/>
      <x:c r="AF36" s="451" t="s"/>
    </x:row>
    <x:row r="37" spans="1:34">
      <x:c r="AB37" s="451" t="s"/>
      <x:c r="AC37" s="451" t="s"/>
      <x:c r="AD37" s="451" t="s"/>
      <x:c r="AE37" s="451" t="s"/>
      <x:c r="AF37" s="451" t="s"/>
    </x:row>
    <x:row r="38" spans="1:34">
      <x:c r="AB38" s="451" t="s"/>
      <x:c r="AC38" s="451" t="s"/>
      <x:c r="AD38" s="451" t="s"/>
      <x:c r="AE38" s="451" t="s"/>
      <x:c r="AF38" s="451" t="s"/>
    </x:row>
    <x:row r="39" spans="1:34">
      <x:c r="AB39" s="451" t="s"/>
      <x:c r="AC39" s="451" t="s"/>
      <x:c r="AD39" s="451" t="s"/>
      <x:c r="AE39" s="451" t="s"/>
      <x:c r="AF39" s="451" t="s"/>
    </x:row>
    <x:row r="40" spans="1:34">
      <x:c r="AB40" s="451" t="s"/>
      <x:c r="AC40" s="451" t="s"/>
      <x:c r="AD40" s="451" t="s"/>
      <x:c r="AE40" s="451" t="s"/>
      <x:c r="AF40" s="451" t="s"/>
    </x:row>
    <x:row r="41" spans="1:34">
      <x:c r="AB41" s="451" t="s"/>
      <x:c r="AC41" s="451" t="s"/>
      <x:c r="AD41" s="451" t="s"/>
      <x:c r="AE41" s="451" t="s"/>
      <x:c r="AF41" s="451" t="s"/>
    </x:row>
    <x:row r="42" spans="1:34">
      <x:c r="AB42" s="451" t="s"/>
      <x:c r="AC42" s="451" t="s"/>
      <x:c r="AD42" s="451" t="s"/>
      <x:c r="AE42" s="451" t="s"/>
      <x:c r="AF42" s="451" t="s"/>
    </x:row>
    <x:row r="43" spans="1:34">
      <x:c r="AB43" s="451" t="s"/>
      <x:c r="AC43" s="451" t="s"/>
      <x:c r="AD43" s="451" t="s"/>
      <x:c r="AE43" s="451" t="s"/>
      <x:c r="AF43" s="451" t="s"/>
    </x:row>
    <x:row r="44" spans="1:34">
      <x:c r="AB44" s="451" t="s"/>
      <x:c r="AC44" s="451" t="s"/>
      <x:c r="AD44" s="451" t="s"/>
      <x:c r="AE44" s="451" t="s"/>
      <x:c r="AF44" s="451" t="s"/>
    </x:row>
    <x:row r="45" spans="1:34">
      <x:c r="AB45" s="451" t="s"/>
      <x:c r="AC45" s="451" t="s"/>
      <x:c r="AD45" s="451" t="s"/>
      <x:c r="AE45" s="451" t="s"/>
      <x:c r="AF45" s="451" t="s"/>
    </x:row>
    <x:row r="46" spans="1:34">
      <x:c r="AB46" s="451" t="s"/>
      <x:c r="AC46" s="451" t="s"/>
      <x:c r="AD46" s="451" t="s"/>
      <x:c r="AE46" s="451" t="s"/>
      <x:c r="AF46" s="451" t="s"/>
    </x:row>
    <x:row r="47" spans="1:34">
      <x:c r="AB47" s="451" t="s"/>
      <x:c r="AC47" s="451" t="s"/>
      <x:c r="AD47" s="451" t="s"/>
      <x:c r="AE47" s="451" t="s"/>
      <x:c r="AF47" s="451" t="s"/>
    </x:row>
    <x:row r="48" spans="1:34">
      <x:c r="AB48" s="451" t="s"/>
      <x:c r="AC48" s="451" t="s"/>
      <x:c r="AD48" s="451" t="s"/>
      <x:c r="AE48" s="451" t="s"/>
      <x:c r="AF48" s="451" t="s"/>
    </x:row>
    <x:row r="49" spans="1:34">
      <x:c r="AB49" s="451" t="s"/>
      <x:c r="AC49" s="451" t="s"/>
      <x:c r="AD49" s="451" t="s"/>
      <x:c r="AE49" s="451" t="s"/>
      <x:c r="AF49" s="451" t="s"/>
    </x:row>
    <x:row r="50" spans="1:34">
      <x:c r="AB50" s="451" t="s"/>
      <x:c r="AC50" s="451" t="s"/>
      <x:c r="AD50" s="451" t="s"/>
      <x:c r="AE50" s="451" t="s"/>
      <x:c r="AF50" s="451" t="s"/>
    </x:row>
    <x:row r="51" spans="1:34">
      <x:c r="AB51" s="451" t="s"/>
      <x:c r="AC51" s="451" t="s"/>
      <x:c r="AD51" s="451" t="s"/>
      <x:c r="AE51" s="451" t="s"/>
      <x:c r="AF51" s="451" t="s"/>
    </x:row>
    <x:row r="52" spans="1:34">
      <x:c r="AB52" s="451" t="s"/>
      <x:c r="AC52" s="451" t="s"/>
      <x:c r="AD52" s="451" t="s"/>
      <x:c r="AE52" s="451" t="s"/>
      <x:c r="AF52" s="451" t="s"/>
    </x:row>
    <x:row r="53" spans="1:34">
      <x:c r="AB53" s="451" t="s"/>
      <x:c r="AC53" s="451" t="s"/>
      <x:c r="AD53" s="451" t="s"/>
      <x:c r="AE53" s="451" t="s"/>
      <x:c r="AF53" s="451" t="s"/>
    </x:row>
    <x:row r="54" spans="1:34">
      <x:c r="AB54" s="451" t="s"/>
      <x:c r="AC54" s="451" t="s"/>
      <x:c r="AD54" s="451" t="s"/>
      <x:c r="AE54" s="451" t="s"/>
      <x:c r="AF54" s="451" t="s"/>
    </x:row>
    <x:row r="55" spans="1:34">
      <x:c r="AB55" s="451" t="s"/>
      <x:c r="AC55" s="451" t="s"/>
      <x:c r="AD55" s="451" t="s"/>
      <x:c r="AE55" s="451" t="s"/>
      <x:c r="AF55" s="451" t="s"/>
    </x:row>
    <x:row r="56" spans="1:34">
      <x:c r="AB56" s="451" t="s"/>
      <x:c r="AC56" s="451" t="s"/>
      <x:c r="AD56" s="451" t="s"/>
      <x:c r="AE56" s="451" t="s"/>
      <x:c r="AF56" s="451" t="s"/>
    </x:row>
    <x:row r="57" spans="1:34">
      <x:c r="AB57" s="451" t="s"/>
      <x:c r="AC57" s="451" t="s"/>
      <x:c r="AD57" s="451" t="s"/>
      <x:c r="AE57" s="451" t="s"/>
      <x:c r="AF57" s="451" t="s"/>
    </x:row>
    <x:row r="58" spans="1:34">
      <x:c r="AB58" s="451" t="s"/>
      <x:c r="AC58" s="451" t="s"/>
      <x:c r="AD58" s="451" t="s"/>
      <x:c r="AE58" s="451" t="s"/>
      <x:c r="AF58" s="451" t="s"/>
    </x:row>
    <x:row r="59" spans="1:34">
      <x:c r="AB59" s="451" t="s"/>
      <x:c r="AC59" s="451" t="s"/>
      <x:c r="AD59" s="451" t="s"/>
      <x:c r="AE59" s="451" t="s"/>
      <x:c r="AF59" s="451" t="s"/>
    </x:row>
    <x:row r="60" spans="1:34">
      <x:c r="AA60" s="451" t="s"/>
      <x:c r="AB60" s="451" t="s"/>
      <x:c r="AC60" s="451" t="s"/>
      <x:c r="AD60" s="451" t="s"/>
      <x:c r="AE60" s="451" t="s"/>
      <x:c r="AF60" s="451" t="s"/>
    </x:row>
    <x:row r="61" spans="1:34">
      <x:c r="AA61" s="451" t="s"/>
      <x:c r="AB61" s="451" t="s"/>
      <x:c r="AC61" s="451" t="s"/>
      <x:c r="AD61" s="451" t="s"/>
      <x:c r="AE61" s="451" t="s"/>
      <x:c r="AF61" s="451" t="s"/>
    </x:row>
    <x:row r="62" spans="1:34">
      <x:c r="AA62" s="451" t="s"/>
      <x:c r="AB62" s="451" t="s"/>
      <x:c r="AC62" s="451" t="s"/>
      <x:c r="AD62" s="451" t="s"/>
      <x:c r="AE62" s="451" t="s"/>
      <x:c r="AF62" s="451" t="s"/>
    </x:row>
    <x:row r="63" spans="1:34">
      <x:c r="AA63" s="451" t="s"/>
      <x:c r="AB63" s="451" t="s"/>
      <x:c r="AC63" s="451" t="s"/>
      <x:c r="AD63" s="451" t="s"/>
      <x:c r="AE63" s="451" t="s"/>
      <x:c r="AF63" s="451" t="s"/>
    </x:row>
    <x:row r="64" spans="1:34">
      <x:c r="AA64" s="451" t="s"/>
      <x:c r="AB64" s="451" t="s"/>
      <x:c r="AC64" s="451" t="s"/>
      <x:c r="AD64" s="451" t="s"/>
      <x:c r="AE64" s="451" t="s"/>
      <x:c r="AF64" s="451" t="s"/>
    </x:row>
    <x:row r="65" spans="1:34">
      <x:c r="AA65" s="451" t="s"/>
      <x:c r="AB65" s="451" t="s"/>
      <x:c r="AC65" s="451" t="s"/>
      <x:c r="AD65" s="451" t="s"/>
      <x:c r="AE65" s="451" t="s"/>
      <x:c r="AF65" s="451" t="s"/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2">
    <x:outlinePr summaryBelow="1" summaryRight="1"/>
  </x:sheetPr>
  <x:dimension ref="A1"/>
  <x:sheetViews>
    <x:sheetView workbookViewId="0">
      <x:selection activeCell="J12" sqref="J12 J12:J12"/>
    </x:sheetView>
  </x:sheetViews>
  <x:sheetFormatPr defaultRowHeight="15"/>
  <x:sheetData>
    <x:row r="1" spans="1:14">
      <x:c r="A1" s="274" t="s">
        <x:v>122</x:v>
      </x:c>
      <x:c r="B1" s="274" t="n">
        <x:v>15.1</x:v>
      </x:c>
      <x:c r="C1" s="274" t="n">
        <x:v>0</x:v>
      </x:c>
      <x:c r="D1" s="274" t="n">
        <x:v>35</x:v>
      </x:c>
      <x:c r="F1" s="274" t="s">
        <x:v>123</x:v>
      </x:c>
      <x:c r="G1" s="274" t="s">
        <x:v>124</x:v>
      </x:c>
      <x:c r="I1" s="274" t="n">
        <x:v>1.2</x:v>
      </x:c>
      <x:c r="J1" s="274" t="n">
        <x:v>1505</x:v>
      </x:c>
      <x:c r="K1" s="274" t="n">
        <x:v>1105</x:v>
      </x:c>
      <x:c r="L1" s="274" t="n">
        <x:v>1025</x:v>
      </x:c>
      <x:c r="M1" s="274" t="s">
        <x:v>125</x:v>
      </x:c>
      <x:c r="N1" s="274" t="s">
        <x:v>126</x:v>
      </x:c>
    </x:row>
    <x:row r="2" spans="1:14">
      <x:c r="A2" s="274" t="s">
        <x:v>127</x:v>
      </x:c>
      <x:c r="B2" s="274" t="n">
        <x:v>0.46</x:v>
      </x:c>
      <x:c r="C2" s="274" t="n">
        <x:v>0</x:v>
      </x:c>
      <x:c r="D2" s="274" t="n">
        <x:v>0</x:v>
      </x:c>
      <x:c r="F2" s="274" t="s">
        <x:v>128</x:v>
      </x:c>
      <x:c r="G2" s="274" t="s">
        <x:v>129</x:v>
      </x:c>
      <x:c r="H2" s="274" t="n">
        <x:v>45</x:v>
      </x:c>
      <x:c r="I2" s="274" t="n">
        <x:v>0.7</x:v>
      </x:c>
      <x:c r="J2" s="274" t="n">
        <x:v>127</x:v>
      </x:c>
      <x:c r="K2" s="274" t="n">
        <x:v>650</x:v>
      </x:c>
      <x:c r="M2" s="274" t="s">
        <x:v>130</x:v>
      </x:c>
      <x:c r="N2" s="274" t="s">
        <x:v>131</x:v>
      </x:c>
    </x:row>
    <x:row r="3" spans="1:14">
      <x:c r="A3" s="274" t="s">
        <x:v>132</x:v>
      </x:c>
      <x:c r="B3" s="274" t="n">
        <x:v>4.46</x:v>
      </x:c>
      <x:c r="C3" s="274" t="n">
        <x:v>0</x:v>
      </x:c>
      <x:c r="D3" s="274" t="n">
        <x:v>0</x:v>
      </x:c>
      <x:c r="F3" s="274" t="s">
        <x:v>133</x:v>
      </x:c>
      <x:c r="G3" s="274" t="s">
        <x:v>134</x:v>
      </x:c>
      <x:c r="I3" s="274" t="n">
        <x:v>4</x:v>
      </x:c>
      <x:c r="J3" s="274" t="n">
        <x:v>138</x:v>
      </x:c>
      <x:c r="K3" s="274" t="n">
        <x:v>1030</x:v>
      </x:c>
    </x:row>
    <x:row r="4" spans="1:14">
      <x:c r="A4" s="274" t="s">
        <x:v>135</x:v>
      </x:c>
      <x:c r="B4" s="274" t="n">
        <x:v>0.83</x:v>
      </x:c>
      <x:c r="C4" s="274" t="n">
        <x:v>27</x:v>
      </x:c>
      <x:c r="D4" s="274" t="n">
        <x:v>35</x:v>
      </x:c>
      <x:c r="E4" s="274" t="n">
        <x:v>33</x:v>
      </x:c>
      <x:c r="F4" s="274" t="s">
        <x:v>133</x:v>
      </x:c>
      <x:c r="G4" s="274" t="s">
        <x:v>136</x:v>
      </x:c>
      <x:c r="H4" s="274" t="n">
        <x:v>45</x:v>
      </x:c>
      <x:c r="I4" s="274" t="n">
        <x:v>0.7</x:v>
      </x:c>
      <x:c r="J4" s="274" t="n">
        <x:v>340</x:v>
      </x:c>
      <x:c r="K4" s="274" t="n">
        <x:v>435</x:v>
      </x:c>
      <x:c r="M4" s="274" t="s">
        <x:v>137</x:v>
      </x:c>
      <x:c r="N4" s="274" t="s">
        <x:v>131</x:v>
      </x:c>
    </x:row>
    <x:row r="5" spans="1:14">
      <x:c r="A5" s="274" t="s">
        <x:v>138</x:v>
      </x:c>
      <x:c r="B5" s="274" t="n">
        <x:v>30.36</x:v>
      </x:c>
      <x:c r="C5" s="274" t="n">
        <x:v>0</x:v>
      </x:c>
      <x:c r="D5" s="274" t="n">
        <x:v>22</x:v>
      </x:c>
      <x:c r="E5" s="274" t="n">
        <x:v>0</x:v>
      </x:c>
      <x:c r="F5" s="274" t="s">
        <x:v>123</x:v>
      </x:c>
      <x:c r="G5" s="274" t="s">
        <x:v>139</x:v>
      </x:c>
      <x:c r="I5" s="274" t="n">
        <x:v>2.9</x:v>
      </x:c>
      <x:c r="J5" s="274" t="n">
        <x:v>592</x:v>
      </x:c>
      <x:c r="K5" s="274" t="n">
        <x:v>2253</x:v>
      </x:c>
      <x:c r="L5" s="274" t="n">
        <x:v>2253</x:v>
      </x:c>
      <x:c r="M5" s="274" t="s">
        <x:v>140</x:v>
      </x:c>
      <x:c r="N5" s="274" t="s">
        <x:v>131</x:v>
      </x:c>
    </x:row>
    <x:row r="6" spans="1:14">
      <x:c r="A6" s="274" t="s">
        <x:v>141</x:v>
      </x:c>
      <x:c r="B6" s="274" t="n">
        <x:v>30.36</x:v>
      </x:c>
      <x:c r="C6" s="274" t="n">
        <x:v>0</x:v>
      </x:c>
      <x:c r="D6" s="274" t="n">
        <x:v>22</x:v>
      </x:c>
      <x:c r="E6" s="274" t="n">
        <x:v>0</x:v>
      </x:c>
      <x:c r="F6" s="274" t="s">
        <x:v>123</x:v>
      </x:c>
      <x:c r="G6" s="274" t="s">
        <x:v>139</x:v>
      </x:c>
      <x:c r="I6" s="274" t="n">
        <x:v>2.9</x:v>
      </x:c>
      <x:c r="J6" s="274" t="n">
        <x:v>592</x:v>
      </x:c>
      <x:c r="K6" s="274" t="n">
        <x:v>2253</x:v>
      </x:c>
      <x:c r="L6" s="274" t="n">
        <x:v>2253</x:v>
      </x:c>
      <x:c r="M6" s="274" t="s">
        <x:v>142</x:v>
      </x:c>
      <x:c r="N6" s="274" t="s">
        <x:v>131</x:v>
      </x:c>
    </x:row>
    <x:row r="7" spans="1:14">
      <x:c r="A7" s="274" t="s">
        <x:v>143</x:v>
      </x:c>
      <x:c r="B7" s="274" t="n">
        <x:v>5.31</x:v>
      </x:c>
      <x:c r="C7" s="274" t="n">
        <x:v>0</x:v>
      </x:c>
      <x:c r="D7" s="274" t="n">
        <x:v>0</x:v>
      </x:c>
      <x:c r="F7" s="274" t="s">
        <x:v>133</x:v>
      </x:c>
      <x:c r="G7" s="274" t="s">
        <x:v>144</x:v>
      </x:c>
      <x:c r="H7" s="274" t="n">
        <x:v>45</x:v>
      </x:c>
      <x:c r="I7" s="274" t="n">
        <x:v>1.6</x:v>
      </x:c>
      <x:c r="J7" s="274" t="n">
        <x:v>350</x:v>
      </x:c>
      <x:c r="K7" s="274" t="n">
        <x:v>1200</x:v>
      </x:c>
      <x:c r="M7" s="274" t="s">
        <x:v>145</x:v>
      </x:c>
      <x:c r="N7" s="274" t="s">
        <x:v>146</x:v>
      </x:c>
    </x:row>
    <x:row r="8" spans="1:14">
      <x:c r="A8" s="274" t="s">
        <x:v>147</x:v>
      </x:c>
      <x:c r="B8" s="274" t="n">
        <x:v>4.67</x:v>
      </x:c>
      <x:c r="C8" s="274" t="n">
        <x:v>0</x:v>
      </x:c>
      <x:c r="D8" s="274" t="n">
        <x:v>0</x:v>
      </x:c>
      <x:c r="F8" s="274" t="s">
        <x:v>133</x:v>
      </x:c>
      <x:c r="G8" s="274" t="s">
        <x:v>148</x:v>
      </x:c>
      <x:c r="I8" s="274" t="n">
        <x:v>3.2</x:v>
      </x:c>
      <x:c r="J8" s="274" t="n">
        <x:v>153</x:v>
      </x:c>
      <x:c r="K8" s="274" t="n">
        <x:v>1215</x:v>
      </x:c>
      <x:c r="M8" s="274" t="s">
        <x:v>149</x:v>
      </x:c>
    </x:row>
    <x:row r="9" spans="1:14">
      <x:c r="A9" s="274" t="s">
        <x:v>150</x:v>
      </x:c>
      <x:c r="B9" s="274" t="n">
        <x:v>2.81</x:v>
      </x:c>
      <x:c r="C9" s="274" t="n">
        <x:v>0</x:v>
      </x:c>
      <x:c r="D9" s="274" t="n">
        <x:v>0</x:v>
      </x:c>
      <x:c r="F9" s="274" t="s">
        <x:v>133</x:v>
      </x:c>
      <x:c r="G9" s="274" t="s">
        <x:v>134</x:v>
      </x:c>
      <x:c r="I9" s="274" t="n">
        <x:v>2.9</x:v>
      </x:c>
      <x:c r="J9" s="274" t="n">
        <x:v>100</x:v>
      </x:c>
      <x:c r="K9" s="274" t="n">
        <x:v>1236</x:v>
      </x:c>
      <x:c r="M9" s="274" t="s">
        <x:v>151</x:v>
      </x:c>
      <x:c r="N9" s="274" t="s">
        <x:v>131</x:v>
      </x:c>
    </x:row>
    <x:row r="10" spans="1:14">
      <x:c r="A10" s="274" t="s">
        <x:v>152</x:v>
      </x:c>
      <x:c r="B10" s="274" t="n">
        <x:v>4.36</x:v>
      </x:c>
      <x:c r="C10" s="274" t="n">
        <x:v>40</x:v>
      </x:c>
      <x:c r="D10" s="274" t="n">
        <x:v>36</x:v>
      </x:c>
      <x:c r="E10" s="274" t="n">
        <x:v>0</x:v>
      </x:c>
      <x:c r="F10" s="274" t="s">
        <x:v>133</x:v>
      </x:c>
      <x:c r="G10" s="274" t="s">
        <x:v>153</x:v>
      </x:c>
      <x:c r="I10" s="274" t="n">
        <x:v>0.7</x:v>
      </x:c>
      <x:c r="J10" s="274" t="n">
        <x:v>875</x:v>
      </x:c>
      <x:c r="K10" s="274" t="n">
        <x:v>1045.6</x:v>
      </x:c>
      <x:c r="L10" s="274" t="n">
        <x:v>768.4</x:v>
      </x:c>
      <x:c r="M10" s="274" t="s">
        <x:v>154</x:v>
      </x:c>
      <x:c r="N10" s="274" t="s">
        <x:v>155</x:v>
      </x:c>
    </x:row>
    <x:row r="11" spans="1:14">
      <x:c r="A11" s="274" t="s">
        <x:v>156</x:v>
      </x:c>
      <x:c r="B11" s="274" t="n">
        <x:v>0.36</x:v>
      </x:c>
      <x:c r="C11" s="274" t="n">
        <x:v>35</x:v>
      </x:c>
      <x:c r="D11" s="274" t="n">
        <x:v>35</x:v>
      </x:c>
      <x:c r="E11" s="274" t="n">
        <x:v>33</x:v>
      </x:c>
      <x:c r="F11" s="274" t="s">
        <x:v>133</x:v>
      </x:c>
      <x:c r="G11" s="274" t="s">
        <x:v>144</x:v>
      </x:c>
      <x:c r="H11" s="274" t="n">
        <x:v>45</x:v>
      </x:c>
      <x:c r="I11" s="274" t="n">
        <x:v>1.6</x:v>
      </x:c>
      <x:c r="J11" s="274" t="n">
        <x:v>138</x:v>
      </x:c>
      <x:c r="K11" s="274" t="n">
        <x:v>206</x:v>
      </x:c>
      <x:c r="M11" s="274" t="s">
        <x:v>157</x:v>
      </x:c>
      <x:c r="N11" s="274" t="s">
        <x:v>131</x:v>
      </x:c>
    </x:row>
    <x:row r="12" spans="1:14">
      <x:c r="A12" s="274" t="s">
        <x:v>158</x:v>
      </x:c>
      <x:c r="B12" s="274" t="n">
        <x:v>0.77</x:v>
      </x:c>
      <x:c r="C12" s="274" t="n">
        <x:v>26</x:v>
      </x:c>
      <x:c r="D12" s="274" t="n">
        <x:v>35</x:v>
      </x:c>
      <x:c r="E12" s="274" t="n">
        <x:v>33</x:v>
      </x:c>
      <x:c r="F12" s="274" t="s">
        <x:v>133</x:v>
      </x:c>
      <x:c r="G12" s="274" t="s">
        <x:v>136</x:v>
      </x:c>
      <x:c r="H12" s="274" t="n">
        <x:v>45</x:v>
      </x:c>
      <x:c r="I12" s="274" t="n">
        <x:v>0.7</x:v>
      </x:c>
      <x:c r="J12" s="274" t="n">
        <x:v>290</x:v>
      </x:c>
      <x:c r="K12" s="274" t="n">
        <x:v>475</x:v>
      </x:c>
      <x:c r="M12" s="274" t="s">
        <x:v>159</x:v>
      </x:c>
      <x:c r="N12" s="274" t="s">
        <x:v>155</x:v>
      </x:c>
    </x:row>
    <x:row r="13" spans="1:14">
      <x:c r="A13" s="274" t="s">
        <x:v>160</x:v>
      </x:c>
      <x:c r="B13" s="274" t="n">
        <x:v>1.76</x:v>
      </x:c>
      <x:c r="C13" s="274" t="n">
        <x:v>0</x:v>
      </x:c>
      <x:c r="D13" s="274" t="n">
        <x:v>0</x:v>
      </x:c>
      <x:c r="F13" s="274" t="s">
        <x:v>133</x:v>
      </x:c>
      <x:c r="G13" s="274" t="s">
        <x:v>134</x:v>
      </x:c>
      <x:c r="I13" s="274" t="n">
        <x:v>2.6</x:v>
      </x:c>
      <x:c r="J13" s="274" t="n">
        <x:v>82</x:v>
      </x:c>
      <x:c r="K13" s="274" t="n">
        <x:v>1050</x:v>
      </x:c>
      <x:c r="M13" s="274" t="s">
        <x:v>161</x:v>
      </x:c>
      <x:c r="N13" s="274" t="s">
        <x:v>162</x:v>
      </x:c>
    </x:row>
    <x:row r="14" spans="1:14">
      <x:c r="A14" s="274" t="s">
        <x:v>163</x:v>
      </x:c>
      <x:c r="B14" s="274" t="n">
        <x:v>1.24</x:v>
      </x:c>
      <x:c r="C14" s="274" t="n">
        <x:v>0</x:v>
      </x:c>
      <x:c r="D14" s="274" t="n">
        <x:v>0</x:v>
      </x:c>
      <x:c r="F14" s="274" t="s">
        <x:v>133</x:v>
      </x:c>
      <x:c r="G14" s="274" t="s">
        <x:v>136</x:v>
      </x:c>
      <x:c r="H14" s="274" t="n">
        <x:v>45</x:v>
      </x:c>
      <x:c r="I14" s="274" t="n">
        <x:v>1</x:v>
      </x:c>
      <x:c r="J14" s="274" t="n">
        <x:v>185</x:v>
      </x:c>
      <x:c r="K14" s="274" t="n">
        <x:v>842</x:v>
      </x:c>
      <x:c r="M14" s="274" t="s">
        <x:v>164</x:v>
      </x:c>
    </x:row>
    <x:row r="15" spans="1:14">
      <x:c r="A15" s="274" t="s">
        <x:v>165</x:v>
      </x:c>
      <x:c r="B15" s="274" t="n">
        <x:v>2.46</x:v>
      </x:c>
      <x:c r="C15" s="274" t="n">
        <x:v>19</x:v>
      </x:c>
      <x:c r="D15" s="274" t="n">
        <x:v>28</x:v>
      </x:c>
      <x:c r="E15" s="274" t="n">
        <x:v>24</x:v>
      </x:c>
      <x:c r="F15" s="274" t="s">
        <x:v>133</x:v>
      </x:c>
      <x:c r="G15" s="274" t="s">
        <x:v>144</x:v>
      </x:c>
      <x:c r="H15" s="274" t="n">
        <x:v>45</x:v>
      </x:c>
      <x:c r="I15" s="274" t="n">
        <x:v>1.6</x:v>
      </x:c>
      <x:c r="J15" s="274" t="n">
        <x:v>239</x:v>
      </x:c>
      <x:c r="K15" s="274" t="n">
        <x:v>815</x:v>
      </x:c>
      <x:c r="M15" s="274" t="s">
        <x:v>166</x:v>
      </x:c>
      <x:c r="N15" s="274" t="s">
        <x:v>131</x:v>
      </x:c>
    </x:row>
    <x:row r="16" spans="1:14">
      <x:c r="A16" s="274" t="s">
        <x:v>167</x:v>
      </x:c>
      <x:c r="B16" s="274" t="n">
        <x:v>1.26</x:v>
      </x:c>
      <x:c r="C16" s="274" t="n">
        <x:v>0</x:v>
      </x:c>
      <x:c r="D16" s="274" t="n">
        <x:v>0</x:v>
      </x:c>
      <x:c r="F16" s="274" t="s">
        <x:v>133</x:v>
      </x:c>
      <x:c r="G16" s="274" t="s">
        <x:v>134</x:v>
      </x:c>
      <x:c r="I16" s="274" t="n">
        <x:v>2</x:v>
      </x:c>
      <x:c r="J16" s="274" t="n">
        <x:v>125</x:v>
      </x:c>
      <x:c r="K16" s="274" t="n">
        <x:v>640</x:v>
      </x:c>
      <x:c r="M16" s="274" t="s">
        <x:v>168</x:v>
      </x:c>
    </x:row>
    <x:row r="17" spans="1:14">
      <x:c r="A17" s="274" t="s">
        <x:v>169</x:v>
      </x:c>
      <x:c r="B17" s="274" t="n">
        <x:v>0.4</x:v>
      </x:c>
      <x:c r="C17" s="274" t="n">
        <x:v>0</x:v>
      </x:c>
      <x:c r="D17" s="274" t="n">
        <x:v>0</x:v>
      </x:c>
      <x:c r="F17" s="274" t="s">
        <x:v>133</x:v>
      </x:c>
      <x:c r="G17" s="274" t="s">
        <x:v>144</x:v>
      </x:c>
      <x:c r="H17" s="274" t="n">
        <x:v>45</x:v>
      </x:c>
      <x:c r="I17" s="274" t="n">
        <x:v>1.4</x:v>
      </x:c>
      <x:c r="J17" s="274" t="n">
        <x:v>290</x:v>
      </x:c>
      <x:c r="K17" s="274" t="n">
        <x:v>125</x:v>
      </x:c>
      <x:c r="M17" s="274" t="s">
        <x:v>170</x:v>
      </x:c>
      <x:c r="N17" s="274" t="s">
        <x:v>131</x:v>
      </x:c>
    </x:row>
    <x:row r="18" spans="1:14">
      <x:c r="A18" s="274" t="s">
        <x:v>171</x:v>
      </x:c>
      <x:c r="B18" s="274" t="n">
        <x:v>0.3</x:v>
      </x:c>
      <x:c r="C18" s="274" t="n">
        <x:v>0</x:v>
      </x:c>
      <x:c r="D18" s="274" t="n">
        <x:v>36</x:v>
      </x:c>
      <x:c r="E18" s="274" t="n">
        <x:v>33</x:v>
      </x:c>
      <x:c r="F18" s="274" t="s">
        <x:v>133</x:v>
      </x:c>
      <x:c r="G18" s="274" t="s">
        <x:v>136</x:v>
      </x:c>
      <x:c r="H18" s="274" t="n">
        <x:v>45</x:v>
      </x:c>
      <x:c r="I18" s="274" t="n">
        <x:v>1.4</x:v>
      </x:c>
      <x:c r="J18" s="274" t="n">
        <x:v>140</x:v>
      </x:c>
      <x:c r="K18" s="274" t="n">
        <x:v>195</x:v>
      </x:c>
      <x:c r="M18" s="274" t="s">
        <x:v>172</x:v>
      </x:c>
      <x:c r="N18" s="274" t="s">
        <x:v>173</x:v>
      </x:c>
    </x:row>
    <x:row r="19" spans="1:14">
      <x:c r="A19" s="274" t="s">
        <x:v>174</x:v>
      </x:c>
      <x:c r="B19" s="274" t="n">
        <x:v>4.35</x:v>
      </x:c>
      <x:c r="C19" s="274" t="n">
        <x:v>0</x:v>
      </x:c>
      <x:c r="D19" s="274" t="n">
        <x:v>35</x:v>
      </x:c>
      <x:c r="E19" s="274" t="n">
        <x:v>30</x:v>
      </x:c>
      <x:c r="F19" s="274" t="s">
        <x:v>133</x:v>
      </x:c>
      <x:c r="G19" s="274" t="s">
        <x:v>136</x:v>
      </x:c>
      <x:c r="H19" s="274" t="n">
        <x:v>45</x:v>
      </x:c>
      <x:c r="I19" s="274" t="n">
        <x:v>1.6</x:v>
      </x:c>
      <x:c r="J19" s="274" t="n">
        <x:v>550</x:v>
      </x:c>
      <x:c r="K19" s="274" t="n">
        <x:v>625</x:v>
      </x:c>
      <x:c r="M19" s="274" t="s">
        <x:v>175</x:v>
      </x:c>
      <x:c r="N19" s="274" t="s">
        <x:v>131</x:v>
      </x:c>
    </x:row>
    <x:row r="20" spans="1:14">
      <x:c r="A20" s="274" t="s">
        <x:v>176</x:v>
      </x:c>
      <x:c r="B20" s="274" t="n">
        <x:v>1.2</x:v>
      </x:c>
      <x:c r="C20" s="274" t="n">
        <x:v>0</x:v>
      </x:c>
      <x:c r="D20" s="274" t="n">
        <x:v>0</x:v>
      </x:c>
      <x:c r="F20" s="274" t="s">
        <x:v>128</x:v>
      </x:c>
      <x:c r="G20" s="274" t="s">
        <x:v>177</x:v>
      </x:c>
      <x:c r="H20" s="274" t="n">
        <x:v>45</x:v>
      </x:c>
      <x:c r="I20" s="274" t="n">
        <x:v>2</x:v>
      </x:c>
      <x:c r="J20" s="274" t="n">
        <x:v>155</x:v>
      </x:c>
      <x:c r="K20" s="274" t="n">
        <x:v>490</x:v>
      </x:c>
      <x:c r="M20" s="274" t="s">
        <x:v>178</x:v>
      </x:c>
      <x:c r="N20" s="274" t="s">
        <x:v>155</x:v>
      </x:c>
    </x:row>
    <x:row r="21" spans="1:14">
      <x:c r="A21" s="274" t="s">
        <x:v>179</x:v>
      </x:c>
      <x:c r="B21" s="274" t="n">
        <x:v>1.69</x:v>
      </x:c>
      <x:c r="C21" s="274" t="n">
        <x:v>0</x:v>
      </x:c>
      <x:c r="D21" s="274" t="n">
        <x:v>0</x:v>
      </x:c>
      <x:c r="F21" s="274" t="s">
        <x:v>133</x:v>
      </x:c>
      <x:c r="G21" s="274" t="s">
        <x:v>134</x:v>
      </x:c>
      <x:c r="I21" s="274" t="n">
        <x:v>2.9</x:v>
      </x:c>
      <x:c r="J21" s="274" t="n">
        <x:v>167</x:v>
      </x:c>
      <x:c r="K21" s="274" t="n">
        <x:v>445</x:v>
      </x:c>
      <x:c r="M21" s="274" t="s">
        <x:v>180</x:v>
      </x:c>
      <x:c r="N21" s="274" t="s">
        <x:v>126</x:v>
      </x:c>
    </x:row>
    <x:row r="22" spans="1:14">
      <x:c r="A22" s="274" t="s">
        <x:v>181</x:v>
      </x:c>
      <x:c r="B22" s="274" t="n">
        <x:v>0.97</x:v>
      </x:c>
      <x:c r="C22" s="274" t="n">
        <x:v>0</x:v>
      </x:c>
      <x:c r="D22" s="274" t="n">
        <x:v>0</x:v>
      </x:c>
      <x:c r="F22" s="274" t="s">
        <x:v>133</x:v>
      </x:c>
      <x:c r="G22" s="274" t="s">
        <x:v>134</x:v>
      </x:c>
      <x:c r="I22" s="274" t="n">
        <x:v>2</x:v>
      </x:c>
      <x:c r="J22" s="274" t="n">
        <x:v>487</x:v>
      </x:c>
      <x:c r="K22" s="274" t="n">
        <x:v>127</x:v>
      </x:c>
      <x:c r="M22" s="274" t="s">
        <x:v>182</x:v>
      </x:c>
      <x:c r="N22" s="274" t="s">
        <x:v>126</x:v>
      </x:c>
    </x:row>
    <x:row r="23" spans="1:14">
      <x:c r="A23" s="274" t="s">
        <x:v>183</x:v>
      </x:c>
      <x:c r="B23" s="274" t="n">
        <x:v>0.13</x:v>
      </x:c>
      <x:c r="C23" s="274" t="n">
        <x:v>35</x:v>
      </x:c>
      <x:c r="D23" s="274" t="n">
        <x:v>35</x:v>
      </x:c>
      <x:c r="E23" s="274" t="n">
        <x:v>33</x:v>
      </x:c>
      <x:c r="F23" s="274" t="s">
        <x:v>184</x:v>
      </x:c>
      <x:c r="G23" s="274" t="s">
        <x:v>129</x:v>
      </x:c>
      <x:c r="H23" s="274" t="n">
        <x:v>45</x:v>
      </x:c>
      <x:c r="I23" s="274" t="n">
        <x:v>1</x:v>
      </x:c>
      <x:c r="J23" s="274" t="n">
        <x:v>97</x:v>
      </x:c>
      <x:c r="K23" s="274" t="n">
        <x:v>168</x:v>
      </x:c>
      <x:c r="M23" s="274" t="s">
        <x:v>185</x:v>
      </x:c>
      <x:c r="N23" s="274" t="s">
        <x:v>131</x:v>
      </x:c>
    </x:row>
    <x:row r="24" spans="1:14">
      <x:c r="A24" s="274" t="s">
        <x:v>186</x:v>
      </x:c>
      <x:c r="B24" s="274" t="n">
        <x:v>0.79</x:v>
      </x:c>
      <x:c r="C24" s="274" t="n">
        <x:v>0</x:v>
      </x:c>
      <x:c r="D24" s="274" t="n">
        <x:v>0</x:v>
      </x:c>
      <x:c r="F24" s="274" t="s">
        <x:v>133</x:v>
      </x:c>
      <x:c r="G24" s="274" t="s">
        <x:v>134</x:v>
      </x:c>
      <x:c r="I24" s="274" t="n">
        <x:v>2.6</x:v>
      </x:c>
      <x:c r="J24" s="274" t="n">
        <x:v>135</x:v>
      </x:c>
      <x:c r="K24" s="274" t="n">
        <x:v>285</x:v>
      </x:c>
      <x:c r="M24" s="274" t="s">
        <x:v>187</x:v>
      </x:c>
      <x:c r="N24" s="274" t="s">
        <x:v>131</x:v>
      </x:c>
    </x:row>
    <x:row r="25" spans="1:14">
      <x:c r="A25" s="274" t="s">
        <x:v>188</x:v>
      </x:c>
      <x:c r="B25" s="274" t="n">
        <x:v>2.83</x:v>
      </x:c>
      <x:c r="C25" s="274" t="n">
        <x:v>0</x:v>
      </x:c>
      <x:c r="D25" s="274" t="n">
        <x:v>0</x:v>
      </x:c>
      <x:c r="F25" s="274" t="s">
        <x:v>133</x:v>
      </x:c>
      <x:c r="G25" s="274" t="s">
        <x:v>134</x:v>
      </x:c>
      <x:c r="I25" s="274" t="n">
        <x:v>2.6</x:v>
      </x:c>
      <x:c r="J25" s="274" t="n">
        <x:v>238</x:v>
      </x:c>
      <x:c r="K25" s="274" t="n">
        <x:v>583</x:v>
      </x:c>
      <x:c r="M25" s="274" t="s">
        <x:v>189</x:v>
      </x:c>
      <x:c r="N25" s="274" t="s">
        <x:v>155</x:v>
      </x:c>
    </x:row>
    <x:row r="26" spans="1:14">
      <x:c r="A26" s="274" t="s">
        <x:v>190</x:v>
      </x:c>
      <x:c r="B26" s="274" t="n">
        <x:v>0.4</x:v>
      </x:c>
      <x:c r="C26" s="274" t="n">
        <x:v>0</x:v>
      </x:c>
      <x:c r="D26" s="274" t="n">
        <x:v>0</x:v>
      </x:c>
      <x:c r="F26" s="274" t="s">
        <x:v>133</x:v>
      </x:c>
      <x:c r="G26" s="274" t="s">
        <x:v>134</x:v>
      </x:c>
      <x:c r="I26" s="274" t="n">
        <x:v>2.6</x:v>
      </x:c>
      <x:c r="J26" s="274" t="n">
        <x:v>65</x:v>
      </x:c>
      <x:c r="K26" s="274" t="n">
        <x:v>302</x:v>
      </x:c>
      <x:c r="M26" s="274" t="s">
        <x:v>191</x:v>
      </x:c>
      <x:c r="N26" s="274" t="s">
        <x:v>155</x:v>
      </x:c>
    </x:row>
    <x:row r="27" spans="1:14">
      <x:c r="A27" s="274" t="s">
        <x:v>192</x:v>
      </x:c>
      <x:c r="B27" s="274" t="n">
        <x:v>7</x:v>
      </x:c>
      <x:c r="C27" s="274" t="n">
        <x:v>0</x:v>
      </x:c>
      <x:c r="D27" s="274" t="n">
        <x:v>0</x:v>
      </x:c>
      <x:c r="F27" s="274" t="s">
        <x:v>133</x:v>
      </x:c>
      <x:c r="G27" s="274" t="s">
        <x:v>134</x:v>
      </x:c>
      <x:c r="I27" s="274" t="n">
        <x:v>2.6</x:v>
      </x:c>
      <x:c r="J27" s="274" t="n">
        <x:v>527.5</x:v>
      </x:c>
      <x:c r="K27" s="274" t="n">
        <x:v>650</x:v>
      </x:c>
      <x:c r="M27" s="274" t="s">
        <x:v>193</x:v>
      </x:c>
      <x:c r="N27" s="274" t="s">
        <x:v>131</x:v>
      </x:c>
    </x:row>
    <x:row r="28" spans="1:14">
      <x:c r="A28" s="274" t="s">
        <x:v>194</x:v>
      </x:c>
      <x:c r="B28" s="274" t="n">
        <x:v>0.64</x:v>
      </x:c>
      <x:c r="C28" s="274" t="n">
        <x:v>0</x:v>
      </x:c>
      <x:c r="D28" s="274" t="n">
        <x:v>0</x:v>
      </x:c>
      <x:c r="F28" s="274" t="s">
        <x:v>133</x:v>
      </x:c>
      <x:c r="G28" s="274" t="s">
        <x:v>134</x:v>
      </x:c>
      <x:c r="I28" s="274" t="n">
        <x:v>2.9</x:v>
      </x:c>
      <x:c r="J28" s="274" t="n">
        <x:v>98</x:v>
      </x:c>
      <x:c r="K28" s="274" t="n">
        <x:v>285</x:v>
      </x:c>
      <x:c r="M28" s="274" t="s">
        <x:v>195</x:v>
      </x:c>
    </x:row>
    <x:row r="29" spans="1:14">
      <x:c r="A29" s="274" t="s">
        <x:v>196</x:v>
      </x:c>
      <x:c r="B29" s="274" t="n">
        <x:v>0.41</x:v>
      </x:c>
      <x:c r="C29" s="274" t="n">
        <x:v>0</x:v>
      </x:c>
      <x:c r="D29" s="274" t="n">
        <x:v>0</x:v>
      </x:c>
      <x:c r="F29" s="274" t="s">
        <x:v>133</x:v>
      </x:c>
      <x:c r="G29" s="274" t="s">
        <x:v>134</x:v>
      </x:c>
      <x:c r="I29" s="274" t="n">
        <x:v>2.9</x:v>
      </x:c>
      <x:c r="J29" s="274" t="n">
        <x:v>57</x:v>
      </x:c>
      <x:c r="K29" s="274" t="n">
        <x:v>316</x:v>
      </x:c>
      <x:c r="M29" s="274" t="s">
        <x:v>197</x:v>
      </x:c>
    </x:row>
    <x:row r="30" spans="1:14">
      <x:c r="A30" s="274" t="s">
        <x:v>198</x:v>
      </x:c>
      <x:c r="B30" s="274" t="n">
        <x:v>1.33</x:v>
      </x:c>
      <x:c r="C30" s="274" t="n">
        <x:v>0</x:v>
      </x:c>
      <x:c r="D30" s="274" t="n">
        <x:v>0</x:v>
      </x:c>
      <x:c r="F30" s="274" t="s">
        <x:v>133</x:v>
      </x:c>
      <x:c r="G30" s="274" t="s">
        <x:v>148</x:v>
      </x:c>
      <x:c r="I30" s="274" t="n">
        <x:v>3.2</x:v>
      </x:c>
      <x:c r="J30" s="274" t="n">
        <x:v>88</x:v>
      </x:c>
      <x:c r="K30" s="274" t="n">
        <x:v>603</x:v>
      </x:c>
      <x:c r="M30" s="274" t="s">
        <x:v>199</x:v>
      </x:c>
      <x:c r="N30" s="274" t="s">
        <x:v>131</x:v>
      </x:c>
    </x:row>
    <x:row r="31" spans="1:14">
      <x:c r="A31" s="274" t="s">
        <x:v>200</x:v>
      </x:c>
      <x:c r="B31" s="274" t="n">
        <x:v>2.57</x:v>
      </x:c>
      <x:c r="C31" s="274" t="n">
        <x:v>0</x:v>
      </x:c>
      <x:c r="D31" s="274" t="n">
        <x:v>0</x:v>
      </x:c>
      <x:c r="F31" s="274" t="s">
        <x:v>133</x:v>
      </x:c>
      <x:c r="G31" s="274" t="s">
        <x:v>136</x:v>
      </x:c>
      <x:c r="H31" s="274" t="n">
        <x:v>45</x:v>
      </x:c>
      <x:c r="I31" s="274" t="n">
        <x:v>1.4</x:v>
      </x:c>
      <x:c r="J31" s="274" t="n">
        <x:v>188</x:v>
      </x:c>
      <x:c r="K31" s="274" t="n">
        <x:v>1232</x:v>
      </x:c>
      <x:c r="M31" s="274" t="s">
        <x:v>201</x:v>
      </x:c>
      <x:c r="N31" s="274" t="s">
        <x:v>202</x:v>
      </x:c>
    </x:row>
    <x:row r="32" spans="1:14">
      <x:c r="A32" s="274" t="s">
        <x:v>203</x:v>
      </x:c>
      <x:c r="B32" s="274" t="n">
        <x:v>2.86</x:v>
      </x:c>
      <x:c r="C32" s="274" t="n">
        <x:v>0</x:v>
      </x:c>
      <x:c r="D32" s="274" t="n">
        <x:v>0</x:v>
      </x:c>
      <x:c r="F32" s="274" t="s">
        <x:v>133</x:v>
      </x:c>
      <x:c r="G32" s="274" t="s">
        <x:v>134</x:v>
      </x:c>
      <x:c r="I32" s="274" t="n">
        <x:v>4.5</x:v>
      </x:c>
      <x:c r="J32" s="274" t="n">
        <x:v>73</x:v>
      </x:c>
      <x:c r="K32" s="274" t="n">
        <x:v>1110</x:v>
      </x:c>
      <x:c r="M32" s="274" t="s">
        <x:v>204</x:v>
      </x:c>
    </x:row>
    <x:row r="33" spans="1:14">
      <x:c r="A33" s="274" t="s">
        <x:v>205</x:v>
      </x:c>
      <x:c r="B33" s="274" t="n">
        <x:v>2.61</x:v>
      </x:c>
      <x:c r="C33" s="274" t="n">
        <x:v>0</x:v>
      </x:c>
      <x:c r="D33" s="274" t="n">
        <x:v>26</x:v>
      </x:c>
      <x:c r="E33" s="274" t="n">
        <x:v>18</x:v>
      </x:c>
      <x:c r="F33" s="274" t="s">
        <x:v>133</x:v>
      </x:c>
      <x:c r="G33" s="274" t="s">
        <x:v>136</x:v>
      </x:c>
      <x:c r="H33" s="274" t="n">
        <x:v>45</x:v>
      </x:c>
      <x:c r="I33" s="274" t="n">
        <x:v>1.4</x:v>
      </x:c>
      <x:c r="J33" s="274" t="n">
        <x:v>200</x:v>
      </x:c>
      <x:c r="K33" s="274" t="n">
        <x:v>1180</x:v>
      </x:c>
      <x:c r="M33" s="274" t="s">
        <x:v>206</x:v>
      </x:c>
      <x:c r="N33" s="274" t="s">
        <x:v>207</x:v>
      </x:c>
    </x:row>
    <x:row r="34" spans="1:14">
      <x:c r="A34" s="274" t="s">
        <x:v>208</x:v>
      </x:c>
      <x:c r="B34" s="274" t="n">
        <x:v>0.82</x:v>
      </x:c>
      <x:c r="C34" s="274" t="n">
        <x:v>0</x:v>
      </x:c>
      <x:c r="D34" s="274" t="n">
        <x:v>0</x:v>
      </x:c>
      <x:c r="F34" s="274" t="s">
        <x:v>133</x:v>
      </x:c>
      <x:c r="G34" s="274" t="s">
        <x:v>209</x:v>
      </x:c>
      <x:c r="I34" s="274" t="n">
        <x:v>1.2</x:v>
      </x:c>
      <x:c r="J34" s="274" t="n">
        <x:v>70</x:v>
      </x:c>
      <x:c r="K34" s="274" t="n">
        <x:v>1250</x:v>
      </x:c>
      <x:c r="M34" s="274" t="s">
        <x:v>210</x:v>
      </x:c>
      <x:c r="N34" s="274" t="s">
        <x:v>162</x:v>
      </x:c>
    </x:row>
    <x:row r="35" spans="1:14">
      <x:c r="A35" s="274" t="s">
        <x:v>211</x:v>
      </x:c>
      <x:c r="B35" s="274" t="n">
        <x:v>0.96</x:v>
      </x:c>
      <x:c r="C35" s="274" t="n">
        <x:v>30</x:v>
      </x:c>
      <x:c r="D35" s="274" t="n">
        <x:v>35</x:v>
      </x:c>
      <x:c r="E35" s="274" t="n">
        <x:v>33</x:v>
      </x:c>
      <x:c r="F35" s="274" t="s">
        <x:v>133</x:v>
      </x:c>
      <x:c r="G35" s="274" t="s">
        <x:v>144</x:v>
      </x:c>
      <x:c r="H35" s="274" t="n">
        <x:v>45</x:v>
      </x:c>
      <x:c r="I35" s="274" t="n">
        <x:v>1.6</x:v>
      </x:c>
      <x:c r="J35" s="274" t="n">
        <x:v>160</x:v>
      </x:c>
      <x:c r="K35" s="274" t="n">
        <x:v>473</x:v>
      </x:c>
      <x:c r="M35" s="274" t="s">
        <x:v>212</x:v>
      </x:c>
      <x:c r="N35" s="274" t="s">
        <x:v>131</x:v>
      </x:c>
    </x:row>
    <x:row r="36" spans="1:14">
      <x:c r="A36" s="274" t="s">
        <x:v>213</x:v>
      </x:c>
      <x:c r="B36" s="274" t="n">
        <x:v>8.7</x:v>
      </x:c>
      <x:c r="C36" s="274" t="n">
        <x:v>0</x:v>
      </x:c>
      <x:c r="D36" s="274" t="n">
        <x:v>0</x:v>
      </x:c>
      <x:c r="F36" s="274" t="s">
        <x:v>133</x:v>
      </x:c>
      <x:c r="G36" s="274" t="s">
        <x:v>134</x:v>
      </x:c>
      <x:c r="I36" s="274" t="n">
        <x:v>3.2</x:v>
      </x:c>
      <x:c r="J36" s="274" t="n">
        <x:v>700</x:v>
      </x:c>
      <x:c r="K36" s="274" t="n">
        <x:v>495</x:v>
      </x:c>
      <x:c r="M36" s="274" t="s">
        <x:v>214</x:v>
      </x:c>
    </x:row>
    <x:row r="37" spans="1:14">
      <x:c r="A37" s="274" t="s">
        <x:v>215</x:v>
      </x:c>
      <x:c r="B37" s="274" t="n">
        <x:v>2.11</x:v>
      </x:c>
      <x:c r="C37" s="274" t="n">
        <x:v>0</x:v>
      </x:c>
      <x:c r="D37" s="274" t="n">
        <x:v>0</x:v>
      </x:c>
      <x:c r="F37" s="274" t="s">
        <x:v>133</x:v>
      </x:c>
      <x:c r="G37" s="274" t="s">
        <x:v>136</x:v>
      </x:c>
      <x:c r="H37" s="274" t="n">
        <x:v>45</x:v>
      </x:c>
      <x:c r="I37" s="274" t="n">
        <x:v>1</x:v>
      </x:c>
      <x:c r="J37" s="274" t="n">
        <x:v>246</x:v>
      </x:c>
      <x:c r="K37" s="274" t="n">
        <x:v>1080</x:v>
      </x:c>
      <x:c r="M37" s="274" t="s">
        <x:v>216</x:v>
      </x:c>
      <x:c r="N37" s="274" t="s">
        <x:v>162</x:v>
      </x:c>
    </x:row>
    <x:row r="38" spans="1:14">
      <x:c r="A38" s="274" t="s">
        <x:v>217</x:v>
      </x:c>
      <x:c r="B38" s="274" t="n">
        <x:v>1.34</x:v>
      </x:c>
      <x:c r="C38" s="274" t="n">
        <x:v>0</x:v>
      </x:c>
      <x:c r="D38" s="274" t="n">
        <x:v>0</x:v>
      </x:c>
      <x:c r="F38" s="274" t="s">
        <x:v>133</x:v>
      </x:c>
      <x:c r="G38" s="274" t="s">
        <x:v>136</x:v>
      </x:c>
      <x:c r="H38" s="274" t="n">
        <x:v>45</x:v>
      </x:c>
      <x:c r="I38" s="274" t="n">
        <x:v>1</x:v>
      </x:c>
      <x:c r="J38" s="274" t="n">
        <x:v>108</x:v>
      </x:c>
      <x:c r="K38" s="274" t="n">
        <x:v>1564</x:v>
      </x:c>
      <x:c r="M38" s="274" t="s">
        <x:v>218</x:v>
      </x:c>
      <x:c r="N38" s="274" t="s">
        <x:v>162</x:v>
      </x:c>
    </x:row>
    <x:row r="39" spans="1:14">
      <x:c r="A39" s="274" t="s">
        <x:v>219</x:v>
      </x:c>
      <x:c r="B39" s="274" t="n">
        <x:v>1.65</x:v>
      </x:c>
      <x:c r="C39" s="274" t="n">
        <x:v>0</x:v>
      </x:c>
      <x:c r="D39" s="274" t="n">
        <x:v>0</x:v>
      </x:c>
      <x:c r="F39" s="274" t="s">
        <x:v>133</x:v>
      </x:c>
      <x:c r="G39" s="274" t="s">
        <x:v>134</x:v>
      </x:c>
      <x:c r="I39" s="274" t="n">
        <x:v>2.3</x:v>
      </x:c>
      <x:c r="J39" s="274" t="n">
        <x:v>59</x:v>
      </x:c>
      <x:c r="K39" s="274" t="n">
        <x:v>1548</x:v>
      </x:c>
      <x:c r="M39" s="274" t="s">
        <x:v>220</x:v>
      </x:c>
      <x:c r="N39" s="274" t="s">
        <x:v>162</x:v>
      </x:c>
    </x:row>
    <x:row r="40" spans="1:14">
      <x:c r="A40" s="274" t="s">
        <x:v>221</x:v>
      </x:c>
      <x:c r="B40" s="274" t="n">
        <x:v>2.26</x:v>
      </x:c>
      <x:c r="C40" s="274" t="n">
        <x:v>0</x:v>
      </x:c>
      <x:c r="D40" s="274" t="n">
        <x:v>0</x:v>
      </x:c>
      <x:c r="F40" s="274" t="s">
        <x:v>133</x:v>
      </x:c>
      <x:c r="G40" s="274" t="s">
        <x:v>134</x:v>
      </x:c>
      <x:c r="I40" s="274" t="n">
        <x:v>2.3</x:v>
      </x:c>
      <x:c r="J40" s="274" t="n">
        <x:v>78</x:v>
      </x:c>
      <x:c r="K40" s="274" t="n">
        <x:v>1605</x:v>
      </x:c>
      <x:c r="M40" s="274" t="s">
        <x:v>222</x:v>
      </x:c>
      <x:c r="N40" s="274" t="s">
        <x:v>162</x:v>
      </x:c>
    </x:row>
    <x:row r="41" spans="1:14">
      <x:c r="A41" s="274" t="s">
        <x:v>223</x:v>
      </x:c>
      <x:c r="B41" s="274" t="n">
        <x:v>2.66</x:v>
      </x:c>
      <x:c r="C41" s="274" t="n">
        <x:v>0</x:v>
      </x:c>
      <x:c r="D41" s="274" t="n">
        <x:v>0</x:v>
      </x:c>
      <x:c r="F41" s="274" t="s">
        <x:v>133</x:v>
      </x:c>
      <x:c r="G41" s="274" t="s">
        <x:v>134</x:v>
      </x:c>
      <x:c r="I41" s="274" t="n">
        <x:v>2.3</x:v>
      </x:c>
      <x:c r="J41" s="274" t="n">
        <x:v>92</x:v>
      </x:c>
      <x:c r="K41" s="274" t="n">
        <x:v>1600</x:v>
      </x:c>
      <x:c r="M41" s="274" t="s">
        <x:v>224</x:v>
      </x:c>
      <x:c r="N41" s="274" t="s">
        <x:v>162</x:v>
      </x:c>
    </x:row>
    <x:row r="42" spans="1:14">
      <x:c r="A42" s="274" t="s">
        <x:v>225</x:v>
      </x:c>
      <x:c r="B42" s="274" t="n">
        <x:v>3.97</x:v>
      </x:c>
      <x:c r="C42" s="274" t="n">
        <x:v>0</x:v>
      </x:c>
      <x:c r="D42" s="274" t="n">
        <x:v>0</x:v>
      </x:c>
      <x:c r="F42" s="274" t="s">
        <x:v>133</x:v>
      </x:c>
      <x:c r="G42" s="274" t="s">
        <x:v>134</x:v>
      </x:c>
      <x:c r="I42" s="274" t="n">
        <x:v>2.3</x:v>
      </x:c>
      <x:c r="J42" s="274" t="n">
        <x:v>188</x:v>
      </x:c>
      <x:c r="K42" s="274" t="n">
        <x:v>1170</x:v>
      </x:c>
      <x:c r="M42" s="274" t="s">
        <x:v>226</x:v>
      </x:c>
      <x:c r="N42" s="274" t="s">
        <x:v>162</x:v>
      </x:c>
    </x:row>
    <x:row r="43" spans="1:14">
      <x:c r="A43" s="274" t="s">
        <x:v>227</x:v>
      </x:c>
      <x:c r="B43" s="274" t="n">
        <x:v>5.49</x:v>
      </x:c>
      <x:c r="C43" s="274" t="n">
        <x:v>0</x:v>
      </x:c>
      <x:c r="D43" s="274" t="n">
        <x:v>0</x:v>
      </x:c>
      <x:c r="F43" s="274" t="s">
        <x:v>133</x:v>
      </x:c>
      <x:c r="G43" s="274" t="s">
        <x:v>134</x:v>
      </x:c>
      <x:c r="I43" s="274" t="n">
        <x:v>2.3</x:v>
      </x:c>
      <x:c r="J43" s="274" t="n">
        <x:v>243</x:v>
      </x:c>
      <x:c r="K43" s="274" t="n">
        <x:v>1250</x:v>
      </x:c>
      <x:c r="M43" s="274" t="s">
        <x:v>228</x:v>
      </x:c>
      <x:c r="N43" s="274" t="s">
        <x:v>229</x:v>
      </x:c>
    </x:row>
    <x:row r="44" spans="1:14">
      <x:c r="A44" s="274" t="s">
        <x:v>230</x:v>
      </x:c>
      <x:c r="B44" s="274" t="n">
        <x:v>0.49</x:v>
      </x:c>
      <x:c r="C44" s="274" t="n">
        <x:v>0</x:v>
      </x:c>
      <x:c r="D44" s="274" t="n">
        <x:v>0</x:v>
      </x:c>
      <x:c r="F44" s="274" t="s">
        <x:v>133</x:v>
      </x:c>
      <x:c r="G44" s="274" t="s">
        <x:v>136</x:v>
      </x:c>
      <x:c r="H44" s="274" t="n">
        <x:v>45</x:v>
      </x:c>
      <x:c r="I44" s="274" t="n">
        <x:v>1</x:v>
      </x:c>
      <x:c r="J44" s="274" t="n">
        <x:v>384</x:v>
      </x:c>
      <x:c r="K44" s="274" t="n">
        <x:v>162</x:v>
      </x:c>
      <x:c r="M44" s="274" t="s">
        <x:v>231</x:v>
      </x:c>
      <x:c r="N44" s="274" t="s">
        <x:v>131</x:v>
      </x:c>
    </x:row>
    <x:row r="45" spans="1:14">
      <x:c r="A45" s="274" t="s">
        <x:v>232</x:v>
      </x:c>
      <x:c r="B45" s="274" t="n">
        <x:v>2.18</x:v>
      </x:c>
      <x:c r="C45" s="274" t="n">
        <x:v>0</x:v>
      </x:c>
      <x:c r="D45" s="274" t="n">
        <x:v>0</x:v>
      </x:c>
      <x:c r="F45" s="274" t="s">
        <x:v>133</x:v>
      </x:c>
      <x:c r="G45" s="274" t="s">
        <x:v>148</x:v>
      </x:c>
      <x:c r="I45" s="274" t="n">
        <x:v>2</x:v>
      </x:c>
      <x:c r="J45" s="274" t="n">
        <x:v>970</x:v>
      </x:c>
      <x:c r="K45" s="274" t="n">
        <x:v>143</x:v>
      </x:c>
      <x:c r="M45" s="274" t="s">
        <x:v>233</x:v>
      </x:c>
      <x:c r="N45" s="274" t="s">
        <x:v>155</x:v>
      </x:c>
    </x:row>
    <x:row r="46" spans="1:14">
      <x:c r="A46" s="274" t="s">
        <x:v>234</x:v>
      </x:c>
      <x:c r="B46" s="274" t="n">
        <x:v>7.02</x:v>
      </x:c>
      <x:c r="C46" s="274" t="n">
        <x:v>0</x:v>
      </x:c>
      <x:c r="D46" s="274" t="n">
        <x:v>0</x:v>
      </x:c>
      <x:c r="F46" s="274" t="s">
        <x:v>133</x:v>
      </x:c>
      <x:c r="G46" s="274" t="s">
        <x:v>134</x:v>
      </x:c>
      <x:c r="I46" s="274" t="n">
        <x:v>4</x:v>
      </x:c>
      <x:c r="J46" s="274" t="n">
        <x:v>217</x:v>
      </x:c>
      <x:c r="K46" s="274" t="n">
        <x:v>1030</x:v>
      </x:c>
    </x:row>
    <x:row r="47" spans="1:14">
      <x:c r="A47" s="274" t="s">
        <x:v>235</x:v>
      </x:c>
      <x:c r="B47" s="274" t="n">
        <x:v>3.62</x:v>
      </x:c>
      <x:c r="C47" s="274" t="n">
        <x:v>0</x:v>
      </x:c>
      <x:c r="D47" s="274" t="n">
        <x:v>0</x:v>
      </x:c>
      <x:c r="F47" s="274" t="s">
        <x:v>133</x:v>
      </x:c>
      <x:c r="G47" s="274" t="s">
        <x:v>134</x:v>
      </x:c>
      <x:c r="I47" s="274" t="n">
        <x:v>2.3</x:v>
      </x:c>
      <x:c r="J47" s="274" t="n">
        <x:v>179</x:v>
      </x:c>
      <x:c r="K47" s="274" t="n">
        <x:v>1120</x:v>
      </x:c>
      <x:c r="M47" s="274" t="s">
        <x:v>236</x:v>
      </x:c>
      <x:c r="N47" s="274" t="s">
        <x:v>131</x:v>
      </x:c>
    </x:row>
    <x:row r="48" spans="1:14">
      <x:c r="A48" s="274" t="s">
        <x:v>237</x:v>
      </x:c>
      <x:c r="B48" s="274" t="n">
        <x:v>1.45</x:v>
      </x:c>
      <x:c r="C48" s="274" t="n">
        <x:v>0</x:v>
      </x:c>
      <x:c r="D48" s="274" t="n">
        <x:v>0</x:v>
      </x:c>
      <x:c r="F48" s="274" t="s">
        <x:v>133</x:v>
      </x:c>
      <x:c r="G48" s="274" t="s">
        <x:v>136</x:v>
      </x:c>
      <x:c r="H48" s="274" t="n">
        <x:v>45</x:v>
      </x:c>
      <x:c r="I48" s="274" t="n">
        <x:v>1</x:v>
      </x:c>
      <x:c r="J48" s="274" t="n">
        <x:v>183</x:v>
      </x:c>
      <x:c r="K48" s="274" t="n">
        <x:v>1000</x:v>
      </x:c>
      <x:c r="M48" s="274" t="s">
        <x:v>238</x:v>
      </x:c>
      <x:c r="N48" s="274" t="s">
        <x:v>162</x:v>
      </x:c>
    </x:row>
    <x:row r="49" spans="1:14">
      <x:c r="A49" s="274" t="s">
        <x:v>239</x:v>
      </x:c>
      <x:c r="B49" s="274" t="n">
        <x:v>0.69</x:v>
      </x:c>
      <x:c r="C49" s="274" t="n">
        <x:v>0</x:v>
      </x:c>
      <x:c r="D49" s="274" t="n">
        <x:v>0</x:v>
      </x:c>
      <x:c r="F49" s="274" t="s">
        <x:v>133</x:v>
      </x:c>
      <x:c r="G49" s="274" t="s">
        <x:v>209</x:v>
      </x:c>
      <x:c r="I49" s="274" t="n">
        <x:v>0.8</x:v>
      </x:c>
      <x:c r="J49" s="274" t="n">
        <x:v>170</x:v>
      </x:c>
      <x:c r="K49" s="274" t="n">
        <x:v>642</x:v>
      </x:c>
      <x:c r="M49" s="274" t="s">
        <x:v>240</x:v>
      </x:c>
      <x:c r="N49" s="274" t="s">
        <x:v>241</x:v>
      </x:c>
    </x:row>
    <x:row r="50" spans="1:14">
      <x:c r="A50" s="274" t="s">
        <x:v>242</x:v>
      </x:c>
      <x:c r="B50" s="274" t="n">
        <x:v>1.3</x:v>
      </x:c>
      <x:c r="C50" s="274" t="n">
        <x:v>0</x:v>
      </x:c>
      <x:c r="D50" s="274" t="n">
        <x:v>0</x:v>
      </x:c>
      <x:c r="F50" s="274" t="s">
        <x:v>133</x:v>
      </x:c>
      <x:c r="G50" s="274" t="s">
        <x:v>209</x:v>
      </x:c>
      <x:c r="I50" s="274" t="n">
        <x:v>1.2</x:v>
      </x:c>
      <x:c r="J50" s="274" t="n">
        <x:v>225</x:v>
      </x:c>
      <x:c r="K50" s="274" t="n">
        <x:v>611</x:v>
      </x:c>
      <x:c r="M50" s="274" t="s">
        <x:v>243</x:v>
      </x:c>
    </x:row>
    <x:row r="51" spans="1:14">
      <x:c r="A51" s="274" t="s">
        <x:v>244</x:v>
      </x:c>
      <x:c r="B51" s="274" t="n">
        <x:v>1.27</x:v>
      </x:c>
      <x:c r="C51" s="274" t="n">
        <x:v>0</x:v>
      </x:c>
      <x:c r="D51" s="274" t="n">
        <x:v>0</x:v>
      </x:c>
      <x:c r="F51" s="274" t="s">
        <x:v>133</x:v>
      </x:c>
      <x:c r="G51" s="274" t="s">
        <x:v>209</x:v>
      </x:c>
      <x:c r="I51" s="274" t="n">
        <x:v>1.2</x:v>
      </x:c>
      <x:c r="J51" s="274" t="n">
        <x:v>213</x:v>
      </x:c>
      <x:c r="K51" s="274" t="n">
        <x:v>634</x:v>
      </x:c>
      <x:c r="M51" s="274" t="s">
        <x:v>245</x:v>
      </x:c>
    </x:row>
    <x:row r="52" spans="1:14">
      <x:c r="A52" s="274" t="s">
        <x:v>246</x:v>
      </x:c>
      <x:c r="B52" s="274" t="n">
        <x:v>2.06</x:v>
      </x:c>
      <x:c r="C52" s="274" t="n">
        <x:v>0</x:v>
      </x:c>
      <x:c r="D52" s="274" t="n">
        <x:v>0</x:v>
      </x:c>
      <x:c r="F52" s="274" t="s">
        <x:v>133</x:v>
      </x:c>
      <x:c r="G52" s="274" t="s">
        <x:v>136</x:v>
      </x:c>
      <x:c r="H52" s="274" t="n">
        <x:v>45</x:v>
      </x:c>
      <x:c r="I52" s="274" t="n">
        <x:v>1.4</x:v>
      </x:c>
      <x:c r="J52" s="274" t="n">
        <x:v>165</x:v>
      </x:c>
      <x:c r="K52" s="274" t="n">
        <x:v>1125</x:v>
      </x:c>
      <x:c r="M52" s="274" t="s">
        <x:v>247</x:v>
      </x:c>
    </x:row>
    <x:row r="53" spans="1:14">
      <x:c r="A53" s="274" t="s">
        <x:v>248</x:v>
      </x:c>
      <x:c r="B53" s="274" t="n">
        <x:v>2.45</x:v>
      </x:c>
      <x:c r="C53" s="274" t="n">
        <x:v>0</x:v>
      </x:c>
      <x:c r="D53" s="274" t="n">
        <x:v>0</x:v>
      </x:c>
      <x:c r="F53" s="274" t="s">
        <x:v>133</x:v>
      </x:c>
      <x:c r="G53" s="274" t="s">
        <x:v>136</x:v>
      </x:c>
      <x:c r="H53" s="274" t="n">
        <x:v>45</x:v>
      </x:c>
      <x:c r="I53" s="274" t="n">
        <x:v>1.4</x:v>
      </x:c>
      <x:c r="J53" s="274" t="n">
        <x:v>178</x:v>
      </x:c>
      <x:c r="K53" s="274" t="n">
        <x:v>1242</x:v>
      </x:c>
      <x:c r="M53" s="274" t="s">
        <x:v>247</x:v>
      </x:c>
    </x:row>
    <x:row r="54" spans="1:14">
      <x:c r="A54" s="274" t="s">
        <x:v>249</x:v>
      </x:c>
      <x:c r="B54" s="274" t="n">
        <x:v>0.22</x:v>
      </x:c>
      <x:c r="C54" s="274" t="n">
        <x:v>35</x:v>
      </x:c>
      <x:c r="D54" s="274" t="n">
        <x:v>35</x:v>
      </x:c>
      <x:c r="E54" s="274" t="n">
        <x:v>33</x:v>
      </x:c>
      <x:c r="F54" s="274" t="s">
        <x:v>133</x:v>
      </x:c>
      <x:c r="G54" s="274" t="s">
        <x:v>136</x:v>
      </x:c>
      <x:c r="H54" s="274" t="n">
        <x:v>45</x:v>
      </x:c>
      <x:c r="I54" s="274" t="n">
        <x:v>1.2</x:v>
      </x:c>
      <x:c r="J54" s="274" t="n">
        <x:v>124</x:v>
      </x:c>
      <x:c r="K54" s="274" t="n">
        <x:v>188</x:v>
      </x:c>
      <x:c r="M54" s="274" t="s">
        <x:v>250</x:v>
      </x:c>
      <x:c r="N54" s="274" t="s">
        <x:v>131</x:v>
      </x:c>
    </x:row>
    <x:row r="55" spans="1:14">
      <x:c r="A55" s="274" t="s">
        <x:v>251</x:v>
      </x:c>
      <x:c r="B55" s="274" t="n">
        <x:v>0.96</x:v>
      </x:c>
      <x:c r="C55" s="274" t="n">
        <x:v>0</x:v>
      </x:c>
      <x:c r="D55" s="274" t="n">
        <x:v>0</x:v>
      </x:c>
      <x:c r="F55" s="274" t="s">
        <x:v>133</x:v>
      </x:c>
      <x:c r="G55" s="274" t="s">
        <x:v>134</x:v>
      </x:c>
      <x:c r="I55" s="274" t="n">
        <x:v>2</x:v>
      </x:c>
      <x:c r="J55" s="274" t="n">
        <x:v>61</x:v>
      </x:c>
      <x:c r="K55" s="274" t="n">
        <x:v>1000</x:v>
      </x:c>
      <x:c r="M55" s="274" t="s">
        <x:v>252</x:v>
      </x:c>
      <x:c r="N55" s="274" t="s">
        <x:v>126</x:v>
      </x:c>
    </x:row>
    <x:row r="56" spans="1:14">
      <x:c r="A56" s="274" t="s">
        <x:v>253</x:v>
      </x:c>
      <x:c r="B56" s="274" t="n">
        <x:v>0.33</x:v>
      </x:c>
      <x:c r="C56" s="274" t="n">
        <x:v>0</x:v>
      </x:c>
      <x:c r="D56" s="274" t="n">
        <x:v>35</x:v>
      </x:c>
      <x:c r="E56" s="274" t="n">
        <x:v>33</x:v>
      </x:c>
      <x:c r="F56" s="274" t="s">
        <x:v>133</x:v>
      </x:c>
      <x:c r="G56" s="274" t="s">
        <x:v>134</x:v>
      </x:c>
      <x:c r="I56" s="274" t="n">
        <x:v>2.3</x:v>
      </x:c>
      <x:c r="J56" s="274" t="n">
        <x:v>130</x:v>
      </x:c>
      <x:c r="K56" s="274" t="n">
        <x:v>140</x:v>
      </x:c>
      <x:c r="M56" s="274" t="s">
        <x:v>254</x:v>
      </x:c>
      <x:c r="N56" s="274" t="s">
        <x:v>162</x:v>
      </x:c>
    </x:row>
    <x:row r="57" spans="1:14">
      <x:c r="A57" s="274" t="s">
        <x:v>255</x:v>
      </x:c>
      <x:c r="B57" s="274" t="n">
        <x:v>1.72</x:v>
      </x:c>
      <x:c r="C57" s="274" t="n">
        <x:v>0</x:v>
      </x:c>
      <x:c r="D57" s="274" t="n">
        <x:v>0</x:v>
      </x:c>
      <x:c r="F57" s="274" t="s">
        <x:v>133</x:v>
      </x:c>
      <x:c r="G57" s="274" t="s">
        <x:v>136</x:v>
      </x:c>
      <x:c r="H57" s="274" t="n">
        <x:v>45</x:v>
      </x:c>
      <x:c r="I57" s="274" t="n">
        <x:v>1.4</x:v>
      </x:c>
      <x:c r="J57" s="274" t="n">
        <x:v>127</x:v>
      </x:c>
      <x:c r="K57" s="274" t="n">
        <x:v>1225</x:v>
      </x:c>
      <x:c r="M57" s="274" t="s">
        <x:v>256</x:v>
      </x:c>
    </x:row>
    <x:row r="58" spans="1:14">
      <x:c r="A58" s="274" t="s">
        <x:v>257</x:v>
      </x:c>
      <x:c r="B58" s="274" t="n">
        <x:v>0.57</x:v>
      </x:c>
      <x:c r="C58" s="274" t="n">
        <x:v>0</x:v>
      </x:c>
      <x:c r="D58" s="274" t="n">
        <x:v>0</x:v>
      </x:c>
      <x:c r="F58" s="274" t="s">
        <x:v>133</x:v>
      </x:c>
      <x:c r="G58" s="274" t="s">
        <x:v>136</x:v>
      </x:c>
      <x:c r="H58" s="274" t="n">
        <x:v>45</x:v>
      </x:c>
      <x:c r="I58" s="274" t="n">
        <x:v>1.6</x:v>
      </x:c>
      <x:c r="J58" s="274" t="n">
        <x:v>50</x:v>
      </x:c>
      <x:c r="K58" s="274" t="n">
        <x:v>900</x:v>
      </x:c>
      <x:c r="M58" s="274" t="s">
        <x:v>258</x:v>
      </x:c>
      <x:c r="N58" s="274" t="s">
        <x:v>126</x:v>
      </x:c>
    </x:row>
    <x:row r="59" spans="1:14">
      <x:c r="A59" s="274" t="s">
        <x:v>259</x:v>
      </x:c>
      <x:c r="B59" s="274" t="n">
        <x:v>0.82</x:v>
      </x:c>
      <x:c r="C59" s="274" t="n">
        <x:v>30</x:v>
      </x:c>
      <x:c r="D59" s="274" t="n">
        <x:v>35</x:v>
      </x:c>
      <x:c r="E59" s="274" t="n">
        <x:v>33</x:v>
      </x:c>
      <x:c r="F59" s="274" t="s">
        <x:v>133</x:v>
      </x:c>
      <x:c r="G59" s="274" t="s">
        <x:v>136</x:v>
      </x:c>
      <x:c r="H59" s="274" t="n">
        <x:v>45</x:v>
      </x:c>
      <x:c r="I59" s="274" t="n">
        <x:v>1.6</x:v>
      </x:c>
      <x:c r="J59" s="274" t="n">
        <x:v>245</x:v>
      </x:c>
      <x:c r="K59" s="274" t="n">
        <x:v>264</x:v>
      </x:c>
      <x:c r="M59" s="274" t="s">
        <x:v>260</x:v>
      </x:c>
    </x:row>
    <x:row r="60" spans="1:14">
      <x:c r="A60" s="274" t="s">
        <x:v>261</x:v>
      </x:c>
      <x:c r="B60" s="274" t="n">
        <x:v>0.87</x:v>
      </x:c>
      <x:c r="C60" s="274" t="n">
        <x:v>0</x:v>
      </x:c>
      <x:c r="D60" s="274" t="n">
        <x:v>0</x:v>
      </x:c>
      <x:c r="F60" s="274" t="s">
        <x:v>133</x:v>
      </x:c>
      <x:c r="G60" s="274" t="s">
        <x:v>134</x:v>
      </x:c>
      <x:c r="I60" s="274" t="n">
        <x:v>1.6</x:v>
      </x:c>
      <x:c r="J60" s="274" t="n">
        <x:v>108</x:v>
      </x:c>
      <x:c r="K60" s="274" t="n">
        <x:v>640</x:v>
      </x:c>
      <x:c r="M60" s="274" t="s">
        <x:v>262</x:v>
      </x:c>
    </x:row>
    <x:row r="61" spans="1:14">
      <x:c r="A61" s="274" t="s">
        <x:v>263</x:v>
      </x:c>
      <x:c r="B61" s="274" t="n">
        <x:v>0.61</x:v>
      </x:c>
      <x:c r="C61" s="274" t="n">
        <x:v>0</x:v>
      </x:c>
      <x:c r="D61" s="274" t="n">
        <x:v>0</x:v>
      </x:c>
      <x:c r="F61" s="274" t="s">
        <x:v>133</x:v>
      </x:c>
      <x:c r="G61" s="274" t="s">
        <x:v>136</x:v>
      </x:c>
      <x:c r="H61" s="274" t="n">
        <x:v>45</x:v>
      </x:c>
      <x:c r="I61" s="274" t="n">
        <x:v>1.4</x:v>
      </x:c>
      <x:c r="J61" s="274" t="n">
        <x:v>140</x:v>
      </x:c>
      <x:c r="K61" s="274" t="n">
        <x:v>395</x:v>
      </x:c>
      <x:c r="M61" s="274" t="s">
        <x:v>264</x:v>
      </x:c>
      <x:c r="N61" s="274" t="s">
        <x:v>162</x:v>
      </x:c>
    </x:row>
    <x:row r="62" spans="1:14">
      <x:c r="A62" s="274" t="s">
        <x:v>265</x:v>
      </x:c>
      <x:c r="B62" s="274" t="n">
        <x:v>0.82</x:v>
      </x:c>
      <x:c r="C62" s="274" t="n">
        <x:v>0</x:v>
      </x:c>
      <x:c r="D62" s="274" t="n">
        <x:v>0</x:v>
      </x:c>
      <x:c r="F62" s="274" t="s">
        <x:v>133</x:v>
      </x:c>
      <x:c r="G62" s="274" t="s">
        <x:v>136</x:v>
      </x:c>
      <x:c r="H62" s="274" t="n">
        <x:v>45</x:v>
      </x:c>
      <x:c r="I62" s="274" t="n">
        <x:v>1.6</x:v>
      </x:c>
      <x:c r="J62" s="274" t="n">
        <x:v>245</x:v>
      </x:c>
      <x:c r="K62" s="274" t="n">
        <x:v>264</x:v>
      </x:c>
      <x:c r="M62" s="274" t="s">
        <x:v>266</x:v>
      </x:c>
    </x:row>
    <x:row r="63" spans="1:14">
      <x:c r="A63" s="274" t="s">
        <x:v>267</x:v>
      </x:c>
      <x:c r="B63" s="274" t="n">
        <x:v>0.32</x:v>
      </x:c>
      <x:c r="C63" s="274" t="n">
        <x:v>0</x:v>
      </x:c>
      <x:c r="D63" s="274" t="n">
        <x:v>0</x:v>
      </x:c>
      <x:c r="F63" s="274" t="s">
        <x:v>133</x:v>
      </x:c>
      <x:c r="G63" s="274" t="s">
        <x:v>136</x:v>
      </x:c>
      <x:c r="H63" s="274" t="n">
        <x:v>45</x:v>
      </x:c>
      <x:c r="I63" s="274" t="n">
        <x:v>1</x:v>
      </x:c>
      <x:c r="J63" s="274" t="n">
        <x:v>241</x:v>
      </x:c>
      <x:c r="K63" s="274" t="n">
        <x:v>167</x:v>
      </x:c>
      <x:c r="M63" s="274" t="s">
        <x:v>268</x:v>
      </x:c>
      <x:c r="N63" s="274" t="s">
        <x:v>162</x:v>
      </x:c>
    </x:row>
    <x:row r="64" spans="1:14">
      <x:c r="A64" s="274" t="s">
        <x:v>269</x:v>
      </x:c>
      <x:c r="B64" s="274" t="n">
        <x:v>1.35</x:v>
      </x:c>
      <x:c r="C64" s="274" t="n">
        <x:v>0</x:v>
      </x:c>
      <x:c r="D64" s="274" t="n">
        <x:v>0</x:v>
      </x:c>
      <x:c r="F64" s="274" t="s">
        <x:v>133</x:v>
      </x:c>
      <x:c r="G64" s="274" t="s">
        <x:v>136</x:v>
      </x:c>
      <x:c r="H64" s="274" t="n">
        <x:v>45</x:v>
      </x:c>
      <x:c r="I64" s="274" t="n">
        <x:v>2</x:v>
      </x:c>
      <x:c r="J64" s="274" t="n">
        <x:v>78</x:v>
      </x:c>
      <x:c r="K64" s="274" t="n">
        <x:v>1100</x:v>
      </x:c>
      <x:c r="M64" s="274" t="s">
        <x:v>270</x:v>
      </x:c>
      <x:c r="N64" s="274" t="s">
        <x:v>162</x:v>
      </x:c>
    </x:row>
    <x:row r="65" spans="1:14">
      <x:c r="A65" s="274" t="s">
        <x:v>271</x:v>
      </x:c>
      <x:c r="B65" s="274" t="n">
        <x:v>1.27</x:v>
      </x:c>
      <x:c r="C65" s="274" t="n">
        <x:v>0</x:v>
      </x:c>
      <x:c r="D65" s="274" t="n">
        <x:v>0</x:v>
      </x:c>
      <x:c r="F65" s="274" t="s">
        <x:v>133</x:v>
      </x:c>
      <x:c r="G65" s="274" t="s">
        <x:v>134</x:v>
      </x:c>
      <x:c r="I65" s="274" t="n">
        <x:v>2.3</x:v>
      </x:c>
      <x:c r="J65" s="274" t="n">
        <x:v>97</x:v>
      </x:c>
      <x:c r="K65" s="274" t="n">
        <x:v>727</x:v>
      </x:c>
      <x:c r="M65" s="274" t="s">
        <x:v>272</x:v>
      </x:c>
    </x:row>
    <x:row r="66" spans="1:14">
      <x:c r="A66" s="274" t="s">
        <x:v>273</x:v>
      </x:c>
      <x:c r="B66" s="274" t="n">
        <x:v>1.58</x:v>
      </x:c>
      <x:c r="C66" s="274" t="n">
        <x:v>0</x:v>
      </x:c>
      <x:c r="D66" s="274" t="n">
        <x:v>0</x:v>
      </x:c>
      <x:c r="F66" s="274" t="s">
        <x:v>133</x:v>
      </x:c>
      <x:c r="G66" s="274" t="s">
        <x:v>134</x:v>
      </x:c>
      <x:c r="I66" s="274" t="n">
        <x:v>2.3</x:v>
      </x:c>
      <x:c r="J66" s="274" t="n">
        <x:v>127</x:v>
      </x:c>
      <x:c r="K66" s="274" t="n">
        <x:v>687</x:v>
      </x:c>
      <x:c r="M66" s="274" t="s">
        <x:v>274</x:v>
      </x:c>
    </x:row>
    <x:row r="67" spans="1:14">
      <x:c r="A67" s="274" t="s">
        <x:v>275</x:v>
      </x:c>
      <x:c r="B67" s="274" t="n">
        <x:v>3.36</x:v>
      </x:c>
      <x:c r="C67" s="274" t="n">
        <x:v>0</x:v>
      </x:c>
      <x:c r="D67" s="274" t="n">
        <x:v>0</x:v>
      </x:c>
      <x:c r="F67" s="274" t="s">
        <x:v>133</x:v>
      </x:c>
      <x:c r="G67" s="274" t="s">
        <x:v>134</x:v>
      </x:c>
      <x:c r="I67" s="274" t="n">
        <x:v>3.2</x:v>
      </x:c>
      <x:c r="J67" s="274" t="n">
        <x:v>126</x:v>
      </x:c>
      <x:c r="K67" s="274" t="n">
        <x:v>1060</x:v>
      </x:c>
      <x:c r="M67" s="274" t="s">
        <x:v>276</x:v>
      </x:c>
      <x:c r="N67" s="274" t="s">
        <x:v>162</x:v>
      </x:c>
    </x:row>
    <x:row r="68" spans="1:14">
      <x:c r="A68" s="274" t="s">
        <x:v>277</x:v>
      </x:c>
      <x:c r="B68" s="274" t="n">
        <x:v>1.29</x:v>
      </x:c>
      <x:c r="C68" s="274" t="n">
        <x:v>0</x:v>
      </x:c>
      <x:c r="D68" s="274" t="n">
        <x:v>0</x:v>
      </x:c>
      <x:c r="F68" s="274" t="s">
        <x:v>133</x:v>
      </x:c>
      <x:c r="G68" s="274" t="s">
        <x:v>136</x:v>
      </x:c>
      <x:c r="H68" s="274" t="n">
        <x:v>45</x:v>
      </x:c>
      <x:c r="I68" s="274" t="n">
        <x:v>1.6</x:v>
      </x:c>
      <x:c r="J68" s="274" t="n">
        <x:v>68</x:v>
      </x:c>
      <x:c r="K68" s="274" t="n">
        <x:v>1500</x:v>
      </x:c>
      <x:c r="M68" s="274" t="s">
        <x:v>278</x:v>
      </x:c>
      <x:c r="N68" s="274" t="s">
        <x:v>126</x:v>
      </x:c>
    </x:row>
    <x:row r="69" spans="1:14">
      <x:c r="A69" s="274" t="s">
        <x:v>279</x:v>
      </x:c>
      <x:c r="B69" s="274" t="n">
        <x:v>1.42</x:v>
      </x:c>
      <x:c r="C69" s="274" t="n">
        <x:v>0</x:v>
      </x:c>
      <x:c r="D69" s="274" t="n">
        <x:v>0</x:v>
      </x:c>
      <x:c r="F69" s="274" t="s">
        <x:v>133</x:v>
      </x:c>
      <x:c r="G69" s="274" t="s">
        <x:v>136</x:v>
      </x:c>
      <x:c r="H69" s="274" t="n">
        <x:v>45</x:v>
      </x:c>
      <x:c r="I69" s="274" t="n">
        <x:v>1.6</x:v>
      </x:c>
      <x:c r="J69" s="274" t="n">
        <x:v>75</x:v>
      </x:c>
      <x:c r="K69" s="274" t="n">
        <x:v>1500</x:v>
      </x:c>
      <x:c r="M69" s="274" t="s">
        <x:v>280</x:v>
      </x:c>
      <x:c r="N69" s="274" t="s">
        <x:v>126</x:v>
      </x:c>
    </x:row>
    <x:row r="70" spans="1:14">
      <x:c r="A70" s="274" t="s">
        <x:v>281</x:v>
      </x:c>
      <x:c r="B70" s="274" t="n">
        <x:v>1.08</x:v>
      </x:c>
      <x:c r="C70" s="274" t="n">
        <x:v>0</x:v>
      </x:c>
      <x:c r="D70" s="274" t="n">
        <x:v>0</x:v>
      </x:c>
      <x:c r="F70" s="274" t="s">
        <x:v>133</x:v>
      </x:c>
      <x:c r="G70" s="274" t="s">
        <x:v>148</x:v>
      </x:c>
      <x:c r="I70" s="274" t="n">
        <x:v>2.3</x:v>
      </x:c>
      <x:c r="J70" s="274" t="n">
        <x:v>116</x:v>
      </x:c>
      <x:c r="K70" s="274" t="n">
        <x:v>515</x:v>
      </x:c>
      <x:c r="M70" s="274" t="s">
        <x:v>282</x:v>
      </x:c>
      <x:c r="N70" s="274" t="s">
        <x:v>162</x:v>
      </x:c>
    </x:row>
    <x:row r="71" spans="1:14">
      <x:c r="A71" s="274" t="s">
        <x:v>283</x:v>
      </x:c>
      <x:c r="B71" s="274" t="n">
        <x:v>5.89</x:v>
      </x:c>
      <x:c r="C71" s="274" t="n">
        <x:v>0</x:v>
      </x:c>
      <x:c r="D71" s="274" t="n">
        <x:v>0</x:v>
      </x:c>
      <x:c r="E71" s="274" t="n">
        <x:v>0</x:v>
      </x:c>
      <x:c r="F71" s="274" t="s">
        <x:v>184</x:v>
      </x:c>
      <x:c r="G71" s="274" t="s">
        <x:v>284</x:v>
      </x:c>
      <x:c r="H71" s="274" t="s">
        <x:v>285</x:v>
      </x:c>
      <x:c r="I71" s="274" t="n">
        <x:v>0.75</x:v>
      </x:c>
      <x:c r="J71" s="274" t="n">
        <x:v>1167</x:v>
      </x:c>
      <x:c r="K71" s="274" t="n">
        <x:v>1688</x:v>
      </x:c>
      <x:c r="M71" s="274" t="s">
        <x:v>286</x:v>
      </x:c>
    </x:row>
    <x:row r="72" spans="1:14">
      <x:c r="A72" s="274" t="s">
        <x:v>287</x:v>
      </x:c>
      <x:c r="B72" s="274" t="n">
        <x:v>3.76</x:v>
      </x:c>
      <x:c r="C72" s="274" t="n">
        <x:v>0</x:v>
      </x:c>
      <x:c r="D72" s="274" t="n">
        <x:v>0</x:v>
      </x:c>
      <x:c r="F72" s="274" t="s">
        <x:v>133</x:v>
      </x:c>
      <x:c r="G72" s="274" t="s">
        <x:v>136</x:v>
      </x:c>
      <x:c r="H72" s="274" t="n">
        <x:v>45</x:v>
      </x:c>
      <x:c r="I72" s="274" t="n">
        <x:v>1.8</x:v>
      </x:c>
      <x:c r="J72" s="274" t="n">
        <x:v>214</x:v>
      </x:c>
      <x:c r="K72" s="274" t="n">
        <x:v>1235</x:v>
      </x:c>
      <x:c r="M72" s="274" t="s">
        <x:v>288</x:v>
      </x:c>
    </x:row>
    <x:row r="73" spans="1:14">
      <x:c r="A73" s="274" t="s">
        <x:v>289</x:v>
      </x:c>
      <x:c r="B73" s="274" t="n">
        <x:v>2.63</x:v>
      </x:c>
      <x:c r="C73" s="274" t="n">
        <x:v>0</x:v>
      </x:c>
      <x:c r="D73" s="274" t="n">
        <x:v>0</x:v>
      </x:c>
      <x:c r="F73" s="274" t="s">
        <x:v>133</x:v>
      </x:c>
      <x:c r="G73" s="274" t="s">
        <x:v>136</x:v>
      </x:c>
      <x:c r="H73" s="274" t="n">
        <x:v>45</x:v>
      </x:c>
      <x:c r="I73" s="274" t="n">
        <x:v>2</x:v>
      </x:c>
      <x:c r="J73" s="274" t="n">
        <x:v>147</x:v>
      </x:c>
      <x:c r="K73" s="274" t="n">
        <x:v>1135</x:v>
      </x:c>
      <x:c r="M73" s="274" t="s">
        <x:v>290</x:v>
      </x:c>
      <x:c r="N73" s="274" t="s">
        <x:v>131</x:v>
      </x:c>
    </x:row>
    <x:row r="74" spans="1:14">
      <x:c r="A74" s="274" t="s">
        <x:v>291</x:v>
      </x:c>
      <x:c r="B74" s="274" t="n">
        <x:v>2.98</x:v>
      </x:c>
      <x:c r="C74" s="274" t="n">
        <x:v>0</x:v>
      </x:c>
      <x:c r="D74" s="274" t="n">
        <x:v>0</x:v>
      </x:c>
      <x:c r="F74" s="274" t="s">
        <x:v>133</x:v>
      </x:c>
      <x:c r="G74" s="274" t="s">
        <x:v>148</x:v>
      </x:c>
      <x:c r="I74" s="274" t="n">
        <x:v>2</x:v>
      </x:c>
      <x:c r="J74" s="274" t="n">
        <x:v>157</x:v>
      </x:c>
      <x:c r="K74" s="274" t="n">
        <x:v>1210</x:v>
      </x:c>
      <x:c r="M74" s="274" t="s">
        <x:v>292</x:v>
      </x:c>
      <x:c r="N74" s="274" t="s">
        <x:v>293</x:v>
      </x:c>
    </x:row>
    <x:row r="75" spans="1:14">
      <x:c r="A75" s="274" t="s">
        <x:v>294</x:v>
      </x:c>
      <x:c r="B75" s="274" t="n">
        <x:v>3.2</x:v>
      </x:c>
      <x:c r="C75" s="274" t="n">
        <x:v>0</x:v>
      </x:c>
      <x:c r="D75" s="274" t="n">
        <x:v>0</x:v>
      </x:c>
      <x:c r="F75" s="274" t="s">
        <x:v>133</x:v>
      </x:c>
      <x:c r="G75" s="274" t="s">
        <x:v>148</x:v>
      </x:c>
      <x:c r="I75" s="274" t="n">
        <x:v>2</x:v>
      </x:c>
      <x:c r="J75" s="274" t="n">
        <x:v>157</x:v>
      </x:c>
      <x:c r="K75" s="274" t="n">
        <x:v>1300</x:v>
      </x:c>
      <x:c r="M75" s="274" t="s">
        <x:v>295</x:v>
      </x:c>
      <x:c r="N75" s="274" t="s">
        <x:v>296</x:v>
      </x:c>
    </x:row>
    <x:row r="76" spans="1:14">
      <x:c r="A76" s="274" t="s">
        <x:v>297</x:v>
      </x:c>
      <x:c r="B76" s="274" t="n">
        <x:v>0.72</x:v>
      </x:c>
      <x:c r="C76" s="274" t="n">
        <x:v>0</x:v>
      </x:c>
      <x:c r="D76" s="274" t="n">
        <x:v>0</x:v>
      </x:c>
      <x:c r="F76" s="274" t="s">
        <x:v>184</x:v>
      </x:c>
      <x:c r="G76" s="274" t="s">
        <x:v>129</x:v>
      </x:c>
      <x:c r="H76" s="274" t="n">
        <x:v>45</x:v>
      </x:c>
      <x:c r="I76" s="274" t="n">
        <x:v>1.2</x:v>
      </x:c>
      <x:c r="J76" s="274" t="n">
        <x:v>63</x:v>
      </x:c>
      <x:c r="K76" s="274" t="n">
        <x:v>1197</x:v>
      </x:c>
      <x:c r="M76" s="274" t="s">
        <x:v>298</x:v>
      </x:c>
      <x:c r="N76" s="274" t="s">
        <x:v>299</x:v>
      </x:c>
    </x:row>
    <x:row r="77" spans="1:14">
      <x:c r="A77" s="274" t="s">
        <x:v>300</x:v>
      </x:c>
      <x:c r="B77" s="274" t="n">
        <x:v>3.71</x:v>
      </x:c>
      <x:c r="C77" s="274" t="n">
        <x:v>0</x:v>
      </x:c>
      <x:c r="D77" s="274" t="n">
        <x:v>0</x:v>
      </x:c>
      <x:c r="F77" s="274" t="s">
        <x:v>133</x:v>
      </x:c>
      <x:c r="G77" s="274" t="s">
        <x:v>124</x:v>
      </x:c>
      <x:c r="I77" s="274" t="n">
        <x:v>2</x:v>
      </x:c>
      <x:c r="J77" s="274" t="n">
        <x:v>195</x:v>
      </x:c>
      <x:c r="K77" s="274" t="n">
        <x:v>1210</x:v>
      </x:c>
      <x:c r="M77" s="274" t="s">
        <x:v>301</x:v>
      </x:c>
      <x:c r="N77" s="274" t="s">
        <x:v>299</x:v>
      </x:c>
    </x:row>
    <x:row r="78" spans="1:14">
      <x:c r="A78" s="274" t="s">
        <x:v>302</x:v>
      </x:c>
      <x:c r="B78" s="274" t="n">
        <x:v>0.62</x:v>
      </x:c>
      <x:c r="C78" s="274" t="n">
        <x:v>0</x:v>
      </x:c>
      <x:c r="D78" s="274" t="n">
        <x:v>35</x:v>
      </x:c>
      <x:c r="E78" s="274" t="n">
        <x:v>33</x:v>
      </x:c>
      <x:c r="F78" s="274" t="s">
        <x:v>133</x:v>
      </x:c>
      <x:c r="G78" s="274" t="s">
        <x:v>148</x:v>
      </x:c>
      <x:c r="I78" s="274" t="n">
        <x:v>2.3</x:v>
      </x:c>
      <x:c r="J78" s="274" t="n">
        <x:v>243</x:v>
      </x:c>
      <x:c r="K78" s="274" t="n">
        <x:v>142</x:v>
      </x:c>
      <x:c r="M78" s="274" t="s">
        <x:v>303</x:v>
      </x:c>
      <x:c r="N78" s="274" t="s">
        <x:v>155</x:v>
      </x:c>
    </x:row>
    <x:row r="79" spans="1:14">
      <x:c r="A79" s="274" t="s">
        <x:v>304</x:v>
      </x:c>
      <x:c r="B79" s="274" t="n">
        <x:v>0.81</x:v>
      </x:c>
      <x:c r="C79" s="274" t="n">
        <x:v>0</x:v>
      </x:c>
      <x:c r="D79" s="274" t="n">
        <x:v>0</x:v>
      </x:c>
      <x:c r="F79" s="274" t="s">
        <x:v>123</x:v>
      </x:c>
      <x:c r="G79" s="274" t="s">
        <x:v>209</x:v>
      </x:c>
      <x:c r="I79" s="274" t="n">
        <x:v>0.6</x:v>
      </x:c>
      <x:c r="J79" s="274" t="n">
        <x:v>150</x:v>
      </x:c>
      <x:c r="K79" s="274" t="n">
        <x:v>1140</x:v>
      </x:c>
      <x:c r="M79" s="274" t="s">
        <x:v>305</x:v>
      </x:c>
      <x:c r="N79" s="274" t="s">
        <x:v>299</x:v>
      </x:c>
    </x:row>
    <x:row r="80" spans="1:14">
      <x:c r="A80" s="274" t="s">
        <x:v>306</x:v>
      </x:c>
      <x:c r="B80" s="274" t="n">
        <x:v>0.72</x:v>
      </x:c>
      <x:c r="C80" s="274" t="n">
        <x:v>0</x:v>
      </x:c>
      <x:c r="D80" s="274" t="n">
        <x:v>0</x:v>
      </x:c>
      <x:c r="F80" s="274" t="s">
        <x:v>133</x:v>
      </x:c>
      <x:c r="G80" s="274" t="s">
        <x:v>134</x:v>
      </x:c>
      <x:c r="I80" s="274" t="n">
        <x:v>2.6</x:v>
      </x:c>
      <x:c r="J80" s="274" t="n">
        <x:v>250</x:v>
      </x:c>
      <x:c r="K80" s="274" t="n">
        <x:v>142</x:v>
      </x:c>
      <x:c r="M80" s="274" t="s">
        <x:v>307</x:v>
      </x:c>
      <x:c r="N80" s="274" t="s">
        <x:v>299</x:v>
      </x:c>
    </x:row>
    <x:row r="81" spans="1:14">
      <x:c r="A81" s="274" t="s">
        <x:v>308</x:v>
      </x:c>
      <x:c r="B81" s="274" t="n">
        <x:v>0.34</x:v>
      </x:c>
      <x:c r="C81" s="274" t="n">
        <x:v>0</x:v>
      </x:c>
      <x:c r="D81" s="274" t="n">
        <x:v>0</x:v>
      </x:c>
      <x:c r="F81" s="274" t="s">
        <x:v>128</x:v>
      </x:c>
      <x:c r="G81" s="274" t="s">
        <x:v>129</x:v>
      </x:c>
      <x:c r="H81" s="274" t="n">
        <x:v>45</x:v>
      </x:c>
      <x:c r="I81" s="274" t="n">
        <x:v>0.6</x:v>
      </x:c>
      <x:c r="J81" s="274" t="n">
        <x:v>80</x:v>
      </x:c>
      <x:c r="K81" s="274" t="n">
        <x:v>880</x:v>
      </x:c>
      <x:c r="M81" s="274" t="s">
        <x:v>309</x:v>
      </x:c>
    </x:row>
    <x:row r="82" spans="1:14">
      <x:c r="A82" s="274" t="s">
        <x:v>310</x:v>
      </x:c>
      <x:c r="B82" s="274" t="n">
        <x:v>0.58</x:v>
      </x:c>
      <x:c r="C82" s="274" t="n">
        <x:v>0</x:v>
      </x:c>
      <x:c r="D82" s="274" t="n">
        <x:v>0</x:v>
      </x:c>
      <x:c r="F82" s="274" t="s">
        <x:v>311</x:v>
      </x:c>
      <x:c r="G82" s="274" t="s">
        <x:v>312</x:v>
      </x:c>
      <x:c r="H82" s="274" t="n">
        <x:v>45</x:v>
      </x:c>
      <x:c r="I82" s="274" t="n">
        <x:v>0.7</x:v>
      </x:c>
      <x:c r="J82" s="274" t="n">
        <x:v>340</x:v>
      </x:c>
      <x:c r="K82" s="274" t="n">
        <x:v>305</x:v>
      </x:c>
      <x:c r="M82" s="274" t="s">
        <x:v>313</x:v>
      </x:c>
    </x:row>
    <x:row r="83" spans="1:14">
      <x:c r="A83" s="274" t="s">
        <x:v>314</x:v>
      </x:c>
      <x:c r="B83" s="274" t="n">
        <x:v>1</x:v>
      </x:c>
      <x:c r="C83" s="274" t="n">
        <x:v>0</x:v>
      </x:c>
      <x:c r="D83" s="274" t="n">
        <x:v>0</x:v>
      </x:c>
      <x:c r="F83" s="274" t="s">
        <x:v>133</x:v>
      </x:c>
      <x:c r="G83" s="274" t="s">
        <x:v>136</x:v>
      </x:c>
      <x:c r="H83" s="274" t="n">
        <x:v>45</x:v>
      </x:c>
      <x:c r="I83" s="274" t="n">
        <x:v>0.75</x:v>
      </x:c>
      <x:c r="J83" s="274" t="n">
        <x:v>272</x:v>
      </x:c>
      <x:c r="K83" s="274" t="n">
        <x:v>612</x:v>
      </x:c>
      <x:c r="M83" s="274" t="s">
        <x:v>315</x:v>
      </x:c>
    </x:row>
    <x:row r="84" spans="1:14">
      <x:c r="A84" s="274" t="s">
        <x:v>316</x:v>
      </x:c>
      <x:c r="B84" s="274" t="n">
        <x:v>0.5</x:v>
      </x:c>
      <x:c r="C84" s="274" t="n">
        <x:v>0</x:v>
      </x:c>
      <x:c r="D84" s="274" t="n">
        <x:v>0</x:v>
      </x:c>
      <x:c r="F84" s="274" t="s">
        <x:v>184</x:v>
      </x:c>
      <x:c r="G84" s="274" t="s">
        <x:v>129</x:v>
      </x:c>
      <x:c r="H84" s="274" t="n">
        <x:v>45</x:v>
      </x:c>
      <x:c r="I84" s="274" t="n">
        <x:v>1.2</x:v>
      </x:c>
      <x:c r="J84" s="274" t="n">
        <x:v>350</x:v>
      </x:c>
      <x:c r="K84" s="274" t="n">
        <x:v>150</x:v>
      </x:c>
      <x:c r="M84" s="274" t="s">
        <x:v>317</x:v>
      </x:c>
      <x:c r="N84" s="274" t="s">
        <x:v>131</x:v>
      </x:c>
    </x:row>
    <x:row r="85" spans="1:14">
      <x:c r="A85" s="274" t="s">
        <x:v>318</x:v>
      </x:c>
      <x:c r="B85" s="274" t="n">
        <x:v>0.89</x:v>
      </x:c>
      <x:c r="C85" s="274" t="n">
        <x:v>0</x:v>
      </x:c>
      <x:c r="D85" s="274" t="n">
        <x:v>0</x:v>
      </x:c>
      <x:c r="F85" s="274" t="s">
        <x:v>133</x:v>
      </x:c>
      <x:c r="G85" s="274" t="s">
        <x:v>136</x:v>
      </x:c>
      <x:c r="H85" s="274" t="n">
        <x:v>45</x:v>
      </x:c>
      <x:c r="I85" s="274" t="n">
        <x:v>1.2</x:v>
      </x:c>
      <x:c r="J85" s="274" t="n">
        <x:v>188</x:v>
      </x:c>
      <x:c r="K85" s="274" t="n">
        <x:v>500</x:v>
      </x:c>
      <x:c r="M85" s="274" t="s">
        <x:v>319</x:v>
      </x:c>
      <x:c r="N85" s="274" t="s">
        <x:v>162</x:v>
      </x:c>
    </x:row>
    <x:row r="86" spans="1:14">
      <x:c r="A86" s="274" t="s">
        <x:v>320</x:v>
      </x:c>
      <x:c r="B86" s="274" t="n">
        <x:v>0.26</x:v>
      </x:c>
      <x:c r="C86" s="274" t="n">
        <x:v>0</x:v>
      </x:c>
      <x:c r="D86" s="274" t="n">
        <x:v>0</x:v>
      </x:c>
      <x:c r="F86" s="274" t="s">
        <x:v>133</x:v>
      </x:c>
      <x:c r="G86" s="274" t="s">
        <x:v>136</x:v>
      </x:c>
      <x:c r="H86" s="274" t="n">
        <x:v>45</x:v>
      </x:c>
      <x:c r="I86" s="274" t="n">
        <x:v>1.2</x:v>
      </x:c>
      <x:c r="J86" s="274" t="n">
        <x:v>185</x:v>
      </x:c>
      <x:c r="K86" s="274" t="n">
        <x:v>145</x:v>
      </x:c>
      <x:c r="M86" s="274" t="s">
        <x:v>321</x:v>
      </x:c>
    </x:row>
    <x:row r="87" spans="1:14">
      <x:c r="A87" s="274" t="s">
        <x:v>322</x:v>
      </x:c>
      <x:c r="B87" s="274" t="n">
        <x:v>20.7</x:v>
      </x:c>
      <x:c r="C87" s="274" t="n">
        <x:v>0</x:v>
      </x:c>
      <x:c r="D87" s="274" t="n">
        <x:v>0</x:v>
      </x:c>
      <x:c r="E87" s="274" t="n">
        <x:v>0</x:v>
      </x:c>
      <x:c r="F87" s="274" t="s">
        <x:v>184</x:v>
      </x:c>
      <x:c r="G87" s="274" t="s">
        <x:v>284</x:v>
      </x:c>
      <x:c r="H87" s="274" t="s">
        <x:v>285</x:v>
      </x:c>
      <x:c r="I87" s="274" t="n">
        <x:v>0.8</x:v>
      </x:c>
      <x:c r="J87" s="274" t="n">
        <x:v>1360</x:v>
      </x:c>
      <x:c r="K87" s="274" t="n">
        <x:v>2509</x:v>
      </x:c>
      <x:c r="L87" s="274" t="n">
        <x:v>2271</x:v>
      </x:c>
      <x:c r="M87" s="274" t="s">
        <x:v>323</x:v>
      </x:c>
      <x:c r="N87" s="274" t="s">
        <x:v>299</x:v>
      </x:c>
    </x:row>
    <x:row r="88" spans="1:14">
      <x:c r="A88" s="274" t="s">
        <x:v>324</x:v>
      </x:c>
      <x:c r="B88" s="274" t="n">
        <x:v>1.23</x:v>
      </x:c>
      <x:c r="C88" s="274" t="n">
        <x:v>0</x:v>
      </x:c>
      <x:c r="D88" s="274" t="n">
        <x:v>0</x:v>
      </x:c>
      <x:c r="F88" s="274" t="s">
        <x:v>133</x:v>
      </x:c>
      <x:c r="G88" s="274" t="s">
        <x:v>136</x:v>
      </x:c>
      <x:c r="H88" s="274" t="n">
        <x:v>45</x:v>
      </x:c>
      <x:c r="I88" s="274" t="n">
        <x:v>1.6</x:v>
      </x:c>
      <x:c r="J88" s="274" t="n">
        <x:v>165</x:v>
      </x:c>
      <x:c r="K88" s="274" t="n">
        <x:v>590</x:v>
      </x:c>
      <x:c r="M88" s="274" t="s">
        <x:v>325</x:v>
      </x:c>
      <x:c r="N88" s="274" t="s">
        <x:v>162</x:v>
      </x:c>
    </x:row>
    <x:row r="89" spans="1:14">
      <x:c r="A89" s="274" t="s">
        <x:v>326</x:v>
      </x:c>
      <x:c r="B89" s="274" t="n">
        <x:v>2.3</x:v>
      </x:c>
      <x:c r="C89" s="274" t="n">
        <x:v>0</x:v>
      </x:c>
      <x:c r="D89" s="274" t="n">
        <x:v>0</x:v>
      </x:c>
      <x:c r="F89" s="274" t="s">
        <x:v>184</x:v>
      </x:c>
      <x:c r="G89" s="274" t="s">
        <x:v>129</x:v>
      </x:c>
      <x:c r="H89" s="274" t="n">
        <x:v>45</x:v>
      </x:c>
      <x:c r="I89" s="274" t="n">
        <x:v>1.2</x:v>
      </x:c>
      <x:c r="J89" s="274" t="n">
        <x:v>550</x:v>
      </x:c>
      <x:c r="K89" s="274" t="n">
        <x:v>440</x:v>
      </x:c>
      <x:c r="M89" s="274" t="s">
        <x:v>327</x:v>
      </x:c>
    </x:row>
    <x:row r="90" spans="1:14">
      <x:c r="A90" s="274" t="s">
        <x:v>328</x:v>
      </x:c>
      <x:c r="B90" s="274" t="n">
        <x:v>0.41</x:v>
      </x:c>
      <x:c r="C90" s="274" t="n">
        <x:v>0</x:v>
      </x:c>
      <x:c r="D90" s="274" t="n">
        <x:v>0</x:v>
      </x:c>
      <x:c r="F90" s="274" t="s">
        <x:v>133</x:v>
      </x:c>
      <x:c r="G90" s="274" t="s">
        <x:v>136</x:v>
      </x:c>
      <x:c r="H90" s="274" t="n">
        <x:v>45</x:v>
      </x:c>
      <x:c r="I90" s="274" t="n">
        <x:v>1.2</x:v>
      </x:c>
      <x:c r="J90" s="274" t="n">
        <x:v>70</x:v>
      </x:c>
      <x:c r="K90" s="274" t="n">
        <x:v>610</x:v>
      </x:c>
      <x:c r="M90" s="274" t="s">
        <x:v>329</x:v>
      </x:c>
      <x:c r="N90" s="274" t="s">
        <x:v>162</x:v>
      </x:c>
    </x:row>
    <x:row r="91" spans="1:14">
      <x:c r="A91" s="274" t="s">
        <x:v>330</x:v>
      </x:c>
      <x:c r="B91" s="274" t="n">
        <x:v>1.28</x:v>
      </x:c>
      <x:c r="C91" s="274" t="n">
        <x:v>0</x:v>
      </x:c>
      <x:c r="D91" s="274" t="n">
        <x:v>0</x:v>
      </x:c>
      <x:c r="F91" s="274" t="s">
        <x:v>133</x:v>
      </x:c>
      <x:c r="G91" s="274" t="s">
        <x:v>209</x:v>
      </x:c>
      <x:c r="I91" s="274" t="n">
        <x:v>1.2</x:v>
      </x:c>
      <x:c r="J91" s="274" t="n">
        <x:v>109</x:v>
      </x:c>
      <x:c r="K91" s="274" t="n">
        <x:v>1250</x:v>
      </x:c>
      <x:c r="M91" s="274" t="s">
        <x:v>331</x:v>
      </x:c>
      <x:c r="N91" s="274" t="s">
        <x:v>131</x:v>
      </x:c>
    </x:row>
    <x:row r="92" spans="1:14">
      <x:c r="A92" s="274" t="s">
        <x:v>332</x:v>
      </x:c>
      <x:c r="B92" s="274" t="n">
        <x:v>4.68</x:v>
      </x:c>
      <x:c r="C92" s="274" t="n">
        <x:v>0</x:v>
      </x:c>
      <x:c r="D92" s="274" t="n">
        <x:v>0</x:v>
      </x:c>
      <x:c r="F92" s="274" t="s">
        <x:v>333</x:v>
      </x:c>
      <x:c r="G92" s="274" t="s">
        <x:v>334</x:v>
      </x:c>
      <x:c r="I92" s="274" t="n">
        <x:v>1.4</x:v>
      </x:c>
      <x:c r="J92" s="274" t="n">
        <x:v>788</x:v>
      </x:c>
      <x:c r="K92" s="274" t="n">
        <x:v>540</x:v>
      </x:c>
      <x:c r="M92" s="274" t="s">
        <x:v>335</x:v>
      </x:c>
      <x:c r="N92" s="274" t="s">
        <x:v>299</x:v>
      </x:c>
    </x:row>
    <x:row r="93" spans="1:14">
      <x:c r="A93" s="274" t="s">
        <x:v>336</x:v>
      </x:c>
      <x:c r="B93" s="274" t="n">
        <x:v>0.97</x:v>
      </x:c>
      <x:c r="C93" s="274" t="n">
        <x:v>0</x:v>
      </x:c>
      <x:c r="D93" s="274" t="n">
        <x:v>35</x:v>
      </x:c>
      <x:c r="E93" s="274" t="n">
        <x:v>33</x:v>
      </x:c>
      <x:c r="F93" s="274" t="s">
        <x:v>133</x:v>
      </x:c>
      <x:c r="G93" s="274" t="s">
        <x:v>148</x:v>
      </x:c>
      <x:c r="I93" s="274" t="n">
        <x:v>2</x:v>
      </x:c>
      <x:c r="J93" s="274" t="n">
        <x:v>150</x:v>
      </x:c>
      <x:c r="K93" s="274" t="n">
        <x:v>412</x:v>
      </x:c>
      <x:c r="M93" s="274" t="s">
        <x:v>337</x:v>
      </x:c>
    </x:row>
    <x:row r="94" spans="1:14">
      <x:c r="A94" s="274" t="s">
        <x:v>338</x:v>
      </x:c>
      <x:c r="B94" s="274" t="n">
        <x:v>0.82</x:v>
      </x:c>
      <x:c r="C94" s="274" t="n">
        <x:v>30</x:v>
      </x:c>
      <x:c r="D94" s="274" t="n">
        <x:v>35</x:v>
      </x:c>
      <x:c r="E94" s="274" t="n">
        <x:v>33</x:v>
      </x:c>
      <x:c r="F94" s="274" t="s">
        <x:v>133</x:v>
      </x:c>
      <x:c r="G94" s="274" t="s">
        <x:v>124</x:v>
      </x:c>
      <x:c r="I94" s="274" t="n">
        <x:v>1.2</x:v>
      </x:c>
      <x:c r="J94" s="274" t="n">
        <x:v>275</x:v>
      </x:c>
      <x:c r="K94" s="274" t="n">
        <x:v>315</x:v>
      </x:c>
    </x:row>
    <x:row r="95" spans="1:14">
      <x:c r="A95" s="274" t="s">
        <x:v>339</x:v>
      </x:c>
      <x:c r="B95" s="274" t="n">
        <x:v>0.94</x:v>
      </x:c>
      <x:c r="C95" s="274" t="n">
        <x:v>0</x:v>
      </x:c>
      <x:c r="D95" s="274" t="n">
        <x:v>0</x:v>
      </x:c>
      <x:c r="F95" s="274" t="s">
        <x:v>133</x:v>
      </x:c>
      <x:c r="G95" s="274" t="s">
        <x:v>144</x:v>
      </x:c>
      <x:c r="H95" s="274" t="n">
        <x:v>45</x:v>
      </x:c>
      <x:c r="I95" s="274" t="n">
        <x:v>1.6</x:v>
      </x:c>
      <x:c r="J95" s="274" t="n">
        <x:v>113</x:v>
      </x:c>
      <x:c r="K95" s="274" t="n">
        <x:v>656</x:v>
      </x:c>
      <x:c r="M95" s="274" t="s">
        <x:v>340</x:v>
      </x:c>
      <x:c r="N95" s="274" t="s">
        <x:v>131</x:v>
      </x:c>
    </x:row>
    <x:row r="96" spans="1:14">
      <x:c r="A96" s="274" t="s">
        <x:v>341</x:v>
      </x:c>
      <x:c r="B96" s="274" t="n">
        <x:v>1.12</x:v>
      </x:c>
      <x:c r="C96" s="274" t="n">
        <x:v>0</x:v>
      </x:c>
      <x:c r="D96" s="274" t="n">
        <x:v>0</x:v>
      </x:c>
      <x:c r="F96" s="274" t="s">
        <x:v>184</x:v>
      </x:c>
      <x:c r="G96" s="274" t="s">
        <x:v>136</x:v>
      </x:c>
      <x:c r="H96" s="274" t="n">
        <x:v>45</x:v>
      </x:c>
      <x:c r="I96" s="274" t="n">
        <x:v>0.65</x:v>
      </x:c>
      <x:c r="J96" s="274" t="n">
        <x:v>1400</x:v>
      </x:c>
      <x:c r="K96" s="274" t="n">
        <x:v>154</x:v>
      </x:c>
      <x:c r="M96" s="274" t="s">
        <x:v>342</x:v>
      </x:c>
      <x:c r="N96" s="274" t="s">
        <x:v>131</x:v>
      </x:c>
    </x:row>
    <x:row r="97" spans="1:14">
      <x:c r="A97" s="274" t="s">
        <x:v>343</x:v>
      </x:c>
      <x:c r="B97" s="274" t="n">
        <x:v>0.21</x:v>
      </x:c>
      <x:c r="C97" s="274" t="n">
        <x:v>0</x:v>
      </x:c>
      <x:c r="D97" s="274" t="n">
        <x:v>0</x:v>
      </x:c>
      <x:c r="F97" s="274" t="s">
        <x:v>133</x:v>
      </x:c>
      <x:c r="G97" s="274" t="s">
        <x:v>153</x:v>
      </x:c>
      <x:c r="I97" s="274" t="n">
        <x:v>0.7</x:v>
      </x:c>
      <x:c r="J97" s="274" t="n">
        <x:v>210</x:v>
      </x:c>
      <x:c r="K97" s="274" t="n">
        <x:v>185</x:v>
      </x:c>
      <x:c r="M97" s="274" t="s">
        <x:v>344</x:v>
      </x:c>
      <x:c r="N97" s="274" t="s">
        <x:v>299</x:v>
      </x:c>
    </x:row>
    <x:row r="98" spans="1:14">
      <x:c r="A98" s="274" t="s">
        <x:v>345</x:v>
      </x:c>
      <x:c r="B98" s="274" t="n">
        <x:v>4.23</x:v>
      </x:c>
      <x:c r="C98" s="274" t="n">
        <x:v>0</x:v>
      </x:c>
      <x:c r="D98" s="274" t="n">
        <x:v>0</x:v>
      </x:c>
      <x:c r="F98" s="274" t="s">
        <x:v>133</x:v>
      </x:c>
      <x:c r="G98" s="274" t="s">
        <x:v>134</x:v>
      </x:c>
      <x:c r="I98" s="274" t="n">
        <x:v>2.9</x:v>
      </x:c>
      <x:c r="J98" s="274" t="n">
        <x:v>391.5</x:v>
      </x:c>
      <x:c r="K98" s="274" t="n">
        <x:v>475</x:v>
      </x:c>
      <x:c r="M98" s="274" t="s">
        <x:v>346</x:v>
      </x:c>
      <x:c r="N98" s="274" t="s">
        <x:v>126</x:v>
      </x:c>
    </x:row>
    <x:row r="99" spans="1:14">
      <x:c r="A99" s="274" t="s">
        <x:v>347</x:v>
      </x:c>
      <x:c r="B99" s="274" t="n">
        <x:v>6.27</x:v>
      </x:c>
      <x:c r="C99" s="274" t="n">
        <x:v>0</x:v>
      </x:c>
      <x:c r="D99" s="274" t="n">
        <x:v>0</x:v>
      </x:c>
      <x:c r="F99" s="274" t="s">
        <x:v>133</x:v>
      </x:c>
      <x:c r="G99" s="274" t="s">
        <x:v>148</x:v>
      </x:c>
      <x:c r="I99" s="274" t="n">
        <x:v>4.5</x:v>
      </x:c>
      <x:c r="J99" s="274" t="n">
        <x:v>258</x:v>
      </x:c>
      <x:c r="K99" s="274" t="n">
        <x:v>688</x:v>
      </x:c>
      <x:c r="M99" s="274" t="s">
        <x:v>348</x:v>
      </x:c>
      <x:c r="N99" s="274" t="s">
        <x:v>131</x:v>
      </x:c>
    </x:row>
    <x:row r="100" spans="1:14">
      <x:c r="A100" s="274" t="s">
        <x:v>349</x:v>
      </x:c>
      <x:c r="B100" s="274" t="n">
        <x:v>0.37</x:v>
      </x:c>
      <x:c r="C100" s="274" t="n">
        <x:v>0</x:v>
      </x:c>
      <x:c r="D100" s="274" t="n">
        <x:v>0</x:v>
      </x:c>
      <x:c r="F100" s="274" t="s">
        <x:v>123</x:v>
      </x:c>
      <x:c r="G100" s="274" t="s">
        <x:v>209</x:v>
      </x:c>
      <x:c r="I100" s="274" t="n">
        <x:v>1.8</x:v>
      </x:c>
      <x:c r="J100" s="274" t="n">
        <x:v>175</x:v>
      </x:c>
      <x:c r="K100" s="274" t="n">
        <x:v>150</x:v>
      </x:c>
      <x:c r="M100" s="274" t="s">
        <x:v>350</x:v>
      </x:c>
      <x:c r="N100" s="274" t="s">
        <x:v>131</x:v>
      </x:c>
    </x:row>
    <x:row r="101" spans="1:14">
      <x:c r="A101" s="274" t="s">
        <x:v>351</x:v>
      </x:c>
      <x:c r="B101" s="274" t="n">
        <x:v>0.18</x:v>
      </x:c>
      <x:c r="C101" s="274" t="n">
        <x:v>0</x:v>
      </x:c>
      <x:c r="D101" s="274" t="n">
        <x:v>0</x:v>
      </x:c>
      <x:c r="F101" s="274" t="s">
        <x:v>128</x:v>
      </x:c>
      <x:c r="G101" s="274" t="s">
        <x:v>129</x:v>
      </x:c>
      <x:c r="H101" s="274" t="n">
        <x:v>45</x:v>
      </x:c>
      <x:c r="I101" s="274" t="n">
        <x:v>0.8</x:v>
      </x:c>
      <x:c r="J101" s="274" t="n">
        <x:v>302</x:v>
      </x:c>
      <x:c r="K101" s="274" t="n">
        <x:v>92</x:v>
      </x:c>
      <x:c r="M101" s="274" t="s">
        <x:v>352</x:v>
      </x:c>
      <x:c r="N101" s="274" t="s">
        <x:v>299</x:v>
      </x:c>
    </x:row>
    <x:row r="102" spans="1:14">
      <x:c r="A102" s="274" t="s">
        <x:v>353</x:v>
      </x:c>
      <x:c r="B102" s="274" t="n">
        <x:v>5.56</x:v>
      </x:c>
      <x:c r="C102" s="274" t="n">
        <x:v>0</x:v>
      </x:c>
      <x:c r="D102" s="274" t="n">
        <x:v>0</x:v>
      </x:c>
      <x:c r="F102" s="274" t="s">
        <x:v>133</x:v>
      </x:c>
      <x:c r="G102" s="274" t="s">
        <x:v>136</x:v>
      </x:c>
      <x:c r="H102" s="274" t="n">
        <x:v>45</x:v>
      </x:c>
      <x:c r="I102" s="274" t="n">
        <x:v>1.4</x:v>
      </x:c>
      <x:c r="J102" s="274" t="n">
        <x:v>707</x:v>
      </x:c>
      <x:c r="K102" s="274" t="n">
        <x:v>710</x:v>
      </x:c>
      <x:c r="M102" s="274" t="s">
        <x:v>354</x:v>
      </x:c>
    </x:row>
    <x:row r="103" spans="1:14">
      <x:c r="A103" s="274" t="s">
        <x:v>355</x:v>
      </x:c>
      <x:c r="B103" s="274" t="n">
        <x:v>3.25</x:v>
      </x:c>
      <x:c r="C103" s="274" t="n">
        <x:v>0</x:v>
      </x:c>
      <x:c r="D103" s="274" t="n">
        <x:v>0</x:v>
      </x:c>
      <x:c r="F103" s="274" t="s">
        <x:v>133</x:v>
      </x:c>
      <x:c r="G103" s="274" t="s">
        <x:v>209</x:v>
      </x:c>
      <x:c r="I103" s="274" t="n">
        <x:v>1.2</x:v>
      </x:c>
      <x:c r="J103" s="274" t="n">
        <x:v>276</x:v>
      </x:c>
      <x:c r="K103" s="274" t="n">
        <x:v>1250</x:v>
      </x:c>
      <x:c r="M103" s="274" t="s">
        <x:v>356</x:v>
      </x:c>
      <x:c r="N103" s="274" t="s">
        <x:v>229</x:v>
      </x:c>
    </x:row>
    <x:row r="104" spans="1:14">
      <x:c r="A104" s="274" t="s">
        <x:v>357</x:v>
      </x:c>
      <x:c r="B104" s="274" t="n">
        <x:v>2.43</x:v>
      </x:c>
      <x:c r="C104" s="274" t="n">
        <x:v>0</x:v>
      </x:c>
      <x:c r="D104" s="274" t="n">
        <x:v>0</x:v>
      </x:c>
      <x:c r="F104" s="274" t="s">
        <x:v>133</x:v>
      </x:c>
      <x:c r="G104" s="274" t="s">
        <x:v>144</x:v>
      </x:c>
      <x:c r="H104" s="274" t="n">
        <x:v>45</x:v>
      </x:c>
      <x:c r="I104" s="274" t="n">
        <x:v>2</x:v>
      </x:c>
      <x:c r="J104" s="274" t="n">
        <x:v>880</x:v>
      </x:c>
      <x:c r="K104" s="274" t="n">
        <x:v>175</x:v>
      </x:c>
      <x:c r="M104" s="274" t="s">
        <x:v>358</x:v>
      </x:c>
      <x:c r="N104" s="274" t="s">
        <x:v>229</x:v>
      </x:c>
    </x:row>
    <x:row r="105" spans="1:14">
      <x:c r="A105" s="274" t="s">
        <x:v>359</x:v>
      </x:c>
      <x:c r="B105" s="274" t="n">
        <x:v>0.9</x:v>
      </x:c>
      <x:c r="C105" s="274" t="n">
        <x:v>30</x:v>
      </x:c>
      <x:c r="D105" s="274" t="n">
        <x:v>35</x:v>
      </x:c>
      <x:c r="E105" s="274" t="n">
        <x:v>33</x:v>
      </x:c>
      <x:c r="F105" s="274" t="s">
        <x:v>133</x:v>
      </x:c>
      <x:c r="G105" s="274" t="s">
        <x:v>144</x:v>
      </x:c>
      <x:c r="H105" s="274" t="n">
        <x:v>45</x:v>
      </x:c>
      <x:c r="I105" s="274" t="n">
        <x:v>1.2</x:v>
      </x:c>
      <x:c r="J105" s="274" t="n">
        <x:v>401</x:v>
      </x:c>
      <x:c r="K105" s="274" t="n">
        <x:v>236</x:v>
      </x:c>
      <x:c r="M105" s="274" t="s">
        <x:v>360</x:v>
      </x:c>
      <x:c r="N105" s="274" t="s">
        <x:v>162</x:v>
      </x:c>
    </x:row>
    <x:row r="106" spans="1:14">
      <x:c r="A106" s="274" t="s">
        <x:v>361</x:v>
      </x:c>
      <x:c r="B106" s="274" t="n">
        <x:v>4.43</x:v>
      </x:c>
      <x:c r="C106" s="274" t="n">
        <x:v>0</x:v>
      </x:c>
      <x:c r="D106" s="274" t="n">
        <x:v>0</x:v>
      </x:c>
      <x:c r="F106" s="274" t="s">
        <x:v>133</x:v>
      </x:c>
      <x:c r="G106" s="274" t="s">
        <x:v>148</x:v>
      </x:c>
      <x:c r="I106" s="274" t="n">
        <x:v>3.2</x:v>
      </x:c>
      <x:c r="J106" s="274" t="n">
        <x:v>445</x:v>
      </x:c>
      <x:c r="K106" s="274" t="n">
        <x:v>396</x:v>
      </x:c>
      <x:c r="M106" s="274" t="s">
        <x:v>362</x:v>
      </x:c>
      <x:c r="N106" s="274" t="s">
        <x:v>363</x:v>
      </x:c>
    </x:row>
    <x:row r="107" spans="1:14">
      <x:c r="A107" s="274" t="s">
        <x:v>364</x:v>
      </x:c>
      <x:c r="B107" s="274" t="n">
        <x:v>1.61</x:v>
      </x:c>
      <x:c r="C107" s="274" t="n">
        <x:v>0</x:v>
      </x:c>
      <x:c r="D107" s="274" t="n">
        <x:v>0</x:v>
      </x:c>
      <x:c r="F107" s="274" t="s">
        <x:v>133</x:v>
      </x:c>
      <x:c r="G107" s="274" t="s">
        <x:v>148</x:v>
      </x:c>
      <x:c r="I107" s="274" t="n">
        <x:v>2</x:v>
      </x:c>
      <x:c r="J107" s="274" t="n">
        <x:v>67</x:v>
      </x:c>
      <x:c r="K107" s="274" t="n">
        <x:v>1530</x:v>
      </x:c>
      <x:c r="M107" s="274" t="s">
        <x:v>365</x:v>
      </x:c>
      <x:c r="N107" s="274" t="s">
        <x:v>162</x:v>
      </x:c>
    </x:row>
    <x:row r="108" spans="1:14">
      <x:c r="A108" s="274" t="s">
        <x:v>366</x:v>
      </x:c>
      <x:c r="B108" s="274" t="n">
        <x:v>2.18</x:v>
      </x:c>
      <x:c r="C108" s="274" t="n">
        <x:v>0</x:v>
      </x:c>
      <x:c r="D108" s="274" t="n">
        <x:v>0</x:v>
      </x:c>
      <x:c r="F108" s="274" t="s">
        <x:v>133</x:v>
      </x:c>
      <x:c r="G108" s="274" t="s">
        <x:v>124</x:v>
      </x:c>
      <x:c r="I108" s="274" t="n">
        <x:v>1.2</x:v>
      </x:c>
      <x:c r="J108" s="274" t="n">
        <x:v>185</x:v>
      </x:c>
      <x:c r="K108" s="274" t="n">
        <x:v>1250</x:v>
      </x:c>
      <x:c r="M108" s="274" t="s">
        <x:v>367</x:v>
      </x:c>
      <x:c r="N108" s="274" t="s">
        <x:v>155</x:v>
      </x:c>
    </x:row>
    <x:row r="109" spans="1:14">
      <x:c r="A109" s="274" t="s">
        <x:v>368</x:v>
      </x:c>
      <x:c r="B109" s="274" t="n">
        <x:v>4.05</x:v>
      </x:c>
      <x:c r="C109" s="274" t="n">
        <x:v>0</x:v>
      </x:c>
      <x:c r="D109" s="274" t="n">
        <x:v>0</x:v>
      </x:c>
      <x:c r="F109" s="274" t="s">
        <x:v>133</x:v>
      </x:c>
      <x:c r="G109" s="274" t="s">
        <x:v>148</x:v>
      </x:c>
      <x:c r="I109" s="274" t="n">
        <x:v>3.2</x:v>
      </x:c>
      <x:c r="J109" s="274" t="n">
        <x:v>420</x:v>
      </x:c>
      <x:c r="K109" s="274" t="n">
        <x:v>384</x:v>
      </x:c>
      <x:c r="M109" s="274" t="s">
        <x:v>369</x:v>
      </x:c>
      <x:c r="N109" s="274" t="s">
        <x:v>363</x:v>
      </x:c>
    </x:row>
    <x:row r="110" spans="1:14">
      <x:c r="A110" s="274" t="s">
        <x:v>370</x:v>
      </x:c>
      <x:c r="B110" s="274" t="n">
        <x:v>3.66</x:v>
      </x:c>
      <x:c r="C110" s="274" t="n">
        <x:v>0</x:v>
      </x:c>
      <x:c r="D110" s="274" t="n">
        <x:v>0</x:v>
      </x:c>
      <x:c r="F110" s="274" t="s">
        <x:v>133</x:v>
      </x:c>
      <x:c r="G110" s="274" t="s">
        <x:v>136</x:v>
      </x:c>
      <x:c r="H110" s="274" t="n">
        <x:v>45</x:v>
      </x:c>
      <x:c r="I110" s="274" t="n">
        <x:v>0.6</x:v>
      </x:c>
      <x:c r="J110" s="274" t="n">
        <x:v>530</x:v>
      </x:c>
      <x:c r="K110" s="274" t="n">
        <x:v>1440</x:v>
      </x:c>
      <x:c r="M110" s="274" t="s">
        <x:v>371</x:v>
      </x:c>
      <x:c r="N110" s="274" t="s">
        <x:v>372</x:v>
      </x:c>
    </x:row>
    <x:row r="111" spans="1:14">
      <x:c r="A111" s="274" t="s">
        <x:v>373</x:v>
      </x:c>
      <x:c r="B111" s="274" t="n">
        <x:v>4.85</x:v>
      </x:c>
      <x:c r="C111" s="274" t="n">
        <x:v>0</x:v>
      </x:c>
      <x:c r="D111" s="274" t="n">
        <x:v>0</x:v>
      </x:c>
      <x:c r="F111" s="274" t="s">
        <x:v>133</x:v>
      </x:c>
      <x:c r="G111" s="274" t="s">
        <x:v>136</x:v>
      </x:c>
      <x:c r="H111" s="274" t="n">
        <x:v>45</x:v>
      </x:c>
      <x:c r="I111" s="274" t="n">
        <x:v>1.4</x:v>
      </x:c>
      <x:c r="J111" s="274" t="n">
        <x:v>617</x:v>
      </x:c>
      <x:c r="K111" s="274" t="n">
        <x:v>710</x:v>
      </x:c>
      <x:c r="M111" s="274" t="s">
        <x:v>374</x:v>
      </x:c>
      <x:c r="N111" s="274" t="s">
        <x:v>202</x:v>
      </x:c>
    </x:row>
    <x:row r="112" spans="1:14">
      <x:c r="A112" s="274" t="s">
        <x:v>375</x:v>
      </x:c>
      <x:c r="B112" s="274" t="n">
        <x:v>2.13</x:v>
      </x:c>
      <x:c r="C112" s="274" t="n">
        <x:v>0</x:v>
      </x:c>
      <x:c r="D112" s="274" t="n">
        <x:v>0</x:v>
      </x:c>
      <x:c r="F112" s="274" t="s">
        <x:v>133</x:v>
      </x:c>
      <x:c r="G112" s="274" t="s">
        <x:v>136</x:v>
      </x:c>
      <x:c r="H112" s="274" t="n">
        <x:v>45</x:v>
      </x:c>
      <x:c r="I112" s="274" t="n">
        <x:v>1.4</x:v>
      </x:c>
      <x:c r="J112" s="274" t="n">
        <x:v>550</x:v>
      </x:c>
      <x:c r="K112" s="274" t="n">
        <x:v>350</x:v>
      </x:c>
      <x:c r="M112" s="274" t="s">
        <x:v>376</x:v>
      </x:c>
      <x:c r="N112" s="274" t="s">
        <x:v>363</x:v>
      </x:c>
    </x:row>
    <x:row r="113" spans="1:14">
      <x:c r="A113" s="274" t="s">
        <x:v>377</x:v>
      </x:c>
      <x:c r="B113" s="274" t="n">
        <x:v>0.3</x:v>
      </x:c>
      <x:c r="C113" s="274" t="n">
        <x:v>0</x:v>
      </x:c>
      <x:c r="D113" s="274" t="n">
        <x:v>0</x:v>
      </x:c>
      <x:c r="F113" s="274" t="s">
        <x:v>133</x:v>
      </x:c>
      <x:c r="G113" s="274" t="s">
        <x:v>209</x:v>
      </x:c>
      <x:c r="I113" s="274" t="n">
        <x:v>0.8</x:v>
      </x:c>
      <x:c r="J113" s="274" t="n">
        <x:v>48</x:v>
      </x:c>
      <x:c r="K113" s="274" t="n">
        <x:v>1000</x:v>
      </x:c>
      <x:c r="M113" s="274" t="s">
        <x:v>378</x:v>
      </x:c>
      <x:c r="N113" s="274" t="s">
        <x:v>241</x:v>
      </x:c>
    </x:row>
    <x:row r="114" spans="1:14">
      <x:c r="A114" s="274" t="s">
        <x:v>379</x:v>
      </x:c>
      <x:c r="B114" s="274" t="n">
        <x:v>0.22</x:v>
      </x:c>
      <x:c r="C114" s="274" t="n">
        <x:v>35</x:v>
      </x:c>
      <x:c r="D114" s="274" t="n">
        <x:v>35</x:v>
      </x:c>
      <x:c r="E114" s="274" t="n">
        <x:v>33</x:v>
      </x:c>
      <x:c r="F114" s="274" t="s">
        <x:v>133</x:v>
      </x:c>
      <x:c r="G114" s="274" t="s">
        <x:v>136</x:v>
      </x:c>
      <x:c r="H114" s="274" t="n">
        <x:v>45</x:v>
      </x:c>
      <x:c r="I114" s="274" t="n">
        <x:v>1.2</x:v>
      </x:c>
      <x:c r="J114" s="274" t="n">
        <x:v>124</x:v>
      </x:c>
      <x:c r="K114" s="274" t="n">
        <x:v>188</x:v>
      </x:c>
      <x:c r="M114" s="274" t="s">
        <x:v>250</x:v>
      </x:c>
      <x:c r="N114" s="274" t="s">
        <x:v>131</x:v>
      </x:c>
    </x:row>
    <x:row r="115" spans="1:14">
      <x:c r="A115" s="274" t="s">
        <x:v>380</x:v>
      </x:c>
      <x:c r="B115" s="274" t="n">
        <x:v>4.19</x:v>
      </x:c>
      <x:c r="C115" s="274" t="n">
        <x:v>0</x:v>
      </x:c>
      <x:c r="D115" s="274" t="n">
        <x:v>0</x:v>
      </x:c>
      <x:c r="F115" s="274" t="s">
        <x:v>123</x:v>
      </x:c>
      <x:c r="G115" s="274" t="s">
        <x:v>153</x:v>
      </x:c>
      <x:c r="I115" s="274" t="n">
        <x:v>2</x:v>
      </x:c>
      <x:c r="J115" s="274" t="n">
        <x:v>290</x:v>
      </x:c>
      <x:c r="K115" s="274" t="n">
        <x:v>920</x:v>
      </x:c>
      <x:c r="M115" s="274" t="s">
        <x:v>381</x:v>
      </x:c>
      <x:c r="N115" s="274" t="s">
        <x:v>299</x:v>
      </x:c>
    </x:row>
    <x:row r="116" spans="1:14">
      <x:c r="A116" s="274" t="s">
        <x:v>382</x:v>
      </x:c>
      <x:c r="B116" s="274" t="n">
        <x:v>0.89</x:v>
      </x:c>
      <x:c r="C116" s="274" t="n">
        <x:v>30</x:v>
      </x:c>
      <x:c r="D116" s="274" t="n">
        <x:v>35</x:v>
      </x:c>
      <x:c r="E116" s="274" t="n">
        <x:v>33</x:v>
      </x:c>
      <x:c r="F116" s="274" t="s">
        <x:v>133</x:v>
      </x:c>
      <x:c r="G116" s="274" t="s">
        <x:v>136</x:v>
      </x:c>
      <x:c r="H116" s="274" t="n">
        <x:v>45</x:v>
      </x:c>
      <x:c r="I116" s="274" t="n">
        <x:v>1.4</x:v>
      </x:c>
      <x:c r="J116" s="274" t="n">
        <x:v>235</x:v>
      </x:c>
      <x:c r="K116" s="274" t="n">
        <x:v>340</x:v>
      </x:c>
      <x:c r="M116" s="274" t="s">
        <x:v>383</x:v>
      </x:c>
      <x:c r="N116" s="274" t="s">
        <x:v>162</x:v>
      </x:c>
    </x:row>
    <x:row r="117" spans="1:14">
      <x:c r="A117" s="274" t="s">
        <x:v>384</x:v>
      </x:c>
      <x:c r="B117" s="274" t="n">
        <x:v>1.6</x:v>
      </x:c>
      <x:c r="C117" s="274" t="n">
        <x:v>0</x:v>
      </x:c>
      <x:c r="D117" s="274" t="n">
        <x:v>0</x:v>
      </x:c>
      <x:c r="F117" s="274" t="s">
        <x:v>133</x:v>
      </x:c>
      <x:c r="G117" s="274" t="s">
        <x:v>136</x:v>
      </x:c>
      <x:c r="H117" s="274" t="n">
        <x:v>45</x:v>
      </x:c>
      <x:c r="I117" s="274" t="n">
        <x:v>0.75</x:v>
      </x:c>
      <x:c r="J117" s="274" t="n">
        <x:v>260</x:v>
      </x:c>
      <x:c r="K117" s="274" t="n">
        <x:v>1030</x:v>
      </x:c>
      <x:c r="M117" s="274" t="s">
        <x:v>385</x:v>
      </x:c>
      <x:c r="N117" s="274" t="s">
        <x:v>126</x:v>
      </x:c>
    </x:row>
    <x:row r="118" spans="1:14">
      <x:c r="A118" s="274" t="s">
        <x:v>386</x:v>
      </x:c>
      <x:c r="B118" s="274" t="n">
        <x:v>0.22</x:v>
      </x:c>
      <x:c r="C118" s="274" t="n">
        <x:v>0</x:v>
      </x:c>
      <x:c r="D118" s="274" t="n">
        <x:v>0</x:v>
      </x:c>
      <x:c r="F118" s="274" t="s">
        <x:v>133</x:v>
      </x:c>
      <x:c r="G118" s="274" t="s">
        <x:v>136</x:v>
      </x:c>
      <x:c r="H118" s="274" t="n">
        <x:v>45</x:v>
      </x:c>
      <x:c r="I118" s="274" t="n">
        <x:v>1.6</x:v>
      </x:c>
      <x:c r="J118" s="274" t="n">
        <x:v>50</x:v>
      </x:c>
      <x:c r="K118" s="274" t="n">
        <x:v>350</x:v>
      </x:c>
      <x:c r="M118" s="274" t="s">
        <x:v>387</x:v>
      </x:c>
    </x:row>
    <x:row r="119" spans="1:14">
      <x:c r="A119" s="274" t="s">
        <x:v>388</x:v>
      </x:c>
      <x:c r="B119" s="274" t="n">
        <x:v>0.54</x:v>
      </x:c>
      <x:c r="C119" s="274" t="n">
        <x:v>0</x:v>
      </x:c>
      <x:c r="D119" s="274" t="n">
        <x:v>0</x:v>
      </x:c>
      <x:c r="F119" s="274" t="s">
        <x:v>133</x:v>
      </x:c>
      <x:c r="G119" s="274" t="s">
        <x:v>209</x:v>
      </x:c>
      <x:c r="I119" s="274" t="n">
        <x:v>0.8</x:v>
      </x:c>
      <x:c r="J119" s="274" t="n">
        <x:v>248</x:v>
      </x:c>
      <x:c r="K119" s="274" t="n">
        <x:v>346</x:v>
      </x:c>
      <x:c r="M119" s="274" t="s">
        <x:v>389</x:v>
      </x:c>
      <x:c r="N119" s="274" t="s">
        <x:v>126</x:v>
      </x:c>
    </x:row>
    <x:row r="120" spans="1:14">
      <x:c r="A120" s="274" t="s">
        <x:v>390</x:v>
      </x:c>
      <x:c r="B120" s="274" t="n">
        <x:v>0.55</x:v>
      </x:c>
      <x:c r="C120" s="274" t="n">
        <x:v>0</x:v>
      </x:c>
      <x:c r="D120" s="274" t="n">
        <x:v>0</x:v>
      </x:c>
      <x:c r="F120" s="274" t="s">
        <x:v>133</x:v>
      </x:c>
      <x:c r="G120" s="274" t="s">
        <x:v>209</x:v>
      </x:c>
      <x:c r="I120" s="274" t="n">
        <x:v>0.8</x:v>
      </x:c>
      <x:c r="J120" s="274" t="n">
        <x:v>185</x:v>
      </x:c>
      <x:c r="K120" s="274" t="n">
        <x:v>473</x:v>
      </x:c>
      <x:c r="M120" s="274" t="s">
        <x:v>391</x:v>
      </x:c>
      <x:c r="N120" s="274" t="s">
        <x:v>126</x:v>
      </x:c>
    </x:row>
    <x:row r="121" spans="1:14">
      <x:c r="A121" s="274" t="s">
        <x:v>392</x:v>
      </x:c>
      <x:c r="B121" s="274" t="n">
        <x:v>0.53</x:v>
      </x:c>
      <x:c r="C121" s="274" t="n">
        <x:v>0</x:v>
      </x:c>
      <x:c r="D121" s="274" t="n">
        <x:v>0</x:v>
      </x:c>
      <x:c r="F121" s="274" t="s">
        <x:v>133</x:v>
      </x:c>
      <x:c r="G121" s="274" t="s">
        <x:v>209</x:v>
      </x:c>
      <x:c r="I121" s="274" t="n">
        <x:v>1.2</x:v>
      </x:c>
      <x:c r="J121" s="274" t="n">
        <x:v>115</x:v>
      </x:c>
      <x:c r="K121" s="274" t="n">
        <x:v>485</x:v>
      </x:c>
      <x:c r="M121" s="274" t="s">
        <x:v>393</x:v>
      </x:c>
      <x:c r="N121" s="274" t="s">
        <x:v>126</x:v>
      </x:c>
    </x:row>
    <x:row r="122" spans="1:14">
      <x:c r="A122" s="274" t="s">
        <x:v>394</x:v>
      </x:c>
      <x:c r="B122" s="274" t="n">
        <x:v>0.83</x:v>
      </x:c>
      <x:c r="C122" s="274" t="n">
        <x:v>0</x:v>
      </x:c>
      <x:c r="D122" s="274" t="n">
        <x:v>0</x:v>
      </x:c>
      <x:c r="F122" s="274" t="s">
        <x:v>133</x:v>
      </x:c>
      <x:c r="G122" s="274" t="s">
        <x:v>134</x:v>
      </x:c>
      <x:c r="I122" s="274" t="n">
        <x:v>2.3</x:v>
      </x:c>
      <x:c r="J122" s="274" t="n">
        <x:v>100</x:v>
      </x:c>
      <x:c r="K122" s="274" t="n">
        <x:v>460</x:v>
      </x:c>
      <x:c r="M122" s="274" t="s">
        <x:v>395</x:v>
      </x:c>
      <x:c r="N122" s="274" t="s">
        <x:v>126</x:v>
      </x:c>
    </x:row>
    <x:row r="123" spans="1:14">
      <x:c r="A123" s="274" t="s">
        <x:v>396</x:v>
      </x:c>
      <x:c r="B123" s="274" t="n">
        <x:v>0.7</x:v>
      </x:c>
      <x:c r="C123" s="274" t="n">
        <x:v>0</x:v>
      </x:c>
      <x:c r="D123" s="274" t="n">
        <x:v>0</x:v>
      </x:c>
      <x:c r="F123" s="274" t="s">
        <x:v>128</x:v>
      </x:c>
      <x:c r="G123" s="274" t="s">
        <x:v>136</x:v>
      </x:c>
      <x:c r="H123" s="274" t="s">
        <x:v>397</x:v>
      </x:c>
      <x:c r="I123" s="274" t="n">
        <x:v>0.75</x:v>
      </x:c>
      <x:c r="J123" s="274" t="n">
        <x:v>515</x:v>
      </x:c>
      <x:c r="K123" s="274" t="n">
        <x:v>230</x:v>
      </x:c>
      <x:c r="M123" s="274" t="s">
        <x:v>398</x:v>
      </x:c>
    </x:row>
    <x:row r="124" spans="1:14">
      <x:c r="A124" s="274" t="s">
        <x:v>399</x:v>
      </x:c>
      <x:c r="B124" s="274" t="n">
        <x:v>0.72</x:v>
      </x:c>
      <x:c r="C124" s="274" t="n">
        <x:v>0</x:v>
      </x:c>
      <x:c r="D124" s="274" t="n">
        <x:v>0</x:v>
      </x:c>
      <x:c r="F124" s="274" t="s">
        <x:v>133</x:v>
      </x:c>
      <x:c r="G124" s="274" t="s">
        <x:v>134</x:v>
      </x:c>
      <x:c r="I124" s="274" t="n">
        <x:v>2.3</x:v>
      </x:c>
      <x:c r="J124" s="274" t="n">
        <x:v>74</x:v>
      </x:c>
      <x:c r="K124" s="274" t="n">
        <x:v>542.5</x:v>
      </x:c>
      <x:c r="M124" s="274" t="s">
        <x:v>400</x:v>
      </x:c>
      <x:c r="N124" s="274" t="s">
        <x:v>126</x:v>
      </x:c>
    </x:row>
    <x:row r="125" spans="1:14">
      <x:c r="A125" s="274" t="s">
        <x:v>401</x:v>
      </x:c>
      <x:c r="B125" s="274" t="n">
        <x:v>0.6</x:v>
      </x:c>
      <x:c r="C125" s="274" t="n">
        <x:v>0</x:v>
      </x:c>
      <x:c r="D125" s="274" t="n">
        <x:v>0</x:v>
      </x:c>
      <x:c r="F125" s="274" t="s">
        <x:v>123</x:v>
      </x:c>
      <x:c r="G125" s="274" t="s">
        <x:v>153</x:v>
      </x:c>
      <x:c r="I125" s="274" t="n">
        <x:v>2</x:v>
      </x:c>
      <x:c r="J125" s="274" t="n">
        <x:v>81</x:v>
      </x:c>
      <x:c r="K125" s="274" t="n">
        <x:v>475</x:v>
      </x:c>
      <x:c r="M125" s="274" t="s">
        <x:v>402</x:v>
      </x:c>
      <x:c r="N125" s="274" t="s">
        <x:v>162</x:v>
      </x:c>
    </x:row>
    <x:row r="126" spans="1:14">
      <x:c r="A126" s="274" t="s">
        <x:v>403</x:v>
      </x:c>
      <x:c r="B126" s="274" t="n">
        <x:v>4.96</x:v>
      </x:c>
      <x:c r="C126" s="274" t="n">
        <x:v>0</x:v>
      </x:c>
      <x:c r="D126" s="274" t="n">
        <x:v>0</x:v>
      </x:c>
      <x:c r="F126" s="274" t="s">
        <x:v>133</x:v>
      </x:c>
      <x:c r="G126" s="274" t="s">
        <x:v>148</x:v>
      </x:c>
      <x:c r="I126" s="274" t="n">
        <x:v>4.5</x:v>
      </x:c>
      <x:c r="J126" s="274" t="n">
        <x:v>168</x:v>
      </x:c>
      <x:c r="K126" s="274" t="n">
        <x:v>835</x:v>
      </x:c>
      <x:c r="M126" s="274" t="s">
        <x:v>404</x:v>
      </x:c>
      <x:c r="N126" s="274" t="s">
        <x:v>126</x:v>
      </x:c>
    </x:row>
    <x:row r="127" spans="1:14">
      <x:c r="A127" s="274" t="s">
        <x:v>405</x:v>
      </x:c>
      <x:c r="B127" s="274" t="n">
        <x:v>2.55</x:v>
      </x:c>
      <x:c r="C127" s="274" t="n">
        <x:v>0</x:v>
      </x:c>
      <x:c r="D127" s="274" t="n">
        <x:v>0</x:v>
      </x:c>
      <x:c r="F127" s="274" t="s">
        <x:v>184</x:v>
      </x:c>
      <x:c r="G127" s="274" t="s">
        <x:v>129</x:v>
      </x:c>
      <x:c r="H127" s="274" t="n">
        <x:v>45</x:v>
      </x:c>
      <x:c r="I127" s="274" t="n">
        <x:v>1</x:v>
      </x:c>
      <x:c r="J127" s="274" t="n">
        <x:v>268</x:v>
      </x:c>
      <x:c r="K127" s="274" t="n">
        <x:v>1200</x:v>
      </x:c>
      <x:c r="M127" s="274" t="s">
        <x:v>406</x:v>
      </x:c>
      <x:c r="N127" s="274" t="s">
        <x:v>131</x:v>
      </x:c>
    </x:row>
    <x:row r="128" spans="1:14">
      <x:c r="A128" s="274" t="s">
        <x:v>407</x:v>
      </x:c>
      <x:c r="B128" s="274" t="n">
        <x:v>1.88</x:v>
      </x:c>
      <x:c r="C128" s="274" t="n">
        <x:v>0</x:v>
      </x:c>
      <x:c r="D128" s="274" t="n">
        <x:v>0</x:v>
      </x:c>
      <x:c r="F128" s="274" t="s">
        <x:v>133</x:v>
      </x:c>
      <x:c r="G128" s="274" t="s">
        <x:v>134</x:v>
      </x:c>
      <x:c r="I128" s="274" t="n">
        <x:v>3.2</x:v>
      </x:c>
      <x:c r="J128" s="274" t="n">
        <x:v>68</x:v>
      </x:c>
      <x:c r="K128" s="274" t="n">
        <x:v>1100</x:v>
      </x:c>
      <x:c r="M128" s="274" t="s">
        <x:v>408</x:v>
      </x:c>
      <x:c r="N128" s="274" t="s">
        <x:v>409</x:v>
      </x:c>
    </x:row>
    <x:row r="129" spans="1:14">
      <x:c r="A129" s="274" t="s">
        <x:v>410</x:v>
      </x:c>
      <x:c r="B129" s="274" t="n">
        <x:v>7.11</x:v>
      </x:c>
      <x:c r="C129" s="274" t="n">
        <x:v>0</x:v>
      </x:c>
      <x:c r="D129" s="274" t="n">
        <x:v>0</x:v>
      </x:c>
      <x:c r="F129" s="274" t="s">
        <x:v>133</x:v>
      </x:c>
      <x:c r="G129" s="274" t="s">
        <x:v>124</x:v>
      </x:c>
      <x:c r="I129" s="274" t="n">
        <x:v>1.2</x:v>
      </x:c>
      <x:c r="J129" s="274" t="n">
        <x:v>503</x:v>
      </x:c>
      <x:c r="K129" s="274" t="n">
        <x:v>1500</x:v>
      </x:c>
      <x:c r="M129" s="274" t="s">
        <x:v>411</x:v>
      </x:c>
      <x:c r="N129" s="274" t="s">
        <x:v>146</x:v>
      </x:c>
    </x:row>
    <x:row r="130" spans="1:14">
      <x:c r="A130" s="274" t="s">
        <x:v>412</x:v>
      </x:c>
      <x:c r="B130" s="274" t="n">
        <x:v>1.46</x:v>
      </x:c>
      <x:c r="C130" s="274" t="n">
        <x:v>19</x:v>
      </x:c>
      <x:c r="D130" s="274" t="n">
        <x:v>28</x:v>
      </x:c>
      <x:c r="E130" s="274" t="n">
        <x:v>24</x:v>
      </x:c>
      <x:c r="F130" s="274" t="s">
        <x:v>133</x:v>
      </x:c>
      <x:c r="G130" s="274" t="s">
        <x:v>144</x:v>
      </x:c>
      <x:c r="H130" s="274" t="n">
        <x:v>45</x:v>
      </x:c>
      <x:c r="I130" s="274" t="n">
        <x:v>1.2</x:v>
      </x:c>
      <x:c r="J130" s="274" t="n">
        <x:v>180</x:v>
      </x:c>
      <x:c r="K130" s="274" t="n">
        <x:v>850</x:v>
      </x:c>
      <x:c r="M130" s="274" t="s">
        <x:v>413</x:v>
      </x:c>
      <x:c r="N130" s="274" t="s">
        <x:v>414</x:v>
      </x:c>
    </x:row>
    <x:row r="131" spans="1:14">
      <x:c r="A131" s="274" t="s">
        <x:v>415</x:v>
      </x:c>
      <x:c r="B131" s="274" t="n">
        <x:v>6.39</x:v>
      </x:c>
      <x:c r="C131" s="274" t="n">
        <x:v>0</x:v>
      </x:c>
      <x:c r="D131" s="274" t="n">
        <x:v>0</x:v>
      </x:c>
      <x:c r="F131" s="274" t="s">
        <x:v>133</x:v>
      </x:c>
      <x:c r="G131" s="274" t="s">
        <x:v>209</x:v>
      </x:c>
      <x:c r="I131" s="274" t="n">
        <x:v>1.2</x:v>
      </x:c>
      <x:c r="J131" s="274" t="n">
        <x:v>785</x:v>
      </x:c>
      <x:c r="K131" s="274" t="n">
        <x:v>864</x:v>
      </x:c>
      <x:c r="M131" s="274" t="s">
        <x:v>416</x:v>
      </x:c>
    </x:row>
    <x:row r="132" spans="1:14">
      <x:c r="A132" s="274" t="s">
        <x:v>417</x:v>
      </x:c>
      <x:c r="B132" s="274" t="n">
        <x:v>1.96</x:v>
      </x:c>
      <x:c r="C132" s="274" t="n">
        <x:v>0</x:v>
      </x:c>
      <x:c r="D132" s="274" t="n">
        <x:v>0</x:v>
      </x:c>
      <x:c r="F132" s="274" t="s">
        <x:v>133</x:v>
      </x:c>
      <x:c r="G132" s="274" t="s">
        <x:v>209</x:v>
      </x:c>
      <x:c r="I132" s="274" t="n">
        <x:v>1.2</x:v>
      </x:c>
      <x:c r="J132" s="274" t="n">
        <x:v>240</x:v>
      </x:c>
      <x:c r="K132" s="274" t="n">
        <x:v>865</x:v>
      </x:c>
      <x:c r="M132" s="274" t="s">
        <x:v>418</x:v>
      </x:c>
      <x:c r="N132" s="274" t="s">
        <x:v>126</x:v>
      </x:c>
    </x:row>
    <x:row r="133" spans="1:14">
      <x:c r="A133" s="274" t="s">
        <x:v>419</x:v>
      </x:c>
      <x:c r="B133" s="274" t="n">
        <x:v>1.93</x:v>
      </x:c>
      <x:c r="C133" s="274" t="n">
        <x:v>0</x:v>
      </x:c>
      <x:c r="D133" s="274" t="n">
        <x:v>0</x:v>
      </x:c>
      <x:c r="F133" s="274" t="s">
        <x:v>133</x:v>
      </x:c>
      <x:c r="G133" s="274" t="s">
        <x:v>136</x:v>
      </x:c>
      <x:c r="H133" s="274" t="n">
        <x:v>45</x:v>
      </x:c>
      <x:c r="I133" s="274" t="n">
        <x:v>1.2</x:v>
      </x:c>
      <x:c r="J133" s="274" t="n">
        <x:v>172</x:v>
      </x:c>
      <x:c r="K133" s="274" t="n">
        <x:v>1182</x:v>
      </x:c>
      <x:c r="M133" s="274" t="s">
        <x:v>420</x:v>
      </x:c>
      <x:c r="N133" s="274" t="s">
        <x:v>421</x:v>
      </x:c>
    </x:row>
    <x:row r="134" spans="1:14">
      <x:c r="A134" s="274" t="s">
        <x:v>422</x:v>
      </x:c>
      <x:c r="B134" s="274" t="n">
        <x:v>5.89</x:v>
      </x:c>
      <x:c r="C134" s="274" t="n">
        <x:v>0</x:v>
      </x:c>
      <x:c r="D134" s="274" t="n">
        <x:v>0</x:v>
      </x:c>
      <x:c r="E134" s="274" t="n">
        <x:v>0</x:v>
      </x:c>
      <x:c r="F134" s="274" t="s">
        <x:v>184</x:v>
      </x:c>
      <x:c r="G134" s="274" t="s">
        <x:v>284</x:v>
      </x:c>
      <x:c r="H134" s="274" t="s">
        <x:v>423</x:v>
      </x:c>
      <x:c r="I134" s="274" t="n">
        <x:v>0.75</x:v>
      </x:c>
      <x:c r="J134" s="274" t="n">
        <x:v>1167</x:v>
      </x:c>
      <x:c r="K134" s="274" t="n">
        <x:v>1688</x:v>
      </x:c>
      <x:c r="M134" s="274" t="s">
        <x:v>424</x:v>
      </x:c>
    </x:row>
    <x:row r="135" spans="1:14">
      <x:c r="A135" s="274" t="s">
        <x:v>425</x:v>
      </x:c>
      <x:c r="B135" s="274" t="n">
        <x:v>0.54</x:v>
      </x:c>
      <x:c r="C135" s="274" t="n">
        <x:v>0</x:v>
      </x:c>
      <x:c r="D135" s="274" t="n">
        <x:v>35</x:v>
      </x:c>
      <x:c r="E135" s="274" t="n">
        <x:v>33</x:v>
      </x:c>
      <x:c r="F135" s="274" t="s">
        <x:v>184</x:v>
      </x:c>
      <x:c r="G135" s="274" t="s">
        <x:v>129</x:v>
      </x:c>
      <x:c r="H135" s="274" t="n">
        <x:v>45</x:v>
      </x:c>
      <x:c r="I135" s="274" t="n">
        <x:v>2</x:v>
      </x:c>
      <x:c r="J135" s="274" t="n">
        <x:v>195</x:v>
      </x:c>
      <x:c r="K135" s="274" t="n">
        <x:v>174</x:v>
      </x:c>
      <x:c r="M135" s="274" t="s">
        <x:v>426</x:v>
      </x:c>
      <x:c r="N135" s="274" t="s">
        <x:v>131</x:v>
      </x:c>
    </x:row>
    <x:row r="136" spans="1:14">
      <x:c r="A136" s="274" t="s">
        <x:v>427</x:v>
      </x:c>
      <x:c r="B136" s="274" t="n">
        <x:v>0.6</x:v>
      </x:c>
      <x:c r="C136" s="274" t="n">
        <x:v>31</x:v>
      </x:c>
      <x:c r="D136" s="274" t="n">
        <x:v>35</x:v>
      </x:c>
      <x:c r="E136" s="274" t="n">
        <x:v>33</x:v>
      </x:c>
      <x:c r="F136" s="274" t="s">
        <x:v>184</x:v>
      </x:c>
      <x:c r="G136" s="274" t="s">
        <x:v>129</x:v>
      </x:c>
      <x:c r="H136" s="274" t="n">
        <x:v>45</x:v>
      </x:c>
      <x:c r="I136" s="274" t="n">
        <x:v>1.4</x:v>
      </x:c>
      <x:c r="J136" s="274" t="n">
        <x:v>190</x:v>
      </x:c>
      <x:c r="K136" s="274" t="n">
        <x:v>285</x:v>
      </x:c>
      <x:c r="M136" s="274" t="s">
        <x:v>428</x:v>
      </x:c>
      <x:c r="N136" s="274" t="s">
        <x:v>131</x:v>
      </x:c>
    </x:row>
    <x:row r="137" spans="1:14">
      <x:c r="A137" s="274" t="s">
        <x:v>429</x:v>
      </x:c>
      <x:c r="B137" s="274" t="n">
        <x:v>3.24</x:v>
      </x:c>
      <x:c r="C137" s="274" t="n">
        <x:v>0</x:v>
      </x:c>
      <x:c r="D137" s="274" t="n">
        <x:v>0</x:v>
      </x:c>
      <x:c r="F137" s="274" t="s">
        <x:v>133</x:v>
      </x:c>
      <x:c r="G137" s="274" t="s">
        <x:v>134</x:v>
      </x:c>
      <x:c r="I137" s="274" t="n">
        <x:v>1.6</x:v>
      </x:c>
      <x:c r="J137" s="274" t="n">
        <x:v>243</x:v>
      </x:c>
      <x:c r="K137" s="274" t="n">
        <x:v>1060</x:v>
      </x:c>
      <x:c r="M137" s="274" t="s">
        <x:v>430</x:v>
      </x:c>
      <x:c r="N137" s="274" t="s">
        <x:v>131</x:v>
      </x:c>
    </x:row>
    <x:row r="138" spans="1:14">
      <x:c r="A138" s="274" t="s">
        <x:v>431</x:v>
      </x:c>
      <x:c r="B138" s="274" t="n">
        <x:v>3.62</x:v>
      </x:c>
      <x:c r="C138" s="274" t="n">
        <x:v>0</x:v>
      </x:c>
      <x:c r="D138" s="274" t="n">
        <x:v>20</x:v>
      </x:c>
      <x:c r="E138" s="274" t="n">
        <x:v>19</x:v>
      </x:c>
      <x:c r="F138" s="274" t="s">
        <x:v>133</x:v>
      </x:c>
      <x:c r="G138" s="274" t="s">
        <x:v>134</x:v>
      </x:c>
      <x:c r="I138" s="274" t="n">
        <x:v>2.3</x:v>
      </x:c>
      <x:c r="J138" s="274" t="n">
        <x:v>179</x:v>
      </x:c>
      <x:c r="K138" s="274" t="n">
        <x:v>1120</x:v>
      </x:c>
      <x:c r="M138" s="274" t="s">
        <x:v>236</x:v>
      </x:c>
      <x:c r="N138" s="274" t="s">
        <x:v>131</x:v>
      </x:c>
    </x:row>
    <x:row r="139" spans="1:14">
      <x:c r="A139" s="274" t="s">
        <x:v>432</x:v>
      </x:c>
      <x:c r="B139" s="274" t="n">
        <x:v>6.57</x:v>
      </x:c>
      <x:c r="C139" s="274" t="n">
        <x:v>0</x:v>
      </x:c>
      <x:c r="D139" s="274" t="n">
        <x:v>21</x:v>
      </x:c>
      <x:c r="E139" s="274" t="n">
        <x:v>19</x:v>
      </x:c>
      <x:c r="F139" s="274" t="s">
        <x:v>133</x:v>
      </x:c>
      <x:c r="G139" s="274" t="s">
        <x:v>134</x:v>
      </x:c>
      <x:c r="I139" s="274" t="n">
        <x:v>2.6</x:v>
      </x:c>
      <x:c r="J139" s="274" t="n">
        <x:v>280</x:v>
      </x:c>
      <x:c r="K139" s="274" t="n">
        <x:v>1150</x:v>
      </x:c>
      <x:c r="M139" s="274" t="s">
        <x:v>433</x:v>
      </x:c>
      <x:c r="N139" s="274" t="s">
        <x:v>131</x:v>
      </x:c>
    </x:row>
    <x:row r="140" spans="1:14">
      <x:c r="A140" s="274" t="s">
        <x:v>434</x:v>
      </x:c>
      <x:c r="B140" s="274" t="n">
        <x:v>0.88</x:v>
      </x:c>
      <x:c r="C140" s="274" t="n">
        <x:v>0</x:v>
      </x:c>
      <x:c r="D140" s="274" t="n">
        <x:v>36</x:v>
      </x:c>
      <x:c r="E140" s="274" t="n">
        <x:v>33</x:v>
      </x:c>
      <x:c r="F140" s="274" t="s">
        <x:v>133</x:v>
      </x:c>
      <x:c r="G140" s="274" t="s">
        <x:v>134</x:v>
      </x:c>
      <x:c r="I140" s="274" t="n">
        <x:v>2.6</x:v>
      </x:c>
      <x:c r="J140" s="274" t="n">
        <x:v>155</x:v>
      </x:c>
      <x:c r="K140" s="274" t="n">
        <x:v>278</x:v>
      </x:c>
      <x:c r="M140" s="274" t="s">
        <x:v>435</x:v>
      </x:c>
      <x:c r="N140" s="274" t="s">
        <x:v>155</x:v>
      </x:c>
    </x:row>
    <x:row r="141" spans="1:14">
      <x:c r="A141" s="274" t="s">
        <x:v>436</x:v>
      </x:c>
      <x:c r="B141" s="274" t="n">
        <x:v>1.02</x:v>
      </x:c>
      <x:c r="C141" s="274" t="n">
        <x:v>0</x:v>
      </x:c>
      <x:c r="D141" s="274" t="n">
        <x:v>0</x:v>
      </x:c>
      <x:c r="F141" s="274" t="s">
        <x:v>128</x:v>
      </x:c>
      <x:c r="G141" s="274" t="s">
        <x:v>437</x:v>
      </x:c>
      <x:c r="I141" s="274" t="n">
        <x:v>2</x:v>
      </x:c>
      <x:c r="J141" s="274" t="n">
        <x:v>118</x:v>
      </x:c>
      <x:c r="K141" s="274" t="n">
        <x:v>551</x:v>
      </x:c>
      <x:c r="M141" s="274" t="s">
        <x:v>438</x:v>
      </x:c>
    </x:row>
    <x:row r="142" spans="1:14">
      <x:c r="A142" s="274" t="s">
        <x:v>439</x:v>
      </x:c>
      <x:c r="B142" s="274" t="n">
        <x:v>3.07</x:v>
      </x:c>
      <x:c r="C142" s="274" t="n">
        <x:v>0</x:v>
      </x:c>
      <x:c r="D142" s="274" t="n">
        <x:v>0</x:v>
      </x:c>
      <x:c r="F142" s="274" t="s">
        <x:v>133</x:v>
      </x:c>
      <x:c r="G142" s="274" t="s">
        <x:v>144</x:v>
      </x:c>
      <x:c r="H142" s="274" t="n">
        <x:v>45</x:v>
      </x:c>
      <x:c r="I142" s="274" t="n">
        <x:v>1</x:v>
      </x:c>
      <x:c r="J142" s="274" t="n">
        <x:v>240</x:v>
      </x:c>
      <x:c r="K142" s="274" t="n">
        <x:v>1610</x:v>
      </x:c>
      <x:c r="M142" s="274" t="s">
        <x:v>440</x:v>
      </x:c>
      <x:c r="N142" s="274" t="s">
        <x:v>441</x:v>
      </x:c>
    </x:row>
    <x:row r="143" spans="1:14">
      <x:c r="A143" s="274" t="s">
        <x:v>442</x:v>
      </x:c>
      <x:c r="B143" s="274" t="n">
        <x:v>1.95</x:v>
      </x:c>
      <x:c r="C143" s="274" t="n">
        <x:v>0</x:v>
      </x:c>
      <x:c r="D143" s="274" t="n">
        <x:v>0</x:v>
      </x:c>
      <x:c r="F143" s="274" t="s">
        <x:v>123</x:v>
      </x:c>
      <x:c r="G143" s="274" t="s">
        <x:v>209</x:v>
      </x:c>
      <x:c r="I143" s="274" t="n">
        <x:v>1.2</x:v>
      </x:c>
      <x:c r="J143" s="274" t="n">
        <x:v>175</x:v>
      </x:c>
      <x:c r="K143" s="274" t="n">
        <x:v>1180</x:v>
      </x:c>
      <x:c r="M143" s="274" t="s">
        <x:v>443</x:v>
      </x:c>
      <x:c r="N143" s="274" t="s">
        <x:v>444</x:v>
      </x:c>
    </x:row>
    <x:row r="144" spans="1:14">
      <x:c r="A144" s="274" t="s">
        <x:v>445</x:v>
      </x:c>
      <x:c r="B144" s="274" t="n">
        <x:v>1.62</x:v>
      </x:c>
      <x:c r="C144" s="274" t="n">
        <x:v>0</x:v>
      </x:c>
      <x:c r="D144" s="274" t="n">
        <x:v>0</x:v>
      </x:c>
      <x:c r="F144" s="274" t="s">
        <x:v>123</x:v>
      </x:c>
      <x:c r="G144" s="274" t="s">
        <x:v>209</x:v>
      </x:c>
      <x:c r="I144" s="274" t="n">
        <x:v>1.2</x:v>
      </x:c>
      <x:c r="J144" s="274" t="n">
        <x:v>286</x:v>
      </x:c>
      <x:c r="K144" s="274" t="n">
        <x:v>602</x:v>
      </x:c>
      <x:c r="M144" s="274" t="s">
        <x:v>446</x:v>
      </x:c>
      <x:c r="N144" s="274" t="s">
        <x:v>444</x:v>
      </x:c>
    </x:row>
    <x:row r="145" spans="1:14">
      <x:c r="A145" s="274" t="s">
        <x:v>447</x:v>
      </x:c>
      <x:c r="B145" s="274" t="n">
        <x:v>1.63</x:v>
      </x:c>
      <x:c r="C145" s="274" t="n">
        <x:v>0</x:v>
      </x:c>
      <x:c r="D145" s="274" t="n">
        <x:v>0</x:v>
      </x:c>
      <x:c r="F145" s="274" t="s">
        <x:v>133</x:v>
      </x:c>
      <x:c r="G145" s="274" t="s">
        <x:v>134</x:v>
      </x:c>
      <x:c r="I145" s="274" t="n">
        <x:v>2.3</x:v>
      </x:c>
      <x:c r="J145" s="274" t="n">
        <x:v>76</x:v>
      </x:c>
      <x:c r="K145" s="274" t="n">
        <x:v>1185</x:v>
      </x:c>
      <x:c r="M145" s="274" t="s">
        <x:v>448</x:v>
      </x:c>
      <x:c r="N145" s="274" t="s">
        <x:v>449</x:v>
      </x:c>
    </x:row>
    <x:row r="146" spans="1:14">
      <x:c r="A146" s="274" t="s">
        <x:v>450</x:v>
      </x:c>
      <x:c r="B146" s="274" t="n">
        <x:v>5.04</x:v>
      </x:c>
      <x:c r="C146" s="274" t="n">
        <x:v>0</x:v>
      </x:c>
      <x:c r="D146" s="274" t="n">
        <x:v>0</x:v>
      </x:c>
      <x:c r="F146" s="274" t="s">
        <x:v>133</x:v>
      </x:c>
      <x:c r="G146" s="274" t="s">
        <x:v>134</x:v>
      </x:c>
      <x:c r="I146" s="274" t="n">
        <x:v>2.3</x:v>
      </x:c>
      <x:c r="J146" s="274" t="n">
        <x:v>225</x:v>
      </x:c>
      <x:c r="K146" s="274" t="n">
        <x:v>1240</x:v>
      </x:c>
      <x:c r="M146" s="274" t="s">
        <x:v>451</x:v>
      </x:c>
      <x:c r="N146" s="274" t="s">
        <x:v>131</x:v>
      </x:c>
    </x:row>
    <x:row r="147" spans="1:14">
      <x:c r="A147" s="274" t="s">
        <x:v>452</x:v>
      </x:c>
      <x:c r="B147" s="274" t="n">
        <x:v>1.2</x:v>
      </x:c>
      <x:c r="C147" s="274" t="n">
        <x:v>0</x:v>
      </x:c>
      <x:c r="D147" s="274" t="n">
        <x:v>0</x:v>
      </x:c>
      <x:c r="F147" s="274" t="s">
        <x:v>133</x:v>
      </x:c>
      <x:c r="G147" s="274" t="s">
        <x:v>148</x:v>
      </x:c>
      <x:c r="I147" s="274" t="n">
        <x:v>2.3</x:v>
      </x:c>
      <x:c r="J147" s="274" t="n">
        <x:v>54</x:v>
      </x:c>
      <x:c r="K147" s="274" t="n">
        <x:v>1230</x:v>
      </x:c>
      <x:c r="M147" s="274" t="s">
        <x:v>453</x:v>
      </x:c>
      <x:c r="N147" s="274" t="s">
        <x:v>162</x:v>
      </x:c>
    </x:row>
    <x:row r="148" spans="1:14">
      <x:c r="A148" s="274" t="s">
        <x:v>454</x:v>
      </x:c>
      <x:c r="B148" s="274" t="n">
        <x:v>0.53</x:v>
      </x:c>
      <x:c r="C148" s="274" t="n">
        <x:v>0</x:v>
      </x:c>
      <x:c r="D148" s="274" t="n">
        <x:v>0</x:v>
      </x:c>
      <x:c r="F148" s="274" t="s">
        <x:v>128</x:v>
      </x:c>
      <x:c r="G148" s="274" t="s">
        <x:v>148</x:v>
      </x:c>
      <x:c r="I148" s="274" t="n">
        <x:v>1.4</x:v>
      </x:c>
      <x:c r="J148" s="274" t="n">
        <x:v>68</x:v>
      </x:c>
      <x:c r="K148" s="274" t="n">
        <x:v>714</x:v>
      </x:c>
      <x:c r="M148" s="274" t="s">
        <x:v>455</x:v>
      </x:c>
    </x:row>
    <x:row r="149" spans="1:14">
      <x:c r="A149" s="274" t="s">
        <x:v>456</x:v>
      </x:c>
      <x:c r="B149" s="274" t="n">
        <x:v>2.47</x:v>
      </x:c>
      <x:c r="C149" s="274" t="n">
        <x:v>0</x:v>
      </x:c>
      <x:c r="D149" s="274" t="n">
        <x:v>0</x:v>
      </x:c>
      <x:c r="F149" s="274" t="s">
        <x:v>133</x:v>
      </x:c>
      <x:c r="G149" s="274" t="s">
        <x:v>134</x:v>
      </x:c>
      <x:c r="I149" s="274" t="n">
        <x:v>1.8</x:v>
      </x:c>
      <x:c r="J149" s="274" t="n">
        <x:v>142</x:v>
      </x:c>
      <x:c r="K149" s="274" t="n">
        <x:v>1230</x:v>
      </x:c>
      <x:c r="M149" s="274" t="s">
        <x:v>457</x:v>
      </x:c>
      <x:c r="N149" s="274" t="s">
        <x:v>458</x:v>
      </x:c>
    </x:row>
    <x:row r="150" spans="1:14">
      <x:c r="A150" s="274" t="s">
        <x:v>459</x:v>
      </x:c>
      <x:c r="B150" s="274" t="n">
        <x:v>2.09</x:v>
      </x:c>
      <x:c r="C150" s="274" t="n">
        <x:v>0</x:v>
      </x:c>
      <x:c r="D150" s="274" t="n">
        <x:v>0</x:v>
      </x:c>
      <x:c r="F150" s="274" t="s">
        <x:v>123</x:v>
      </x:c>
      <x:c r="G150" s="274" t="s">
        <x:v>148</x:v>
      </x:c>
      <x:c r="I150" s="274" t="n">
        <x:v>1.8</x:v>
      </x:c>
      <x:c r="J150" s="274" t="n">
        <x:v>121</x:v>
      </x:c>
      <x:c r="K150" s="274" t="n">
        <x:v>1220</x:v>
      </x:c>
      <x:c r="M150" s="274" t="s">
        <x:v>460</x:v>
      </x:c>
    </x:row>
    <x:row r="151" spans="1:14">
      <x:c r="A151" s="274" t="s">
        <x:v>461</x:v>
      </x:c>
      <x:c r="B151" s="274" t="n">
        <x:v>5.23</x:v>
      </x:c>
      <x:c r="C151" s="274" t="n">
        <x:v>0</x:v>
      </x:c>
      <x:c r="D151" s="274" t="n">
        <x:v>0</x:v>
      </x:c>
      <x:c r="F151" s="274" t="s">
        <x:v>133</x:v>
      </x:c>
      <x:c r="G151" s="274" t="s">
        <x:v>134</x:v>
      </x:c>
      <x:c r="I151" s="274" t="n">
        <x:v>2</x:v>
      </x:c>
      <x:c r="J151" s="274" t="n">
        <x:v>300</x:v>
      </x:c>
      <x:c r="K151" s="274" t="n">
        <x:v>1110</x:v>
      </x:c>
      <x:c r="M151" s="274" t="s">
        <x:v>462</x:v>
      </x:c>
      <x:c r="N151" s="274" t="s">
        <x:v>131</x:v>
      </x:c>
    </x:row>
    <x:row r="152" spans="1:14">
      <x:c r="A152" s="274" t="s">
        <x:v>463</x:v>
      </x:c>
      <x:c r="B152" s="274" t="n">
        <x:v>2.63</x:v>
      </x:c>
      <x:c r="C152" s="274" t="n">
        <x:v>0</x:v>
      </x:c>
      <x:c r="D152" s="274" t="n">
        <x:v>0</x:v>
      </x:c>
      <x:c r="F152" s="274" t="s">
        <x:v>133</x:v>
      </x:c>
      <x:c r="G152" s="274" t="s">
        <x:v>134</x:v>
      </x:c>
      <x:c r="I152" s="274" t="n">
        <x:v>1.6</x:v>
      </x:c>
      <x:c r="J152" s="274" t="n">
        <x:v>185</x:v>
      </x:c>
      <x:c r="K152" s="274" t="n">
        <x:v>1130</x:v>
      </x:c>
      <x:c r="M152" s="274" t="s">
        <x:v>464</x:v>
      </x:c>
      <x:c r="N152" s="274" t="s">
        <x:v>465</x:v>
      </x:c>
    </x:row>
    <x:row r="153" spans="1:14">
      <x:c r="A153" s="274" t="s">
        <x:v>466</x:v>
      </x:c>
      <x:c r="B153" s="274" t="n">
        <x:v>4</x:v>
      </x:c>
      <x:c r="C153" s="274" t="n">
        <x:v>0</x:v>
      </x:c>
      <x:c r="D153" s="274" t="n">
        <x:v>0</x:v>
      </x:c>
      <x:c r="F153" s="274" t="s">
        <x:v>133</x:v>
      </x:c>
      <x:c r="G153" s="274" t="s">
        <x:v>134</x:v>
      </x:c>
      <x:c r="I153" s="274" t="n">
        <x:v>1.8</x:v>
      </x:c>
      <x:c r="J153" s="274" t="n">
        <x:v>240</x:v>
      </x:c>
      <x:c r="K153" s="274" t="n">
        <x:v>1180</x:v>
      </x:c>
      <x:c r="M153" s="274" t="s">
        <x:v>467</x:v>
      </x:c>
      <x:c r="N153" s="274" t="s">
        <x:v>468</x:v>
      </x:c>
    </x:row>
    <x:row r="154" spans="1:14">
      <x:c r="A154" s="274" t="s">
        <x:v>469</x:v>
      </x:c>
      <x:c r="B154" s="274" t="n">
        <x:v>0.49</x:v>
      </x:c>
      <x:c r="C154" s="274" t="n">
        <x:v>28</x:v>
      </x:c>
      <x:c r="D154" s="274" t="n">
        <x:v>35</x:v>
      </x:c>
      <x:c r="E154" s="274" t="n">
        <x:v>33</x:v>
      </x:c>
      <x:c r="F154" s="274" t="s">
        <x:v>133</x:v>
      </x:c>
      <x:c r="G154" s="274" t="s">
        <x:v>136</x:v>
      </x:c>
      <x:c r="H154" s="274" t="n">
        <x:v>45</x:v>
      </x:c>
      <x:c r="I154" s="274" t="n">
        <x:v>1</x:v>
      </x:c>
      <x:c r="J154" s="274" t="n">
        <x:v>384</x:v>
      </x:c>
      <x:c r="K154" s="274" t="n">
        <x:v>162</x:v>
      </x:c>
      <x:c r="M154" s="274" t="s">
        <x:v>231</x:v>
      </x:c>
      <x:c r="N154" s="274" t="s">
        <x:v>131</x:v>
      </x:c>
    </x:row>
    <x:row r="155" spans="1:14">
      <x:c r="A155" s="274" t="s">
        <x:v>470</x:v>
      </x:c>
      <x:c r="B155" s="274" t="n">
        <x:v>4.71</x:v>
      </x:c>
      <x:c r="C155" s="274" t="n">
        <x:v>0</x:v>
      </x:c>
      <x:c r="D155" s="274" t="n">
        <x:v>0</x:v>
      </x:c>
      <x:c r="E155" s="274" t="n">
        <x:v>25</x:v>
      </x:c>
      <x:c r="F155" s="274" t="s">
        <x:v>333</x:v>
      </x:c>
      <x:c r="G155" s="274" t="s">
        <x:v>209</x:v>
      </x:c>
      <x:c r="I155" s="274" t="n">
        <x:v>1.4</x:v>
      </x:c>
      <x:c r="J155" s="274" t="n">
        <x:v>1315</x:v>
      </x:c>
      <x:c r="K155" s="274" t="n">
        <x:v>326</x:v>
      </x:c>
      <x:c r="M155" s="274" t="s">
        <x:v>471</x:v>
      </x:c>
      <x:c r="N155" s="274" t="s">
        <x:v>162</x:v>
      </x:c>
    </x:row>
    <x:row r="156" spans="1:14">
      <x:c r="A156" s="274" t="s">
        <x:v>472</x:v>
      </x:c>
      <x:c r="B156" s="274" t="n">
        <x:v>10.14</x:v>
      </x:c>
      <x:c r="C156" s="274" t="n">
        <x:v>0</x:v>
      </x:c>
      <x:c r="D156" s="274" t="n">
        <x:v>0</x:v>
      </x:c>
      <x:c r="E156" s="274" t="n">
        <x:v>27</x:v>
      </x:c>
      <x:c r="F156" s="274" t="s">
        <x:v>333</x:v>
      </x:c>
      <x:c r="G156" s="274" t="s">
        <x:v>473</x:v>
      </x:c>
      <x:c r="I156" s="274" t="n">
        <x:v>0.7</x:v>
      </x:c>
      <x:c r="J156" s="274" t="n">
        <x:v>1112</x:v>
      </x:c>
      <x:c r="K156" s="274" t="n">
        <x:v>1660</x:v>
      </x:c>
      <x:c r="M156" s="274" t="s">
        <x:v>474</x:v>
      </x:c>
      <x:c r="N156" s="274" t="s">
        <x:v>475</x:v>
      </x:c>
    </x:row>
    <x:row r="157" spans="1:14">
      <x:c r="A157" s="274" t="s">
        <x:v>476</x:v>
      </x:c>
      <x:c r="B157" s="274" t="n">
        <x:v>10.29</x:v>
      </x:c>
      <x:c r="C157" s="274" t="n">
        <x:v>0</x:v>
      </x:c>
      <x:c r="D157" s="274" t="n">
        <x:v>0</x:v>
      </x:c>
      <x:c r="E157" s="274" t="n">
        <x:v>25</x:v>
      </x:c>
      <x:c r="F157" s="274" t="s">
        <x:v>333</x:v>
      </x:c>
      <x:c r="G157" s="274" t="s">
        <x:v>473</x:v>
      </x:c>
      <x:c r="I157" s="274" t="n">
        <x:v>0.65</x:v>
      </x:c>
      <x:c r="J157" s="274" t="n">
        <x:v>1115</x:v>
      </x:c>
      <x:c r="K157" s="274" t="n">
        <x:v>1809</x:v>
      </x:c>
      <x:c r="M157" s="274" t="s">
        <x:v>477</x:v>
      </x:c>
      <x:c r="N157" s="274" t="s">
        <x:v>202</x:v>
      </x:c>
    </x:row>
    <x:row r="158" spans="1:14">
      <x:c r="A158" s="274" t="s">
        <x:v>478</x:v>
      </x:c>
      <x:c r="B158" s="274" t="n">
        <x:v>9.73</x:v>
      </x:c>
      <x:c r="C158" s="274" t="n">
        <x:v>0</x:v>
      </x:c>
      <x:c r="D158" s="274" t="n">
        <x:v>0</x:v>
      </x:c>
      <x:c r="E158" s="274" t="n">
        <x:v>26</x:v>
      </x:c>
      <x:c r="F158" s="274" t="s">
        <x:v>333</x:v>
      </x:c>
      <x:c r="G158" s="274" t="s">
        <x:v>473</x:v>
      </x:c>
      <x:c r="I158" s="274" t="n">
        <x:v>0.65</x:v>
      </x:c>
      <x:c r="J158" s="274" t="n">
        <x:v>1105</x:v>
      </x:c>
      <x:c r="K158" s="274" t="n">
        <x:v>1727</x:v>
      </x:c>
      <x:c r="M158" s="274" t="s">
        <x:v>479</x:v>
      </x:c>
      <x:c r="N158" s="274" t="s">
        <x:v>480</x:v>
      </x:c>
    </x:row>
    <x:row r="159" spans="1:14">
      <x:c r="A159" s="274" t="s">
        <x:v>481</x:v>
      </x:c>
      <x:c r="B159" s="274" t="n">
        <x:v>5.98</x:v>
      </x:c>
      <x:c r="C159" s="274" t="n">
        <x:v>15</x:v>
      </x:c>
      <x:c r="D159" s="274" t="n">
        <x:v>15</x:v>
      </x:c>
      <x:c r="E159" s="274" t="n">
        <x:v>28</x:v>
      </x:c>
      <x:c r="F159" s="274" t="s">
        <x:v>333</x:v>
      </x:c>
      <x:c r="G159" s="274" t="s">
        <x:v>153</x:v>
      </x:c>
      <x:c r="I159" s="274" t="n">
        <x:v>0.65</x:v>
      </x:c>
      <x:c r="J159" s="274" t="n">
        <x:v>770</x:v>
      </x:c>
      <x:c r="K159" s="274" t="n">
        <x:v>1522.5</x:v>
      </x:c>
      <x:c r="M159" s="274" t="s">
        <x:v>482</x:v>
      </x:c>
      <x:c r="N159" s="274" t="s">
        <x:v>162</x:v>
      </x:c>
    </x:row>
    <x:row r="160" spans="1:14">
      <x:c r="A160" s="274" t="s">
        <x:v>483</x:v>
      </x:c>
      <x:c r="B160" s="274" t="n">
        <x:v>3.85</x:v>
      </x:c>
      <x:c r="C160" s="274" t="n">
        <x:v>0</x:v>
      </x:c>
      <x:c r="D160" s="274" t="n">
        <x:v>0</x:v>
      </x:c>
      <x:c r="F160" s="274" t="s">
        <x:v>133</x:v>
      </x:c>
      <x:c r="G160" s="274" t="s">
        <x:v>124</x:v>
      </x:c>
      <x:c r="I160" s="274" t="n">
        <x:v>2</x:v>
      </x:c>
      <x:c r="J160" s="274" t="n">
        <x:v>200</x:v>
      </x:c>
      <x:c r="K160" s="274" t="n">
        <x:v>1225</x:v>
      </x:c>
      <x:c r="M160" s="274" t="s">
        <x:v>484</x:v>
      </x:c>
      <x:c r="N160" s="274" t="s">
        <x:v>458</x:v>
      </x:c>
    </x:row>
    <x:row r="161" spans="1:14">
      <x:c r="A161" s="274" t="s">
        <x:v>485</x:v>
      </x:c>
      <x:c r="B161" s="274" t="n">
        <x:v>1.24</x:v>
      </x:c>
      <x:c r="C161" s="274" t="n">
        <x:v>0</x:v>
      </x:c>
      <x:c r="D161" s="274" t="n">
        <x:v>0</x:v>
      </x:c>
      <x:c r="F161" s="274" t="s">
        <x:v>133</x:v>
      </x:c>
      <x:c r="G161" s="274" t="s">
        <x:v>209</x:v>
      </x:c>
      <x:c r="I161" s="274" t="n">
        <x:v>1.2</x:v>
      </x:c>
      <x:c r="J161" s="274" t="n">
        <x:v>105</x:v>
      </x:c>
      <x:c r="K161" s="274" t="n">
        <x:v>1250</x:v>
      </x:c>
      <x:c r="M161" s="274" t="s">
        <x:v>486</x:v>
      </x:c>
    </x:row>
    <x:row r="162" spans="1:14">
      <x:c r="A162" s="274" t="s">
        <x:v>487</x:v>
      </x:c>
      <x:c r="B162" s="274" t="n">
        <x:v>1.09</x:v>
      </x:c>
      <x:c r="C162" s="274" t="n">
        <x:v>0</x:v>
      </x:c>
      <x:c r="D162" s="274" t="n">
        <x:v>0</x:v>
      </x:c>
      <x:c r="F162" s="274" t="s">
        <x:v>133</x:v>
      </x:c>
      <x:c r="G162" s="274" t="s">
        <x:v>134</x:v>
      </x:c>
      <x:c r="I162" s="274" t="n">
        <x:v>2</x:v>
      </x:c>
      <x:c r="J162" s="274" t="n">
        <x:v>57</x:v>
      </x:c>
      <x:c r="K162" s="274" t="n">
        <x:v>1220</x:v>
      </x:c>
      <x:c r="M162" s="274" t="s">
        <x:v>488</x:v>
      </x:c>
    </x:row>
    <x:row r="163" spans="1:14">
      <x:c r="A163" s="274" t="s">
        <x:v>489</x:v>
      </x:c>
      <x:c r="B163" s="274" t="n">
        <x:v>2.96</x:v>
      </x:c>
      <x:c r="C163" s="274" t="n">
        <x:v>0</x:v>
      </x:c>
      <x:c r="D163" s="274" t="n">
        <x:v>33</x:v>
      </x:c>
      <x:c r="E163" s="274" t="n">
        <x:v>28</x:v>
      </x:c>
      <x:c r="F163" s="274" t="s">
        <x:v>128</x:v>
      </x:c>
      <x:c r="G163" s="274" t="s">
        <x:v>136</x:v>
      </x:c>
      <x:c r="H163" s="274" t="n">
        <x:v>45</x:v>
      </x:c>
      <x:c r="I163" s="274" t="n">
        <x:v>2.3</x:v>
      </x:c>
      <x:c r="J163" s="274" t="n">
        <x:v>198</x:v>
      </x:c>
      <x:c r="K163" s="274" t="n">
        <x:v>825</x:v>
      </x:c>
      <x:c r="M163" s="274" t="s">
        <x:v>490</x:v>
      </x:c>
      <x:c r="N163" s="274" t="s">
        <x:v>207</x:v>
      </x:c>
    </x:row>
    <x:row r="164" spans="1:14">
      <x:c r="A164" s="274" t="s">
        <x:v>491</x:v>
      </x:c>
      <x:c r="B164" s="274" t="n">
        <x:v>0.89</x:v>
      </x:c>
      <x:c r="C164" s="274" t="n">
        <x:v>0</x:v>
      </x:c>
      <x:c r="D164" s="274" t="n">
        <x:v>35</x:v>
      </x:c>
      <x:c r="E164" s="274" t="n">
        <x:v>33</x:v>
      </x:c>
      <x:c r="F164" s="274" t="s">
        <x:v>128</x:v>
      </x:c>
      <x:c r="G164" s="274" t="s">
        <x:v>136</x:v>
      </x:c>
      <x:c r="H164" s="274" t="n">
        <x:v>45</x:v>
      </x:c>
      <x:c r="I164" s="274" t="n">
        <x:v>2.3</x:v>
      </x:c>
      <x:c r="J164" s="274" t="n">
        <x:v>120</x:v>
      </x:c>
      <x:c r="K164" s="274" t="n">
        <x:v>410</x:v>
      </x:c>
      <x:c r="M164" s="274" t="s">
        <x:v>492</x:v>
      </x:c>
      <x:c r="N164" s="274" t="s">
        <x:v>155</x:v>
      </x:c>
    </x:row>
    <x:row r="165" spans="1:14">
      <x:c r="A165" s="274" t="s">
        <x:v>493</x:v>
      </x:c>
      <x:c r="B165" s="274" t="n">
        <x:v>1.77</x:v>
      </x:c>
      <x:c r="C165" s="274" t="n">
        <x:v>0</x:v>
      </x:c>
      <x:c r="D165" s="274" t="n">
        <x:v>35</x:v>
      </x:c>
      <x:c r="E165" s="274" t="n">
        <x:v>30</x:v>
      </x:c>
      <x:c r="F165" s="274" t="s">
        <x:v>133</x:v>
      </x:c>
      <x:c r="G165" s="274" t="s">
        <x:v>134</x:v>
      </x:c>
      <x:c r="I165" s="274" t="n">
        <x:v>2.3</x:v>
      </x:c>
      <x:c r="J165" s="274" t="n">
        <x:v>145</x:v>
      </x:c>
      <x:c r="K165" s="274" t="n">
        <x:v>675</x:v>
      </x:c>
      <x:c r="M165" s="274" t="s">
        <x:v>494</x:v>
      </x:c>
      <x:c r="N165" s="274" t="s">
        <x:v>131</x:v>
      </x:c>
    </x:row>
    <x:row r="166" spans="1:14">
      <x:c r="A166" s="274" t="s">
        <x:v>495</x:v>
      </x:c>
      <x:c r="B166" s="274" t="n">
        <x:v>1.04</x:v>
      </x:c>
      <x:c r="C166" s="274" t="n">
        <x:v>0</x:v>
      </x:c>
      <x:c r="D166" s="274" t="n">
        <x:v>35</x:v>
      </x:c>
      <x:c r="E166" s="274" t="n">
        <x:v>33</x:v>
      </x:c>
      <x:c r="F166" s="274" t="s">
        <x:v>128</x:v>
      </x:c>
      <x:c r="G166" s="274" t="s">
        <x:v>496</x:v>
      </x:c>
      <x:c r="H166" s="274" t="n">
        <x:v>45</x:v>
      </x:c>
      <x:c r="I166" s="274" t="n">
        <x:v>2.6</x:v>
      </x:c>
      <x:c r="J166" s="274" t="n">
        <x:v>107</x:v>
      </x:c>
      <x:c r="K166" s="274" t="n">
        <x:v>472</x:v>
      </x:c>
      <x:c r="M166" s="274" t="s">
        <x:v>497</x:v>
      </x:c>
      <x:c r="N166" s="274" t="s">
        <x:v>155</x:v>
      </x:c>
    </x:row>
    <x:row r="167" spans="1:14">
      <x:c r="A167" s="274" t="s">
        <x:v>498</x:v>
      </x:c>
      <x:c r="B167" s="274" t="n">
        <x:v>2.83</x:v>
      </x:c>
      <x:c r="C167" s="274" t="n">
        <x:v>0</x:v>
      </x:c>
      <x:c r="D167" s="274" t="n">
        <x:v>35</x:v>
      </x:c>
      <x:c r="E167" s="274" t="n">
        <x:v>33</x:v>
      </x:c>
      <x:c r="F167" s="274" t="s">
        <x:v>133</x:v>
      </x:c>
      <x:c r="G167" s="274" t="s">
        <x:v>134</x:v>
      </x:c>
      <x:c r="I167" s="274" t="n">
        <x:v>2.6</x:v>
      </x:c>
      <x:c r="J167" s="274" t="n">
        <x:v>238</x:v>
      </x:c>
      <x:c r="K167" s="274" t="n">
        <x:v>583</x:v>
      </x:c>
      <x:c r="M167" s="274" t="s">
        <x:v>189</x:v>
      </x:c>
      <x:c r="N167" s="274" t="s">
        <x:v>155</x:v>
      </x:c>
    </x:row>
    <x:row r="168" spans="1:14">
      <x:c r="A168" s="274" t="s">
        <x:v>499</x:v>
      </x:c>
      <x:c r="B168" s="274" t="n">
        <x:v>3.5</x:v>
      </x:c>
      <x:c r="C168" s="274" t="n">
        <x:v>0</x:v>
      </x:c>
      <x:c r="D168" s="274" t="n">
        <x:v>35</x:v>
      </x:c>
      <x:c r="E168" s="274" t="n">
        <x:v>33</x:v>
      </x:c>
      <x:c r="F168" s="274" t="s">
        <x:v>133</x:v>
      </x:c>
      <x:c r="G168" s="274" t="s">
        <x:v>134</x:v>
      </x:c>
      <x:c r="I168" s="274" t="n">
        <x:v>2.6</x:v>
      </x:c>
      <x:c r="J168" s="274" t="n">
        <x:v>293</x:v>
      </x:c>
      <x:c r="K168" s="274" t="n">
        <x:v>585</x:v>
      </x:c>
      <x:c r="M168" s="274" t="s">
        <x:v>500</x:v>
      </x:c>
      <x:c r="N168" s="274" t="s">
        <x:v>155</x:v>
      </x:c>
    </x:row>
    <x:row r="169" spans="1:14">
      <x:c r="A169" s="274" t="s">
        <x:v>501</x:v>
      </x:c>
      <x:c r="B169" s="274" t="n">
        <x:v>7</x:v>
      </x:c>
      <x:c r="C169" s="274" t="n">
        <x:v>0</x:v>
      </x:c>
      <x:c r="D169" s="274" t="n">
        <x:v>35</x:v>
      </x:c>
      <x:c r="E169" s="274" t="n">
        <x:v>30</x:v>
      </x:c>
      <x:c r="F169" s="274" t="s">
        <x:v>133</x:v>
      </x:c>
      <x:c r="G169" s="274" t="s">
        <x:v>134</x:v>
      </x:c>
      <x:c r="I169" s="274" t="n">
        <x:v>2.6</x:v>
      </x:c>
      <x:c r="J169" s="274" t="n">
        <x:v>527.5</x:v>
      </x:c>
      <x:c r="K169" s="274" t="n">
        <x:v>650</x:v>
      </x:c>
      <x:c r="M169" s="274" t="s">
        <x:v>193</x:v>
      </x:c>
      <x:c r="N169" s="274" t="s">
        <x:v>131</x:v>
      </x:c>
    </x:row>
    <x:row r="170" spans="1:14">
      <x:c r="A170" s="274" t="s">
        <x:v>502</x:v>
      </x:c>
      <x:c r="B170" s="274" t="n">
        <x:v>4.5</x:v>
      </x:c>
      <x:c r="C170" s="274" t="n">
        <x:v>0</x:v>
      </x:c>
      <x:c r="D170" s="274" t="n">
        <x:v>35</x:v>
      </x:c>
      <x:c r="E170" s="274" t="n">
        <x:v>33</x:v>
      </x:c>
      <x:c r="F170" s="274" t="s">
        <x:v>133</x:v>
      </x:c>
      <x:c r="G170" s="274" t="s">
        <x:v>134</x:v>
      </x:c>
      <x:c r="I170" s="274" t="n">
        <x:v>3.2</x:v>
      </x:c>
      <x:c r="J170" s="274" t="n">
        <x:v>320</x:v>
      </x:c>
      <x:c r="K170" s="274" t="n">
        <x:v>560</x:v>
      </x:c>
      <x:c r="M170" s="274" t="s">
        <x:v>503</x:v>
      </x:c>
      <x:c r="N170" s="274" t="s">
        <x:v>155</x:v>
      </x:c>
    </x:row>
    <x:row r="171" spans="1:14">
      <x:c r="A171" s="274" t="s">
        <x:v>504</x:v>
      </x:c>
      <x:c r="B171" s="274" t="n">
        <x:v>2.08</x:v>
      </x:c>
      <x:c r="C171" s="274" t="n">
        <x:v>0</x:v>
      </x:c>
      <x:c r="D171" s="274" t="n">
        <x:v>35</x:v>
      </x:c>
      <x:c r="E171" s="274" t="n">
        <x:v>33</x:v>
      </x:c>
      <x:c r="F171" s="274" t="s">
        <x:v>133</x:v>
      </x:c>
      <x:c r="G171" s="274" t="s">
        <x:v>148</x:v>
      </x:c>
      <x:c r="I171" s="274" t="n">
        <x:v>3.2</x:v>
      </x:c>
      <x:c r="J171" s="274" t="n">
        <x:v>167</x:v>
      </x:c>
      <x:c r="K171" s="274" t="n">
        <x:v>495</x:v>
      </x:c>
      <x:c r="M171" s="274" t="s">
        <x:v>505</x:v>
      </x:c>
      <x:c r="N171" s="274" t="s">
        <x:v>126</x:v>
      </x:c>
    </x:row>
    <x:row r="172" spans="1:14">
      <x:c r="A172" s="274" t="s">
        <x:v>506</x:v>
      </x:c>
      <x:c r="B172" s="274" t="n">
        <x:v>2.57</x:v>
      </x:c>
      <x:c r="C172" s="274" t="n">
        <x:v>0</x:v>
      </x:c>
      <x:c r="D172" s="274" t="n">
        <x:v>0</x:v>
      </x:c>
      <x:c r="F172" s="274" t="s">
        <x:v>133</x:v>
      </x:c>
      <x:c r="G172" s="274" t="s">
        <x:v>136</x:v>
      </x:c>
      <x:c r="H172" s="274" t="n">
        <x:v>45</x:v>
      </x:c>
      <x:c r="I172" s="274" t="n">
        <x:v>1.2</x:v>
      </x:c>
      <x:c r="J172" s="274" t="n">
        <x:v>226</x:v>
      </x:c>
      <x:c r="K172" s="274" t="n">
        <x:v>1195</x:v>
      </x:c>
      <x:c r="M172" s="274" t="s">
        <x:v>507</x:v>
      </x:c>
    </x:row>
    <x:row r="173" spans="1:14">
      <x:c r="A173" s="274" t="s">
        <x:v>508</x:v>
      </x:c>
      <x:c r="B173" s="274" t="n">
        <x:v>1.43</x:v>
      </x:c>
      <x:c r="C173" s="274" t="n">
        <x:v>27</x:v>
      </x:c>
      <x:c r="D173" s="274" t="n">
        <x:v>35</x:v>
      </x:c>
      <x:c r="E173" s="274" t="n">
        <x:v>33</x:v>
      </x:c>
      <x:c r="F173" s="274" t="s">
        <x:v>184</x:v>
      </x:c>
      <x:c r="G173" s="274" t="s">
        <x:v>129</x:v>
      </x:c>
      <x:c r="H173" s="274" t="n">
        <x:v>45</x:v>
      </x:c>
      <x:c r="I173" s="274" t="n">
        <x:v>1.2</x:v>
      </x:c>
      <x:c r="J173" s="274" t="n">
        <x:v>310</x:v>
      </x:c>
      <x:c r="K173" s="274" t="n">
        <x:v>485</x:v>
      </x:c>
      <x:c r="M173" s="274" t="s">
        <x:v>509</x:v>
      </x:c>
      <x:c r="N173" s="274" t="s">
        <x:v>131</x:v>
      </x:c>
    </x:row>
    <x:row r="174" spans="1:14">
      <x:c r="A174" s="274" t="s">
        <x:v>510</x:v>
      </x:c>
      <x:c r="B174" s="274" t="n">
        <x:v>0.58</x:v>
      </x:c>
      <x:c r="C174" s="274" t="n">
        <x:v>28</x:v>
      </x:c>
      <x:c r="D174" s="274" t="n">
        <x:v>36</x:v>
      </x:c>
      <x:c r="E174" s="274" t="n">
        <x:v>33</x:v>
      </x:c>
      <x:c r="F174" s="274" t="s">
        <x:v>133</x:v>
      </x:c>
      <x:c r="G174" s="274" t="s">
        <x:v>136</x:v>
      </x:c>
      <x:c r="H174" s="274" t="n">
        <x:v>45</x:v>
      </x:c>
      <x:c r="I174" s="274" t="n">
        <x:v>0.7</x:v>
      </x:c>
      <x:c r="J174" s="274" t="n">
        <x:v>298</x:v>
      </x:c>
      <x:c r="K174" s="274" t="n">
        <x:v>350</x:v>
      </x:c>
      <x:c r="M174" s="274" t="s">
        <x:v>511</x:v>
      </x:c>
    </x:row>
    <x:row r="175" spans="1:14">
      <x:c r="A175" s="274" t="s">
        <x:v>512</x:v>
      </x:c>
      <x:c r="B175" s="274" t="n">
        <x:v>2.83</x:v>
      </x:c>
      <x:c r="C175" s="274" t="n">
        <x:v>0</x:v>
      </x:c>
      <x:c r="D175" s="274" t="n">
        <x:v>0</x:v>
      </x:c>
      <x:c r="F175" s="274" t="s">
        <x:v>133</x:v>
      </x:c>
      <x:c r="G175" s="274" t="s">
        <x:v>134</x:v>
      </x:c>
      <x:c r="I175" s="274" t="n">
        <x:v>2</x:v>
      </x:c>
      <x:c r="J175" s="274" t="n">
        <x:v>166</x:v>
      </x:c>
      <x:c r="K175" s="274" t="n">
        <x:v>1085</x:v>
      </x:c>
      <x:c r="M175" s="274" t="s">
        <x:v>513</x:v>
      </x:c>
      <x:c r="N175" s="274" t="s">
        <x:v>458</x:v>
      </x:c>
    </x:row>
    <x:row r="176" spans="1:14">
      <x:c r="A176" s="274" t="s">
        <x:v>514</x:v>
      </x:c>
      <x:c r="B176" s="274" t="n">
        <x:v>0.42</x:v>
      </x:c>
      <x:c r="C176" s="274" t="n">
        <x:v>0</x:v>
      </x:c>
      <x:c r="D176" s="274" t="n">
        <x:v>0</x:v>
      </x:c>
      <x:c r="F176" s="274" t="s">
        <x:v>123</x:v>
      </x:c>
      <x:c r="G176" s="274" t="s">
        <x:v>209</x:v>
      </x:c>
      <x:c r="I176" s="274" t="n">
        <x:v>1.2</x:v>
      </x:c>
      <x:c r="J176" s="274" t="n">
        <x:v>90</x:v>
      </x:c>
      <x:c r="K176" s="274" t="n">
        <x:v>500</x:v>
      </x:c>
      <x:c r="M176" s="274" t="s">
        <x:v>515</x:v>
      </x:c>
    </x:row>
    <x:row r="177" spans="1:14">
      <x:c r="A177" s="274" t="s">
        <x:v>516</x:v>
      </x:c>
      <x:c r="B177" s="274" t="n">
        <x:v>0.32</x:v>
      </x:c>
      <x:c r="C177" s="274" t="n">
        <x:v>0</x:v>
      </x:c>
      <x:c r="D177" s="274" t="n">
        <x:v>0</x:v>
      </x:c>
      <x:c r="F177" s="274" t="s">
        <x:v>123</x:v>
      </x:c>
      <x:c r="G177" s="274" t="s">
        <x:v>209</x:v>
      </x:c>
      <x:c r="I177" s="274" t="n">
        <x:v>1.2</x:v>
      </x:c>
      <x:c r="J177" s="274" t="n">
        <x:v>150</x:v>
      </x:c>
      <x:c r="K177" s="274" t="n">
        <x:v>225</x:v>
      </x:c>
      <x:c r="M177" s="274" t="s">
        <x:v>517</x:v>
      </x:c>
    </x:row>
    <x:row r="178" spans="1:14">
      <x:c r="A178" s="274" t="s">
        <x:v>518</x:v>
      </x:c>
      <x:c r="B178" s="274" t="n">
        <x:v>0.42</x:v>
      </x:c>
      <x:c r="C178" s="274" t="n">
        <x:v>30</x:v>
      </x:c>
      <x:c r="D178" s="274" t="n">
        <x:v>35</x:v>
      </x:c>
      <x:c r="E178" s="274" t="n">
        <x:v>33</x:v>
      </x:c>
      <x:c r="F178" s="274" t="s">
        <x:v>133</x:v>
      </x:c>
      <x:c r="G178" s="274" t="s">
        <x:v>136</x:v>
      </x:c>
      <x:c r="H178" s="274" t="n">
        <x:v>45</x:v>
      </x:c>
      <x:c r="I178" s="274" t="n">
        <x:v>0.65</x:v>
      </x:c>
      <x:c r="J178" s="274" t="n">
        <x:v>240</x:v>
      </x:c>
      <x:c r="K178" s="274" t="n">
        <x:v>335</x:v>
      </x:c>
      <x:c r="M178" s="274" t="s">
        <x:v>519</x:v>
      </x:c>
      <x:c r="N178" s="274" t="s">
        <x:v>229</x:v>
      </x:c>
    </x:row>
    <x:row r="179" spans="1:14">
      <x:c r="A179" s="274" t="s">
        <x:v>520</x:v>
      </x:c>
      <x:c r="B179" s="274" t="n">
        <x:v>2.42</x:v>
      </x:c>
      <x:c r="C179" s="274" t="n">
        <x:v>0</x:v>
      </x:c>
      <x:c r="D179" s="274" t="n">
        <x:v>0</x:v>
      </x:c>
      <x:c r="F179" s="274" t="s">
        <x:v>333</x:v>
      </x:c>
      <x:c r="G179" s="274" t="s">
        <x:v>209</x:v>
      </x:c>
      <x:c r="I179" s="274" t="n">
        <x:v>1.4</x:v>
      </x:c>
      <x:c r="J179" s="274" t="n">
        <x:v>387</x:v>
      </x:c>
      <x:c r="K179" s="274" t="n">
        <x:v>568</x:v>
      </x:c>
      <x:c r="M179" s="274" t="s">
        <x:v>521</x:v>
      </x:c>
      <x:c r="N179" s="274" t="s">
        <x:v>441</x:v>
      </x:c>
    </x:row>
    <x:row r="180" spans="1:14">
      <x:c r="A180" s="274" t="s">
        <x:v>522</x:v>
      </x:c>
      <x:c r="B180" s="274" t="n">
        <x:v>0.48</x:v>
      </x:c>
      <x:c r="C180" s="274" t="n">
        <x:v>0</x:v>
      </x:c>
      <x:c r="D180" s="274" t="n">
        <x:v>0</x:v>
      </x:c>
      <x:c r="F180" s="274" t="s">
        <x:v>123</x:v>
      </x:c>
      <x:c r="G180" s="274" t="s">
        <x:v>209</x:v>
      </x:c>
      <x:c r="I180" s="274" t="n">
        <x:v>1</x:v>
      </x:c>
      <x:c r="J180" s="274" t="n">
        <x:v>50</x:v>
      </x:c>
      <x:c r="K180" s="274" t="n">
        <x:v>1219</x:v>
      </x:c>
      <x:c r="M180" s="274" t="s">
        <x:v>523</x:v>
      </x:c>
      <x:c r="N180" s="274" t="s">
        <x:v>441</x:v>
      </x:c>
    </x:row>
    <x:row r="181" spans="1:14">
      <x:c r="A181" s="274" t="s">
        <x:v>524</x:v>
      </x:c>
      <x:c r="B181" s="274" t="n">
        <x:v>3.66</x:v>
      </x:c>
      <x:c r="C181" s="274" t="n">
        <x:v>38</x:v>
      </x:c>
      <x:c r="D181" s="274" t="n">
        <x:v>38</x:v>
      </x:c>
      <x:c r="E181" s="274" t="n">
        <x:v>0</x:v>
      </x:c>
      <x:c r="F181" s="274" t="s">
        <x:v>333</x:v>
      </x:c>
      <x:c r="G181" s="274" t="s">
        <x:v>124</x:v>
      </x:c>
      <x:c r="I181" s="274" t="n">
        <x:v>1.4</x:v>
      </x:c>
      <x:c r="J181" s="274" t="n">
        <x:v>1135</x:v>
      </x:c>
      <x:c r="K181" s="274" t="n">
        <x:v>293</x:v>
      </x:c>
      <x:c r="M181" s="274" t="s">
        <x:v>525</x:v>
      </x:c>
      <x:c r="N181" s="274" t="s">
        <x:v>480</x:v>
      </x:c>
    </x:row>
    <x:row r="182" spans="1:14">
      <x:c r="A182" s="274" t="s">
        <x:v>526</x:v>
      </x:c>
      <x:c r="B182" s="274" t="n">
        <x:v>3.66</x:v>
      </x:c>
      <x:c r="C182" s="274" t="n">
        <x:v>38</x:v>
      </x:c>
      <x:c r="D182" s="274" t="n">
        <x:v>38</x:v>
      </x:c>
      <x:c r="E182" s="274" t="n">
        <x:v>0</x:v>
      </x:c>
      <x:c r="F182" s="274" t="s">
        <x:v>333</x:v>
      </x:c>
      <x:c r="G182" s="274" t="s">
        <x:v>124</x:v>
      </x:c>
      <x:c r="I182" s="274" t="n">
        <x:v>1.4</x:v>
      </x:c>
      <x:c r="J182" s="274" t="n">
        <x:v>1135</x:v>
      </x:c>
      <x:c r="K182" s="274" t="n">
        <x:v>293</x:v>
      </x:c>
      <x:c r="M182" s="274" t="s">
        <x:v>527</x:v>
      </x:c>
      <x:c r="N182" s="274" t="s">
        <x:v>480</x:v>
      </x:c>
    </x:row>
    <x:row r="183" spans="1:14">
      <x:c r="A183" s="274" t="s">
        <x:v>528</x:v>
      </x:c>
      <x:c r="B183" s="274" t="n">
        <x:v>0.4</x:v>
      </x:c>
      <x:c r="C183" s="274" t="n">
        <x:v>35</x:v>
      </x:c>
      <x:c r="D183" s="274" t="n">
        <x:v>35</x:v>
      </x:c>
      <x:c r="E183" s="274" t="n">
        <x:v>33</x:v>
      </x:c>
      <x:c r="F183" s="274" t="s">
        <x:v>133</x:v>
      </x:c>
      <x:c r="G183" s="274" t="s">
        <x:v>144</x:v>
      </x:c>
      <x:c r="H183" s="274" t="n">
        <x:v>45</x:v>
      </x:c>
      <x:c r="I183" s="274" t="n">
        <x:v>1.4</x:v>
      </x:c>
      <x:c r="J183" s="274" t="n">
        <x:v>290</x:v>
      </x:c>
      <x:c r="K183" s="274" t="n">
        <x:v>125</x:v>
      </x:c>
      <x:c r="M183" s="274" t="s">
        <x:v>529</x:v>
      </x:c>
      <x:c r="N183" s="274" t="s">
        <x:v>131</x:v>
      </x:c>
    </x:row>
    <x:row r="184" spans="1:14">
      <x:c r="A184" s="274" t="s">
        <x:v>530</x:v>
      </x:c>
      <x:c r="B184" s="274" t="n">
        <x:v>7.08</x:v>
      </x:c>
      <x:c r="C184" s="274" t="n">
        <x:v>0</x:v>
      </x:c>
      <x:c r="D184" s="274" t="n">
        <x:v>0</x:v>
      </x:c>
      <x:c r="E184" s="274" t="n">
        <x:v>14</x:v>
      </x:c>
      <x:c r="F184" s="274" t="s">
        <x:v>133</x:v>
      </x:c>
      <x:c r="G184" s="274" t="s">
        <x:v>136</x:v>
      </x:c>
      <x:c r="H184" s="274" t="n">
        <x:v>45</x:v>
      </x:c>
      <x:c r="I184" s="274" t="n">
        <x:v>0.6</x:v>
      </x:c>
      <x:c r="J184" s="274" t="n">
        <x:v>965</x:v>
      </x:c>
      <x:c r="K184" s="274" t="n">
        <x:v>1530</x:v>
      </x:c>
      <x:c r="M184" s="274" t="s">
        <x:v>531</x:v>
      </x:c>
      <x:c r="N184" s="274" t="s">
        <x:v>126</x:v>
      </x:c>
    </x:row>
    <x:row r="185" spans="1:14">
      <x:c r="A185" s="274" t="s">
        <x:v>532</x:v>
      </x:c>
      <x:c r="B185" s="274" t="n">
        <x:v>1.39</x:v>
      </x:c>
      <x:c r="C185" s="274" t="n">
        <x:v>0</x:v>
      </x:c>
      <x:c r="D185" s="274" t="n">
        <x:v>0</x:v>
      </x:c>
      <x:c r="F185" s="274" t="s">
        <x:v>133</x:v>
      </x:c>
      <x:c r="G185" s="274" t="s">
        <x:v>209</x:v>
      </x:c>
      <x:c r="I185" s="274" t="n">
        <x:v>1.2</x:v>
      </x:c>
      <x:c r="J185" s="274" t="n">
        <x:v>122</x:v>
      </x:c>
      <x:c r="K185" s="274" t="n">
        <x:v>1210</x:v>
      </x:c>
      <x:c r="M185" s="274" t="s">
        <x:v>533</x:v>
      </x:c>
      <x:c r="N185" s="274" t="s">
        <x:v>131</x:v>
      </x:c>
    </x:row>
    <x:row r="186" spans="1:14">
      <x:c r="A186" s="274" t="s">
        <x:v>534</x:v>
      </x:c>
      <x:c r="B186" s="274" t="n">
        <x:v>0.79</x:v>
      </x:c>
      <x:c r="C186" s="274" t="n">
        <x:v>0</x:v>
      </x:c>
      <x:c r="D186" s="274" t="n">
        <x:v>0</x:v>
      </x:c>
      <x:c r="F186" s="274" t="s">
        <x:v>133</x:v>
      </x:c>
      <x:c r="G186" s="274" t="s">
        <x:v>209</x:v>
      </x:c>
      <x:c r="I186" s="274" t="n">
        <x:v>1.2</x:v>
      </x:c>
      <x:c r="J186" s="274" t="n">
        <x:v>67</x:v>
      </x:c>
      <x:c r="K186" s="274" t="n">
        <x:v>1250</x:v>
      </x:c>
      <x:c r="M186" s="274" t="s">
        <x:v>535</x:v>
      </x:c>
      <x:c r="N186" s="274" t="s">
        <x:v>126</x:v>
      </x:c>
    </x:row>
    <x:row r="187" spans="1:14">
      <x:c r="A187" s="274" t="s">
        <x:v>536</x:v>
      </x:c>
      <x:c r="B187" s="274" t="n">
        <x:v>5.12</x:v>
      </x:c>
      <x:c r="C187" s="274" t="n">
        <x:v>0</x:v>
      </x:c>
      <x:c r="D187" s="274" t="n">
        <x:v>0</x:v>
      </x:c>
      <x:c r="F187" s="274" t="s">
        <x:v>133</x:v>
      </x:c>
      <x:c r="G187" s="274" t="s">
        <x:v>148</x:v>
      </x:c>
      <x:c r="I187" s="274" t="n">
        <x:v>2</x:v>
      </x:c>
      <x:c r="J187" s="274" t="n">
        <x:v>252</x:v>
      </x:c>
      <x:c r="K187" s="274" t="n">
        <x:v>1295</x:v>
      </x:c>
      <x:c r="M187" s="274" t="s">
        <x:v>537</x:v>
      </x:c>
    </x:row>
    <x:row r="188" spans="1:14">
      <x:c r="A188" s="274" t="s">
        <x:v>538</x:v>
      </x:c>
      <x:c r="B188" s="274" t="n">
        <x:v>2.24</x:v>
      </x:c>
      <x:c r="C188" s="274" t="n">
        <x:v>0</x:v>
      </x:c>
      <x:c r="D188" s="274" t="n">
        <x:v>0</x:v>
      </x:c>
      <x:c r="F188" s="274" t="s">
        <x:v>133</x:v>
      </x:c>
      <x:c r="G188" s="274" t="s">
        <x:v>209</x:v>
      </x:c>
      <x:c r="I188" s="274" t="n">
        <x:v>0.8</x:v>
      </x:c>
      <x:c r="J188" s="274" t="n">
        <x:v>416</x:v>
      </x:c>
      <x:c r="K188" s="274" t="n">
        <x:v>860</x:v>
      </x:c>
      <x:c r="M188" s="274" t="s">
        <x:v>539</x:v>
      </x:c>
    </x:row>
    <x:row r="189" spans="1:14">
      <x:c r="A189" s="274" t="s">
        <x:v>540</x:v>
      </x:c>
      <x:c r="B189" s="274" t="n">
        <x:v>1.53</x:v>
      </x:c>
      <x:c r="C189" s="274" t="n">
        <x:v>0</x:v>
      </x:c>
      <x:c r="D189" s="274" t="n">
        <x:v>0</x:v>
      </x:c>
      <x:c r="F189" s="274" t="s">
        <x:v>133</x:v>
      </x:c>
      <x:c r="G189" s="274" t="s">
        <x:v>134</x:v>
      </x:c>
      <x:c r="I189" s="274" t="n">
        <x:v>2.3</x:v>
      </x:c>
      <x:c r="J189" s="274" t="n">
        <x:v>320</x:v>
      </x:c>
      <x:c r="K189" s="274" t="n">
        <x:v>265</x:v>
      </x:c>
      <x:c r="M189" s="274" t="s">
        <x:v>541</x:v>
      </x:c>
    </x:row>
    <x:row r="190" spans="1:14">
      <x:c r="A190" s="274" t="s">
        <x:v>542</x:v>
      </x:c>
      <x:c r="B190" s="274" t="n">
        <x:v>0.63</x:v>
      </x:c>
      <x:c r="C190" s="274" t="n">
        <x:v>0</x:v>
      </x:c>
      <x:c r="D190" s="274" t="n">
        <x:v>0</x:v>
      </x:c>
      <x:c r="F190" s="274" t="s">
        <x:v>133</x:v>
      </x:c>
      <x:c r="G190" s="274" t="s">
        <x:v>144</x:v>
      </x:c>
      <x:c r="H190" s="274" t="n">
        <x:v>45</x:v>
      </x:c>
      <x:c r="I190" s="274" t="n">
        <x:v>1.4</x:v>
      </x:c>
      <x:c r="J190" s="274" t="n">
        <x:v>167</x:v>
      </x:c>
      <x:c r="K190" s="274" t="n">
        <x:v>340</x:v>
      </x:c>
      <x:c r="M190" s="274" t="s">
        <x:v>543</x:v>
      </x:c>
      <x:c r="N190" s="274" t="s">
        <x:v>299</x:v>
      </x:c>
    </x:row>
    <x:row r="191" spans="1:14">
      <x:c r="A191" s="274" t="s">
        <x:v>544</x:v>
      </x:c>
      <x:c r="B191" s="274" t="n">
        <x:v>0.25</x:v>
      </x:c>
      <x:c r="C191" s="274" t="n">
        <x:v>0</x:v>
      </x:c>
      <x:c r="D191" s="274" t="n">
        <x:v>0</x:v>
      </x:c>
      <x:c r="F191" s="274" t="s">
        <x:v>133</x:v>
      </x:c>
      <x:c r="G191" s="274" t="s">
        <x:v>136</x:v>
      </x:c>
      <x:c r="H191" s="274" t="n">
        <x:v>45</x:v>
      </x:c>
      <x:c r="I191" s="274" t="n">
        <x:v>0.6</x:v>
      </x:c>
      <x:c r="J191" s="274" t="n">
        <x:v>290</x:v>
      </x:c>
      <x:c r="K191" s="274" t="n">
        <x:v>180</x:v>
      </x:c>
      <x:c r="M191" s="274" t="s">
        <x:v>545</x:v>
      </x:c>
    </x:row>
    <x:row r="192" spans="1:14">
      <x:c r="A192" s="274" t="s">
        <x:v>546</x:v>
      </x:c>
      <x:c r="B192" s="274" t="n">
        <x:v>0.27</x:v>
      </x:c>
      <x:c r="C192" s="274" t="n">
        <x:v>0</x:v>
      </x:c>
      <x:c r="D192" s="274" t="n">
        <x:v>0</x:v>
      </x:c>
      <x:c r="F192" s="274" t="s">
        <x:v>133</x:v>
      </x:c>
      <x:c r="G192" s="274" t="s">
        <x:v>144</x:v>
      </x:c>
      <x:c r="H192" s="274" t="n">
        <x:v>45</x:v>
      </x:c>
      <x:c r="I192" s="274" t="n">
        <x:v>1.2</x:v>
      </x:c>
      <x:c r="J192" s="274" t="n">
        <x:v>142</x:v>
      </x:c>
      <x:c r="K192" s="274" t="n">
        <x:v>202</x:v>
      </x:c>
      <x:c r="M192" s="274" t="s">
        <x:v>547</x:v>
      </x:c>
      <x:c r="N192" s="274" t="s">
        <x:v>299</x:v>
      </x:c>
    </x:row>
    <x:row r="193" spans="1:14">
      <x:c r="A193" s="274" t="s">
        <x:v>548</x:v>
      </x:c>
      <x:c r="B193" s="274" t="n">
        <x:v>0.38</x:v>
      </x:c>
      <x:c r="C193" s="274" t="n">
        <x:v>0</x:v>
      </x:c>
      <x:c r="D193" s="274" t="n">
        <x:v>0</x:v>
      </x:c>
      <x:c r="F193" s="274" t="s">
        <x:v>133</x:v>
      </x:c>
      <x:c r="G193" s="274" t="s">
        <x:v>144</x:v>
      </x:c>
      <x:c r="H193" s="274" t="n">
        <x:v>45</x:v>
      </x:c>
      <x:c r="I193" s="274" t="n">
        <x:v>1.2</x:v>
      </x:c>
      <x:c r="J193" s="274" t="n">
        <x:v>142</x:v>
      </x:c>
      <x:c r="K193" s="274" t="n">
        <x:v>278</x:v>
      </x:c>
      <x:c r="M193" s="274" t="s">
        <x:v>549</x:v>
      </x:c>
      <x:c r="N193" s="274" t="s">
        <x:v>299</x:v>
      </x:c>
    </x:row>
    <x:row r="194" spans="1:14">
      <x:c r="A194" s="274" t="s">
        <x:v>550</x:v>
      </x:c>
      <x:c r="B194" s="274" t="n">
        <x:v>1.9</x:v>
      </x:c>
      <x:c r="C194" s="274" t="n">
        <x:v>0</x:v>
      </x:c>
      <x:c r="D194" s="274" t="n">
        <x:v>0</x:v>
      </x:c>
      <x:c r="F194" s="274" t="s">
        <x:v>133</x:v>
      </x:c>
      <x:c r="G194" s="274" t="s">
        <x:v>134</x:v>
      </x:c>
      <x:c r="I194" s="274" t="n">
        <x:v>2</x:v>
      </x:c>
      <x:c r="J194" s="274" t="n">
        <x:v>100</x:v>
      </x:c>
      <x:c r="K194" s="274" t="n">
        <x:v>1210</x:v>
      </x:c>
      <x:c r="M194" s="274" t="s">
        <x:v>551</x:v>
      </x:c>
      <x:c r="N194" s="274" t="s">
        <x:v>299</x:v>
      </x:c>
    </x:row>
    <x:row r="195" spans="1:14">
      <x:c r="A195" s="274" t="s">
        <x:v>552</x:v>
      </x:c>
      <x:c r="B195" s="274" t="n">
        <x:v>1.56</x:v>
      </x:c>
      <x:c r="C195" s="274" t="n">
        <x:v>0</x:v>
      </x:c>
      <x:c r="D195" s="274" t="n">
        <x:v>0</x:v>
      </x:c>
      <x:c r="F195" s="274" t="s">
        <x:v>133</x:v>
      </x:c>
      <x:c r="G195" s="274" t="s">
        <x:v>134</x:v>
      </x:c>
      <x:c r="I195" s="274" t="n">
        <x:v>2</x:v>
      </x:c>
      <x:c r="J195" s="274" t="n">
        <x:v>82</x:v>
      </x:c>
      <x:c r="K195" s="274" t="n">
        <x:v>1210</x:v>
      </x:c>
      <x:c r="M195" s="274" t="s">
        <x:v>553</x:v>
      </x:c>
      <x:c r="N195" s="274" t="s">
        <x:v>299</x:v>
      </x:c>
    </x:row>
    <x:row r="196" spans="1:14">
      <x:c r="A196" s="274" t="s">
        <x:v>554</x:v>
      </x:c>
      <x:c r="B196" s="274" t="n">
        <x:v>1.45</x:v>
      </x:c>
      <x:c r="C196" s="274" t="n">
        <x:v>0</x:v>
      </x:c>
      <x:c r="D196" s="274" t="n">
        <x:v>0</x:v>
      </x:c>
      <x:c r="F196" s="274" t="s">
        <x:v>133</x:v>
      </x:c>
      <x:c r="G196" s="274" t="s">
        <x:v>136</x:v>
      </x:c>
      <x:c r="H196" s="274" t="n">
        <x:v>45</x:v>
      </x:c>
      <x:c r="I196" s="274" t="n">
        <x:v>1.4</x:v>
      </x:c>
      <x:c r="J196" s="274" t="n">
        <x:v>105</x:v>
      </x:c>
      <x:c r="K196" s="274" t="n">
        <x:v>1250</x:v>
      </x:c>
      <x:c r="M196" s="274" t="s">
        <x:v>555</x:v>
      </x:c>
      <x:c r="N196" s="274" t="s">
        <x:v>299</x:v>
      </x:c>
    </x:row>
    <x:row r="197" spans="1:14">
      <x:c r="A197" s="274" t="s">
        <x:v>556</x:v>
      </x:c>
      <x:c r="B197" s="274" t="n">
        <x:v>2.77</x:v>
      </x:c>
      <x:c r="C197" s="274" t="n">
        <x:v>0</x:v>
      </x:c>
      <x:c r="D197" s="274" t="n">
        <x:v>0</x:v>
      </x:c>
      <x:c r="F197" s="274" t="s">
        <x:v>133</x:v>
      </x:c>
      <x:c r="G197" s="274" t="s">
        <x:v>136</x:v>
      </x:c>
      <x:c r="H197" s="274" t="n">
        <x:v>45</x:v>
      </x:c>
      <x:c r="I197" s="274" t="n">
        <x:v>1.4</x:v>
      </x:c>
      <x:c r="J197" s="274" t="n">
        <x:v>200</x:v>
      </x:c>
      <x:c r="K197" s="274" t="n">
        <x:v>1250</x:v>
      </x:c>
      <x:c r="M197" s="274" t="s">
        <x:v>557</x:v>
      </x:c>
      <x:c r="N197" s="274" t="s">
        <x:v>131</x:v>
      </x:c>
    </x:row>
    <x:row r="198" spans="1:14">
      <x:c r="A198" s="274" t="s">
        <x:v>558</x:v>
      </x:c>
      <x:c r="B198" s="274" t="n">
        <x:v>31.98</x:v>
      </x:c>
      <x:c r="C198" s="274" t="n">
        <x:v>0</x:v>
      </x:c>
      <x:c r="D198" s="274" t="n">
        <x:v>30</x:v>
      </x:c>
      <x:c r="E198" s="274" t="n">
        <x:v>26</x:v>
      </x:c>
      <x:c r="F198" s="274" t="s">
        <x:v>133</x:v>
      </x:c>
      <x:c r="G198" s="274" t="s">
        <x:v>148</x:v>
      </x:c>
      <x:c r="I198" s="274" t="n">
        <x:v>3.2</x:v>
      </x:c>
      <x:c r="J198" s="274" t="n">
        <x:v>1070</x:v>
      </x:c>
      <x:c r="K198" s="274" t="n">
        <x:v>1190</x:v>
      </x:c>
      <x:c r="M198" s="274" t="s">
        <x:v>559</x:v>
      </x:c>
      <x:c r="N198" s="274" t="s">
        <x:v>126</x:v>
      </x:c>
    </x:row>
    <x:row r="199" spans="1:14">
      <x:c r="A199" s="274" t="s">
        <x:v>560</x:v>
      </x:c>
      <x:c r="B199" s="274" t="n">
        <x:v>0.99</x:v>
      </x:c>
      <x:c r="C199" s="274" t="n">
        <x:v>0</x:v>
      </x:c>
      <x:c r="D199" s="274" t="n">
        <x:v>0</x:v>
      </x:c>
      <x:c r="F199" s="274" t="s">
        <x:v>133</x:v>
      </x:c>
      <x:c r="G199" s="274" t="s">
        <x:v>148</x:v>
      </x:c>
      <x:c r="I199" s="274" t="n">
        <x:v>3.6</x:v>
      </x:c>
      <x:c r="J199" s="274" t="n">
        <x:v>118</x:v>
      </x:c>
      <x:c r="K199" s="274" t="n">
        <x:v>296</x:v>
      </x:c>
      <x:c r="M199" s="274" t="s">
        <x:v>561</x:v>
      </x:c>
      <x:c r="N199" s="274" t="s">
        <x:v>299</x:v>
      </x:c>
    </x:row>
    <x:row r="200" spans="1:14">
      <x:c r="A200" s="274" t="s">
        <x:v>562</x:v>
      </x:c>
      <x:c r="B200" s="274" t="n">
        <x:v>4.94</x:v>
      </x:c>
      <x:c r="C200" s="274" t="n">
        <x:v>0</x:v>
      </x:c>
      <x:c r="D200" s="274" t="n">
        <x:v>0</x:v>
      </x:c>
      <x:c r="F200" s="274" t="s">
        <x:v>133</x:v>
      </x:c>
      <x:c r="G200" s="274" t="s">
        <x:v>148</x:v>
      </x:c>
      <x:c r="I200" s="274" t="n">
        <x:v>3.6</x:v>
      </x:c>
      <x:c r="J200" s="274" t="n">
        <x:v>1127</x:v>
      </x:c>
      <x:c r="K200" s="274" t="n">
        <x:v>155</x:v>
      </x:c>
      <x:c r="M200" s="274" t="s">
        <x:v>563</x:v>
      </x:c>
    </x:row>
    <x:row r="201" spans="1:14">
      <x:c r="A201" s="274" t="s">
        <x:v>564</x:v>
      </x:c>
      <x:c r="B201" s="274" t="n">
        <x:v>2.79</x:v>
      </x:c>
      <x:c r="C201" s="274" t="n">
        <x:v>0</x:v>
      </x:c>
      <x:c r="D201" s="274" t="n">
        <x:v>0</x:v>
      </x:c>
      <x:c r="F201" s="274" t="s">
        <x:v>133</x:v>
      </x:c>
      <x:c r="G201" s="274" t="s">
        <x:v>148</x:v>
      </x:c>
      <x:c r="I201" s="274" t="n">
        <x:v>3.4</x:v>
      </x:c>
      <x:c r="J201" s="274" t="n">
        <x:v>415</x:v>
      </x:c>
      <x:c r="K201" s="274" t="n">
        <x:v>252</x:v>
      </x:c>
      <x:c r="M201" s="274" t="s">
        <x:v>565</x:v>
      </x:c>
      <x:c r="N201" s="274" t="s">
        <x:v>299</x:v>
      </x:c>
    </x:row>
    <x:row r="202" spans="1:14">
      <x:c r="A202" s="274" t="s">
        <x:v>566</x:v>
      </x:c>
      <x:c r="B202" s="274" t="n">
        <x:v>6.62</x:v>
      </x:c>
      <x:c r="C202" s="274" t="n">
        <x:v>0</x:v>
      </x:c>
      <x:c r="D202" s="274" t="n">
        <x:v>0</x:v>
      </x:c>
      <x:c r="F202" s="274" t="s">
        <x:v>123</x:v>
      </x:c>
      <x:c r="G202" s="274" t="s">
        <x:v>139</x:v>
      </x:c>
      <x:c r="I202" s="274" t="n">
        <x:v>3.4</x:v>
      </x:c>
      <x:c r="J202" s="274" t="n">
        <x:v>302</x:v>
      </x:c>
      <x:c r="K202" s="274" t="n">
        <x:v>822</x:v>
      </x:c>
      <x:c r="M202" s="274" t="s">
        <x:v>567</x:v>
      </x:c>
      <x:c r="N202" s="274" t="s">
        <x:v>299</x:v>
      </x:c>
    </x:row>
    <x:row r="203" spans="1:14">
      <x:c r="A203" s="274" t="s">
        <x:v>568</x:v>
      </x:c>
      <x:c r="B203" s="274" t="n">
        <x:v>7.46</x:v>
      </x:c>
      <x:c r="C203" s="274" t="n">
        <x:v>0</x:v>
      </x:c>
      <x:c r="D203" s="274" t="n">
        <x:v>0</x:v>
      </x:c>
      <x:c r="F203" s="274" t="s">
        <x:v>123</x:v>
      </x:c>
      <x:c r="G203" s="274" t="s">
        <x:v>139</x:v>
      </x:c>
      <x:c r="I203" s="274" t="n">
        <x:v>3.8</x:v>
      </x:c>
      <x:c r="J203" s="274" t="n">
        <x:v>307</x:v>
      </x:c>
      <x:c r="K203" s="274" t="n">
        <x:v>815</x:v>
      </x:c>
      <x:c r="M203" s="274" t="s">
        <x:v>569</x:v>
      </x:c>
      <x:c r="N203" s="274" t="s">
        <x:v>299</x:v>
      </x:c>
    </x:row>
    <x:row r="204" spans="1:14">
      <x:c r="A204" s="274" t="s">
        <x:v>570</x:v>
      </x:c>
      <x:c r="B204" s="274" t="n">
        <x:v>1.7</x:v>
      </x:c>
      <x:c r="C204" s="274" t="n">
        <x:v>0</x:v>
      </x:c>
      <x:c r="D204" s="274" t="n">
        <x:v>0</x:v>
      </x:c>
      <x:c r="F204" s="274" t="s">
        <x:v>123</x:v>
      </x:c>
      <x:c r="G204" s="274" t="s">
        <x:v>139</x:v>
      </x:c>
      <x:c r="I204" s="274" t="n">
        <x:v>4.5</x:v>
      </x:c>
      <x:c r="J204" s="274" t="n">
        <x:v>170</x:v>
      </x:c>
      <x:c r="K204" s="274" t="n">
        <x:v>283</x:v>
      </x:c>
      <x:c r="M204" s="274" t="s">
        <x:v>571</x:v>
      </x:c>
    </x:row>
    <x:row r="205" spans="1:14">
      <x:c r="A205" s="274" t="s">
        <x:v>572</x:v>
      </x:c>
      <x:c r="B205" s="274" t="n">
        <x:v>1.36</x:v>
      </x:c>
      <x:c r="C205" s="274" t="n">
        <x:v>0</x:v>
      </x:c>
      <x:c r="D205" s="274" t="n">
        <x:v>0</x:v>
      </x:c>
      <x:c r="F205" s="274" t="s">
        <x:v>133</x:v>
      </x:c>
      <x:c r="G205" s="274" t="s">
        <x:v>136</x:v>
      </x:c>
      <x:c r="H205" s="274" t="n">
        <x:v>45</x:v>
      </x:c>
      <x:c r="I205" s="274" t="n">
        <x:v>0.6</x:v>
      </x:c>
      <x:c r="J205" s="274" t="n">
        <x:v>980</x:v>
      </x:c>
      <x:c r="K205" s="274" t="n">
        <x:v>290</x:v>
      </x:c>
      <x:c r="M205" s="274" t="s">
        <x:v>573</x:v>
      </x:c>
    </x:row>
    <x:row r="206" spans="1:14">
      <x:c r="A206" s="274" t="s">
        <x:v>574</x:v>
      </x:c>
      <x:c r="B206" s="274" t="n">
        <x:v>0.7</x:v>
      </x:c>
      <x:c r="C206" s="274" t="n">
        <x:v>0</x:v>
      </x:c>
      <x:c r="D206" s="274" t="n">
        <x:v>0</x:v>
      </x:c>
      <x:c r="F206" s="274" t="s">
        <x:v>133</x:v>
      </x:c>
      <x:c r="G206" s="274" t="s">
        <x:v>153</x:v>
      </x:c>
      <x:c r="I206" s="274" t="n">
        <x:v>0.9</x:v>
      </x:c>
      <x:c r="J206" s="274" t="n">
        <x:v>81</x:v>
      </x:c>
      <x:c r="K206" s="274" t="n">
        <x:v>1220</x:v>
      </x:c>
      <x:c r="M206" s="274" t="s">
        <x:v>575</x:v>
      </x:c>
      <x:c r="N206" s="274" t="s">
        <x:v>299</x:v>
      </x:c>
    </x:row>
    <x:row r="207" spans="1:14">
      <x:c r="A207" s="274" t="s">
        <x:v>576</x:v>
      </x:c>
      <x:c r="B207" s="274" t="n">
        <x:v>0.38</x:v>
      </x:c>
      <x:c r="C207" s="274" t="n">
        <x:v>0</x:v>
      </x:c>
      <x:c r="D207" s="274" t="n">
        <x:v>0</x:v>
      </x:c>
      <x:c r="F207" s="274" t="s">
        <x:v>184</x:v>
      </x:c>
      <x:c r="G207" s="274" t="s">
        <x:v>129</x:v>
      </x:c>
      <x:c r="H207" s="274" t="n">
        <x:v>45</x:v>
      </x:c>
      <x:c r="I207" s="274" t="n">
        <x:v>2</x:v>
      </x:c>
      <x:c r="J207" s="274" t="n">
        <x:v>40</x:v>
      </x:c>
      <x:c r="K207" s="274" t="n">
        <x:v>603</x:v>
      </x:c>
      <x:c r="M207" s="274" t="s">
        <x:v>577</x:v>
      </x:c>
      <x:c r="N207" s="274" t="s">
        <x:v>299</x:v>
      </x:c>
    </x:row>
    <x:row r="208" spans="1:14">
      <x:c r="A208" s="274" t="s">
        <x:v>578</x:v>
      </x:c>
      <x:c r="B208" s="274" t="n">
        <x:v>0.51</x:v>
      </x:c>
      <x:c r="C208" s="274" t="n">
        <x:v>0</x:v>
      </x:c>
      <x:c r="D208" s="274" t="n">
        <x:v>0</x:v>
      </x:c>
      <x:c r="F208" s="274" t="s">
        <x:v>184</x:v>
      </x:c>
      <x:c r="G208" s="274" t="s">
        <x:v>129</x:v>
      </x:c>
      <x:c r="H208" s="274" t="n">
        <x:v>45</x:v>
      </x:c>
      <x:c r="I208" s="274" t="n">
        <x:v>2</x:v>
      </x:c>
      <x:c r="J208" s="274" t="n">
        <x:v>40</x:v>
      </x:c>
      <x:c r="K208" s="274" t="n">
        <x:v>814</x:v>
      </x:c>
      <x:c r="M208" s="274" t="s">
        <x:v>579</x:v>
      </x:c>
      <x:c r="N208" s="274" t="s">
        <x:v>299</x:v>
      </x:c>
    </x:row>
    <x:row r="209" spans="1:14">
      <x:c r="A209" s="274" t="s">
        <x:v>580</x:v>
      </x:c>
      <x:c r="B209" s="274" t="n">
        <x:v>1.34</x:v>
      </x:c>
      <x:c r="C209" s="274" t="n">
        <x:v>0</x:v>
      </x:c>
      <x:c r="D209" s="274" t="n">
        <x:v>0</x:v>
      </x:c>
      <x:c r="F209" s="274" t="s">
        <x:v>133</x:v>
      </x:c>
      <x:c r="G209" s="274" t="s">
        <x:v>148</x:v>
      </x:c>
      <x:c r="I209" s="274" t="n">
        <x:v>4.5</x:v>
      </x:c>
      <x:c r="J209" s="274" t="n">
        <x:v>64</x:v>
      </x:c>
      <x:c r="K209" s="274" t="n">
        <x:v>595</x:v>
      </x:c>
      <x:c r="M209" s="274" t="s">
        <x:v>581</x:v>
      </x:c>
      <x:c r="N209" s="274" t="s">
        <x:v>582</x:v>
      </x:c>
    </x:row>
    <x:row r="210" spans="1:14">
      <x:c r="A210" s="274" t="s">
        <x:v>583</x:v>
      </x:c>
      <x:c r="B210" s="274" t="n">
        <x:v>4.55</x:v>
      </x:c>
      <x:c r="C210" s="274" t="n">
        <x:v>0</x:v>
      </x:c>
      <x:c r="D210" s="274" t="n">
        <x:v>0</x:v>
      </x:c>
      <x:c r="F210" s="274" t="s">
        <x:v>133</x:v>
      </x:c>
      <x:c r="G210" s="274" t="s">
        <x:v>134</x:v>
      </x:c>
      <x:c r="I210" s="274" t="n">
        <x:v>2.9</x:v>
      </x:c>
      <x:c r="J210" s="274" t="n">
        <x:v>160</x:v>
      </x:c>
      <x:c r="K210" s="274" t="n">
        <x:v>1250</x:v>
      </x:c>
      <x:c r="M210" s="274" t="s">
        <x:v>584</x:v>
      </x:c>
      <x:c r="N210" s="274" t="s">
        <x:v>299</x:v>
      </x:c>
    </x:row>
    <x:row r="211" spans="1:14">
      <x:c r="A211" s="274" t="s">
        <x:v>585</x:v>
      </x:c>
      <x:c r="B211" s="274" t="n">
        <x:v>0.3</x:v>
      </x:c>
      <x:c r="C211" s="274" t="n">
        <x:v>0</x:v>
      </x:c>
      <x:c r="D211" s="274" t="n">
        <x:v>0</x:v>
      </x:c>
      <x:c r="F211" s="274" t="s">
        <x:v>133</x:v>
      </x:c>
      <x:c r="G211" s="274" t="s">
        <x:v>148</x:v>
      </x:c>
      <x:c r="I211" s="274" t="n">
        <x:v>3.2</x:v>
      </x:c>
      <x:c r="J211" s="274" t="n">
        <x:v>110</x:v>
      </x:c>
      <x:c r="K211" s="274" t="n">
        <x:v>110</x:v>
      </x:c>
      <x:c r="M211" s="274" t="s">
        <x:v>586</x:v>
      </x:c>
    </x:row>
    <x:row r="212" spans="1:14">
      <x:c r="A212" s="274" t="s">
        <x:v>587</x:v>
      </x:c>
      <x:c r="B212" s="274" t="n">
        <x:v>1.02</x:v>
      </x:c>
      <x:c r="C212" s="274" t="n">
        <x:v>0</x:v>
      </x:c>
      <x:c r="D212" s="274" t="n">
        <x:v>0</x:v>
      </x:c>
      <x:c r="F212" s="274" t="s">
        <x:v>133</x:v>
      </x:c>
      <x:c r="G212" s="274" t="s">
        <x:v>144</x:v>
      </x:c>
      <x:c r="H212" s="274" t="n">
        <x:v>45</x:v>
      </x:c>
      <x:c r="I212" s="274" t="n">
        <x:v>1.6</x:v>
      </x:c>
      <x:c r="J212" s="274" t="n">
        <x:v>182</x:v>
      </x:c>
      <x:c r="K212" s="274" t="n">
        <x:v>442</x:v>
      </x:c>
      <x:c r="M212" s="274" t="s">
        <x:v>588</x:v>
      </x:c>
      <x:c r="N212" s="274" t="s">
        <x:v>299</x:v>
      </x:c>
    </x:row>
    <x:row r="213" spans="1:14">
      <x:c r="A213" s="274" t="s">
        <x:v>589</x:v>
      </x:c>
      <x:c r="B213" s="274" t="n">
        <x:v>0.32</x:v>
      </x:c>
      <x:c r="C213" s="274" t="n">
        <x:v>0</x:v>
      </x:c>
      <x:c r="D213" s="274" t="n">
        <x:v>0</x:v>
      </x:c>
      <x:c r="F213" s="274" t="s">
        <x:v>184</x:v>
      </x:c>
      <x:c r="G213" s="274" t="s">
        <x:v>129</x:v>
      </x:c>
      <x:c r="H213" s="274" t="n">
        <x:v>45</x:v>
      </x:c>
      <x:c r="I213" s="274" t="n">
        <x:v>2</x:v>
      </x:c>
      <x:c r="J213" s="274" t="n">
        <x:v>30</x:v>
      </x:c>
      <x:c r="K213" s="274" t="n">
        <x:v>682</x:v>
      </x:c>
      <x:c r="M213" s="274" t="s">
        <x:v>590</x:v>
      </x:c>
      <x:c r="N213" s="274" t="s">
        <x:v>155</x:v>
      </x:c>
    </x:row>
    <x:row r="214" spans="1:14">
      <x:c r="A214" s="274" t="s">
        <x:v>591</x:v>
      </x:c>
      <x:c r="B214" s="274" t="n">
        <x:v>4.83</x:v>
      </x:c>
      <x:c r="C214" s="274" t="n">
        <x:v>0</x:v>
      </x:c>
      <x:c r="D214" s="274" t="n">
        <x:v>0</x:v>
      </x:c>
      <x:c r="F214" s="274" t="s">
        <x:v>133</x:v>
      </x:c>
      <x:c r="G214" s="274" t="s">
        <x:v>148</x:v>
      </x:c>
      <x:c r="I214" s="274" t="n">
        <x:v>2</x:v>
      </x:c>
      <x:c r="J214" s="274" t="n">
        <x:v>362</x:v>
      </x:c>
      <x:c r="K214" s="274" t="n">
        <x:v>850</x:v>
      </x:c>
      <x:c r="M214" s="274" t="s">
        <x:v>592</x:v>
      </x:c>
      <x:c r="N214" s="274" t="s">
        <x:v>299</x:v>
      </x:c>
    </x:row>
    <x:row r="215" spans="1:14">
      <x:c r="A215" s="274" t="s">
        <x:v>593</x:v>
      </x:c>
      <x:c r="B215" s="274" t="n">
        <x:v>0.8</x:v>
      </x:c>
      <x:c r="C215" s="274" t="n">
        <x:v>0</x:v>
      </x:c>
      <x:c r="D215" s="274" t="n">
        <x:v>0</x:v>
      </x:c>
      <x:c r="F215" s="274" t="s">
        <x:v>133</x:v>
      </x:c>
      <x:c r="G215" s="274" t="s">
        <x:v>134</x:v>
      </x:c>
      <x:c r="I215" s="274" t="n">
        <x:v>3.2</x:v>
      </x:c>
      <x:c r="J215" s="274" t="n">
        <x:v>318</x:v>
      </x:c>
      <x:c r="K215" s="274" t="n">
        <x:v>100</x:v>
      </x:c>
      <x:c r="M215" s="274" t="s">
        <x:v>594</x:v>
      </x:c>
      <x:c r="N215" s="274" t="s">
        <x:v>299</x:v>
      </x:c>
    </x:row>
    <x:row r="216" spans="1:14">
      <x:c r="A216" s="274" t="s">
        <x:v>595</x:v>
      </x:c>
      <x:c r="B216" s="274" t="n">
        <x:v>6.42</x:v>
      </x:c>
      <x:c r="C216" s="274" t="n">
        <x:v>0</x:v>
      </x:c>
      <x:c r="D216" s="274" t="n">
        <x:v>0</x:v>
      </x:c>
      <x:c r="F216" s="274" t="s">
        <x:v>133</x:v>
      </x:c>
      <x:c r="G216" s="274" t="s">
        <x:v>148</x:v>
      </x:c>
      <x:c r="I216" s="274" t="n">
        <x:v>2</x:v>
      </x:c>
      <x:c r="J216" s="274" t="n">
        <x:v>372</x:v>
      </x:c>
      <x:c r="K216" s="274" t="n">
        <x:v>1100</x:v>
      </x:c>
      <x:c r="M216" s="274" t="s">
        <x:v>596</x:v>
      </x:c>
      <x:c r="N216" s="274" t="s">
        <x:v>299</x:v>
      </x:c>
    </x:row>
    <x:row r="217" spans="1:14">
      <x:c r="A217" s="274" t="s">
        <x:v>597</x:v>
      </x:c>
      <x:c r="B217" s="274" t="n">
        <x:v>1.71</x:v>
      </x:c>
      <x:c r="C217" s="274" t="n">
        <x:v>0</x:v>
      </x:c>
      <x:c r="D217" s="274" t="n">
        <x:v>0</x:v>
      </x:c>
      <x:c r="F217" s="274" t="s">
        <x:v>133</x:v>
      </x:c>
      <x:c r="G217" s="274" t="s">
        <x:v>134</x:v>
      </x:c>
      <x:c r="I217" s="274" t="n">
        <x:v>2.6</x:v>
      </x:c>
      <x:c r="J217" s="274" t="n">
        <x:v>166</x:v>
      </x:c>
      <x:c r="K217" s="274" t="n">
        <x:v>504</x:v>
      </x:c>
      <x:c r="M217" s="274" t="s">
        <x:v>598</x:v>
      </x:c>
    </x:row>
    <x:row r="218" spans="1:14">
      <x:c r="A218" s="274" t="s">
        <x:v>599</x:v>
      </x:c>
      <x:c r="B218" s="274" t="n">
        <x:v>4.64</x:v>
      </x:c>
      <x:c r="C218" s="274" t="n">
        <x:v>0</x:v>
      </x:c>
      <x:c r="D218" s="274" t="n">
        <x:v>0</x:v>
      </x:c>
      <x:c r="F218" s="274" t="s">
        <x:v>133</x:v>
      </x:c>
      <x:c r="G218" s="274" t="s">
        <x:v>134</x:v>
      </x:c>
      <x:c r="I218" s="274" t="n">
        <x:v>2.6</x:v>
      </x:c>
      <x:c r="J218" s="274" t="n">
        <x:v>1043</x:v>
      </x:c>
      <x:c r="K218" s="274" t="n">
        <x:v>218</x:v>
      </x:c>
      <x:c r="M218" s="274" t="s">
        <x:v>600</x:v>
      </x:c>
      <x:c r="N218" s="274" t="s">
        <x:v>299</x:v>
      </x:c>
    </x:row>
    <x:row r="219" spans="1:14">
      <x:c r="A219" s="274" t="s">
        <x:v>601</x:v>
      </x:c>
      <x:c r="B219" s="274" t="n">
        <x:v>0.59</x:v>
      </x:c>
      <x:c r="C219" s="274" t="n">
        <x:v>0</x:v>
      </x:c>
      <x:c r="D219" s="274" t="n">
        <x:v>0</x:v>
      </x:c>
      <x:c r="F219" s="274" t="s">
        <x:v>133</x:v>
      </x:c>
      <x:c r="G219" s="274" t="s">
        <x:v>134</x:v>
      </x:c>
      <x:c r="I219" s="274" t="n">
        <x:v>2.9</x:v>
      </x:c>
      <x:c r="J219" s="274" t="n">
        <x:v>91</x:v>
      </x:c>
      <x:c r="K219" s="274" t="n">
        <x:v>285</x:v>
      </x:c>
      <x:c r="M219" s="274" t="s">
        <x:v>602</x:v>
      </x:c>
    </x:row>
    <x:row r="220" spans="1:14">
      <x:c r="A220" s="274" t="s">
        <x:v>603</x:v>
      </x:c>
      <x:c r="B220" s="274" t="n">
        <x:v>3.44</x:v>
      </x:c>
      <x:c r="C220" s="274" t="n">
        <x:v>0</x:v>
      </x:c>
      <x:c r="D220" s="274" t="n">
        <x:v>0</x:v>
      </x:c>
      <x:c r="F220" s="274" t="s">
        <x:v>133</x:v>
      </x:c>
      <x:c r="G220" s="274" t="s">
        <x:v>134</x:v>
      </x:c>
      <x:c r="I220" s="274" t="n">
        <x:v>2.9</x:v>
      </x:c>
      <x:c r="J220" s="274" t="n">
        <x:v>123</x:v>
      </x:c>
      <x:c r="K220" s="274" t="n">
        <x:v>1230</x:v>
      </x:c>
      <x:c r="M220" s="274" t="s">
        <x:v>604</x:v>
      </x:c>
      <x:c r="N220" s="274" t="s">
        <x:v>299</x:v>
      </x:c>
    </x:row>
    <x:row r="221" spans="1:14">
      <x:c r="A221" s="274" t="s">
        <x:v>605</x:v>
      </x:c>
      <x:c r="B221" s="274" t="n">
        <x:v>2.05</x:v>
      </x:c>
      <x:c r="C221" s="274" t="n">
        <x:v>0</x:v>
      </x:c>
      <x:c r="D221" s="274" t="n">
        <x:v>0</x:v>
      </x:c>
      <x:c r="F221" s="274" t="s">
        <x:v>133</x:v>
      </x:c>
      <x:c r="G221" s="274" t="s">
        <x:v>134</x:v>
      </x:c>
      <x:c r="I221" s="274" t="n">
        <x:v>3.2</x:v>
      </x:c>
      <x:c r="J221" s="274" t="n">
        <x:v>143</x:v>
      </x:c>
      <x:c r="K221" s="274" t="n">
        <x:v>570</x:v>
      </x:c>
      <x:c r="M221" s="274" t="s">
        <x:v>606</x:v>
      </x:c>
      <x:c r="N221" s="274" t="s">
        <x:v>299</x:v>
      </x:c>
    </x:row>
    <x:row r="222" spans="1:14">
      <x:c r="A222" s="274" t="s">
        <x:v>607</x:v>
      </x:c>
      <x:c r="B222" s="274" t="n">
        <x:v>2.85</x:v>
      </x:c>
      <x:c r="C222" s="274" t="n">
        <x:v>0</x:v>
      </x:c>
      <x:c r="D222" s="274" t="n">
        <x:v>0</x:v>
      </x:c>
      <x:c r="F222" s="274" t="s">
        <x:v>133</x:v>
      </x:c>
      <x:c r="G222" s="274" t="s">
        <x:v>134</x:v>
      </x:c>
      <x:c r="I222" s="274" t="n">
        <x:v>3.2</x:v>
      </x:c>
      <x:c r="J222" s="274" t="n">
        <x:v>180</x:v>
      </x:c>
      <x:c r="K222" s="274" t="n">
        <x:v>630</x:v>
      </x:c>
      <x:c r="M222" s="274" t="s">
        <x:v>608</x:v>
      </x:c>
      <x:c r="N222" s="274" t="s">
        <x:v>299</x:v>
      </x:c>
    </x:row>
    <x:row r="223" spans="1:14">
      <x:c r="A223" s="274" t="s">
        <x:v>609</x:v>
      </x:c>
      <x:c r="B223" s="274" t="n">
        <x:v>4.23</x:v>
      </x:c>
      <x:c r="C223" s="274" t="n">
        <x:v>0</x:v>
      </x:c>
      <x:c r="D223" s="274" t="n">
        <x:v>0</x:v>
      </x:c>
      <x:c r="F223" s="274" t="s">
        <x:v>133</x:v>
      </x:c>
      <x:c r="G223" s="274" t="s">
        <x:v>148</x:v>
      </x:c>
      <x:c r="I223" s="274" t="n">
        <x:v>3.2</x:v>
      </x:c>
      <x:c r="J223" s="274" t="n">
        <x:v>732</x:v>
      </x:c>
      <x:c r="K223" s="274" t="n">
        <x:v>230</x:v>
      </x:c>
      <x:c r="M223" s="274" t="s">
        <x:v>610</x:v>
      </x:c>
      <x:c r="N223" s="274" t="s">
        <x:v>299</x:v>
      </x:c>
    </x:row>
    <x:row r="224" spans="1:14">
      <x:c r="A224" s="274" t="s">
        <x:v>611</x:v>
      </x:c>
      <x:c r="B224" s="274" t="n">
        <x:v>4.55</x:v>
      </x:c>
      <x:c r="C224" s="274" t="n">
        <x:v>0</x:v>
      </x:c>
      <x:c r="D224" s="274" t="n">
        <x:v>0</x:v>
      </x:c>
      <x:c r="F224" s="274" t="s">
        <x:v>123</x:v>
      </x:c>
      <x:c r="G224" s="274" t="s">
        <x:v>139</x:v>
      </x:c>
      <x:c r="I224" s="274" t="n">
        <x:v>4</x:v>
      </x:c>
      <x:c r="J224" s="274" t="n">
        <x:v>145</x:v>
      </x:c>
      <x:c r="K224" s="274" t="n">
        <x:v>1000</x:v>
      </x:c>
      <x:c r="M224" s="274" t="s">
        <x:v>612</x:v>
      </x:c>
      <x:c r="N224" s="274" t="s">
        <x:v>441</x:v>
      </x:c>
    </x:row>
    <x:row r="225" spans="1:14">
      <x:c r="A225" s="274" t="s">
        <x:v>613</x:v>
      </x:c>
      <x:c r="B225" s="274" t="n">
        <x:v>4.19</x:v>
      </x:c>
      <x:c r="C225" s="274" t="n">
        <x:v>0</x:v>
      </x:c>
      <x:c r="D225" s="274" t="n">
        <x:v>26</x:v>
      </x:c>
      <x:c r="E225" s="274" t="n">
        <x:v>19</x:v>
      </x:c>
      <x:c r="F225" s="274" t="s">
        <x:v>123</x:v>
      </x:c>
      <x:c r="G225" s="274" t="s">
        <x:v>153</x:v>
      </x:c>
      <x:c r="I225" s="274" t="n">
        <x:v>2</x:v>
      </x:c>
      <x:c r="J225" s="274" t="n">
        <x:v>290</x:v>
      </x:c>
      <x:c r="K225" s="274" t="n">
        <x:v>920</x:v>
      </x:c>
      <x:c r="M225" s="274" t="s">
        <x:v>614</x:v>
      </x:c>
      <x:c r="N225" s="274" t="s">
        <x:v>299</x:v>
      </x:c>
    </x:row>
    <x:row r="226" spans="1:14">
      <x:c r="A226" s="274" t="s">
        <x:v>615</x:v>
      </x:c>
      <x:c r="B226" s="274" t="n">
        <x:v>7.09</x:v>
      </x:c>
      <x:c r="C226" s="274" t="n">
        <x:v>0</x:v>
      </x:c>
      <x:c r="D226" s="274" t="n">
        <x:v>30</x:v>
      </x:c>
      <x:c r="E226" s="274" t="n">
        <x:v>33</x:v>
      </x:c>
      <x:c r="F226" s="274" t="s">
        <x:v>123</x:v>
      </x:c>
      <x:c r="G226" s="274" t="s">
        <x:v>139</x:v>
      </x:c>
      <x:c r="I226" s="274" t="n">
        <x:v>2.9</x:v>
      </x:c>
      <x:c r="J226" s="274" t="n">
        <x:v>453</x:v>
      </x:c>
      <x:c r="K226" s="274" t="n">
        <x:v>688</x:v>
      </x:c>
      <x:c r="M226" s="274" t="s">
        <x:v>616</x:v>
      </x:c>
      <x:c r="N226" s="274" t="s">
        <x:v>299</x:v>
      </x:c>
    </x:row>
    <x:row r="227" spans="1:14">
      <x:c r="A227" s="274" t="s">
        <x:v>617</x:v>
      </x:c>
      <x:c r="B227" s="274" t="n">
        <x:v>3.45</x:v>
      </x:c>
      <x:c r="C227" s="274" t="n">
        <x:v>0</x:v>
      </x:c>
      <x:c r="D227" s="274" t="n">
        <x:v>0</x:v>
      </x:c>
      <x:c r="F227" s="274" t="s">
        <x:v>333</x:v>
      </x:c>
      <x:c r="G227" s="274" t="s">
        <x:v>334</x:v>
      </x:c>
      <x:c r="I227" s="274" t="n">
        <x:v>1.6</x:v>
      </x:c>
      <x:c r="J227" s="274" t="n">
        <x:v>1000</x:v>
      </x:c>
      <x:c r="K227" s="274" t="n">
        <x:v>275</x:v>
      </x:c>
      <x:c r="M227" s="274" t="s">
        <x:v>618</x:v>
      </x:c>
      <x:c r="N227" s="274" t="s">
        <x:v>131</x:v>
      </x:c>
    </x:row>
    <x:row r="228" spans="1:14">
      <x:c r="A228" s="274" t="s">
        <x:v>619</x:v>
      </x:c>
      <x:c r="B228" s="274" t="n">
        <x:v>5.93</x:v>
      </x:c>
      <x:c r="C228" s="274" t="n">
        <x:v>0</x:v>
      </x:c>
      <x:c r="D228" s="274" t="n">
        <x:v>0</x:v>
      </x:c>
      <x:c r="F228" s="274" t="s">
        <x:v>133</x:v>
      </x:c>
      <x:c r="G228" s="274" t="s">
        <x:v>134</x:v>
      </x:c>
      <x:c r="I228" s="274" t="n">
        <x:v>3.2</x:v>
      </x:c>
      <x:c r="J228" s="274" t="n">
        <x:v>361</x:v>
      </x:c>
      <x:c r="K228" s="274" t="n">
        <x:v>654</x:v>
      </x:c>
      <x:c r="M228" s="274" t="s">
        <x:v>620</x:v>
      </x:c>
      <x:c r="N228" s="274" t="s">
        <x:v>299</x:v>
      </x:c>
    </x:row>
    <x:row r="229" spans="1:14">
      <x:c r="A229" s="274" t="s">
        <x:v>621</x:v>
      </x:c>
      <x:c r="B229" s="274" t="n">
        <x:v>0.72</x:v>
      </x:c>
      <x:c r="C229" s="274" t="n">
        <x:v>0</x:v>
      </x:c>
      <x:c r="D229" s="274" t="n">
        <x:v>0</x:v>
      </x:c>
      <x:c r="F229" s="274" t="s">
        <x:v>133</x:v>
      </x:c>
      <x:c r="G229" s="274" t="s">
        <x:v>209</x:v>
      </x:c>
      <x:c r="I229" s="274" t="n">
        <x:v>0.8</x:v>
      </x:c>
      <x:c r="J229" s="274" t="n">
        <x:v>465</x:v>
      </x:c>
      <x:c r="K229" s="274" t="n">
        <x:v>245</x:v>
      </x:c>
      <x:c r="M229" s="274" t="s">
        <x:v>622</x:v>
      </x:c>
      <x:c r="N229" s="274" t="s">
        <x:v>299</x:v>
      </x:c>
    </x:row>
    <x:row r="230" spans="1:14">
      <x:c r="A230" s="274" t="s">
        <x:v>623</x:v>
      </x:c>
      <x:c r="B230" s="274" t="n">
        <x:v>0.21</x:v>
      </x:c>
      <x:c r="C230" s="274" t="n">
        <x:v>0</x:v>
      </x:c>
      <x:c r="D230" s="274" t="n">
        <x:v>0</x:v>
      </x:c>
      <x:c r="F230" s="274" t="s">
        <x:v>133</x:v>
      </x:c>
      <x:c r="G230" s="274" t="s">
        <x:v>153</x:v>
      </x:c>
      <x:c r="I230" s="274" t="n">
        <x:v>0.7</x:v>
      </x:c>
      <x:c r="J230" s="274" t="n">
        <x:v>210</x:v>
      </x:c>
      <x:c r="K230" s="274" t="n">
        <x:v>185</x:v>
      </x:c>
      <x:c r="M230" s="274" t="s">
        <x:v>624</x:v>
      </x:c>
      <x:c r="N230" s="274" t="s">
        <x:v>299</x:v>
      </x:c>
    </x:row>
    <x:row r="231" spans="1:14">
      <x:c r="A231" s="274" t="s">
        <x:v>625</x:v>
      </x:c>
      <x:c r="B231" s="274" t="n">
        <x:v>0.6</x:v>
      </x:c>
      <x:c r="C231" s="274" t="n">
        <x:v>0</x:v>
      </x:c>
      <x:c r="D231" s="274" t="n">
        <x:v>0</x:v>
      </x:c>
      <x:c r="F231" s="274" t="s">
        <x:v>123</x:v>
      </x:c>
      <x:c r="G231" s="274" t="s">
        <x:v>139</x:v>
      </x:c>
      <x:c r="I231" s="274" t="n">
        <x:v>2.9</x:v>
      </x:c>
      <x:c r="J231" s="274" t="n">
        <x:v>200</x:v>
      </x:c>
      <x:c r="K231" s="274" t="n">
        <x:v>132</x:v>
      </x:c>
      <x:c r="M231" s="274" t="s">
        <x:v>626</x:v>
      </x:c>
      <x:c r="N231" s="274" t="s">
        <x:v>299</x:v>
      </x:c>
    </x:row>
    <x:row r="232" spans="1:14">
      <x:c r="A232" s="274" t="s">
        <x:v>627</x:v>
      </x:c>
      <x:c r="B232" s="274" t="n">
        <x:v>1.25</x:v>
      </x:c>
      <x:c r="C232" s="274" t="n">
        <x:v>0</x:v>
      </x:c>
      <x:c r="D232" s="274" t="n">
        <x:v>36</x:v>
      </x:c>
      <x:c r="E232" s="274" t="n">
        <x:v>0</x:v>
      </x:c>
      <x:c r="F232" s="274" t="s">
        <x:v>133</x:v>
      </x:c>
      <x:c r="G232" s="274" t="s">
        <x:v>136</x:v>
      </x:c>
      <x:c r="H232" s="274" t="n">
        <x:v>45</x:v>
      </x:c>
      <x:c r="I232" s="274" t="n">
        <x:v>0.6</x:v>
      </x:c>
      <x:c r="J232" s="274" t="n">
        <x:v>432</x:v>
      </x:c>
      <x:c r="K232" s="274" t="n">
        <x:v>752</x:v>
      </x:c>
      <x:c r="L232" s="274" t="n">
        <x:v>450</x:v>
      </x:c>
      <x:c r="M232" s="274" t="s">
        <x:v>628</x:v>
      </x:c>
      <x:c r="N232" s="274" t="s">
        <x:v>299</x:v>
      </x:c>
    </x:row>
    <x:row r="233" spans="1:14">
      <x:c r="A233" s="274" t="s">
        <x:v>629</x:v>
      </x:c>
      <x:c r="B233" s="274" t="n">
        <x:v>0.32</x:v>
      </x:c>
      <x:c r="C233" s="274" t="n">
        <x:v>0</x:v>
      </x:c>
      <x:c r="D233" s="274" t="n">
        <x:v>0</x:v>
      </x:c>
      <x:c r="F233" s="274" t="s">
        <x:v>133</x:v>
      </x:c>
      <x:c r="G233" s="274" t="s">
        <x:v>136</x:v>
      </x:c>
      <x:c r="H233" s="274" t="n">
        <x:v>45</x:v>
      </x:c>
      <x:c r="I233" s="274" t="n">
        <x:v>0.6</x:v>
      </x:c>
      <x:c r="J233" s="274" t="n">
        <x:v>70</x:v>
      </x:c>
      <x:c r="K233" s="274" t="n">
        <x:v>960</x:v>
      </x:c>
      <x:c r="M233" s="274" t="s">
        <x:v>630</x:v>
      </x:c>
      <x:c r="N233" s="274" t="s">
        <x:v>631</x:v>
      </x:c>
    </x:row>
    <x:row r="234" spans="1:14">
      <x:c r="A234" s="274" t="s">
        <x:v>632</x:v>
      </x:c>
      <x:c r="B234" s="274" t="n">
        <x:v>1.98</x:v>
      </x:c>
      <x:c r="C234" s="274" t="n">
        <x:v>0</x:v>
      </x:c>
      <x:c r="D234" s="274" t="n">
        <x:v>0</x:v>
      </x:c>
      <x:c r="F234" s="274" t="s">
        <x:v>133</x:v>
      </x:c>
      <x:c r="G234" s="274" t="s">
        <x:v>209</x:v>
      </x:c>
      <x:c r="I234" s="274" t="n">
        <x:v>0.8</x:v>
      </x:c>
      <x:c r="J234" s="274" t="n">
        <x:v>710</x:v>
      </x:c>
      <x:c r="K234" s="274" t="n">
        <x:v>445</x:v>
      </x:c>
      <x:c r="M234" s="274" t="s">
        <x:v>633</x:v>
      </x:c>
      <x:c r="N234" s="274" t="s">
        <x:v>299</x:v>
      </x:c>
    </x:row>
    <x:row r="235" spans="1:14">
      <x:c r="A235" s="274" t="s">
        <x:v>634</x:v>
      </x:c>
      <x:c r="B235" s="274" t="n">
        <x:v>0.71</x:v>
      </x:c>
      <x:c r="C235" s="274" t="n">
        <x:v>0</x:v>
      </x:c>
      <x:c r="D235" s="274" t="n">
        <x:v>0</x:v>
      </x:c>
      <x:c r="F235" s="274" t="s">
        <x:v>133</x:v>
      </x:c>
      <x:c r="G235" s="274" t="s">
        <x:v>134</x:v>
      </x:c>
      <x:c r="I235" s="274" t="n">
        <x:v>2.9</x:v>
      </x:c>
      <x:c r="J235" s="274" t="n">
        <x:v>78</x:v>
      </x:c>
      <x:c r="K235" s="274" t="n">
        <x:v>400</x:v>
      </x:c>
      <x:c r="M235" s="274" t="s">
        <x:v>635</x:v>
      </x:c>
      <x:c r="N235" s="274" t="s">
        <x:v>155</x:v>
      </x:c>
    </x:row>
    <x:row r="236" spans="1:14">
      <x:c r="A236" s="274" t="s">
        <x:v>636</x:v>
      </x:c>
      <x:c r="B236" s="274" t="n">
        <x:v>0.72</x:v>
      </x:c>
      <x:c r="C236" s="274" t="n">
        <x:v>0</x:v>
      </x:c>
      <x:c r="D236" s="274" t="n">
        <x:v>0</x:v>
      </x:c>
      <x:c r="F236" s="274" t="s">
        <x:v>133</x:v>
      </x:c>
      <x:c r="G236" s="274" t="s">
        <x:v>136</x:v>
      </x:c>
      <x:c r="H236" s="274" t="n">
        <x:v>45</x:v>
      </x:c>
      <x:c r="I236" s="274" t="n">
        <x:v>0.6</x:v>
      </x:c>
      <x:c r="J236" s="274" t="n">
        <x:v>1117</x:v>
      </x:c>
      <x:c r="K236" s="274" t="n">
        <x:v>135</x:v>
      </x:c>
      <x:c r="M236" s="274" t="s">
        <x:v>637</x:v>
      </x:c>
      <x:c r="N236" s="274" t="s">
        <x:v>299</x:v>
      </x:c>
    </x:row>
    <x:row r="237" spans="1:14">
      <x:c r="A237" s="274" t="s">
        <x:v>638</x:v>
      </x:c>
      <x:c r="B237" s="274" t="n">
        <x:v>1.22</x:v>
      </x:c>
      <x:c r="C237" s="274" t="n">
        <x:v>0</x:v>
      </x:c>
      <x:c r="D237" s="274" t="n">
        <x:v>0</x:v>
      </x:c>
      <x:c r="F237" s="274" t="s">
        <x:v>133</x:v>
      </x:c>
      <x:c r="G237" s="274" t="s">
        <x:v>124</x:v>
      </x:c>
      <x:c r="I237" s="274" t="n">
        <x:v>1.2</x:v>
      </x:c>
      <x:c r="J237" s="274" t="n">
        <x:v>223</x:v>
      </x:c>
      <x:c r="K237" s="274" t="n">
        <x:v>580</x:v>
      </x:c>
      <x:c r="M237" s="274" t="s">
        <x:v>639</x:v>
      </x:c>
    </x:row>
    <x:row r="238" spans="1:14">
      <x:c r="A238" s="274" t="s">
        <x:v>640</x:v>
      </x:c>
      <x:c r="B238" s="274" t="n">
        <x:v>0.14</x:v>
      </x:c>
      <x:c r="C238" s="274" t="n">
        <x:v>0</x:v>
      </x:c>
      <x:c r="D238" s="274" t="n">
        <x:v>0</x:v>
      </x:c>
      <x:c r="F238" s="274" t="s">
        <x:v>184</x:v>
      </x:c>
      <x:c r="G238" s="274" t="s">
        <x:v>129</x:v>
      </x:c>
      <x:c r="H238" s="274" t="n">
        <x:v>45</x:v>
      </x:c>
      <x:c r="I238" s="274" t="n">
        <x:v>1</x:v>
      </x:c>
      <x:c r="J238" s="274" t="n">
        <x:v>110</x:v>
      </x:c>
      <x:c r="K238" s="274" t="n">
        <x:v>163</x:v>
      </x:c>
      <x:c r="M238" s="274" t="s">
        <x:v>641</x:v>
      </x:c>
      <x:c r="N238" s="274" t="s">
        <x:v>299</x:v>
      </x:c>
    </x:row>
    <x:row r="239" spans="1:14">
      <x:c r="A239" s="274" t="s">
        <x:v>642</x:v>
      </x:c>
      <x:c r="B239" s="274" t="n">
        <x:v>2.44</x:v>
      </x:c>
      <x:c r="C239" s="274" t="n">
        <x:v>0</x:v>
      </x:c>
      <x:c r="D239" s="274" t="n">
        <x:v>0</x:v>
      </x:c>
      <x:c r="F239" s="274" t="s">
        <x:v>133</x:v>
      </x:c>
      <x:c r="G239" s="274" t="s">
        <x:v>148</x:v>
      </x:c>
      <x:c r="I239" s="274" t="n">
        <x:v>2</x:v>
      </x:c>
      <x:c r="J239" s="274" t="n">
        <x:v>296</x:v>
      </x:c>
      <x:c r="K239" s="274" t="n">
        <x:v>526</x:v>
      </x:c>
      <x:c r="M239" s="274" t="s">
        <x:v>643</x:v>
      </x:c>
    </x:row>
    <x:row r="240" spans="1:14">
      <x:c r="A240" s="274" t="s">
        <x:v>644</x:v>
      </x:c>
      <x:c r="B240" s="274" t="n">
        <x:v>2.43</x:v>
      </x:c>
      <x:c r="C240" s="274" t="n">
        <x:v>0</x:v>
      </x:c>
      <x:c r="D240" s="274" t="n">
        <x:v>0</x:v>
      </x:c>
      <x:c r="F240" s="274" t="s">
        <x:v>133</x:v>
      </x:c>
      <x:c r="G240" s="274" t="s">
        <x:v>134</x:v>
      </x:c>
      <x:c r="I240" s="274" t="n">
        <x:v>2.9</x:v>
      </x:c>
      <x:c r="J240" s="274" t="n">
        <x:v>188</x:v>
      </x:c>
      <x:c r="K240" s="274" t="n">
        <x:v>567</x:v>
      </x:c>
      <x:c r="M240" s="274" t="s">
        <x:v>645</x:v>
      </x:c>
    </x:row>
    <x:row r="241" spans="1:14">
      <x:c r="A241" s="274" t="s">
        <x:v>646</x:v>
      </x:c>
      <x:c r="B241" s="274" t="n">
        <x:v>0.44</x:v>
      </x:c>
      <x:c r="C241" s="274" t="n">
        <x:v>0</x:v>
      </x:c>
      <x:c r="D241" s="274" t="n">
        <x:v>0</x:v>
      </x:c>
      <x:c r="F241" s="274" t="s">
        <x:v>123</x:v>
      </x:c>
      <x:c r="G241" s="274" t="s">
        <x:v>209</x:v>
      </x:c>
      <x:c r="I241" s="274" t="n">
        <x:v>0.55</x:v>
      </x:c>
      <x:c r="J241" s="274" t="n">
        <x:v>1068</x:v>
      </x:c>
      <x:c r="K241" s="274" t="n">
        <x:v>96</x:v>
      </x:c>
      <x:c r="M241" s="274" t="s">
        <x:v>647</x:v>
      </x:c>
      <x:c r="N241" s="274" t="s">
        <x:v>441</x:v>
      </x:c>
    </x:row>
    <x:row r="242" spans="1:14">
      <x:c r="A242" s="274" t="s">
        <x:v>648</x:v>
      </x:c>
      <x:c r="B242" s="274" t="n">
        <x:v>3.94</x:v>
      </x:c>
      <x:c r="C242" s="274" t="n">
        <x:v>0</x:v>
      </x:c>
      <x:c r="D242" s="274" t="n">
        <x:v>0</x:v>
      </x:c>
      <x:c r="F242" s="274" t="s">
        <x:v>133</x:v>
      </x:c>
      <x:c r="G242" s="274" t="s">
        <x:v>148</x:v>
      </x:c>
      <x:c r="I242" s="274" t="n">
        <x:v>3.6</x:v>
      </x:c>
      <x:c r="J242" s="274" t="n">
        <x:v>844</x:v>
      </x:c>
      <x:c r="K242" s="274" t="n">
        <x:v>165</x:v>
      </x:c>
      <x:c r="M242" s="274" t="s">
        <x:v>649</x:v>
      </x:c>
      <x:c r="N242" s="274" t="s">
        <x:v>155</x:v>
      </x:c>
    </x:row>
    <x:row r="243" spans="1:14">
      <x:c r="A243" s="274" t="s">
        <x:v>650</x:v>
      </x:c>
      <x:c r="B243" s="274" t="n">
        <x:v>3.45</x:v>
      </x:c>
      <x:c r="C243" s="274" t="n">
        <x:v>0</x:v>
      </x:c>
      <x:c r="D243" s="274" t="n">
        <x:v>0</x:v>
      </x:c>
      <x:c r="F243" s="274" t="s">
        <x:v>133</x:v>
      </x:c>
      <x:c r="G243" s="274" t="s">
        <x:v>148</x:v>
      </x:c>
      <x:c r="I243" s="274" t="n">
        <x:v>3.6</x:v>
      </x:c>
      <x:c r="J243" s="274" t="n">
        <x:v>842</x:v>
      </x:c>
      <x:c r="K243" s="274" t="n">
        <x:v>145</x:v>
      </x:c>
      <x:c r="M243" s="274" t="s">
        <x:v>651</x:v>
      </x:c>
      <x:c r="N243" s="274" t="s">
        <x:v>155</x:v>
      </x:c>
    </x:row>
    <x:row r="244" spans="1:14">
      <x:c r="A244" s="274" t="s">
        <x:v>652</x:v>
      </x:c>
      <x:c r="B244" s="274" t="n">
        <x:v>0.48</x:v>
      </x:c>
      <x:c r="C244" s="274" t="n">
        <x:v>0</x:v>
      </x:c>
      <x:c r="D244" s="274" t="n">
        <x:v>0</x:v>
      </x:c>
      <x:c r="F244" s="274" t="s">
        <x:v>133</x:v>
      </x:c>
      <x:c r="G244" s="274" t="s">
        <x:v>134</x:v>
      </x:c>
      <x:c r="I244" s="274" t="n">
        <x:v>2.3</x:v>
      </x:c>
      <x:c r="J244" s="274" t="n">
        <x:v>211</x:v>
      </x:c>
      <x:c r="K244" s="274" t="n">
        <x:v>125</x:v>
      </x:c>
      <x:c r="M244" s="274" t="s">
        <x:v>653</x:v>
      </x:c>
      <x:c r="N244" s="274" t="s">
        <x:v>299</x:v>
      </x:c>
    </x:row>
    <x:row r="245" spans="1:14">
      <x:c r="A245" s="274" t="s">
        <x:v>654</x:v>
      </x:c>
      <x:c r="B245" s="274" t="n">
        <x:v>3.56</x:v>
      </x:c>
      <x:c r="C245" s="274" t="n">
        <x:v>0</x:v>
      </x:c>
      <x:c r="D245" s="274" t="n">
        <x:v>0</x:v>
      </x:c>
      <x:c r="F245" s="274" t="s">
        <x:v>133</x:v>
      </x:c>
      <x:c r="G245" s="274" t="s">
        <x:v>144</x:v>
      </x:c>
      <x:c r="H245" s="274" t="n">
        <x:v>45</x:v>
      </x:c>
      <x:c r="I245" s="274" t="n">
        <x:v>0.8</x:v>
      </x:c>
      <x:c r="J245" s="274" t="n">
        <x:v>380</x:v>
      </x:c>
      <x:c r="K245" s="274" t="n">
        <x:v>1470</x:v>
      </x:c>
      <x:c r="M245" s="274" t="s">
        <x:v>655</x:v>
      </x:c>
    </x:row>
    <x:row r="246" spans="1:14">
      <x:c r="A246" s="274" t="s">
        <x:v>656</x:v>
      </x:c>
      <x:c r="B246" s="274" t="n">
        <x:v>1.28</x:v>
      </x:c>
      <x:c r="C246" s="274" t="n">
        <x:v>0</x:v>
      </x:c>
      <x:c r="D246" s="274" t="n">
        <x:v>0</x:v>
      </x:c>
      <x:c r="F246" s="274" t="s">
        <x:v>133</x:v>
      </x:c>
      <x:c r="G246" s="274" t="s">
        <x:v>136</x:v>
      </x:c>
      <x:c r="H246" s="274" t="n">
        <x:v>45</x:v>
      </x:c>
      <x:c r="I246" s="274" t="n">
        <x:v>1.6</x:v>
      </x:c>
      <x:c r="J246" s="274" t="n">
        <x:v>180</x:v>
      </x:c>
      <x:c r="K246" s="274" t="n">
        <x:v>560</x:v>
      </x:c>
      <x:c r="M246" s="274" t="s">
        <x:v>657</x:v>
      </x:c>
      <x:c r="N246" s="274" t="s">
        <x:v>299</x:v>
      </x:c>
    </x:row>
    <x:row r="247" spans="1:14">
      <x:c r="A247" s="274" t="s">
        <x:v>658</x:v>
      </x:c>
      <x:c r="B247" s="274" t="n">
        <x:v>0.44</x:v>
      </x:c>
      <x:c r="C247" s="274" t="n">
        <x:v>0</x:v>
      </x:c>
      <x:c r="D247" s="274" t="n">
        <x:v>0</x:v>
      </x:c>
      <x:c r="F247" s="274" t="s">
        <x:v>133</x:v>
      </x:c>
      <x:c r="G247" s="274" t="s">
        <x:v>136</x:v>
      </x:c>
      <x:c r="H247" s="274" t="n">
        <x:v>45</x:v>
      </x:c>
      <x:c r="I247" s="274" t="n">
        <x:v>1.6</x:v>
      </x:c>
      <x:c r="J247" s="274" t="n">
        <x:v>268</x:v>
      </x:c>
      <x:c r="K247" s="274" t="n">
        <x:v>130</x:v>
      </x:c>
      <x:c r="M247" s="274" t="s">
        <x:v>659</x:v>
      </x:c>
    </x:row>
    <x:row r="248" spans="1:14">
      <x:c r="A248" s="274" t="s">
        <x:v>660</x:v>
      </x:c>
      <x:c r="B248" s="274" t="n">
        <x:v>0.16</x:v>
      </x:c>
      <x:c r="C248" s="274" t="n">
        <x:v>0</x:v>
      </x:c>
      <x:c r="D248" s="274" t="n">
        <x:v>0</x:v>
      </x:c>
      <x:c r="F248" s="274" t="s">
        <x:v>133</x:v>
      </x:c>
      <x:c r="G248" s="274" t="s">
        <x:v>209</x:v>
      </x:c>
      <x:c r="I248" s="274" t="n">
        <x:v>0.8</x:v>
      </x:c>
      <x:c r="J248" s="274" t="n">
        <x:v>75</x:v>
      </x:c>
      <x:c r="K248" s="274" t="n">
        <x:v>335</x:v>
      </x:c>
      <x:c r="M248" s="274" t="s">
        <x:v>661</x:v>
      </x:c>
      <x:c r="N248" s="274" t="s">
        <x:v>299</x:v>
      </x:c>
    </x:row>
    <x:row r="249" spans="1:14">
      <x:c r="A249" s="274" t="s">
        <x:v>662</x:v>
      </x:c>
      <x:c r="B249" s="274" t="n">
        <x:v>1.35</x:v>
      </x:c>
      <x:c r="C249" s="274" t="n">
        <x:v>0</x:v>
      </x:c>
      <x:c r="D249" s="274" t="n">
        <x:v>0</x:v>
      </x:c>
      <x:c r="F249" s="274" t="s">
        <x:v>333</x:v>
      </x:c>
      <x:c r="G249" s="274" t="s">
        <x:v>334</x:v>
      </x:c>
      <x:c r="I249" s="274" t="n">
        <x:v>1.4</x:v>
      </x:c>
      <x:c r="J249" s="274" t="n">
        <x:v>800</x:v>
      </x:c>
      <x:c r="K249" s="274" t="n">
        <x:v>154</x:v>
      </x:c>
      <x:c r="M249" s="274" t="s">
        <x:v>663</x:v>
      </x:c>
    </x:row>
    <x:row r="250" spans="1:14">
      <x:c r="A250" s="274" t="s">
        <x:v>664</x:v>
      </x:c>
      <x:c r="B250" s="274" t="n">
        <x:v>1.6</x:v>
      </x:c>
      <x:c r="C250" s="274" t="n">
        <x:v>0</x:v>
      </x:c>
      <x:c r="D250" s="274" t="n">
        <x:v>0</x:v>
      </x:c>
      <x:c r="F250" s="274" t="s">
        <x:v>133</x:v>
      </x:c>
      <x:c r="G250" s="274" t="s">
        <x:v>134</x:v>
      </x:c>
      <x:c r="I250" s="274" t="n">
        <x:v>2</x:v>
      </x:c>
      <x:c r="J250" s="274" t="n">
        <x:v>198</x:v>
      </x:c>
      <x:c r="K250" s="274" t="n">
        <x:v>515</x:v>
      </x:c>
      <x:c r="M250" s="274" t="s">
        <x:v>665</x:v>
      </x:c>
      <x:c r="N250" s="274" t="s">
        <x:v>363</x:v>
      </x:c>
    </x:row>
    <x:row r="251" spans="1:14">
      <x:c r="A251" s="274" t="s">
        <x:v>666</x:v>
      </x:c>
      <x:c r="B251" s="274" t="n">
        <x:v>0.96</x:v>
      </x:c>
      <x:c r="C251" s="274" t="n">
        <x:v>0</x:v>
      </x:c>
      <x:c r="D251" s="274" t="n">
        <x:v>0</x:v>
      </x:c>
      <x:c r="F251" s="274" t="s">
        <x:v>133</x:v>
      </x:c>
      <x:c r="G251" s="274" t="s">
        <x:v>144</x:v>
      </x:c>
      <x:c r="H251" s="274" t="n">
        <x:v>45</x:v>
      </x:c>
      <x:c r="I251" s="274" t="n">
        <x:v>1.8</x:v>
      </x:c>
      <x:c r="J251" s="274" t="n">
        <x:v>155</x:v>
      </x:c>
      <x:c r="K251" s="274" t="n">
        <x:v>434</x:v>
      </x:c>
      <x:c r="M251" s="274" t="s">
        <x:v>667</x:v>
      </x:c>
      <x:c r="N251" s="274" t="s">
        <x:v>299</x:v>
      </x:c>
    </x:row>
    <x:row r="252" spans="1:14">
      <x:c r="A252" s="274" t="s">
        <x:v>668</x:v>
      </x:c>
      <x:c r="B252" s="274" t="n">
        <x:v>1.05</x:v>
      </x:c>
      <x:c r="C252" s="274" t="n">
        <x:v>0</x:v>
      </x:c>
      <x:c r="D252" s="274" t="n">
        <x:v>0</x:v>
      </x:c>
      <x:c r="F252" s="274" t="s">
        <x:v>133</x:v>
      </x:c>
      <x:c r="G252" s="274" t="s">
        <x:v>144</x:v>
      </x:c>
      <x:c r="H252" s="274" t="n">
        <x:v>45</x:v>
      </x:c>
      <x:c r="I252" s="274" t="n">
        <x:v>1.8</x:v>
      </x:c>
      <x:c r="J252" s="274" t="n">
        <x:v>452</x:v>
      </x:c>
      <x:c r="K252" s="274" t="n">
        <x:v>164</x:v>
      </x:c>
      <x:c r="M252" s="274" t="s">
        <x:v>669</x:v>
      </x:c>
    </x:row>
    <x:row r="253" spans="1:14">
      <x:c r="A253" s="274" t="s">
        <x:v>670</x:v>
      </x:c>
      <x:c r="B253" s="274" t="n">
        <x:v>2.62</x:v>
      </x:c>
      <x:c r="C253" s="274" t="n">
        <x:v>0</x:v>
      </x:c>
      <x:c r="D253" s="274" t="n">
        <x:v>32</x:v>
      </x:c>
      <x:c r="E253" s="274" t="n">
        <x:v>0</x:v>
      </x:c>
      <x:c r="F253" s="274" t="s">
        <x:v>133</x:v>
      </x:c>
      <x:c r="G253" s="274" t="s">
        <x:v>136</x:v>
      </x:c>
      <x:c r="H253" s="274" t="n">
        <x:v>45</x:v>
      </x:c>
      <x:c r="I253" s="274" t="n">
        <x:v>1.2</x:v>
      </x:c>
      <x:c r="J253" s="274" t="n">
        <x:v>555</x:v>
      </x:c>
      <x:c r="K253" s="274" t="n">
        <x:v>680</x:v>
      </x:c>
      <x:c r="L253" s="274" t="n">
        <x:v>314</x:v>
      </x:c>
      <x:c r="M253" s="274" t="s">
        <x:v>671</x:v>
      </x:c>
      <x:c r="N253" s="274" t="s">
        <x:v>299</x:v>
      </x:c>
    </x:row>
    <x:row r="254" spans="1:14">
      <x:c r="A254" s="274" t="s">
        <x:v>672</x:v>
      </x:c>
      <x:c r="B254" s="274" t="n">
        <x:v>0.13</x:v>
      </x:c>
      <x:c r="C254" s="274" t="n">
        <x:v>0</x:v>
      </x:c>
      <x:c r="D254" s="274" t="n">
        <x:v>0</x:v>
      </x:c>
      <x:c r="F254" s="274" t="s">
        <x:v>133</x:v>
      </x:c>
      <x:c r="G254" s="274" t="s">
        <x:v>148</x:v>
      </x:c>
      <x:c r="I254" s="274" t="n">
        <x:v>2</x:v>
      </x:c>
      <x:c r="J254" s="274" t="n">
        <x:v>105</x:v>
      </x:c>
      <x:c r="K254" s="274" t="n">
        <x:v>80</x:v>
      </x:c>
      <x:c r="M254" s="274" t="s">
        <x:v>673</x:v>
      </x:c>
      <x:c r="N254" s="274" t="s">
        <x:v>299</x:v>
      </x:c>
    </x:row>
    <x:row r="255" spans="1:14">
      <x:c r="A255" s="274" t="s">
        <x:v>674</x:v>
      </x:c>
      <x:c r="B255" s="274" t="n">
        <x:v>0.26</x:v>
      </x:c>
      <x:c r="C255" s="274" t="n">
        <x:v>0</x:v>
      </x:c>
      <x:c r="D255" s="274" t="n">
        <x:v>0</x:v>
      </x:c>
      <x:c r="F255" s="274" t="s">
        <x:v>133</x:v>
      </x:c>
      <x:c r="G255" s="274" t="s">
        <x:v>209</x:v>
      </x:c>
      <x:c r="I255" s="274" t="n">
        <x:v>1.2</x:v>
      </x:c>
      <x:c r="J255" s="274" t="n">
        <x:v>69</x:v>
      </x:c>
      <x:c r="K255" s="274" t="n">
        <x:v>405</x:v>
      </x:c>
      <x:c r="M255" s="274" t="s">
        <x:v>675</x:v>
      </x:c>
      <x:c r="N255" s="274" t="s">
        <x:v>299</x:v>
      </x:c>
    </x:row>
    <x:row r="256" spans="1:14">
      <x:c r="A256" s="274" t="s">
        <x:v>676</x:v>
      </x:c>
      <x:c r="B256" s="274" t="n">
        <x:v>10.55</x:v>
      </x:c>
      <x:c r="C256" s="274" t="n">
        <x:v>0</x:v>
      </x:c>
      <x:c r="D256" s="274" t="n">
        <x:v>0</x:v>
      </x:c>
      <x:c r="F256" s="274" t="s">
        <x:v>133</x:v>
      </x:c>
      <x:c r="G256" s="274" t="s">
        <x:v>124</x:v>
      </x:c>
      <x:c r="I256" s="274" t="n">
        <x:v>2</x:v>
      </x:c>
      <x:c r="J256" s="274" t="n">
        <x:v>1200</x:v>
      </x:c>
      <x:c r="K256" s="274" t="n">
        <x:v>560</x:v>
      </x:c>
      <x:c r="M256" s="274" t="s">
        <x:v>677</x:v>
      </x:c>
      <x:c r="N256" s="274" t="s">
        <x:v>299</x:v>
      </x:c>
    </x:row>
    <x:row r="257" spans="1:14">
      <x:c r="A257" s="274" t="s">
        <x:v>678</x:v>
      </x:c>
      <x:c r="B257" s="274" t="n">
        <x:v>1.6</x:v>
      </x:c>
      <x:c r="C257" s="274" t="n">
        <x:v>0</x:v>
      </x:c>
      <x:c r="D257" s="274" t="n">
        <x:v>0</x:v>
      </x:c>
      <x:c r="F257" s="274" t="s">
        <x:v>133</x:v>
      </x:c>
      <x:c r="G257" s="274" t="s">
        <x:v>134</x:v>
      </x:c>
      <x:c r="I257" s="274" t="n">
        <x:v>2</x:v>
      </x:c>
      <x:c r="J257" s="274" t="n">
        <x:v>198</x:v>
      </x:c>
      <x:c r="K257" s="274" t="n">
        <x:v>515</x:v>
      </x:c>
      <x:c r="M257" s="274" t="s">
        <x:v>679</x:v>
      </x:c>
      <x:c r="N257" s="274" t="s">
        <x:v>363</x:v>
      </x:c>
    </x:row>
    <x:row r="258" spans="1:14">
      <x:c r="A258" s="274" t="s">
        <x:v>680</x:v>
      </x:c>
      <x:c r="B258" s="274" t="n">
        <x:v>0.57</x:v>
      </x:c>
      <x:c r="C258" s="274" t="n">
        <x:v>0</x:v>
      </x:c>
      <x:c r="D258" s="274" t="n">
        <x:v>0</x:v>
      </x:c>
      <x:c r="F258" s="274" t="s">
        <x:v>333</x:v>
      </x:c>
      <x:c r="G258" s="274" t="s">
        <x:v>209</x:v>
      </x:c>
      <x:c r="I258" s="274" t="n">
        <x:v>1</x:v>
      </x:c>
      <x:c r="J258" s="274" t="n">
        <x:v>56</x:v>
      </x:c>
      <x:c r="K258" s="274" t="n">
        <x:v>1300</x:v>
      </x:c>
      <x:c r="M258" s="274" t="s">
        <x:v>681</x:v>
      </x:c>
      <x:c r="N258" s="274" t="s">
        <x:v>155</x:v>
      </x:c>
    </x:row>
    <x:row r="259" spans="1:14">
      <x:c r="A259" s="274" t="s">
        <x:v>682</x:v>
      </x:c>
      <x:c r="B259" s="274" t="n">
        <x:v>0.89</x:v>
      </x:c>
      <x:c r="C259" s="274" t="n">
        <x:v>0</x:v>
      </x:c>
      <x:c r="D259" s="274" t="n">
        <x:v>0</x:v>
      </x:c>
      <x:c r="F259" s="274" t="s">
        <x:v>333</x:v>
      </x:c>
      <x:c r="G259" s="274" t="s">
        <x:v>209</x:v>
      </x:c>
      <x:c r="I259" s="274" t="n">
        <x:v>1</x:v>
      </x:c>
      <x:c r="J259" s="274" t="n">
        <x:v>91</x:v>
      </x:c>
      <x:c r="K259" s="274" t="n">
        <x:v>1250</x:v>
      </x:c>
      <x:c r="M259" s="274" t="s">
        <x:v>683</x:v>
      </x:c>
      <x:c r="N259" s="274" t="s">
        <x:v>155</x:v>
      </x:c>
    </x:row>
    <x:row r="260" spans="1:14">
      <x:c r="A260" s="274" t="s">
        <x:v>684</x:v>
      </x:c>
      <x:c r="B260" s="274" t="n">
        <x:v>0.33</x:v>
      </x:c>
      <x:c r="C260" s="274" t="n">
        <x:v>0</x:v>
      </x:c>
      <x:c r="D260" s="274" t="n">
        <x:v>0</x:v>
      </x:c>
      <x:c r="F260" s="274" t="s">
        <x:v>333</x:v>
      </x:c>
      <x:c r="G260" s="274" t="s">
        <x:v>209</x:v>
      </x:c>
      <x:c r="I260" s="274" t="n">
        <x:v>1</x:v>
      </x:c>
      <x:c r="J260" s="274" t="n">
        <x:v>180</x:v>
      </x:c>
      <x:c r="K260" s="274" t="n">
        <x:v>232</x:v>
      </x:c>
      <x:c r="M260" s="274" t="s">
        <x:v>685</x:v>
      </x:c>
      <x:c r="N260" s="274" t="s">
        <x:v>155</x:v>
      </x:c>
    </x:row>
    <x:row r="261" spans="1:14">
      <x:c r="A261" s="274" t="s">
        <x:v>686</x:v>
      </x:c>
      <x:c r="B261" s="274" t="n">
        <x:v>0.95</x:v>
      </x:c>
      <x:c r="C261" s="274" t="n">
        <x:v>0</x:v>
      </x:c>
      <x:c r="D261" s="274" t="n">
        <x:v>0</x:v>
      </x:c>
      <x:c r="F261" s="274" t="s">
        <x:v>333</x:v>
      </x:c>
      <x:c r="G261" s="274" t="s">
        <x:v>209</x:v>
      </x:c>
      <x:c r="I261" s="274" t="n">
        <x:v>1</x:v>
      </x:c>
      <x:c r="J261" s="274" t="n">
        <x:v>220</x:v>
      </x:c>
      <x:c r="K261" s="274" t="n">
        <x:v>550</x:v>
      </x:c>
      <x:c r="M261" s="274" t="s">
        <x:v>687</x:v>
      </x:c>
      <x:c r="N261" s="274" t="s">
        <x:v>155</x:v>
      </x:c>
    </x:row>
    <x:row r="262" spans="1:14">
      <x:c r="A262" s="274" t="s">
        <x:v>688</x:v>
      </x:c>
      <x:c r="B262" s="274" t="n">
        <x:v>0.44</x:v>
      </x:c>
      <x:c r="C262" s="274" t="n">
        <x:v>0</x:v>
      </x:c>
      <x:c r="D262" s="274" t="n">
        <x:v>0</x:v>
      </x:c>
      <x:c r="F262" s="274" t="s">
        <x:v>333</x:v>
      </x:c>
      <x:c r="G262" s="274" t="s">
        <x:v>209</x:v>
      </x:c>
      <x:c r="I262" s="274" t="n">
        <x:v>1</x:v>
      </x:c>
      <x:c r="J262" s="274" t="n">
        <x:v>139</x:v>
      </x:c>
      <x:c r="K262" s="274" t="n">
        <x:v>402</x:v>
      </x:c>
      <x:c r="M262" s="274" t="s">
        <x:v>689</x:v>
      </x:c>
      <x:c r="N262" s="274" t="s">
        <x:v>155</x:v>
      </x:c>
    </x:row>
    <x:row r="263" spans="1:14">
      <x:c r="A263" s="274" t="s">
        <x:v>690</x:v>
      </x:c>
      <x:c r="B263" s="274" t="n">
        <x:v>0.59</x:v>
      </x:c>
      <x:c r="C263" s="274" t="n">
        <x:v>0</x:v>
      </x:c>
      <x:c r="D263" s="274" t="n">
        <x:v>0</x:v>
      </x:c>
      <x:c r="F263" s="274" t="s">
        <x:v>333</x:v>
      </x:c>
      <x:c r="G263" s="274" t="s">
        <x:v>209</x:v>
      </x:c>
      <x:c r="I263" s="274" t="n">
        <x:v>1</x:v>
      </x:c>
      <x:c r="J263" s="274" t="n">
        <x:v>62</x:v>
      </x:c>
      <x:c r="K263" s="274" t="n">
        <x:v>1220</x:v>
      </x:c>
      <x:c r="M263" s="274" t="s">
        <x:v>691</x:v>
      </x:c>
      <x:c r="N263" s="274" t="s">
        <x:v>131</x:v>
      </x:c>
    </x:row>
    <x:row r="264" spans="1:14">
      <x:c r="A264" s="274" t="s">
        <x:v>692</x:v>
      </x:c>
      <x:c r="B264" s="274" t="n">
        <x:v>1.28</x:v>
      </x:c>
      <x:c r="C264" s="274" t="n">
        <x:v>0</x:v>
      </x:c>
      <x:c r="D264" s="274" t="n">
        <x:v>0</x:v>
      </x:c>
      <x:c r="F264" s="274" t="s">
        <x:v>333</x:v>
      </x:c>
      <x:c r="G264" s="274" t="s">
        <x:v>209</x:v>
      </x:c>
      <x:c r="I264" s="274" t="n">
        <x:v>1</x:v>
      </x:c>
      <x:c r="J264" s="274" t="n">
        <x:v>134</x:v>
      </x:c>
      <x:c r="K264" s="274" t="n">
        <x:v>1220</x:v>
      </x:c>
      <x:c r="M264" s="274" t="s">
        <x:v>693</x:v>
      </x:c>
      <x:c r="N264" s="274" t="s">
        <x:v>131</x:v>
      </x:c>
    </x:row>
    <x:row r="265" spans="1:14">
      <x:c r="A265" s="274" t="s">
        <x:v>694</x:v>
      </x:c>
      <x:c r="B265" s="274" t="n">
        <x:v>0.31</x:v>
      </x:c>
      <x:c r="C265" s="274" t="n">
        <x:v>0</x:v>
      </x:c>
      <x:c r="D265" s="274" t="n">
        <x:v>0</x:v>
      </x:c>
      <x:c r="F265" s="274" t="s">
        <x:v>333</x:v>
      </x:c>
      <x:c r="G265" s="274" t="s">
        <x:v>209</x:v>
      </x:c>
      <x:c r="I265" s="274" t="n">
        <x:v>1</x:v>
      </x:c>
      <x:c r="J265" s="274" t="n">
        <x:v>180</x:v>
      </x:c>
      <x:c r="K265" s="274" t="n">
        <x:v>221</x:v>
      </x:c>
      <x:c r="M265" s="274" t="s">
        <x:v>695</x:v>
      </x:c>
      <x:c r="N265" s="274" t="s">
        <x:v>155</x:v>
      </x:c>
    </x:row>
    <x:row r="266" spans="1:14">
      <x:c r="A266" s="274" t="s">
        <x:v>696</x:v>
      </x:c>
      <x:c r="B266" s="274" t="n">
        <x:v>2.55</x:v>
      </x:c>
      <x:c r="C266" s="274" t="n">
        <x:v>0</x:v>
      </x:c>
      <x:c r="D266" s="274" t="n">
        <x:v>0</x:v>
      </x:c>
      <x:c r="F266" s="274" t="s">
        <x:v>333</x:v>
      </x:c>
      <x:c r="G266" s="274" t="s">
        <x:v>153</x:v>
      </x:c>
      <x:c r="I266" s="274" t="n">
        <x:v>1.4</x:v>
      </x:c>
      <x:c r="J266" s="274" t="n">
        <x:v>190</x:v>
      </x:c>
      <x:c r="K266" s="274" t="n">
        <x:v>1220</x:v>
      </x:c>
      <x:c r="M266" s="274" t="s">
        <x:v>697</x:v>
      </x:c>
    </x:row>
    <x:row r="267" spans="1:14">
      <x:c r="A267" s="274" t="s">
        <x:v>698</x:v>
      </x:c>
      <x:c r="B267" s="274" t="n">
        <x:v>18.75</x:v>
      </x:c>
      <x:c r="C267" s="274" t="n">
        <x:v>0</x:v>
      </x:c>
      <x:c r="D267" s="274" t="n">
        <x:v>30</x:v>
      </x:c>
      <x:c r="E267" s="274" t="n">
        <x:v>31</x:v>
      </x:c>
      <x:c r="F267" s="274" t="s">
        <x:v>333</x:v>
      </x:c>
      <x:c r="G267" s="274" t="s">
        <x:v>124</x:v>
      </x:c>
      <x:c r="I267" s="274" t="n">
        <x:v>2</x:v>
      </x:c>
      <x:c r="J267" s="274" t="n">
        <x:v>1212</x:v>
      </x:c>
      <x:c r="K267" s="274" t="n">
        <x:v>985</x:v>
      </x:c>
      <x:c r="M267" s="274" t="s">
        <x:v>699</x:v>
      </x:c>
      <x:c r="N267" s="274" t="s">
        <x:v>229</x:v>
      </x:c>
    </x:row>
    <x:row r="268" spans="1:14">
      <x:c r="A268" s="274" t="s">
        <x:v>700</x:v>
      </x:c>
      <x:c r="B268" s="274" t="n">
        <x:v>0.96</x:v>
      </x:c>
      <x:c r="C268" s="274" t="n">
        <x:v>0</x:v>
      </x:c>
      <x:c r="D268" s="274" t="n">
        <x:v>0</x:v>
      </x:c>
      <x:c r="F268" s="274" t="s">
        <x:v>333</x:v>
      </x:c>
      <x:c r="G268" s="274" t="s">
        <x:v>153</x:v>
      </x:c>
      <x:c r="I268" s="274" t="n">
        <x:v>1.4</x:v>
      </x:c>
      <x:c r="J268" s="274" t="n">
        <x:v>426</x:v>
      </x:c>
      <x:c r="K268" s="274" t="n">
        <x:v>206</x:v>
      </x:c>
      <x:c r="M268" s="274" t="s">
        <x:v>701</x:v>
      </x:c>
    </x:row>
    <x:row r="269" spans="1:14">
      <x:c r="A269" s="274" t="s">
        <x:v>702</x:v>
      </x:c>
      <x:c r="B269" s="274" t="n">
        <x:v>3.85</x:v>
      </x:c>
      <x:c r="C269" s="274" t="n">
        <x:v>0</x:v>
      </x:c>
      <x:c r="D269" s="274" t="n">
        <x:v>0</x:v>
      </x:c>
      <x:c r="F269" s="274" t="s">
        <x:v>333</x:v>
      </x:c>
      <x:c r="G269" s="274" t="s">
        <x:v>124</x:v>
      </x:c>
      <x:c r="I269" s="274" t="n">
        <x:v>2</x:v>
      </x:c>
      <x:c r="J269" s="274" t="n">
        <x:v>200</x:v>
      </x:c>
      <x:c r="K269" s="274" t="n">
        <x:v>1225</x:v>
      </x:c>
      <x:c r="M269" s="274" t="s">
        <x:v>703</x:v>
      </x:c>
      <x:c r="N269" s="274" t="s">
        <x:v>421</x:v>
      </x:c>
    </x:row>
    <x:row r="270" spans="1:14">
      <x:c r="A270" s="274" t="s">
        <x:v>704</x:v>
      </x:c>
      <x:c r="B270" s="274" t="n">
        <x:v>0.18</x:v>
      </x:c>
      <x:c r="C270" s="274" t="n">
        <x:v>0</x:v>
      </x:c>
      <x:c r="D270" s="274" t="n">
        <x:v>0</x:v>
      </x:c>
      <x:c r="F270" s="274" t="s">
        <x:v>333</x:v>
      </x:c>
      <x:c r="G270" s="274" t="s">
        <x:v>153</x:v>
      </x:c>
      <x:c r="I270" s="274" t="n">
        <x:v>1.4</x:v>
      </x:c>
      <x:c r="J270" s="274" t="n">
        <x:v>140</x:v>
      </x:c>
      <x:c r="K270" s="274" t="n">
        <x:v>120</x:v>
      </x:c>
      <x:c r="M270" s="274" t="s">
        <x:v>705</x:v>
      </x:c>
    </x:row>
    <x:row r="271" spans="1:14">
      <x:c r="A271" s="274" t="s">
        <x:v>706</x:v>
      </x:c>
      <x:c r="B271" s="274" t="n">
        <x:v>10.55</x:v>
      </x:c>
      <x:c r="C271" s="274" t="n">
        <x:v>0</x:v>
      </x:c>
      <x:c r="D271" s="274" t="n">
        <x:v>0</x:v>
      </x:c>
      <x:c r="F271" s="274" t="s">
        <x:v>333</x:v>
      </x:c>
      <x:c r="G271" s="274" t="s">
        <x:v>124</x:v>
      </x:c>
      <x:c r="I271" s="274" t="n">
        <x:v>2</x:v>
      </x:c>
      <x:c r="J271" s="274" t="n">
        <x:v>1200</x:v>
      </x:c>
      <x:c r="K271" s="274" t="n">
        <x:v>560</x:v>
      </x:c>
      <x:c r="M271" s="274" t="s">
        <x:v>677</x:v>
      </x:c>
      <x:c r="N271" s="274" t="s">
        <x:v>372</x:v>
      </x:c>
    </x:row>
    <x:row r="272" spans="1:14">
      <x:c r="A272" s="274" t="s">
        <x:v>707</x:v>
      </x:c>
      <x:c r="B272" s="274" t="n">
        <x:v>1.27</x:v>
      </x:c>
      <x:c r="C272" s="274" t="n">
        <x:v>0</x:v>
      </x:c>
      <x:c r="D272" s="274" t="n">
        <x:v>0</x:v>
      </x:c>
      <x:c r="F272" s="274" t="s">
        <x:v>333</x:v>
      </x:c>
      <x:c r="G272" s="274" t="s">
        <x:v>124</x:v>
      </x:c>
      <x:c r="I272" s="274" t="n">
        <x:v>2.3</x:v>
      </x:c>
      <x:c r="J272" s="274" t="n">
        <x:v>321</x:v>
      </x:c>
      <x:c r="K272" s="274" t="n">
        <x:v>219</x:v>
      </x:c>
      <x:c r="M272" s="274" t="s">
        <x:v>708</x:v>
      </x:c>
    </x:row>
    <x:row r="273" spans="1:14">
      <x:c r="A273" s="274" t="s">
        <x:v>709</x:v>
      </x:c>
      <x:c r="B273" s="274" t="n">
        <x:v>0.32</x:v>
      </x:c>
      <x:c r="C273" s="274" t="n">
        <x:v>0</x:v>
      </x:c>
      <x:c r="D273" s="274" t="n">
        <x:v>0</x:v>
      </x:c>
      <x:c r="F273" s="274" t="s">
        <x:v>333</x:v>
      </x:c>
      <x:c r="G273" s="274" t="s">
        <x:v>153</x:v>
      </x:c>
      <x:c r="I273" s="274" t="n">
        <x:v>1</x:v>
      </x:c>
      <x:c r="J273" s="274" t="n">
        <x:v>252</x:v>
      </x:c>
      <x:c r="K273" s="274" t="n">
        <x:v>163</x:v>
      </x:c>
      <x:c r="M273" s="274" t="s">
        <x:v>710</x:v>
      </x:c>
      <x:c r="N273" s="274" t="s">
        <x:v>131</x:v>
      </x:c>
    </x:row>
    <x:row r="274" spans="1:14">
      <x:c r="A274" s="274" t="s">
        <x:v>711</x:v>
      </x:c>
      <x:c r="B274" s="274" t="n">
        <x:v>2.21</x:v>
      </x:c>
      <x:c r="C274" s="274" t="n">
        <x:v>0</x:v>
      </x:c>
      <x:c r="D274" s="274" t="n">
        <x:v>0</x:v>
      </x:c>
      <x:c r="F274" s="274" t="s">
        <x:v>333</x:v>
      </x:c>
      <x:c r="G274" s="274" t="s">
        <x:v>209</x:v>
      </x:c>
      <x:c r="I274" s="274" t="n">
        <x:v>1.2</x:v>
      </x:c>
      <x:c r="J274" s="274" t="n">
        <x:v>610</x:v>
      </x:c>
      <x:c r="K274" s="274" t="n">
        <x:v>385</x:v>
      </x:c>
      <x:c r="M274" s="274" t="s">
        <x:v>712</x:v>
      </x:c>
      <x:c r="N274" s="274" t="s">
        <x:v>155</x:v>
      </x:c>
    </x:row>
    <x:row r="275" spans="1:14">
      <x:c r="A275" s="274" t="s">
        <x:v>713</x:v>
      </x:c>
      <x:c r="B275" s="274" t="n">
        <x:v>0.19</x:v>
      </x:c>
      <x:c r="C275" s="274" t="n">
        <x:v>0</x:v>
      </x:c>
      <x:c r="D275" s="274" t="n">
        <x:v>0</x:v>
      </x:c>
      <x:c r="F275" s="274" t="s">
        <x:v>333</x:v>
      </x:c>
      <x:c r="G275" s="274" t="s">
        <x:v>153</x:v>
      </x:c>
      <x:c r="I275" s="274" t="n">
        <x:v>1.4</x:v>
      </x:c>
      <x:c r="J275" s="274" t="n">
        <x:v>48</x:v>
      </x:c>
      <x:c r="K275" s="274" t="n">
        <x:v>354</x:v>
      </x:c>
      <x:c r="M275" s="274" t="s">
        <x:v>714</x:v>
      </x:c>
      <x:c r="N275" s="274" t="s">
        <x:v>155</x:v>
      </x:c>
    </x:row>
    <x:row r="276" spans="1:14">
      <x:c r="A276" s="274" t="s">
        <x:v>715</x:v>
      </x:c>
      <x:c r="B276" s="274" t="n">
        <x:v>0.71</x:v>
      </x:c>
      <x:c r="C276" s="274" t="n">
        <x:v>0</x:v>
      </x:c>
      <x:c r="D276" s="274" t="n">
        <x:v>0</x:v>
      </x:c>
      <x:c r="F276" s="274" t="s">
        <x:v>333</x:v>
      </x:c>
      <x:c r="G276" s="274" t="s">
        <x:v>153</x:v>
      </x:c>
      <x:c r="I276" s="274" t="n">
        <x:v>1.4</x:v>
      </x:c>
      <x:c r="J276" s="274" t="n">
        <x:v>330</x:v>
      </x:c>
      <x:c r="K276" s="274" t="n">
        <x:v>195</x:v>
      </x:c>
      <x:c r="M276" s="274" t="s">
        <x:v>716</x:v>
      </x:c>
      <x:c r="N276" s="274" t="s">
        <x:v>155</x:v>
      </x:c>
    </x:row>
    <x:row r="277" spans="1:14">
      <x:c r="A277" s="274" t="s">
        <x:v>717</x:v>
      </x:c>
      <x:c r="B277" s="274" t="n">
        <x:v>6.36</x:v>
      </x:c>
      <x:c r="C277" s="274" t="n">
        <x:v>0</x:v>
      </x:c>
      <x:c r="D277" s="274" t="n">
        <x:v>0</x:v>
      </x:c>
      <x:c r="F277" s="274" t="s">
        <x:v>133</x:v>
      </x:c>
      <x:c r="G277" s="274" t="s">
        <x:v>136</x:v>
      </x:c>
      <x:c r="H277" s="274" t="n">
        <x:v>45</x:v>
      </x:c>
      <x:c r="I277" s="274" t="n">
        <x:v>1.2</x:v>
      </x:c>
      <x:c r="J277" s="274" t="n">
        <x:v>390</x:v>
      </x:c>
      <x:c r="K277" s="274" t="n">
        <x:v>1715</x:v>
      </x:c>
      <x:c r="M277" s="274" t="s">
        <x:v>718</x:v>
      </x:c>
      <x:c r="N277" s="274" t="s">
        <x:v>631</x:v>
      </x:c>
    </x:row>
    <x:row r="278" spans="1:14">
      <x:c r="A278" s="274" t="s">
        <x:v>719</x:v>
      </x:c>
      <x:c r="B278" s="274" t="n">
        <x:v>18.78</x:v>
      </x:c>
      <x:c r="C278" s="274" t="n">
        <x:v>0</x:v>
      </x:c>
      <x:c r="D278" s="274" t="n">
        <x:v>30</x:v>
      </x:c>
      <x:c r="E278" s="274" t="n">
        <x:v>28</x:v>
      </x:c>
      <x:c r="F278" s="274" t="s">
        <x:v>133</x:v>
      </x:c>
      <x:c r="G278" s="274" t="s">
        <x:v>148</x:v>
      </x:c>
      <x:c r="I278" s="274" t="n">
        <x:v>2.3</x:v>
      </x:c>
      <x:c r="J278" s="274" t="n">
        <x:v>1035</x:v>
      </x:c>
      <x:c r="K278" s="274" t="n">
        <x:v>1005</x:v>
      </x:c>
      <x:c r="M278" s="274" t="s">
        <x:v>720</x:v>
      </x:c>
    </x:row>
    <x:row r="279" spans="1:14">
      <x:c r="A279" s="274" t="s">
        <x:v>721</x:v>
      </x:c>
      <x:c r="B279" s="274" t="n">
        <x:v>0.13</x:v>
      </x:c>
      <x:c r="C279" s="274" t="n">
        <x:v>0</x:v>
      </x:c>
      <x:c r="D279" s="274" t="n">
        <x:v>0</x:v>
      </x:c>
      <x:c r="F279" s="274" t="s">
        <x:v>184</x:v>
      </x:c>
      <x:c r="G279" s="274" t="s">
        <x:v>129</x:v>
      </x:c>
      <x:c r="H279" s="274" t="n">
        <x:v>45</x:v>
      </x:c>
      <x:c r="I279" s="274" t="n">
        <x:v>1</x:v>
      </x:c>
      <x:c r="J279" s="274" t="n">
        <x:v>106</x:v>
      </x:c>
      <x:c r="K279" s="274" t="n">
        <x:v>150</x:v>
      </x:c>
      <x:c r="M279" s="274" t="s">
        <x:v>722</x:v>
      </x:c>
      <x:c r="N279" s="274" t="s">
        <x:v>299</x:v>
      </x:c>
    </x:row>
    <x:row r="280" spans="1:14">
      <x:c r="A280" s="274" t="s">
        <x:v>723</x:v>
      </x:c>
      <x:c r="B280" s="274" t="n">
        <x:v>3.36</x:v>
      </x:c>
      <x:c r="C280" s="274" t="n">
        <x:v>0</x:v>
      </x:c>
      <x:c r="D280" s="274" t="n">
        <x:v>32</x:v>
      </x:c>
      <x:c r="E280" s="274" t="n">
        <x:v>40</x:v>
      </x:c>
      <x:c r="F280" s="274" t="s">
        <x:v>184</x:v>
      </x:c>
      <x:c r="G280" s="274" t="s">
        <x:v>136</x:v>
      </x:c>
      <x:c r="H280" s="274" t="n">
        <x:v>45</x:v>
      </x:c>
      <x:c r="I280" s="274" t="n">
        <x:v>0.65</x:v>
      </x:c>
      <x:c r="J280" s="274" t="n">
        <x:v>1456</x:v>
      </x:c>
      <x:c r="K280" s="274" t="n">
        <x:v>445</x:v>
      </x:c>
      <x:c r="M280" s="274" t="s">
        <x:v>724</x:v>
      </x:c>
      <x:c r="N280" s="274" t="s">
        <x:v>299</x:v>
      </x:c>
    </x:row>
    <x:row r="281" spans="1:14">
      <x:c r="A281" s="274" t="s">
        <x:v>725</x:v>
      </x:c>
      <x:c r="B281" s="274" t="n">
        <x:v>7.11</x:v>
      </x:c>
      <x:c r="C281" s="274" t="n">
        <x:v>0</x:v>
      </x:c>
      <x:c r="D281" s="274" t="n">
        <x:v>0</x:v>
      </x:c>
      <x:c r="F281" s="274" t="s">
        <x:v>333</x:v>
      </x:c>
      <x:c r="G281" s="274" t="s">
        <x:v>124</x:v>
      </x:c>
      <x:c r="I281" s="274" t="n">
        <x:v>1.2</x:v>
      </x:c>
      <x:c r="J281" s="274" t="n">
        <x:v>503</x:v>
      </x:c>
      <x:c r="K281" s="274" t="n">
        <x:v>1500</x:v>
      </x:c>
      <x:c r="M281" s="274" t="s">
        <x:v>726</x:v>
      </x:c>
      <x:c r="N281" s="274" t="s">
        <x:v>727</x:v>
      </x:c>
    </x:row>
    <x:row r="282" spans="1:14">
      <x:c r="A282" s="274" t="s">
        <x:v>728</x:v>
      </x:c>
      <x:c r="B282" s="274" t="n">
        <x:v>2.15</x:v>
      </x:c>
      <x:c r="C282" s="274" t="n">
        <x:v>0</x:v>
      </x:c>
      <x:c r="D282" s="274" t="n">
        <x:v>0</x:v>
      </x:c>
      <x:c r="F282" s="274" t="s">
        <x:v>333</x:v>
      </x:c>
      <x:c r="G282" s="274" t="s">
        <x:v>209</x:v>
      </x:c>
      <x:c r="I282" s="274" t="n">
        <x:v>1.4</x:v>
      </x:c>
      <x:c r="J282" s="274" t="n">
        <x:v>162</x:v>
      </x:c>
      <x:c r="K282" s="274" t="n">
        <x:v>1210</x:v>
      </x:c>
      <x:c r="M282" s="274" t="s">
        <x:v>729</x:v>
      </x:c>
    </x:row>
    <x:row r="283" spans="1:14">
      <x:c r="A283" s="274" t="s">
        <x:v>730</x:v>
      </x:c>
      <x:c r="B283" s="274" t="n">
        <x:v>0.96</x:v>
      </x:c>
      <x:c r="C283" s="274" t="n">
        <x:v>0</x:v>
      </x:c>
      <x:c r="D283" s="274" t="n">
        <x:v>0</x:v>
      </x:c>
      <x:c r="F283" s="274" t="s">
        <x:v>333</x:v>
      </x:c>
      <x:c r="G283" s="274" t="s">
        <x:v>209</x:v>
      </x:c>
      <x:c r="I283" s="274" t="n">
        <x:v>1.4</x:v>
      </x:c>
      <x:c r="J283" s="274" t="n">
        <x:v>322</x:v>
      </x:c>
      <x:c r="K283" s="274" t="n">
        <x:v>270</x:v>
      </x:c>
      <x:c r="M283" s="274" t="s">
        <x:v>731</x:v>
      </x:c>
    </x:row>
    <x:row r="284" spans="1:14">
      <x:c r="A284" s="274" t="s">
        <x:v>732</x:v>
      </x:c>
      <x:c r="B284" s="274" t="n">
        <x:v>2</x:v>
      </x:c>
      <x:c r="C284" s="274" t="n">
        <x:v>0</x:v>
      </x:c>
      <x:c r="D284" s="274" t="n">
        <x:v>0</x:v>
      </x:c>
      <x:c r="F284" s="274" t="s">
        <x:v>333</x:v>
      </x:c>
      <x:c r="G284" s="274" t="s">
        <x:v>124</x:v>
      </x:c>
      <x:c r="I284" s="274" t="n">
        <x:v>1</x:v>
      </x:c>
      <x:c r="J284" s="274" t="n">
        <x:v>1045</x:v>
      </x:c>
      <x:c r="K284" s="274" t="n">
        <x:v>244</x:v>
      </x:c>
      <x:c r="M284" s="274" t="s">
        <x:v>733</x:v>
      </x:c>
    </x:row>
    <x:row r="285" spans="1:14">
      <x:c r="A285" s="274" t="s">
        <x:v>734</x:v>
      </x:c>
      <x:c r="B285" s="274" t="n">
        <x:v>0.42</x:v>
      </x:c>
      <x:c r="C285" s="274" t="n">
        <x:v>0</x:v>
      </x:c>
      <x:c r="D285" s="274" t="n">
        <x:v>0</x:v>
      </x:c>
      <x:c r="F285" s="274" t="s">
        <x:v>333</x:v>
      </x:c>
      <x:c r="G285" s="274" t="s">
        <x:v>209</x:v>
      </x:c>
      <x:c r="I285" s="274" t="n">
        <x:v>1.2</x:v>
      </x:c>
      <x:c r="J285" s="274" t="n">
        <x:v>155</x:v>
      </x:c>
      <x:c r="K285" s="274" t="n">
        <x:v>291</x:v>
      </x:c>
      <x:c r="M285" s="274" t="s">
        <x:v>735</x:v>
      </x:c>
      <x:c r="N285" s="274" t="s">
        <x:v>155</x:v>
      </x:c>
    </x:row>
    <x:row r="286" spans="1:14">
      <x:c r="A286" s="274" t="s">
        <x:v>736</x:v>
      </x:c>
      <x:c r="B286" s="274" t="n">
        <x:v>0.41</x:v>
      </x:c>
      <x:c r="C286" s="274" t="n">
        <x:v>0</x:v>
      </x:c>
      <x:c r="D286" s="274" t="n">
        <x:v>0</x:v>
      </x:c>
      <x:c r="F286" s="274" t="s">
        <x:v>333</x:v>
      </x:c>
      <x:c r="G286" s="274" t="s">
        <x:v>209</x:v>
      </x:c>
      <x:c r="I286" s="274" t="n">
        <x:v>1.2</x:v>
      </x:c>
      <x:c r="J286" s="274" t="n">
        <x:v>155</x:v>
      </x:c>
      <x:c r="K286" s="274" t="n">
        <x:v>284</x:v>
      </x:c>
      <x:c r="M286" s="274" t="s">
        <x:v>737</x:v>
      </x:c>
      <x:c r="N286" s="274" t="s">
        <x:v>155</x:v>
      </x:c>
    </x:row>
    <x:row r="287" spans="1:14">
      <x:c r="A287" s="274" t="s">
        <x:v>738</x:v>
      </x:c>
      <x:c r="B287" s="274" t="n">
        <x:v>0.89</x:v>
      </x:c>
      <x:c r="C287" s="274" t="n">
        <x:v>0</x:v>
      </x:c>
      <x:c r="D287" s="274" t="n">
        <x:v>0</x:v>
      </x:c>
      <x:c r="F287" s="274" t="s">
        <x:v>333</x:v>
      </x:c>
      <x:c r="G287" s="274" t="s">
        <x:v>209</x:v>
      </x:c>
      <x:c r="I287" s="274" t="n">
        <x:v>1.2</x:v>
      </x:c>
      <x:c r="J287" s="274" t="n">
        <x:v>76</x:v>
      </x:c>
      <x:c r="K287" s="274" t="n">
        <x:v>1242</x:v>
      </x:c>
      <x:c r="M287" s="274" t="s">
        <x:v>739</x:v>
      </x:c>
      <x:c r="N287" s="274" t="s">
        <x:v>155</x:v>
      </x:c>
    </x:row>
    <x:row r="288" spans="1:14">
      <x:c r="A288" s="274" t="s">
        <x:v>740</x:v>
      </x:c>
      <x:c r="B288" s="274" t="n">
        <x:v>1.42</x:v>
      </x:c>
      <x:c r="C288" s="274" t="n">
        <x:v>0</x:v>
      </x:c>
      <x:c r="D288" s="274" t="n">
        <x:v>0</x:v>
      </x:c>
      <x:c r="F288" s="274" t="s">
        <x:v>333</x:v>
      </x:c>
      <x:c r="G288" s="274" t="s">
        <x:v>209</x:v>
      </x:c>
      <x:c r="I288" s="274" t="n">
        <x:v>1.2</x:v>
      </x:c>
      <x:c r="J288" s="274" t="n">
        <x:v>122</x:v>
      </x:c>
      <x:c r="K288" s="274" t="n">
        <x:v>1232</x:v>
      </x:c>
      <x:c r="M288" s="274" t="s">
        <x:v>741</x:v>
      </x:c>
      <x:c r="N288" s="274" t="s">
        <x:v>131</x:v>
      </x:c>
    </x:row>
    <x:row r="289" spans="1:14">
      <x:c r="A289" s="274" t="s">
        <x:v>742</x:v>
      </x:c>
      <x:c r="B289" s="274" t="n">
        <x:v>0.78</x:v>
      </x:c>
      <x:c r="C289" s="274" t="n">
        <x:v>0</x:v>
      </x:c>
      <x:c r="D289" s="274" t="n">
        <x:v>0</x:v>
      </x:c>
      <x:c r="F289" s="274" t="s">
        <x:v>333</x:v>
      </x:c>
      <x:c r="G289" s="274" t="s">
        <x:v>209</x:v>
      </x:c>
      <x:c r="I289" s="274" t="n">
        <x:v>1.2</x:v>
      </x:c>
      <x:c r="J289" s="274" t="n">
        <x:v>130</x:v>
      </x:c>
      <x:c r="K289" s="274" t="n">
        <x:v>633</x:v>
      </x:c>
      <x:c r="M289" s="274" t="s">
        <x:v>743</x:v>
      </x:c>
      <x:c r="N289" s="274" t="s">
        <x:v>155</x:v>
      </x:c>
    </x:row>
    <x:row r="290" spans="1:14">
      <x:c r="A290" s="274" t="s">
        <x:v>744</x:v>
      </x:c>
      <x:c r="B290" s="274" t="n">
        <x:v>0.25</x:v>
      </x:c>
      <x:c r="C290" s="274" t="n">
        <x:v>0</x:v>
      </x:c>
      <x:c r="D290" s="274" t="n">
        <x:v>0</x:v>
      </x:c>
      <x:c r="F290" s="274" t="s">
        <x:v>333</x:v>
      </x:c>
      <x:c r="G290" s="274" t="s">
        <x:v>209</x:v>
      </x:c>
      <x:c r="I290" s="274" t="n">
        <x:v>1.2</x:v>
      </x:c>
      <x:c r="J290" s="274" t="n">
        <x:v>120</x:v>
      </x:c>
      <x:c r="K290" s="274" t="n">
        <x:v>220</x:v>
      </x:c>
      <x:c r="M290" s="274" t="s">
        <x:v>745</x:v>
      </x:c>
      <x:c r="N290" s="274" t="s">
        <x:v>155</x:v>
      </x:c>
    </x:row>
    <x:row r="291" spans="1:14">
      <x:c r="A291" s="274" t="s">
        <x:v>746</x:v>
      </x:c>
      <x:c r="B291" s="274" t="n">
        <x:v>0.79</x:v>
      </x:c>
      <x:c r="C291" s="274" t="n">
        <x:v>0</x:v>
      </x:c>
      <x:c r="D291" s="274" t="n">
        <x:v>0</x:v>
      </x:c>
      <x:c r="F291" s="274" t="s">
        <x:v>333</x:v>
      </x:c>
      <x:c r="G291" s="274" t="s">
        <x:v>153</x:v>
      </x:c>
      <x:c r="I291" s="274" t="n">
        <x:v>0.65</x:v>
      </x:c>
      <x:c r="J291" s="274" t="n">
        <x:v>155</x:v>
      </x:c>
      <x:c r="K291" s="274" t="n">
        <x:v>1000</x:v>
      </x:c>
      <x:c r="M291" s="274" t="s">
        <x:v>747</x:v>
      </x:c>
      <x:c r="N291" s="274" t="s">
        <x:v>748</x:v>
      </x:c>
    </x:row>
    <x:row r="292" spans="1:14">
      <x:c r="A292" s="274" t="s">
        <x:v>749</x:v>
      </x:c>
      <x:c r="B292" s="274" t="n">
        <x:v>1.8</x:v>
      </x:c>
      <x:c r="C292" s="274" t="n">
        <x:v>0</x:v>
      </x:c>
      <x:c r="D292" s="274" t="n">
        <x:v>0</x:v>
      </x:c>
      <x:c r="F292" s="274" t="s">
        <x:v>333</x:v>
      </x:c>
      <x:c r="G292" s="274" t="s">
        <x:v>153</x:v>
      </x:c>
      <x:c r="I292" s="274" t="n">
        <x:v>0.65</x:v>
      </x:c>
      <x:c r="J292" s="274" t="n">
        <x:v>275</x:v>
      </x:c>
      <x:c r="K292" s="274" t="n">
        <x:v>1280</x:v>
      </x:c>
      <x:c r="M292" s="274" t="s">
        <x:v>750</x:v>
      </x:c>
      <x:c r="N292" s="274" t="s">
        <x:v>372</x:v>
      </x:c>
    </x:row>
    <x:row r="293" spans="1:14">
      <x:c r="A293" s="274" t="s">
        <x:v>751</x:v>
      </x:c>
      <x:c r="B293" s="274" t="n">
        <x:v>1.66</x:v>
      </x:c>
      <x:c r="C293" s="274" t="n">
        <x:v>0</x:v>
      </x:c>
      <x:c r="D293" s="274" t="n">
        <x:v>0</x:v>
      </x:c>
      <x:c r="F293" s="274" t="s">
        <x:v>333</x:v>
      </x:c>
      <x:c r="G293" s="274" t="s">
        <x:v>124</x:v>
      </x:c>
      <x:c r="I293" s="274" t="n">
        <x:v>1</x:v>
      </x:c>
      <x:c r="J293" s="274" t="n">
        <x:v>255</x:v>
      </x:c>
      <x:c r="K293" s="274" t="n">
        <x:v>830</x:v>
      </x:c>
      <x:c r="M293" s="274" t="s">
        <x:v>752</x:v>
      </x:c>
    </x:row>
    <x:row r="294" spans="1:14">
      <x:c r="A294" s="274" t="s">
        <x:v>753</x:v>
      </x:c>
      <x:c r="B294" s="274" t="n">
        <x:v>1.02</x:v>
      </x:c>
      <x:c r="C294" s="274" t="n">
        <x:v>0</x:v>
      </x:c>
      <x:c r="D294" s="274" t="n">
        <x:v>0</x:v>
      </x:c>
      <x:c r="F294" s="274" t="s">
        <x:v>333</x:v>
      </x:c>
      <x:c r="G294" s="274" t="s">
        <x:v>124</x:v>
      </x:c>
      <x:c r="I294" s="274" t="n">
        <x:v>1.2</x:v>
      </x:c>
      <x:c r="J294" s="274" t="n">
        <x:v>425</x:v>
      </x:c>
      <x:c r="K294" s="274" t="n">
        <x:v>254</x:v>
      </x:c>
      <x:c r="M294" s="274" t="s">
        <x:v>754</x:v>
      </x:c>
      <x:c r="N294" s="274" t="s">
        <x:v>748</x:v>
      </x:c>
    </x:row>
    <x:row r="295" spans="1:14">
      <x:c r="A295" s="274" t="s">
        <x:v>755</x:v>
      </x:c>
      <x:c r="B295" s="274" t="n">
        <x:v>0.75</x:v>
      </x:c>
      <x:c r="C295" s="274" t="n">
        <x:v>0</x:v>
      </x:c>
      <x:c r="D295" s="274" t="n">
        <x:v>0</x:v>
      </x:c>
      <x:c r="F295" s="274" t="s">
        <x:v>333</x:v>
      </x:c>
      <x:c r="G295" s="274" t="s">
        <x:v>124</x:v>
      </x:c>
      <x:c r="I295" s="274" t="n">
        <x:v>1.2</x:v>
      </x:c>
      <x:c r="J295" s="274" t="n">
        <x:v>145</x:v>
      </x:c>
      <x:c r="K295" s="274" t="n">
        <x:v>549</x:v>
      </x:c>
      <x:c r="M295" s="274" t="s">
        <x:v>756</x:v>
      </x:c>
    </x:row>
    <x:row r="296" spans="1:14">
      <x:c r="A296" s="274" t="s">
        <x:v>757</x:v>
      </x:c>
      <x:c r="B296" s="274" t="n">
        <x:v>2.18</x:v>
      </x:c>
      <x:c r="C296" s="274" t="n">
        <x:v>0</x:v>
      </x:c>
      <x:c r="D296" s="274" t="n">
        <x:v>0</x:v>
      </x:c>
      <x:c r="F296" s="274" t="s">
        <x:v>333</x:v>
      </x:c>
      <x:c r="G296" s="274" t="s">
        <x:v>124</x:v>
      </x:c>
      <x:c r="I296" s="274" t="n">
        <x:v>1.2</x:v>
      </x:c>
      <x:c r="J296" s="274" t="n">
        <x:v>185</x:v>
      </x:c>
      <x:c r="K296" s="274" t="n">
        <x:v>1250</x:v>
      </x:c>
      <x:c r="M296" s="274" t="s">
        <x:v>758</x:v>
      </x:c>
      <x:c r="N296" s="274" t="s">
        <x:v>421</x:v>
      </x:c>
    </x:row>
    <x:row r="297" spans="1:14">
      <x:c r="A297" s="274" t="s">
        <x:v>759</x:v>
      </x:c>
      <x:c r="B297" s="274" t="n">
        <x:v>1.95</x:v>
      </x:c>
      <x:c r="C297" s="274" t="n">
        <x:v>0</x:v>
      </x:c>
      <x:c r="D297" s="274" t="n">
        <x:v>0</x:v>
      </x:c>
      <x:c r="F297" s="274" t="s">
        <x:v>133</x:v>
      </x:c>
      <x:c r="G297" s="274" t="s">
        <x:v>136</x:v>
      </x:c>
      <x:c r="H297" s="274" t="n">
        <x:v>45</x:v>
      </x:c>
      <x:c r="I297" s="274" t="n">
        <x:v>1.2</x:v>
      </x:c>
      <x:c r="J297" s="274" t="n">
        <x:v>165</x:v>
      </x:c>
      <x:c r="K297" s="274" t="n">
        <x:v>1242</x:v>
      </x:c>
      <x:c r="M297" s="274" t="s">
        <x:v>760</x:v>
      </x:c>
      <x:c r="N297" s="274" t="s">
        <x:v>162</x:v>
      </x:c>
    </x:row>
    <x:row r="298" spans="1:14">
      <x:c r="A298" s="274" t="s">
        <x:v>761</x:v>
      </x:c>
      <x:c r="B298" s="274" t="n">
        <x:v>4.84</x:v>
      </x:c>
      <x:c r="C298" s="274" t="n">
        <x:v>58</x:v>
      </x:c>
      <x:c r="D298" s="274" t="n">
        <x:v>60</x:v>
      </x:c>
      <x:c r="E298" s="274" t="n">
        <x:v>40</x:v>
      </x:c>
      <x:c r="F298" s="274" t="s">
        <x:v>133</x:v>
      </x:c>
      <x:c r="G298" s="274" t="s">
        <x:v>136</x:v>
      </x:c>
      <x:c r="H298" s="274" t="n">
        <x:v>45</x:v>
      </x:c>
      <x:c r="I298" s="274" t="n">
        <x:v>0.8</x:v>
      </x:c>
      <x:c r="J298" s="274" t="n">
        <x:v>965</x:v>
      </x:c>
      <x:c r="K298" s="274" t="n">
        <x:v>810</x:v>
      </x:c>
      <x:c r="L298" s="274" t="n">
        <x:v>765</x:v>
      </x:c>
      <x:c r="M298" s="274" t="s">
        <x:v>762</x:v>
      </x:c>
      <x:c r="N298" s="274" t="s">
        <x:v>207</x:v>
      </x:c>
    </x:row>
    <x:row r="299" spans="1:14">
      <x:c r="A299" s="274" t="s">
        <x:v>763</x:v>
      </x:c>
      <x:c r="B299" s="274" t="n">
        <x:v>11.5</x:v>
      </x:c>
      <x:c r="C299" s="274" t="n">
        <x:v>0</x:v>
      </x:c>
      <x:c r="D299" s="274" t="n">
        <x:v>0</x:v>
      </x:c>
      <x:c r="F299" s="274" t="s">
        <x:v>333</x:v>
      </x:c>
      <x:c r="G299" s="274" t="s">
        <x:v>124</x:v>
      </x:c>
      <x:c r="I299" s="274" t="n">
        <x:v>1.4</x:v>
      </x:c>
      <x:c r="J299" s="274" t="n">
        <x:v>1090</x:v>
      </x:c>
      <x:c r="K299" s="274" t="n">
        <x:v>960</x:v>
      </x:c>
      <x:c r="M299" s="274" t="s">
        <x:v>764</x:v>
      </x:c>
      <x:c r="N299" s="274" t="s">
        <x:v>765</x:v>
      </x:c>
    </x:row>
    <x:row r="300" spans="1:14">
      <x:c r="A300" s="274" t="s">
        <x:v>766</x:v>
      </x:c>
      <x:c r="B300" s="274" t="n">
        <x:v>1.21</x:v>
      </x:c>
      <x:c r="C300" s="274" t="n">
        <x:v>0</x:v>
      </x:c>
      <x:c r="D300" s="274" t="n">
        <x:v>0</x:v>
      </x:c>
      <x:c r="F300" s="274" t="s">
        <x:v>333</x:v>
      </x:c>
      <x:c r="G300" s="274" t="s">
        <x:v>124</x:v>
      </x:c>
      <x:c r="I300" s="274" t="n">
        <x:v>1.4</x:v>
      </x:c>
      <x:c r="J300" s="274" t="n">
        <x:v>325</x:v>
      </x:c>
      <x:c r="K300" s="274" t="n">
        <x:v>340</x:v>
      </x:c>
      <x:c r="M300" s="274" t="s">
        <x:v>767</x:v>
      </x:c>
      <x:c r="N300" s="274" t="s">
        <x:v>162</x:v>
      </x:c>
    </x:row>
    <x:row r="301" spans="1:14">
      <x:c r="A301" s="274" t="s">
        <x:v>768</x:v>
      </x:c>
      <x:c r="B301" s="274" t="n">
        <x:v>1.05</x:v>
      </x:c>
      <x:c r="C301" s="274" t="n">
        <x:v>0</x:v>
      </x:c>
      <x:c r="D301" s="274" t="n">
        <x:v>0</x:v>
      </x:c>
      <x:c r="E301" s="274" t="n">
        <x:v>14</x:v>
      </x:c>
      <x:c r="F301" s="274" t="s">
        <x:v>333</x:v>
      </x:c>
      <x:c r="G301" s="274" t="s">
        <x:v>124</x:v>
      </x:c>
      <x:c r="I301" s="274" t="n">
        <x:v>1.4</x:v>
      </x:c>
      <x:c r="J301" s="274" t="n">
        <x:v>78</x:v>
      </x:c>
      <x:c r="K301" s="274" t="n">
        <x:v>1230</x:v>
      </x:c>
      <x:c r="M301" s="274" t="s">
        <x:v>769</x:v>
      </x:c>
      <x:c r="N301" s="274" t="s">
        <x:v>770</x:v>
      </x:c>
    </x:row>
    <x:row r="302" spans="1:14">
      <x:c r="A302" s="274" t="s">
        <x:v>771</x:v>
      </x:c>
      <x:c r="B302" s="274" t="n">
        <x:v>1.65</x:v>
      </x:c>
      <x:c r="C302" s="274" t="n">
        <x:v>0</x:v>
      </x:c>
      <x:c r="D302" s="274" t="n">
        <x:v>0</x:v>
      </x:c>
      <x:c r="F302" s="274" t="s">
        <x:v>333</x:v>
      </x:c>
      <x:c r="G302" s="274" t="s">
        <x:v>209</x:v>
      </x:c>
      <x:c r="I302" s="274" t="n">
        <x:v>1.6</x:v>
      </x:c>
      <x:c r="J302" s="274" t="n">
        <x:v>131</x:v>
      </x:c>
      <x:c r="K302" s="274" t="n">
        <x:v>1000</x:v>
      </x:c>
      <x:c r="M302" s="274" t="s">
        <x:v>772</x:v>
      </x:c>
      <x:c r="N302" s="274" t="s">
        <x:v>155</x:v>
      </x:c>
    </x:row>
    <x:row r="303" spans="1:14">
      <x:c r="A303" s="274" t="s">
        <x:v>773</x:v>
      </x:c>
      <x:c r="B303" s="274" t="n">
        <x:v>0.43</x:v>
      </x:c>
      <x:c r="C303" s="274" t="n">
        <x:v>0</x:v>
      </x:c>
      <x:c r="D303" s="274" t="n">
        <x:v>0</x:v>
      </x:c>
      <x:c r="F303" s="274" t="s">
        <x:v>333</x:v>
      </x:c>
      <x:c r="G303" s="274" t="s">
        <x:v>153</x:v>
      </x:c>
      <x:c r="I303" s="274" t="n">
        <x:v>0.7</x:v>
      </x:c>
      <x:c r="J303" s="274" t="n">
        <x:v>488</x:v>
      </x:c>
      <x:c r="K303" s="274" t="n">
        <x:v>162</x:v>
      </x:c>
      <x:c r="M303" s="274" t="s">
        <x:v>774</x:v>
      </x:c>
      <x:c r="N303" s="274" t="s">
        <x:v>155</x:v>
      </x:c>
    </x:row>
    <x:row r="304" spans="1:14">
      <x:c r="A304" s="274" t="s">
        <x:v>775</x:v>
      </x:c>
      <x:c r="B304" s="274" t="n">
        <x:v>0.14</x:v>
      </x:c>
      <x:c r="C304" s="274" t="n">
        <x:v>0</x:v>
      </x:c>
      <x:c r="D304" s="274" t="n">
        <x:v>0</x:v>
      </x:c>
      <x:c r="F304" s="274" t="s">
        <x:v>333</x:v>
      </x:c>
      <x:c r="G304" s="274" t="s">
        <x:v>209</x:v>
      </x:c>
      <x:c r="I304" s="274" t="n">
        <x:v>0.7</x:v>
      </x:c>
      <x:c r="J304" s="274" t="n">
        <x:v>87</x:v>
      </x:c>
      <x:c r="K304" s="274" t="n">
        <x:v>296</x:v>
      </x:c>
      <x:c r="M304" s="274" t="s">
        <x:v>776</x:v>
      </x:c>
      <x:c r="N304" s="274" t="s">
        <x:v>155</x:v>
      </x:c>
    </x:row>
    <x:row r="305" spans="1:14">
      <x:c r="A305" s="274" t="s">
        <x:v>777</x:v>
      </x:c>
      <x:c r="B305" s="274" t="n">
        <x:v>0.69</x:v>
      </x:c>
      <x:c r="C305" s="274" t="n">
        <x:v>0</x:v>
      </x:c>
      <x:c r="D305" s="274" t="n">
        <x:v>0</x:v>
      </x:c>
      <x:c r="F305" s="274" t="s">
        <x:v>333</x:v>
      </x:c>
      <x:c r="G305" s="274" t="s">
        <x:v>153</x:v>
      </x:c>
      <x:c r="I305" s="274" t="n">
        <x:v>0.8</x:v>
      </x:c>
      <x:c r="J305" s="274" t="n">
        <x:v>460</x:v>
      </x:c>
      <x:c r="K305" s="274" t="n">
        <x:v>240</x:v>
      </x:c>
      <x:c r="M305" s="274" t="s">
        <x:v>778</x:v>
      </x:c>
      <x:c r="N305" s="274" t="s">
        <x:v>155</x:v>
      </x:c>
    </x:row>
    <x:row r="306" spans="1:14">
      <x:c r="A306" s="274" t="s">
        <x:v>779</x:v>
      </x:c>
      <x:c r="B306" s="274" t="n">
        <x:v>0.18</x:v>
      </x:c>
      <x:c r="C306" s="274" t="n">
        <x:v>0</x:v>
      </x:c>
      <x:c r="D306" s="274" t="n">
        <x:v>0</x:v>
      </x:c>
      <x:c r="F306" s="274" t="s">
        <x:v>333</x:v>
      </x:c>
      <x:c r="G306" s="274" t="s">
        <x:v>153</x:v>
      </x:c>
      <x:c r="I306" s="274" t="n">
        <x:v>1</x:v>
      </x:c>
      <x:c r="J306" s="274" t="n">
        <x:v>152</x:v>
      </x:c>
      <x:c r="K306" s="274" t="n">
        <x:v>152</x:v>
      </x:c>
      <x:c r="M306" s="274" t="s">
        <x:v>780</x:v>
      </x:c>
      <x:c r="N306" s="274" t="s">
        <x:v>155</x:v>
      </x:c>
    </x:row>
    <x:row r="307" spans="1:14">
      <x:c r="A307" s="274" t="s">
        <x:v>781</x:v>
      </x:c>
      <x:c r="B307" s="274" t="n">
        <x:v>1.25</x:v>
      </x:c>
      <x:c r="C307" s="274" t="n">
        <x:v>0</x:v>
      </x:c>
      <x:c r="D307" s="274" t="n">
        <x:v>0</x:v>
      </x:c>
      <x:c r="F307" s="274" t="s">
        <x:v>333</x:v>
      </x:c>
      <x:c r="G307" s="274" t="s">
        <x:v>153</x:v>
      </x:c>
      <x:c r="I307" s="274" t="n">
        <x:v>1</x:v>
      </x:c>
      <x:c r="J307" s="274" t="n">
        <x:v>133</x:v>
      </x:c>
      <x:c r="K307" s="274" t="n">
        <x:v>1200</x:v>
      </x:c>
      <x:c r="M307" s="274" t="s">
        <x:v>782</x:v>
      </x:c>
    </x:row>
    <x:row r="308" spans="1:14">
      <x:c r="A308" s="274" t="s">
        <x:v>783</x:v>
      </x:c>
      <x:c r="B308" s="274" t="n">
        <x:v>1.64</x:v>
      </x:c>
      <x:c r="C308" s="274" t="n">
        <x:v>0</x:v>
      </x:c>
      <x:c r="D308" s="274" t="n">
        <x:v>45</x:v>
      </x:c>
      <x:c r="E308" s="274" t="n">
        <x:v>0</x:v>
      </x:c>
      <x:c r="F308" s="274" t="s">
        <x:v>333</x:v>
      </x:c>
      <x:c r="G308" s="274" t="s">
        <x:v>124</x:v>
      </x:c>
      <x:c r="I308" s="274" t="n">
        <x:v>1.6</x:v>
      </x:c>
      <x:c r="J308" s="274" t="n">
        <x:v>370</x:v>
      </x:c>
      <x:c r="K308" s="274" t="n">
        <x:v>422</x:v>
      </x:c>
      <x:c r="L308" s="274" t="n">
        <x:v>282</x:v>
      </x:c>
      <x:c r="M308" s="274" t="s">
        <x:v>784</x:v>
      </x:c>
      <x:c r="N308" s="274" t="s">
        <x:v>131</x:v>
      </x:c>
    </x:row>
    <x:row r="309" spans="1:14">
      <x:c r="A309" s="274" t="s">
        <x:v>785</x:v>
      </x:c>
      <x:c r="B309" s="274" t="n">
        <x:v>0.27</x:v>
      </x:c>
      <x:c r="C309" s="274" t="n">
        <x:v>0</x:v>
      </x:c>
      <x:c r="D309" s="274" t="n">
        <x:v>0</x:v>
      </x:c>
      <x:c r="F309" s="274" t="s">
        <x:v>333</x:v>
      </x:c>
      <x:c r="G309" s="274" t="s">
        <x:v>124</x:v>
      </x:c>
      <x:c r="I309" s="274" t="n">
        <x:v>1</x:v>
      </x:c>
      <x:c r="J309" s="274" t="n">
        <x:v>115</x:v>
      </x:c>
      <x:c r="K309" s="274" t="n">
        <x:v>300</x:v>
      </x:c>
      <x:c r="M309" s="274" t="s">
        <x:v>786</x:v>
      </x:c>
      <x:c r="N309" s="274" t="s">
        <x:v>787</x:v>
      </x:c>
    </x:row>
    <x:row r="310" spans="1:14">
      <x:c r="A310" s="274" t="s">
        <x:v>788</x:v>
      </x:c>
      <x:c r="B310" s="274" t="n">
        <x:v>3.57</x:v>
      </x:c>
      <x:c r="C310" s="274" t="n">
        <x:v>0</x:v>
      </x:c>
      <x:c r="D310" s="274" t="n">
        <x:v>0</x:v>
      </x:c>
      <x:c r="F310" s="274" t="s">
        <x:v>133</x:v>
      </x:c>
      <x:c r="G310" s="274" t="s">
        <x:v>134</x:v>
      </x:c>
      <x:c r="I310" s="274" t="n">
        <x:v>3.6</x:v>
      </x:c>
      <x:c r="J310" s="274" t="n">
        <x:v>230</x:v>
      </x:c>
      <x:c r="K310" s="274" t="n">
        <x:v>550</x:v>
      </x:c>
      <x:c r="M310" s="274" t="s">
        <x:v>789</x:v>
      </x:c>
      <x:c r="N310" s="274" t="s">
        <x:v>299</x:v>
      </x:c>
    </x:row>
    <x:row r="311" spans="1:14">
      <x:c r="A311" s="274" t="s">
        <x:v>790</x:v>
      </x:c>
      <x:c r="B311" s="274" t="n">
        <x:v>4.19</x:v>
      </x:c>
      <x:c r="C311" s="274" t="n">
        <x:v>0</x:v>
      </x:c>
      <x:c r="D311" s="274" t="n">
        <x:v>0</x:v>
      </x:c>
      <x:c r="F311" s="274" t="s">
        <x:v>123</x:v>
      </x:c>
      <x:c r="G311" s="274" t="s">
        <x:v>153</x:v>
      </x:c>
      <x:c r="I311" s="274" t="n">
        <x:v>0.8</x:v>
      </x:c>
      <x:c r="J311" s="274" t="n">
        <x:v>1060</x:v>
      </x:c>
      <x:c r="K311" s="274" t="n">
        <x:v>630</x:v>
      </x:c>
      <x:c r="M311" s="274" t="s">
        <x:v>791</x:v>
      </x:c>
      <x:c r="N311" s="274" t="s">
        <x:v>126</x:v>
      </x:c>
    </x:row>
    <x:row r="312" spans="1:14">
      <x:c r="A312" s="274" t="s">
        <x:v>792</x:v>
      </x:c>
      <x:c r="B312" s="274" t="n">
        <x:v>4.13</x:v>
      </x:c>
      <x:c r="C312" s="274" t="n">
        <x:v>0</x:v>
      </x:c>
      <x:c r="D312" s="274" t="n">
        <x:v>0</x:v>
      </x:c>
      <x:c r="E312" s="274" t="n">
        <x:v>40</x:v>
      </x:c>
      <x:c r="F312" s="274" t="s">
        <x:v>123</x:v>
      </x:c>
      <x:c r="G312" s="274" t="s">
        <x:v>153</x:v>
      </x:c>
      <x:c r="I312" s="274" t="n">
        <x:v>0.8</x:v>
      </x:c>
      <x:c r="J312" s="274" t="n">
        <x:v>1060</x:v>
      </x:c>
      <x:c r="K312" s="274" t="n">
        <x:v>620</x:v>
      </x:c>
      <x:c r="M312" s="274" t="s">
        <x:v>793</x:v>
      </x:c>
      <x:c r="N312" s="274" t="s">
        <x:v>126</x:v>
      </x:c>
    </x:row>
    <x:row r="313" spans="1:14">
      <x:c r="A313" s="274" t="s">
        <x:v>794</x:v>
      </x:c>
      <x:c r="B313" s="274" t="n">
        <x:v>1.54</x:v>
      </x:c>
      <x:c r="C313" s="274" t="n">
        <x:v>0</x:v>
      </x:c>
      <x:c r="D313" s="274" t="n">
        <x:v>0</x:v>
      </x:c>
      <x:c r="F313" s="274" t="s">
        <x:v>133</x:v>
      </x:c>
      <x:c r="G313" s="274" t="s">
        <x:v>209</x:v>
      </x:c>
      <x:c r="I313" s="274" t="n">
        <x:v>0.8</x:v>
      </x:c>
      <x:c r="J313" s="274" t="n">
        <x:v>410</x:v>
      </x:c>
      <x:c r="K313" s="274" t="n">
        <x:v>600</x:v>
      </x:c>
      <x:c r="M313" s="274" t="s">
        <x:v>795</x:v>
      </x:c>
      <x:c r="N313" s="274" t="s">
        <x:v>126</x:v>
      </x:c>
    </x:row>
    <x:row r="314" spans="1:14">
      <x:c r="A314" s="274" t="s">
        <x:v>796</x:v>
      </x:c>
      <x:c r="B314" s="274" t="n">
        <x:v>1.19</x:v>
      </x:c>
      <x:c r="C314" s="274" t="n">
        <x:v>0</x:v>
      </x:c>
      <x:c r="D314" s="274" t="n">
        <x:v>0</x:v>
      </x:c>
      <x:c r="F314" s="274" t="s">
        <x:v>133</x:v>
      </x:c>
      <x:c r="G314" s="274" t="s">
        <x:v>134</x:v>
      </x:c>
      <x:c r="I314" s="274" t="n">
        <x:v>1.8</x:v>
      </x:c>
      <x:c r="J314" s="274" t="n">
        <x:v>84</x:v>
      </x:c>
      <x:c r="K314" s="274" t="n">
        <x:v>1000</x:v>
      </x:c>
      <x:c r="M314" s="274" t="s">
        <x:v>797</x:v>
      </x:c>
      <x:c r="N314" s="274" t="s">
        <x:v>229</x:v>
      </x:c>
    </x:row>
    <x:row r="315" spans="1:14">
      <x:c r="A315" s="274" t="s">
        <x:v>798</x:v>
      </x:c>
      <x:c r="B315" s="274" t="n">
        <x:v>2.18</x:v>
      </x:c>
      <x:c r="C315" s="274" t="n">
        <x:v>0</x:v>
      </x:c>
      <x:c r="D315" s="274" t="n">
        <x:v>0</x:v>
      </x:c>
      <x:c r="F315" s="274" t="s">
        <x:v>133</x:v>
      </x:c>
      <x:c r="G315" s="274" t="s">
        <x:v>148</x:v>
      </x:c>
      <x:c r="I315" s="274" t="n">
        <x:v>2</x:v>
      </x:c>
      <x:c r="J315" s="274" t="n">
        <x:v>970</x:v>
      </x:c>
      <x:c r="K315" s="274" t="n">
        <x:v>143</x:v>
      </x:c>
      <x:c r="M315" s="274" t="s">
        <x:v>233</x:v>
      </x:c>
      <x:c r="N315" s="274" t="s">
        <x:v>155</x:v>
      </x:c>
    </x:row>
    <x:row r="316" spans="1:14">
      <x:c r="A316" s="274" t="s">
        <x:v>799</x:v>
      </x:c>
      <x:c r="B316" s="274" t="n">
        <x:v>1.68</x:v>
      </x:c>
      <x:c r="C316" s="274" t="n">
        <x:v>0</x:v>
      </x:c>
      <x:c r="D316" s="274" t="n">
        <x:v>0</x:v>
      </x:c>
      <x:c r="F316" s="274" t="s">
        <x:v>133</x:v>
      </x:c>
      <x:c r="G316" s="274" t="s">
        <x:v>148</x:v>
      </x:c>
      <x:c r="I316" s="274" t="n">
        <x:v>2.3</x:v>
      </x:c>
      <x:c r="J316" s="274" t="n">
        <x:v>178</x:v>
      </x:c>
      <x:c r="K316" s="274" t="n">
        <x:v>524</x:v>
      </x:c>
      <x:c r="M316" s="274" t="s">
        <x:v>800</x:v>
      </x:c>
    </x:row>
    <x:row r="317" spans="1:14">
      <x:c r="A317" s="274" t="s">
        <x:v>801</x:v>
      </x:c>
      <x:c r="B317" s="274" t="n">
        <x:v>7.09</x:v>
      </x:c>
      <x:c r="C317" s="274" t="n">
        <x:v>0</x:v>
      </x:c>
      <x:c r="D317" s="274" t="n">
        <x:v>30</x:v>
      </x:c>
      <x:c r="F317" s="274" t="s">
        <x:v>123</x:v>
      </x:c>
      <x:c r="G317" s="274" t="s">
        <x:v>139</x:v>
      </x:c>
      <x:c r="I317" s="274" t="n">
        <x:v>2.9</x:v>
      </x:c>
      <x:c r="J317" s="274" t="n">
        <x:v>453</x:v>
      </x:c>
      <x:c r="K317" s="274" t="n">
        <x:v>688</x:v>
      </x:c>
      <x:c r="M317" s="274" t="s">
        <x:v>802</x:v>
      </x:c>
      <x:c r="N317" s="274" t="s">
        <x:v>299</x:v>
      </x:c>
    </x:row>
    <x:row r="318" spans="1:14">
      <x:c r="A318" s="274" t="s">
        <x:v>803</x:v>
      </x:c>
      <x:c r="B318" s="274" t="n">
        <x:v>2.26</x:v>
      </x:c>
      <x:c r="C318" s="274" t="n">
        <x:v>0</x:v>
      </x:c>
      <x:c r="D318" s="274" t="n">
        <x:v>0</x:v>
      </x:c>
      <x:c r="F318" s="274" t="s">
        <x:v>133</x:v>
      </x:c>
      <x:c r="G318" s="274" t="s">
        <x:v>134</x:v>
      </x:c>
      <x:c r="I318" s="274" t="n">
        <x:v>2</x:v>
      </x:c>
      <x:c r="J318" s="274" t="n">
        <x:v>115</x:v>
      </x:c>
      <x:c r="K318" s="274" t="n">
        <x:v>1250</x:v>
      </x:c>
      <x:c r="M318" s="274" t="s">
        <x:v>804</x:v>
      </x:c>
      <x:c r="N318" s="274" t="s">
        <x:v>131</x:v>
      </x:c>
    </x:row>
    <x:row r="319" spans="1:14">
      <x:c r="A319" s="274" t="s">
        <x:v>805</x:v>
      </x:c>
      <x:c r="B319" s="274" t="n">
        <x:v>0.31</x:v>
      </x:c>
      <x:c r="C319" s="274" t="n">
        <x:v>0</x:v>
      </x:c>
      <x:c r="D319" s="274" t="n">
        <x:v>0</x:v>
      </x:c>
      <x:c r="F319" s="274" t="s">
        <x:v>133</x:v>
      </x:c>
      <x:c r="G319" s="274" t="s">
        <x:v>136</x:v>
      </x:c>
      <x:c r="H319" s="274" t="n">
        <x:v>45</x:v>
      </x:c>
      <x:c r="I319" s="274" t="n">
        <x:v>0.6</x:v>
      </x:c>
      <x:c r="J319" s="274" t="n">
        <x:v>70</x:v>
      </x:c>
      <x:c r="K319" s="274" t="n">
        <x:v>930</x:v>
      </x:c>
      <x:c r="M319" s="274" t="s">
        <x:v>806</x:v>
      </x:c>
      <x:c r="N319" s="274" t="s">
        <x:v>807</x:v>
      </x:c>
    </x:row>
    <x:row r="320" spans="1:14">
      <x:c r="A320" s="274" t="s">
        <x:v>808</x:v>
      </x:c>
      <x:c r="B320" s="274" t="n">
        <x:v>0.41</x:v>
      </x:c>
      <x:c r="C320" s="274" t="n">
        <x:v>0</x:v>
      </x:c>
      <x:c r="D320" s="274" t="n">
        <x:v>0</x:v>
      </x:c>
      <x:c r="F320" s="274" t="s">
        <x:v>133</x:v>
      </x:c>
      <x:c r="G320" s="274" t="s">
        <x:v>136</x:v>
      </x:c>
      <x:c r="H320" s="274" t="n">
        <x:v>45</x:v>
      </x:c>
      <x:c r="I320" s="274" t="n">
        <x:v>0.6</x:v>
      </x:c>
      <x:c r="J320" s="274" t="n">
        <x:v>85</x:v>
      </x:c>
      <x:c r="K320" s="274" t="n">
        <x:v>1015</x:v>
      </x:c>
      <x:c r="M320" s="274" t="s">
        <x:v>809</x:v>
      </x:c>
    </x:row>
    <x:row r="321" spans="1:14">
      <x:c r="A321" s="274" t="s">
        <x:v>810</x:v>
      </x:c>
      <x:c r="B321" s="274" t="n">
        <x:v>0.44</x:v>
      </x:c>
      <x:c r="C321" s="274" t="n">
        <x:v>0</x:v>
      </x:c>
      <x:c r="D321" s="274" t="n">
        <x:v>0</x:v>
      </x:c>
      <x:c r="F321" s="274" t="s">
        <x:v>133</x:v>
      </x:c>
      <x:c r="G321" s="274" t="s">
        <x:v>134</x:v>
      </x:c>
      <x:c r="I321" s="274" t="n">
        <x:v>1.6</x:v>
      </x:c>
      <x:c r="J321" s="274" t="n">
        <x:v>140</x:v>
      </x:c>
      <x:c r="K321" s="274" t="n">
        <x:v>250</x:v>
      </x:c>
      <x:c r="N321" s="274" t="s">
        <x:v>126</x:v>
      </x:c>
    </x:row>
    <x:row r="322" spans="1:14">
      <x:c r="A322" s="274" t="s">
        <x:v>811</x:v>
      </x:c>
      <x:c r="B322" s="274" t="n">
        <x:v>1.69</x:v>
      </x:c>
      <x:c r="C322" s="274" t="n">
        <x:v>0</x:v>
      </x:c>
      <x:c r="D322" s="274" t="n">
        <x:v>35</x:v>
      </x:c>
      <x:c r="E322" s="274" t="n">
        <x:v>33</x:v>
      </x:c>
      <x:c r="F322" s="274" t="s">
        <x:v>133</x:v>
      </x:c>
      <x:c r="G322" s="274" t="s">
        <x:v>134</x:v>
      </x:c>
      <x:c r="I322" s="274" t="n">
        <x:v>2.9</x:v>
      </x:c>
      <x:c r="J322" s="274" t="n">
        <x:v>167</x:v>
      </x:c>
      <x:c r="K322" s="274" t="n">
        <x:v>445</x:v>
      </x:c>
      <x:c r="M322" s="274" t="s">
        <x:v>180</x:v>
      </x:c>
      <x:c r="N322" s="274" t="s">
        <x:v>126</x:v>
      </x:c>
    </x:row>
    <x:row r="323" spans="1:14">
      <x:c r="A323" s="274" t="s">
        <x:v>812</x:v>
      </x:c>
      <x:c r="B323" s="274" t="n">
        <x:v>1</x:v>
      </x:c>
      <x:c r="C323" s="274" t="n">
        <x:v>23</x:v>
      </x:c>
      <x:c r="D323" s="274" t="n">
        <x:v>35</x:v>
      </x:c>
      <x:c r="E323" s="274" t="n">
        <x:v>30</x:v>
      </x:c>
      <x:c r="F323" s="274" t="s">
        <x:v>133</x:v>
      </x:c>
      <x:c r="G323" s="274" t="s">
        <x:v>136</x:v>
      </x:c>
      <x:c r="H323" s="274" t="n">
        <x:v>45</x:v>
      </x:c>
      <x:c r="I323" s="274" t="n">
        <x:v>0.75</x:v>
      </x:c>
      <x:c r="J323" s="274" t="n">
        <x:v>272</x:v>
      </x:c>
      <x:c r="K323" s="274" t="n">
        <x:v>612</x:v>
      </x:c>
      <x:c r="M323" s="274" t="s">
        <x:v>315</x:v>
      </x:c>
    </x:row>
    <x:row r="324" spans="1:14">
      <x:c r="A324" s="274" t="s">
        <x:v>813</x:v>
      </x:c>
      <x:c r="B324" s="274" t="n">
        <x:v>0.63</x:v>
      </x:c>
      <x:c r="C324" s="274" t="n">
        <x:v>28</x:v>
      </x:c>
      <x:c r="D324" s="274" t="n">
        <x:v>35</x:v>
      </x:c>
      <x:c r="E324" s="274" t="n">
        <x:v>33</x:v>
      </x:c>
      <x:c r="F324" s="274" t="s">
        <x:v>133</x:v>
      </x:c>
      <x:c r="G324" s="274" t="s">
        <x:v>136</x:v>
      </x:c>
      <x:c r="H324" s="274" t="n">
        <x:v>45</x:v>
      </x:c>
      <x:c r="I324" s="274" t="n">
        <x:v>1</x:v>
      </x:c>
      <x:c r="J324" s="274" t="n">
        <x:v>396</x:v>
      </x:c>
      <x:c r="K324" s="274" t="n">
        <x:v>200</x:v>
      </x:c>
      <x:c r="M324" s="274" t="s">
        <x:v>814</x:v>
      </x:c>
      <x:c r="N324" s="274" t="s">
        <x:v>299</x:v>
      </x:c>
    </x:row>
    <x:row r="325" spans="1:14">
      <x:c r="A325" s="274" t="s">
        <x:v>815</x:v>
      </x:c>
      <x:c r="B325" s="274" t="n">
        <x:v>2.3</x:v>
      </x:c>
      <x:c r="C325" s="274" t="n">
        <x:v>0</x:v>
      </x:c>
      <x:c r="D325" s="274" t="n">
        <x:v>35</x:v>
      </x:c>
      <x:c r="E325" s="274" t="n">
        <x:v>33</x:v>
      </x:c>
      <x:c r="F325" s="274" t="s">
        <x:v>184</x:v>
      </x:c>
      <x:c r="G325" s="274" t="s">
        <x:v>129</x:v>
      </x:c>
      <x:c r="H325" s="274" t="n">
        <x:v>45</x:v>
      </x:c>
      <x:c r="I325" s="274" t="n">
        <x:v>1.2</x:v>
      </x:c>
      <x:c r="J325" s="274" t="n">
        <x:v>550</x:v>
      </x:c>
      <x:c r="K325" s="274" t="n">
        <x:v>440</x:v>
      </x:c>
      <x:c r="M325" s="274" t="s">
        <x:v>327</x:v>
      </x:c>
    </x:row>
    <x:row r="326" spans="1:14">
      <x:c r="A326" s="274" t="s">
        <x:v>816</x:v>
      </x:c>
      <x:c r="B326" s="274" t="n">
        <x:v>1.02</x:v>
      </x:c>
      <x:c r="C326" s="274" t="n">
        <x:v>0</x:v>
      </x:c>
      <x:c r="D326" s="274" t="n">
        <x:v>35</x:v>
      </x:c>
      <x:c r="E326" s="274" t="n">
        <x:v>33</x:v>
      </x:c>
      <x:c r="F326" s="274" t="s">
        <x:v>133</x:v>
      </x:c>
      <x:c r="G326" s="274" t="s">
        <x:v>134</x:v>
      </x:c>
      <x:c r="I326" s="274" t="n">
        <x:v>3.2</x:v>
      </x:c>
      <x:c r="J326" s="274" t="n">
        <x:v>135</x:v>
      </x:c>
      <x:c r="K326" s="274" t="n">
        <x:v>300</x:v>
      </x:c>
      <x:c r="M326" s="274" t="s">
        <x:v>817</x:v>
      </x:c>
      <x:c r="N326" s="274" t="s">
        <x:v>299</x:v>
      </x:c>
    </x:row>
    <x:row r="327" spans="1:14">
      <x:c r="A327" s="274" t="s">
        <x:v>818</x:v>
      </x:c>
      <x:c r="B327" s="274" t="n">
        <x:v>1.71</x:v>
      </x:c>
      <x:c r="C327" s="274" t="n">
        <x:v>0</x:v>
      </x:c>
      <x:c r="D327" s="274" t="n">
        <x:v>35</x:v>
      </x:c>
      <x:c r="E327" s="274" t="n">
        <x:v>33</x:v>
      </x:c>
      <x:c r="F327" s="274" t="s">
        <x:v>133</x:v>
      </x:c>
      <x:c r="G327" s="274" t="s">
        <x:v>134</x:v>
      </x:c>
      <x:c r="I327" s="274" t="n">
        <x:v>2.6</x:v>
      </x:c>
      <x:c r="J327" s="274" t="n">
        <x:v>166</x:v>
      </x:c>
      <x:c r="K327" s="274" t="n">
        <x:v>504</x:v>
      </x:c>
      <x:c r="M327" s="274" t="s">
        <x:v>598</x:v>
      </x:c>
    </x:row>
    <x:row r="328" spans="1:14">
      <x:c r="A328" s="274" t="s">
        <x:v>819</x:v>
      </x:c>
      <x:c r="B328" s="274" t="n">
        <x:v>2.07</x:v>
      </x:c>
      <x:c r="C328" s="274" t="n">
        <x:v>0</x:v>
      </x:c>
      <x:c r="D328" s="274" t="n">
        <x:v>0</x:v>
      </x:c>
      <x:c r="F328" s="274" t="s">
        <x:v>333</x:v>
      </x:c>
      <x:c r="G328" s="274" t="s">
        <x:v>209</x:v>
      </x:c>
      <x:c r="I328" s="274" t="n">
        <x:v>1.4</x:v>
      </x:c>
      <x:c r="J328" s="274" t="n">
        <x:v>155</x:v>
      </x:c>
      <x:c r="K328" s="274" t="n">
        <x:v>1215</x:v>
      </x:c>
      <x:c r="M328" s="274" t="s">
        <x:v>820</x:v>
      </x:c>
      <x:c r="N328" s="274" t="s">
        <x:v>229</x:v>
      </x:c>
    </x:row>
    <x:row r="329" spans="1:14">
      <x:c r="A329" s="274" t="s">
        <x:v>821</x:v>
      </x:c>
      <x:c r="B329" s="274" t="n">
        <x:v>1.66</x:v>
      </x:c>
      <x:c r="C329" s="274" t="n">
        <x:v>0</x:v>
      </x:c>
      <x:c r="D329" s="274" t="n">
        <x:v>0</x:v>
      </x:c>
      <x:c r="F329" s="274" t="s">
        <x:v>333</x:v>
      </x:c>
      <x:c r="G329" s="274" t="s">
        <x:v>209</x:v>
      </x:c>
      <x:c r="I329" s="274" t="n">
        <x:v>1.2</x:v>
      </x:c>
      <x:c r="J329" s="274" t="n">
        <x:v>145</x:v>
      </x:c>
      <x:c r="K329" s="274" t="n">
        <x:v>1215</x:v>
      </x:c>
      <x:c r="M329" s="274" t="s">
        <x:v>822</x:v>
      </x:c>
      <x:c r="N329" s="274" t="s">
        <x:v>229</x:v>
      </x:c>
    </x:row>
    <x:row r="330" spans="1:14">
      <x:c r="A330" s="274" t="s">
        <x:v>823</x:v>
      </x:c>
      <x:c r="B330" s="274" t="n">
        <x:v>1.93</x:v>
      </x:c>
      <x:c r="C330" s="274" t="n">
        <x:v>0</x:v>
      </x:c>
      <x:c r="D330" s="274" t="n">
        <x:v>35</x:v>
      </x:c>
      <x:c r="E330" s="274" t="n">
        <x:v>33</x:v>
      </x:c>
      <x:c r="F330" s="274" t="s">
        <x:v>133</x:v>
      </x:c>
      <x:c r="G330" s="274" t="s">
        <x:v>134</x:v>
      </x:c>
      <x:c r="I330" s="274" t="n">
        <x:v>3.2</x:v>
      </x:c>
      <x:c r="J330" s="274" t="n">
        <x:v>128</x:v>
      </x:c>
      <x:c r="K330" s="274" t="n">
        <x:v>600</x:v>
      </x:c>
      <x:c r="M330" s="274" t="s">
        <x:v>824</x:v>
      </x:c>
      <x:c r="N330" s="274" t="s">
        <x:v>131</x:v>
      </x:c>
    </x:row>
    <x:row r="331" spans="1:14">
      <x:c r="A331" s="274" t="s">
        <x:v>825</x:v>
      </x:c>
      <x:c r="B331" s="274" t="n">
        <x:v>3.79</x:v>
      </x:c>
      <x:c r="C331" s="274" t="n">
        <x:v>0</x:v>
      </x:c>
      <x:c r="D331" s="274" t="n">
        <x:v>0</x:v>
      </x:c>
      <x:c r="F331" s="274" t="s">
        <x:v>133</x:v>
      </x:c>
      <x:c r="G331" s="274" t="s">
        <x:v>134</x:v>
      </x:c>
      <x:c r="I331" s="274" t="n">
        <x:v>2.9</x:v>
      </x:c>
      <x:c r="J331" s="274" t="n">
        <x:v>1057</x:v>
      </x:c>
      <x:c r="K331" s="274" t="n">
        <x:v>157.5</x:v>
      </x:c>
      <x:c r="M331" s="274" t="s">
        <x:v>826</x:v>
      </x:c>
      <x:c r="N331" s="274" t="s">
        <x:v>126</x:v>
      </x:c>
    </x:row>
    <x:row r="332" spans="1:14">
      <x:c r="A332" s="274" t="s">
        <x:v>827</x:v>
      </x:c>
      <x:c r="B332" s="274" t="n">
        <x:v>2.32</x:v>
      </x:c>
      <x:c r="C332" s="274" t="n">
        <x:v>0</x:v>
      </x:c>
      <x:c r="D332" s="274" t="n">
        <x:v>35</x:v>
      </x:c>
      <x:c r="E332" s="274" t="n">
        <x:v>30</x:v>
      </x:c>
      <x:c r="F332" s="274" t="s">
        <x:v>311</x:v>
      </x:c>
      <x:c r="G332" s="274" t="s">
        <x:v>828</x:v>
      </x:c>
      <x:c r="H332" s="274" t="s">
        <x:v>829</x:v>
      </x:c>
      <x:c r="I332" s="274" t="n">
        <x:v>0.8</x:v>
      </x:c>
      <x:c r="J332" s="274" t="n">
        <x:v>575</x:v>
      </x:c>
      <x:c r="K332" s="274" t="n">
        <x:v>640</x:v>
      </x:c>
      <x:c r="M332" s="274" t="s">
        <x:v>830</x:v>
      </x:c>
      <x:c r="N332" s="274" t="s">
        <x:v>831</x:v>
      </x:c>
    </x:row>
    <x:row r="333" spans="1:14">
      <x:c r="A333" s="274" t="s">
        <x:v>832</x:v>
      </x:c>
      <x:c r="B333" s="274" t="n">
        <x:v>2.3</x:v>
      </x:c>
      <x:c r="C333" s="274" t="n">
        <x:v>0</x:v>
      </x:c>
      <x:c r="D333" s="274" t="n">
        <x:v>36</x:v>
      </x:c>
      <x:c r="E333" s="274" t="n">
        <x:v>30</x:v>
      </x:c>
      <x:c r="F333" s="274" t="s">
        <x:v>833</x:v>
      </x:c>
      <x:c r="G333" s="274" t="s">
        <x:v>834</x:v>
      </x:c>
      <x:c r="H333" s="274" t="s">
        <x:v>829</x:v>
      </x:c>
      <x:c r="I333" s="274" t="n">
        <x:v>0.8</x:v>
      </x:c>
      <x:c r="J333" s="274" t="n">
        <x:v>565</x:v>
      </x:c>
      <x:c r="K333" s="274" t="n">
        <x:v>645</x:v>
      </x:c>
      <x:c r="M333" s="274" t="s">
        <x:v>835</x:v>
      </x:c>
      <x:c r="N333" s="274" t="s">
        <x:v>831</x:v>
      </x:c>
    </x:row>
    <x:row r="334" spans="1:14">
      <x:c r="A334" s="274" t="s">
        <x:v>836</x:v>
      </x:c>
      <x:c r="B334" s="274" t="n">
        <x:v>2.51</x:v>
      </x:c>
      <x:c r="C334" s="274" t="n">
        <x:v>0</x:v>
      </x:c>
      <x:c r="D334" s="274" t="n">
        <x:v>36</x:v>
      </x:c>
      <x:c r="E334" s="274" t="n">
        <x:v>33</x:v>
      </x:c>
      <x:c r="F334" s="274" t="s">
        <x:v>833</x:v>
      </x:c>
      <x:c r="G334" s="274" t="s">
        <x:v>834</x:v>
      </x:c>
      <x:c r="H334" s="274" t="s">
        <x:v>837</x:v>
      </x:c>
      <x:c r="I334" s="274" t="n">
        <x:v>0.8</x:v>
      </x:c>
      <x:c r="J334" s="274" t="n">
        <x:v>520</x:v>
      </x:c>
      <x:c r="K334" s="274" t="n">
        <x:v>765</x:v>
      </x:c>
      <x:c r="M334" s="274" t="s">
        <x:v>838</x:v>
      </x:c>
      <x:c r="N334" s="274" t="s">
        <x:v>831</x:v>
      </x:c>
    </x:row>
    <x:row r="335" spans="1:14">
      <x:c r="A335" s="274" t="s">
        <x:v>839</x:v>
      </x:c>
      <x:c r="B335" s="274" t="n">
        <x:v>2.03</x:v>
      </x:c>
      <x:c r="C335" s="274" t="n">
        <x:v>0</x:v>
      </x:c>
      <x:c r="D335" s="274" t="n">
        <x:v>0</x:v>
      </x:c>
      <x:c r="F335" s="274" t="s">
        <x:v>133</x:v>
      </x:c>
      <x:c r="G335" s="274" t="s">
        <x:v>134</x:v>
      </x:c>
      <x:c r="I335" s="274" t="n">
        <x:v>2</x:v>
      </x:c>
      <x:c r="J335" s="274" t="n">
        <x:v>119</x:v>
      </x:c>
      <x:c r="K335" s="274" t="n">
        <x:v>1085</x:v>
      </x:c>
      <x:c r="M335" s="274" t="s">
        <x:v>840</x:v>
      </x:c>
    </x:row>
    <x:row r="336" spans="1:14">
      <x:c r="A336" s="274" t="s">
        <x:v>841</x:v>
      </x:c>
      <x:c r="B336" s="274" t="n">
        <x:v>1.05</x:v>
      </x:c>
      <x:c r="C336" s="274" t="n">
        <x:v>0</x:v>
      </x:c>
      <x:c r="D336" s="274" t="n">
        <x:v>0</x:v>
      </x:c>
      <x:c r="F336" s="274" t="s">
        <x:v>133</x:v>
      </x:c>
      <x:c r="G336" s="274" t="s">
        <x:v>136</x:v>
      </x:c>
      <x:c r="H336" s="274" t="n">
        <x:v>45</x:v>
      </x:c>
      <x:c r="I336" s="274" t="n">
        <x:v>1.6</x:v>
      </x:c>
      <x:c r="J336" s="274" t="n">
        <x:v>118</x:v>
      </x:c>
      <x:c r="K336" s="274" t="n">
        <x:v>705</x:v>
      </x:c>
      <x:c r="M336" s="274" t="s">
        <x:v>842</x:v>
      </x:c>
      <x:c r="N336" s="274" t="s">
        <x:v>421</x:v>
      </x:c>
    </x:row>
    <x:row r="337" spans="1:14">
      <x:c r="A337" s="274" t="s">
        <x:v>843</x:v>
      </x:c>
      <x:c r="B337" s="274" t="n">
        <x:v>6.45</x:v>
      </x:c>
      <x:c r="C337" s="274" t="n">
        <x:v>49</x:v>
      </x:c>
      <x:c r="D337" s="274" t="n">
        <x:v>40</x:v>
      </x:c>
      <x:c r="E337" s="274" t="n">
        <x:v>40</x:v>
      </x:c>
      <x:c r="F337" s="274" t="s">
        <x:v>333</x:v>
      </x:c>
      <x:c r="G337" s="274" t="s">
        <x:v>124</x:v>
      </x:c>
      <x:c r="I337" s="274" t="n">
        <x:v>1.6</x:v>
      </x:c>
      <x:c r="J337" s="274" t="n">
        <x:v>905</x:v>
      </x:c>
      <x:c r="K337" s="274" t="n">
        <x:v>655</x:v>
      </x:c>
      <x:c r="L337" s="274" t="n">
        <x:v>480</x:v>
      </x:c>
      <x:c r="M337" s="274" t="s">
        <x:v>844</x:v>
      </x:c>
      <x:c r="N337" s="274" t="s">
        <x:v>162</x:v>
      </x:c>
    </x:row>
    <x:row r="338" spans="1:14">
      <x:c r="A338" s="274" t="s">
        <x:v>845</x:v>
      </x:c>
      <x:c r="B338" s="274" t="n">
        <x:v>47.88</x:v>
      </x:c>
      <x:c r="C338" s="274" t="n">
        <x:v>0</x:v>
      </x:c>
      <x:c r="D338" s="274" t="n">
        <x:v>30</x:v>
      </x:c>
      <x:c r="E338" s="274" t="n">
        <x:v>19</x:v>
      </x:c>
      <x:c r="F338" s="274" t="s">
        <x:v>133</x:v>
      </x:c>
      <x:c r="G338" s="274" t="s">
        <x:v>148</x:v>
      </x:c>
      <x:c r="I338" s="274" t="n">
        <x:v>2.6</x:v>
      </x:c>
      <x:c r="J338" s="274" t="n">
        <x:v>1075</x:v>
      </x:c>
      <x:c r="K338" s="274" t="n">
        <x:v>2182</x:v>
      </x:c>
      <x:c r="M338" s="274" t="s">
        <x:v>846</x:v>
      </x:c>
      <x:c r="N338" s="274" t="s">
        <x:v>847</x:v>
      </x:c>
    </x:row>
    <x:row r="339" spans="1:14">
      <x:c r="A339" s="274" t="s">
        <x:v>848</x:v>
      </x:c>
      <x:c r="B339" s="274" t="n">
        <x:v>8.37</x:v>
      </x:c>
      <x:c r="C339" s="274" t="n">
        <x:v>0</x:v>
      </x:c>
      <x:c r="D339" s="274" t="n">
        <x:v>0</x:v>
      </x:c>
      <x:c r="F339" s="274" t="s">
        <x:v>133</x:v>
      </x:c>
      <x:c r="G339" s="274" t="s">
        <x:v>134</x:v>
      </x:c>
      <x:c r="I339" s="274" t="n">
        <x:v>3.2</x:v>
      </x:c>
      <x:c r="J339" s="274" t="n">
        <x:v>995</x:v>
      </x:c>
      <x:c r="K339" s="274" t="n">
        <x:v>335</x:v>
      </x:c>
      <x:c r="M339" s="274" t="s">
        <x:v>849</x:v>
      </x:c>
      <x:c r="N339" s="274" t="s">
        <x:v>126</x:v>
      </x:c>
    </x:row>
    <x:row r="340" spans="1:14">
      <x:c r="A340" s="274" t="s">
        <x:v>850</x:v>
      </x:c>
      <x:c r="B340" s="274" t="n">
        <x:v>3.02</x:v>
      </x:c>
      <x:c r="C340" s="274" t="n">
        <x:v>0</x:v>
      </x:c>
      <x:c r="D340" s="274" t="n">
        <x:v>0</x:v>
      </x:c>
      <x:c r="F340" s="274" t="s">
        <x:v>133</x:v>
      </x:c>
      <x:c r="G340" s="274" t="s">
        <x:v>124</x:v>
      </x:c>
      <x:c r="I340" s="274" t="n">
        <x:v>1.6</x:v>
      </x:c>
      <x:c r="J340" s="274" t="n">
        <x:v>1240</x:v>
      </x:c>
      <x:c r="K340" s="274" t="n">
        <x:v>194</x:v>
      </x:c>
      <x:c r="M340" s="274" t="s">
        <x:v>851</x:v>
      </x:c>
      <x:c r="N340" s="274" t="s">
        <x:v>155</x:v>
      </x:c>
    </x:row>
    <x:row r="341" spans="1:14">
      <x:c r="A341" s="274" t="s">
        <x:v>852</x:v>
      </x:c>
      <x:c r="B341" s="274" t="n">
        <x:v>0.88</x:v>
      </x:c>
      <x:c r="C341" s="274" t="n">
        <x:v>0</x:v>
      </x:c>
      <x:c r="D341" s="274" t="n">
        <x:v>35</x:v>
      </x:c>
      <x:c r="E341" s="274" t="n">
        <x:v>33</x:v>
      </x:c>
      <x:c r="F341" s="274" t="s">
        <x:v>133</x:v>
      </x:c>
      <x:c r="G341" s="274" t="s">
        <x:v>144</x:v>
      </x:c>
      <x:c r="H341" s="274" t="n">
        <x:v>45</x:v>
      </x:c>
      <x:c r="I341" s="274" t="n">
        <x:v>1.6</x:v>
      </x:c>
      <x:c r="J341" s="274" t="n">
        <x:v>420</x:v>
      </x:c>
      <x:c r="K341" s="274" t="n">
        <x:v>165</x:v>
      </x:c>
      <x:c r="M341" s="274" t="s">
        <x:v>853</x:v>
      </x:c>
      <x:c r="N341" s="274" t="s">
        <x:v>155</x:v>
      </x:c>
    </x:row>
    <x:row r="342" spans="1:14">
      <x:c r="A342" s="274" t="s">
        <x:v>854</x:v>
      </x:c>
      <x:c r="B342" s="274" t="n">
        <x:v>1.46</x:v>
      </x:c>
      <x:c r="C342" s="274" t="n">
        <x:v>0</x:v>
      </x:c>
      <x:c r="D342" s="274" t="n">
        <x:v>0</x:v>
      </x:c>
      <x:c r="F342" s="274" t="s">
        <x:v>123</x:v>
      </x:c>
      <x:c r="G342" s="274" t="s">
        <x:v>153</x:v>
      </x:c>
      <x:c r="I342" s="274" t="n">
        <x:v>0.75</x:v>
      </x:c>
      <x:c r="J342" s="274" t="n">
        <x:v>1019</x:v>
      </x:c>
      <x:c r="K342" s="274" t="n">
        <x:v>244</x:v>
      </x:c>
      <x:c r="M342" s="274" t="s">
        <x:v>855</x:v>
      </x:c>
      <x:c r="N342" s="274" t="s">
        <x:v>155</x:v>
      </x:c>
    </x:row>
    <x:row r="343" spans="1:14">
      <x:c r="A343" s="274" t="s">
        <x:v>856</x:v>
      </x:c>
      <x:c r="B343" s="274" t="n">
        <x:v>2.44</x:v>
      </x:c>
      <x:c r="C343" s="274" t="n">
        <x:v>0</x:v>
      </x:c>
      <x:c r="D343" s="274" t="n">
        <x:v>0</x:v>
      </x:c>
      <x:c r="F343" s="274" t="s">
        <x:v>133</x:v>
      </x:c>
      <x:c r="G343" s="274" t="s">
        <x:v>134</x:v>
      </x:c>
      <x:c r="I343" s="274" t="n">
        <x:v>2</x:v>
      </x:c>
      <x:c r="J343" s="274" t="n">
        <x:v>679</x:v>
      </x:c>
      <x:c r="K343" s="274" t="n">
        <x:v>229</x:v>
      </x:c>
      <x:c r="M343" s="274" t="s">
        <x:v>857</x:v>
      </x:c>
      <x:c r="N343" s="274" t="s">
        <x:v>155</x:v>
      </x:c>
    </x:row>
    <x:row r="344" spans="1:14">
      <x:c r="A344" s="274" t="s">
        <x:v>858</x:v>
      </x:c>
      <x:c r="B344" s="274" t="n">
        <x:v>0.67</x:v>
      </x:c>
      <x:c r="C344" s="274" t="n">
        <x:v>0</x:v>
      </x:c>
      <x:c r="D344" s="274" t="n">
        <x:v>0</x:v>
      </x:c>
      <x:c r="F344" s="274" t="s">
        <x:v>133</x:v>
      </x:c>
      <x:c r="G344" s="274" t="s">
        <x:v>144</x:v>
      </x:c>
      <x:c r="H344" s="274" t="n">
        <x:v>45</x:v>
      </x:c>
      <x:c r="I344" s="274" t="n">
        <x:v>1</x:v>
      </x:c>
      <x:c r="J344" s="274" t="n">
        <x:v>265</x:v>
      </x:c>
      <x:c r="K344" s="274" t="n">
        <x:v>320</x:v>
      </x:c>
      <x:c r="M344" s="274" t="s">
        <x:v>859</x:v>
      </x:c>
      <x:c r="N344" s="274" t="s">
        <x:v>441</x:v>
      </x:c>
    </x:row>
    <x:row r="345" spans="1:14">
      <x:c r="A345" s="274" t="s">
        <x:v>860</x:v>
      </x:c>
      <x:c r="B345" s="274" t="n">
        <x:v>1.2</x:v>
      </x:c>
      <x:c r="C345" s="274" t="n">
        <x:v>0</x:v>
      </x:c>
      <x:c r="D345" s="274" t="n">
        <x:v>35</x:v>
      </x:c>
      <x:c r="E345" s="274" t="n">
        <x:v>33</x:v>
      </x:c>
      <x:c r="F345" s="274" t="s">
        <x:v>128</x:v>
      </x:c>
      <x:c r="G345" s="274" t="s">
        <x:v>177</x:v>
      </x:c>
      <x:c r="H345" s="274" t="n">
        <x:v>45</x:v>
      </x:c>
      <x:c r="I345" s="274" t="n">
        <x:v>2</x:v>
      </x:c>
      <x:c r="J345" s="274" t="n">
        <x:v>155</x:v>
      </x:c>
      <x:c r="K345" s="274" t="n">
        <x:v>490</x:v>
      </x:c>
      <x:c r="M345" s="274" t="s">
        <x:v>178</x:v>
      </x:c>
      <x:c r="N345" s="274" t="s">
        <x:v>155</x:v>
      </x:c>
    </x:row>
    <x:row r="346" spans="1:14">
      <x:c r="A346" s="274" t="s">
        <x:v>861</x:v>
      </x:c>
      <x:c r="B346" s="274" t="n">
        <x:v>2.43</x:v>
      </x:c>
      <x:c r="C346" s="274" t="n">
        <x:v>0</x:v>
      </x:c>
      <x:c r="D346" s="274" t="n">
        <x:v>0</x:v>
      </x:c>
      <x:c r="F346" s="274" t="s">
        <x:v>133</x:v>
      </x:c>
      <x:c r="G346" s="274" t="s">
        <x:v>134</x:v>
      </x:c>
      <x:c r="I346" s="274" t="n">
        <x:v>2.8</x:v>
      </x:c>
      <x:c r="J346" s="274" t="n">
        <x:v>98.5</x:v>
      </x:c>
      <x:c r="K346" s="274" t="n">
        <x:v>1123</x:v>
      </x:c>
      <x:c r="M346" s="274" t="s">
        <x:v>862</x:v>
      </x:c>
      <x:c r="N346" s="274" t="s">
        <x:v>162</x:v>
      </x:c>
    </x:row>
    <x:row r="347" spans="1:14">
      <x:c r="A347" s="274" t="s">
        <x:v>863</x:v>
      </x:c>
      <x:c r="B347" s="274" t="n">
        <x:v>63.19</x:v>
      </x:c>
      <x:c r="C347" s="274" t="n">
        <x:v>0</x:v>
      </x:c>
      <x:c r="D347" s="274" t="n">
        <x:v>0</x:v>
      </x:c>
      <x:c r="F347" s="274" t="s">
        <x:v>123</x:v>
      </x:c>
      <x:c r="G347" s="274" t="s">
        <x:v>864</x:v>
      </x:c>
      <x:c r="I347" s="274" t="n">
        <x:v>3.15</x:v>
      </x:c>
      <x:c r="J347" s="274" t="n">
        <x:v>1250</x:v>
      </x:c>
      <x:c r="K347" s="274" t="n">
        <x:v>2000</x:v>
      </x:c>
      <x:c r="M347" s="274" t="s">
        <x:v>865</x:v>
      </x:c>
    </x:row>
    <x:row r="348" spans="1:14">
      <x:c r="A348" s="274" t="s">
        <x:v>866</x:v>
      </x:c>
      <x:c r="B348" s="274" t="n">
        <x:v>3.62</x:v>
      </x:c>
      <x:c r="C348" s="274" t="n">
        <x:v>0</x:v>
      </x:c>
      <x:c r="D348" s="274" t="n">
        <x:v>0</x:v>
      </x:c>
      <x:c r="F348" s="274" t="s">
        <x:v>133</x:v>
      </x:c>
      <x:c r="G348" s="274" t="s">
        <x:v>136</x:v>
      </x:c>
      <x:c r="H348" s="274" t="n">
        <x:v>45</x:v>
      </x:c>
      <x:c r="I348" s="274" t="n">
        <x:v>0.7</x:v>
      </x:c>
      <x:c r="J348" s="274" t="n">
        <x:v>400</x:v>
      </x:c>
      <x:c r="K348" s="274" t="n">
        <x:v>1620</x:v>
      </x:c>
      <x:c r="M348" s="274" t="s">
        <x:v>867</x:v>
      </x:c>
      <x:c r="N348" s="274" t="s">
        <x:v>155</x:v>
      </x:c>
    </x:row>
    <x:row r="349" spans="1:14">
      <x:c r="A349" s="274" t="s">
        <x:v>868</x:v>
      </x:c>
      <x:c r="B349" s="274" t="n">
        <x:v>6.92</x:v>
      </x:c>
      <x:c r="C349" s="274" t="n">
        <x:v>0</x:v>
      </x:c>
      <x:c r="D349" s="274" t="n">
        <x:v>0</x:v>
      </x:c>
      <x:c r="E349" s="274" t="n">
        <x:v>0</x:v>
      </x:c>
      <x:c r="F349" s="274" t="s">
        <x:v>123</x:v>
      </x:c>
      <x:c r="G349" s="274" t="s">
        <x:v>284</x:v>
      </x:c>
      <x:c r="H349" s="274" t="n">
        <x:v>45</x:v>
      </x:c>
      <x:c r="I349" s="274" t="n">
        <x:v>0.55</x:v>
      </x:c>
      <x:c r="J349" s="274" t="n">
        <x:v>1561</x:v>
      </x:c>
      <x:c r="K349" s="274" t="n">
        <x:v>1005</x:v>
      </x:c>
      <x:c r="M349" s="274" t="s">
        <x:v>869</x:v>
      </x:c>
      <x:c r="N349" s="274" t="s">
        <x:v>870</x:v>
      </x:c>
    </x:row>
    <x:row r="350" spans="1:14">
      <x:c r="A350" s="274" t="s">
        <x:v>871</x:v>
      </x:c>
      <x:c r="B350" s="274" t="n">
        <x:v>5.06</x:v>
      </x:c>
      <x:c r="C350" s="274" t="n">
        <x:v>24</x:v>
      </x:c>
      <x:c r="D350" s="274" t="n">
        <x:v>48</x:v>
      </x:c>
      <x:c r="E350" s="274" t="n">
        <x:v>40</x:v>
      </x:c>
      <x:c r="F350" s="274" t="s">
        <x:v>333</x:v>
      </x:c>
      <x:c r="G350" s="274" t="s">
        <x:v>153</x:v>
      </x:c>
      <x:c r="I350" s="274" t="n">
        <x:v>0.65</x:v>
      </x:c>
      <x:c r="J350" s="274" t="n">
        <x:v>1150</x:v>
      </x:c>
      <x:c r="K350" s="274" t="n">
        <x:v>890</x:v>
      </x:c>
      <x:c r="L350" s="274" t="n">
        <x:v>835</x:v>
      </x:c>
      <x:c r="M350" s="274" t="s">
        <x:v>872</x:v>
      </x:c>
      <x:c r="N350" s="274" t="s">
        <x:v>631</x:v>
      </x:c>
    </x:row>
    <x:row r="351" spans="1:14">
      <x:c r="A351" s="274" t="s">
        <x:v>873</x:v>
      </x:c>
      <x:c r="B351" s="274" t="n">
        <x:v>3.08</x:v>
      </x:c>
      <x:c r="C351" s="274" t="n">
        <x:v>0</x:v>
      </x:c>
      <x:c r="D351" s="274" t="n">
        <x:v>0</x:v>
      </x:c>
      <x:c r="F351" s="274" t="s">
        <x:v>133</x:v>
      </x:c>
      <x:c r="G351" s="274" t="s">
        <x:v>148</x:v>
      </x:c>
      <x:c r="I351" s="274" t="n">
        <x:v>3.2</x:v>
      </x:c>
      <x:c r="J351" s="274" t="n">
        <x:v>112</x:v>
      </x:c>
      <x:c r="K351" s="274" t="n">
        <x:v>1094</x:v>
      </x:c>
      <x:c r="M351" s="274" t="s">
        <x:v>874</x:v>
      </x:c>
      <x:c r="N351" s="274" t="s">
        <x:v>155</x:v>
      </x:c>
    </x:row>
    <x:row r="352" spans="1:14">
      <x:c r="A352" s="274" t="s">
        <x:v>875</x:v>
      </x:c>
      <x:c r="B352" s="274" t="n">
        <x:v>10.08</x:v>
      </x:c>
      <x:c r="C352" s="274" t="n">
        <x:v>23</x:v>
      </x:c>
      <x:c r="D352" s="274" t="n">
        <x:v>23</x:v>
      </x:c>
      <x:c r="E352" s="274" t="n">
        <x:v>25</x:v>
      </x:c>
      <x:c r="F352" s="274" t="s">
        <x:v>333</x:v>
      </x:c>
      <x:c r="G352" s="274" t="s">
        <x:v>153</x:v>
      </x:c>
      <x:c r="I352" s="274" t="n">
        <x:v>0.65</x:v>
      </x:c>
      <x:c r="J352" s="274" t="n">
        <x:v>1090</x:v>
      </x:c>
      <x:c r="K352" s="274" t="n">
        <x:v>1875</x:v>
      </x:c>
      <x:c r="L352" s="274" t="n">
        <x:v>1750</x:v>
      </x:c>
      <x:c r="M352" s="274" t="s">
        <x:v>876</x:v>
      </x:c>
      <x:c r="N352" s="274" t="s">
        <x:v>847</x:v>
      </x:c>
    </x:row>
    <x:row r="353" spans="1:14">
      <x:c r="A353" s="274" t="s">
        <x:v>877</x:v>
      </x:c>
      <x:c r="B353" s="274" t="n">
        <x:v>7.76</x:v>
      </x:c>
      <x:c r="C353" s="274" t="n">
        <x:v>0</x:v>
      </x:c>
      <x:c r="D353" s="274" t="n">
        <x:v>0</x:v>
      </x:c>
      <x:c r="E353" s="274" t="n">
        <x:v>0</x:v>
      </x:c>
      <x:c r="F353" s="274" t="s">
        <x:v>184</x:v>
      </x:c>
      <x:c r="G353" s="274" t="s">
        <x:v>878</x:v>
      </x:c>
      <x:c r="H353" s="274" t="s">
        <x:v>285</x:v>
      </x:c>
      <x:c r="I353" s="274" t="n">
        <x:v>0.6</x:v>
      </x:c>
      <x:c r="J353" s="274" t="n">
        <x:v>1605</x:v>
      </x:c>
      <x:c r="K353" s="274" t="n">
        <x:v>1007</x:v>
      </x:c>
      <x:c r="M353" s="274" t="s">
        <x:v>879</x:v>
      </x:c>
      <x:c r="N353" s="274" t="s">
        <x:v>870</x:v>
      </x:c>
    </x:row>
    <x:row r="354" spans="1:14">
      <x:c r="A354" s="274" t="s">
        <x:v>880</x:v>
      </x:c>
      <x:c r="B354" s="274" t="n">
        <x:v>2.33</x:v>
      </x:c>
      <x:c r="C354" s="274" t="n">
        <x:v>0</x:v>
      </x:c>
      <x:c r="D354" s="274" t="n">
        <x:v>0</x:v>
      </x:c>
      <x:c r="F354" s="274" t="s">
        <x:v>184</x:v>
      </x:c>
      <x:c r="G354" s="274" t="s">
        <x:v>881</x:v>
      </x:c>
      <x:c r="H354" s="274" t="n">
        <x:v>45</x:v>
      </x:c>
      <x:c r="I354" s="274" t="n">
        <x:v>1.2</x:v>
      </x:c>
      <x:c r="J354" s="274" t="n">
        <x:v>570</x:v>
      </x:c>
      <x:c r="K354" s="274" t="n">
        <x:v>429</x:v>
      </x:c>
      <x:c r="M354" s="274" t="s">
        <x:v>882</x:v>
      </x:c>
    </x:row>
    <x:row r="355" spans="1:14">
      <x:c r="A355" s="274" t="s">
        <x:v>883</x:v>
      </x:c>
      <x:c r="B355" s="274" t="n">
        <x:v>0.82</x:v>
      </x:c>
      <x:c r="C355" s="274" t="n">
        <x:v>0</x:v>
      </x:c>
      <x:c r="D355" s="274" t="n">
        <x:v>35</x:v>
      </x:c>
      <x:c r="E355" s="274" t="n">
        <x:v>33</x:v>
      </x:c>
      <x:c r="F355" s="274" t="s">
        <x:v>133</x:v>
      </x:c>
      <x:c r="G355" s="274" t="s">
        <x:v>136</x:v>
      </x:c>
      <x:c r="H355" s="274" t="n">
        <x:v>45</x:v>
      </x:c>
      <x:c r="I355" s="274" t="n">
        <x:v>0.8</x:v>
      </x:c>
      <x:c r="J355" s="274" t="n">
        <x:v>438</x:v>
      </x:c>
      <x:c r="K355" s="274" t="n">
        <x:v>295</x:v>
      </x:c>
      <x:c r="M355" s="274" t="s">
        <x:v>884</x:v>
      </x:c>
      <x:c r="N355" s="274" t="s">
        <x:v>155</x:v>
      </x:c>
    </x:row>
    <x:row r="356" spans="1:14">
      <x:c r="A356" s="274" t="s">
        <x:v>885</x:v>
      </x:c>
      <x:c r="B356" s="274" t="n">
        <x:v>1.26</x:v>
      </x:c>
      <x:c r="C356" s="274" t="n">
        <x:v>0</x:v>
      </x:c>
      <x:c r="D356" s="274" t="n">
        <x:v>0</x:v>
      </x:c>
      <x:c r="F356" s="274" t="s">
        <x:v>133</x:v>
      </x:c>
      <x:c r="G356" s="274" t="s">
        <x:v>124</x:v>
      </x:c>
      <x:c r="I356" s="274" t="n">
        <x:v>0.9</x:v>
      </x:c>
      <x:c r="J356" s="274" t="n">
        <x:v>641</x:v>
      </x:c>
      <x:c r="K356" s="274" t="n">
        <x:v>278</x:v>
      </x:c>
      <x:c r="M356" s="274" t="s">
        <x:v>886</x:v>
      </x:c>
      <x:c r="N356" s="274" t="s">
        <x:v>155</x:v>
      </x:c>
    </x:row>
    <x:row r="357" spans="1:14">
      <x:c r="A357" s="274" t="s">
        <x:v>887</x:v>
      </x:c>
      <x:c r="B357" s="274" t="n">
        <x:v>1.51</x:v>
      </x:c>
      <x:c r="C357" s="274" t="n">
        <x:v>0</x:v>
      </x:c>
      <x:c r="D357" s="274" t="n">
        <x:v>0</x:v>
      </x:c>
      <x:c r="F357" s="274" t="s">
        <x:v>133</x:v>
      </x:c>
      <x:c r="G357" s="274" t="s">
        <x:v>136</x:v>
      </x:c>
      <x:c r="H357" s="274" t="n">
        <x:v>45</x:v>
      </x:c>
      <x:c r="I357" s="274" t="n">
        <x:v>0.6</x:v>
      </x:c>
      <x:c r="J357" s="274" t="n">
        <x:v>1047</x:v>
      </x:c>
      <x:c r="K357" s="274" t="n">
        <x:v>300</x:v>
      </x:c>
      <x:c r="M357" s="274" t="s">
        <x:v>888</x:v>
      </x:c>
      <x:c r="N357" s="274" t="s">
        <x:v>131</x:v>
      </x:c>
    </x:row>
    <x:row r="358" spans="1:14">
      <x:c r="A358" s="274" t="s">
        <x:v>889</x:v>
      </x:c>
      <x:c r="B358" s="274" t="n">
        <x:v>1.48</x:v>
      </x:c>
      <x:c r="C358" s="274" t="n">
        <x:v>0</x:v>
      </x:c>
      <x:c r="D358" s="274" t="n">
        <x:v>0</x:v>
      </x:c>
      <x:c r="F358" s="274" t="s">
        <x:v>133</x:v>
      </x:c>
      <x:c r="G358" s="274" t="s">
        <x:v>144</x:v>
      </x:c>
      <x:c r="H358" s="274" t="n">
        <x:v>45</x:v>
      </x:c>
      <x:c r="I358" s="274" t="n">
        <x:v>1.4</x:v>
      </x:c>
      <x:c r="J358" s="274" t="n">
        <x:v>703</x:v>
      </x:c>
      <x:c r="K358" s="274" t="n">
        <x:v>190</x:v>
      </x:c>
      <x:c r="M358" s="274" t="s">
        <x:v>890</x:v>
      </x:c>
      <x:c r="N358" s="274" t="s">
        <x:v>155</x:v>
      </x:c>
    </x:row>
    <x:row r="359" spans="1:14">
      <x:c r="A359" s="274" t="s">
        <x:v>891</x:v>
      </x:c>
      <x:c r="B359" s="274" t="n">
        <x:v>10.59</x:v>
      </x:c>
      <x:c r="C359" s="274" t="n">
        <x:v>43</x:v>
      </x:c>
      <x:c r="D359" s="274" t="n">
        <x:v>42</x:v>
      </x:c>
      <x:c r="E359" s="274" t="n">
        <x:v>29</x:v>
      </x:c>
      <x:c r="F359" s="274" t="s">
        <x:v>133</x:v>
      </x:c>
      <x:c r="G359" s="274" t="s">
        <x:v>136</x:v>
      </x:c>
      <x:c r="H359" s="274" t="n">
        <x:v>45</x:v>
      </x:c>
      <x:c r="I359" s="274" t="n">
        <x:v>0.65</x:v>
      </x:c>
      <x:c r="J359" s="274" t="n">
        <x:v>1320</x:v>
      </x:c>
      <x:c r="K359" s="274" t="n">
        <x:v>1545</x:v>
      </x:c>
      <x:c r="M359" s="274" t="s">
        <x:v>892</x:v>
      </x:c>
      <x:c r="N359" s="274" t="s">
        <x:v>893</x:v>
      </x:c>
    </x:row>
    <x:row r="360" spans="1:14">
      <x:c r="A360" s="274" t="s">
        <x:v>894</x:v>
      </x:c>
      <x:c r="B360" s="274" t="n">
        <x:v>4.36</x:v>
      </x:c>
      <x:c r="C360" s="274" t="n">
        <x:v>40</x:v>
      </x:c>
      <x:c r="D360" s="274" t="n">
        <x:v>36</x:v>
      </x:c>
      <x:c r="E360" s="274" t="n">
        <x:v>0</x:v>
      </x:c>
      <x:c r="F360" s="274" t="s">
        <x:v>333</x:v>
      </x:c>
      <x:c r="G360" s="274" t="s">
        <x:v>153</x:v>
      </x:c>
      <x:c r="I360" s="274" t="n">
        <x:v>0.7</x:v>
      </x:c>
      <x:c r="J360" s="274" t="n">
        <x:v>875</x:v>
      </x:c>
      <x:c r="K360" s="274" t="n">
        <x:v>1045.6</x:v>
      </x:c>
      <x:c r="L360" s="274" t="n">
        <x:v>768.4</x:v>
      </x:c>
      <x:c r="M360" s="274" t="s">
        <x:v>154</x:v>
      </x:c>
    </x:row>
    <x:row r="361" spans="1:14">
      <x:c r="A361" s="274" t="s">
        <x:v>895</x:v>
      </x:c>
      <x:c r="B361" s="274" t="n">
        <x:v>0.63</x:v>
      </x:c>
      <x:c r="C361" s="274" t="n">
        <x:v>0</x:v>
      </x:c>
      <x:c r="D361" s="274" t="n">
        <x:v>0</x:v>
      </x:c>
      <x:c r="F361" s="274" t="s">
        <x:v>333</x:v>
      </x:c>
      <x:c r="G361" s="274" t="s">
        <x:v>124</x:v>
      </x:c>
      <x:c r="I361" s="274" t="n">
        <x:v>1.4</x:v>
      </x:c>
      <x:c r="J361" s="274" t="n">
        <x:v>230</x:v>
      </x:c>
      <x:c r="K361" s="274" t="n">
        <x:v>250</x:v>
      </x:c>
      <x:c r="M361" s="274" t="s">
        <x:v>896</x:v>
      </x:c>
      <x:c r="N361" s="274" t="s">
        <x:v>441</x:v>
      </x:c>
    </x:row>
    <x:row r="362" spans="1:14">
      <x:c r="A362" s="274" t="s">
        <x:v>897</x:v>
      </x:c>
      <x:c r="B362" s="274" t="n">
        <x:v>0.36</x:v>
      </x:c>
      <x:c r="C362" s="274" t="n">
        <x:v>0</x:v>
      </x:c>
      <x:c r="D362" s="274" t="n">
        <x:v>0</x:v>
      </x:c>
      <x:c r="F362" s="274" t="s">
        <x:v>123</x:v>
      </x:c>
      <x:c r="G362" s="274" t="s">
        <x:v>124</x:v>
      </x:c>
      <x:c r="I362" s="274" t="n">
        <x:v>1</x:v>
      </x:c>
      <x:c r="J362" s="274" t="n">
        <x:v>190</x:v>
      </x:c>
      <x:c r="K362" s="274" t="n">
        <x:v>240</x:v>
      </x:c>
      <x:c r="M362" s="274" t="s">
        <x:v>898</x:v>
      </x:c>
      <x:c r="N362" s="274" t="s">
        <x:v>441</x:v>
      </x:c>
    </x:row>
    <x:row r="363" spans="1:14">
      <x:c r="A363" s="274" t="s">
        <x:v>899</x:v>
      </x:c>
      <x:c r="B363" s="274" t="n">
        <x:v>0.22</x:v>
      </x:c>
      <x:c r="C363" s="274" t="n">
        <x:v>35</x:v>
      </x:c>
      <x:c r="D363" s="274" t="n">
        <x:v>35</x:v>
      </x:c>
      <x:c r="E363" s="274" t="n">
        <x:v>33</x:v>
      </x:c>
      <x:c r="F363" s="274" t="s">
        <x:v>133</x:v>
      </x:c>
      <x:c r="G363" s="274" t="s">
        <x:v>136</x:v>
      </x:c>
      <x:c r="H363" s="274" t="n">
        <x:v>45</x:v>
      </x:c>
      <x:c r="I363" s="274" t="n">
        <x:v>1.2</x:v>
      </x:c>
      <x:c r="J363" s="274" t="n">
        <x:v>124</x:v>
      </x:c>
      <x:c r="K363" s="274" t="n">
        <x:v>188</x:v>
      </x:c>
      <x:c r="M363" s="274" t="s">
        <x:v>250</x:v>
      </x:c>
    </x:row>
    <x:row r="364" spans="1:14">
      <x:c r="A364" s="274" t="s">
        <x:v>900</x:v>
      </x:c>
      <x:c r="B364" s="274" t="n">
        <x:v>0.9</x:v>
      </x:c>
      <x:c r="C364" s="274" t="n">
        <x:v>0</x:v>
      </x:c>
      <x:c r="D364" s="274" t="n">
        <x:v>0</x:v>
      </x:c>
      <x:c r="F364" s="274" t="s">
        <x:v>133</x:v>
      </x:c>
      <x:c r="G364" s="274" t="s">
        <x:v>153</x:v>
      </x:c>
      <x:c r="I364" s="274" t="n">
        <x:v>1.6</x:v>
      </x:c>
      <x:c r="J364" s="274" t="n">
        <x:v>340</x:v>
      </x:c>
      <x:c r="K364" s="274" t="n">
        <x:v>210</x:v>
      </x:c>
      <x:c r="M364" s="274" t="s">
        <x:v>901</x:v>
      </x:c>
    </x:row>
    <x:row r="365" spans="1:14">
      <x:c r="A365" s="274" t="s">
        <x:v>902</x:v>
      </x:c>
      <x:c r="B365" s="274" t="n">
        <x:v>4.79</x:v>
      </x:c>
      <x:c r="C365" s="274" t="n">
        <x:v>38</x:v>
      </x:c>
      <x:c r="D365" s="274" t="n">
        <x:v>40</x:v>
      </x:c>
      <x:c r="E365" s="274" t="n">
        <x:v>35</x:v>
      </x:c>
      <x:c r="F365" s="274" t="s">
        <x:v>133</x:v>
      </x:c>
      <x:c r="G365" s="274" t="s">
        <x:v>136</x:v>
      </x:c>
      <x:c r="H365" s="274" t="n">
        <x:v>45</x:v>
      </x:c>
      <x:c r="I365" s="274" t="n">
        <x:v>1.6</x:v>
      </x:c>
      <x:c r="J365" s="274" t="n">
        <x:v>685</x:v>
      </x:c>
      <x:c r="K365" s="274" t="n">
        <x:v>1105</x:v>
      </x:c>
      <x:c r="M365" s="274" t="s">
        <x:v>903</x:v>
      </x:c>
      <x:c r="N365" s="274" t="s">
        <x:v>904</x:v>
      </x:c>
    </x:row>
    <x:row r="366" spans="1:14">
      <x:c r="A366" s="274" t="s">
        <x:v>905</x:v>
      </x:c>
      <x:c r="B366" s="274" t="n">
        <x:v>9.58</x:v>
      </x:c>
      <x:c r="C366" s="274" t="n">
        <x:v>22</x:v>
      </x:c>
      <x:c r="D366" s="274" t="n">
        <x:v>30</x:v>
      </x:c>
      <x:c r="E366" s="274" t="n">
        <x:v>0</x:v>
      </x:c>
      <x:c r="F366" s="274" t="s">
        <x:v>123</x:v>
      </x:c>
      <x:c r="G366" s="274" t="s">
        <x:v>906</x:v>
      </x:c>
      <x:c r="H366" s="274" t="s">
        <x:v>907</x:v>
      </x:c>
      <x:c r="I366" s="274" t="n">
        <x:v>0.65</x:v>
      </x:c>
      <x:c r="J366" s="274" t="n">
        <x:v>887</x:v>
      </x:c>
      <x:c r="K366" s="274" t="n">
        <x:v>1987.7</x:v>
      </x:c>
      <x:c r="L366" s="274" t="n">
        <x:v>2174.2</x:v>
      </x:c>
      <x:c r="M366" s="274" t="s">
        <x:v>908</x:v>
      </x:c>
      <x:c r="N366" s="274" t="s">
        <x:v>870</x:v>
      </x:c>
    </x:row>
    <x:row r="367" spans="1:14">
      <x:c r="A367" s="274" t="s">
        <x:v>909</x:v>
      </x:c>
      <x:c r="B367" s="274" t="n">
        <x:v>7.64</x:v>
      </x:c>
      <x:c r="C367" s="274" t="n">
        <x:v>0</x:v>
      </x:c>
      <x:c r="D367" s="274" t="n">
        <x:v>0</x:v>
      </x:c>
      <x:c r="E367" s="274" t="n">
        <x:v>0</x:v>
      </x:c>
      <x:c r="F367" s="274" t="s">
        <x:v>123</x:v>
      </x:c>
      <x:c r="G367" s="274" t="s">
        <x:v>906</x:v>
      </x:c>
      <x:c r="H367" s="274" t="s">
        <x:v>907</x:v>
      </x:c>
      <x:c r="I367" s="274" t="n">
        <x:v>0.65</x:v>
      </x:c>
      <x:c r="J367" s="274" t="n">
        <x:v>935</x:v>
      </x:c>
      <x:c r="K367" s="274" t="n">
        <x:v>1033.2</x:v>
      </x:c>
      <x:c r="L367" s="274" t="n">
        <x:v>2112.8</x:v>
      </x:c>
      <x:c r="M367" s="274" t="s">
        <x:v>910</x:v>
      </x:c>
      <x:c r="N367" s="274" t="s">
        <x:v>870</x:v>
      </x:c>
    </x:row>
    <x:row r="368" spans="1:14">
      <x:c r="A368" s="274" t="s">
        <x:v>911</x:v>
      </x:c>
      <x:c r="B368" s="274" t="n">
        <x:v>1.65</x:v>
      </x:c>
      <x:c r="C368" s="274" t="n">
        <x:v>27</x:v>
      </x:c>
      <x:c r="D368" s="274" t="n">
        <x:v>35</x:v>
      </x:c>
      <x:c r="E368" s="274" t="n">
        <x:v>30</x:v>
      </x:c>
      <x:c r="F368" s="274" t="s">
        <x:v>133</x:v>
      </x:c>
      <x:c r="G368" s="274" t="s">
        <x:v>209</x:v>
      </x:c>
      <x:c r="I368" s="274" t="n">
        <x:v>0.8</x:v>
      </x:c>
      <x:c r="J368" s="274" t="n">
        <x:v>436</x:v>
      </x:c>
      <x:c r="K368" s="274" t="n">
        <x:v>603</x:v>
      </x:c>
      <x:c r="M368" s="274" t="s">
        <x:v>912</x:v>
      </x:c>
    </x:row>
    <x:row r="369" spans="1:14">
      <x:c r="A369" s="274" t="s">
        <x:v>913</x:v>
      </x:c>
      <x:c r="B369" s="274" t="n">
        <x:v>1.79</x:v>
      </x:c>
      <x:c r="C369" s="274" t="n">
        <x:v>0</x:v>
      </x:c>
      <x:c r="D369" s="274" t="n">
        <x:v>35</x:v>
      </x:c>
      <x:c r="E369" s="274" t="n">
        <x:v>33</x:v>
      </x:c>
      <x:c r="F369" s="274" t="s">
        <x:v>133</x:v>
      </x:c>
      <x:c r="G369" s="274" t="s">
        <x:v>124</x:v>
      </x:c>
      <x:c r="I369" s="274" t="n">
        <x:v>1.6</x:v>
      </x:c>
      <x:c r="J369" s="274" t="n">
        <x:v>579</x:v>
      </x:c>
      <x:c r="K369" s="274" t="n">
        <x:v>246</x:v>
      </x:c>
      <x:c r="M369" s="274" t="s">
        <x:v>914</x:v>
      </x:c>
      <x:c r="N369" s="274" t="s">
        <x:v>915</x:v>
      </x:c>
    </x:row>
    <x:row r="370" spans="1:14">
      <x:c r="A370" s="274" t="s">
        <x:v>916</x:v>
      </x:c>
      <x:c r="B370" s="274" t="n">
        <x:v>1.77</x:v>
      </x:c>
      <x:c r="C370" s="274" t="n">
        <x:v>0</x:v>
      </x:c>
      <x:c r="D370" s="274" t="n">
        <x:v>0</x:v>
      </x:c>
      <x:c r="F370" s="274" t="s">
        <x:v>123</x:v>
      </x:c>
      <x:c r="G370" s="274" t="s">
        <x:v>209</x:v>
      </x:c>
      <x:c r="I370" s="274" t="n">
        <x:v>1.6</x:v>
      </x:c>
      <x:c r="J370" s="274" t="n">
        <x:v>113</x:v>
      </x:c>
      <x:c r="K370" s="274" t="n">
        <x:v>1250</x:v>
      </x:c>
      <x:c r="M370" s="274" t="s">
        <x:v>917</x:v>
      </x:c>
    </x:row>
    <x:row r="371" spans="1:14">
      <x:c r="A371" s="274" t="s">
        <x:v>918</x:v>
      </x:c>
      <x:c r="B371" s="274" t="n">
        <x:v>1.3</x:v>
      </x:c>
      <x:c r="C371" s="274" t="n">
        <x:v>0</x:v>
      </x:c>
      <x:c r="D371" s="274" t="n">
        <x:v>0</x:v>
      </x:c>
      <x:c r="F371" s="274" t="s">
        <x:v>123</x:v>
      </x:c>
      <x:c r="G371" s="274" t="s">
        <x:v>209</x:v>
      </x:c>
      <x:c r="I371" s="274" t="n">
        <x:v>1.2</x:v>
      </x:c>
      <x:c r="J371" s="274" t="n">
        <x:v>110</x:v>
      </x:c>
      <x:c r="K371" s="274" t="n">
        <x:v>1250</x:v>
      </x:c>
      <x:c r="M371" s="274" t="s">
        <x:v>919</x:v>
      </x:c>
      <x:c r="N371" s="274" t="s">
        <x:v>870</x:v>
      </x:c>
    </x:row>
    <x:row r="372" spans="1:14">
      <x:c r="A372" s="274" t="s">
        <x:v>920</x:v>
      </x:c>
      <x:c r="B372" s="274" t="n">
        <x:v>0.75</x:v>
      </x:c>
      <x:c r="C372" s="274" t="n">
        <x:v>0</x:v>
      </x:c>
      <x:c r="D372" s="274" t="n">
        <x:v>0</x:v>
      </x:c>
      <x:c r="F372" s="274" t="s">
        <x:v>123</x:v>
      </x:c>
      <x:c r="G372" s="274" t="s">
        <x:v>209</x:v>
      </x:c>
      <x:c r="I372" s="274" t="n">
        <x:v>0.9</x:v>
      </x:c>
      <x:c r="J372" s="274" t="n">
        <x:v>280</x:v>
      </x:c>
      <x:c r="K372" s="274" t="n">
        <x:v>380</x:v>
      </x:c>
      <x:c r="M372" s="274" t="s">
        <x:v>921</x:v>
      </x:c>
      <x:c r="N372" s="274" t="s">
        <x:v>870</x:v>
      </x:c>
    </x:row>
    <x:row r="373" spans="1:14">
      <x:c r="A373" s="274" t="s">
        <x:v>922</x:v>
      </x:c>
      <x:c r="B373" s="274" t="n">
        <x:v>1.37</x:v>
      </x:c>
      <x:c r="C373" s="274" t="n">
        <x:v>0</x:v>
      </x:c>
      <x:c r="D373" s="274" t="n">
        <x:v>0</x:v>
      </x:c>
      <x:c r="F373" s="274" t="s">
        <x:v>123</x:v>
      </x:c>
      <x:c r="G373" s="274" t="s">
        <x:v>209</x:v>
      </x:c>
      <x:c r="I373" s="274" t="n">
        <x:v>2.3</x:v>
      </x:c>
      <x:c r="J373" s="274" t="n">
        <x:v>142</x:v>
      </x:c>
      <x:c r="K373" s="274" t="n">
        <x:v>533</x:v>
      </x:c>
      <x:c r="M373" s="274" t="s">
        <x:v>923</x:v>
      </x:c>
      <x:c r="N373" s="274" t="s">
        <x:v>870</x:v>
      </x:c>
    </x:row>
    <x:row r="374" spans="1:14">
      <x:c r="A374" s="274" t="s">
        <x:v>924</x:v>
      </x:c>
      <x:c r="B374" s="274" t="n">
        <x:v>0.53</x:v>
      </x:c>
      <x:c r="C374" s="274" t="n">
        <x:v>0</x:v>
      </x:c>
      <x:c r="D374" s="274" t="n">
        <x:v>0</x:v>
      </x:c>
      <x:c r="F374" s="274" t="s">
        <x:v>123</x:v>
      </x:c>
      <x:c r="G374" s="274" t="s">
        <x:v>209</x:v>
      </x:c>
      <x:c r="I374" s="274" t="n">
        <x:v>1.2</x:v>
      </x:c>
      <x:c r="J374" s="274" t="n">
        <x:v>128</x:v>
      </x:c>
      <x:c r="K374" s="274" t="n">
        <x:v>442</x:v>
      </x:c>
      <x:c r="M374" s="274" t="s">
        <x:v>925</x:v>
      </x:c>
      <x:c r="N374" s="274" t="s">
        <x:v>870</x:v>
      </x:c>
    </x:row>
    <x:row r="375" spans="1:14">
      <x:c r="A375" s="274" t="s">
        <x:v>926</x:v>
      </x:c>
      <x:c r="B375" s="274" t="n">
        <x:v>9.26</x:v>
      </x:c>
      <x:c r="C375" s="274" t="n">
        <x:v>0</x:v>
      </x:c>
      <x:c r="D375" s="274" t="n">
        <x:v>0</x:v>
      </x:c>
      <x:c r="F375" s="274" t="s">
        <x:v>123</x:v>
      </x:c>
      <x:c r="G375" s="274" t="s">
        <x:v>148</x:v>
      </x:c>
      <x:c r="I375" s="274" t="n">
        <x:v>1.8</x:v>
      </x:c>
      <x:c r="J375" s="274" t="n">
        <x:v>448</x:v>
      </x:c>
      <x:c r="K375" s="274" t="n">
        <x:v>1462</x:v>
      </x:c>
      <x:c r="M375" s="274" t="s">
        <x:v>927</x:v>
      </x:c>
    </x:row>
    <x:row r="376" spans="1:14">
      <x:c r="A376" s="274" t="s">
        <x:v>928</x:v>
      </x:c>
      <x:c r="B376" s="274" t="n">
        <x:v>3.05</x:v>
      </x:c>
      <x:c r="C376" s="274" t="n">
        <x:v>0</x:v>
      </x:c>
      <x:c r="D376" s="274" t="n">
        <x:v>32</x:v>
      </x:c>
      <x:c r="E376" s="274" t="n">
        <x:v>40</x:v>
      </x:c>
      <x:c r="F376" s="274" t="s">
        <x:v>333</x:v>
      </x:c>
      <x:c r="G376" s="274" t="s">
        <x:v>153</x:v>
      </x:c>
      <x:c r="I376" s="274" t="n">
        <x:v>1</x:v>
      </x:c>
      <x:c r="J376" s="274" t="n">
        <x:v>985</x:v>
      </x:c>
      <x:c r="K376" s="274" t="n">
        <x:v>395</x:v>
      </x:c>
      <x:c r="M376" s="274" t="s">
        <x:v>929</x:v>
      </x:c>
      <x:c r="N376" s="274" t="s">
        <x:v>870</x:v>
      </x:c>
    </x:row>
    <x:row r="377" spans="1:14">
      <x:c r="A377" s="274" t="s">
        <x:v>930</x:v>
      </x:c>
      <x:c r="B377" s="274" t="n">
        <x:v>2.98</x:v>
      </x:c>
      <x:c r="C377" s="274" t="n">
        <x:v>0</x:v>
      </x:c>
      <x:c r="D377" s="274" t="n">
        <x:v>30</x:v>
      </x:c>
      <x:c r="E377" s="274" t="n">
        <x:v>40</x:v>
      </x:c>
      <x:c r="F377" s="274" t="s">
        <x:v>333</x:v>
      </x:c>
      <x:c r="G377" s="274" t="s">
        <x:v>153</x:v>
      </x:c>
      <x:c r="I377" s="274" t="n">
        <x:v>1</x:v>
      </x:c>
      <x:c r="J377" s="274" t="n">
        <x:v>985</x:v>
      </x:c>
      <x:c r="K377" s="274" t="n">
        <x:v>385</x:v>
      </x:c>
      <x:c r="M377" s="274" t="s">
        <x:v>931</x:v>
      </x:c>
      <x:c r="N377" s="274" t="s">
        <x:v>155</x:v>
      </x:c>
    </x:row>
    <x:row r="378" spans="1:14">
      <x:c r="A378" s="274" t="s">
        <x:v>932</x:v>
      </x:c>
      <x:c r="B378" s="274" t="n">
        <x:v>2.47</x:v>
      </x:c>
      <x:c r="C378" s="274" t="n">
        <x:v>0</x:v>
      </x:c>
      <x:c r="D378" s="274" t="n">
        <x:v>0</x:v>
      </x:c>
      <x:c r="F378" s="274" t="s">
        <x:v>133</x:v>
      </x:c>
      <x:c r="G378" s="274" t="s">
        <x:v>134</x:v>
      </x:c>
      <x:c r="I378" s="274" t="n">
        <x:v>3.2</x:v>
      </x:c>
      <x:c r="J378" s="274" t="n">
        <x:v>1170</x:v>
      </x:c>
      <x:c r="K378" s="274" t="n">
        <x:v>84</x:v>
      </x:c>
    </x:row>
    <x:row r="379" spans="1:14">
      <x:c r="A379" s="274" t="s">
        <x:v>933</x:v>
      </x:c>
      <x:c r="B379" s="274" t="n">
        <x:v>0.99</x:v>
      </x:c>
      <x:c r="C379" s="274" t="n">
        <x:v>0</x:v>
      </x:c>
      <x:c r="D379" s="274" t="n">
        <x:v>0</x:v>
      </x:c>
      <x:c r="F379" s="274" t="s">
        <x:v>333</x:v>
      </x:c>
      <x:c r="G379" s="274" t="s">
        <x:v>153</x:v>
      </x:c>
      <x:c r="I379" s="274" t="n">
        <x:v>1.6</x:v>
      </x:c>
      <x:c r="J379" s="274" t="n">
        <x:v>255</x:v>
      </x:c>
      <x:c r="K379" s="274" t="n">
        <x:v>310</x:v>
      </x:c>
      <x:c r="M379" s="274" t="s">
        <x:v>934</x:v>
      </x:c>
      <x:c r="N379" s="274" t="s">
        <x:v>155</x:v>
      </x:c>
    </x:row>
    <x:row r="380" spans="1:14">
      <x:c r="A380" s="274" t="s">
        <x:v>935</x:v>
      </x:c>
      <x:c r="B380" s="274" t="n">
        <x:v>3</x:v>
      </x:c>
      <x:c r="C380" s="274" t="n">
        <x:v>0</x:v>
      </x:c>
      <x:c r="D380" s="274" t="n">
        <x:v>0</x:v>
      </x:c>
      <x:c r="F380" s="274" t="s">
        <x:v>133</x:v>
      </x:c>
      <x:c r="G380" s="274" t="s">
        <x:v>144</x:v>
      </x:c>
      <x:c r="H380" s="274" t="n">
        <x:v>45</x:v>
      </x:c>
      <x:c r="I380" s="274" t="n">
        <x:v>1.4</x:v>
      </x:c>
      <x:c r="J380" s="274" t="n">
        <x:v>217</x:v>
      </x:c>
      <x:c r="K380" s="274" t="n">
        <x:v>1250</x:v>
      </x:c>
      <x:c r="M380" s="274" t="s">
        <x:v>936</x:v>
      </x:c>
      <x:c r="N380" s="274" t="s">
        <x:v>870</x:v>
      </x:c>
    </x:row>
    <x:row r="381" spans="1:14">
      <x:c r="A381" s="274" t="s">
        <x:v>937</x:v>
      </x:c>
      <x:c r="B381" s="274" t="n">
        <x:v>3.79</x:v>
      </x:c>
      <x:c r="C381" s="274" t="n">
        <x:v>0</x:v>
      </x:c>
      <x:c r="D381" s="274" t="n">
        <x:v>0</x:v>
      </x:c>
      <x:c r="F381" s="274" t="s">
        <x:v>133</x:v>
      </x:c>
      <x:c r="G381" s="274" t="s">
        <x:v>134</x:v>
      </x:c>
      <x:c r="I381" s="274" t="n">
        <x:v>2.9</x:v>
      </x:c>
      <x:c r="J381" s="274" t="n">
        <x:v>1060</x:v>
      </x:c>
      <x:c r="K381" s="274" t="n">
        <x:v>157</x:v>
      </x:c>
      <x:c r="M381" s="274" t="s">
        <x:v>938</x:v>
      </x:c>
    </x:row>
    <x:row r="382" spans="1:14">
      <x:c r="A382" s="274" t="s">
        <x:v>939</x:v>
      </x:c>
      <x:c r="B382" s="274" t="n">
        <x:v>2.75</x:v>
      </x:c>
      <x:c r="C382" s="274" t="n">
        <x:v>0</x:v>
      </x:c>
      <x:c r="D382" s="274" t="n">
        <x:v>0</x:v>
      </x:c>
      <x:c r="F382" s="274" t="s">
        <x:v>133</x:v>
      </x:c>
      <x:c r="G382" s="274" t="s">
        <x:v>136</x:v>
      </x:c>
      <x:c r="H382" s="274" t="n">
        <x:v>45</x:v>
      </x:c>
      <x:c r="I382" s="274" t="n">
        <x:v>1.6</x:v>
      </x:c>
      <x:c r="J382" s="274" t="n">
        <x:v>810</x:v>
      </x:c>
      <x:c r="K382" s="274" t="n">
        <x:v>268</x:v>
      </x:c>
      <x:c r="M382" s="274" t="s">
        <x:v>940</x:v>
      </x:c>
      <x:c r="N382" s="274" t="s">
        <x:v>155</x:v>
      </x:c>
    </x:row>
    <x:row r="383" spans="1:14">
      <x:c r="A383" s="274" t="s">
        <x:v>941</x:v>
      </x:c>
      <x:c r="B383" s="274" t="n">
        <x:v>5.97</x:v>
      </x:c>
      <x:c r="C383" s="274" t="n">
        <x:v>0</x:v>
      </x:c>
      <x:c r="D383" s="274" t="n">
        <x:v>0</x:v>
      </x:c>
      <x:c r="F383" s="274" t="s">
        <x:v>133</x:v>
      </x:c>
      <x:c r="G383" s="274" t="s">
        <x:v>134</x:v>
      </x:c>
      <x:c r="I383" s="274" t="n">
        <x:v>3.2</x:v>
      </x:c>
      <x:c r="J383" s="274" t="n">
        <x:v>990</x:v>
      </x:c>
      <x:c r="K383" s="274" t="n">
        <x:v>240</x:v>
      </x:c>
      <x:c r="M383" s="274" t="s">
        <x:v>942</x:v>
      </x:c>
    </x:row>
    <x:row r="384" spans="1:14">
      <x:c r="A384" s="274" t="s">
        <x:v>943</x:v>
      </x:c>
      <x:c r="B384" s="274" t="n">
        <x:v>3.69</x:v>
      </x:c>
      <x:c r="C384" s="274" t="n">
        <x:v>0</x:v>
      </x:c>
      <x:c r="D384" s="274" t="n">
        <x:v>0</x:v>
      </x:c>
      <x:c r="F384" s="274" t="s">
        <x:v>133</x:v>
      </x:c>
      <x:c r="G384" s="274" t="s">
        <x:v>136</x:v>
      </x:c>
      <x:c r="H384" s="274" t="n">
        <x:v>45</x:v>
      </x:c>
      <x:c r="I384" s="274" t="n">
        <x:v>2</x:v>
      </x:c>
      <x:c r="J384" s="274" t="n">
        <x:v>1248</x:v>
      </x:c>
      <x:c r="K384" s="274" t="n">
        <x:v>187</x:v>
      </x:c>
      <x:c r="M384" s="274" t="s">
        <x:v>944</x:v>
      </x:c>
      <x:c r="N384" s="274" t="s">
        <x:v>155</x:v>
      </x:c>
    </x:row>
    <x:row r="385" spans="1:14">
      <x:c r="A385" s="274" t="s">
        <x:v>945</x:v>
      </x:c>
      <x:c r="B385" s="274" t="n">
        <x:v>6.61</x:v>
      </x:c>
      <x:c r="C385" s="274" t="n">
        <x:v>0</x:v>
      </x:c>
      <x:c r="D385" s="274" t="n">
        <x:v>0</x:v>
      </x:c>
      <x:c r="F385" s="274" t="s">
        <x:v>133</x:v>
      </x:c>
      <x:c r="G385" s="274" t="s">
        <x:v>148</x:v>
      </x:c>
      <x:c r="I385" s="274" t="n">
        <x:v>3.2</x:v>
      </x:c>
      <x:c r="J385" s="274" t="n">
        <x:v>223</x:v>
      </x:c>
      <x:c r="K385" s="274" t="n">
        <x:v>1180</x:v>
      </x:c>
      <x:c r="M385" s="274" t="s">
        <x:v>946</x:v>
      </x:c>
    </x:row>
    <x:row r="386" spans="1:14">
      <x:c r="A386" s="274" t="s">
        <x:v>947</x:v>
      </x:c>
      <x:c r="B386" s="274" t="n">
        <x:v>4.33</x:v>
      </x:c>
      <x:c r="C386" s="274" t="n">
        <x:v>0</x:v>
      </x:c>
      <x:c r="D386" s="274" t="n">
        <x:v>0</x:v>
      </x:c>
      <x:c r="F386" s="274" t="s">
        <x:v>128</x:v>
      </x:c>
      <x:c r="G386" s="274" t="s">
        <x:v>139</x:v>
      </x:c>
      <x:c r="I386" s="274" t="n">
        <x:v>2.6</x:v>
      </x:c>
      <x:c r="J386" s="274" t="n">
        <x:v>171</x:v>
      </x:c>
      <x:c r="K386" s="274" t="n">
        <x:v>1240</x:v>
      </x:c>
      <x:c r="M386" s="274" t="s">
        <x:v>948</x:v>
      </x:c>
    </x:row>
    <x:row r="387" spans="1:14">
      <x:c r="A387" s="274" t="s">
        <x:v>949</x:v>
      </x:c>
      <x:c r="B387" s="274" t="n">
        <x:v>2.23</x:v>
      </x:c>
      <x:c r="C387" s="274" t="n">
        <x:v>0</x:v>
      </x:c>
      <x:c r="D387" s="274" t="n">
        <x:v>0</x:v>
      </x:c>
      <x:c r="F387" s="274" t="s">
        <x:v>133</x:v>
      </x:c>
      <x:c r="G387" s="274" t="s">
        <x:v>148</x:v>
      </x:c>
      <x:c r="I387" s="274" t="n">
        <x:v>2</x:v>
      </x:c>
      <x:c r="J387" s="274" t="n">
        <x:v>142</x:v>
      </x:c>
      <x:c r="K387" s="274" t="n">
        <x:v>1000</x:v>
      </x:c>
      <x:c r="M387" s="274" t="s">
        <x:v>950</x:v>
      </x:c>
      <x:c r="N387" s="274" t="s">
        <x:v>126</x:v>
      </x:c>
    </x:row>
    <x:row r="388" spans="1:14">
      <x:c r="A388" s="274" t="s">
        <x:v>951</x:v>
      </x:c>
      <x:c r="B388" s="274" t="n">
        <x:v>4.17</x:v>
      </x:c>
      <x:c r="C388" s="274" t="n">
        <x:v>0</x:v>
      </x:c>
      <x:c r="D388" s="274" t="n">
        <x:v>0</x:v>
      </x:c>
      <x:c r="F388" s="274" t="s">
        <x:v>133</x:v>
      </x:c>
      <x:c r="G388" s="274" t="s">
        <x:v>134</x:v>
      </x:c>
      <x:c r="I388" s="274" t="n">
        <x:v>3.2</x:v>
      </x:c>
      <x:c r="J388" s="274" t="n">
        <x:v>1170</x:v>
      </x:c>
      <x:c r="K388" s="274" t="n">
        <x:v>142</x:v>
      </x:c>
      <x:c r="M388" s="274" t="s">
        <x:v>952</x:v>
      </x:c>
    </x:row>
    <x:row r="389" spans="1:14">
      <x:c r="A389" s="274" t="s">
        <x:v>953</x:v>
      </x:c>
      <x:c r="B389" s="274" t="n">
        <x:v>4.74</x:v>
      </x:c>
      <x:c r="C389" s="274" t="n">
        <x:v>0</x:v>
      </x:c>
      <x:c r="D389" s="274" t="n">
        <x:v>0</x:v>
      </x:c>
      <x:c r="F389" s="274" t="s">
        <x:v>133</x:v>
      </x:c>
      <x:c r="G389" s="274" t="s">
        <x:v>134</x:v>
      </x:c>
      <x:c r="I389" s="274" t="n">
        <x:v>1.6</x:v>
      </x:c>
      <x:c r="J389" s="274" t="n">
        <x:v>328</x:v>
      </x:c>
      <x:c r="K389" s="274" t="n">
        <x:v>1150</x:v>
      </x:c>
      <x:c r="M389" s="274" t="s">
        <x:v>954</x:v>
      </x:c>
      <x:c r="N389" s="274" t="s">
        <x:v>870</x:v>
      </x:c>
    </x:row>
    <x:row r="390" spans="1:14">
      <x:c r="A390" s="274" t="s">
        <x:v>955</x:v>
      </x:c>
      <x:c r="B390" s="274" t="n">
        <x:v>1.69</x:v>
      </x:c>
      <x:c r="C390" s="274" t="n">
        <x:v>0</x:v>
      </x:c>
      <x:c r="D390" s="274" t="n">
        <x:v>0</x:v>
      </x:c>
      <x:c r="F390" s="274" t="s">
        <x:v>123</x:v>
      </x:c>
      <x:c r="G390" s="274" t="s">
        <x:v>209</x:v>
      </x:c>
      <x:c r="I390" s="274" t="n">
        <x:v>1</x:v>
      </x:c>
      <x:c r="J390" s="274" t="n">
        <x:v>182</x:v>
      </x:c>
      <x:c r="K390" s="274" t="n">
        <x:v>1180</x:v>
      </x:c>
      <x:c r="M390" s="274" t="s">
        <x:v>956</x:v>
      </x:c>
      <x:c r="N390" s="274" t="s">
        <x:v>870</x:v>
      </x:c>
    </x:row>
    <x:row r="391" spans="1:14">
      <x:c r="A391" s="274" t="s">
        <x:v>957</x:v>
      </x:c>
      <x:c r="B391" s="274" t="n">
        <x:v>6.28</x:v>
      </x:c>
      <x:c r="C391" s="274" t="n">
        <x:v>0</x:v>
      </x:c>
      <x:c r="D391" s="274" t="n">
        <x:v>0</x:v>
      </x:c>
      <x:c r="F391" s="274" t="s">
        <x:v>133</x:v>
      </x:c>
      <x:c r="G391" s="274" t="s">
        <x:v>134</x:v>
      </x:c>
      <x:c r="I391" s="274" t="n">
        <x:v>5</x:v>
      </x:c>
      <x:c r="J391" s="274" t="n">
        <x:v>165</x:v>
      </x:c>
      <x:c r="K391" s="274" t="n">
        <x:v>970</x:v>
      </x:c>
      <x:c r="M391" s="274" t="s">
        <x:v>958</x:v>
      </x:c>
      <x:c r="N391" s="274" t="s">
        <x:v>870</x:v>
      </x:c>
    </x:row>
    <x:row r="392" spans="1:14">
      <x:c r="A392" s="274" t="s">
        <x:v>959</x:v>
      </x:c>
      <x:c r="B392" s="274" t="n">
        <x:v>0.83</x:v>
      </x:c>
      <x:c r="C392" s="274" t="n">
        <x:v>0</x:v>
      </x:c>
      <x:c r="D392" s="274" t="n">
        <x:v>0</x:v>
      </x:c>
      <x:c r="F392" s="274" t="s">
        <x:v>184</x:v>
      </x:c>
      <x:c r="G392" s="274" t="s">
        <x:v>129</x:v>
      </x:c>
      <x:c r="H392" s="274" t="n">
        <x:v>45</x:v>
      </x:c>
      <x:c r="I392" s="274" t="n">
        <x:v>1.4</x:v>
      </x:c>
      <x:c r="J392" s="274" t="n">
        <x:v>235</x:v>
      </x:c>
      <x:c r="K392" s="274" t="n">
        <x:v>320</x:v>
      </x:c>
      <x:c r="M392" s="274" t="s">
        <x:v>960</x:v>
      </x:c>
      <x:c r="N392" s="274" t="s">
        <x:v>870</x:v>
      </x:c>
    </x:row>
    <x:row r="393" spans="1:14">
      <x:c r="A393" s="274" t="s">
        <x:v>961</x:v>
      </x:c>
      <x:c r="B393" s="274" t="n">
        <x:v>0.35</x:v>
      </x:c>
      <x:c r="C393" s="274" t="n">
        <x:v>0</x:v>
      </x:c>
      <x:c r="D393" s="274" t="n">
        <x:v>0</x:v>
      </x:c>
      <x:c r="F393" s="274" t="s">
        <x:v>133</x:v>
      </x:c>
      <x:c r="G393" s="274" t="s">
        <x:v>136</x:v>
      </x:c>
      <x:c r="H393" s="274" t="n">
        <x:v>45</x:v>
      </x:c>
      <x:c r="I393" s="274" t="n">
        <x:v>1.2</x:v>
      </x:c>
      <x:c r="J393" s="274" t="n">
        <x:v>190</x:v>
      </x:c>
      <x:c r="K393" s="274" t="n">
        <x:v>195</x:v>
      </x:c>
      <x:c r="M393" s="274" t="s">
        <x:v>962</x:v>
      </x:c>
      <x:c r="N393" s="274" t="s">
        <x:v>870</x:v>
      </x:c>
    </x:row>
    <x:row r="394" spans="1:14">
      <x:c r="A394" s="274" t="s">
        <x:v>963</x:v>
      </x:c>
      <x:c r="B394" s="274" t="n">
        <x:v>2.47</x:v>
      </x:c>
      <x:c r="C394" s="274" t="n">
        <x:v>0</x:v>
      </x:c>
      <x:c r="D394" s="274" t="n">
        <x:v>0</x:v>
      </x:c>
      <x:c r="F394" s="274" t="s">
        <x:v>333</x:v>
      </x:c>
      <x:c r="G394" s="274" t="s">
        <x:v>153</x:v>
      </x:c>
      <x:c r="I394" s="274" t="n">
        <x:v>1.2</x:v>
      </x:c>
      <x:c r="J394" s="274" t="n">
        <x:v>210</x:v>
      </x:c>
      <x:c r="K394" s="274" t="n">
        <x:v>1250</x:v>
      </x:c>
      <x:c r="M394" s="274" t="s">
        <x:v>964</x:v>
      </x:c>
    </x:row>
    <x:row r="395" spans="1:14">
      <x:c r="A395" s="274" t="s">
        <x:v>965</x:v>
      </x:c>
      <x:c r="B395" s="274" t="n">
        <x:v>3.14</x:v>
      </x:c>
      <x:c r="C395" s="274" t="n">
        <x:v>0</x:v>
      </x:c>
      <x:c r="D395" s="274" t="n">
        <x:v>0</x:v>
      </x:c>
      <x:c r="F395" s="274" t="s">
        <x:v>133</x:v>
      </x:c>
      <x:c r="G395" s="274" t="s">
        <x:v>136</x:v>
      </x:c>
      <x:c r="H395" s="274" t="n">
        <x:v>45</x:v>
      </x:c>
      <x:c r="I395" s="274" t="n">
        <x:v>1.6</x:v>
      </x:c>
      <x:c r="J395" s="274" t="n">
        <x:v>645</x:v>
      </x:c>
      <x:c r="K395" s="274" t="n">
        <x:v>385</x:v>
      </x:c>
      <x:c r="M395" s="274" t="s">
        <x:v>966</x:v>
      </x:c>
      <x:c r="N395" s="274" t="s">
        <x:v>870</x:v>
      </x:c>
    </x:row>
    <x:row r="396" spans="1:14">
      <x:c r="A396" s="274" t="s">
        <x:v>967</x:v>
      </x:c>
      <x:c r="B396" s="274" t="n">
        <x:v>3.78</x:v>
      </x:c>
      <x:c r="C396" s="274" t="n">
        <x:v>0</x:v>
      </x:c>
      <x:c r="D396" s="274" t="n">
        <x:v>0</x:v>
      </x:c>
      <x:c r="F396" s="274" t="s">
        <x:v>184</x:v>
      </x:c>
      <x:c r="G396" s="274" t="s">
        <x:v>129</x:v>
      </x:c>
      <x:c r="H396" s="274" t="n">
        <x:v>45</x:v>
      </x:c>
      <x:c r="I396" s="274" t="n">
        <x:v>1.6</x:v>
      </x:c>
      <x:c r="J396" s="274" t="n">
        <x:v>239</x:v>
      </x:c>
      <x:c r="K396" s="274" t="n">
        <x:v>1250</x:v>
      </x:c>
      <x:c r="M396" s="274" t="s">
        <x:v>968</x:v>
      </x:c>
      <x:c r="N396" s="274" t="s">
        <x:v>870</x:v>
      </x:c>
    </x:row>
    <x:row r="397" spans="1:14">
      <x:c r="A397" s="274" t="s">
        <x:v>969</x:v>
      </x:c>
      <x:c r="B397" s="274" t="n">
        <x:v>2.1</x:v>
      </x:c>
      <x:c r="C397" s="274" t="n">
        <x:v>0</x:v>
      </x:c>
      <x:c r="D397" s="274" t="n">
        <x:v>0</x:v>
      </x:c>
      <x:c r="F397" s="274" t="s">
        <x:v>123</x:v>
      </x:c>
      <x:c r="G397" s="274" t="s">
        <x:v>139</x:v>
      </x:c>
      <x:c r="I397" s="274" t="n">
        <x:v>3.2</x:v>
      </x:c>
      <x:c r="J397" s="274" t="n">
        <x:v>92</x:v>
      </x:c>
      <x:c r="K397" s="274" t="n">
        <x:v>910</x:v>
      </x:c>
      <x:c r="M397" s="274" t="s">
        <x:v>970</x:v>
      </x:c>
      <x:c r="N397" s="274" t="s">
        <x:v>870</x:v>
      </x:c>
    </x:row>
    <x:row r="398" spans="1:14">
      <x:c r="A398" s="274" t="s">
        <x:v>971</x:v>
      </x:c>
      <x:c r="B398" s="274" t="n">
        <x:v>2.64</x:v>
      </x:c>
      <x:c r="C398" s="274" t="n">
        <x:v>0</x:v>
      </x:c>
      <x:c r="D398" s="274" t="n">
        <x:v>0</x:v>
      </x:c>
      <x:c r="F398" s="274" t="s">
        <x:v>184</x:v>
      </x:c>
      <x:c r="G398" s="274" t="s">
        <x:v>129</x:v>
      </x:c>
      <x:c r="H398" s="274" t="n">
        <x:v>45</x:v>
      </x:c>
      <x:c r="I398" s="274" t="n">
        <x:v>1.2</x:v>
      </x:c>
      <x:c r="J398" s="274" t="n">
        <x:v>222</x:v>
      </x:c>
      <x:c r="K398" s="274" t="n">
        <x:v>1250</x:v>
      </x:c>
      <x:c r="M398" s="274" t="s">
        <x:v>972</x:v>
      </x:c>
      <x:c r="N398" s="274" t="s">
        <x:v>870</x:v>
      </x:c>
    </x:row>
    <x:row r="399" spans="1:14">
      <x:c r="A399" s="274" t="s">
        <x:v>973</x:v>
      </x:c>
      <x:c r="B399" s="274" t="n">
        <x:v>1.19</x:v>
      </x:c>
      <x:c r="C399" s="274" t="n">
        <x:v>0</x:v>
      </x:c>
      <x:c r="D399" s="274" t="n">
        <x:v>0</x:v>
      </x:c>
      <x:c r="F399" s="274" t="s">
        <x:v>133</x:v>
      </x:c>
      <x:c r="G399" s="274" t="s">
        <x:v>136</x:v>
      </x:c>
      <x:c r="H399" s="274" t="n">
        <x:v>45</x:v>
      </x:c>
      <x:c r="I399" s="274" t="n">
        <x:v>1</x:v>
      </x:c>
      <x:c r="J399" s="274" t="n">
        <x:v>440</x:v>
      </x:c>
      <x:c r="K399" s="274" t="n">
        <x:v>340</x:v>
      </x:c>
      <x:c r="M399" s="274" t="s">
        <x:v>974</x:v>
      </x:c>
      <x:c r="N399" s="274" t="s">
        <x:v>975</x:v>
      </x:c>
    </x:row>
    <x:row r="400" spans="1:14">
      <x:c r="A400" s="274" t="s">
        <x:v>976</x:v>
      </x:c>
      <x:c r="B400" s="274" t="n">
        <x:v>2.47</x:v>
      </x:c>
      <x:c r="C400" s="274" t="n">
        <x:v>0</x:v>
      </x:c>
      <x:c r="D400" s="274" t="n">
        <x:v>0</x:v>
      </x:c>
      <x:c r="F400" s="274" t="s">
        <x:v>333</x:v>
      </x:c>
      <x:c r="G400" s="274" t="s">
        <x:v>153</x:v>
      </x:c>
      <x:c r="I400" s="274" t="n">
        <x:v>1.2</x:v>
      </x:c>
      <x:c r="J400" s="274" t="n">
        <x:v>210</x:v>
      </x:c>
      <x:c r="K400" s="274" t="n">
        <x:v>1250</x:v>
      </x:c>
      <x:c r="M400" s="274" t="s">
        <x:v>964</x:v>
      </x:c>
      <x:c r="N400" s="274" t="s">
        <x:v>870</x:v>
      </x:c>
    </x:row>
    <x:row r="401" spans="1:14">
      <x:c r="A401" s="274" t="s">
        <x:v>977</x:v>
      </x:c>
      <x:c r="B401" s="274" t="n">
        <x:v>1.38</x:v>
      </x:c>
      <x:c r="C401" s="274" t="n">
        <x:v>0</x:v>
      </x:c>
      <x:c r="D401" s="274" t="n">
        <x:v>0</x:v>
      </x:c>
      <x:c r="F401" s="274" t="s">
        <x:v>333</x:v>
      </x:c>
      <x:c r="G401" s="274" t="s">
        <x:v>153</x:v>
      </x:c>
      <x:c r="I401" s="274" t="n">
        <x:v>1.2</x:v>
      </x:c>
      <x:c r="J401" s="274" t="n">
        <x:v>179</x:v>
      </x:c>
      <x:c r="K401" s="274" t="n">
        <x:v>820</x:v>
      </x:c>
      <x:c r="M401" s="274" t="s">
        <x:v>978</x:v>
      </x:c>
      <x:c r="N401" s="274" t="s">
        <x:v>870</x:v>
      </x:c>
    </x:row>
    <x:row r="402" spans="1:14">
      <x:c r="A402" s="274" t="s">
        <x:v>979</x:v>
      </x:c>
      <x:c r="B402" s="274" t="n">
        <x:v>2.82</x:v>
      </x:c>
      <x:c r="C402" s="274" t="n">
        <x:v>0</x:v>
      </x:c>
      <x:c r="D402" s="274" t="n">
        <x:v>0</x:v>
      </x:c>
      <x:c r="F402" s="274" t="s">
        <x:v>133</x:v>
      </x:c>
      <x:c r="G402" s="274" t="s">
        <x:v>136</x:v>
      </x:c>
      <x:c r="H402" s="274" t="n">
        <x:v>45</x:v>
      </x:c>
      <x:c r="I402" s="274" t="n">
        <x:v>0.9</x:v>
      </x:c>
      <x:c r="J402" s="274" t="n">
        <x:v>760</x:v>
      </x:c>
      <x:c r="K402" s="274" t="n">
        <x:v>518</x:v>
      </x:c>
      <x:c r="M402" s="274" t="s">
        <x:v>980</x:v>
      </x:c>
      <x:c r="N402" s="274" t="s">
        <x:v>870</x:v>
      </x:c>
    </x:row>
    <x:row r="403" spans="1:14">
      <x:c r="A403" s="274" t="s">
        <x:v>981</x:v>
      </x:c>
      <x:c r="B403" s="274" t="n">
        <x:v>2.52</x:v>
      </x:c>
      <x:c r="C403" s="274" t="n">
        <x:v>0</x:v>
      </x:c>
      <x:c r="D403" s="274" t="n">
        <x:v>0</x:v>
      </x:c>
      <x:c r="E403" s="274" t="n">
        <x:v>12</x:v>
      </x:c>
      <x:c r="F403" s="274" t="s">
        <x:v>333</x:v>
      </x:c>
      <x:c r="G403" s="274" t="s">
        <x:v>153</x:v>
      </x:c>
      <x:c r="I403" s="274" t="n">
        <x:v>0.6</x:v>
      </x:c>
      <x:c r="J403" s="274" t="n">
        <x:v>915</x:v>
      </x:c>
      <x:c r="K403" s="274" t="n">
        <x:v>585</x:v>
      </x:c>
      <x:c r="M403" s="274" t="s">
        <x:v>982</x:v>
      </x:c>
      <x:c r="N403" s="274" t="s">
        <x:v>870</x:v>
      </x:c>
    </x:row>
    <x:row r="404" spans="1:14">
      <x:c r="A404" s="274" t="s">
        <x:v>983</x:v>
      </x:c>
      <x:c r="B404" s="274" t="n">
        <x:v>0.63</x:v>
      </x:c>
      <x:c r="C404" s="274" t="n">
        <x:v>0</x:v>
      </x:c>
      <x:c r="D404" s="274" t="n">
        <x:v>0</x:v>
      </x:c>
      <x:c r="F404" s="274" t="s">
        <x:v>311</x:v>
      </x:c>
      <x:c r="G404" s="274" t="s">
        <x:v>312</x:v>
      </x:c>
      <x:c r="H404" s="274" t="n">
        <x:v>45</x:v>
      </x:c>
      <x:c r="I404" s="274" t="n">
        <x:v>0.7</x:v>
      </x:c>
      <x:c r="J404" s="274" t="n">
        <x:v>365</x:v>
      </x:c>
      <x:c r="K404" s="274" t="n">
        <x:v>307</x:v>
      </x:c>
      <x:c r="M404" s="274" t="s">
        <x:v>984</x:v>
      </x:c>
    </x:row>
    <x:row r="405" spans="1:14">
      <x:c r="A405" s="274" t="s">
        <x:v>985</x:v>
      </x:c>
      <x:c r="B405" s="274" t="n">
        <x:v>1.23</x:v>
      </x:c>
      <x:c r="C405" s="274" t="n">
        <x:v>0</x:v>
      </x:c>
      <x:c r="D405" s="274" t="n">
        <x:v>0</x:v>
      </x:c>
      <x:c r="F405" s="274" t="s">
        <x:v>133</x:v>
      </x:c>
      <x:c r="G405" s="274" t="s">
        <x:v>144</x:v>
      </x:c>
      <x:c r="H405" s="274" t="n">
        <x:v>45</x:v>
      </x:c>
      <x:c r="I405" s="274" t="n">
        <x:v>1</x:v>
      </x:c>
      <x:c r="J405" s="274" t="n">
        <x:v>374</x:v>
      </x:c>
      <x:c r="K405" s="274" t="n">
        <x:v>415</x:v>
      </x:c>
      <x:c r="M405" s="274" t="s">
        <x:v>986</x:v>
      </x:c>
      <x:c r="N405" s="274" t="s">
        <x:v>441</x:v>
      </x:c>
    </x:row>
    <x:row r="406" spans="1:14">
      <x:c r="A406" s="274" t="s">
        <x:v>987</x:v>
      </x:c>
      <x:c r="B406" s="274" t="n">
        <x:v>0.55</x:v>
      </x:c>
      <x:c r="C406" s="274" t="n">
        <x:v>0</x:v>
      </x:c>
      <x:c r="D406" s="274" t="n">
        <x:v>0</x:v>
      </x:c>
      <x:c r="F406" s="274" t="s">
        <x:v>133</x:v>
      </x:c>
      <x:c r="G406" s="274" t="s">
        <x:v>136</x:v>
      </x:c>
      <x:c r="H406" s="274" t="n">
        <x:v>45</x:v>
      </x:c>
      <x:c r="I406" s="274" t="n">
        <x:v>1</x:v>
      </x:c>
      <x:c r="J406" s="274" t="n">
        <x:v>203</x:v>
      </x:c>
      <x:c r="K406" s="274" t="n">
        <x:v>343</x:v>
      </x:c>
      <x:c r="M406" s="274" t="s">
        <x:v>988</x:v>
      </x:c>
      <x:c r="N406" s="274" t="s">
        <x:v>441</x:v>
      </x:c>
    </x:row>
    <x:row r="407" spans="1:14">
      <x:c r="A407" s="274" t="s">
        <x:v>989</x:v>
      </x:c>
      <x:c r="B407" s="274" t="n">
        <x:v>0.51</x:v>
      </x:c>
      <x:c r="C407" s="274" t="n">
        <x:v>0</x:v>
      </x:c>
      <x:c r="D407" s="274" t="n">
        <x:v>0</x:v>
      </x:c>
      <x:c r="F407" s="274" t="s">
        <x:v>123</x:v>
      </x:c>
      <x:c r="G407" s="274" t="s">
        <x:v>153</x:v>
      </x:c>
      <x:c r="I407" s="274" t="n">
        <x:v>0.8</x:v>
      </x:c>
      <x:c r="J407" s="274" t="n">
        <x:v>210</x:v>
      </x:c>
      <x:c r="K407" s="274" t="n">
        <x:v>385</x:v>
      </x:c>
      <x:c r="M407" s="274" t="s">
        <x:v>990</x:v>
      </x:c>
    </x:row>
    <x:row r="408" spans="1:14">
      <x:c r="A408" s="274" t="s">
        <x:v>991</x:v>
      </x:c>
      <x:c r="B408" s="274" t="n">
        <x:v>3.29</x:v>
      </x:c>
      <x:c r="C408" s="274" t="n">
        <x:v>0</x:v>
      </x:c>
      <x:c r="D408" s="274" t="n">
        <x:v>0</x:v>
      </x:c>
      <x:c r="F408" s="274" t="s">
        <x:v>133</x:v>
      </x:c>
      <x:c r="G408" s="274" t="s">
        <x:v>144</x:v>
      </x:c>
      <x:c r="H408" s="274" t="n">
        <x:v>45</x:v>
      </x:c>
      <x:c r="I408" s="274" t="n">
        <x:v>1.8</x:v>
      </x:c>
      <x:c r="J408" s="274" t="n">
        <x:v>190</x:v>
      </x:c>
      <x:c r="K408" s="274" t="n">
        <x:v>1219</x:v>
      </x:c>
      <x:c r="M408" s="274" t="s">
        <x:v>992</x:v>
      </x:c>
      <x:c r="N408" s="274" t="s">
        <x:v>870</x:v>
      </x:c>
    </x:row>
    <x:row r="409" spans="1:14">
      <x:c r="A409" s="274" t="s">
        <x:v>993</x:v>
      </x:c>
      <x:c r="B409" s="274" t="n">
        <x:v>0.34</x:v>
      </x:c>
      <x:c r="C409" s="274" t="n">
        <x:v>0</x:v>
      </x:c>
      <x:c r="D409" s="274" t="n">
        <x:v>35</x:v>
      </x:c>
      <x:c r="E409" s="274" t="n">
        <x:v>33</x:v>
      </x:c>
      <x:c r="F409" s="274" t="s">
        <x:v>133</x:v>
      </x:c>
      <x:c r="G409" s="274" t="s">
        <x:v>144</x:v>
      </x:c>
      <x:c r="H409" s="274" t="n">
        <x:v>45</x:v>
      </x:c>
      <x:c r="I409" s="274" t="n">
        <x:v>2</x:v>
      </x:c>
      <x:c r="J409" s="274" t="n">
        <x:v>312</x:v>
      </x:c>
      <x:c r="K409" s="274" t="n">
        <x:v>70</x:v>
      </x:c>
      <x:c r="M409" s="274" t="s">
        <x:v>994</x:v>
      </x:c>
    </x:row>
    <x:row r="410" spans="1:14">
      <x:c r="A410" s="274" t="s">
        <x:v>995</x:v>
      </x:c>
      <x:c r="B410" s="274" t="n">
        <x:v>1.82</x:v>
      </x:c>
      <x:c r="C410" s="274" t="n">
        <x:v>0</x:v>
      </x:c>
      <x:c r="D410" s="274" t="n">
        <x:v>0</x:v>
      </x:c>
      <x:c r="F410" s="274" t="s">
        <x:v>133</x:v>
      </x:c>
      <x:c r="G410" s="274" t="s">
        <x:v>148</x:v>
      </x:c>
      <x:c r="I410" s="274" t="n">
        <x:v>2.6</x:v>
      </x:c>
      <x:c r="J410" s="274" t="n">
        <x:v>217</x:v>
      </x:c>
      <x:c r="K410" s="274" t="n">
        <x:v>410</x:v>
      </x:c>
      <x:c r="M410" s="274" t="s">
        <x:v>996</x:v>
      </x:c>
      <x:c r="N410" s="274" t="s">
        <x:v>582</x:v>
      </x:c>
    </x:row>
    <x:row r="411" spans="1:14">
      <x:c r="A411" s="274" t="s">
        <x:v>997</x:v>
      </x:c>
      <x:c r="B411" s="274" t="n">
        <x:v>2.28</x:v>
      </x:c>
      <x:c r="C411" s="274" t="n">
        <x:v>0</x:v>
      </x:c>
      <x:c r="D411" s="274" t="n">
        <x:v>0</x:v>
      </x:c>
      <x:c r="F411" s="274" t="s">
        <x:v>133</x:v>
      </x:c>
      <x:c r="G411" s="274" t="s">
        <x:v>148</x:v>
      </x:c>
      <x:c r="I411" s="274" t="n">
        <x:v>2</x:v>
      </x:c>
      <x:c r="J411" s="274" t="n">
        <x:v>121</x:v>
      </x:c>
      <x:c r="K411" s="274" t="n">
        <x:v>1200</x:v>
      </x:c>
      <x:c r="M411" s="274" t="s">
        <x:v>998</x:v>
      </x:c>
      <x:c r="N411" s="274" t="s">
        <x:v>582</x:v>
      </x:c>
    </x:row>
    <x:row r="412" spans="1:14">
      <x:c r="A412" s="274" t="s">
        <x:v>999</x:v>
      </x:c>
      <x:c r="B412" s="274" t="n">
        <x:v>2.85</x:v>
      </x:c>
      <x:c r="C412" s="274" t="n">
        <x:v>0</x:v>
      </x:c>
      <x:c r="D412" s="274" t="n">
        <x:v>0</x:v>
      </x:c>
      <x:c r="F412" s="274" t="s">
        <x:v>123</x:v>
      </x:c>
      <x:c r="G412" s="274" t="s">
        <x:v>153</x:v>
      </x:c>
      <x:c r="I412" s="274" t="n">
        <x:v>1.2</x:v>
      </x:c>
      <x:c r="J412" s="274" t="n">
        <x:v>225</x:v>
      </x:c>
      <x:c r="K412" s="274" t="n">
        <x:v>1345</x:v>
      </x:c>
      <x:c r="M412" s="274" t="s">
        <x:v>1000</x:v>
      </x:c>
      <x:c r="N412" s="274" t="s">
        <x:v>787</x:v>
      </x:c>
    </x:row>
    <x:row r="413" spans="1:14">
      <x:c r="A413" s="274" t="s">
        <x:v>1001</x:v>
      </x:c>
      <x:c r="B413" s="274" t="n">
        <x:v>1.24</x:v>
      </x:c>
      <x:c r="C413" s="274" t="n">
        <x:v>0</x:v>
      </x:c>
      <x:c r="D413" s="274" t="n">
        <x:v>0</x:v>
      </x:c>
      <x:c r="F413" s="274" t="s">
        <x:v>333</x:v>
      </x:c>
      <x:c r="G413" s="274" t="s">
        <x:v>124</x:v>
      </x:c>
      <x:c r="I413" s="274" t="n">
        <x:v>1</x:v>
      </x:c>
      <x:c r="J413" s="274" t="n">
        <x:v>1090</x:v>
      </x:c>
      <x:c r="K413" s="274" t="n">
        <x:v>145</x:v>
      </x:c>
      <x:c r="M413" s="274" t="s">
        <x:v>1002</x:v>
      </x:c>
    </x:row>
    <x:row r="414" spans="1:14">
      <x:c r="A414" s="274" t="s">
        <x:v>1003</x:v>
      </x:c>
      <x:c r="B414" s="274" t="n">
        <x:v>8.7</x:v>
      </x:c>
      <x:c r="C414" s="274" t="n">
        <x:v>0</x:v>
      </x:c>
      <x:c r="D414" s="274" t="n">
        <x:v>30</x:v>
      </x:c>
      <x:c r="E414" s="274" t="n">
        <x:v>40</x:v>
      </x:c>
      <x:c r="F414" s="274" t="s">
        <x:v>133</x:v>
      </x:c>
      <x:c r="G414" s="274" t="s">
        <x:v>134</x:v>
      </x:c>
      <x:c r="I414" s="274" t="n">
        <x:v>3.2</x:v>
      </x:c>
      <x:c r="J414" s="274" t="n">
        <x:v>700</x:v>
      </x:c>
      <x:c r="K414" s="274" t="n">
        <x:v>495</x:v>
      </x:c>
      <x:c r="M414" s="274" t="s">
        <x:v>214</x:v>
      </x:c>
      <x:c r="N414" s="274" t="s">
        <x:v>299</x:v>
      </x:c>
    </x:row>
    <x:row r="415" spans="1:14">
      <x:c r="A415" s="274" t="s">
        <x:v>1004</x:v>
      </x:c>
      <x:c r="B415" s="274" t="n">
        <x:v>10.59</x:v>
      </x:c>
      <x:c r="C415" s="274" t="n">
        <x:v>43</x:v>
      </x:c>
      <x:c r="D415" s="274" t="n">
        <x:v>42</x:v>
      </x:c>
      <x:c r="E415" s="274" t="n">
        <x:v>28</x:v>
      </x:c>
      <x:c r="F415" s="274" t="s">
        <x:v>133</x:v>
      </x:c>
      <x:c r="G415" s="274" t="s">
        <x:v>136</x:v>
      </x:c>
      <x:c r="H415" s="274" t="n">
        <x:v>45</x:v>
      </x:c>
      <x:c r="I415" s="274" t="n">
        <x:v>0.65</x:v>
      </x:c>
      <x:c r="J415" s="274" t="n">
        <x:v>1320</x:v>
      </x:c>
      <x:c r="K415" s="274" t="n">
        <x:v>1545</x:v>
      </x:c>
      <x:c r="M415" s="274" t="s">
        <x:v>1005</x:v>
      </x:c>
    </x:row>
    <x:row r="416" spans="1:14">
      <x:c r="A416" s="274" t="s">
        <x:v>1006</x:v>
      </x:c>
      <x:c r="B416" s="274" t="n">
        <x:v>0.99</x:v>
      </x:c>
      <x:c r="C416" s="274" t="n">
        <x:v>0</x:v>
      </x:c>
      <x:c r="D416" s="274" t="n">
        <x:v>0</x:v>
      </x:c>
      <x:c r="F416" s="274" t="s">
        <x:v>133</x:v>
      </x:c>
      <x:c r="G416" s="274" t="s">
        <x:v>153</x:v>
      </x:c>
      <x:c r="I416" s="274" t="n">
        <x:v>1.6</x:v>
      </x:c>
      <x:c r="J416" s="274" t="n">
        <x:v>255</x:v>
      </x:c>
      <x:c r="K416" s="274" t="n">
        <x:v>310</x:v>
      </x:c>
      <x:c r="M416" s="274" t="s">
        <x:v>1007</x:v>
      </x:c>
      <x:c r="N416" s="274" t="s">
        <x:v>155</x:v>
      </x:c>
    </x:row>
    <x:row r="417" spans="1:14">
      <x:c r="A417" s="274" t="s">
        <x:v>1008</x:v>
      </x:c>
      <x:c r="B417" s="274" t="n">
        <x:v>4.16</x:v>
      </x:c>
      <x:c r="C417" s="274" t="n">
        <x:v>0</x:v>
      </x:c>
      <x:c r="D417" s="274" t="n">
        <x:v>0</x:v>
      </x:c>
      <x:c r="F417" s="274" t="s">
        <x:v>123</x:v>
      </x:c>
      <x:c r="G417" s="274" t="s">
        <x:v>139</x:v>
      </x:c>
      <x:c r="I417" s="274" t="n">
        <x:v>2.6</x:v>
      </x:c>
      <x:c r="J417" s="274" t="n">
        <x:v>120</x:v>
      </x:c>
      <x:c r="K417" s="274" t="n">
        <x:v>1700</x:v>
      </x:c>
      <x:c r="M417" s="274" t="s">
        <x:v>1009</x:v>
      </x:c>
    </x:row>
    <x:row r="418" spans="1:14">
      <x:c r="A418" s="274" t="s">
        <x:v>1010</x:v>
      </x:c>
      <x:c r="B418" s="274" t="n">
        <x:v>0.51</x:v>
      </x:c>
      <x:c r="C418" s="274" t="n">
        <x:v>0</x:v>
      </x:c>
      <x:c r="D418" s="274" t="n">
        <x:v>0</x:v>
      </x:c>
      <x:c r="F418" s="274" t="s">
        <x:v>311</x:v>
      </x:c>
      <x:c r="G418" s="274" t="s">
        <x:v>134</x:v>
      </x:c>
      <x:c r="I418" s="274" t="n">
        <x:v>3.4</x:v>
      </x:c>
      <x:c r="J418" s="274" t="n">
        <x:v>136</x:v>
      </x:c>
      <x:c r="K418" s="274" t="n">
        <x:v>140</x:v>
      </x:c>
      <x:c r="M418" s="274" t="s">
        <x:v>1011</x:v>
      </x:c>
      <x:c r="N418" s="274" t="s">
        <x:v>299</x:v>
      </x:c>
    </x:row>
    <x:row r="419" spans="1:14">
      <x:c r="A419" s="274" t="s">
        <x:v>1012</x:v>
      </x:c>
      <x:c r="B419" s="274" t="n">
        <x:v>1.22</x:v>
      </x:c>
      <x:c r="C419" s="274" t="n">
        <x:v>0</x:v>
      </x:c>
      <x:c r="D419" s="274" t="n">
        <x:v>0</x:v>
      </x:c>
      <x:c r="F419" s="274" t="s">
        <x:v>311</x:v>
      </x:c>
      <x:c r="G419" s="274" t="s">
        <x:v>1013</x:v>
      </x:c>
      <x:c r="I419" s="274" t="n">
        <x:v>2</x:v>
      </x:c>
      <x:c r="J419" s="274" t="n">
        <x:v>78</x:v>
      </x:c>
      <x:c r="K419" s="274" t="n">
        <x:v>1000</x:v>
      </x:c>
      <x:c r="M419" s="274" t="s">
        <x:v>1014</x:v>
      </x:c>
      <x:c r="N419" s="274" t="s">
        <x:v>229</x:v>
      </x:c>
    </x:row>
    <x:row r="420" spans="1:14">
      <x:c r="A420" s="274" t="s">
        <x:v>1015</x:v>
      </x:c>
      <x:c r="B420" s="274" t="n">
        <x:v>1.07</x:v>
      </x:c>
      <x:c r="C420" s="274" t="n">
        <x:v>0</x:v>
      </x:c>
      <x:c r="D420" s="274" t="n">
        <x:v>0</x:v>
      </x:c>
      <x:c r="F420" s="274" t="s">
        <x:v>311</x:v>
      </x:c>
      <x:c r="G420" s="274" t="s">
        <x:v>1013</x:v>
      </x:c>
      <x:c r="I420" s="274" t="n">
        <x:v>2</x:v>
      </x:c>
      <x:c r="J420" s="274" t="n">
        <x:v>68</x:v>
      </x:c>
      <x:c r="K420" s="274" t="n">
        <x:v>1000</x:v>
      </x:c>
      <x:c r="M420" s="274" t="s">
        <x:v>1016</x:v>
      </x:c>
      <x:c r="N420" s="274" t="s">
        <x:v>162</x:v>
      </x:c>
    </x:row>
    <x:row r="421" spans="1:14">
      <x:c r="A421" s="274" t="s">
        <x:v>1017</x:v>
      </x:c>
      <x:c r="B421" s="274" t="n">
        <x:v>3.45</x:v>
      </x:c>
      <x:c r="C421" s="274" t="n">
        <x:v>0</x:v>
      </x:c>
      <x:c r="D421" s="274" t="n">
        <x:v>0</x:v>
      </x:c>
      <x:c r="F421" s="274" t="s">
        <x:v>311</x:v>
      </x:c>
      <x:c r="G421" s="274" t="s">
        <x:v>134</x:v>
      </x:c>
      <x:c r="I421" s="274" t="n">
        <x:v>1.4</x:v>
      </x:c>
      <x:c r="J421" s="274" t="n">
        <x:v>282</x:v>
      </x:c>
      <x:c r="K421" s="274" t="n">
        <x:v>1112</x:v>
      </x:c>
      <x:c r="M421" s="274" t="s">
        <x:v>1018</x:v>
      </x:c>
      <x:c r="N421" s="274" t="s">
        <x:v>421</x:v>
      </x:c>
    </x:row>
    <x:row r="422" spans="1:14">
      <x:c r="A422" s="274" t="s">
        <x:v>1019</x:v>
      </x:c>
      <x:c r="B422" s="274" t="n">
        <x:v>1.56</x:v>
      </x:c>
      <x:c r="C422" s="274" t="n">
        <x:v>0</x:v>
      </x:c>
      <x:c r="D422" s="274" t="n">
        <x:v>0</x:v>
      </x:c>
      <x:c r="F422" s="274" t="s">
        <x:v>311</x:v>
      </x:c>
      <x:c r="G422" s="274" t="s">
        <x:v>134</x:v>
      </x:c>
      <x:c r="I422" s="274" t="n">
        <x:v>1.4</x:v>
      </x:c>
      <x:c r="J422" s="274" t="n">
        <x:v>115</x:v>
      </x:c>
      <x:c r="K422" s="274" t="n">
        <x:v>1235</x:v>
      </x:c>
      <x:c r="M422" s="274" t="s">
        <x:v>1020</x:v>
      </x:c>
      <x:c r="N422" s="274" t="s">
        <x:v>421</x:v>
      </x:c>
    </x:row>
    <x:row r="423" spans="1:14">
      <x:c r="A423" s="274" t="s">
        <x:v>1021</x:v>
      </x:c>
      <x:c r="B423" s="274" t="n">
        <x:v>0.3</x:v>
      </x:c>
      <x:c r="C423" s="274" t="n">
        <x:v>0</x:v>
      </x:c>
      <x:c r="D423" s="274" t="n">
        <x:v>0</x:v>
      </x:c>
      <x:c r="F423" s="274" t="s">
        <x:v>123</x:v>
      </x:c>
      <x:c r="G423" s="274" t="s">
        <x:v>209</x:v>
      </x:c>
      <x:c r="I423" s="274" t="n">
        <x:v>0.75</x:v>
      </x:c>
      <x:c r="J423" s="274" t="n">
        <x:v>197</x:v>
      </x:c>
      <x:c r="K423" s="274" t="n">
        <x:v>260</x:v>
      </x:c>
      <x:c r="M423" s="274" t="s">
        <x:v>1022</x:v>
      </x:c>
      <x:c r="N423" s="274" t="s">
        <x:v>299</x:v>
      </x:c>
    </x:row>
    <x:row r="424" spans="1:14">
      <x:c r="A424" s="274" t="s">
        <x:v>1023</x:v>
      </x:c>
      <x:c r="B424" s="274" t="n">
        <x:v>5.83</x:v>
      </x:c>
      <x:c r="C424" s="274" t="n">
        <x:v>0</x:v>
      </x:c>
      <x:c r="D424" s="274" t="n">
        <x:v>0</x:v>
      </x:c>
      <x:c r="F424" s="274" t="s">
        <x:v>133</x:v>
      </x:c>
      <x:c r="G424" s="274" t="s">
        <x:v>136</x:v>
      </x:c>
      <x:c r="H424" s="274" t="n">
        <x:v>45</x:v>
      </x:c>
      <x:c r="I424" s="274" t="n">
        <x:v>1.6</x:v>
      </x:c>
      <x:c r="J424" s="274" t="n">
        <x:v>800</x:v>
      </x:c>
      <x:c r="K424" s="274" t="n">
        <x:v>576</x:v>
      </x:c>
      <x:c r="M424" s="274" t="s">
        <x:v>1024</x:v>
      </x:c>
      <x:c r="N424" s="274" t="s">
        <x:v>126</x:v>
      </x:c>
    </x:row>
    <x:row r="425" spans="1:14">
      <x:c r="A425" s="274" t="s">
        <x:v>1025</x:v>
      </x:c>
      <x:c r="B425" s="274" t="n">
        <x:v>4.67</x:v>
      </x:c>
      <x:c r="C425" s="274" t="n">
        <x:v>0</x:v>
      </x:c>
      <x:c r="D425" s="274" t="n">
        <x:v>0</x:v>
      </x:c>
      <x:c r="F425" s="274" t="s">
        <x:v>311</x:v>
      </x:c>
      <x:c r="G425" s="274" t="s">
        <x:v>134</x:v>
      </x:c>
      <x:c r="I425" s="274" t="n">
        <x:v>3.4</x:v>
      </x:c>
      <x:c r="J425" s="274" t="n">
        <x:v>140</x:v>
      </x:c>
      <x:c r="K425" s="274" t="n">
        <x:v>1250</x:v>
      </x:c>
      <x:c r="M425" s="274" t="s">
        <x:v>1026</x:v>
      </x:c>
      <x:c r="N425" s="274" t="s">
        <x:v>162</x:v>
      </x:c>
    </x:row>
    <x:row r="426" spans="1:14">
      <x:c r="A426" s="274" t="s">
        <x:v>1027</x:v>
      </x:c>
      <x:c r="B426" s="274" t="n">
        <x:v>0.39</x:v>
      </x:c>
      <x:c r="C426" s="274" t="n">
        <x:v>0</x:v>
      </x:c>
      <x:c r="D426" s="274" t="n">
        <x:v>0</x:v>
      </x:c>
      <x:c r="F426" s="274" t="s">
        <x:v>333</x:v>
      </x:c>
      <x:c r="G426" s="274" t="s">
        <x:v>209</x:v>
      </x:c>
      <x:c r="I426" s="274" t="n">
        <x:v>1.2</x:v>
      </x:c>
      <x:c r="J426" s="274" t="n">
        <x:v>65</x:v>
      </x:c>
      <x:c r="K426" s="274" t="n">
        <x:v>640</x:v>
      </x:c>
      <x:c r="M426" s="274" t="s">
        <x:v>1028</x:v>
      </x:c>
      <x:c r="N426" s="274" t="s">
        <x:v>299</x:v>
      </x:c>
    </x:row>
    <x:row r="427" spans="1:14">
      <x:c r="A427" s="274" t="s">
        <x:v>1029</x:v>
      </x:c>
      <x:c r="B427" s="274" t="n">
        <x:v>0.13</x:v>
      </x:c>
      <x:c r="C427" s="274" t="n">
        <x:v>0</x:v>
      </x:c>
      <x:c r="D427" s="274" t="n">
        <x:v>0</x:v>
      </x:c>
      <x:c r="F427" s="274" t="s">
        <x:v>333</x:v>
      </x:c>
      <x:c r="G427" s="274" t="s">
        <x:v>209</x:v>
      </x:c>
      <x:c r="I427" s="274" t="n">
        <x:v>1</x:v>
      </x:c>
      <x:c r="J427" s="274" t="n">
        <x:v>225</x:v>
      </x:c>
      <x:c r="K427" s="274" t="n">
        <x:v>75</x:v>
      </x:c>
      <x:c r="M427" s="274" t="s">
        <x:v>1030</x:v>
      </x:c>
      <x:c r="N427" s="274" t="s">
        <x:v>299</x:v>
      </x:c>
    </x:row>
    <x:row r="428" spans="1:14">
      <x:c r="A428" s="274" t="s">
        <x:v>1031</x:v>
      </x:c>
      <x:c r="B428" s="274" t="n">
        <x:v>0.8</x:v>
      </x:c>
      <x:c r="C428" s="274" t="n">
        <x:v>0</x:v>
      </x:c>
      <x:c r="D428" s="274" t="n">
        <x:v>0</x:v>
      </x:c>
      <x:c r="F428" s="274" t="s">
        <x:v>333</x:v>
      </x:c>
      <x:c r="G428" s="274" t="s">
        <x:v>153</x:v>
      </x:c>
      <x:c r="I428" s="274" t="n">
        <x:v>1.2</x:v>
      </x:c>
      <x:c r="J428" s="274" t="n">
        <x:v>445</x:v>
      </x:c>
      <x:c r="K428" s="274" t="n">
        <x:v>190</x:v>
      </x:c>
      <x:c r="M428" s="274" t="s">
        <x:v>1032</x:v>
      </x:c>
    </x:row>
    <x:row r="429" spans="1:14">
      <x:c r="A429" s="274" t="s">
        <x:v>1033</x:v>
      </x:c>
      <x:c r="B429" s="274" t="n">
        <x:v>0.57</x:v>
      </x:c>
      <x:c r="C429" s="274" t="n">
        <x:v>0</x:v>
      </x:c>
      <x:c r="D429" s="274" t="n">
        <x:v>0</x:v>
      </x:c>
      <x:c r="E429" s="274" t="n">
        <x:v>16</x:v>
      </x:c>
      <x:c r="F429" s="274" t="s">
        <x:v>333</x:v>
      </x:c>
      <x:c r="G429" s="274" t="s">
        <x:v>209</x:v>
      </x:c>
      <x:c r="I429" s="274" t="n">
        <x:v>1.2</x:v>
      </x:c>
      <x:c r="J429" s="274" t="n">
        <x:v>480</x:v>
      </x:c>
      <x:c r="K429" s="274" t="n">
        <x:v>125</x:v>
      </x:c>
      <x:c r="M429" s="274" t="s">
        <x:v>1034</x:v>
      </x:c>
      <x:c r="N429" s="274" t="s">
        <x:v>299</x:v>
      </x:c>
    </x:row>
    <x:row r="430" spans="1:14">
      <x:c r="A430" s="274" t="s">
        <x:v>1035</x:v>
      </x:c>
      <x:c r="B430" s="274" t="n">
        <x:v>1.22</x:v>
      </x:c>
      <x:c r="C430" s="274" t="n">
        <x:v>0</x:v>
      </x:c>
      <x:c r="D430" s="274" t="n">
        <x:v>0</x:v>
      </x:c>
      <x:c r="F430" s="274" t="s">
        <x:v>333</x:v>
      </x:c>
      <x:c r="G430" s="274" t="s">
        <x:v>124</x:v>
      </x:c>
      <x:c r="I430" s="274" t="n">
        <x:v>1</x:v>
      </x:c>
      <x:c r="J430" s="274" t="n">
        <x:v>787</x:v>
      </x:c>
      <x:c r="K430" s="274" t="n">
        <x:v>197</x:v>
      </x:c>
      <x:c r="M430" s="274" t="s">
        <x:v>1036</x:v>
      </x:c>
      <x:c r="N430" s="274" t="s">
        <x:v>299</x:v>
      </x:c>
    </x:row>
    <x:row r="431" spans="1:14">
      <x:c r="A431" s="274" t="s">
        <x:v>1037</x:v>
      </x:c>
      <x:c r="B431" s="274" t="n">
        <x:v>0.36</x:v>
      </x:c>
      <x:c r="C431" s="274" t="n">
        <x:v>0</x:v>
      </x:c>
      <x:c r="D431" s="274" t="n">
        <x:v>0</x:v>
      </x:c>
      <x:c r="F431" s="274" t="s">
        <x:v>333</x:v>
      </x:c>
      <x:c r="G431" s="274" t="s">
        <x:v>209</x:v>
      </x:c>
      <x:c r="I431" s="274" t="n">
        <x:v>1.4</x:v>
      </x:c>
      <x:c r="J431" s="274" t="n">
        <x:v>232</x:v>
      </x:c>
      <x:c r="K431" s="274" t="n">
        <x:v>143</x:v>
      </x:c>
      <x:c r="M431" s="274" t="s">
        <x:v>1038</x:v>
      </x:c>
      <x:c r="N431" s="274" t="s">
        <x:v>155</x:v>
      </x:c>
    </x:row>
    <x:row r="432" spans="1:14">
      <x:c r="A432" s="274" t="s">
        <x:v>1039</x:v>
      </x:c>
      <x:c r="B432" s="274" t="n">
        <x:v>1.03</x:v>
      </x:c>
      <x:c r="C432" s="274" t="n">
        <x:v>0</x:v>
      </x:c>
      <x:c r="D432" s="274" t="n">
        <x:v>0</x:v>
      </x:c>
      <x:c r="F432" s="274" t="s">
        <x:v>333</x:v>
      </x:c>
      <x:c r="G432" s="274" t="s">
        <x:v>153</x:v>
      </x:c>
      <x:c r="I432" s="274" t="n">
        <x:v>1.2</x:v>
      </x:c>
      <x:c r="J432" s="274" t="n">
        <x:v>450</x:v>
      </x:c>
      <x:c r="K432" s="274" t="n">
        <x:v>244</x:v>
      </x:c>
      <x:c r="M432" s="274" t="s">
        <x:v>1040</x:v>
      </x:c>
      <x:c r="N432" s="274" t="s">
        <x:v>155</x:v>
      </x:c>
    </x:row>
    <x:row r="433" spans="1:14">
      <x:c r="A433" s="274" t="s">
        <x:v>1041</x:v>
      </x:c>
      <x:c r="B433" s="274" t="n">
        <x:v>2.47</x:v>
      </x:c>
      <x:c r="C433" s="274" t="n">
        <x:v>0</x:v>
      </x:c>
      <x:c r="D433" s="274" t="n">
        <x:v>0</x:v>
      </x:c>
      <x:c r="F433" s="274" t="s">
        <x:v>333</x:v>
      </x:c>
      <x:c r="G433" s="274" t="s">
        <x:v>209</x:v>
      </x:c>
      <x:c r="I433" s="274" t="n">
        <x:v>1.4</x:v>
      </x:c>
      <x:c r="J433" s="274" t="n">
        <x:v>192</x:v>
      </x:c>
      <x:c r="K433" s="274" t="n">
        <x:v>1170</x:v>
      </x:c>
      <x:c r="M433" s="274" t="s">
        <x:v>1042</x:v>
      </x:c>
      <x:c r="N433" s="274" t="s">
        <x:v>155</x:v>
      </x:c>
    </x:row>
    <x:row r="434" spans="1:14">
      <x:c r="A434" s="274" t="s">
        <x:v>1043</x:v>
      </x:c>
      <x:c r="B434" s="274" t="n">
        <x:v>1.66</x:v>
      </x:c>
      <x:c r="C434" s="274" t="n">
        <x:v>0</x:v>
      </x:c>
      <x:c r="D434" s="274" t="n">
        <x:v>0</x:v>
      </x:c>
      <x:c r="F434" s="274" t="s">
        <x:v>333</x:v>
      </x:c>
      <x:c r="G434" s="274" t="s">
        <x:v>209</x:v>
      </x:c>
      <x:c r="I434" s="274" t="n">
        <x:v>1.4</x:v>
      </x:c>
      <x:c r="J434" s="274" t="n">
        <x:v>125</x:v>
      </x:c>
      <x:c r="K434" s="274" t="n">
        <x:v>1205</x:v>
      </x:c>
      <x:c r="M434" s="274" t="s">
        <x:v>1044</x:v>
      </x:c>
      <x:c r="N434" s="274" t="s">
        <x:v>299</x:v>
      </x:c>
    </x:row>
    <x:row r="435" spans="1:14">
      <x:c r="A435" s="274" t="s">
        <x:v>1045</x:v>
      </x:c>
      <x:c r="B435" s="274" t="n">
        <x:v>2.64</x:v>
      </x:c>
      <x:c r="C435" s="274" t="n">
        <x:v>0</x:v>
      </x:c>
      <x:c r="D435" s="274" t="n">
        <x:v>0</x:v>
      </x:c>
      <x:c r="F435" s="274" t="s">
        <x:v>333</x:v>
      </x:c>
      <x:c r="G435" s="274" t="s">
        <x:v>209</x:v>
      </x:c>
      <x:c r="I435" s="274" t="n">
        <x:v>1.2</x:v>
      </x:c>
      <x:c r="J435" s="274" t="n">
        <x:v>250</x:v>
      </x:c>
      <x:c r="K435" s="274" t="n">
        <x:v>1119</x:v>
      </x:c>
      <x:c r="M435" s="274" t="s">
        <x:v>1046</x:v>
      </x:c>
    </x:row>
    <x:row r="436" spans="1:14">
      <x:c r="A436" s="274" t="s">
        <x:v>1047</x:v>
      </x:c>
      <x:c r="B436" s="274" t="n">
        <x:v>1.22</x:v>
      </x:c>
      <x:c r="C436" s="274" t="n">
        <x:v>0</x:v>
      </x:c>
      <x:c r="D436" s="274" t="n">
        <x:v>0</x:v>
      </x:c>
      <x:c r="F436" s="274" t="s">
        <x:v>333</x:v>
      </x:c>
      <x:c r="G436" s="274" t="s">
        <x:v>209</x:v>
      </x:c>
      <x:c r="I436" s="274" t="n">
        <x:v>1.2</x:v>
      </x:c>
      <x:c r="J436" s="274" t="n">
        <x:v>110</x:v>
      </x:c>
      <x:c r="K436" s="274" t="n">
        <x:v>1178</x:v>
      </x:c>
      <x:c r="M436" s="274" t="s">
        <x:v>1048</x:v>
      </x:c>
      <x:c r="N436" s="274" t="s">
        <x:v>155</x:v>
      </x:c>
    </x:row>
    <x:row r="437" spans="1:14">
      <x:c r="A437" s="274" t="s">
        <x:v>1049</x:v>
      </x:c>
      <x:c r="B437" s="274" t="n">
        <x:v>3.36</x:v>
      </x:c>
      <x:c r="C437" s="274" t="n">
        <x:v>0</x:v>
      </x:c>
      <x:c r="D437" s="274" t="n">
        <x:v>0</x:v>
      </x:c>
      <x:c r="F437" s="274" t="s">
        <x:v>123</x:v>
      </x:c>
      <x:c r="G437" s="274" t="s">
        <x:v>153</x:v>
      </x:c>
      <x:c r="I437" s="274" t="n">
        <x:v>0.75</x:v>
      </x:c>
      <x:c r="J437" s="274" t="n">
        <x:v>370</x:v>
      </x:c>
      <x:c r="K437" s="274" t="n">
        <x:v>1544</x:v>
      </x:c>
      <x:c r="M437" s="274" t="s">
        <x:v>1050</x:v>
      </x:c>
      <x:c r="N437" s="274" t="s">
        <x:v>126</x:v>
      </x:c>
    </x:row>
    <x:row r="438" spans="1:14">
      <x:c r="A438" s="274" t="s">
        <x:v>1051</x:v>
      </x:c>
      <x:c r="B438" s="274" t="n">
        <x:v>0.63</x:v>
      </x:c>
      <x:c r="C438" s="274" t="n">
        <x:v>0</x:v>
      </x:c>
      <x:c r="D438" s="274" t="n">
        <x:v>0</x:v>
      </x:c>
      <x:c r="F438" s="274" t="s">
        <x:v>333</x:v>
      </x:c>
      <x:c r="G438" s="274" t="s">
        <x:v>153</x:v>
      </x:c>
      <x:c r="I438" s="274" t="n">
        <x:v>1</x:v>
      </x:c>
      <x:c r="J438" s="274" t="n">
        <x:v>66</x:v>
      </x:c>
      <x:c r="K438" s="274" t="n">
        <x:v>1210</x:v>
      </x:c>
      <x:c r="M438" s="274" t="s">
        <x:v>1052</x:v>
      </x:c>
    </x:row>
    <x:row r="439" spans="1:14">
      <x:c r="A439" s="274" t="s">
        <x:v>1053</x:v>
      </x:c>
      <x:c r="B439" s="274" t="n">
        <x:v>0.7</x:v>
      </x:c>
      <x:c r="C439" s="274" t="n">
        <x:v>0</x:v>
      </x:c>
      <x:c r="D439" s="274" t="n">
        <x:v>0</x:v>
      </x:c>
      <x:c r="F439" s="274" t="s">
        <x:v>333</x:v>
      </x:c>
      <x:c r="G439" s="274" t="s">
        <x:v>209</x:v>
      </x:c>
      <x:c r="I439" s="274" t="n">
        <x:v>1.2</x:v>
      </x:c>
      <x:c r="J439" s="274" t="n">
        <x:v>60</x:v>
      </x:c>
      <x:c r="K439" s="274" t="n">
        <x:v>1238</x:v>
      </x:c>
      <x:c r="M439" s="274" t="s">
        <x:v>1054</x:v>
      </x:c>
    </x:row>
    <x:row r="440" spans="1:14">
      <x:c r="A440" s="274" t="s">
        <x:v>1055</x:v>
      </x:c>
      <x:c r="B440" s="274" t="n">
        <x:v>0.32</x:v>
      </x:c>
      <x:c r="C440" s="274" t="n">
        <x:v>0</x:v>
      </x:c>
      <x:c r="D440" s="274" t="n">
        <x:v>0</x:v>
      </x:c>
      <x:c r="F440" s="274" t="s">
        <x:v>333</x:v>
      </x:c>
      <x:c r="G440" s="274" t="s">
        <x:v>209</x:v>
      </x:c>
      <x:c r="I440" s="274" t="n">
        <x:v>1</x:v>
      </x:c>
      <x:c r="J440" s="274" t="n">
        <x:v>183</x:v>
      </x:c>
      <x:c r="K440" s="274" t="n">
        <x:v>220</x:v>
      </x:c>
      <x:c r="M440" s="274" t="s">
        <x:v>1056</x:v>
      </x:c>
      <x:c r="N440" s="274" t="s">
        <x:v>299</x:v>
      </x:c>
    </x:row>
    <x:row r="441" spans="1:14">
      <x:c r="A441" s="274" t="s">
        <x:v>1057</x:v>
      </x:c>
      <x:c r="B441" s="274" t="n">
        <x:v>0.31</x:v>
      </x:c>
      <x:c r="C441" s="274" t="n">
        <x:v>0</x:v>
      </x:c>
      <x:c r="D441" s="274" t="n">
        <x:v>0</x:v>
      </x:c>
      <x:c r="F441" s="274" t="s">
        <x:v>333</x:v>
      </x:c>
      <x:c r="G441" s="274" t="s">
        <x:v>209</x:v>
      </x:c>
      <x:c r="I441" s="274" t="n">
        <x:v>1</x:v>
      </x:c>
      <x:c r="J441" s="274" t="n">
        <x:v>175</x:v>
      </x:c>
      <x:c r="K441" s="274" t="n">
        <x:v>224</x:v>
      </x:c>
      <x:c r="M441" s="274" t="s">
        <x:v>1058</x:v>
      </x:c>
      <x:c r="N441" s="274" t="s">
        <x:v>299</x:v>
      </x:c>
    </x:row>
    <x:row r="442" spans="1:14">
      <x:c r="A442" s="274" t="s">
        <x:v>1059</x:v>
      </x:c>
      <x:c r="B442" s="274" t="n">
        <x:v>0.6</x:v>
      </x:c>
      <x:c r="C442" s="274" t="n">
        <x:v>0</x:v>
      </x:c>
      <x:c r="D442" s="274" t="n">
        <x:v>0</x:v>
      </x:c>
      <x:c r="F442" s="274" t="s">
        <x:v>333</x:v>
      </x:c>
      <x:c r="G442" s="274" t="s">
        <x:v>209</x:v>
      </x:c>
      <x:c r="I442" s="274" t="n">
        <x:v>1.2</x:v>
      </x:c>
      <x:c r="J442" s="274" t="n">
        <x:v>161</x:v>
      </x:c>
      <x:c r="K442" s="274" t="n">
        <x:v>395</x:v>
      </x:c>
      <x:c r="M442" s="274" t="s">
        <x:v>1060</x:v>
      </x:c>
    </x:row>
    <x:row r="443" spans="1:14">
      <x:c r="A443" s="274" t="s">
        <x:v>1061</x:v>
      </x:c>
      <x:c r="B443" s="274" t="n">
        <x:v>1.66</x:v>
      </x:c>
      <x:c r="C443" s="274" t="n">
        <x:v>19</x:v>
      </x:c>
      <x:c r="D443" s="274" t="n">
        <x:v>26</x:v>
      </x:c>
      <x:c r="E443" s="274" t="n">
        <x:v>22</x:v>
      </x:c>
      <x:c r="F443" s="274" t="s">
        <x:v>333</x:v>
      </x:c>
      <x:c r="G443" s="274" t="s">
        <x:v>124</x:v>
      </x:c>
      <x:c r="I443" s="274" t="n">
        <x:v>1</x:v>
      </x:c>
      <x:c r="J443" s="274" t="n">
        <x:v>255</x:v>
      </x:c>
      <x:c r="K443" s="274" t="n">
        <x:v>830</x:v>
      </x:c>
      <x:c r="M443" s="274" t="s">
        <x:v>752</x:v>
      </x:c>
    </x:row>
    <x:row r="444" spans="1:14">
      <x:c r="A444" s="274" t="s">
        <x:v>1062</x:v>
      </x:c>
      <x:c r="B444" s="274" t="n">
        <x:v>0.56</x:v>
      </x:c>
      <x:c r="C444" s="274" t="n">
        <x:v>0</x:v>
      </x:c>
      <x:c r="D444" s="274" t="n">
        <x:v>0</x:v>
      </x:c>
      <x:c r="F444" s="274" t="s">
        <x:v>333</x:v>
      </x:c>
      <x:c r="G444" s="274" t="s">
        <x:v>209</x:v>
      </x:c>
      <x:c r="I444" s="274" t="n">
        <x:v>1.2</x:v>
      </x:c>
      <x:c r="J444" s="274" t="n">
        <x:v>183</x:v>
      </x:c>
      <x:c r="K444" s="274" t="n">
        <x:v>327</x:v>
      </x:c>
      <x:c r="M444" s="274" t="s">
        <x:v>1063</x:v>
      </x:c>
      <x:c r="N444" s="274" t="s">
        <x:v>299</x:v>
      </x:c>
    </x:row>
    <x:row r="445" spans="1:14">
      <x:c r="A445" s="274" t="s">
        <x:v>1064</x:v>
      </x:c>
      <x:c r="B445" s="274" t="n">
        <x:v>0.49</x:v>
      </x:c>
      <x:c r="C445" s="274" t="n">
        <x:v>0</x:v>
      </x:c>
      <x:c r="D445" s="274" t="n">
        <x:v>0</x:v>
      </x:c>
      <x:c r="F445" s="274" t="s">
        <x:v>333</x:v>
      </x:c>
      <x:c r="G445" s="274" t="s">
        <x:v>209</x:v>
      </x:c>
      <x:c r="I445" s="274" t="n">
        <x:v>1.2</x:v>
      </x:c>
      <x:c r="J445" s="274" t="n">
        <x:v>183</x:v>
      </x:c>
      <x:c r="K445" s="274" t="n">
        <x:v>285</x:v>
      </x:c>
      <x:c r="M445" s="274" t="s">
        <x:v>1065</x:v>
      </x:c>
      <x:c r="N445" s="274" t="s">
        <x:v>299</x:v>
      </x:c>
    </x:row>
    <x:row r="446" spans="1:14">
      <x:c r="A446" s="274" t="s">
        <x:v>1066</x:v>
      </x:c>
      <x:c r="B446" s="274" t="n">
        <x:v>0.54</x:v>
      </x:c>
      <x:c r="C446" s="274" t="n">
        <x:v>0</x:v>
      </x:c>
      <x:c r="D446" s="274" t="n">
        <x:v>0</x:v>
      </x:c>
      <x:c r="F446" s="274" t="s">
        <x:v>333</x:v>
      </x:c>
      <x:c r="G446" s="274" t="s">
        <x:v>209</x:v>
      </x:c>
      <x:c r="I446" s="274" t="n">
        <x:v>0.9</x:v>
      </x:c>
      <x:c r="J446" s="274" t="n">
        <x:v>63</x:v>
      </x:c>
      <x:c r="K446" s="274" t="n">
        <x:v>1217</x:v>
      </x:c>
      <x:c r="M446" s="274" t="s">
        <x:v>1067</x:v>
      </x:c>
      <x:c r="N446" s="274" t="s">
        <x:v>299</x:v>
      </x:c>
    </x:row>
    <x:row r="447" spans="1:14">
      <x:c r="A447" s="274" t="s">
        <x:v>1068</x:v>
      </x:c>
      <x:c r="B447" s="274" t="n">
        <x:v>1.11</x:v>
      </x:c>
      <x:c r="C447" s="274" t="n">
        <x:v>0</x:v>
      </x:c>
      <x:c r="D447" s="274" t="n">
        <x:v>0</x:v>
      </x:c>
      <x:c r="F447" s="274" t="s">
        <x:v>333</x:v>
      </x:c>
      <x:c r="G447" s="274" t="s">
        <x:v>209</x:v>
      </x:c>
      <x:c r="I447" s="274" t="n">
        <x:v>1.2</x:v>
      </x:c>
      <x:c r="J447" s="274" t="n">
        <x:v>96</x:v>
      </x:c>
      <x:c r="K447" s="274" t="n">
        <x:v>1225</x:v>
      </x:c>
      <x:c r="M447" s="274" t="s">
        <x:v>1069</x:v>
      </x:c>
      <x:c r="N447" s="274" t="s">
        <x:v>299</x:v>
      </x:c>
    </x:row>
    <x:row r="448" spans="1:14">
      <x:c r="A448" s="274" t="s">
        <x:v>1070</x:v>
      </x:c>
      <x:c r="B448" s="274" t="n">
        <x:v>0.37</x:v>
      </x:c>
      <x:c r="C448" s="274" t="n">
        <x:v>0</x:v>
      </x:c>
      <x:c r="D448" s="274" t="n">
        <x:v>0</x:v>
      </x:c>
      <x:c r="F448" s="274" t="s">
        <x:v>333</x:v>
      </x:c>
      <x:c r="G448" s="274" t="s">
        <x:v>209</x:v>
      </x:c>
      <x:c r="I448" s="274" t="n">
        <x:v>1</x:v>
      </x:c>
      <x:c r="J448" s="274" t="n">
        <x:v>372</x:v>
      </x:c>
      <x:c r="K448" s="274" t="n">
        <x:v>128</x:v>
      </x:c>
      <x:c r="M448" s="274" t="s">
        <x:v>1071</x:v>
      </x:c>
      <x:c r="N448" s="274" t="s">
        <x:v>299</x:v>
      </x:c>
    </x:row>
    <x:row r="449" spans="1:14">
      <x:c r="A449" s="274" t="s">
        <x:v>1072</x:v>
      </x:c>
      <x:c r="B449" s="274" t="n">
        <x:v>1.31</x:v>
      </x:c>
      <x:c r="C449" s="274" t="n">
        <x:v>0</x:v>
      </x:c>
      <x:c r="D449" s="274" t="n">
        <x:v>0</x:v>
      </x:c>
      <x:c r="F449" s="274" t="s">
        <x:v>333</x:v>
      </x:c>
      <x:c r="G449" s="274" t="s">
        <x:v>209</x:v>
      </x:c>
      <x:c r="I449" s="274" t="n">
        <x:v>1</x:v>
      </x:c>
      <x:c r="J449" s="274" t="n">
        <x:v>556</x:v>
      </x:c>
      <x:c r="K449" s="274" t="n">
        <x:v>300</x:v>
      </x:c>
      <x:c r="M449" s="274" t="s">
        <x:v>1073</x:v>
      </x:c>
      <x:c r="N449" s="274" t="s">
        <x:v>299</x:v>
      </x:c>
    </x:row>
    <x:row r="450" spans="1:14">
      <x:c r="A450" s="274" t="s">
        <x:v>1074</x:v>
      </x:c>
      <x:c r="B450" s="274" t="n">
        <x:v>0.21</x:v>
      </x:c>
      <x:c r="C450" s="274" t="n">
        <x:v>0</x:v>
      </x:c>
      <x:c r="D450" s="274" t="n">
        <x:v>0</x:v>
      </x:c>
      <x:c r="F450" s="274" t="s">
        <x:v>333</x:v>
      </x:c>
      <x:c r="G450" s="274" t="s">
        <x:v>153</x:v>
      </x:c>
      <x:c r="I450" s="274" t="n">
        <x:v>1.4</x:v>
      </x:c>
      <x:c r="J450" s="274" t="n">
        <x:v>120</x:v>
      </x:c>
      <x:c r="K450" s="274" t="n">
        <x:v>158</x:v>
      </x:c>
      <x:c r="M450" s="274" t="s">
        <x:v>1075</x:v>
      </x:c>
      <x:c r="N450" s="274" t="s">
        <x:v>299</x:v>
      </x:c>
    </x:row>
    <x:row r="451" spans="1:14">
      <x:c r="A451" s="274" t="s">
        <x:v>1076</x:v>
      </x:c>
      <x:c r="B451" s="274" t="n">
        <x:v>0.21</x:v>
      </x:c>
      <x:c r="C451" s="274" t="n">
        <x:v>0</x:v>
      </x:c>
      <x:c r="D451" s="274" t="n">
        <x:v>0</x:v>
      </x:c>
      <x:c r="F451" s="274" t="s">
        <x:v>333</x:v>
      </x:c>
      <x:c r="G451" s="274" t="s">
        <x:v>153</x:v>
      </x:c>
      <x:c r="I451" s="274" t="n">
        <x:v>0.7</x:v>
      </x:c>
      <x:c r="J451" s="274" t="n">
        <x:v>210</x:v>
      </x:c>
      <x:c r="K451" s="274" t="n">
        <x:v>185</x:v>
      </x:c>
      <x:c r="M451" s="274" t="s">
        <x:v>344</x:v>
      </x:c>
      <x:c r="N451" s="274" t="s">
        <x:v>299</x:v>
      </x:c>
    </x:row>
    <x:row r="452" spans="1:14">
      <x:c r="A452" s="274" t="s">
        <x:v>1077</x:v>
      </x:c>
      <x:c r="B452" s="274" t="n">
        <x:v>0.35</x:v>
      </x:c>
      <x:c r="C452" s="274" t="n">
        <x:v>0</x:v>
      </x:c>
      <x:c r="D452" s="274" t="n">
        <x:v>0</x:v>
      </x:c>
      <x:c r="F452" s="274" t="s">
        <x:v>333</x:v>
      </x:c>
      <x:c r="G452" s="274" t="s">
        <x:v>209</x:v>
      </x:c>
      <x:c r="I452" s="274" t="n">
        <x:v>1.6</x:v>
      </x:c>
      <x:c r="J452" s="274" t="n">
        <x:v>225</x:v>
      </x:c>
      <x:c r="K452" s="274" t="n">
        <x:v>125</x:v>
      </x:c>
      <x:c r="M452" s="274" t="s">
        <x:v>1078</x:v>
      </x:c>
      <x:c r="N452" s="274" t="s">
        <x:v>299</x:v>
      </x:c>
    </x:row>
    <x:row r="453" spans="1:14">
      <x:c r="A453" s="274" t="s">
        <x:v>1079</x:v>
      </x:c>
      <x:c r="B453" s="274" t="n">
        <x:v>0.58</x:v>
      </x:c>
      <x:c r="C453" s="274" t="n">
        <x:v>0</x:v>
      </x:c>
      <x:c r="D453" s="274" t="n">
        <x:v>0</x:v>
      </x:c>
      <x:c r="F453" s="274" t="s">
        <x:v>333</x:v>
      </x:c>
      <x:c r="G453" s="274" t="s">
        <x:v>209</x:v>
      </x:c>
      <x:c r="I453" s="274" t="n">
        <x:v>1</x:v>
      </x:c>
      <x:c r="J453" s="274" t="n">
        <x:v>174</x:v>
      </x:c>
      <x:c r="K453" s="274" t="n">
        <x:v>425</x:v>
      </x:c>
      <x:c r="M453" s="274" t="s">
        <x:v>1080</x:v>
      </x:c>
      <x:c r="N453" s="274" t="s">
        <x:v>299</x:v>
      </x:c>
    </x:row>
    <x:row r="454" spans="1:14">
      <x:c r="A454" s="274" t="s">
        <x:v>1081</x:v>
      </x:c>
      <x:c r="B454" s="274" t="n">
        <x:v>0.93</x:v>
      </x:c>
      <x:c r="C454" s="274" t="n">
        <x:v>0</x:v>
      </x:c>
      <x:c r="D454" s="274" t="n">
        <x:v>0</x:v>
      </x:c>
      <x:c r="F454" s="274" t="s">
        <x:v>333</x:v>
      </x:c>
      <x:c r="G454" s="274" t="s">
        <x:v>153</x:v>
      </x:c>
      <x:c r="I454" s="274" t="n">
        <x:v>1.6</x:v>
      </x:c>
      <x:c r="J454" s="274" t="n">
        <x:v>410</x:v>
      </x:c>
      <x:c r="K454" s="274" t="n">
        <x:v>180</x:v>
      </x:c>
      <x:c r="M454" s="274" t="s">
        <x:v>1082</x:v>
      </x:c>
      <x:c r="N454" s="274" t="s">
        <x:v>299</x:v>
      </x:c>
    </x:row>
    <x:row r="455" spans="1:14">
      <x:c r="A455" s="274" t="s">
        <x:v>1083</x:v>
      </x:c>
      <x:c r="B455" s="274" t="n">
        <x:v>0.7</x:v>
      </x:c>
      <x:c r="C455" s="274" t="n">
        <x:v>0</x:v>
      </x:c>
      <x:c r="D455" s="274" t="n">
        <x:v>0</x:v>
      </x:c>
      <x:c r="F455" s="274" t="s">
        <x:v>333</x:v>
      </x:c>
      <x:c r="G455" s="274" t="s">
        <x:v>153</x:v>
      </x:c>
      <x:c r="I455" s="274" t="n">
        <x:v>0.9</x:v>
      </x:c>
      <x:c r="J455" s="274" t="n">
        <x:v>81</x:v>
      </x:c>
      <x:c r="K455" s="274" t="n">
        <x:v>1220</x:v>
      </x:c>
      <x:c r="M455" s="274" t="s">
        <x:v>575</x:v>
      </x:c>
      <x:c r="N455" s="274" t="s">
        <x:v>299</x:v>
      </x:c>
    </x:row>
    <x:row r="456" spans="1:14">
      <x:c r="A456" s="274" t="s">
        <x:v>1084</x:v>
      </x:c>
      <x:c r="B456" s="274" t="n">
        <x:v>4.5</x:v>
      </x:c>
      <x:c r="C456" s="274" t="n">
        <x:v>0</x:v>
      </x:c>
      <x:c r="D456" s="274" t="n">
        <x:v>32</x:v>
      </x:c>
      <x:c r="E456" s="274" t="n">
        <x:v>40</x:v>
      </x:c>
      <x:c r="F456" s="274" t="s">
        <x:v>333</x:v>
      </x:c>
      <x:c r="G456" s="274" t="s">
        <x:v>334</x:v>
      </x:c>
      <x:c r="I456" s="274" t="n">
        <x:v>1.4</x:v>
      </x:c>
      <x:c r="J456" s="274" t="n">
        <x:v>788</x:v>
      </x:c>
      <x:c r="K456" s="274" t="n">
        <x:v>520</x:v>
      </x:c>
      <x:c r="M456" s="274" t="s">
        <x:v>335</x:v>
      </x:c>
      <x:c r="N456" s="274" t="s">
        <x:v>299</x:v>
      </x:c>
    </x:row>
    <x:row r="457" spans="1:14">
      <x:c r="A457" s="274" t="s">
        <x:v>1085</x:v>
      </x:c>
      <x:c r="B457" s="274" t="n">
        <x:v>1.54</x:v>
      </x:c>
      <x:c r="C457" s="274" t="n">
        <x:v>0</x:v>
      </x:c>
      <x:c r="D457" s="274" t="n">
        <x:v>0</x:v>
      </x:c>
      <x:c r="F457" s="274" t="s">
        <x:v>133</x:v>
      </x:c>
      <x:c r="G457" s="274" t="s">
        <x:v>148</x:v>
      </x:c>
      <x:c r="I457" s="274" t="n">
        <x:v>2.9</x:v>
      </x:c>
      <x:c r="J457" s="274" t="n">
        <x:v>116</x:v>
      </x:c>
      <x:c r="K457" s="274" t="n">
        <x:v>582</x:v>
      </x:c>
      <x:c r="M457" s="274" t="s">
        <x:v>1086</x:v>
      </x:c>
      <x:c r="N457" s="274" t="s">
        <x:v>299</x:v>
      </x:c>
    </x:row>
    <x:row r="458" spans="1:14">
      <x:c r="A458" s="274" t="s">
        <x:v>1087</x:v>
      </x:c>
      <x:c r="B458" s="274" t="n">
        <x:v>0.78</x:v>
      </x:c>
      <x:c r="C458" s="274" t="n">
        <x:v>0</x:v>
      </x:c>
      <x:c r="D458" s="274" t="n">
        <x:v>0</x:v>
      </x:c>
      <x:c r="F458" s="274" t="s">
        <x:v>133</x:v>
      </x:c>
      <x:c r="G458" s="274" t="s">
        <x:v>134</x:v>
      </x:c>
      <x:c r="I458" s="274" t="n">
        <x:v>2.9</x:v>
      </x:c>
      <x:c r="J458" s="274" t="n">
        <x:v>195</x:v>
      </x:c>
      <x:c r="K458" s="274" t="n">
        <x:v>175</x:v>
      </x:c>
      <x:c r="M458" s="274" t="s">
        <x:v>1088</x:v>
      </x:c>
      <x:c r="N458" s="274" t="s">
        <x:v>299</x:v>
      </x:c>
    </x:row>
    <x:row r="459" spans="1:14">
      <x:c r="A459" s="274" t="s">
        <x:v>1089</x:v>
      </x:c>
      <x:c r="B459" s="274" t="n">
        <x:v>5.13</x:v>
      </x:c>
      <x:c r="C459" s="274" t="n">
        <x:v>0</x:v>
      </x:c>
      <x:c r="D459" s="274" t="n">
        <x:v>32</x:v>
      </x:c>
      <x:c r="E459" s="274" t="n">
        <x:v>40</x:v>
      </x:c>
      <x:c r="F459" s="274" t="s">
        <x:v>333</x:v>
      </x:c>
      <x:c r="G459" s="274" t="s">
        <x:v>124</x:v>
      </x:c>
      <x:c r="I459" s="274" t="n">
        <x:v>1</x:v>
      </x:c>
      <x:c r="J459" s="274" t="n">
        <x:v>1090</x:v>
      </x:c>
      <x:c r="K459" s="274" t="n">
        <x:v>600</x:v>
      </x:c>
      <x:c r="M459" s="274" t="s">
        <x:v>1090</x:v>
      </x:c>
      <x:c r="N459" s="274" t="s">
        <x:v>131</x:v>
      </x:c>
    </x:row>
    <x:row r="460" spans="1:14">
      <x:c r="A460" s="274" t="s">
        <x:v>1091</x:v>
      </x:c>
      <x:c r="B460" s="274" t="n">
        <x:v>1.27</x:v>
      </x:c>
      <x:c r="C460" s="274" t="n">
        <x:v>0</x:v>
      </x:c>
      <x:c r="D460" s="274" t="n">
        <x:v>0</x:v>
      </x:c>
      <x:c r="F460" s="274" t="s">
        <x:v>333</x:v>
      </x:c>
      <x:c r="G460" s="274" t="s">
        <x:v>334</x:v>
      </x:c>
      <x:c r="I460" s="274" t="n">
        <x:v>1.6</x:v>
      </x:c>
      <x:c r="J460" s="274" t="n">
        <x:v>260</x:v>
      </x:c>
      <x:c r="K460" s="274" t="n">
        <x:v>390</x:v>
      </x:c>
      <x:c r="M460" s="274" t="s">
        <x:v>1092</x:v>
      </x:c>
      <x:c r="N460" s="274" t="s">
        <x:v>299</x:v>
      </x:c>
    </x:row>
    <x:row r="461" spans="1:14">
      <x:c r="A461" s="274" t="s">
        <x:v>1093</x:v>
      </x:c>
      <x:c r="B461" s="274" t="n">
        <x:v>0.12</x:v>
      </x:c>
      <x:c r="C461" s="274" t="n">
        <x:v>0</x:v>
      </x:c>
      <x:c r="D461" s="274" t="n">
        <x:v>0</x:v>
      </x:c>
      <x:c r="F461" s="274" t="s">
        <x:v>133</x:v>
      </x:c>
      <x:c r="G461" s="274" t="s">
        <x:v>148</x:v>
      </x:c>
      <x:c r="I461" s="274" t="n">
        <x:v>2.3</x:v>
      </x:c>
      <x:c r="J461" s="274" t="n">
        <x:v>66</x:v>
      </x:c>
      <x:c r="K461" s="274" t="n">
        <x:v>98</x:v>
      </x:c>
      <x:c r="M461" s="274" t="s">
        <x:v>1094</x:v>
      </x:c>
      <x:c r="N461" s="274" t="s">
        <x:v>299</x:v>
      </x:c>
    </x:row>
    <x:row r="462" spans="1:14">
      <x:c r="A462" s="274" t="s">
        <x:v>1095</x:v>
      </x:c>
      <x:c r="B462" s="274" t="n">
        <x:v>0.87</x:v>
      </x:c>
      <x:c r="C462" s="274" t="n">
        <x:v>0</x:v>
      </x:c>
      <x:c r="D462" s="274" t="n">
        <x:v>0</x:v>
      </x:c>
      <x:c r="F462" s="274" t="s">
        <x:v>133</x:v>
      </x:c>
      <x:c r="G462" s="274" t="s">
        <x:v>134</x:v>
      </x:c>
      <x:c r="I462" s="274" t="n">
        <x:v>2.9</x:v>
      </x:c>
      <x:c r="J462" s="274" t="n">
        <x:v>196</x:v>
      </x:c>
      <x:c r="K462" s="274" t="n">
        <x:v>194</x:v>
      </x:c>
      <x:c r="M462" s="274" t="s">
        <x:v>1096</x:v>
      </x:c>
    </x:row>
    <x:row r="463" spans="1:14">
      <x:c r="A463" s="274" t="s">
        <x:v>1097</x:v>
      </x:c>
      <x:c r="B463" s="274" t="n">
        <x:v>5.01</x:v>
      </x:c>
      <x:c r="C463" s="274" t="n">
        <x:v>0</x:v>
      </x:c>
      <x:c r="D463" s="274" t="n">
        <x:v>0</x:v>
      </x:c>
      <x:c r="F463" s="274" t="s">
        <x:v>133</x:v>
      </x:c>
      <x:c r="G463" s="274" t="s">
        <x:v>148</x:v>
      </x:c>
      <x:c r="I463" s="274" t="n">
        <x:v>2.9</x:v>
      </x:c>
      <x:c r="J463" s="274" t="n">
        <x:v>468</x:v>
      </x:c>
      <x:c r="K463" s="274" t="n">
        <x:v>470</x:v>
      </x:c>
      <x:c r="M463" s="274" t="s">
        <x:v>1098</x:v>
      </x:c>
    </x:row>
    <x:row r="464" spans="1:14">
      <x:c r="A464" s="274" t="s">
        <x:v>1099</x:v>
      </x:c>
      <x:c r="B464" s="274" t="n">
        <x:v>4.23</x:v>
      </x:c>
      <x:c r="C464" s="274" t="n">
        <x:v>0</x:v>
      </x:c>
      <x:c r="D464" s="274" t="n">
        <x:v>0</x:v>
      </x:c>
      <x:c r="F464" s="274" t="s">
        <x:v>133</x:v>
      </x:c>
      <x:c r="G464" s="274" t="s">
        <x:v>148</x:v>
      </x:c>
      <x:c r="I464" s="274" t="n">
        <x:v>3.2</x:v>
      </x:c>
      <x:c r="J464" s="274" t="n">
        <x:v>204</x:v>
      </x:c>
      <x:c r="K464" s="274" t="n">
        <x:v>825</x:v>
      </x:c>
      <x:c r="M464" s="274" t="s">
        <x:v>1100</x:v>
      </x:c>
    </x:row>
    <x:row r="465" spans="1:14">
      <x:c r="A465" s="274" t="s">
        <x:v>1101</x:v>
      </x:c>
      <x:c r="B465" s="274" t="n">
        <x:v>0.17</x:v>
      </x:c>
      <x:c r="C465" s="274" t="n">
        <x:v>0</x:v>
      </x:c>
      <x:c r="D465" s="274" t="n">
        <x:v>0</x:v>
      </x:c>
      <x:c r="F465" s="274" t="s">
        <x:v>133</x:v>
      </x:c>
      <x:c r="G465" s="274" t="s">
        <x:v>136</x:v>
      </x:c>
      <x:c r="H465" s="274" t="n">
        <x:v>45</x:v>
      </x:c>
      <x:c r="I465" s="274" t="n">
        <x:v>1.2</x:v>
      </x:c>
      <x:c r="J465" s="274" t="n">
        <x:v>190</x:v>
      </x:c>
      <x:c r="K465" s="274" t="n">
        <x:v>95</x:v>
      </x:c>
      <x:c r="M465" s="274" t="s">
        <x:v>1102</x:v>
      </x:c>
      <x:c r="N465" s="274" t="s">
        <x:v>299</x:v>
      </x:c>
    </x:row>
    <x:row r="466" spans="1:14">
      <x:c r="A466" s="274" t="s">
        <x:v>1103</x:v>
      </x:c>
      <x:c r="B466" s="274" t="n">
        <x:v>3.46</x:v>
      </x:c>
      <x:c r="C466" s="274" t="n">
        <x:v>0</x:v>
      </x:c>
      <x:c r="D466" s="274" t="n">
        <x:v>0</x:v>
      </x:c>
      <x:c r="F466" s="274" t="s">
        <x:v>133</x:v>
      </x:c>
      <x:c r="G466" s="274" t="s">
        <x:v>134</x:v>
      </x:c>
      <x:c r="I466" s="274" t="n">
        <x:v>2.9</x:v>
      </x:c>
      <x:c r="J466" s="274" t="n">
        <x:v>260</x:v>
      </x:c>
      <x:c r="K466" s="274" t="n">
        <x:v>585</x:v>
      </x:c>
      <x:c r="M466" s="274" t="s">
        <x:v>1104</x:v>
      </x:c>
      <x:c r="N466" s="274" t="s">
        <x:v>131</x:v>
      </x:c>
    </x:row>
    <x:row r="467" spans="1:14">
      <x:c r="A467" s="274" t="s">
        <x:v>1105</x:v>
      </x:c>
      <x:c r="B467" s="274" t="n">
        <x:v>1.37</x:v>
      </x:c>
      <x:c r="C467" s="274" t="n">
        <x:v>0</x:v>
      </x:c>
      <x:c r="D467" s="274" t="n">
        <x:v>0</x:v>
      </x:c>
      <x:c r="F467" s="274" t="s">
        <x:v>128</x:v>
      </x:c>
      <x:c r="G467" s="274" t="s">
        <x:v>129</x:v>
      </x:c>
      <x:c r="H467" s="274" t="n">
        <x:v>45</x:v>
      </x:c>
      <x:c r="I467" s="274" t="n">
        <x:v>0.6</x:v>
      </x:c>
      <x:c r="J467" s="274" t="n">
        <x:v>270</x:v>
      </x:c>
      <x:c r="K467" s="274" t="n">
        <x:v>1060</x:v>
      </x:c>
      <x:c r="M467" s="274" t="s">
        <x:v>1106</x:v>
      </x:c>
    </x:row>
    <x:row r="468" spans="1:14">
      <x:c r="A468" s="274" t="s">
        <x:v>1107</x:v>
      </x:c>
      <x:c r="B468" s="274" t="n">
        <x:v>1.26</x:v>
      </x:c>
      <x:c r="C468" s="274" t="n">
        <x:v>0</x:v>
      </x:c>
      <x:c r="D468" s="274" t="n">
        <x:v>0</x:v>
      </x:c>
      <x:c r="F468" s="274" t="s">
        <x:v>184</x:v>
      </x:c>
      <x:c r="G468" s="274" t="s">
        <x:v>129</x:v>
      </x:c>
      <x:c r="H468" s="274" t="n">
        <x:v>45</x:v>
      </x:c>
      <x:c r="I468" s="274" t="n">
        <x:v>1.4</x:v>
      </x:c>
      <x:c r="J468" s="274" t="n">
        <x:v>93</x:v>
      </x:c>
      <x:c r="K468" s="274" t="n">
        <x:v>1219</x:v>
      </x:c>
      <x:c r="M468" s="274" t="s">
        <x:v>1108</x:v>
      </x:c>
      <x:c r="N468" s="274" t="s">
        <x:v>131</x:v>
      </x:c>
    </x:row>
    <x:row r="469" spans="1:14">
      <x:c r="A469" s="274" t="s">
        <x:v>1109</x:v>
      </x:c>
      <x:c r="B469" s="274" t="n">
        <x:v>0.39</x:v>
      </x:c>
      <x:c r="C469" s="274" t="n">
        <x:v>0</x:v>
      </x:c>
      <x:c r="D469" s="274" t="n">
        <x:v>0</x:v>
      </x:c>
      <x:c r="F469" s="274" t="s">
        <x:v>133</x:v>
      </x:c>
      <x:c r="G469" s="274" t="s">
        <x:v>209</x:v>
      </x:c>
      <x:c r="I469" s="274" t="n">
        <x:v>0.8</x:v>
      </x:c>
      <x:c r="J469" s="274" t="n">
        <x:v>140</x:v>
      </x:c>
      <x:c r="K469" s="274" t="n">
        <x:v>442</x:v>
      </x:c>
      <x:c r="M469" s="274" t="s">
        <x:v>1110</x:v>
      </x:c>
      <x:c r="N469" s="274" t="s">
        <x:v>582</x:v>
      </x:c>
    </x:row>
    <x:row r="470" spans="1:14">
      <x:c r="A470" s="274" t="s">
        <x:v>1111</x:v>
      </x:c>
      <x:c r="B470" s="274" t="n">
        <x:v>0.51</x:v>
      </x:c>
      <x:c r="C470" s="274" t="n">
        <x:v>0</x:v>
      </x:c>
      <x:c r="D470" s="274" t="n">
        <x:v>0</x:v>
      </x:c>
      <x:c r="F470" s="274" t="s">
        <x:v>128</x:v>
      </x:c>
      <x:c r="G470" s="274" t="s">
        <x:v>129</x:v>
      </x:c>
      <x:c r="H470" s="274" t="n">
        <x:v>45</x:v>
      </x:c>
      <x:c r="I470" s="274" t="n">
        <x:v>0.7</x:v>
      </x:c>
      <x:c r="J470" s="274" t="n">
        <x:v>222</x:v>
      </x:c>
      <x:c r="K470" s="274" t="n">
        <x:v>415</x:v>
      </x:c>
      <x:c r="M470" s="274" t="s">
        <x:v>1112</x:v>
      </x:c>
      <x:c r="N470" s="274" t="s">
        <x:v>299</x:v>
      </x:c>
    </x:row>
    <x:row r="471" spans="1:14">
      <x:c r="A471" s="274" t="s">
        <x:v>1113</x:v>
      </x:c>
      <x:c r="B471" s="274" t="n">
        <x:v>24.92</x:v>
      </x:c>
      <x:c r="C471" s="274" t="n">
        <x:v>0</x:v>
      </x:c>
      <x:c r="D471" s="274" t="n">
        <x:v>0</x:v>
      </x:c>
      <x:c r="F471" s="274" t="s">
        <x:v>133</x:v>
      </x:c>
      <x:c r="G471" s="274" t="s">
        <x:v>148</x:v>
      </x:c>
      <x:c r="I471" s="274" t="n">
        <x:v>2.6</x:v>
      </x:c>
      <x:c r="J471" s="274" t="n">
        <x:v>1090</x:v>
      </x:c>
      <x:c r="K471" s="274" t="n">
        <x:v>1120</x:v>
      </x:c>
      <x:c r="M471" s="274" t="s">
        <x:v>1114</x:v>
      </x:c>
    </x:row>
    <x:row r="472" spans="1:14">
      <x:c r="A472" s="274" t="s">
        <x:v>1115</x:v>
      </x:c>
      <x:c r="B472" s="274" t="n">
        <x:v>0.92</x:v>
      </x:c>
      <x:c r="C472" s="274" t="n">
        <x:v>0</x:v>
      </x:c>
      <x:c r="D472" s="274" t="n">
        <x:v>0</x:v>
      </x:c>
      <x:c r="F472" s="274" t="s">
        <x:v>333</x:v>
      </x:c>
      <x:c r="G472" s="274" t="s">
        <x:v>209</x:v>
      </x:c>
      <x:c r="I472" s="274" t="n">
        <x:v>1.4</x:v>
      </x:c>
      <x:c r="J472" s="274" t="n">
        <x:v>230</x:v>
      </x:c>
      <x:c r="K472" s="274" t="n">
        <x:v>365</x:v>
      </x:c>
      <x:c r="M472" s="274" t="s">
        <x:v>1116</x:v>
      </x:c>
    </x:row>
    <x:row r="473" spans="1:14">
      <x:c r="A473" s="274" t="s">
        <x:v>1117</x:v>
      </x:c>
      <x:c r="B473" s="274" t="n">
        <x:v>1.81</x:v>
      </x:c>
      <x:c r="C473" s="274" t="n">
        <x:v>0</x:v>
      </x:c>
      <x:c r="D473" s="274" t="n">
        <x:v>0</x:v>
      </x:c>
      <x:c r="F473" s="274" t="s">
        <x:v>333</x:v>
      </x:c>
      <x:c r="G473" s="274" t="s">
        <x:v>124</x:v>
      </x:c>
      <x:c r="I473" s="274" t="n">
        <x:v>1.6</x:v>
      </x:c>
      <x:c r="J473" s="274" t="n">
        <x:v>360</x:v>
      </x:c>
      <x:c r="K473" s="274" t="n">
        <x:v>400</x:v>
      </x:c>
      <x:c r="M473" s="274" t="s">
        <x:v>1118</x:v>
      </x:c>
      <x:c r="N473" s="274" t="s">
        <x:v>229</x:v>
      </x:c>
    </x:row>
    <x:row r="474" spans="1:14">
      <x:c r="A474" s="274" t="s">
        <x:v>1119</x:v>
      </x:c>
      <x:c r="B474" s="274" t="n">
        <x:v>0.87</x:v>
      </x:c>
      <x:c r="C474" s="274" t="n">
        <x:v>0</x:v>
      </x:c>
      <x:c r="D474" s="274" t="n">
        <x:v>0</x:v>
      </x:c>
      <x:c r="F474" s="274" t="s">
        <x:v>123</x:v>
      </x:c>
      <x:c r="G474" s="274" t="s">
        <x:v>209</x:v>
      </x:c>
      <x:c r="I474" s="274" t="n">
        <x:v>1.2</x:v>
      </x:c>
      <x:c r="J474" s="274" t="n">
        <x:v>77</x:v>
      </x:c>
      <x:c r="K474" s="274" t="n">
        <x:v>1200</x:v>
      </x:c>
      <x:c r="M474" s="274" t="s">
        <x:v>1120</x:v>
      </x:c>
      <x:c r="N474" s="274" t="s">
        <x:v>870</x:v>
      </x:c>
    </x:row>
    <x:row r="475" spans="1:14">
      <x:c r="A475" s="274" t="s">
        <x:v>1121</x:v>
      </x:c>
      <x:c r="B475" s="274" t="n">
        <x:v>1.22</x:v>
      </x:c>
      <x:c r="C475" s="274" t="n">
        <x:v>0</x:v>
      </x:c>
      <x:c r="D475" s="274" t="n">
        <x:v>0</x:v>
      </x:c>
      <x:c r="F475" s="274" t="s">
        <x:v>333</x:v>
      </x:c>
      <x:c r="G475" s="274" t="s">
        <x:v>209</x:v>
      </x:c>
      <x:c r="I475" s="274" t="n">
        <x:v>1.4</x:v>
      </x:c>
      <x:c r="J475" s="274" t="n">
        <x:v>94</x:v>
      </x:c>
      <x:c r="K475" s="274" t="n">
        <x:v>1185</x:v>
      </x:c>
      <x:c r="M475" s="274" t="s">
        <x:v>1122</x:v>
      </x:c>
    </x:row>
    <x:row r="476" spans="1:14">
      <x:c r="A476" s="274" t="s">
        <x:v>1123</x:v>
      </x:c>
      <x:c r="B476" s="274" t="n">
        <x:v>1.92</x:v>
      </x:c>
      <x:c r="C476" s="274" t="n">
        <x:v>0</x:v>
      </x:c>
      <x:c r="D476" s="274" t="n">
        <x:v>35</x:v>
      </x:c>
      <x:c r="E476" s="274" t="n">
        <x:v>33</x:v>
      </x:c>
      <x:c r="F476" s="274" t="s">
        <x:v>133</x:v>
      </x:c>
      <x:c r="G476" s="274" t="s">
        <x:v>134</x:v>
      </x:c>
      <x:c r="I476" s="274" t="n">
        <x:v>3.2</x:v>
      </x:c>
      <x:c r="J476" s="274" t="n">
        <x:v>312</x:v>
      </x:c>
      <x:c r="K476" s="274" t="n">
        <x:v>245</x:v>
      </x:c>
      <x:c r="M476" s="274" t="s">
        <x:v>1124</x:v>
      </x:c>
      <x:c r="N476" s="274" t="s">
        <x:v>155</x:v>
      </x:c>
    </x:row>
    <x:row r="477" spans="1:14">
      <x:c r="A477" s="274" t="s">
        <x:v>1125</x:v>
      </x:c>
      <x:c r="B477" s="274" t="n">
        <x:v>4.23</x:v>
      </x:c>
      <x:c r="C477" s="274" t="n">
        <x:v>0</x:v>
      </x:c>
      <x:c r="D477" s="274" t="n">
        <x:v>28</x:v>
      </x:c>
      <x:c r="E477" s="274" t="n">
        <x:v>24</x:v>
      </x:c>
      <x:c r="F477" s="274" t="s">
        <x:v>133</x:v>
      </x:c>
      <x:c r="G477" s="274" t="s">
        <x:v>148</x:v>
      </x:c>
      <x:c r="I477" s="274" t="n">
        <x:v>3.2</x:v>
      </x:c>
      <x:c r="J477" s="274" t="n">
        <x:v>204</x:v>
      </x:c>
      <x:c r="K477" s="274" t="n">
        <x:v>825</x:v>
      </x:c>
      <x:c r="M477" s="274" t="s">
        <x:v>1100</x:v>
      </x:c>
      <x:c r="N477" s="274" t="s">
        <x:v>1126</x:v>
      </x:c>
    </x:row>
    <x:row r="478" spans="1:14">
      <x:c r="A478" s="274" t="s">
        <x:v>1127</x:v>
      </x:c>
      <x:c r="B478" s="274" t="n">
        <x:v>3.46</x:v>
      </x:c>
      <x:c r="C478" s="274" t="n">
        <x:v>0</x:v>
      </x:c>
      <x:c r="D478" s="274" t="n">
        <x:v>35</x:v>
      </x:c>
      <x:c r="E478" s="274" t="n">
        <x:v>33</x:v>
      </x:c>
      <x:c r="F478" s="274" t="s">
        <x:v>133</x:v>
      </x:c>
      <x:c r="G478" s="274" t="s">
        <x:v>134</x:v>
      </x:c>
      <x:c r="I478" s="274" t="n">
        <x:v>2.9</x:v>
      </x:c>
      <x:c r="J478" s="274" t="n">
        <x:v>260</x:v>
      </x:c>
      <x:c r="K478" s="274" t="n">
        <x:v>585</x:v>
      </x:c>
      <x:c r="M478" s="274" t="s">
        <x:v>1128</x:v>
      </x:c>
      <x:c r="N478" s="274" t="s">
        <x:v>1129</x:v>
      </x:c>
    </x:row>
    <x:row r="479" spans="1:14">
      <x:c r="A479" s="274" t="s">
        <x:v>1130</x:v>
      </x:c>
      <x:c r="B479" s="274" t="n">
        <x:v>8.3</x:v>
      </x:c>
      <x:c r="C479" s="274" t="n">
        <x:v>45</x:v>
      </x:c>
      <x:c r="D479" s="274" t="n">
        <x:v>45</x:v>
      </x:c>
      <x:c r="E479" s="274" t="n">
        <x:v>0</x:v>
      </x:c>
      <x:c r="F479" s="274" t="s">
        <x:v>333</x:v>
      </x:c>
      <x:c r="G479" s="274" t="s">
        <x:v>124</x:v>
      </x:c>
      <x:c r="I479" s="274" t="n">
        <x:v>1</x:v>
      </x:c>
      <x:c r="J479" s="274" t="n">
        <x:v>1090</x:v>
      </x:c>
      <x:c r="K479" s="274" t="n">
        <x:v>1150</x:v>
      </x:c>
      <x:c r="L479" s="274" t="n">
        <x:v>790</x:v>
      </x:c>
      <x:c r="M479" s="274" t="s">
        <x:v>1131</x:v>
      </x:c>
    </x:row>
    <x:row r="480" spans="1:14">
      <x:c r="A480" s="274" t="s">
        <x:v>1132</x:v>
      </x:c>
      <x:c r="B480" s="274" t="n">
        <x:v>1.37</x:v>
      </x:c>
      <x:c r="C480" s="274" t="n">
        <x:v>0</x:v>
      </x:c>
      <x:c r="D480" s="274" t="n">
        <x:v>20</x:v>
      </x:c>
      <x:c r="E480" s="274" t="n">
        <x:v>20</x:v>
      </x:c>
      <x:c r="F480" s="274" t="s">
        <x:v>128</x:v>
      </x:c>
      <x:c r="G480" s="274" t="s">
        <x:v>129</x:v>
      </x:c>
      <x:c r="H480" s="274" t="n">
        <x:v>45</x:v>
      </x:c>
      <x:c r="I480" s="274" t="n">
        <x:v>0.6</x:v>
      </x:c>
      <x:c r="J480" s="274" t="n">
        <x:v>270</x:v>
      </x:c>
      <x:c r="K480" s="274" t="n">
        <x:v>1060</x:v>
      </x:c>
      <x:c r="M480" s="274" t="s">
        <x:v>1106</x:v>
      </x:c>
    </x:row>
    <x:row r="481" spans="1:14">
      <x:c r="A481" s="274" t="s">
        <x:v>1133</x:v>
      </x:c>
      <x:c r="B481" s="274" t="n">
        <x:v>4.27</x:v>
      </x:c>
      <x:c r="C481" s="274" t="n">
        <x:v>45</x:v>
      </x:c>
      <x:c r="D481" s="274" t="n">
        <x:v>45</x:v>
      </x:c>
      <x:c r="E481" s="274" t="n">
        <x:v>35</x:v>
      </x:c>
      <x:c r="F481" s="274" t="s">
        <x:v>133</x:v>
      </x:c>
      <x:c r="G481" s="274" t="s">
        <x:v>136</x:v>
      </x:c>
      <x:c r="H481" s="274" t="n">
        <x:v>45</x:v>
      </x:c>
      <x:c r="I481" s="274" t="n">
        <x:v>1.6</x:v>
      </x:c>
      <x:c r="J481" s="274" t="n">
        <x:v>610</x:v>
      </x:c>
      <x:c r="K481" s="274" t="n">
        <x:v>1105</x:v>
      </x:c>
      <x:c r="M481" s="274" t="s">
        <x:v>1134</x:v>
      </x:c>
      <x:c r="N481" s="274" t="s">
        <x:v>787</x:v>
      </x:c>
    </x:row>
    <x:row r="482" spans="1:14">
      <x:c r="A482" s="274" t="s">
        <x:v>1135</x:v>
      </x:c>
      <x:c r="B482" s="274" t="n">
        <x:v>2.64</x:v>
      </x:c>
      <x:c r="C482" s="274" t="n">
        <x:v>0</x:v>
      </x:c>
      <x:c r="D482" s="274" t="n">
        <x:v>28</x:v>
      </x:c>
      <x:c r="E482" s="274" t="n">
        <x:v>24</x:v>
      </x:c>
      <x:c r="F482" s="274" t="s">
        <x:v>128</x:v>
      </x:c>
      <x:c r="G482" s="274" t="s">
        <x:v>136</x:v>
      </x:c>
      <x:c r="H482" s="274" t="n">
        <x:v>45</x:v>
      </x:c>
      <x:c r="I482" s="274" t="n">
        <x:v>2.3</x:v>
      </x:c>
      <x:c r="J482" s="274" t="n">
        <x:v>166.5</x:v>
      </x:c>
      <x:c r="K482" s="274" t="n">
        <x:v>873</x:v>
      </x:c>
      <x:c r="M482" s="274" t="s">
        <x:v>1136</x:v>
      </x:c>
      <x:c r="N482" s="274" t="s">
        <x:v>207</x:v>
      </x:c>
    </x:row>
    <x:row r="483" spans="1:14">
      <x:c r="A483" s="274" t="s">
        <x:v>1137</x:v>
      </x:c>
      <x:c r="B483" s="274" t="n">
        <x:v>2.04</x:v>
      </x:c>
      <x:c r="C483" s="274" t="n">
        <x:v>0</x:v>
      </x:c>
      <x:c r="D483" s="274" t="n">
        <x:v>0</x:v>
      </x:c>
      <x:c r="F483" s="274" t="s">
        <x:v>133</x:v>
      </x:c>
      <x:c r="G483" s="274" t="s">
        <x:v>134</x:v>
      </x:c>
      <x:c r="I483" s="274" t="n">
        <x:v>2.6</x:v>
      </x:c>
      <x:c r="J483" s="274" t="n">
        <x:v>350</x:v>
      </x:c>
      <x:c r="K483" s="274" t="n">
        <x:v>285</x:v>
      </x:c>
      <x:c r="M483" s="274" t="s">
        <x:v>1138</x:v>
      </x:c>
    </x:row>
    <x:row r="484" spans="1:14">
      <x:c r="A484" s="274" t="s">
        <x:v>1139</x:v>
      </x:c>
      <x:c r="B484" s="274" t="n">
        <x:v>25.74</x:v>
      </x:c>
      <x:c r="C484" s="274" t="n">
        <x:v>0</x:v>
      </x:c>
      <x:c r="D484" s="274" t="n">
        <x:v>0</x:v>
      </x:c>
      <x:c r="F484" s="274" t="s">
        <x:v>133</x:v>
      </x:c>
      <x:c r="G484" s="274" t="s">
        <x:v>148</x:v>
      </x:c>
      <x:c r="I484" s="274" t="n">
        <x:v>4.5</x:v>
      </x:c>
      <x:c r="J484" s="274" t="n">
        <x:v>1225</x:v>
      </x:c>
      <x:c r="K484" s="274" t="n">
        <x:v>595</x:v>
      </x:c>
      <x:c r="M484" s="274" t="s">
        <x:v>1140</x:v>
      </x:c>
    </x:row>
    <x:row r="485" spans="1:14">
      <x:c r="A485" s="274" t="s">
        <x:v>1141</x:v>
      </x:c>
      <x:c r="B485" s="274" t="n">
        <x:v>0.5</x:v>
      </x:c>
      <x:c r="C485" s="274" t="n">
        <x:v>30</x:v>
      </x:c>
      <x:c r="D485" s="274" t="n">
        <x:v>35</x:v>
      </x:c>
      <x:c r="E485" s="274" t="n">
        <x:v>33</x:v>
      </x:c>
      <x:c r="F485" s="274" t="s">
        <x:v>123</x:v>
      </x:c>
      <x:c r="G485" s="274" t="s">
        <x:v>124</x:v>
      </x:c>
      <x:c r="I485" s="274" t="n">
        <x:v>0.8</x:v>
      </x:c>
      <x:c r="J485" s="274" t="n">
        <x:v>268</x:v>
      </x:c>
      <x:c r="K485" s="274" t="n">
        <x:v>300</x:v>
      </x:c>
      <x:c r="M485" s="274" t="s">
        <x:v>1142</x:v>
      </x:c>
    </x:row>
    <x:row r="486" spans="1:14">
      <x:c r="A486" s="274" t="s">
        <x:v>1143</x:v>
      </x:c>
      <x:c r="B486" s="274" t="n">
        <x:v>3.82</x:v>
      </x:c>
      <x:c r="C486" s="274" t="n">
        <x:v>0</x:v>
      </x:c>
      <x:c r="D486" s="274" t="n">
        <x:v>0</x:v>
      </x:c>
      <x:c r="F486" s="274" t="s">
        <x:v>133</x:v>
      </x:c>
      <x:c r="G486" s="274" t="s">
        <x:v>124</x:v>
      </x:c>
      <x:c r="I486" s="274" t="n">
        <x:v>1.2</x:v>
      </x:c>
      <x:c r="J486" s="274" t="n">
        <x:v>350</x:v>
      </x:c>
      <x:c r="K486" s="274" t="n">
        <x:v>1160</x:v>
      </x:c>
      <x:c r="M486" s="274" t="s">
        <x:v>1144</x:v>
      </x:c>
      <x:c r="N486" s="274" t="s">
        <x:v>1145</x:v>
      </x:c>
    </x:row>
    <x:row r="487" spans="1:14">
      <x:c r="A487" s="274" t="s">
        <x:v>1146</x:v>
      </x:c>
      <x:c r="B487" s="274" t="n">
        <x:v>2.83</x:v>
      </x:c>
      <x:c r="C487" s="274" t="n">
        <x:v>0</x:v>
      </x:c>
      <x:c r="D487" s="274" t="n">
        <x:v>26</x:v>
      </x:c>
      <x:c r="E487" s="274" t="n">
        <x:v>16</x:v>
      </x:c>
      <x:c r="F487" s="274" t="s">
        <x:v>133</x:v>
      </x:c>
      <x:c r="G487" s="274" t="s">
        <x:v>134</x:v>
      </x:c>
      <x:c r="I487" s="274" t="n">
        <x:v>2</x:v>
      </x:c>
      <x:c r="J487" s="274" t="n">
        <x:v>166</x:v>
      </x:c>
      <x:c r="K487" s="274" t="n">
        <x:v>1085</x:v>
      </x:c>
      <x:c r="M487" s="274" t="s">
        <x:v>513</x:v>
      </x:c>
      <x:c r="N487" s="274" t="s">
        <x:v>458</x:v>
      </x:c>
    </x:row>
    <x:row r="488" spans="1:14">
      <x:c r="A488" s="274" t="s">
        <x:v>1147</x:v>
      </x:c>
      <x:c r="B488" s="274" t="n">
        <x:v>2.37</x:v>
      </x:c>
      <x:c r="C488" s="274" t="n">
        <x:v>0</x:v>
      </x:c>
      <x:c r="D488" s="274" t="n">
        <x:v>0</x:v>
      </x:c>
      <x:c r="F488" s="274" t="s">
        <x:v>133</x:v>
      </x:c>
      <x:c r="G488" s="274" t="s">
        <x:v>148</x:v>
      </x:c>
      <x:c r="I488" s="274" t="n">
        <x:v>3.2</x:v>
      </x:c>
      <x:c r="J488" s="274" t="n">
        <x:v>63</x:v>
      </x:c>
      <x:c r="K488" s="274" t="n">
        <x:v>1500</x:v>
      </x:c>
      <x:c r="M488" s="274" t="s">
        <x:v>1148</x:v>
      </x:c>
      <x:c r="N488" s="274" t="s">
        <x:v>146</x:v>
      </x:c>
    </x:row>
    <x:row r="489" spans="1:14">
      <x:c r="A489" s="274" t="s">
        <x:v>1149</x:v>
      </x:c>
      <x:c r="B489" s="274" t="n">
        <x:v>0.67</x:v>
      </x:c>
      <x:c r="C489" s="274" t="n">
        <x:v>0</x:v>
      </x:c>
      <x:c r="D489" s="274" t="n">
        <x:v>0</x:v>
      </x:c>
      <x:c r="F489" s="274" t="s">
        <x:v>133</x:v>
      </x:c>
      <x:c r="G489" s="274" t="s">
        <x:v>144</x:v>
      </x:c>
      <x:c r="H489" s="274" t="n">
        <x:v>45</x:v>
      </x:c>
      <x:c r="I489" s="274" t="n">
        <x:v>1</x:v>
      </x:c>
      <x:c r="J489" s="274" t="n">
        <x:v>308</x:v>
      </x:c>
      <x:c r="K489" s="274" t="n">
        <x:v>274</x:v>
      </x:c>
      <x:c r="M489" s="274" t="s">
        <x:v>1150</x:v>
      </x:c>
    </x:row>
    <x:row r="490" spans="1:14">
      <x:c r="A490" s="274" t="s">
        <x:v>1151</x:v>
      </x:c>
      <x:c r="B490" s="274" t="n">
        <x:v>1.31</x:v>
      </x:c>
      <x:c r="C490" s="274" t="n">
        <x:v>0</x:v>
      </x:c>
      <x:c r="D490" s="274" t="n">
        <x:v>0</x:v>
      </x:c>
      <x:c r="F490" s="274" t="s">
        <x:v>133</x:v>
      </x:c>
      <x:c r="G490" s="274" t="s">
        <x:v>134</x:v>
      </x:c>
      <x:c r="I490" s="274" t="n">
        <x:v>2.6</x:v>
      </x:c>
      <x:c r="J490" s="274" t="n">
        <x:v>390</x:v>
      </x:c>
      <x:c r="K490" s="274" t="n">
        <x:v>164</x:v>
      </x:c>
      <x:c r="M490" s="274" t="s">
        <x:v>1152</x:v>
      </x:c>
    </x:row>
    <x:row r="491" spans="1:14">
      <x:c r="A491" s="274" t="s">
        <x:v>1153</x:v>
      </x:c>
      <x:c r="B491" s="274" t="n">
        <x:v>0.59</x:v>
      </x:c>
      <x:c r="C491" s="274" t="n">
        <x:v>0</x:v>
      </x:c>
      <x:c r="D491" s="274" t="n">
        <x:v>0</x:v>
      </x:c>
      <x:c r="F491" s="274" t="s">
        <x:v>123</x:v>
      </x:c>
      <x:c r="G491" s="274" t="s">
        <x:v>209</x:v>
      </x:c>
      <x:c r="I491" s="274" t="n">
        <x:v>1</x:v>
      </x:c>
      <x:c r="J491" s="274" t="n">
        <x:v>255</x:v>
      </x:c>
      <x:c r="K491" s="274" t="n">
        <x:v>295</x:v>
      </x:c>
      <x:c r="M491" s="274" t="s">
        <x:v>1154</x:v>
      </x:c>
    </x:row>
    <x:row r="492" spans="1:14">
      <x:c r="A492" s="274" t="s">
        <x:v>1155</x:v>
      </x:c>
      <x:c r="B492" s="274" t="n">
        <x:v>8.7</x:v>
      </x:c>
      <x:c r="C492" s="274" t="n">
        <x:v>0</x:v>
      </x:c>
      <x:c r="D492" s="274" t="n">
        <x:v>0</x:v>
      </x:c>
      <x:c r="F492" s="274" t="s">
        <x:v>133</x:v>
      </x:c>
      <x:c r="G492" s="274" t="s">
        <x:v>148</x:v>
      </x:c>
      <x:c r="I492" s="274" t="n">
        <x:v>6</x:v>
      </x:c>
      <x:c r="J492" s="274" t="n">
        <x:v>420</x:v>
      </x:c>
      <x:c r="K492" s="274" t="n">
        <x:v>440</x:v>
      </x:c>
      <x:c r="M492" s="274" t="s">
        <x:v>1156</x:v>
      </x:c>
      <x:c r="N492" s="274" t="s">
        <x:v>1157</x:v>
      </x:c>
    </x:row>
    <x:row r="493" spans="1:14">
      <x:c r="A493" s="274" t="s">
        <x:v>1158</x:v>
      </x:c>
      <x:c r="B493" s="274" t="n">
        <x:v>0.83</x:v>
      </x:c>
      <x:c r="C493" s="274" t="n">
        <x:v>0</x:v>
      </x:c>
      <x:c r="D493" s="274" t="n">
        <x:v>0</x:v>
      </x:c>
      <x:c r="F493" s="274" t="s">
        <x:v>128</x:v>
      </x:c>
      <x:c r="G493" s="274" t="s">
        <x:v>496</x:v>
      </x:c>
      <x:c r="H493" s="274" t="n">
        <x:v>45</x:v>
      </x:c>
      <x:c r="I493" s="274" t="n">
        <x:v>2.3</x:v>
      </x:c>
      <x:c r="J493" s="274" t="n">
        <x:v>115</x:v>
      </x:c>
      <x:c r="K493" s="274" t="n">
        <x:v>400</x:v>
      </x:c>
      <x:c r="M493" s="274" t="s">
        <x:v>1159</x:v>
      </x:c>
      <x:c r="N493" s="274" t="s">
        <x:v>299</x:v>
      </x:c>
    </x:row>
    <x:row r="494" spans="1:14">
      <x:c r="A494" s="274" t="s">
        <x:v>1160</x:v>
      </x:c>
      <x:c r="B494" s="274" t="n">
        <x:v>2.9</x:v>
      </x:c>
      <x:c r="C494" s="274" t="n">
        <x:v>0</x:v>
      </x:c>
      <x:c r="D494" s="274" t="n">
        <x:v>0</x:v>
      </x:c>
      <x:c r="F494" s="274" t="s">
        <x:v>133</x:v>
      </x:c>
      <x:c r="G494" s="274" t="s">
        <x:v>148</x:v>
      </x:c>
      <x:c r="I494" s="274" t="n">
        <x:v>2</x:v>
      </x:c>
      <x:c r="J494" s="274" t="n">
        <x:v>139</x:v>
      </x:c>
      <x:c r="K494" s="274" t="n">
        <x:v>1331</x:v>
      </x:c>
      <x:c r="M494" s="274" t="s">
        <x:v>1161</x:v>
      </x:c>
      <x:c r="N494" s="274" t="s">
        <x:v>229</x:v>
      </x:c>
    </x:row>
    <x:row r="495" spans="1:14">
      <x:c r="A495" s="274" t="s">
        <x:v>1162</x:v>
      </x:c>
      <x:c r="B495" s="274" t="n">
        <x:v>2.7</x:v>
      </x:c>
      <x:c r="C495" s="274" t="n">
        <x:v>0</x:v>
      </x:c>
      <x:c r="D495" s="274" t="n">
        <x:v>0</x:v>
      </x:c>
      <x:c r="F495" s="274" t="s">
        <x:v>133</x:v>
      </x:c>
      <x:c r="G495" s="274" t="s">
        <x:v>148</x:v>
      </x:c>
      <x:c r="I495" s="274" t="n">
        <x:v>3.2</x:v>
      </x:c>
      <x:c r="J495" s="274" t="n">
        <x:v>262</x:v>
      </x:c>
      <x:c r="K495" s="274" t="n">
        <x:v>410</x:v>
      </x:c>
      <x:c r="M495" s="274" t="s">
        <x:v>1163</x:v>
      </x:c>
      <x:c r="N495" s="274" t="s">
        <x:v>131</x:v>
      </x:c>
    </x:row>
    <x:row r="496" spans="1:14">
      <x:c r="A496" s="274" t="s">
        <x:v>1164</x:v>
      </x:c>
      <x:c r="B496" s="274" t="n">
        <x:v>3.09</x:v>
      </x:c>
      <x:c r="C496" s="274" t="n">
        <x:v>0</x:v>
      </x:c>
      <x:c r="D496" s="274" t="n">
        <x:v>0</x:v>
      </x:c>
      <x:c r="F496" s="274" t="s">
        <x:v>123</x:v>
      </x:c>
      <x:c r="G496" s="274" t="s">
        <x:v>139</x:v>
      </x:c>
      <x:c r="I496" s="274" t="n">
        <x:v>3.2</x:v>
      </x:c>
      <x:c r="J496" s="274" t="n">
        <x:v>265</x:v>
      </x:c>
      <x:c r="K496" s="274" t="n">
        <x:v>465</x:v>
      </x:c>
      <x:c r="M496" s="274" t="s">
        <x:v>1165</x:v>
      </x:c>
      <x:c r="N496" s="274" t="s">
        <x:v>299</x:v>
      </x:c>
    </x:row>
    <x:row r="497" spans="1:14">
      <x:c r="A497" s="274" t="s">
        <x:v>1166</x:v>
      </x:c>
      <x:c r="B497" s="274" t="n">
        <x:v>47.88</x:v>
      </x:c>
      <x:c r="C497" s="274" t="n">
        <x:v>0</x:v>
      </x:c>
      <x:c r="D497" s="274" t="n">
        <x:v>0</x:v>
      </x:c>
      <x:c r="F497" s="274" t="s">
        <x:v>133</x:v>
      </x:c>
      <x:c r="G497" s="274" t="s">
        <x:v>148</x:v>
      </x:c>
      <x:c r="I497" s="274" t="n">
        <x:v>2.6</x:v>
      </x:c>
      <x:c r="J497" s="274" t="n">
        <x:v>1075</x:v>
      </x:c>
      <x:c r="K497" s="274" t="n">
        <x:v>2182</x:v>
      </x:c>
      <x:c r="M497" s="274" t="s">
        <x:v>1167</x:v>
      </x:c>
      <x:c r="N497" s="274" t="s">
        <x:v>1168</x:v>
      </x:c>
    </x:row>
    <x:row r="498" spans="1:14">
      <x:c r="A498" s="274" t="s">
        <x:v>1169</x:v>
      </x:c>
      <x:c r="B498" s="274" t="n">
        <x:v>9.92</x:v>
      </x:c>
      <x:c r="C498" s="274" t="n">
        <x:v>0</x:v>
      </x:c>
      <x:c r="D498" s="274" t="n">
        <x:v>0</x:v>
      </x:c>
      <x:c r="F498" s="274" t="s">
        <x:v>133</x:v>
      </x:c>
      <x:c r="G498" s="274" t="s">
        <x:v>1170</x:v>
      </x:c>
      <x:c r="I498" s="274" t="n">
        <x:v>8</x:v>
      </x:c>
      <x:c r="J498" s="274" t="n">
        <x:v>445</x:v>
      </x:c>
      <x:c r="K498" s="274" t="n">
        <x:v>355</x:v>
      </x:c>
      <x:c r="M498" s="274" t="s">
        <x:v>1171</x:v>
      </x:c>
      <x:c r="N498" s="274" t="s">
        <x:v>1157</x:v>
      </x:c>
    </x:row>
    <x:row r="499" spans="1:14">
      <x:c r="A499" s="274" t="s">
        <x:v>1172</x:v>
      </x:c>
      <x:c r="B499" s="274" t="n">
        <x:v>9.45</x:v>
      </x:c>
      <x:c r="C499" s="274" t="n">
        <x:v>0</x:v>
      </x:c>
      <x:c r="D499" s="274" t="n">
        <x:v>0</x:v>
      </x:c>
      <x:c r="F499" s="274" t="s">
        <x:v>133</x:v>
      </x:c>
      <x:c r="G499" s="274" t="s">
        <x:v>1170</x:v>
      </x:c>
      <x:c r="I499" s="274" t="n">
        <x:v>8</x:v>
      </x:c>
      <x:c r="J499" s="274" t="n">
        <x:v>435</x:v>
      </x:c>
      <x:c r="K499" s="274" t="n">
        <x:v>346</x:v>
      </x:c>
      <x:c r="M499" s="274" t="s">
        <x:v>1173</x:v>
      </x:c>
      <x:c r="N499" s="274" t="s">
        <x:v>1157</x:v>
      </x:c>
    </x:row>
    <x:row r="500" spans="1:14">
      <x:c r="A500" s="274" t="s">
        <x:v>1174</x:v>
      </x:c>
      <x:c r="B500" s="274" t="n">
        <x:v>1.38</x:v>
      </x:c>
      <x:c r="C500" s="274" t="n">
        <x:v>0</x:v>
      </x:c>
      <x:c r="D500" s="274" t="n">
        <x:v>0</x:v>
      </x:c>
      <x:c r="F500" s="274" t="s">
        <x:v>133</x:v>
      </x:c>
      <x:c r="G500" s="274" t="s">
        <x:v>134</x:v>
      </x:c>
      <x:c r="I500" s="274" t="n">
        <x:v>3.6</x:v>
      </x:c>
      <x:c r="J500" s="274" t="n">
        <x:v>204</x:v>
      </x:c>
      <x:c r="K500" s="274" t="n">
        <x:v>240</x:v>
      </x:c>
      <x:c r="M500" s="274" t="s">
        <x:v>1175</x:v>
      </x:c>
      <x:c r="N500" s="274" t="s">
        <x:v>631</x:v>
      </x:c>
    </x:row>
    <x:row r="501" spans="1:14">
      <x:c r="A501" s="274" t="s">
        <x:v>1176</x:v>
      </x:c>
      <x:c r="B501" s="274" t="n">
        <x:v>3.09</x:v>
      </x:c>
      <x:c r="C501" s="274" t="n">
        <x:v>0</x:v>
      </x:c>
      <x:c r="D501" s="274" t="n">
        <x:v>0</x:v>
      </x:c>
      <x:c r="F501" s="274" t="s">
        <x:v>133</x:v>
      </x:c>
      <x:c r="G501" s="274" t="s">
        <x:v>134</x:v>
      </x:c>
      <x:c r="I501" s="274" t="n">
        <x:v>2.9</x:v>
      </x:c>
      <x:c r="J501" s="274" t="n">
        <x:v>335</x:v>
      </x:c>
      <x:c r="K501" s="274" t="n">
        <x:v>345</x:v>
      </x:c>
      <x:c r="L501" s="274" t="n">
        <x:v>465</x:v>
      </x:c>
      <x:c r="M501" s="274" t="s">
        <x:v>1177</x:v>
      </x:c>
      <x:c r="N501" s="274" t="s">
        <x:v>1178</x:v>
      </x:c>
    </x:row>
    <x:row r="502" spans="1:14">
      <x:c r="A502" s="274" t="s">
        <x:v>1179</x:v>
      </x:c>
      <x:c r="B502" s="274" t="n">
        <x:v>1.8</x:v>
      </x:c>
      <x:c r="C502" s="274" t="n">
        <x:v>0</x:v>
      </x:c>
      <x:c r="D502" s="274" t="n">
        <x:v>26</x:v>
      </x:c>
      <x:c r="E502" s="274" t="n">
        <x:v>14</x:v>
      </x:c>
      <x:c r="F502" s="274" t="s">
        <x:v>333</x:v>
      </x:c>
      <x:c r="G502" s="274" t="s">
        <x:v>153</x:v>
      </x:c>
      <x:c r="I502" s="274" t="n">
        <x:v>0.65</x:v>
      </x:c>
      <x:c r="J502" s="274" t="n">
        <x:v>275</x:v>
      </x:c>
      <x:c r="K502" s="274" t="n">
        <x:v>1280</x:v>
      </x:c>
      <x:c r="M502" s="274" t="s">
        <x:v>750</x:v>
      </x:c>
      <x:c r="N502" s="274" t="s">
        <x:v>480</x:v>
      </x:c>
    </x:row>
    <x:row r="503" spans="1:14">
      <x:c r="A503" s="274" t="s">
        <x:v>1180</x:v>
      </x:c>
      <x:c r="B503" s="274" t="n">
        <x:v>9.15</x:v>
      </x:c>
      <x:c r="C503" s="274" t="n">
        <x:v>0</x:v>
      </x:c>
      <x:c r="D503" s="274" t="n">
        <x:v>0</x:v>
      </x:c>
      <x:c r="F503" s="274" t="s">
        <x:v>133</x:v>
      </x:c>
      <x:c r="G503" s="274" t="s">
        <x:v>148</x:v>
      </x:c>
      <x:c r="I503" s="274" t="n">
        <x:v>3.2</x:v>
      </x:c>
      <x:c r="J503" s="274" t="n">
        <x:v>759</x:v>
      </x:c>
      <x:c r="K503" s="274" t="n">
        <x:v>480</x:v>
      </x:c>
      <x:c r="M503" s="274" t="s">
        <x:v>1181</x:v>
      </x:c>
      <x:c r="N503" s="274" t="s">
        <x:v>1182</x:v>
      </x:c>
    </x:row>
    <x:row r="504" spans="1:14">
      <x:c r="A504" s="274" t="s">
        <x:v>1183</x:v>
      </x:c>
      <x:c r="B504" s="274" t="n">
        <x:v>3.64</x:v>
      </x:c>
      <x:c r="C504" s="274" t="n">
        <x:v>0</x:v>
      </x:c>
      <x:c r="D504" s="274" t="n">
        <x:v>0</x:v>
      </x:c>
      <x:c r="F504" s="274" t="s">
        <x:v>133</x:v>
      </x:c>
      <x:c r="G504" s="274" t="s">
        <x:v>134</x:v>
      </x:c>
      <x:c r="I504" s="274" t="n">
        <x:v>2.3</x:v>
      </x:c>
      <x:c r="J504" s="274" t="n">
        <x:v>186</x:v>
      </x:c>
      <x:c r="K504" s="274" t="n">
        <x:v>1085</x:v>
      </x:c>
      <x:c r="M504" s="274" t="s">
        <x:v>1184</x:v>
      </x:c>
      <x:c r="N504" s="274" t="s">
        <x:v>893</x:v>
      </x:c>
    </x:row>
    <x:row r="505" spans="1:14">
      <x:c r="A505" s="274" t="s">
        <x:v>1185</x:v>
      </x:c>
      <x:c r="B505" s="274" t="n">
        <x:v>0.5</x:v>
      </x:c>
      <x:c r="C505" s="274" t="n">
        <x:v>0</x:v>
      </x:c>
      <x:c r="D505" s="274" t="n">
        <x:v>35</x:v>
      </x:c>
      <x:c r="E505" s="274" t="n">
        <x:v>33</x:v>
      </x:c>
      <x:c r="F505" s="274" t="s">
        <x:v>133</x:v>
      </x:c>
      <x:c r="G505" s="274" t="s">
        <x:v>134</x:v>
      </x:c>
      <x:c r="I505" s="274" t="n">
        <x:v>3.2</x:v>
      </x:c>
      <x:c r="J505" s="274" t="n">
        <x:v>180</x:v>
      </x:c>
      <x:c r="K505" s="274" t="n">
        <x:v>110</x:v>
      </x:c>
      <x:c r="M505" s="274" t="s">
        <x:v>1186</x:v>
      </x:c>
      <x:c r="N505" s="274" t="s">
        <x:v>131</x:v>
      </x:c>
    </x:row>
    <x:row r="506" spans="1:14">
      <x:c r="A506" s="274" t="s">
        <x:v>1187</x:v>
      </x:c>
      <x:c r="B506" s="274" t="n">
        <x:v>1.66</x:v>
      </x:c>
      <x:c r="C506" s="274" t="n">
        <x:v>0</x:v>
      </x:c>
      <x:c r="D506" s="274" t="n">
        <x:v>19</x:v>
      </x:c>
      <x:c r="E506" s="274" t="n">
        <x:v>19</x:v>
      </x:c>
      <x:c r="F506" s="274" t="s">
        <x:v>133</x:v>
      </x:c>
      <x:c r="G506" s="274" t="s">
        <x:v>136</x:v>
      </x:c>
      <x:c r="H506" s="274" t="n">
        <x:v>45</x:v>
      </x:c>
      <x:c r="I506" s="274" t="n">
        <x:v>0.9</x:v>
      </x:c>
      <x:c r="J506" s="274" t="n">
        <x:v>172</x:v>
      </x:c>
      <x:c r="K506" s="274" t="n">
        <x:v>1350</x:v>
      </x:c>
      <x:c r="M506" s="274" t="s">
        <x:v>1188</x:v>
      </x:c>
      <x:c r="N506" s="274" t="s">
        <x:v>131</x:v>
      </x:c>
    </x:row>
    <x:row r="507" spans="1:14">
      <x:c r="A507" s="274" t="s">
        <x:v>1189</x:v>
      </x:c>
      <x:c r="B507" s="274" t="n">
        <x:v>1.64</x:v>
      </x:c>
      <x:c r="C507" s="274" t="n">
        <x:v>0</x:v>
      </x:c>
      <x:c r="D507" s="274" t="n">
        <x:v>0</x:v>
      </x:c>
      <x:c r="F507" s="274" t="s">
        <x:v>123</x:v>
      </x:c>
      <x:c r="G507" s="274" t="s">
        <x:v>209</x:v>
      </x:c>
      <x:c r="I507" s="274" t="n">
        <x:v>1.2</x:v>
      </x:c>
      <x:c r="J507" s="274" t="n">
        <x:v>183</x:v>
      </x:c>
      <x:c r="K507" s="274" t="n">
        <x:v>950</x:v>
      </x:c>
      <x:c r="M507" s="274" t="s">
        <x:v>1190</x:v>
      </x:c>
      <x:c r="N507" s="274" t="s">
        <x:v>229</x:v>
      </x:c>
    </x:row>
    <x:row r="508" spans="1:14">
      <x:c r="A508" s="274" t="s">
        <x:v>1191</x:v>
      </x:c>
      <x:c r="B508" s="274" t="n">
        <x:v>1.09</x:v>
      </x:c>
      <x:c r="C508" s="274" t="n">
        <x:v>0</x:v>
      </x:c>
      <x:c r="D508" s="274" t="n">
        <x:v>0</x:v>
      </x:c>
      <x:c r="F508" s="274" t="s">
        <x:v>123</x:v>
      </x:c>
      <x:c r="G508" s="274" t="s">
        <x:v>209</x:v>
      </x:c>
      <x:c r="I508" s="274" t="n">
        <x:v>1.6</x:v>
      </x:c>
      <x:c r="J508" s="274" t="n">
        <x:v>108</x:v>
      </x:c>
      <x:c r="K508" s="274" t="n">
        <x:v>800</x:v>
      </x:c>
      <x:c r="M508" s="274" t="s">
        <x:v>1192</x:v>
      </x:c>
      <x:c r="N508" s="274" t="s">
        <x:v>229</x:v>
      </x:c>
    </x:row>
    <x:row r="509" spans="1:14">
      <x:c r="A509" s="274" t="s">
        <x:v>1193</x:v>
      </x:c>
      <x:c r="B509" s="274" t="n">
        <x:v>0.3</x:v>
      </x:c>
      <x:c r="C509" s="274" t="n">
        <x:v>32</x:v>
      </x:c>
      <x:c r="D509" s="274" t="n">
        <x:v>35</x:v>
      </x:c>
      <x:c r="E509" s="274" t="n">
        <x:v>33</x:v>
      </x:c>
      <x:c r="F509" s="274" t="s">
        <x:v>123</x:v>
      </x:c>
      <x:c r="G509" s="274" t="s">
        <x:v>153</x:v>
      </x:c>
      <x:c r="I509" s="274" t="n">
        <x:v>1</x:v>
      </x:c>
      <x:c r="J509" s="274" t="n">
        <x:v>200</x:v>
      </x:c>
      <x:c r="K509" s="274" t="n">
        <x:v>190</x:v>
      </x:c>
      <x:c r="M509" s="274" t="s">
        <x:v>1194</x:v>
      </x:c>
      <x:c r="N509" s="274" t="s">
        <x:v>162</x:v>
      </x:c>
    </x:row>
    <x:row r="510" spans="1:14">
      <x:c r="A510" s="274" t="s">
        <x:v>1195</x:v>
      </x:c>
      <x:c r="B510" s="274" t="n">
        <x:v>3.09</x:v>
      </x:c>
      <x:c r="C510" s="274" t="n">
        <x:v>0</x:v>
      </x:c>
      <x:c r="D510" s="274" t="n">
        <x:v>0</x:v>
      </x:c>
      <x:c r="F510" s="274" t="s">
        <x:v>133</x:v>
      </x:c>
      <x:c r="G510" s="274" t="s">
        <x:v>136</x:v>
      </x:c>
      <x:c r="H510" s="274" t="n">
        <x:v>45</x:v>
      </x:c>
      <x:c r="I510" s="274" t="n">
        <x:v>1.4</x:v>
      </x:c>
      <x:c r="J510" s="274" t="n">
        <x:v>238</x:v>
      </x:c>
      <x:c r="K510" s="274" t="n">
        <x:v>1170</x:v>
      </x:c>
      <x:c r="M510" s="274" t="s">
        <x:v>1196</x:v>
      </x:c>
      <x:c r="N510" s="274" t="s">
        <x:v>229</x:v>
      </x:c>
    </x:row>
    <x:row r="511" spans="1:14">
      <x:c r="A511" s="274" t="s">
        <x:v>1197</x:v>
      </x:c>
      <x:c r="B511" s="274" t="n">
        <x:v>0.19</x:v>
      </x:c>
      <x:c r="C511" s="274" t="n">
        <x:v>36</x:v>
      </x:c>
      <x:c r="D511" s="274" t="n">
        <x:v>35</x:v>
      </x:c>
      <x:c r="E511" s="274" t="n">
        <x:v>33</x:v>
      </x:c>
      <x:c r="F511" s="274" t="s">
        <x:v>133</x:v>
      </x:c>
      <x:c r="G511" s="274" t="s">
        <x:v>136</x:v>
      </x:c>
      <x:c r="H511" s="274" t="n">
        <x:v>45</x:v>
      </x:c>
      <x:c r="I511" s="274" t="n">
        <x:v>1.4</x:v>
      </x:c>
      <x:c r="J511" s="274" t="n">
        <x:v>132</x:v>
      </x:c>
      <x:c r="K511" s="274" t="n">
        <x:v>132</x:v>
      </x:c>
      <x:c r="M511" s="274" t="s">
        <x:v>1198</x:v>
      </x:c>
      <x:c r="N511" s="274" t="s">
        <x:v>229</x:v>
      </x:c>
    </x:row>
    <x:row r="512" spans="1:14">
      <x:c r="A512" s="274" t="s">
        <x:v>1199</x:v>
      </x:c>
      <x:c r="B512" s="274" t="n">
        <x:v>3.89</x:v>
      </x:c>
      <x:c r="C512" s="274" t="n">
        <x:v>0</x:v>
      </x:c>
      <x:c r="D512" s="274" t="n">
        <x:v>0</x:v>
      </x:c>
      <x:c r="E512" s="274" t="n">
        <x:v>0</x:v>
      </x:c>
      <x:c r="F512" s="274" t="s">
        <x:v>123</x:v>
      </x:c>
      <x:c r="G512" s="274" t="s">
        <x:v>284</x:v>
      </x:c>
      <x:c r="H512" s="274" t="s">
        <x:v>285</x:v>
      </x:c>
      <x:c r="I512" s="274" t="n">
        <x:v>0.65</x:v>
      </x:c>
      <x:c r="J512" s="274" t="n">
        <x:v>1125</x:v>
      </x:c>
      <x:c r="K512" s="274" t="n">
        <x:v>1332</x:v>
      </x:c>
      <x:c r="M512" s="274" t="s">
        <x:v>1200</x:v>
      </x:c>
      <x:c r="N512" s="274" t="s">
        <x:v>870</x:v>
      </x:c>
    </x:row>
    <x:row r="513" spans="1:14">
      <x:c r="A513" s="274" t="s">
        <x:v>1201</x:v>
      </x:c>
      <x:c r="B513" s="274" t="n">
        <x:v>3.89</x:v>
      </x:c>
      <x:c r="C513" s="274" t="n">
        <x:v>0</x:v>
      </x:c>
      <x:c r="D513" s="274" t="n">
        <x:v>0</x:v>
      </x:c>
      <x:c r="E513" s="274" t="n">
        <x:v>0</x:v>
      </x:c>
      <x:c r="F513" s="274" t="s">
        <x:v>123</x:v>
      </x:c>
      <x:c r="G513" s="274" t="s">
        <x:v>284</x:v>
      </x:c>
      <x:c r="H513" s="274" t="s">
        <x:v>423</x:v>
      </x:c>
      <x:c r="I513" s="274" t="n">
        <x:v>0.65</x:v>
      </x:c>
      <x:c r="J513" s="274" t="n">
        <x:v>1125</x:v>
      </x:c>
      <x:c r="K513" s="274" t="n">
        <x:v>1332</x:v>
      </x:c>
      <x:c r="M513" s="274" t="s">
        <x:v>1202</x:v>
      </x:c>
      <x:c r="N513" s="274" t="s">
        <x:v>870</x:v>
      </x:c>
    </x:row>
    <x:row r="514" spans="1:14">
      <x:c r="A514" s="274" t="s">
        <x:v>1203</x:v>
      </x:c>
      <x:c r="B514" s="274" t="n">
        <x:v>10</x:v>
      </x:c>
      <x:c r="C514" s="274" t="n">
        <x:v>0</x:v>
      </x:c>
      <x:c r="D514" s="274" t="n">
        <x:v>0</x:v>
      </x:c>
      <x:c r="E514" s="274" t="n">
        <x:v>0</x:v>
      </x:c>
      <x:c r="F514" s="274" t="s">
        <x:v>123</x:v>
      </x:c>
      <x:c r="G514" s="274" t="s">
        <x:v>906</x:v>
      </x:c>
      <x:c r="H514" s="274" t="s">
        <x:v>907</x:v>
      </x:c>
      <x:c r="I514" s="274" t="n">
        <x:v>0.65</x:v>
      </x:c>
      <x:c r="J514" s="274" t="n">
        <x:v>1030</x:v>
      </x:c>
      <x:c r="K514" s="274" t="n">
        <x:v>2464.6</x:v>
      </x:c>
      <x:c r="L514" s="274" t="n">
        <x:v>1275.3</x:v>
      </x:c>
      <x:c r="M514" s="274" t="s">
        <x:v>1204</x:v>
      </x:c>
      <x:c r="N514" s="274" t="s">
        <x:v>155</x:v>
      </x:c>
    </x:row>
    <x:row r="515" spans="1:14">
      <x:c r="A515" s="274" t="s">
        <x:v>1205</x:v>
      </x:c>
      <x:c r="B515" s="274" t="n">
        <x:v>18.87</x:v>
      </x:c>
      <x:c r="C515" s="274" t="n">
        <x:v>20</x:v>
      </x:c>
      <x:c r="D515" s="274" t="n">
        <x:v>20</x:v>
      </x:c>
      <x:c r="E515" s="274" t="n">
        <x:v>0</x:v>
      </x:c>
      <x:c r="F515" s="274" t="s">
        <x:v>123</x:v>
      </x:c>
      <x:c r="G515" s="274" t="s">
        <x:v>906</x:v>
      </x:c>
      <x:c r="H515" s="274" t="s">
        <x:v>907</x:v>
      </x:c>
      <x:c r="I515" s="274" t="n">
        <x:v>0.65</x:v>
      </x:c>
      <x:c r="J515" s="274" t="n">
        <x:v>1315</x:v>
      </x:c>
      <x:c r="K515" s="274" t="n">
        <x:v>2764</x:v>
      </x:c>
      <x:c r="M515" s="274" t="s">
        <x:v>1206</x:v>
      </x:c>
      <x:c r="N515" s="274" t="s">
        <x:v>299</x:v>
      </x:c>
    </x:row>
    <x:row r="516" spans="1:14">
      <x:c r="A516" s="274" t="s">
        <x:v>1207</x:v>
      </x:c>
      <x:c r="B516" s="274" t="n">
        <x:v>4.21</x:v>
      </x:c>
      <x:c r="C516" s="274" t="n">
        <x:v>0</x:v>
      </x:c>
      <x:c r="D516" s="274" t="n">
        <x:v>0</x:v>
      </x:c>
      <x:c r="E516" s="274" t="n">
        <x:v>0</x:v>
      </x:c>
      <x:c r="F516" s="274" t="s">
        <x:v>123</x:v>
      </x:c>
      <x:c r="G516" s="274" t="s">
        <x:v>284</x:v>
      </x:c>
      <x:c r="H516" s="274" t="s">
        <x:v>907</x:v>
      </x:c>
      <x:c r="I516" s="274" t="n">
        <x:v>0.65</x:v>
      </x:c>
      <x:c r="J516" s="274" t="n">
        <x:v>1125</x:v>
      </x:c>
      <x:c r="K516" s="274" t="n">
        <x:v>720</x:v>
      </x:c>
      <x:c r="M516" s="274" t="s">
        <x:v>1208</x:v>
      </x:c>
      <x:c r="N516" s="274" t="s">
        <x:v>155</x:v>
      </x:c>
    </x:row>
    <x:row r="517" spans="1:14">
      <x:c r="A517" s="274" t="s">
        <x:v>1209</x:v>
      </x:c>
      <x:c r="B517" s="274" t="n">
        <x:v>3.09</x:v>
      </x:c>
      <x:c r="C517" s="274" t="n">
        <x:v>0</x:v>
      </x:c>
      <x:c r="D517" s="274" t="n">
        <x:v>0</x:v>
      </x:c>
      <x:c r="E517" s="274" t="n">
        <x:v>0</x:v>
      </x:c>
      <x:c r="F517" s="274" t="s">
        <x:v>123</x:v>
      </x:c>
      <x:c r="G517" s="274" t="s">
        <x:v>284</x:v>
      </x:c>
      <x:c r="H517" s="274" t="s">
        <x:v>907</x:v>
      </x:c>
      <x:c r="I517" s="274" t="n">
        <x:v>0.65</x:v>
      </x:c>
      <x:c r="J517" s="274" t="n">
        <x:v>1165</x:v>
      </x:c>
      <x:c r="K517" s="274" t="n">
        <x:v>510</x:v>
      </x:c>
      <x:c r="M517" s="274" t="s">
        <x:v>1210</x:v>
      </x:c>
      <x:c r="N517" s="274" t="s">
        <x:v>155</x:v>
      </x:c>
    </x:row>
    <x:row r="518" spans="1:14">
      <x:c r="A518" s="274" t="s">
        <x:v>1211</x:v>
      </x:c>
      <x:c r="B518" s="274" t="n">
        <x:v>11.05</x:v>
      </x:c>
      <x:c r="C518" s="274" t="n">
        <x:v>34</x:v>
      </x:c>
      <x:c r="D518" s="274" t="n">
        <x:v>34</x:v>
      </x:c>
      <x:c r="E518" s="274" t="n">
        <x:v>0</x:v>
      </x:c>
      <x:c r="F518" s="274" t="s">
        <x:v>123</x:v>
      </x:c>
      <x:c r="G518" s="274" t="s">
        <x:v>906</x:v>
      </x:c>
      <x:c r="H518" s="274" t="s">
        <x:v>907</x:v>
      </x:c>
      <x:c r="I518" s="274" t="n">
        <x:v>0.65</x:v>
      </x:c>
      <x:c r="J518" s="274" t="n">
        <x:v>1310</x:v>
      </x:c>
      <x:c r="K518" s="274" t="n">
        <x:v>1625</x:v>
      </x:c>
      <x:c r="M518" s="274" t="s">
        <x:v>1212</x:v>
      </x:c>
      <x:c r="N518" s="274" t="s">
        <x:v>155</x:v>
      </x:c>
    </x:row>
    <x:row r="519" spans="1:14">
      <x:c r="A519" s="274" t="s">
        <x:v>1213</x:v>
      </x:c>
      <x:c r="B519" s="274" t="n">
        <x:v>5.97</x:v>
      </x:c>
      <x:c r="C519" s="274" t="n">
        <x:v>0</x:v>
      </x:c>
      <x:c r="D519" s="274" t="n">
        <x:v>32</x:v>
      </x:c>
      <x:c r="E519" s="274" t="n">
        <x:v>40</x:v>
      </x:c>
      <x:c r="F519" s="274" t="s">
        <x:v>123</x:v>
      </x:c>
      <x:c r="G519" s="274" t="s">
        <x:v>124</x:v>
      </x:c>
      <x:c r="I519" s="274" t="n">
        <x:v>1.2</x:v>
      </x:c>
      <x:c r="J519" s="274" t="n">
        <x:v>1440</x:v>
      </x:c>
      <x:c r="K519" s="274" t="n">
        <x:v>440</x:v>
      </x:c>
      <x:c r="M519" s="274" t="s">
        <x:v>1214</x:v>
      </x:c>
      <x:c r="N519" s="274" t="s">
        <x:v>299</x:v>
      </x:c>
    </x:row>
    <x:row r="520" spans="1:14">
      <x:c r="A520" s="274" t="s">
        <x:v>1215</x:v>
      </x:c>
      <x:c r="B520" s="274" t="n">
        <x:v>10.22</x:v>
      </x:c>
      <x:c r="C520" s="274" t="n">
        <x:v>36</x:v>
      </x:c>
      <x:c r="D520" s="274" t="n">
        <x:v>35</x:v>
      </x:c>
      <x:c r="E520" s="274" t="n">
        <x:v>20</x:v>
      </x:c>
      <x:c r="F520" s="274" t="s">
        <x:v>133</x:v>
      </x:c>
      <x:c r="G520" s="274" t="s">
        <x:v>136</x:v>
      </x:c>
      <x:c r="H520" s="274" t="n">
        <x:v>45</x:v>
      </x:c>
      <x:c r="I520" s="274" t="n">
        <x:v>0.65</x:v>
      </x:c>
      <x:c r="J520" s="274" t="n">
        <x:v>970</x:v>
      </x:c>
      <x:c r="K520" s="274" t="n">
        <x:v>2030</x:v>
      </x:c>
      <x:c r="M520" s="274" t="s">
        <x:v>1216</x:v>
      </x:c>
      <x:c r="N520" s="274" t="s">
        <x:v>1217</x:v>
      </x:c>
    </x:row>
    <x:row r="521" spans="1:14">
      <x:c r="A521" s="274" t="s">
        <x:v>1218</x:v>
      </x:c>
      <x:c r="B521" s="274" t="n">
        <x:v>9.08</x:v>
      </x:c>
      <x:c r="C521" s="274" t="n">
        <x:v>35</x:v>
      </x:c>
      <x:c r="D521" s="274" t="n">
        <x:v>36</x:v>
      </x:c>
      <x:c r="E521" s="274" t="n">
        <x:v>24</x:v>
      </x:c>
      <x:c r="F521" s="274" t="s">
        <x:v>133</x:v>
      </x:c>
      <x:c r="G521" s="274" t="s">
        <x:v>136</x:v>
      </x:c>
      <x:c r="H521" s="274" t="n">
        <x:v>45</x:v>
      </x:c>
      <x:c r="I521" s="274" t="n">
        <x:v>0.65</x:v>
      </x:c>
      <x:c r="J521" s="274" t="n">
        <x:v>915</x:v>
      </x:c>
      <x:c r="K521" s="274" t="n">
        <x:v>1910</x:v>
      </x:c>
      <x:c r="M521" s="274" t="s">
        <x:v>1219</x:v>
      </x:c>
      <x:c r="N521" s="274" t="s">
        <x:v>1220</x:v>
      </x:c>
    </x:row>
    <x:row r="522" spans="1:14">
      <x:c r="A522" s="274" t="s">
        <x:v>1221</x:v>
      </x:c>
      <x:c r="B522" s="274" t="n">
        <x:v>1.45</x:v>
      </x:c>
      <x:c r="C522" s="274" t="n">
        <x:v>0</x:v>
      </x:c>
      <x:c r="D522" s="274" t="n">
        <x:v>0</x:v>
      </x:c>
      <x:c r="F522" s="274" t="s">
        <x:v>333</x:v>
      </x:c>
      <x:c r="G522" s="274" t="s">
        <x:v>209</x:v>
      </x:c>
      <x:c r="I522" s="274" t="n">
        <x:v>1</x:v>
      </x:c>
      <x:c r="J522" s="274" t="n">
        <x:v>161</x:v>
      </x:c>
      <x:c r="K522" s="274" t="n">
        <x:v>1150</x:v>
      </x:c>
      <x:c r="M522" s="274" t="s">
        <x:v>1222</x:v>
      </x:c>
      <x:c r="N522" s="274" t="s">
        <x:v>870</x:v>
      </x:c>
    </x:row>
    <x:row r="523" spans="1:14">
      <x:c r="A523" s="274" t="s">
        <x:v>1223</x:v>
      </x:c>
      <x:c r="B523" s="274" t="n">
        <x:v>0.58</x:v>
      </x:c>
      <x:c r="C523" s="274" t="n">
        <x:v>0</x:v>
      </x:c>
      <x:c r="D523" s="274" t="n">
        <x:v>0</x:v>
      </x:c>
      <x:c r="F523" s="274" t="s">
        <x:v>123</x:v>
      </x:c>
      <x:c r="G523" s="274" t="s">
        <x:v>209</x:v>
      </x:c>
      <x:c r="I523" s="274" t="n">
        <x:v>0.9</x:v>
      </x:c>
      <x:c r="J523" s="274" t="n">
        <x:v>69.5</x:v>
      </x:c>
      <x:c r="K523" s="274" t="n">
        <x:v>1191</x:v>
      </x:c>
      <x:c r="M523" s="274" t="s">
        <x:v>1224</x:v>
      </x:c>
      <x:c r="N523" s="274" t="s">
        <x:v>870</x:v>
      </x:c>
    </x:row>
    <x:row r="524" spans="1:14">
      <x:c r="A524" s="274" t="s">
        <x:v>1225</x:v>
      </x:c>
      <x:c r="B524" s="274" t="n">
        <x:v>1.49</x:v>
      </x:c>
      <x:c r="C524" s="274" t="n">
        <x:v>0</x:v>
      </x:c>
      <x:c r="D524" s="274" t="n">
        <x:v>0</x:v>
      </x:c>
      <x:c r="F524" s="274" t="s">
        <x:v>123</x:v>
      </x:c>
      <x:c r="G524" s="274" t="s">
        <x:v>209</x:v>
      </x:c>
      <x:c r="I524" s="274" t="n">
        <x:v>1</x:v>
      </x:c>
      <x:c r="J524" s="274" t="n">
        <x:v>159</x:v>
      </x:c>
      <x:c r="K524" s="274" t="n">
        <x:v>1193</x:v>
      </x:c>
      <x:c r="M524" s="274" t="s">
        <x:v>1226</x:v>
      </x:c>
      <x:c r="N524" s="274" t="s">
        <x:v>870</x:v>
      </x:c>
    </x:row>
    <x:row r="525" spans="1:14">
      <x:c r="A525" s="274" t="s">
        <x:v>1227</x:v>
      </x:c>
      <x:c r="B525" s="274" t="n">
        <x:v>0.52</x:v>
      </x:c>
      <x:c r="C525" s="274" t="n">
        <x:v>0</x:v>
      </x:c>
      <x:c r="D525" s="274" t="n">
        <x:v>0</x:v>
      </x:c>
      <x:c r="F525" s="274" t="s">
        <x:v>333</x:v>
      </x:c>
      <x:c r="G525" s="274" t="s">
        <x:v>124</x:v>
      </x:c>
      <x:c r="I525" s="274" t="n">
        <x:v>2.3</x:v>
      </x:c>
      <x:c r="J525" s="274" t="n">
        <x:v>155</x:v>
      </x:c>
      <x:c r="K525" s="274" t="n">
        <x:v>184</x:v>
      </x:c>
      <x:c r="M525" s="274" t="s">
        <x:v>1228</x:v>
      </x:c>
      <x:c r="N525" s="274" t="s">
        <x:v>870</x:v>
      </x:c>
    </x:row>
    <x:row r="526" spans="1:14">
      <x:c r="A526" s="274" t="s">
        <x:v>1229</x:v>
      </x:c>
      <x:c r="B526" s="274" t="n">
        <x:v>0.93</x:v>
      </x:c>
      <x:c r="C526" s="274" t="n">
        <x:v>0</x:v>
      </x:c>
      <x:c r="D526" s="274" t="n">
        <x:v>0</x:v>
      </x:c>
      <x:c r="F526" s="274" t="s">
        <x:v>333</x:v>
      </x:c>
      <x:c r="G526" s="274" t="s">
        <x:v>153</x:v>
      </x:c>
      <x:c r="I526" s="274" t="n">
        <x:v>0.65</x:v>
      </x:c>
      <x:c r="J526" s="274" t="n">
        <x:v>305</x:v>
      </x:c>
      <x:c r="K526" s="274" t="n">
        <x:v>600</x:v>
      </x:c>
      <x:c r="M526" s="274" t="s">
        <x:v>1230</x:v>
      </x:c>
      <x:c r="N526" s="274" t="s">
        <x:v>229</x:v>
      </x:c>
    </x:row>
    <x:row r="527" spans="1:14">
      <x:c r="A527" s="274" t="s">
        <x:v>1231</x:v>
      </x:c>
      <x:c r="B527" s="274" t="n">
        <x:v>0.12</x:v>
      </x:c>
      <x:c r="C527" s="274" t="n">
        <x:v>35</x:v>
      </x:c>
      <x:c r="D527" s="274" t="n">
        <x:v>35</x:v>
      </x:c>
      <x:c r="E527" s="274" t="n">
        <x:v>33</x:v>
      </x:c>
      <x:c r="F527" s="274" t="s">
        <x:v>123</x:v>
      </x:c>
      <x:c r="G527" s="274" t="s">
        <x:v>209</x:v>
      </x:c>
      <x:c r="I527" s="274" t="n">
        <x:v>1</x:v>
      </x:c>
      <x:c r="J527" s="274" t="n">
        <x:v>94</x:v>
      </x:c>
      <x:c r="K527" s="274" t="n">
        <x:v>166</x:v>
      </x:c>
      <x:c r="M527" s="274" t="s">
        <x:v>1232</x:v>
      </x:c>
      <x:c r="N527" s="274" t="s">
        <x:v>1233</x:v>
      </x:c>
    </x:row>
    <x:row r="528" spans="1:14">
      <x:c r="A528" s="274" t="s">
        <x:v>1234</x:v>
      </x:c>
      <x:c r="B528" s="274" t="n">
        <x:v>0.72</x:v>
      </x:c>
      <x:c r="C528" s="274" t="n">
        <x:v>30</x:v>
      </x:c>
      <x:c r="D528" s="274" t="n">
        <x:v>35</x:v>
      </x:c>
      <x:c r="E528" s="274" t="n">
        <x:v>33</x:v>
      </x:c>
      <x:c r="F528" s="274" t="s">
        <x:v>133</x:v>
      </x:c>
      <x:c r="G528" s="274" t="s">
        <x:v>136</x:v>
      </x:c>
      <x:c r="H528" s="274" t="n">
        <x:v>45</x:v>
      </x:c>
      <x:c r="I528" s="274" t="n">
        <x:v>1.6</x:v>
      </x:c>
      <x:c r="J528" s="274" t="n">
        <x:v>192</x:v>
      </x:c>
      <x:c r="K528" s="274" t="n">
        <x:v>297</x:v>
      </x:c>
      <x:c r="M528" s="274" t="s">
        <x:v>1235</x:v>
      </x:c>
      <x:c r="N528" s="274" t="s">
        <x:v>1236</x:v>
      </x:c>
    </x:row>
    <x:row r="529" spans="1:14">
      <x:c r="A529" s="274" t="s">
        <x:v>1237</x:v>
      </x:c>
      <x:c r="B529" s="274" t="n">
        <x:v>1.17</x:v>
      </x:c>
      <x:c r="C529" s="274" t="n">
        <x:v>0</x:v>
      </x:c>
      <x:c r="D529" s="274" t="n">
        <x:v>0</x:v>
      </x:c>
      <x:c r="F529" s="274" t="s">
        <x:v>333</x:v>
      </x:c>
      <x:c r="G529" s="274" t="s">
        <x:v>153</x:v>
      </x:c>
      <x:c r="I529" s="274" t="n">
        <x:v>1.8</x:v>
      </x:c>
      <x:c r="J529" s="274" t="n">
        <x:v>360</x:v>
      </x:c>
      <x:c r="K529" s="274" t="n">
        <x:v>230</x:v>
      </x:c>
      <x:c r="M529" s="274" t="s">
        <x:v>1238</x:v>
      </x:c>
      <x:c r="N529" s="274" t="s">
        <x:v>155</x:v>
      </x:c>
    </x:row>
    <x:row r="530" spans="1:14">
      <x:c r="A530" s="274" t="s">
        <x:v>1239</x:v>
      </x:c>
      <x:c r="B530" s="274" t="n">
        <x:v>1.72</x:v>
      </x:c>
      <x:c r="C530" s="274" t="n">
        <x:v>0</x:v>
      </x:c>
      <x:c r="D530" s="274" t="n">
        <x:v>26</x:v>
      </x:c>
      <x:c r="E530" s="274" t="n">
        <x:v>12</x:v>
      </x:c>
      <x:c r="F530" s="274" t="s">
        <x:v>123</x:v>
      </x:c>
      <x:c r="G530" s="274" t="s">
        <x:v>124</x:v>
      </x:c>
      <x:c r="I530" s="274" t="n">
        <x:v>0.7</x:v>
      </x:c>
      <x:c r="J530" s="274" t="n">
        <x:v>295</x:v>
      </x:c>
      <x:c r="K530" s="274" t="n">
        <x:v>1060</x:v>
      </x:c>
      <x:c r="M530" s="274" t="s">
        <x:v>1240</x:v>
      </x:c>
      <x:c r="N530" s="274" t="s">
        <x:v>787</x:v>
      </x:c>
    </x:row>
    <x:row r="531" spans="1:14">
      <x:c r="A531" s="274" t="s">
        <x:v>1241</x:v>
      </x:c>
      <x:c r="B531" s="274" t="n">
        <x:v>3.22</x:v>
      </x:c>
      <x:c r="C531" s="274" t="n">
        <x:v>0</x:v>
      </x:c>
      <x:c r="D531" s="274" t="n">
        <x:v>0</x:v>
      </x:c>
      <x:c r="F531" s="274" t="s">
        <x:v>133</x:v>
      </x:c>
      <x:c r="G531" s="274" t="s">
        <x:v>148</x:v>
      </x:c>
      <x:c r="I531" s="274" t="n">
        <x:v>4</x:v>
      </x:c>
      <x:c r="J531" s="274" t="n">
        <x:v>190</x:v>
      </x:c>
      <x:c r="K531" s="274" t="n">
        <x:v>540</x:v>
      </x:c>
      <x:c r="M531" s="274" t="s">
        <x:v>1242</x:v>
      </x:c>
      <x:c r="N531" s="274" t="s">
        <x:v>870</x:v>
      </x:c>
    </x:row>
    <x:row r="532" spans="1:14">
      <x:c r="A532" s="274" t="s">
        <x:v>1243</x:v>
      </x:c>
      <x:c r="B532" s="274" t="n">
        <x:v>0.35</x:v>
      </x:c>
      <x:c r="C532" s="274" t="n">
        <x:v>0</x:v>
      </x:c>
      <x:c r="D532" s="274" t="n">
        <x:v>0</x:v>
      </x:c>
      <x:c r="F532" s="274" t="s">
        <x:v>133</x:v>
      </x:c>
      <x:c r="G532" s="274" t="s">
        <x:v>136</x:v>
      </x:c>
      <x:c r="H532" s="274" t="n">
        <x:v>45</x:v>
      </x:c>
      <x:c r="I532" s="274" t="n">
        <x:v>1</x:v>
      </x:c>
      <x:c r="J532" s="274" t="n">
        <x:v>210</x:v>
      </x:c>
      <x:c r="K532" s="274" t="n">
        <x:v>210</x:v>
      </x:c>
      <x:c r="M532" s="274" t="s">
        <x:v>1244</x:v>
      </x:c>
      <x:c r="N532" s="274" t="s">
        <x:v>870</x:v>
      </x:c>
    </x:row>
    <x:row r="533" spans="1:14">
      <x:c r="A533" s="274" t="s">
        <x:v>1245</x:v>
      </x:c>
      <x:c r="B533" s="274" t="n">
        <x:v>0.37</x:v>
      </x:c>
      <x:c r="C533" s="274" t="n">
        <x:v>0</x:v>
      </x:c>
      <x:c r="D533" s="274" t="n">
        <x:v>0</x:v>
      </x:c>
      <x:c r="F533" s="274" t="s">
        <x:v>333</x:v>
      </x:c>
      <x:c r="G533" s="274" t="s">
        <x:v>153</x:v>
      </x:c>
      <x:c r="I533" s="274" t="n">
        <x:v>1.2</x:v>
      </x:c>
      <x:c r="J533" s="274" t="n">
        <x:v>267</x:v>
      </x:c>
      <x:c r="K533" s="274" t="n">
        <x:v>148</x:v>
      </x:c>
      <x:c r="M533" s="274" t="s">
        <x:v>1246</x:v>
      </x:c>
      <x:c r="N533" s="274" t="s">
        <x:v>870</x:v>
      </x:c>
    </x:row>
    <x:row r="534" spans="1:14">
      <x:c r="A534" s="274" t="s">
        <x:v>1247</x:v>
      </x:c>
      <x:c r="B534" s="274" t="n">
        <x:v>1.48</x:v>
      </x:c>
      <x:c r="C534" s="274" t="n">
        <x:v>0</x:v>
      </x:c>
      <x:c r="D534" s="274" t="n">
        <x:v>0</x:v>
      </x:c>
      <x:c r="F534" s="274" t="s">
        <x:v>133</x:v>
      </x:c>
      <x:c r="G534" s="274" t="s">
        <x:v>144</x:v>
      </x:c>
      <x:c r="H534" s="274" t="n">
        <x:v>45</x:v>
      </x:c>
      <x:c r="I534" s="274" t="n">
        <x:v>1</x:v>
      </x:c>
      <x:c r="J534" s="274" t="n">
        <x:v>397</x:v>
      </x:c>
      <x:c r="K534" s="274" t="n">
        <x:v>471</x:v>
      </x:c>
      <x:c r="M534" s="274" t="s">
        <x:v>1248</x:v>
      </x:c>
      <x:c r="N534" s="274" t="s">
        <x:v>870</x:v>
      </x:c>
    </x:row>
    <x:row r="535" spans="1:14">
      <x:c r="A535" s="274" t="s">
        <x:v>1249</x:v>
      </x:c>
      <x:c r="B535" s="274" t="n">
        <x:v>1.33</x:v>
      </x:c>
      <x:c r="C535" s="274" t="n">
        <x:v>0</x:v>
      </x:c>
      <x:c r="D535" s="274" t="n">
        <x:v>0</x:v>
      </x:c>
      <x:c r="F535" s="274" t="s">
        <x:v>133</x:v>
      </x:c>
      <x:c r="G535" s="274" t="s">
        <x:v>136</x:v>
      </x:c>
      <x:c r="H535" s="274" t="n">
        <x:v>45</x:v>
      </x:c>
      <x:c r="I535" s="274" t="n">
        <x:v>0.9</x:v>
      </x:c>
      <x:c r="J535" s="274" t="n">
        <x:v>908</x:v>
      </x:c>
      <x:c r="K535" s="274" t="n">
        <x:v>205</x:v>
      </x:c>
      <x:c r="M535" s="274" t="s">
        <x:v>1250</x:v>
      </x:c>
      <x:c r="N535" s="274" t="s">
        <x:v>870</x:v>
      </x:c>
    </x:row>
    <x:row r="536" spans="1:14">
      <x:c r="A536" s="274" t="s">
        <x:v>1251</x:v>
      </x:c>
      <x:c r="B536" s="274" t="n">
        <x:v>0.37</x:v>
      </x:c>
      <x:c r="C536" s="274" t="n">
        <x:v>0</x:v>
      </x:c>
      <x:c r="D536" s="274" t="n">
        <x:v>0</x:v>
      </x:c>
      <x:c r="F536" s="274" t="s">
        <x:v>133</x:v>
      </x:c>
      <x:c r="G536" s="274" t="s">
        <x:v>144</x:v>
      </x:c>
      <x:c r="H536" s="274" t="n">
        <x:v>45</x:v>
      </x:c>
      <x:c r="I536" s="274" t="n">
        <x:v>1.6</x:v>
      </x:c>
      <x:c r="J536" s="274" t="n">
        <x:v>165</x:v>
      </x:c>
      <x:c r="K536" s="274" t="n">
        <x:v>175</x:v>
      </x:c>
      <x:c r="M536" s="274" t="s">
        <x:v>1252</x:v>
      </x:c>
      <x:c r="N536" s="274" t="s">
        <x:v>870</x:v>
      </x:c>
    </x:row>
    <x:row r="537" spans="1:14">
      <x:c r="A537" s="274" t="s">
        <x:v>1253</x:v>
      </x:c>
      <x:c r="B537" s="274" t="n">
        <x:v>0.64</x:v>
      </x:c>
      <x:c r="C537" s="274" t="n">
        <x:v>0</x:v>
      </x:c>
      <x:c r="D537" s="274" t="n">
        <x:v>0</x:v>
      </x:c>
      <x:c r="F537" s="274" t="s">
        <x:v>333</x:v>
      </x:c>
      <x:c r="G537" s="274" t="s">
        <x:v>124</x:v>
      </x:c>
      <x:c r="I537" s="274" t="n">
        <x:v>2</x:v>
      </x:c>
      <x:c r="J537" s="274" t="n">
        <x:v>225</x:v>
      </x:c>
      <x:c r="K537" s="274" t="n">
        <x:v>182</x:v>
      </x:c>
      <x:c r="M537" s="274" t="s">
        <x:v>1254</x:v>
      </x:c>
      <x:c r="N537" s="274" t="s">
        <x:v>870</x:v>
      </x:c>
    </x:row>
    <x:row r="538" spans="1:14">
      <x:c r="A538" s="274" t="s">
        <x:v>1255</x:v>
      </x:c>
      <x:c r="B538" s="274" t="n">
        <x:v>0.53</x:v>
      </x:c>
      <x:c r="C538" s="274" t="n">
        <x:v>0</x:v>
      </x:c>
      <x:c r="D538" s="274" t="n">
        <x:v>0</x:v>
      </x:c>
      <x:c r="F538" s="274" t="s">
        <x:v>123</x:v>
      </x:c>
      <x:c r="G538" s="274" t="s">
        <x:v>153</x:v>
      </x:c>
      <x:c r="I538" s="274" t="n">
        <x:v>2</x:v>
      </x:c>
      <x:c r="J538" s="274" t="n">
        <x:v>240</x:v>
      </x:c>
      <x:c r="K538" s="274" t="n">
        <x:v>140</x:v>
      </x:c>
      <x:c r="M538" s="274" t="s">
        <x:v>1256</x:v>
      </x:c>
      <x:c r="N538" s="274" t="s">
        <x:v>870</x:v>
      </x:c>
    </x:row>
    <x:row r="539" spans="1:14">
      <x:c r="A539" s="274" t="s">
        <x:v>1257</x:v>
      </x:c>
      <x:c r="B539" s="274" t="n">
        <x:v>1.92</x:v>
      </x:c>
      <x:c r="C539" s="274" t="n">
        <x:v>0</x:v>
      </x:c>
      <x:c r="D539" s="274" t="n">
        <x:v>0</x:v>
      </x:c>
      <x:c r="F539" s="274" t="s">
        <x:v>128</x:v>
      </x:c>
      <x:c r="G539" s="274" t="s">
        <x:v>496</x:v>
      </x:c>
      <x:c r="H539" s="274" t="n">
        <x:v>45</x:v>
      </x:c>
      <x:c r="I539" s="274" t="n">
        <x:v>2.9</x:v>
      </x:c>
      <x:c r="J539" s="274" t="n">
        <x:v>140</x:v>
      </x:c>
      <x:c r="K539" s="274" t="n">
        <x:v>600</x:v>
      </x:c>
      <x:c r="M539" s="274" t="s">
        <x:v>1258</x:v>
      </x:c>
      <x:c r="N539" s="274" t="s">
        <x:v>870</x:v>
      </x:c>
    </x:row>
    <x:row r="540" spans="1:14">
      <x:c r="A540" s="274" t="s">
        <x:v>1259</x:v>
      </x:c>
      <x:c r="B540" s="274" t="n">
        <x:v>14.88</x:v>
      </x:c>
      <x:c r="C540" s="274" t="n">
        <x:v>0</x:v>
      </x:c>
      <x:c r="D540" s="274" t="n">
        <x:v>0</x:v>
      </x:c>
      <x:c r="F540" s="274" t="s">
        <x:v>133</x:v>
      </x:c>
      <x:c r="G540" s="274" t="s">
        <x:v>1170</x:v>
      </x:c>
      <x:c r="I540" s="274" t="n">
        <x:v>8</x:v>
      </x:c>
      <x:c r="J540" s="274" t="n">
        <x:v>423</x:v>
      </x:c>
      <x:c r="K540" s="274" t="n">
        <x:v>560</x:v>
      </x:c>
      <x:c r="M540" s="274" t="s">
        <x:v>1260</x:v>
      </x:c>
      <x:c r="N540" s="274" t="s">
        <x:v>870</x:v>
      </x:c>
    </x:row>
    <x:row r="541" spans="1:14">
      <x:c r="A541" s="274" t="s">
        <x:v>1261</x:v>
      </x:c>
      <x:c r="B541" s="274" t="n">
        <x:v>0.43</x:v>
      </x:c>
      <x:c r="C541" s="274" t="n">
        <x:v>0</x:v>
      </x:c>
      <x:c r="D541" s="274" t="n">
        <x:v>0</x:v>
      </x:c>
      <x:c r="E541" s="274" t="n">
        <x:v>25</x:v>
      </x:c>
      <x:c r="F541" s="274" t="s">
        <x:v>333</x:v>
      </x:c>
      <x:c r="G541" s="274" t="s">
        <x:v>209</x:v>
      </x:c>
      <x:c r="I541" s="274" t="n">
        <x:v>1.4</x:v>
      </x:c>
      <x:c r="J541" s="274" t="n">
        <x:v>39</x:v>
      </x:c>
      <x:c r="K541" s="274" t="n">
        <x:v>1000</x:v>
      </x:c>
      <x:c r="M541" s="274" t="s">
        <x:v>1262</x:v>
      </x:c>
      <x:c r="N541" s="274" t="s">
        <x:v>475</x:v>
      </x:c>
    </x:row>
    <x:row r="542" spans="1:14">
      <x:c r="A542" s="274" t="s">
        <x:v>1263</x:v>
      </x:c>
      <x:c r="B542" s="274" t="n">
        <x:v>0.96</x:v>
      </x:c>
      <x:c r="C542" s="274" t="n">
        <x:v>0</x:v>
      </x:c>
      <x:c r="D542" s="274" t="n">
        <x:v>0</x:v>
      </x:c>
      <x:c r="F542" s="274" t="s">
        <x:v>333</x:v>
      </x:c>
      <x:c r="G542" s="274" t="s">
        <x:v>209</x:v>
      </x:c>
      <x:c r="I542" s="274" t="n">
        <x:v>1.4</x:v>
      </x:c>
      <x:c r="J542" s="274" t="n">
        <x:v>322</x:v>
      </x:c>
      <x:c r="K542" s="274" t="n">
        <x:v>270</x:v>
      </x:c>
      <x:c r="M542" s="274" t="s">
        <x:v>731</x:v>
      </x:c>
      <x:c r="N542" s="274" t="s">
        <x:v>155</x:v>
      </x:c>
    </x:row>
    <x:row r="543" spans="1:14">
      <x:c r="A543" s="274" t="s">
        <x:v>1264</x:v>
      </x:c>
      <x:c r="B543" s="274" t="n">
        <x:v>3.85</x:v>
      </x:c>
      <x:c r="C543" s="274" t="n">
        <x:v>0</x:v>
      </x:c>
      <x:c r="D543" s="274" t="n">
        <x:v>0</x:v>
      </x:c>
      <x:c r="F543" s="274" t="s">
        <x:v>133</x:v>
      </x:c>
      <x:c r="G543" s="274" t="s">
        <x:v>148</x:v>
      </x:c>
      <x:c r="I543" s="274" t="n">
        <x:v>5</x:v>
      </x:c>
      <x:c r="J543" s="274" t="n">
        <x:v>81</x:v>
      </x:c>
      <x:c r="K543" s="274" t="n">
        <x:v>1210</x:v>
      </x:c>
      <x:c r="M543" s="274" t="s">
        <x:v>1265</x:v>
      </x:c>
      <x:c r="N543" s="274" t="s">
        <x:v>870</x:v>
      </x:c>
    </x:row>
    <x:row r="544" spans="1:14">
      <x:c r="A544" s="274" t="s">
        <x:v>1266</x:v>
      </x:c>
      <x:c r="B544" s="274" t="n">
        <x:v>0.55</x:v>
      </x:c>
      <x:c r="C544" s="274" t="n">
        <x:v>0</x:v>
      </x:c>
      <x:c r="D544" s="274" t="n">
        <x:v>0</x:v>
      </x:c>
      <x:c r="F544" s="274" t="s">
        <x:v>123</x:v>
      </x:c>
      <x:c r="G544" s="274" t="s">
        <x:v>209</x:v>
      </x:c>
      <x:c r="I544" s="274" t="n">
        <x:v>0.6</x:v>
      </x:c>
      <x:c r="J544" s="274" t="n">
        <x:v>103</x:v>
      </x:c>
      <x:c r="K544" s="274" t="n">
        <x:v>1140</x:v>
      </x:c>
      <x:c r="M544" s="274" t="s">
        <x:v>1267</x:v>
      </x:c>
      <x:c r="N544" s="274" t="s">
        <x:v>229</x:v>
      </x:c>
    </x:row>
    <x:row r="545" spans="1:14">
      <x:c r="A545" s="274" t="s">
        <x:v>1268</x:v>
      </x:c>
      <x:c r="B545" s="274" t="n">
        <x:v>0.56</x:v>
      </x:c>
      <x:c r="C545" s="274" t="n">
        <x:v>0</x:v>
      </x:c>
      <x:c r="D545" s="274" t="n">
        <x:v>0</x:v>
      </x:c>
      <x:c r="F545" s="274" t="s">
        <x:v>123</x:v>
      </x:c>
      <x:c r="G545" s="274" t="s">
        <x:v>209</x:v>
      </x:c>
      <x:c r="I545" s="274" t="n">
        <x:v>0.6</x:v>
      </x:c>
      <x:c r="J545" s="274" t="n">
        <x:v>103</x:v>
      </x:c>
      <x:c r="K545" s="274" t="n">
        <x:v>1160</x:v>
      </x:c>
      <x:c r="M545" s="274" t="s">
        <x:v>1269</x:v>
      </x:c>
      <x:c r="N545" s="274" t="s">
        <x:v>229</x:v>
      </x:c>
    </x:row>
    <x:row r="546" spans="1:14">
      <x:c r="A546" s="274" t="s">
        <x:v>1270</x:v>
      </x:c>
      <x:c r="B546" s="274" t="n">
        <x:v>3.94</x:v>
      </x:c>
      <x:c r="C546" s="274" t="n">
        <x:v>0</x:v>
      </x:c>
      <x:c r="D546" s="274" t="n">
        <x:v>0</x:v>
      </x:c>
      <x:c r="F546" s="274" t="s">
        <x:v>133</x:v>
      </x:c>
      <x:c r="G546" s="274" t="s">
        <x:v>134</x:v>
      </x:c>
      <x:c r="I546" s="274" t="n">
        <x:v>3.8</x:v>
      </x:c>
      <x:c r="J546" s="274" t="n">
        <x:v>456</x:v>
      </x:c>
      <x:c r="K546" s="274" t="n">
        <x:v>290</x:v>
      </x:c>
      <x:c r="M546" s="274" t="s">
        <x:v>1271</x:v>
      </x:c>
      <x:c r="N546" s="274" t="s">
        <x:v>299</x:v>
      </x:c>
    </x:row>
    <x:row r="547" spans="1:14">
      <x:c r="A547" s="274" t="s">
        <x:v>1272</x:v>
      </x:c>
      <x:c r="B547" s="274" t="n">
        <x:v>1.39</x:v>
      </x:c>
      <x:c r="C547" s="274" t="n">
        <x:v>0</x:v>
      </x:c>
      <x:c r="D547" s="274" t="n">
        <x:v>0</x:v>
      </x:c>
      <x:c r="F547" s="274" t="s">
        <x:v>133</x:v>
      </x:c>
      <x:c r="G547" s="274" t="s">
        <x:v>136</x:v>
      </x:c>
      <x:c r="H547" s="274" t="n">
        <x:v>45</x:v>
      </x:c>
      <x:c r="I547" s="274" t="n">
        <x:v>2</x:v>
      </x:c>
      <x:c r="J547" s="274" t="n">
        <x:v>74</x:v>
      </x:c>
      <x:c r="K547" s="274" t="n">
        <x:v>1189</x:v>
      </x:c>
      <x:c r="M547" s="274" t="s">
        <x:v>1273</x:v>
      </x:c>
      <x:c r="N547" s="274" t="s">
        <x:v>1274</x:v>
      </x:c>
    </x:row>
    <x:row r="548" spans="1:14">
      <x:c r="A548" s="274" t="s">
        <x:v>1275</x:v>
      </x:c>
      <x:c r="B548" s="274" t="n">
        <x:v>3.05</x:v>
      </x:c>
      <x:c r="C548" s="274" t="n">
        <x:v>0</x:v>
      </x:c>
      <x:c r="D548" s="274" t="n">
        <x:v>0</x:v>
      </x:c>
      <x:c r="F548" s="274" t="s">
        <x:v>133</x:v>
      </x:c>
      <x:c r="G548" s="274" t="s">
        <x:v>134</x:v>
      </x:c>
      <x:c r="I548" s="274" t="n">
        <x:v>3.8</x:v>
      </x:c>
      <x:c r="J548" s="274" t="n">
        <x:v>524</x:v>
      </x:c>
      <x:c r="K548" s="274" t="n">
        <x:v>195</x:v>
      </x:c>
      <x:c r="M548" s="274" t="s">
        <x:v>1276</x:v>
      </x:c>
      <x:c r="N548" s="274" t="s">
        <x:v>299</x:v>
      </x:c>
    </x:row>
    <x:row r="549" spans="1:14">
      <x:c r="A549" s="274" t="s">
        <x:v>1277</x:v>
      </x:c>
      <x:c r="B549" s="274" t="n">
        <x:v>1.58</x:v>
      </x:c>
      <x:c r="C549" s="274" t="n">
        <x:v>0</x:v>
      </x:c>
      <x:c r="D549" s="274" t="n">
        <x:v>0</x:v>
      </x:c>
      <x:c r="F549" s="274" t="s">
        <x:v>133</x:v>
      </x:c>
      <x:c r="G549" s="274" t="s">
        <x:v>134</x:v>
      </x:c>
      <x:c r="I549" s="274" t="n">
        <x:v>2.3</x:v>
      </x:c>
      <x:c r="J549" s="274" t="n">
        <x:v>130</x:v>
      </x:c>
      <x:c r="K549" s="274" t="n">
        <x:v>673</x:v>
      </x:c>
      <x:c r="M549" s="274" t="s">
        <x:v>1278</x:v>
      </x:c>
      <x:c r="N549" s="274" t="s">
        <x:v>1279</x:v>
      </x:c>
    </x:row>
    <x:row r="550" spans="1:14">
      <x:c r="A550" s="274" t="s">
        <x:v>1280</x:v>
      </x:c>
      <x:c r="B550" s="274" t="n">
        <x:v>3.74</x:v>
      </x:c>
      <x:c r="C550" s="274" t="n">
        <x:v>40</x:v>
      </x:c>
      <x:c r="D550" s="274" t="n">
        <x:v>38</x:v>
      </x:c>
      <x:c r="E550" s="274" t="n">
        <x:v>0</x:v>
      </x:c>
      <x:c r="F550" s="274" t="s">
        <x:v>333</x:v>
      </x:c>
      <x:c r="G550" s="274" t="s">
        <x:v>124</x:v>
      </x:c>
      <x:c r="I550" s="274" t="n">
        <x:v>1.4</x:v>
      </x:c>
      <x:c r="J550" s="274" t="n">
        <x:v>1165</x:v>
      </x:c>
      <x:c r="K550" s="274" t="n">
        <x:v>256</x:v>
      </x:c>
      <x:c r="L550" s="274" t="n">
        <x:v>328</x:v>
      </x:c>
      <x:c r="M550" s="274" t="s">
        <x:v>1281</x:v>
      </x:c>
      <x:c r="N550" s="274" t="s">
        <x:v>202</x:v>
      </x:c>
    </x:row>
    <x:row r="551" spans="1:14">
      <x:c r="A551" s="274" t="s">
        <x:v>1282</x:v>
      </x:c>
      <x:c r="B551" s="274" t="n">
        <x:v>3.74</x:v>
      </x:c>
      <x:c r="C551" s="274" t="n">
        <x:v>40</x:v>
      </x:c>
      <x:c r="D551" s="274" t="n">
        <x:v>38</x:v>
      </x:c>
      <x:c r="E551" s="274" t="n">
        <x:v>0</x:v>
      </x:c>
      <x:c r="F551" s="274" t="s">
        <x:v>333</x:v>
      </x:c>
      <x:c r="G551" s="274" t="s">
        <x:v>124</x:v>
      </x:c>
      <x:c r="I551" s="274" t="n">
        <x:v>1.4</x:v>
      </x:c>
      <x:c r="J551" s="274" t="n">
        <x:v>1165</x:v>
      </x:c>
      <x:c r="K551" s="274" t="n">
        <x:v>256</x:v>
      </x:c>
      <x:c r="L551" s="274" t="n">
        <x:v>328</x:v>
      </x:c>
      <x:c r="M551" s="274" t="s">
        <x:v>1283</x:v>
      </x:c>
      <x:c r="N551" s="274" t="s">
        <x:v>202</x:v>
      </x:c>
    </x:row>
    <x:row r="552" spans="1:14">
      <x:c r="A552" s="274" t="s">
        <x:v>1284</x:v>
      </x:c>
      <x:c r="B552" s="274" t="n">
        <x:v>7.92</x:v>
      </x:c>
      <x:c r="C552" s="274" t="n">
        <x:v>23</x:v>
      </x:c>
      <x:c r="D552" s="274" t="n">
        <x:v>23</x:v>
      </x:c>
      <x:c r="E552" s="274" t="n">
        <x:v>0</x:v>
      </x:c>
      <x:c r="F552" s="274" t="s">
        <x:v>123</x:v>
      </x:c>
      <x:c r="G552" s="274" t="s">
        <x:v>1285</x:v>
      </x:c>
      <x:c r="H552" s="274" t="n">
        <x:v>45</x:v>
      </x:c>
      <x:c r="I552" s="274" t="n">
        <x:v>0.6</x:v>
      </x:c>
      <x:c r="J552" s="274" t="n">
        <x:v>1115</x:v>
      </x:c>
      <x:c r="K552" s="274" t="n">
        <x:v>1480</x:v>
      </x:c>
      <x:c r="M552" s="274" t="s">
        <x:v>1286</x:v>
      </x:c>
      <x:c r="N552" s="274" t="s">
        <x:v>870</x:v>
      </x:c>
    </x:row>
    <x:row r="553" spans="1:14">
      <x:c r="A553" s="274" t="s">
        <x:v>1287</x:v>
      </x:c>
      <x:c r="B553" s="274" t="n">
        <x:v>3.81</x:v>
      </x:c>
      <x:c r="C553" s="274" t="n">
        <x:v>0</x:v>
      </x:c>
      <x:c r="D553" s="274" t="n">
        <x:v>0</x:v>
      </x:c>
      <x:c r="E553" s="274" t="n">
        <x:v>0</x:v>
      </x:c>
      <x:c r="F553" s="274" t="s">
        <x:v>123</x:v>
      </x:c>
      <x:c r="G553" s="274" t="s">
        <x:v>284</x:v>
      </x:c>
      <x:c r="H553" s="274" t="n">
        <x:v>45</x:v>
      </x:c>
      <x:c r="I553" s="274" t="n">
        <x:v>0.7</x:v>
      </x:c>
      <x:c r="J553" s="274" t="n">
        <x:v>535</x:v>
      </x:c>
      <x:c r="K553" s="274" t="n">
        <x:v>1003</x:v>
      </x:c>
      <x:c r="L553" s="274" t="n">
        <x:v>1549</x:v>
      </x:c>
      <x:c r="M553" s="274" t="s">
        <x:v>1288</x:v>
      </x:c>
      <x:c r="N553" s="274" t="s">
        <x:v>870</x:v>
      </x:c>
    </x:row>
    <x:row r="554" spans="1:14">
      <x:c r="A554" s="274" t="s">
        <x:v>1289</x:v>
      </x:c>
      <x:c r="B554" s="274" t="n">
        <x:v>1.15</x:v>
      </x:c>
      <x:c r="C554" s="274" t="n">
        <x:v>0</x:v>
      </x:c>
      <x:c r="D554" s="274" t="n">
        <x:v>0</x:v>
      </x:c>
      <x:c r="F554" s="274" t="s">
        <x:v>333</x:v>
      </x:c>
      <x:c r="G554" s="274" t="s">
        <x:v>209</x:v>
      </x:c>
      <x:c r="I554" s="274" t="n">
        <x:v>1.2</x:v>
      </x:c>
      <x:c r="J554" s="274" t="n">
        <x:v>104</x:v>
      </x:c>
      <x:c r="K554" s="274" t="n">
        <x:v>1174</x:v>
      </x:c>
      <x:c r="M554" s="274" t="s">
        <x:v>1290</x:v>
      </x:c>
      <x:c r="N554" s="274" t="s">
        <x:v>1236</x:v>
      </x:c>
    </x:row>
    <x:row r="555" spans="1:14">
      <x:c r="A555" s="274" t="s">
        <x:v>1291</x:v>
      </x:c>
      <x:c r="B555" s="274" t="n">
        <x:v>0.26</x:v>
      </x:c>
      <x:c r="C555" s="274" t="n">
        <x:v>0</x:v>
      </x:c>
      <x:c r="D555" s="274" t="n">
        <x:v>0</x:v>
      </x:c>
      <x:c r="F555" s="274" t="s">
        <x:v>333</x:v>
      </x:c>
      <x:c r="G555" s="274" t="s">
        <x:v>209</x:v>
      </x:c>
      <x:c r="I555" s="274" t="n">
        <x:v>1.2</x:v>
      </x:c>
      <x:c r="J555" s="274" t="n">
        <x:v>145</x:v>
      </x:c>
      <x:c r="K555" s="274" t="n">
        <x:v>190</x:v>
      </x:c>
      <x:c r="M555" s="274" t="s">
        <x:v>1292</x:v>
      </x:c>
      <x:c r="N555" s="274" t="s">
        <x:v>155</x:v>
      </x:c>
    </x:row>
    <x:row r="556" spans="1:14">
      <x:c r="A556" s="274" t="s">
        <x:v>1293</x:v>
      </x:c>
      <x:c r="B556" s="274" t="n">
        <x:v>0.26</x:v>
      </x:c>
      <x:c r="C556" s="274" t="n">
        <x:v>0</x:v>
      </x:c>
      <x:c r="D556" s="274" t="n">
        <x:v>0</x:v>
      </x:c>
      <x:c r="F556" s="274" t="s">
        <x:v>333</x:v>
      </x:c>
      <x:c r="G556" s="274" t="s">
        <x:v>209</x:v>
      </x:c>
      <x:c r="I556" s="274" t="n">
        <x:v>1.2</x:v>
      </x:c>
      <x:c r="J556" s="274" t="n">
        <x:v>75</x:v>
      </x:c>
      <x:c r="K556" s="274" t="n">
        <x:v>370</x:v>
      </x:c>
      <x:c r="M556" s="274" t="s">
        <x:v>1294</x:v>
      </x:c>
      <x:c r="N556" s="274" t="s">
        <x:v>1236</x:v>
      </x:c>
    </x:row>
    <x:row r="557" spans="1:14">
      <x:c r="A557" s="274" t="s">
        <x:v>1295</x:v>
      </x:c>
      <x:c r="B557" s="274" t="n">
        <x:v>0.34</x:v>
      </x:c>
      <x:c r="C557" s="274" t="n">
        <x:v>0</x:v>
      </x:c>
      <x:c r="D557" s="274" t="n">
        <x:v>0</x:v>
      </x:c>
      <x:c r="F557" s="274" t="s">
        <x:v>333</x:v>
      </x:c>
      <x:c r="G557" s="274" t="s">
        <x:v>209</x:v>
      </x:c>
      <x:c r="I557" s="274" t="n">
        <x:v>1.2</x:v>
      </x:c>
      <x:c r="J557" s="274" t="n">
        <x:v>76</x:v>
      </x:c>
      <x:c r="K557" s="274" t="n">
        <x:v>480</x:v>
      </x:c>
      <x:c r="M557" s="274" t="s">
        <x:v>1296</x:v>
      </x:c>
      <x:c r="N557" s="274" t="s">
        <x:v>1236</x:v>
      </x:c>
    </x:row>
    <x:row r="558" spans="1:14">
      <x:c r="A558" s="274" t="s">
        <x:v>1297</x:v>
      </x:c>
      <x:c r="B558" s="274" t="n">
        <x:v>0.98</x:v>
      </x:c>
      <x:c r="C558" s="274" t="n">
        <x:v>0</x:v>
      </x:c>
      <x:c r="D558" s="274" t="n">
        <x:v>0</x:v>
      </x:c>
      <x:c r="F558" s="274" t="s">
        <x:v>333</x:v>
      </x:c>
      <x:c r="G558" s="274" t="s">
        <x:v>209</x:v>
      </x:c>
      <x:c r="I558" s="274" t="n">
        <x:v>1.2</x:v>
      </x:c>
      <x:c r="J558" s="274" t="n">
        <x:v>86</x:v>
      </x:c>
      <x:c r="K558" s="274" t="n">
        <x:v>1210</x:v>
      </x:c>
      <x:c r="M558" s="274" t="s">
        <x:v>1298</x:v>
      </x:c>
      <x:c r="N558" s="274" t="s">
        <x:v>299</x:v>
      </x:c>
    </x:row>
    <x:row r="559" spans="1:14">
      <x:c r="A559" s="274" t="s">
        <x:v>1299</x:v>
      </x:c>
      <x:c r="B559" s="274" t="n">
        <x:v>0.18</x:v>
      </x:c>
      <x:c r="C559" s="274" t="n">
        <x:v>35</x:v>
      </x:c>
      <x:c r="D559" s="274" t="n">
        <x:v>35</x:v>
      </x:c>
      <x:c r="E559" s="274" t="n">
        <x:v>33</x:v>
      </x:c>
      <x:c r="F559" s="274" t="s">
        <x:v>333</x:v>
      </x:c>
      <x:c r="G559" s="274" t="s">
        <x:v>209</x:v>
      </x:c>
      <x:c r="I559" s="274" t="n">
        <x:v>1.2</x:v>
      </x:c>
      <x:c r="J559" s="274" t="n">
        <x:v>105</x:v>
      </x:c>
      <x:c r="K559" s="274" t="n">
        <x:v>180</x:v>
      </x:c>
      <x:c r="M559" s="274" t="s">
        <x:v>1300</x:v>
      </x:c>
    </x:row>
    <x:row r="560" spans="1:14">
      <x:c r="A560" s="274" t="s">
        <x:v>1301</x:v>
      </x:c>
      <x:c r="B560" s="274" t="n">
        <x:v>3.03</x:v>
      </x:c>
      <x:c r="C560" s="274" t="n">
        <x:v>0</x:v>
      </x:c>
      <x:c r="D560" s="274" t="n">
        <x:v>32</x:v>
      </x:c>
      <x:c r="E560" s="274" t="n">
        <x:v>40</x:v>
      </x:c>
      <x:c r="F560" s="274" t="s">
        <x:v>333</x:v>
      </x:c>
      <x:c r="G560" s="274" t="s">
        <x:v>124</x:v>
      </x:c>
      <x:c r="I560" s="274" t="n">
        <x:v>1</x:v>
      </x:c>
      <x:c r="J560" s="274" t="n">
        <x:v>900</x:v>
      </x:c>
      <x:c r="K560" s="274" t="n">
        <x:v>429</x:v>
      </x:c>
      <x:c r="M560" s="274" t="s">
        <x:v>1302</x:v>
      </x:c>
      <x:c r="N560" s="274" t="s">
        <x:v>155</x:v>
      </x:c>
    </x:row>
    <x:row r="561" spans="1:14">
      <x:c r="A561" s="274" t="s">
        <x:v>1303</x:v>
      </x:c>
      <x:c r="B561" s="274" t="n">
        <x:v>0.81</x:v>
      </x:c>
      <x:c r="C561" s="274" t="n">
        <x:v>0</x:v>
      </x:c>
      <x:c r="D561" s="274" t="n">
        <x:v>0</x:v>
      </x:c>
      <x:c r="F561" s="274" t="s">
        <x:v>123</x:v>
      </x:c>
      <x:c r="G561" s="274" t="s">
        <x:v>209</x:v>
      </x:c>
      <x:c r="I561" s="274" t="n">
        <x:v>1.4</x:v>
      </x:c>
      <x:c r="J561" s="274" t="n">
        <x:v>79</x:v>
      </x:c>
      <x:c r="K561" s="274" t="n">
        <x:v>930</x:v>
      </x:c>
      <x:c r="M561" s="274" t="s">
        <x:v>1304</x:v>
      </x:c>
      <x:c r="N561" s="274" t="s">
        <x:v>162</x:v>
      </x:c>
    </x:row>
    <x:row r="562" spans="1:14">
      <x:c r="A562" s="274" t="s">
        <x:v>1305</x:v>
      </x:c>
      <x:c r="B562" s="274" t="n">
        <x:v>0.46</x:v>
      </x:c>
      <x:c r="C562" s="274" t="n">
        <x:v>0</x:v>
      </x:c>
      <x:c r="D562" s="274" t="n">
        <x:v>0</x:v>
      </x:c>
      <x:c r="F562" s="274" t="s">
        <x:v>333</x:v>
      </x:c>
      <x:c r="G562" s="274" t="s">
        <x:v>153</x:v>
      </x:c>
      <x:c r="I562" s="274" t="n">
        <x:v>1.2</x:v>
      </x:c>
      <x:c r="J562" s="274" t="n">
        <x:v>125</x:v>
      </x:c>
      <x:c r="K562" s="274" t="n">
        <x:v>390</x:v>
      </x:c>
      <x:c r="M562" s="274" t="s">
        <x:v>1306</x:v>
      </x:c>
      <x:c r="N562" s="274" t="s">
        <x:v>465</x:v>
      </x:c>
    </x:row>
    <x:row r="563" spans="1:14">
      <x:c r="A563" s="274" t="s">
        <x:v>1307</x:v>
      </x:c>
      <x:c r="B563" s="274" t="n">
        <x:v>9.62</x:v>
      </x:c>
      <x:c r="C563" s="274" t="n">
        <x:v>0</x:v>
      </x:c>
      <x:c r="D563" s="274" t="n">
        <x:v>0</x:v>
      </x:c>
      <x:c r="E563" s="274" t="n">
        <x:v>0</x:v>
      </x:c>
      <x:c r="F563" s="274" t="s">
        <x:v>333</x:v>
      </x:c>
      <x:c r="G563" s="274" t="s">
        <x:v>473</x:v>
      </x:c>
      <x:c r="I563" s="274" t="n">
        <x:v>0.65</x:v>
      </x:c>
      <x:c r="J563" s="274" t="n">
        <x:v>1128</x:v>
      </x:c>
      <x:c r="K563" s="274" t="n">
        <x:v>1671</x:v>
      </x:c>
      <x:c r="M563" s="274" t="s">
        <x:v>1308</x:v>
      </x:c>
      <x:c r="N563" s="274" t="s">
        <x:v>870</x:v>
      </x:c>
    </x:row>
    <x:row r="564" spans="1:14">
      <x:c r="A564" s="274" t="s">
        <x:v>1309</x:v>
      </x:c>
      <x:c r="B564" s="274" t="n">
        <x:v>2.66</x:v>
      </x:c>
      <x:c r="C564" s="274" t="n">
        <x:v>0</x:v>
      </x:c>
      <x:c r="D564" s="274" t="n">
        <x:v>0</x:v>
      </x:c>
      <x:c r="F564" s="274" t="s">
        <x:v>123</x:v>
      </x:c>
      <x:c r="G564" s="274" t="s">
        <x:v>153</x:v>
      </x:c>
      <x:c r="I564" s="274" t="n">
        <x:v>0.8</x:v>
      </x:c>
      <x:c r="J564" s="274" t="n">
        <x:v>280</x:v>
      </x:c>
      <x:c r="K564" s="274" t="n">
        <x:v>1510</x:v>
      </x:c>
      <x:c r="M564" s="274" t="s">
        <x:v>1310</x:v>
      </x:c>
      <x:c r="N564" s="274" t="s">
        <x:v>870</x:v>
      </x:c>
    </x:row>
    <x:row r="565" spans="1:14">
      <x:c r="A565" s="274" t="s">
        <x:v>1311</x:v>
      </x:c>
      <x:c r="B565" s="274" t="n">
        <x:v>10.95</x:v>
      </x:c>
      <x:c r="C565" s="274" t="n">
        <x:v>0</x:v>
      </x:c>
      <x:c r="D565" s="274" t="n">
        <x:v>0</x:v>
      </x:c>
      <x:c r="F565" s="274" t="s">
        <x:v>133</x:v>
      </x:c>
      <x:c r="G565" s="274" t="s">
        <x:v>148</x:v>
      </x:c>
      <x:c r="I565" s="274" t="n">
        <x:v>6</x:v>
      </x:c>
      <x:c r="J565" s="274" t="n">
        <x:v>394</x:v>
      </x:c>
      <x:c r="K565" s="274" t="n">
        <x:v>590</x:v>
      </x:c>
      <x:c r="M565" s="274" t="s">
        <x:v>1312</x:v>
      </x:c>
      <x:c r="N565" s="274" t="s">
        <x:v>229</x:v>
      </x:c>
    </x:row>
    <x:row r="566" spans="1:14">
      <x:c r="A566" s="274" t="s">
        <x:v>1313</x:v>
      </x:c>
      <x:c r="B566" s="274" t="n">
        <x:v>2.75</x:v>
      </x:c>
      <x:c r="C566" s="274" t="n">
        <x:v>0</x:v>
      </x:c>
      <x:c r="D566" s="274" t="n">
        <x:v>0</x:v>
      </x:c>
      <x:c r="F566" s="274" t="s">
        <x:v>123</x:v>
      </x:c>
      <x:c r="G566" s="274" t="s">
        <x:v>209</x:v>
      </x:c>
      <x:c r="I566" s="274" t="n">
        <x:v>1</x:v>
      </x:c>
      <x:c r="J566" s="274" t="n">
        <x:v>287</x:v>
      </x:c>
      <x:c r="K566" s="274" t="n">
        <x:v>1219</x:v>
      </x:c>
      <x:c r="M566" s="274" t="s">
        <x:v>1314</x:v>
      </x:c>
      <x:c r="N566" s="274" t="s">
        <x:v>870</x:v>
      </x:c>
    </x:row>
    <x:row r="567" spans="1:14">
      <x:c r="A567" s="274" t="s">
        <x:v>1315</x:v>
      </x:c>
      <x:c r="B567" s="274" t="n">
        <x:v>6.33</x:v>
      </x:c>
      <x:c r="C567" s="274" t="n">
        <x:v>0</x:v>
      </x:c>
      <x:c r="D567" s="274" t="n">
        <x:v>0</x:v>
      </x:c>
      <x:c r="F567" s="274" t="s">
        <x:v>123</x:v>
      </x:c>
      <x:c r="G567" s="274" t="s">
        <x:v>209</x:v>
      </x:c>
      <x:c r="I567" s="274" t="n">
        <x:v>0.9</x:v>
      </x:c>
      <x:c r="J567" s="274" t="n">
        <x:v>828</x:v>
      </x:c>
      <x:c r="K567" s="274" t="n">
        <x:v>1082</x:v>
      </x:c>
      <x:c r="M567" s="274" t="s">
        <x:v>1316</x:v>
      </x:c>
      <x:c r="N567" s="274" t="s">
        <x:v>870</x:v>
      </x:c>
    </x:row>
    <x:row r="568" spans="1:14">
      <x:c r="A568" s="274" t="s">
        <x:v>1317</x:v>
      </x:c>
      <x:c r="B568" s="274" t="n">
        <x:v>0.96</x:v>
      </x:c>
      <x:c r="C568" s="274" t="n">
        <x:v>0</x:v>
      </x:c>
      <x:c r="D568" s="274" t="n">
        <x:v>0</x:v>
      </x:c>
      <x:c r="F568" s="274" t="s">
        <x:v>133</x:v>
      </x:c>
      <x:c r="G568" s="274" t="s">
        <x:v>136</x:v>
      </x:c>
      <x:c r="H568" s="274" t="n">
        <x:v>45</x:v>
      </x:c>
      <x:c r="I568" s="274" t="n">
        <x:v>0.8</x:v>
      </x:c>
      <x:c r="J568" s="274" t="n">
        <x:v>124</x:v>
      </x:c>
      <x:c r="K568" s="274" t="n">
        <x:v>1219</x:v>
      </x:c>
      <x:c r="M568" s="274" t="s">
        <x:v>1318</x:v>
      </x:c>
      <x:c r="N568" s="274" t="s">
        <x:v>870</x:v>
      </x:c>
    </x:row>
    <x:row r="569" spans="1:14">
      <x:c r="A569" s="274" t="s">
        <x:v>1319</x:v>
      </x:c>
      <x:c r="B569" s="274" t="n">
        <x:v>1.68</x:v>
      </x:c>
      <x:c r="C569" s="274" t="n">
        <x:v>0</x:v>
      </x:c>
      <x:c r="D569" s="274" t="n">
        <x:v>0</x:v>
      </x:c>
      <x:c r="F569" s="274" t="s">
        <x:v>184</x:v>
      </x:c>
      <x:c r="G569" s="274" t="s">
        <x:v>129</x:v>
      </x:c>
      <x:c r="H569" s="274" t="n">
        <x:v>45</x:v>
      </x:c>
      <x:c r="I569" s="274" t="n">
        <x:v>1.4</x:v>
      </x:c>
      <x:c r="J569" s="274" t="n">
        <x:v>345</x:v>
      </x:c>
      <x:c r="K569" s="274" t="n">
        <x:v>440</x:v>
      </x:c>
      <x:c r="M569" s="274" t="s">
        <x:v>1320</x:v>
      </x:c>
      <x:c r="N569" s="274" t="s">
        <x:v>870</x:v>
      </x:c>
    </x:row>
    <x:row r="570" spans="1:14">
      <x:c r="A570" s="274" t="s">
        <x:v>1321</x:v>
      </x:c>
      <x:c r="B570" s="274" t="n">
        <x:v>0.7</x:v>
      </x:c>
      <x:c r="C570" s="274" t="n">
        <x:v>0</x:v>
      </x:c>
      <x:c r="D570" s="274" t="n">
        <x:v>0</x:v>
      </x:c>
      <x:c r="F570" s="274" t="s">
        <x:v>333</x:v>
      </x:c>
      <x:c r="G570" s="274" t="s">
        <x:v>153</x:v>
      </x:c>
      <x:c r="I570" s="274" t="n">
        <x:v>0.7</x:v>
      </x:c>
      <x:c r="J570" s="274" t="n">
        <x:v>165</x:v>
      </x:c>
      <x:c r="K570" s="274" t="n">
        <x:v>770</x:v>
      </x:c>
      <x:c r="M570" s="274" t="s">
        <x:v>1322</x:v>
      </x:c>
      <x:c r="N570" s="274" t="s">
        <x:v>126</x:v>
      </x:c>
    </x:row>
    <x:row r="571" spans="1:14">
      <x:c r="A571" s="274" t="s">
        <x:v>1323</x:v>
      </x:c>
      <x:c r="B571" s="274" t="n">
        <x:v>5.8</x:v>
      </x:c>
      <x:c r="C571" s="274" t="n">
        <x:v>0</x:v>
      </x:c>
      <x:c r="D571" s="274" t="n">
        <x:v>0</x:v>
      </x:c>
      <x:c r="F571" s="274" t="s">
        <x:v>333</x:v>
      </x:c>
      <x:c r="G571" s="274" t="s">
        <x:v>153</x:v>
      </x:c>
      <x:c r="I571" s="274" t="n">
        <x:v>1.4</x:v>
      </x:c>
      <x:c r="J571" s="274" t="n">
        <x:v>365</x:v>
      </x:c>
      <x:c r="K571" s="274" t="n">
        <x:v>1445</x:v>
      </x:c>
      <x:c r="M571" s="274" t="s">
        <x:v>1324</x:v>
      </x:c>
      <x:c r="N571" s="274" t="s">
        <x:v>1325</x:v>
      </x:c>
    </x:row>
    <x:row r="572" spans="1:14">
      <x:c r="A572" s="274" t="s">
        <x:v>1326</x:v>
      </x:c>
      <x:c r="B572" s="274" t="n">
        <x:v>0.75</x:v>
      </x:c>
      <x:c r="C572" s="274" t="n">
        <x:v>0</x:v>
      </x:c>
      <x:c r="D572" s="274" t="n">
        <x:v>0</x:v>
      </x:c>
      <x:c r="F572" s="274" t="s">
        <x:v>333</x:v>
      </x:c>
      <x:c r="G572" s="274" t="s">
        <x:v>153</x:v>
      </x:c>
      <x:c r="I572" s="274" t="n">
        <x:v>1.2</x:v>
      </x:c>
      <x:c r="J572" s="274" t="n">
        <x:v>108</x:v>
      </x:c>
      <x:c r="K572" s="274" t="n">
        <x:v>741</x:v>
      </x:c>
      <x:c r="M572" s="274" t="s">
        <x:v>1327</x:v>
      </x:c>
      <x:c r="N572" s="274" t="s">
        <x:v>155</x:v>
      </x:c>
    </x:row>
    <x:row r="573" spans="1:14">
      <x:c r="A573" s="274" t="s">
        <x:v>1328</x:v>
      </x:c>
      <x:c r="B573" s="274" t="n">
        <x:v>0.57</x:v>
      </x:c>
      <x:c r="C573" s="274" t="n">
        <x:v>0</x:v>
      </x:c>
      <x:c r="D573" s="274" t="n">
        <x:v>0</x:v>
      </x:c>
      <x:c r="F573" s="274" t="s">
        <x:v>128</x:v>
      </x:c>
      <x:c r="G573" s="274" t="s">
        <x:v>1013</x:v>
      </x:c>
      <x:c r="I573" s="274" t="n">
        <x:v>0.6</x:v>
      </x:c>
      <x:c r="J573" s="274" t="n">
        <x:v>306</x:v>
      </x:c>
      <x:c r="K573" s="274" t="n">
        <x:v>395</x:v>
      </x:c>
      <x:c r="M573" s="274" t="s">
        <x:v>1329</x:v>
      </x:c>
      <x:c r="N573" s="274" t="s">
        <x:v>893</x:v>
      </x:c>
    </x:row>
    <x:row r="574" spans="1:14">
      <x:c r="A574" s="274" t="s">
        <x:v>1330</x:v>
      </x:c>
      <x:c r="B574" s="274" t="n">
        <x:v>0.43</x:v>
      </x:c>
      <x:c r="C574" s="274" t="n">
        <x:v>0</x:v>
      </x:c>
      <x:c r="D574" s="274" t="n">
        <x:v>36</x:v>
      </x:c>
      <x:c r="E574" s="274" t="n">
        <x:v>33</x:v>
      </x:c>
      <x:c r="F574" s="274" t="s">
        <x:v>333</x:v>
      </x:c>
      <x:c r="G574" s="274" t="s">
        <x:v>153</x:v>
      </x:c>
      <x:c r="I574" s="274" t="n">
        <x:v>0.7</x:v>
      </x:c>
      <x:c r="J574" s="274" t="n">
        <x:v>488</x:v>
      </x:c>
      <x:c r="K574" s="274" t="n">
        <x:v>162</x:v>
      </x:c>
      <x:c r="M574" s="274" t="s">
        <x:v>1331</x:v>
      </x:c>
      <x:c r="N574" s="274" t="s">
        <x:v>155</x:v>
      </x:c>
    </x:row>
    <x:row r="575" spans="1:14">
      <x:c r="A575" s="274" t="s">
        <x:v>1332</x:v>
      </x:c>
      <x:c r="B575" s="274" t="n">
        <x:v>3.17</x:v>
      </x:c>
      <x:c r="C575" s="274" t="n">
        <x:v>0</x:v>
      </x:c>
      <x:c r="D575" s="274" t="n">
        <x:v>0</x:v>
      </x:c>
      <x:c r="F575" s="274" t="s">
        <x:v>133</x:v>
      </x:c>
      <x:c r="G575" s="274" t="s">
        <x:v>134</x:v>
      </x:c>
      <x:c r="I575" s="274" t="n">
        <x:v>2</x:v>
      </x:c>
      <x:c r="J575" s="274" t="n">
        <x:v>224</x:v>
      </x:c>
      <x:c r="K575" s="274" t="n">
        <x:v>900</x:v>
      </x:c>
      <x:c r="M575" s="274" t="s">
        <x:v>1333</x:v>
      </x:c>
      <x:c r="N575" s="274" t="s">
        <x:v>870</x:v>
      </x:c>
    </x:row>
    <x:row r="576" spans="1:14">
      <x:c r="A576" s="274" t="s">
        <x:v>1334</x:v>
      </x:c>
      <x:c r="B576" s="274" t="n">
        <x:v>1.15</x:v>
      </x:c>
      <x:c r="C576" s="274" t="n">
        <x:v>0</x:v>
      </x:c>
      <x:c r="D576" s="274" t="n">
        <x:v>0</x:v>
      </x:c>
      <x:c r="F576" s="274" t="s">
        <x:v>133</x:v>
      </x:c>
      <x:c r="G576" s="274" t="s">
        <x:v>134</x:v>
      </x:c>
      <x:c r="I576" s="274" t="n">
        <x:v>2.3</x:v>
      </x:c>
      <x:c r="J576" s="274" t="n">
        <x:v>53</x:v>
      </x:c>
      <x:c r="K576" s="274" t="n">
        <x:v>1200</x:v>
      </x:c>
      <x:c r="M576" s="274" t="s">
        <x:v>1335</x:v>
      </x:c>
      <x:c r="N576" s="274" t="s">
        <x:v>155</x:v>
      </x:c>
    </x:row>
    <x:row r="577" spans="1:14">
      <x:c r="A577" s="274" t="s">
        <x:v>1336</x:v>
      </x:c>
      <x:c r="B577" s="274" t="n">
        <x:v>2.13</x:v>
      </x:c>
      <x:c r="C577" s="274" t="n">
        <x:v>0</x:v>
      </x:c>
      <x:c r="D577" s="274" t="n">
        <x:v>0</x:v>
      </x:c>
      <x:c r="F577" s="274" t="s">
        <x:v>133</x:v>
      </x:c>
      <x:c r="G577" s="274" t="s">
        <x:v>134</x:v>
      </x:c>
      <x:c r="I577" s="274" t="n">
        <x:v>3.6</x:v>
      </x:c>
      <x:c r="J577" s="274" t="n">
        <x:v>340</x:v>
      </x:c>
      <x:c r="K577" s="274" t="n">
        <x:v>222</x:v>
      </x:c>
      <x:c r="M577" s="274" t="s">
        <x:v>1337</x:v>
      </x:c>
      <x:c r="N577" s="274" t="s">
        <x:v>155</x:v>
      </x:c>
    </x:row>
    <x:row r="578" spans="1:14">
      <x:c r="A578" s="274" t="s">
        <x:v>1338</x:v>
      </x:c>
      <x:c r="B578" s="274" t="n">
        <x:v>2.91</x:v>
      </x:c>
      <x:c r="C578" s="274" t="n">
        <x:v>0</x:v>
      </x:c>
      <x:c r="D578" s="274" t="n">
        <x:v>0</x:v>
      </x:c>
      <x:c r="F578" s="274" t="s">
        <x:v>333</x:v>
      </x:c>
      <x:c r="G578" s="274" t="s">
        <x:v>153</x:v>
      </x:c>
      <x:c r="I578" s="274" t="n">
        <x:v>1.4</x:v>
      </x:c>
      <x:c r="J578" s="274" t="n">
        <x:v>200</x:v>
      </x:c>
      <x:c r="K578" s="274" t="n">
        <x:v>1325</x:v>
      </x:c>
      <x:c r="M578" s="274" t="s">
        <x:v>1339</x:v>
      </x:c>
      <x:c r="N578" s="274" t="s">
        <x:v>893</x:v>
      </x:c>
    </x:row>
    <x:row r="579" spans="1:14">
      <x:c r="A579" s="274" t="s">
        <x:v>1340</x:v>
      </x:c>
      <x:c r="B579" s="274" t="n">
        <x:v>1.02</x:v>
      </x:c>
      <x:c r="C579" s="274" t="n">
        <x:v>0</x:v>
      </x:c>
      <x:c r="D579" s="274" t="n">
        <x:v>0</x:v>
      </x:c>
      <x:c r="F579" s="274" t="s">
        <x:v>333</x:v>
      </x:c>
      <x:c r="G579" s="274" t="s">
        <x:v>153</x:v>
      </x:c>
      <x:c r="I579" s="274" t="n">
        <x:v>0.9</x:v>
      </x:c>
      <x:c r="J579" s="274" t="n">
        <x:v>225</x:v>
      </x:c>
      <x:c r="K579" s="274" t="n">
        <x:v>640</x:v>
      </x:c>
      <x:c r="M579" s="274" t="s">
        <x:v>1341</x:v>
      </x:c>
      <x:c r="N579" s="274" t="s">
        <x:v>893</x:v>
      </x:c>
    </x:row>
    <x:row r="580" spans="1:14">
      <x:c r="A580" s="274" t="s">
        <x:v>1342</x:v>
      </x:c>
      <x:c r="B580" s="274" t="n">
        <x:v>0.46</x:v>
      </x:c>
      <x:c r="C580" s="274" t="n">
        <x:v>0</x:v>
      </x:c>
      <x:c r="D580" s="274" t="n">
        <x:v>0</x:v>
      </x:c>
      <x:c r="F580" s="274" t="s">
        <x:v>133</x:v>
      </x:c>
      <x:c r="G580" s="274" t="s">
        <x:v>144</x:v>
      </x:c>
      <x:c r="H580" s="274" t="n">
        <x:v>45</x:v>
      </x:c>
      <x:c r="I580" s="274" t="n">
        <x:v>1.2</x:v>
      </x:c>
      <x:c r="J580" s="274" t="n">
        <x:v>160</x:v>
      </x:c>
      <x:c r="K580" s="274" t="n">
        <x:v>305</x:v>
      </x:c>
      <x:c r="M580" s="274" t="s">
        <x:v>1343</x:v>
      </x:c>
      <x:c r="N580" s="274" t="s">
        <x:v>870</x:v>
      </x:c>
    </x:row>
    <x:row r="581" spans="1:14">
      <x:c r="A581" s="274" t="s">
        <x:v>1344</x:v>
      </x:c>
      <x:c r="B581" s="274" t="n">
        <x:v>0.36</x:v>
      </x:c>
      <x:c r="C581" s="274" t="n">
        <x:v>0</x:v>
      </x:c>
      <x:c r="D581" s="274" t="n">
        <x:v>0</x:v>
      </x:c>
      <x:c r="F581" s="274" t="s">
        <x:v>133</x:v>
      </x:c>
      <x:c r="G581" s="274" t="s">
        <x:v>144</x:v>
      </x:c>
      <x:c r="H581" s="274" t="n">
        <x:v>45</x:v>
      </x:c>
      <x:c r="I581" s="274" t="n">
        <x:v>1.2</x:v>
      </x:c>
      <x:c r="J581" s="274" t="n">
        <x:v>140</x:v>
      </x:c>
      <x:c r="K581" s="274" t="n">
        <x:v>270</x:v>
      </x:c>
      <x:c r="M581" s="274" t="s">
        <x:v>1345</x:v>
      </x:c>
      <x:c r="N581" s="274" t="s">
        <x:v>870</x:v>
      </x:c>
    </x:row>
    <x:row r="582" spans="1:14">
      <x:c r="A582" s="274" t="s">
        <x:v>1346</x:v>
      </x:c>
      <x:c r="B582" s="274" t="n">
        <x:v>0.25</x:v>
      </x:c>
      <x:c r="C582" s="274" t="n">
        <x:v>30</x:v>
      </x:c>
      <x:c r="D582" s="274" t="n">
        <x:v>35</x:v>
      </x:c>
      <x:c r="E582" s="274" t="n">
        <x:v>33</x:v>
      </x:c>
      <x:c r="F582" s="274" t="s">
        <x:v>333</x:v>
      </x:c>
      <x:c r="G582" s="274" t="s">
        <x:v>153</x:v>
      </x:c>
      <x:c r="I582" s="274" t="n">
        <x:v>1.2</x:v>
      </x:c>
      <x:c r="J582" s="274" t="n">
        <x:v>255</x:v>
      </x:c>
      <x:c r="K582" s="274" t="n">
        <x:v>105</x:v>
      </x:c>
      <x:c r="M582" s="274" t="s">
        <x:v>1347</x:v>
      </x:c>
      <x:c r="N582" s="274" t="s">
        <x:v>1236</x:v>
      </x:c>
    </x:row>
    <x:row r="583" spans="1:14">
      <x:c r="A583" s="274" t="s">
        <x:v>1348</x:v>
      </x:c>
      <x:c r="B583" s="274" t="n">
        <x:v>0.71</x:v>
      </x:c>
      <x:c r="C583" s="274" t="n">
        <x:v>28</x:v>
      </x:c>
      <x:c r="D583" s="274" t="n">
        <x:v>35</x:v>
      </x:c>
      <x:c r="E583" s="274" t="n">
        <x:v>33</x:v>
      </x:c>
      <x:c r="F583" s="274" t="s">
        <x:v>333</x:v>
      </x:c>
      <x:c r="G583" s="274" t="s">
        <x:v>153</x:v>
      </x:c>
      <x:c r="I583" s="274" t="n">
        <x:v>1.4</x:v>
      </x:c>
      <x:c r="J583" s="274" t="n">
        <x:v>330</x:v>
      </x:c>
      <x:c r="K583" s="274" t="n">
        <x:v>195</x:v>
      </x:c>
      <x:c r="M583" s="274" t="s">
        <x:v>716</x:v>
      </x:c>
      <x:c r="N583" s="274" t="s">
        <x:v>1236</x:v>
      </x:c>
    </x:row>
    <x:row r="584" spans="1:14">
      <x:c r="A584" s="274" t="s">
        <x:v>1349</x:v>
      </x:c>
      <x:c r="B584" s="274" t="n">
        <x:v>1.38</x:v>
      </x:c>
      <x:c r="C584" s="274" t="n">
        <x:v>26</x:v>
      </x:c>
      <x:c r="D584" s="274" t="n">
        <x:v>35</x:v>
      </x:c>
      <x:c r="E584" s="274" t="n">
        <x:v>33</x:v>
      </x:c>
      <x:c r="F584" s="274" t="s">
        <x:v>333</x:v>
      </x:c>
      <x:c r="G584" s="274" t="s">
        <x:v>153</x:v>
      </x:c>
      <x:c r="I584" s="274" t="n">
        <x:v>1</x:v>
      </x:c>
      <x:c r="J584" s="274" t="n">
        <x:v>297</x:v>
      </x:c>
      <x:c r="K584" s="274" t="n">
        <x:v>590</x:v>
      </x:c>
      <x:c r="M584" s="274" t="s">
        <x:v>1350</x:v>
      </x:c>
      <x:c r="N584" s="274" t="s">
        <x:v>155</x:v>
      </x:c>
    </x:row>
    <x:row r="585" spans="1:14">
      <x:c r="A585" s="274" t="s">
        <x:v>1351</x:v>
      </x:c>
      <x:c r="B585" s="274" t="n">
        <x:v>1.77</x:v>
      </x:c>
      <x:c r="C585" s="274" t="n">
        <x:v>0</x:v>
      </x:c>
      <x:c r="D585" s="274" t="n">
        <x:v>35</x:v>
      </x:c>
      <x:c r="E585" s="274" t="n">
        <x:v>30</x:v>
      </x:c>
      <x:c r="F585" s="274" t="s">
        <x:v>133</x:v>
      </x:c>
      <x:c r="G585" s="274" t="s">
        <x:v>134</x:v>
      </x:c>
      <x:c r="I585" s="274" t="n">
        <x:v>2.3</x:v>
      </x:c>
      <x:c r="J585" s="274" t="n">
        <x:v>145</x:v>
      </x:c>
      <x:c r="K585" s="274" t="n">
        <x:v>675</x:v>
      </x:c>
      <x:c r="M585" s="274" t="s">
        <x:v>494</x:v>
      </x:c>
      <x:c r="N585" s="274" t="s">
        <x:v>1236</x:v>
      </x:c>
    </x:row>
    <x:row r="586" spans="1:14">
      <x:c r="A586" s="274" t="s">
        <x:v>1352</x:v>
      </x:c>
      <x:c r="B586" s="274" t="n">
        <x:v>8.11</x:v>
      </x:c>
      <x:c r="C586" s="274" t="n">
        <x:v>0</x:v>
      </x:c>
      <x:c r="D586" s="274" t="n">
        <x:v>0</x:v>
      </x:c>
      <x:c r="F586" s="274" t="s">
        <x:v>123</x:v>
      </x:c>
      <x:c r="G586" s="274" t="s">
        <x:v>139</x:v>
      </x:c>
      <x:c r="I586" s="274" t="n">
        <x:v>6</x:v>
      </x:c>
      <x:c r="J586" s="274" t="n">
        <x:v>393</x:v>
      </x:c>
      <x:c r="K586" s="274" t="n">
        <x:v>438</x:v>
      </x:c>
      <x:c r="M586" s="274" t="s">
        <x:v>1353</x:v>
      </x:c>
      <x:c r="N586" s="274" t="s">
        <x:v>475</x:v>
      </x:c>
    </x:row>
    <x:row r="587" spans="1:14">
      <x:c r="A587" s="274" t="s">
        <x:v>1354</x:v>
      </x:c>
      <x:c r="B587" s="274" t="n">
        <x:v>0.39</x:v>
      </x:c>
      <x:c r="C587" s="274" t="n">
        <x:v>0</x:v>
      </x:c>
      <x:c r="D587" s="274" t="n">
        <x:v>0</x:v>
      </x:c>
      <x:c r="F587" s="274" t="s">
        <x:v>333</x:v>
      </x:c>
      <x:c r="G587" s="274" t="s">
        <x:v>209</x:v>
      </x:c>
      <x:c r="I587" s="274" t="n">
        <x:v>0.8</x:v>
      </x:c>
      <x:c r="J587" s="274" t="n">
        <x:v>140</x:v>
      </x:c>
      <x:c r="K587" s="274" t="n">
        <x:v>442</x:v>
      </x:c>
      <x:c r="M587" s="274" t="s">
        <x:v>1110</x:v>
      </x:c>
      <x:c r="N587" s="274" t="s">
        <x:v>582</x:v>
      </x:c>
    </x:row>
    <x:row r="588" spans="1:14">
      <x:c r="A588" s="274" t="s">
        <x:v>1355</x:v>
      </x:c>
      <x:c r="B588" s="274" t="n">
        <x:v>31.9</x:v>
      </x:c>
      <x:c r="C588" s="274" t="n">
        <x:v>0</x:v>
      </x:c>
      <x:c r="D588" s="274" t="n">
        <x:v>0</x:v>
      </x:c>
      <x:c r="F588" s="274" t="s">
        <x:v>123</x:v>
      </x:c>
      <x:c r="G588" s="274" t="s">
        <x:v>864</x:v>
      </x:c>
      <x:c r="I588" s="274" t="n">
        <x:v>1.6</x:v>
      </x:c>
      <x:c r="J588" s="274" t="n">
        <x:v>1250</x:v>
      </x:c>
      <x:c r="K588" s="274" t="n">
        <x:v>2000</x:v>
      </x:c>
      <x:c r="M588" s="274" t="s">
        <x:v>1356</x:v>
      </x:c>
    </x:row>
    <x:row r="589" spans="1:14">
      <x:c r="A589" s="274" t="s">
        <x:v>1357</x:v>
      </x:c>
      <x:c r="B589" s="274" t="n">
        <x:v>0.58</x:v>
      </x:c>
      <x:c r="C589" s="274" t="n">
        <x:v>0</x:v>
      </x:c>
      <x:c r="D589" s="274" t="n">
        <x:v>0</x:v>
      </x:c>
      <x:c r="F589" s="274" t="s">
        <x:v>133</x:v>
      </x:c>
      <x:c r="G589" s="274" t="s">
        <x:v>136</x:v>
      </x:c>
      <x:c r="H589" s="274" t="n">
        <x:v>45</x:v>
      </x:c>
      <x:c r="I589" s="274" t="n">
        <x:v>0.7</x:v>
      </x:c>
      <x:c r="J589" s="274" t="n">
        <x:v>298</x:v>
      </x:c>
      <x:c r="K589" s="274" t="n">
        <x:v>350</x:v>
      </x:c>
      <x:c r="M589" s="274" t="s">
        <x:v>511</x:v>
      </x:c>
      <x:c r="N589" s="274" t="s">
        <x:v>131</x:v>
      </x:c>
    </x:row>
    <x:row r="590" spans="1:14">
      <x:c r="A590" s="274" t="s">
        <x:v>1358</x:v>
      </x:c>
      <x:c r="B590" s="274" t="n">
        <x:v>0.68</x:v>
      </x:c>
      <x:c r="C590" s="274" t="n">
        <x:v>0</x:v>
      </x:c>
      <x:c r="D590" s="274" t="n">
        <x:v>0</x:v>
      </x:c>
      <x:c r="F590" s="274" t="s">
        <x:v>128</x:v>
      </x:c>
      <x:c r="G590" s="274" t="s">
        <x:v>437</x:v>
      </x:c>
      <x:c r="I590" s="274" t="n">
        <x:v>3.2</x:v>
      </x:c>
      <x:c r="J590" s="274" t="n">
        <x:v>168</x:v>
      </x:c>
      <x:c r="K590" s="274" t="n">
        <x:v>160</x:v>
      </x:c>
      <x:c r="M590" s="274" t="s">
        <x:v>1359</x:v>
      </x:c>
      <x:c r="N590" s="274" t="s">
        <x:v>299</x:v>
      </x:c>
    </x:row>
    <x:row r="591" spans="1:14">
      <x:c r="A591" s="274" t="s">
        <x:v>1360</x:v>
      </x:c>
      <x:c r="B591" s="274" t="n">
        <x:v>1.38</x:v>
      </x:c>
      <x:c r="C591" s="274" t="n">
        <x:v>0</x:v>
      </x:c>
      <x:c r="D591" s="274" t="n">
        <x:v>0</x:v>
      </x:c>
      <x:c r="F591" s="274" t="s">
        <x:v>333</x:v>
      </x:c>
      <x:c r="G591" s="274" t="s">
        <x:v>153</x:v>
      </x:c>
      <x:c r="I591" s="274" t="n">
        <x:v>1</x:v>
      </x:c>
      <x:c r="J591" s="274" t="n">
        <x:v>297</x:v>
      </x:c>
      <x:c r="K591" s="274" t="n">
        <x:v>590</x:v>
      </x:c>
      <x:c r="M591" s="274" t="s">
        <x:v>1350</x:v>
      </x:c>
      <x:c r="N591" s="274" t="s">
        <x:v>155</x:v>
      </x:c>
    </x:row>
    <x:row r="592" spans="1:14">
      <x:c r="A592" s="274" t="s">
        <x:v>1361</x:v>
      </x:c>
      <x:c r="B592" s="274" t="n">
        <x:v>0.36</x:v>
      </x:c>
      <x:c r="C592" s="274" t="n">
        <x:v>0</x:v>
      </x:c>
      <x:c r="D592" s="274" t="n">
        <x:v>0</x:v>
      </x:c>
      <x:c r="F592" s="274" t="s">
        <x:v>133</x:v>
      </x:c>
      <x:c r="G592" s="274" t="s">
        <x:v>144</x:v>
      </x:c>
      <x:c r="H592" s="274" t="n">
        <x:v>45</x:v>
      </x:c>
      <x:c r="I592" s="274" t="n">
        <x:v>1.6</x:v>
      </x:c>
      <x:c r="J592" s="274" t="n">
        <x:v>138</x:v>
      </x:c>
      <x:c r="K592" s="274" t="n">
        <x:v>206</x:v>
      </x:c>
      <x:c r="M592" s="274" t="s">
        <x:v>157</x:v>
      </x:c>
      <x:c r="N592" s="274" t="s">
        <x:v>131</x:v>
      </x:c>
    </x:row>
    <x:row r="593" spans="1:14">
      <x:c r="A593" s="274" t="s">
        <x:v>1362</x:v>
      </x:c>
      <x:c r="B593" s="274" t="n">
        <x:v>2.46</x:v>
      </x:c>
      <x:c r="C593" s="274" t="n">
        <x:v>0</x:v>
      </x:c>
      <x:c r="D593" s="274" t="n">
        <x:v>0</x:v>
      </x:c>
      <x:c r="F593" s="274" t="s">
        <x:v>133</x:v>
      </x:c>
      <x:c r="G593" s="274" t="s">
        <x:v>144</x:v>
      </x:c>
      <x:c r="H593" s="274" t="n">
        <x:v>45</x:v>
      </x:c>
      <x:c r="I593" s="274" t="n">
        <x:v>1.6</x:v>
      </x:c>
      <x:c r="J593" s="274" t="n">
        <x:v>239</x:v>
      </x:c>
      <x:c r="K593" s="274" t="n">
        <x:v>815</x:v>
      </x:c>
      <x:c r="M593" s="274" t="s">
        <x:v>166</x:v>
      </x:c>
      <x:c r="N593" s="274" t="s">
        <x:v>131</x:v>
      </x:c>
    </x:row>
    <x:row r="594" spans="1:14">
      <x:c r="A594" s="274" t="s">
        <x:v>1363</x:v>
      </x:c>
      <x:c r="B594" s="274" t="n">
        <x:v>3.94</x:v>
      </x:c>
      <x:c r="C594" s="274" t="n">
        <x:v>0</x:v>
      </x:c>
      <x:c r="D594" s="274" t="n">
        <x:v>0</x:v>
      </x:c>
      <x:c r="F594" s="274" t="s">
        <x:v>333</x:v>
      </x:c>
      <x:c r="G594" s="274" t="s">
        <x:v>153</x:v>
      </x:c>
      <x:c r="I594" s="274" t="n">
        <x:v>0.7</x:v>
      </x:c>
      <x:c r="J594" s="274" t="n">
        <x:v>470</x:v>
      </x:c>
      <x:c r="K594" s="274" t="n">
        <x:v>1526</x:v>
      </x:c>
      <x:c r="M594" s="274" t="s">
        <x:v>1364</x:v>
      </x:c>
      <x:c r="N594" s="274" t="s">
        <x:v>1365</x:v>
      </x:c>
    </x:row>
    <x:row r="595" spans="1:14">
      <x:c r="A595" s="274" t="s">
        <x:v>1366</x:v>
      </x:c>
      <x:c r="B595" s="274" t="n">
        <x:v>0.83</x:v>
      </x:c>
      <x:c r="C595" s="274" t="n">
        <x:v>27</x:v>
      </x:c>
      <x:c r="D595" s="274" t="n">
        <x:v>35</x:v>
      </x:c>
      <x:c r="E595" s="274" t="n">
        <x:v>33</x:v>
      </x:c>
      <x:c r="F595" s="274" t="s">
        <x:v>333</x:v>
      </x:c>
      <x:c r="G595" s="274" t="s">
        <x:v>124</x:v>
      </x:c>
      <x:c r="I595" s="274" t="n">
        <x:v>1.2</x:v>
      </x:c>
      <x:c r="J595" s="274" t="n">
        <x:v>148</x:v>
      </x:c>
      <x:c r="K595" s="274" t="n">
        <x:v>595</x:v>
      </x:c>
      <x:c r="M595" s="274" t="s">
        <x:v>1367</x:v>
      </x:c>
    </x:row>
    <x:row r="596" spans="1:14">
      <x:c r="A596" s="274" t="s">
        <x:v>1368</x:v>
      </x:c>
      <x:c r="B596" s="274" t="n">
        <x:v>2.03</x:v>
      </x:c>
      <x:c r="C596" s="274" t="n">
        <x:v>0</x:v>
      </x:c>
      <x:c r="D596" s="274" t="n">
        <x:v>0</x:v>
      </x:c>
      <x:c r="F596" s="274" t="s">
        <x:v>123</x:v>
      </x:c>
      <x:c r="G596" s="274" t="s">
        <x:v>209</x:v>
      </x:c>
      <x:c r="I596" s="274" t="n">
        <x:v>1.2</x:v>
      </x:c>
      <x:c r="J596" s="274" t="n">
        <x:v>176</x:v>
      </x:c>
      <x:c r="K596" s="274" t="n">
        <x:v>1223</x:v>
      </x:c>
      <x:c r="M596" s="274" t="s">
        <x:v>1369</x:v>
      </x:c>
      <x:c r="N596" s="274" t="s">
        <x:v>870</x:v>
      </x:c>
    </x:row>
    <x:row r="597" spans="1:14">
      <x:c r="A597" s="274" t="s">
        <x:v>1370</x:v>
      </x:c>
      <x:c r="B597" s="274" t="n">
        <x:v>1.41</x:v>
      </x:c>
      <x:c r="C597" s="274" t="n">
        <x:v>0</x:v>
      </x:c>
      <x:c r="D597" s="274" t="n">
        <x:v>0</x:v>
      </x:c>
      <x:c r="F597" s="274" t="s">
        <x:v>123</x:v>
      </x:c>
      <x:c r="G597" s="274" t="s">
        <x:v>209</x:v>
      </x:c>
      <x:c r="I597" s="274" t="n">
        <x:v>1.2</x:v>
      </x:c>
      <x:c r="J597" s="274" t="n">
        <x:v>128</x:v>
      </x:c>
      <x:c r="K597" s="274" t="n">
        <x:v>1167</x:v>
      </x:c>
      <x:c r="M597" s="274" t="s">
        <x:v>1371</x:v>
      </x:c>
      <x:c r="N597" s="274" t="s">
        <x:v>870</x:v>
      </x:c>
    </x:row>
    <x:row r="598" spans="1:14">
      <x:c r="A598" s="274" t="s">
        <x:v>1372</x:v>
      </x:c>
      <x:c r="B598" s="274" t="n">
        <x:v>1.2</x:v>
      </x:c>
      <x:c r="C598" s="274" t="n">
        <x:v>0</x:v>
      </x:c>
      <x:c r="D598" s="274" t="n">
        <x:v>0</x:v>
      </x:c>
      <x:c r="F598" s="274" t="s">
        <x:v>123</x:v>
      </x:c>
      <x:c r="G598" s="274" t="s">
        <x:v>209</x:v>
      </x:c>
      <x:c r="I598" s="274" t="n">
        <x:v>1.2</x:v>
      </x:c>
      <x:c r="J598" s="274" t="n">
        <x:v>264</x:v>
      </x:c>
      <x:c r="K598" s="274" t="n">
        <x:v>482</x:v>
      </x:c>
      <x:c r="M598" s="274" t="s">
        <x:v>1373</x:v>
      </x:c>
      <x:c r="N598" s="274" t="s">
        <x:v>870</x:v>
      </x:c>
    </x:row>
    <x:row r="599" spans="1:14">
      <x:c r="A599" s="274" t="s">
        <x:v>1374</x:v>
      </x:c>
      <x:c r="B599" s="274" t="n">
        <x:v>1.23</x:v>
      </x:c>
      <x:c r="C599" s="274" t="n">
        <x:v>0</x:v>
      </x:c>
      <x:c r="D599" s="274" t="n">
        <x:v>0</x:v>
      </x:c>
      <x:c r="F599" s="274" t="s">
        <x:v>333</x:v>
      </x:c>
      <x:c r="G599" s="274" t="s">
        <x:v>124</x:v>
      </x:c>
      <x:c r="I599" s="274" t="n">
        <x:v>1.8</x:v>
      </x:c>
      <x:c r="J599" s="274" t="n">
        <x:v>80</x:v>
      </x:c>
      <x:c r="K599" s="274" t="n">
        <x:v>1088</x:v>
      </x:c>
      <x:c r="M599" s="274" t="s">
        <x:v>1375</x:v>
      </x:c>
      <x:c r="N599" s="274" t="s">
        <x:v>870</x:v>
      </x:c>
    </x:row>
    <x:row r="600" spans="1:14">
      <x:c r="A600" s="274" t="s">
        <x:v>1376</x:v>
      </x:c>
      <x:c r="B600" s="274" t="n">
        <x:v>2.3</x:v>
      </x:c>
      <x:c r="C600" s="274" t="n">
        <x:v>0</x:v>
      </x:c>
      <x:c r="D600" s="274" t="n">
        <x:v>0</x:v>
      </x:c>
      <x:c r="F600" s="274" t="s">
        <x:v>123</x:v>
      </x:c>
      <x:c r="G600" s="274" t="s">
        <x:v>124</x:v>
      </x:c>
      <x:c r="I600" s="274" t="n">
        <x:v>1.2</x:v>
      </x:c>
      <x:c r="J600" s="274" t="n">
        <x:v>200</x:v>
      </x:c>
      <x:c r="K600" s="274" t="n">
        <x:v>1220</x:v>
      </x:c>
      <x:c r="M600" s="274" t="s">
        <x:v>1377</x:v>
      </x:c>
      <x:c r="N600" s="274" t="s">
        <x:v>870</x:v>
      </x:c>
    </x:row>
    <x:row r="601" spans="1:14">
      <x:c r="A601" s="274" t="s">
        <x:v>1378</x:v>
      </x:c>
      <x:c r="B601" s="274" t="n">
        <x:v>4.62</x:v>
      </x:c>
      <x:c r="C601" s="274" t="n">
        <x:v>0</x:v>
      </x:c>
      <x:c r="D601" s="274" t="n">
        <x:v>0</x:v>
      </x:c>
      <x:c r="F601" s="274" t="s">
        <x:v>123</x:v>
      </x:c>
      <x:c r="G601" s="274" t="s">
        <x:v>209</x:v>
      </x:c>
      <x:c r="I601" s="274" t="n">
        <x:v>1.6</x:v>
      </x:c>
      <x:c r="J601" s="274" t="n">
        <x:v>336</x:v>
      </x:c>
      <x:c r="K601" s="274" t="n">
        <x:v>1095</x:v>
      </x:c>
      <x:c r="M601" s="274" t="s">
        <x:v>1379</x:v>
      </x:c>
      <x:c r="N601" s="274" t="s">
        <x:v>870</x:v>
      </x:c>
    </x:row>
    <x:row r="602" spans="1:14">
      <x:c r="A602" s="274" t="s">
        <x:v>1380</x:v>
      </x:c>
      <x:c r="B602" s="274" t="n">
        <x:v>1.01</x:v>
      </x:c>
      <x:c r="C602" s="274" t="n">
        <x:v>0</x:v>
      </x:c>
      <x:c r="D602" s="274" t="n">
        <x:v>0</x:v>
      </x:c>
      <x:c r="F602" s="274" t="s">
        <x:v>123</x:v>
      </x:c>
      <x:c r="G602" s="274" t="s">
        <x:v>209</x:v>
      </x:c>
      <x:c r="I602" s="274" t="n">
        <x:v>1.2</x:v>
      </x:c>
      <x:c r="J602" s="274" t="n">
        <x:v>95</x:v>
      </x:c>
      <x:c r="K602" s="274" t="n">
        <x:v>1130</x:v>
      </x:c>
      <x:c r="M602" s="274" t="s">
        <x:v>1381</x:v>
      </x:c>
      <x:c r="N602" s="274" t="s">
        <x:v>870</x:v>
      </x:c>
    </x:row>
    <x:row r="603" spans="1:14">
      <x:c r="A603" s="274" t="s">
        <x:v>1382</x:v>
      </x:c>
      <x:c r="B603" s="274" t="n">
        <x:v>1.35</x:v>
      </x:c>
      <x:c r="C603" s="274" t="n">
        <x:v>0</x:v>
      </x:c>
      <x:c r="D603" s="274" t="n">
        <x:v>0</x:v>
      </x:c>
      <x:c r="F603" s="274" t="s">
        <x:v>123</x:v>
      </x:c>
      <x:c r="G603" s="274" t="s">
        <x:v>209</x:v>
      </x:c>
      <x:c r="I603" s="274" t="n">
        <x:v>1.2</x:v>
      </x:c>
      <x:c r="J603" s="274" t="n">
        <x:v>120.5</x:v>
      </x:c>
      <x:c r="K603" s="274" t="n">
        <x:v>1193</x:v>
      </x:c>
      <x:c r="M603" s="274" t="s">
        <x:v>1383</x:v>
      </x:c>
      <x:c r="N603" s="274" t="s">
        <x:v>870</x:v>
      </x:c>
    </x:row>
    <x:row r="604" spans="1:14">
      <x:c r="A604" s="274" t="s">
        <x:v>1384</x:v>
      </x:c>
      <x:c r="B604" s="274" t="n">
        <x:v>0.37</x:v>
      </x:c>
      <x:c r="C604" s="274" t="n">
        <x:v>0</x:v>
      </x:c>
      <x:c r="D604" s="274" t="n">
        <x:v>0</x:v>
      </x:c>
      <x:c r="F604" s="274" t="s">
        <x:v>133</x:v>
      </x:c>
      <x:c r="G604" s="274" t="s">
        <x:v>148</x:v>
      </x:c>
      <x:c r="I604" s="274" t="n">
        <x:v>2</x:v>
      </x:c>
      <x:c r="J604" s="274" t="n">
        <x:v>61</x:v>
      </x:c>
      <x:c r="K604" s="274" t="n">
        <x:v>391</x:v>
      </x:c>
      <x:c r="M604" s="274" t="s">
        <x:v>1385</x:v>
      </x:c>
      <x:c r="N604" s="274" t="s">
        <x:v>131</x:v>
      </x:c>
    </x:row>
    <x:row r="605" spans="1:14">
      <x:c r="A605" s="274" t="s">
        <x:v>1386</x:v>
      </x:c>
      <x:c r="B605" s="274" t="n">
        <x:v>2.34</x:v>
      </x:c>
      <x:c r="C605" s="274" t="n">
        <x:v>0</x:v>
      </x:c>
      <x:c r="D605" s="274" t="n">
        <x:v>0</x:v>
      </x:c>
      <x:c r="F605" s="274" t="s">
        <x:v>133</x:v>
      </x:c>
      <x:c r="G605" s="274" t="s">
        <x:v>134</x:v>
      </x:c>
      <x:c r="I605" s="274" t="n">
        <x:v>2.9</x:v>
      </x:c>
      <x:c r="J605" s="274" t="n">
        <x:v>388</x:v>
      </x:c>
      <x:c r="K605" s="274" t="n">
        <x:v>265</x:v>
      </x:c>
      <x:c r="M605" s="274" t="s">
        <x:v>1387</x:v>
      </x:c>
      <x:c r="N605" s="274" t="s">
        <x:v>299</x:v>
      </x:c>
    </x:row>
    <x:row r="606" spans="1:14">
      <x:c r="A606" s="274" t="s">
        <x:v>1388</x:v>
      </x:c>
      <x:c r="B606" s="274" t="n">
        <x:v>1.29</x:v>
      </x:c>
      <x:c r="C606" s="274" t="n">
        <x:v>0</x:v>
      </x:c>
      <x:c r="D606" s="274" t="n">
        <x:v>0</x:v>
      </x:c>
      <x:c r="F606" s="274" t="s">
        <x:v>333</x:v>
      </x:c>
      <x:c r="G606" s="274" t="s">
        <x:v>153</x:v>
      </x:c>
      <x:c r="I606" s="274" t="n">
        <x:v>1.2</x:v>
      </x:c>
      <x:c r="J606" s="274" t="n">
        <x:v>285</x:v>
      </x:c>
      <x:c r="K606" s="274" t="n">
        <x:v>480</x:v>
      </x:c>
      <x:c r="M606" s="274" t="s">
        <x:v>1389</x:v>
      </x:c>
      <x:c r="N606" s="274" t="s">
        <x:v>126</x:v>
      </x:c>
    </x:row>
    <x:row r="607" spans="1:14">
      <x:c r="A607" s="274" t="s">
        <x:v>1390</x:v>
      </x:c>
      <x:c r="B607" s="274" t="n">
        <x:v>0.54</x:v>
      </x:c>
      <x:c r="C607" s="274" t="n">
        <x:v>0</x:v>
      </x:c>
      <x:c r="D607" s="274" t="n">
        <x:v>0</x:v>
      </x:c>
      <x:c r="F607" s="274" t="s">
        <x:v>133</x:v>
      </x:c>
      <x:c r="G607" s="274" t="s">
        <x:v>134</x:v>
      </x:c>
      <x:c r="I607" s="274" t="n">
        <x:v>2.9</x:v>
      </x:c>
      <x:c r="J607" s="274" t="n">
        <x:v>67</x:v>
      </x:c>
      <x:c r="K607" s="274" t="n">
        <x:v>351</x:v>
      </x:c>
      <x:c r="M607" s="274" t="s">
        <x:v>1391</x:v>
      </x:c>
      <x:c r="N607" s="274" t="s">
        <x:v>299</x:v>
      </x:c>
    </x:row>
    <x:row r="608" spans="1:14">
      <x:c r="A608" s="274" t="s">
        <x:v>1392</x:v>
      </x:c>
      <x:c r="B608" s="274" t="n">
        <x:v>10.71</x:v>
      </x:c>
      <x:c r="C608" s="274" t="n">
        <x:v>0</x:v>
      </x:c>
      <x:c r="D608" s="274" t="n">
        <x:v>0</x:v>
      </x:c>
      <x:c r="E608" s="274" t="n">
        <x:v>0</x:v>
      </x:c>
      <x:c r="F608" s="274" t="s">
        <x:v>184</x:v>
      </x:c>
      <x:c r="G608" s="274" t="s">
        <x:v>878</x:v>
      </x:c>
      <x:c r="H608" s="274" t="s">
        <x:v>285</x:v>
      </x:c>
      <x:c r="I608" s="274" t="n">
        <x:v>0.65</x:v>
      </x:c>
      <x:c r="J608" s="274" t="n">
        <x:v>850</x:v>
      </x:c>
      <x:c r="K608" s="274" t="n">
        <x:v>2379.5</x:v>
      </x:c>
      <x:c r="L608" s="274" t="n">
        <x:v>2474.5</x:v>
      </x:c>
      <x:c r="M608" s="274" t="s">
        <x:v>1393</x:v>
      </x:c>
      <x:c r="N608" s="274" t="s">
        <x:v>870</x:v>
      </x:c>
    </x:row>
    <x:row r="609" spans="1:14">
      <x:c r="A609" s="274" t="s">
        <x:v>1394</x:v>
      </x:c>
      <x:c r="B609" s="274" t="n">
        <x:v>1</x:v>
      </x:c>
      <x:c r="C609" s="274" t="n">
        <x:v>0</x:v>
      </x:c>
      <x:c r="D609" s="274" t="n">
        <x:v>0</x:v>
      </x:c>
      <x:c r="F609" s="274" t="s">
        <x:v>133</x:v>
      </x:c>
      <x:c r="G609" s="274" t="s">
        <x:v>134</x:v>
      </x:c>
      <x:c r="I609" s="274" t="n">
        <x:v>2</x:v>
      </x:c>
      <x:c r="J609" s="274" t="n">
        <x:v>177</x:v>
      </x:c>
      <x:c r="K609" s="274" t="n">
        <x:v>360</x:v>
      </x:c>
      <x:c r="M609" s="274" t="s">
        <x:v>1395</x:v>
      </x:c>
      <x:c r="N609" s="274" t="s">
        <x:v>131</x:v>
      </x:c>
    </x:row>
    <x:row r="610" spans="1:14">
      <x:c r="A610" s="274" t="s">
        <x:v>1396</x:v>
      </x:c>
      <x:c r="B610" s="274" t="n">
        <x:v>0.71</x:v>
      </x:c>
      <x:c r="C610" s="274" t="n">
        <x:v>0</x:v>
      </x:c>
      <x:c r="D610" s="274" t="n">
        <x:v>0</x:v>
      </x:c>
      <x:c r="F610" s="274" t="s">
        <x:v>133</x:v>
      </x:c>
      <x:c r="G610" s="274" t="s">
        <x:v>134</x:v>
      </x:c>
      <x:c r="I610" s="274" t="n">
        <x:v>1.6</x:v>
      </x:c>
      <x:c r="J610" s="274" t="n">
        <x:v>88</x:v>
      </x:c>
      <x:c r="K610" s="274" t="n">
        <x:v>640</x:v>
      </x:c>
      <x:c r="M610" s="274" t="s">
        <x:v>1397</x:v>
      </x:c>
      <x:c r="N610" s="274" t="s">
        <x:v>299</x:v>
      </x:c>
    </x:row>
    <x:row r="611" spans="1:14">
      <x:c r="A611" s="274" t="s">
        <x:v>1398</x:v>
      </x:c>
      <x:c r="B611" s="274" t="n">
        <x:v>1.65</x:v>
      </x:c>
      <x:c r="C611" s="274" t="n">
        <x:v>0</x:v>
      </x:c>
      <x:c r="D611" s="274" t="n">
        <x:v>50</x:v>
      </x:c>
      <x:c r="E611" s="274" t="n">
        <x:v>0</x:v>
      </x:c>
      <x:c r="F611" s="274" t="s">
        <x:v>133</x:v>
      </x:c>
      <x:c r="G611" s="274" t="s">
        <x:v>136</x:v>
      </x:c>
      <x:c r="H611" s="274" t="n">
        <x:v>45</x:v>
      </x:c>
      <x:c r="I611" s="274" t="n">
        <x:v>1.2</x:v>
      </x:c>
      <x:c r="J611" s="274" t="n">
        <x:v>364</x:v>
      </x:c>
      <x:c r="K611" s="274" t="n">
        <x:v>478</x:v>
      </x:c>
      <x:c r="L611" s="274" t="n">
        <x:v>478</x:v>
      </x:c>
      <x:c r="M611" s="274" t="s">
        <x:v>1399</x:v>
      </x:c>
      <x:c r="N611" s="274" t="s">
        <x:v>155</x:v>
      </x:c>
    </x:row>
    <x:row r="612" spans="1:14">
      <x:c r="A612" s="274" t="s">
        <x:v>1400</x:v>
      </x:c>
      <x:c r="B612" s="274" t="n">
        <x:v>0.97</x:v>
      </x:c>
      <x:c r="C612" s="274" t="n">
        <x:v>0</x:v>
      </x:c>
      <x:c r="D612" s="274" t="n">
        <x:v>0</x:v>
      </x:c>
      <x:c r="F612" s="274" t="s">
        <x:v>333</x:v>
      </x:c>
      <x:c r="G612" s="274" t="s">
        <x:v>209</x:v>
      </x:c>
      <x:c r="I612" s="274" t="n">
        <x:v>1.4</x:v>
      </x:c>
      <x:c r="J612" s="274" t="n">
        <x:v>521</x:v>
      </x:c>
      <x:c r="K612" s="274" t="n">
        <x:v>170</x:v>
      </x:c>
      <x:c r="M612" s="274" t="s">
        <x:v>1401</x:v>
      </x:c>
      <x:c r="N612" s="274" t="s">
        <x:v>131</x:v>
      </x:c>
    </x:row>
    <x:row r="613" spans="1:14">
      <x:c r="A613" s="274" t="s">
        <x:v>1402</x:v>
      </x:c>
      <x:c r="B613" s="274" t="n">
        <x:v>5.18</x:v>
      </x:c>
      <x:c r="C613" s="274" t="n">
        <x:v>0</x:v>
      </x:c>
      <x:c r="D613" s="274" t="n">
        <x:v>0</x:v>
      </x:c>
      <x:c r="F613" s="274" t="s">
        <x:v>123</x:v>
      </x:c>
      <x:c r="G613" s="274" t="s">
        <x:v>153</x:v>
      </x:c>
      <x:c r="I613" s="274" t="n">
        <x:v>2</x:v>
      </x:c>
      <x:c r="J613" s="274" t="n">
        <x:v>550</x:v>
      </x:c>
      <x:c r="K613" s="274" t="n">
        <x:v>600</x:v>
      </x:c>
      <x:c r="M613" s="274" t="s">
        <x:v>1403</x:v>
      </x:c>
      <x:c r="N613" s="274" t="s">
        <x:v>870</x:v>
      </x:c>
    </x:row>
    <x:row r="614" spans="1:14">
      <x:c r="A614" s="274" t="s">
        <x:v>1404</x:v>
      </x:c>
      <x:c r="B614" s="274" t="n">
        <x:v>3.41</x:v>
      </x:c>
      <x:c r="C614" s="274" t="n">
        <x:v>0</x:v>
      </x:c>
      <x:c r="D614" s="274" t="n">
        <x:v>0</x:v>
      </x:c>
      <x:c r="F614" s="274" t="s">
        <x:v>333</x:v>
      </x:c>
      <x:c r="G614" s="274" t="s">
        <x:v>153</x:v>
      </x:c>
      <x:c r="I614" s="274" t="n">
        <x:v>0.7</x:v>
      </x:c>
      <x:c r="J614" s="274" t="n">
        <x:v>400</x:v>
      </x:c>
      <x:c r="K614" s="274" t="n">
        <x:v>1550</x:v>
      </x:c>
      <x:c r="M614" s="274" t="s">
        <x:v>1405</x:v>
      </x:c>
      <x:c r="N614" s="274" t="s">
        <x:v>582</x:v>
      </x:c>
    </x:row>
    <x:row r="615" spans="1:14">
      <x:c r="A615" s="274" t="s">
        <x:v>1406</x:v>
      </x:c>
      <x:c r="B615" s="274" t="n">
        <x:v>2.45</x:v>
      </x:c>
      <x:c r="C615" s="274" t="n">
        <x:v>0</x:v>
      </x:c>
      <x:c r="D615" s="274" t="n">
        <x:v>0</x:v>
      </x:c>
      <x:c r="F615" s="274" t="s">
        <x:v>333</x:v>
      </x:c>
      <x:c r="G615" s="274" t="s">
        <x:v>153</x:v>
      </x:c>
      <x:c r="I615" s="274" t="n">
        <x:v>0.7</x:v>
      </x:c>
      <x:c r="J615" s="274" t="n">
        <x:v>283</x:v>
      </x:c>
      <x:c r="K615" s="274" t="n">
        <x:v>1575</x:v>
      </x:c>
      <x:c r="M615" s="274" t="s">
        <x:v>1407</x:v>
      </x:c>
      <x:c r="N615" s="274" t="s">
        <x:v>847</x:v>
      </x:c>
    </x:row>
    <x:row r="616" spans="1:14">
      <x:c r="A616" s="274" t="s">
        <x:v>1408</x:v>
      </x:c>
      <x:c r="B616" s="274" t="n">
        <x:v>3.5</x:v>
      </x:c>
      <x:c r="C616" s="274" t="n">
        <x:v>0</x:v>
      </x:c>
      <x:c r="D616" s="274" t="n">
        <x:v>32</x:v>
      </x:c>
      <x:c r="E616" s="274" t="n">
        <x:v>40</x:v>
      </x:c>
      <x:c r="F616" s="274" t="s">
        <x:v>333</x:v>
      </x:c>
      <x:c r="G616" s="274" t="s">
        <x:v>124</x:v>
      </x:c>
      <x:c r="I616" s="274" t="n">
        <x:v>1.2</x:v>
      </x:c>
      <x:c r="J616" s="274" t="n">
        <x:v>790</x:v>
      </x:c>
      <x:c r="K616" s="274" t="n">
        <x:v>470</x:v>
      </x:c>
      <x:c r="M616" s="274" t="s">
        <x:v>1409</x:v>
      </x:c>
      <x:c r="N616" s="274" t="s">
        <x:v>162</x:v>
      </x:c>
    </x:row>
    <x:row r="617" spans="1:14">
      <x:c r="A617" s="274" t="s">
        <x:v>1410</x:v>
      </x:c>
      <x:c r="B617" s="274" t="n">
        <x:v>7.79</x:v>
      </x:c>
      <x:c r="C617" s="274" t="n">
        <x:v>0</x:v>
      </x:c>
      <x:c r="D617" s="274" t="n">
        <x:v>0</x:v>
      </x:c>
      <x:c r="F617" s="274" t="s">
        <x:v>133</x:v>
      </x:c>
      <x:c r="G617" s="274" t="s">
        <x:v>134</x:v>
      </x:c>
      <x:c r="I617" s="274" t="n">
        <x:v>3.2</x:v>
      </x:c>
      <x:c r="J617" s="274" t="n">
        <x:v>278</x:v>
      </x:c>
      <x:c r="K617" s="274" t="n">
        <x:v>1115</x:v>
      </x:c>
      <x:c r="M617" s="274" t="s">
        <x:v>1411</x:v>
      </x:c>
      <x:c r="N617" s="274" t="s">
        <x:v>582</x:v>
      </x:c>
    </x:row>
    <x:row r="618" spans="1:14">
      <x:c r="A618" s="274" t="s">
        <x:v>1412</x:v>
      </x:c>
      <x:c r="B618" s="274" t="n">
        <x:v>40.54</x:v>
      </x:c>
      <x:c r="C618" s="274" t="n">
        <x:v>0</x:v>
      </x:c>
      <x:c r="D618" s="274" t="n">
        <x:v>0</x:v>
      </x:c>
      <x:c r="F618" s="274" t="s">
        <x:v>123</x:v>
      </x:c>
      <x:c r="G618" s="274" t="s">
        <x:v>864</x:v>
      </x:c>
      <x:c r="I618" s="274" t="n">
        <x:v>2.3</x:v>
      </x:c>
      <x:c r="J618" s="274" t="n">
        <x:v>1250</x:v>
      </x:c>
      <x:c r="K618" s="274" t="n">
        <x:v>1830</x:v>
      </x:c>
      <x:c r="M618" s="274" t="s">
        <x:v>1413</x:v>
      </x:c>
    </x:row>
    <x:row r="619" spans="1:14">
      <x:c r="A619" s="274" t="s">
        <x:v>1414</x:v>
      </x:c>
      <x:c r="B619" s="274" t="n">
        <x:v>0.93</x:v>
      </x:c>
      <x:c r="C619" s="274" t="n">
        <x:v>0</x:v>
      </x:c>
      <x:c r="D619" s="274" t="n">
        <x:v>0</x:v>
      </x:c>
      <x:c r="F619" s="274" t="s">
        <x:v>333</x:v>
      </x:c>
      <x:c r="G619" s="274" t="s">
        <x:v>209</x:v>
      </x:c>
      <x:c r="I619" s="274" t="n">
        <x:v>1.2</x:v>
      </x:c>
      <x:c r="J619" s="274" t="n">
        <x:v>90</x:v>
      </x:c>
      <x:c r="K619" s="274" t="n">
        <x:v>1100</x:v>
      </x:c>
      <x:c r="M619" s="274" t="s">
        <x:v>1415</x:v>
      </x:c>
      <x:c r="N619" s="274" t="s">
        <x:v>131</x:v>
      </x:c>
    </x:row>
    <x:row r="620" spans="1:14">
      <x:c r="A620" s="274" t="s">
        <x:v>1416</x:v>
      </x:c>
      <x:c r="B620" s="274" t="n">
        <x:v>1.54</x:v>
      </x:c>
      <x:c r="C620" s="274" t="n">
        <x:v>0</x:v>
      </x:c>
      <x:c r="D620" s="274" t="n">
        <x:v>0</x:v>
      </x:c>
      <x:c r="F620" s="274" t="s">
        <x:v>133</x:v>
      </x:c>
      <x:c r="G620" s="274" t="s">
        <x:v>148</x:v>
      </x:c>
      <x:c r="I620" s="274" t="n">
        <x:v>2.9</x:v>
      </x:c>
      <x:c r="J620" s="274" t="n">
        <x:v>144</x:v>
      </x:c>
      <x:c r="K620" s="274" t="n">
        <x:v>470</x:v>
      </x:c>
      <x:c r="M620" s="274" t="s">
        <x:v>1417</x:v>
      </x:c>
      <x:c r="N620" s="274" t="s">
        <x:v>582</x:v>
      </x:c>
    </x:row>
    <x:row r="621" spans="1:14">
      <x:c r="A621" s="274" t="s">
        <x:v>1418</x:v>
      </x:c>
      <x:c r="B621" s="274" t="n">
        <x:v>19.04</x:v>
      </x:c>
      <x:c r="C621" s="274" t="n">
        <x:v>0</x:v>
      </x:c>
      <x:c r="D621" s="274" t="n">
        <x:v>0</x:v>
      </x:c>
      <x:c r="E621" s="274" t="n">
        <x:v>0</x:v>
      </x:c>
      <x:c r="F621" s="274" t="s">
        <x:v>333</x:v>
      </x:c>
      <x:c r="G621" s="274" t="s">
        <x:v>473</x:v>
      </x:c>
      <x:c r="I621" s="274" t="n">
        <x:v>0.8</x:v>
      </x:c>
      <x:c r="J621" s="274" t="n">
        <x:v>1220</x:v>
      </x:c>
      <x:c r="K621" s="274" t="n">
        <x:v>2485</x:v>
      </x:c>
      <x:c r="M621" s="274" t="s">
        <x:v>1419</x:v>
      </x:c>
      <x:c r="N621" s="274" t="s">
        <x:v>299</x:v>
      </x:c>
    </x:row>
    <x:row r="622" spans="1:14">
      <x:c r="A622" s="274" t="s">
        <x:v>1420</x:v>
      </x:c>
      <x:c r="B622" s="274" t="n">
        <x:v>0.19</x:v>
      </x:c>
      <x:c r="C622" s="274" t="n">
        <x:v>0</x:v>
      </x:c>
      <x:c r="D622" s="274" t="n">
        <x:v>0</x:v>
      </x:c>
      <x:c r="F622" s="274" t="s">
        <x:v>123</x:v>
      </x:c>
      <x:c r="G622" s="274" t="s">
        <x:v>153</x:v>
      </x:c>
      <x:c r="I622" s="274" t="n">
        <x:v>1.4</x:v>
      </x:c>
      <x:c r="J622" s="274" t="n">
        <x:v>65</x:v>
      </x:c>
      <x:c r="K622" s="274" t="n">
        <x:v>262</x:v>
      </x:c>
      <x:c r="M622" s="274" t="s">
        <x:v>1421</x:v>
      </x:c>
      <x:c r="N622" s="274" t="s">
        <x:v>162</x:v>
      </x:c>
    </x:row>
    <x:row r="623" spans="1:14">
      <x:c r="A623" s="274" t="s">
        <x:v>1422</x:v>
      </x:c>
      <x:c r="B623" s="274" t="n">
        <x:v>1.99</x:v>
      </x:c>
      <x:c r="C623" s="274" t="n">
        <x:v>0</x:v>
      </x:c>
      <x:c r="D623" s="274" t="n">
        <x:v>0</x:v>
      </x:c>
      <x:c r="F623" s="274" t="s">
        <x:v>123</x:v>
      </x:c>
      <x:c r="G623" s="274" t="s">
        <x:v>124</x:v>
      </x:c>
      <x:c r="I623" s="274" t="n">
        <x:v>1.2</x:v>
      </x:c>
      <x:c r="J623" s="274" t="n">
        <x:v>172</x:v>
      </x:c>
      <x:c r="K623" s="274" t="n">
        <x:v>1230</x:v>
      </x:c>
      <x:c r="M623" s="274" t="s">
        <x:v>1423</x:v>
      </x:c>
      <x:c r="N623" s="274" t="s">
        <x:v>870</x:v>
      </x:c>
    </x:row>
    <x:row r="624" spans="1:14">
      <x:c r="A624" s="274" t="s">
        <x:v>1424</x:v>
      </x:c>
      <x:c r="B624" s="274" t="n">
        <x:v>3.8</x:v>
      </x:c>
      <x:c r="C624" s="274" t="n">
        <x:v>0</x:v>
      </x:c>
      <x:c r="D624" s="274" t="n">
        <x:v>0</x:v>
      </x:c>
      <x:c r="F624" s="274" t="s">
        <x:v>123</x:v>
      </x:c>
      <x:c r="G624" s="274" t="s">
        <x:v>209</x:v>
      </x:c>
      <x:c r="I624" s="274" t="n">
        <x:v>1</x:v>
      </x:c>
      <x:c r="J624" s="274" t="n">
        <x:v>387</x:v>
      </x:c>
      <x:c r="K624" s="274" t="n">
        <x:v>1250</x:v>
      </x:c>
      <x:c r="M624" s="274" t="s">
        <x:v>1425</x:v>
      </x:c>
      <x:c r="N624" s="274" t="s">
        <x:v>870</x:v>
      </x:c>
    </x:row>
    <x:row r="625" spans="1:14">
      <x:c r="A625" s="274" t="s">
        <x:v>1426</x:v>
      </x:c>
      <x:c r="B625" s="274" t="n">
        <x:v>0.72</x:v>
      </x:c>
      <x:c r="C625" s="274" t="n">
        <x:v>0</x:v>
      </x:c>
      <x:c r="D625" s="274" t="n">
        <x:v>0</x:v>
      </x:c>
      <x:c r="F625" s="274" t="s">
        <x:v>133</x:v>
      </x:c>
      <x:c r="G625" s="274" t="s">
        <x:v>136</x:v>
      </x:c>
      <x:c r="H625" s="274" t="n">
        <x:v>45</x:v>
      </x:c>
      <x:c r="I625" s="274" t="n">
        <x:v>1.6</x:v>
      </x:c>
      <x:c r="J625" s="274" t="n">
        <x:v>192</x:v>
      </x:c>
      <x:c r="K625" s="274" t="n">
        <x:v>297</x:v>
      </x:c>
      <x:c r="M625" s="274" t="s">
        <x:v>1235</x:v>
      </x:c>
      <x:c r="N625" s="274" t="s">
        <x:v>1236</x:v>
      </x:c>
    </x:row>
    <x:row r="626" spans="1:14">
      <x:c r="A626" s="274" t="s">
        <x:v>1427</x:v>
      </x:c>
      <x:c r="B626" s="274" t="n">
        <x:v>6.79</x:v>
      </x:c>
      <x:c r="C626" s="274" t="n">
        <x:v>0</x:v>
      </x:c>
      <x:c r="D626" s="274" t="n">
        <x:v>0</x:v>
      </x:c>
      <x:c r="E626" s="274" t="n">
        <x:v>0</x:v>
      </x:c>
      <x:c r="F626" s="274" t="s">
        <x:v>333</x:v>
      </x:c>
      <x:c r="G626" s="274" t="s">
        <x:v>473</x:v>
      </x:c>
      <x:c r="I626" s="274" t="n">
        <x:v>0.8</x:v>
      </x:c>
      <x:c r="J626" s="274" t="n">
        <x:v>1185</x:v>
      </x:c>
      <x:c r="K626" s="274" t="n">
        <x:v>466.3</x:v>
      </x:c>
      <x:c r="L626" s="274" t="n">
        <x:v>1357.7</x:v>
      </x:c>
      <x:c r="M626" s="274" t="s">
        <x:v>1428</x:v>
      </x:c>
      <x:c r="N626" s="274" t="s">
        <x:v>631</x:v>
      </x:c>
    </x:row>
    <x:row r="627" spans="1:14">
      <x:c r="A627" s="274" t="s">
        <x:v>1429</x:v>
      </x:c>
      <x:c r="B627" s="274" t="n">
        <x:v>6.79</x:v>
      </x:c>
      <x:c r="C627" s="274" t="n">
        <x:v>0</x:v>
      </x:c>
      <x:c r="D627" s="274" t="n">
        <x:v>0</x:v>
      </x:c>
      <x:c r="E627" s="274" t="n">
        <x:v>0</x:v>
      </x:c>
      <x:c r="F627" s="274" t="s">
        <x:v>333</x:v>
      </x:c>
      <x:c r="G627" s="274" t="s">
        <x:v>473</x:v>
      </x:c>
      <x:c r="I627" s="274" t="n">
        <x:v>0.8</x:v>
      </x:c>
      <x:c r="J627" s="274" t="n">
        <x:v>1185</x:v>
      </x:c>
      <x:c r="K627" s="274" t="n">
        <x:v>1357.7</x:v>
      </x:c>
      <x:c r="L627" s="274" t="n">
        <x:v>466.3</x:v>
      </x:c>
      <x:c r="M627" s="274" t="s">
        <x:v>1430</x:v>
      </x:c>
      <x:c r="N627" s="274" t="s">
        <x:v>631</x:v>
      </x:c>
    </x:row>
    <x:row r="628" spans="1:14">
      <x:c r="A628" s="274" t="s">
        <x:v>1431</x:v>
      </x:c>
      <x:c r="B628" s="274" t="n">
        <x:v>1.93</x:v>
      </x:c>
      <x:c r="C628" s="274" t="n">
        <x:v>0</x:v>
      </x:c>
      <x:c r="D628" s="274" t="n">
        <x:v>0</x:v>
      </x:c>
      <x:c r="F628" s="274" t="s">
        <x:v>333</x:v>
      </x:c>
      <x:c r="G628" s="274" t="s">
        <x:v>124</x:v>
      </x:c>
      <x:c r="I628" s="274" t="n">
        <x:v>1.4</x:v>
      </x:c>
      <x:c r="J628" s="274" t="n">
        <x:v>851</x:v>
      </x:c>
      <x:c r="K628" s="274" t="n">
        <x:v>206</x:v>
      </x:c>
      <x:c r="M628" s="274" t="s">
        <x:v>1432</x:v>
      </x:c>
      <x:c r="N628" s="274" t="s">
        <x:v>480</x:v>
      </x:c>
    </x:row>
    <x:row r="629" spans="1:14">
      <x:c r="A629" s="274" t="s">
        <x:v>1433</x:v>
      </x:c>
      <x:c r="B629" s="274" t="n">
        <x:v>2.93</x:v>
      </x:c>
      <x:c r="C629" s="274" t="n">
        <x:v>0</x:v>
      </x:c>
      <x:c r="D629" s="274" t="n">
        <x:v>0</x:v>
      </x:c>
      <x:c r="F629" s="274" t="s">
        <x:v>333</x:v>
      </x:c>
      <x:c r="G629" s="274" t="s">
        <x:v>153</x:v>
      </x:c>
      <x:c r="I629" s="274" t="n">
        <x:v>1.4</x:v>
      </x:c>
      <x:c r="J629" s="274" t="n">
        <x:v>300</x:v>
      </x:c>
      <x:c r="K629" s="274" t="n">
        <x:v>890</x:v>
      </x:c>
      <x:c r="M629" s="274" t="s">
        <x:v>1434</x:v>
      </x:c>
      <x:c r="N629" s="274" t="s">
        <x:v>893</x:v>
      </x:c>
    </x:row>
    <x:row r="630" spans="1:14">
      <x:c r="A630" s="274" t="s">
        <x:v>1435</x:v>
      </x:c>
      <x:c r="B630" s="274" t="n">
        <x:v>0.27</x:v>
      </x:c>
      <x:c r="C630" s="274" t="n">
        <x:v>0</x:v>
      </x:c>
      <x:c r="D630" s="274" t="n">
        <x:v>0</x:v>
      </x:c>
      <x:c r="F630" s="274" t="s">
        <x:v>333</x:v>
      </x:c>
      <x:c r="G630" s="274" t="s">
        <x:v>153</x:v>
      </x:c>
      <x:c r="I630" s="274" t="n">
        <x:v>1</x:v>
      </x:c>
      <x:c r="J630" s="274" t="n">
        <x:v>175</x:v>
      </x:c>
      <x:c r="K630" s="274" t="n">
        <x:v>197</x:v>
      </x:c>
      <x:c r="M630" s="274" t="s">
        <x:v>1436</x:v>
      </x:c>
      <x:c r="N630" s="274" t="s">
        <x:v>1437</x:v>
      </x:c>
    </x:row>
    <x:row r="631" spans="1:14">
      <x:c r="A631" s="274" t="s">
        <x:v>1438</x:v>
      </x:c>
      <x:c r="B631" s="274" t="n">
        <x:v>1.22</x:v>
      </x:c>
      <x:c r="C631" s="274" t="n">
        <x:v>22</x:v>
      </x:c>
      <x:c r="D631" s="274" t="n">
        <x:v>35</x:v>
      </x:c>
      <x:c r="E631" s="274" t="n">
        <x:v>33</x:v>
      </x:c>
      <x:c r="F631" s="274" t="s">
        <x:v>333</x:v>
      </x:c>
      <x:c r="G631" s="274" t="s">
        <x:v>124</x:v>
      </x:c>
      <x:c r="I631" s="274" t="n">
        <x:v>1.2</x:v>
      </x:c>
      <x:c r="J631" s="274" t="n">
        <x:v>223</x:v>
      </x:c>
      <x:c r="K631" s="274" t="n">
        <x:v>580</x:v>
      </x:c>
      <x:c r="M631" s="274" t="s">
        <x:v>639</x:v>
      </x:c>
      <x:c r="N631" s="274" t="s">
        <x:v>299</x:v>
      </x:c>
    </x:row>
    <x:row r="632" spans="1:14">
      <x:c r="A632" s="274" t="s">
        <x:v>1439</x:v>
      </x:c>
      <x:c r="B632" s="274" t="n">
        <x:v>0.61</x:v>
      </x:c>
      <x:c r="C632" s="274" t="n">
        <x:v>0</x:v>
      </x:c>
      <x:c r="D632" s="274" t="n">
        <x:v>35</x:v>
      </x:c>
      <x:c r="E632" s="274" t="n">
        <x:v>33</x:v>
      </x:c>
      <x:c r="F632" s="274" t="s">
        <x:v>133</x:v>
      </x:c>
      <x:c r="G632" s="274" t="s">
        <x:v>148</x:v>
      </x:c>
      <x:c r="I632" s="274" t="n">
        <x:v>2.9</x:v>
      </x:c>
      <x:c r="J632" s="274" t="n">
        <x:v>135</x:v>
      </x:c>
      <x:c r="K632" s="274" t="n">
        <x:v>200</x:v>
      </x:c>
      <x:c r="M632" s="274" t="s">
        <x:v>1440</x:v>
      </x:c>
      <x:c r="N632" s="274" t="s">
        <x:v>155</x:v>
      </x:c>
    </x:row>
    <x:row r="633" spans="1:14">
      <x:c r="A633" s="274" t="s">
        <x:v>1441</x:v>
      </x:c>
      <x:c r="B633" s="274" t="n">
        <x:v>0.26</x:v>
      </x:c>
      <x:c r="C633" s="274" t="n">
        <x:v>35</x:v>
      </x:c>
      <x:c r="D633" s="274" t="n">
        <x:v>35</x:v>
      </x:c>
      <x:c r="E633" s="274" t="n">
        <x:v>33</x:v>
      </x:c>
      <x:c r="F633" s="274" t="s">
        <x:v>333</x:v>
      </x:c>
      <x:c r="G633" s="274" t="s">
        <x:v>153</x:v>
      </x:c>
      <x:c r="I633" s="274" t="n">
        <x:v>1.6</x:v>
      </x:c>
      <x:c r="J633" s="274" t="n">
        <x:v>130</x:v>
      </x:c>
      <x:c r="K633" s="274" t="n">
        <x:v>160</x:v>
      </x:c>
      <x:c r="M633" s="274" t="s">
        <x:v>1442</x:v>
      </x:c>
      <x:c r="N633" s="274" t="s">
        <x:v>131</x:v>
      </x:c>
    </x:row>
    <x:row r="634" spans="1:14">
      <x:c r="A634" s="274" t="s">
        <x:v>1443</x:v>
      </x:c>
      <x:c r="B634" s="274" t="n">
        <x:v>1.63</x:v>
      </x:c>
      <x:c r="C634" s="274" t="n">
        <x:v>0</x:v>
      </x:c>
      <x:c r="D634" s="274" t="n">
        <x:v>0</x:v>
      </x:c>
      <x:c r="F634" s="274" t="s">
        <x:v>133</x:v>
      </x:c>
      <x:c r="G634" s="274" t="s">
        <x:v>148</x:v>
      </x:c>
      <x:c r="I634" s="274" t="n">
        <x:v>2.6</x:v>
      </x:c>
      <x:c r="J634" s="274" t="n">
        <x:v>135</x:v>
      </x:c>
      <x:c r="K634" s="274" t="n">
        <x:v>590</x:v>
      </x:c>
      <x:c r="M634" s="274" t="s">
        <x:v>1444</x:v>
      </x:c>
      <x:c r="N634" s="274" t="s">
        <x:v>1182</x:v>
      </x:c>
    </x:row>
    <x:row r="635" spans="1:14">
      <x:c r="A635" s="274" t="s">
        <x:v>1445</x:v>
      </x:c>
      <x:c r="B635" s="274" t="n">
        <x:v>3.38</x:v>
      </x:c>
      <x:c r="C635" s="274" t="n">
        <x:v>0</x:v>
      </x:c>
      <x:c r="D635" s="274" t="n">
        <x:v>0</x:v>
      </x:c>
      <x:c r="F635" s="274" t="s">
        <x:v>133</x:v>
      </x:c>
      <x:c r="G635" s="274" t="s">
        <x:v>134</x:v>
      </x:c>
      <x:c r="I635" s="274" t="n">
        <x:v>1.6</x:v>
      </x:c>
      <x:c r="J635" s="274" t="n">
        <x:v>234</x:v>
      </x:c>
      <x:c r="K635" s="274" t="n">
        <x:v>1150</x:v>
      </x:c>
      <x:c r="M635" s="274" t="s">
        <x:v>1446</x:v>
      </x:c>
      <x:c r="N635" s="274" t="s">
        <x:v>162</x:v>
      </x:c>
    </x:row>
    <x:row r="636" spans="1:14">
      <x:c r="A636" s="274" t="s">
        <x:v>1447</x:v>
      </x:c>
      <x:c r="B636" s="274" t="n">
        <x:v>2.03</x:v>
      </x:c>
      <x:c r="C636" s="274" t="n">
        <x:v>0</x:v>
      </x:c>
      <x:c r="D636" s="274" t="n">
        <x:v>0</x:v>
      </x:c>
      <x:c r="F636" s="274" t="s">
        <x:v>123</x:v>
      </x:c>
      <x:c r="G636" s="274" t="s">
        <x:v>209</x:v>
      </x:c>
      <x:c r="I636" s="274" t="n">
        <x:v>1.2</x:v>
      </x:c>
      <x:c r="J636" s="274" t="n">
        <x:v>178</x:v>
      </x:c>
      <x:c r="K636" s="274" t="n">
        <x:v>1210</x:v>
      </x:c>
      <x:c r="M636" s="274" t="s">
        <x:v>1448</x:v>
      </x:c>
      <x:c r="N636" s="274" t="s">
        <x:v>131</x:v>
      </x:c>
    </x:row>
    <x:row r="637" spans="1:14">
      <x:c r="A637" s="274" t="s">
        <x:v>1449</x:v>
      </x:c>
      <x:c r="B637" s="274" t="n">
        <x:v>1.1</x:v>
      </x:c>
      <x:c r="C637" s="274" t="n">
        <x:v>0</x:v>
      </x:c>
      <x:c r="D637" s="274" t="n">
        <x:v>0</x:v>
      </x:c>
      <x:c r="F637" s="274" t="s">
        <x:v>133</x:v>
      </x:c>
      <x:c r="G637" s="274" t="s">
        <x:v>148</x:v>
      </x:c>
      <x:c r="I637" s="274" t="n">
        <x:v>2.3</x:v>
      </x:c>
      <x:c r="J637" s="274" t="n">
        <x:v>132</x:v>
      </x:c>
      <x:c r="K637" s="274" t="n">
        <x:v>460</x:v>
      </x:c>
      <x:c r="M637" s="274" t="s">
        <x:v>1450</x:v>
      </x:c>
      <x:c r="N637" s="274" t="s">
        <x:v>582</x:v>
      </x:c>
    </x:row>
    <x:row r="638" spans="1:14">
      <x:c r="A638" s="274" t="s">
        <x:v>1451</x:v>
      </x:c>
      <x:c r="B638" s="274" t="n">
        <x:v>2.32</x:v>
      </x:c>
      <x:c r="C638" s="274" t="n">
        <x:v>0</x:v>
      </x:c>
      <x:c r="D638" s="274" t="n">
        <x:v>50</x:v>
      </x:c>
      <x:c r="E638" s="274" t="n">
        <x:v>40</x:v>
      </x:c>
      <x:c r="F638" s="274" t="s">
        <x:v>184</x:v>
      </x:c>
      <x:c r="G638" s="274" t="s">
        <x:v>144</x:v>
      </x:c>
      <x:c r="H638" s="274" t="n">
        <x:v>45</x:v>
      </x:c>
      <x:c r="I638" s="274" t="n">
        <x:v>0.9</x:v>
      </x:c>
      <x:c r="J638" s="274" t="n">
        <x:v>885</x:v>
      </x:c>
      <x:c r="K638" s="274" t="n">
        <x:v>366</x:v>
      </x:c>
      <x:c r="M638" s="274" t="s">
        <x:v>1452</x:v>
      </x:c>
      <x:c r="N638" s="274" t="s">
        <x:v>299</x:v>
      </x:c>
    </x:row>
    <x:row r="639" spans="1:14">
      <x:c r="A639" s="274" t="s">
        <x:v>1453</x:v>
      </x:c>
      <x:c r="B639" s="274" t="n">
        <x:v>0.12</x:v>
      </x:c>
      <x:c r="C639" s="274" t="n">
        <x:v>0</x:v>
      </x:c>
      <x:c r="D639" s="274" t="n">
        <x:v>0</x:v>
      </x:c>
      <x:c r="F639" s="274" t="s">
        <x:v>133</x:v>
      </x:c>
      <x:c r="G639" s="274" t="s">
        <x:v>148</x:v>
      </x:c>
      <x:c r="I639" s="274" t="n">
        <x:v>2.6</x:v>
      </x:c>
      <x:c r="J639" s="274" t="n">
        <x:v>95</x:v>
      </x:c>
      <x:c r="K639" s="274" t="n">
        <x:v>62</x:v>
      </x:c>
      <x:c r="M639" s="274" t="s">
        <x:v>1454</x:v>
      </x:c>
      <x:c r="N639" s="274" t="s">
        <x:v>131</x:v>
      </x:c>
    </x:row>
    <x:row r="640" spans="1:14">
      <x:c r="A640" s="274" t="s">
        <x:v>1455</x:v>
      </x:c>
      <x:c r="B640" s="274" t="n">
        <x:v>1.2</x:v>
      </x:c>
      <x:c r="C640" s="274" t="n">
        <x:v>0</x:v>
      </x:c>
      <x:c r="D640" s="274" t="n">
        <x:v>35</x:v>
      </x:c>
      <x:c r="E640" s="274" t="n">
        <x:v>33</x:v>
      </x:c>
      <x:c r="F640" s="274" t="s">
        <x:v>128</x:v>
      </x:c>
      <x:c r="G640" s="274" t="s">
        <x:v>437</x:v>
      </x:c>
      <x:c r="I640" s="274" t="n">
        <x:v>2</x:v>
      </x:c>
      <x:c r="J640" s="274" t="n">
        <x:v>305</x:v>
      </x:c>
      <x:c r="K640" s="274" t="n">
        <x:v>250</x:v>
      </x:c>
      <x:c r="M640" s="274" t="s">
        <x:v>1456</x:v>
      </x:c>
      <x:c r="N640" s="274" t="s">
        <x:v>155</x:v>
      </x:c>
    </x:row>
    <x:row r="641" spans="1:14">
      <x:c r="A641" s="274" t="s">
        <x:v>1457</x:v>
      </x:c>
      <x:c r="B641" s="274" t="n">
        <x:v>1.54</x:v>
      </x:c>
      <x:c r="C641" s="274" t="n">
        <x:v>0</x:v>
      </x:c>
      <x:c r="D641" s="274" t="n">
        <x:v>0</x:v>
      </x:c>
      <x:c r="F641" s="274" t="s">
        <x:v>333</x:v>
      </x:c>
      <x:c r="G641" s="274" t="s">
        <x:v>209</x:v>
      </x:c>
      <x:c r="I641" s="274" t="n">
        <x:v>0.8</x:v>
      </x:c>
      <x:c r="J641" s="274" t="n">
        <x:v>410</x:v>
      </x:c>
      <x:c r="K641" s="274" t="n">
        <x:v>600</x:v>
      </x:c>
      <x:c r="M641" s="274" t="s">
        <x:v>795</x:v>
      </x:c>
      <x:c r="N641" s="274" t="s">
        <x:v>126</x:v>
      </x:c>
    </x:row>
    <x:row r="642" spans="1:14">
      <x:c r="A642" s="274" t="s">
        <x:v>1458</x:v>
      </x:c>
      <x:c r="B642" s="274" t="n">
        <x:v>0.82</x:v>
      </x:c>
      <x:c r="C642" s="274" t="n">
        <x:v>0</x:v>
      </x:c>
      <x:c r="D642" s="274" t="n">
        <x:v>35</x:v>
      </x:c>
      <x:c r="E642" s="274" t="n">
        <x:v>33</x:v>
      </x:c>
      <x:c r="F642" s="274" t="s">
        <x:v>133</x:v>
      </x:c>
      <x:c r="G642" s="274" t="s">
        <x:v>136</x:v>
      </x:c>
      <x:c r="H642" s="274" t="n">
        <x:v>45</x:v>
      </x:c>
      <x:c r="I642" s="274" t="n">
        <x:v>0.8</x:v>
      </x:c>
      <x:c r="J642" s="274" t="n">
        <x:v>438</x:v>
      </x:c>
      <x:c r="K642" s="274" t="n">
        <x:v>295</x:v>
      </x:c>
      <x:c r="M642" s="274" t="s">
        <x:v>884</x:v>
      </x:c>
      <x:c r="N642" s="274" t="s">
        <x:v>155</x:v>
      </x:c>
    </x:row>
    <x:row r="643" spans="1:14">
      <x:c r="A643" s="274" t="s">
        <x:v>1459</x:v>
      </x:c>
      <x:c r="B643" s="274" t="n">
        <x:v>0.6</x:v>
      </x:c>
      <x:c r="C643" s="274" t="n">
        <x:v>0</x:v>
      </x:c>
      <x:c r="D643" s="274" t="n">
        <x:v>35</x:v>
      </x:c>
      <x:c r="E643" s="274" t="n">
        <x:v>33</x:v>
      </x:c>
      <x:c r="F643" s="274" t="s">
        <x:v>133</x:v>
      </x:c>
      <x:c r="G643" s="274" t="s">
        <x:v>148</x:v>
      </x:c>
      <x:c r="I643" s="274" t="n">
        <x:v>2.9</x:v>
      </x:c>
      <x:c r="J643" s="274" t="n">
        <x:v>175</x:v>
      </x:c>
      <x:c r="K643" s="274" t="n">
        <x:v>150</x:v>
      </x:c>
      <x:c r="M643" s="274" t="s">
        <x:v>1460</x:v>
      </x:c>
      <x:c r="N643" s="274" t="s">
        <x:v>155</x:v>
      </x:c>
    </x:row>
    <x:row r="644" spans="1:14">
      <x:c r="A644" s="274" t="s">
        <x:v>1461</x:v>
      </x:c>
      <x:c r="B644" s="274" t="n">
        <x:v>2.49</x:v>
      </x:c>
      <x:c r="C644" s="274" t="n">
        <x:v>0</x:v>
      </x:c>
      <x:c r="D644" s="274" t="n">
        <x:v>0</x:v>
      </x:c>
      <x:c r="F644" s="274" t="s">
        <x:v>333</x:v>
      </x:c>
      <x:c r="G644" s="274" t="s">
        <x:v>153</x:v>
      </x:c>
      <x:c r="I644" s="274" t="n">
        <x:v>1.2</x:v>
      </x:c>
      <x:c r="J644" s="274" t="n">
        <x:v>330</x:v>
      </x:c>
      <x:c r="K644" s="274" t="n">
        <x:v>800</x:v>
      </x:c>
      <x:c r="M644" s="274" t="s">
        <x:v>1462</x:v>
      </x:c>
      <x:c r="N644" s="274" t="s">
        <x:v>582</x:v>
      </x:c>
    </x:row>
    <x:row r="645" spans="1:14">
      <x:c r="A645" s="274" t="s">
        <x:v>1463</x:v>
      </x:c>
      <x:c r="B645" s="274" t="n">
        <x:v>0.69</x:v>
      </x:c>
      <x:c r="C645" s="274" t="n">
        <x:v>0</x:v>
      </x:c>
      <x:c r="D645" s="274" t="n">
        <x:v>35</x:v>
      </x:c>
      <x:c r="E645" s="274" t="n">
        <x:v>33</x:v>
      </x:c>
      <x:c r="F645" s="274" t="s">
        <x:v>333</x:v>
      </x:c>
      <x:c r="G645" s="274" t="s">
        <x:v>153</x:v>
      </x:c>
      <x:c r="I645" s="274" t="n">
        <x:v>0.8</x:v>
      </x:c>
      <x:c r="J645" s="274" t="n">
        <x:v>460</x:v>
      </x:c>
      <x:c r="K645" s="274" t="n">
        <x:v>240</x:v>
      </x:c>
      <x:c r="M645" s="274" t="s">
        <x:v>778</x:v>
      </x:c>
      <x:c r="N645" s="274" t="s">
        <x:v>155</x:v>
      </x:c>
    </x:row>
    <x:row r="646" spans="1:14">
      <x:c r="A646" s="274" t="s">
        <x:v>1464</x:v>
      </x:c>
      <x:c r="B646" s="274" t="n">
        <x:v>0.18</x:v>
      </x:c>
      <x:c r="C646" s="274" t="n">
        <x:v>35</x:v>
      </x:c>
      <x:c r="D646" s="274" t="n">
        <x:v>35</x:v>
      </x:c>
      <x:c r="E646" s="274" t="n">
        <x:v>33</x:v>
      </x:c>
      <x:c r="F646" s="274" t="s">
        <x:v>333</x:v>
      </x:c>
      <x:c r="G646" s="274" t="s">
        <x:v>153</x:v>
      </x:c>
      <x:c r="I646" s="274" t="n">
        <x:v>1.4</x:v>
      </x:c>
      <x:c r="J646" s="274" t="n">
        <x:v>140</x:v>
      </x:c>
      <x:c r="K646" s="274" t="n">
        <x:v>120</x:v>
      </x:c>
      <x:c r="M646" s="274" t="s">
        <x:v>705</x:v>
      </x:c>
    </x:row>
    <x:row r="647" spans="1:14">
      <x:c r="A647" s="274" t="s">
        <x:v>1465</x:v>
      </x:c>
      <x:c r="B647" s="274" t="n">
        <x:v>1.33</x:v>
      </x:c>
      <x:c r="C647" s="274" t="n">
        <x:v>0</x:v>
      </x:c>
      <x:c r="D647" s="274" t="n">
        <x:v>0</x:v>
      </x:c>
      <x:c r="F647" s="274" t="s">
        <x:v>133</x:v>
      </x:c>
      <x:c r="G647" s="274" t="s">
        <x:v>144</x:v>
      </x:c>
      <x:c r="H647" s="274" t="n">
        <x:v>45</x:v>
      </x:c>
      <x:c r="I647" s="274" t="n">
        <x:v>1.4</x:v>
      </x:c>
      <x:c r="J647" s="274" t="n">
        <x:v>890</x:v>
      </x:c>
      <x:c r="K647" s="274" t="n">
        <x:v>135</x:v>
      </x:c>
      <x:c r="M647" s="274" t="s">
        <x:v>1466</x:v>
      </x:c>
      <x:c r="N647" s="274" t="s">
        <x:v>131</x:v>
      </x:c>
    </x:row>
    <x:row r="648" spans="1:14">
      <x:c r="A648" s="274" t="s">
        <x:v>1467</x:v>
      </x:c>
      <x:c r="B648" s="274" t="n">
        <x:v>1.43</x:v>
      </x:c>
      <x:c r="C648" s="274" t="n">
        <x:v>0</x:v>
      </x:c>
      <x:c r="D648" s="274" t="n">
        <x:v>0</x:v>
      </x:c>
      <x:c r="F648" s="274" t="s">
        <x:v>333</x:v>
      </x:c>
      <x:c r="G648" s="274" t="s">
        <x:v>153</x:v>
      </x:c>
      <x:c r="I648" s="274" t="n">
        <x:v>1.2</x:v>
      </x:c>
      <x:c r="J648" s="274" t="n">
        <x:v>320</x:v>
      </x:c>
      <x:c r="K648" s="274" t="n">
        <x:v>475</x:v>
      </x:c>
      <x:c r="M648" s="274" t="s">
        <x:v>1468</x:v>
      </x:c>
      <x:c r="N648" s="274" t="s">
        <x:v>582</x:v>
      </x:c>
    </x:row>
    <x:row r="649" spans="1:14">
      <x:c r="A649" s="274" t="s">
        <x:v>1469</x:v>
      </x:c>
      <x:c r="B649" s="274" t="n">
        <x:v>5.08</x:v>
      </x:c>
      <x:c r="C649" s="274" t="n">
        <x:v>0</x:v>
      </x:c>
      <x:c r="D649" s="274" t="n">
        <x:v>0</x:v>
      </x:c>
      <x:c r="F649" s="274" t="s">
        <x:v>133</x:v>
      </x:c>
      <x:c r="G649" s="274" t="s">
        <x:v>134</x:v>
      </x:c>
      <x:c r="I649" s="274" t="n">
        <x:v>3.2</x:v>
      </x:c>
      <x:c r="J649" s="274" t="n">
        <x:v>327</x:v>
      </x:c>
      <x:c r="K649" s="274" t="n">
        <x:v>619</x:v>
      </x:c>
      <x:c r="M649" s="274" t="s">
        <x:v>1470</x:v>
      </x:c>
      <x:c r="N649" s="274" t="s">
        <x:v>155</x:v>
      </x:c>
    </x:row>
    <x:row r="650" spans="1:14">
      <x:c r="A650" s="274" t="s">
        <x:v>1471</x:v>
      </x:c>
      <x:c r="B650" s="274" t="n">
        <x:v>2.51</x:v>
      </x:c>
      <x:c r="C650" s="274" t="n">
        <x:v>0</x:v>
      </x:c>
      <x:c r="D650" s="274" t="n">
        <x:v>0</x:v>
      </x:c>
      <x:c r="F650" s="274" t="s">
        <x:v>333</x:v>
      </x:c>
      <x:c r="G650" s="274" t="s">
        <x:v>153</x:v>
      </x:c>
      <x:c r="I650" s="274" t="n">
        <x:v>0.7</x:v>
      </x:c>
      <x:c r="J650" s="274" t="n">
        <x:v>300</x:v>
      </x:c>
      <x:c r="K650" s="274" t="n">
        <x:v>1520</x:v>
      </x:c>
      <x:c r="M650" s="274" t="s">
        <x:v>1472</x:v>
      </x:c>
      <x:c r="N650" s="274" t="s">
        <x:v>126</x:v>
      </x:c>
    </x:row>
    <x:row r="651" spans="1:14">
      <x:c r="A651" s="274" t="s">
        <x:v>1473</x:v>
      </x:c>
      <x:c r="B651" s="274" t="n">
        <x:v>1.15</x:v>
      </x:c>
      <x:c r="C651" s="274" t="n">
        <x:v>0</x:v>
      </x:c>
      <x:c r="D651" s="274" t="n">
        <x:v>0</x:v>
      </x:c>
      <x:c r="F651" s="274" t="s">
        <x:v>333</x:v>
      </x:c>
      <x:c r="G651" s="274" t="s">
        <x:v>153</x:v>
      </x:c>
      <x:c r="I651" s="274" t="n">
        <x:v>1.2</x:v>
      </x:c>
      <x:c r="J651" s="274" t="n">
        <x:v>1225</x:v>
      </x:c>
      <x:c r="K651" s="274" t="n">
        <x:v>100</x:v>
      </x:c>
      <x:c r="M651" s="274" t="s">
        <x:v>1474</x:v>
      </x:c>
      <x:c r="N651" s="274" t="s">
        <x:v>299</x:v>
      </x:c>
    </x:row>
    <x:row r="652" spans="1:14">
      <x:c r="A652" s="274" t="s">
        <x:v>1475</x:v>
      </x:c>
      <x:c r="B652" s="274" t="n">
        <x:v>0.31</x:v>
      </x:c>
      <x:c r="C652" s="274" t="n">
        <x:v>0</x:v>
      </x:c>
      <x:c r="D652" s="274" t="n">
        <x:v>0</x:v>
      </x:c>
      <x:c r="F652" s="274" t="s">
        <x:v>133</x:v>
      </x:c>
      <x:c r="G652" s="274" t="s">
        <x:v>136</x:v>
      </x:c>
      <x:c r="H652" s="274" t="n">
        <x:v>45</x:v>
      </x:c>
      <x:c r="I652" s="274" t="n">
        <x:v>1.2</x:v>
      </x:c>
      <x:c r="J652" s="274" t="n">
        <x:v>156</x:v>
      </x:c>
      <x:c r="K652" s="274" t="n">
        <x:v>210</x:v>
      </x:c>
      <x:c r="M652" s="274" t="s">
        <x:v>1476</x:v>
      </x:c>
      <x:c r="N652" s="274" t="s">
        <x:v>299</x:v>
      </x:c>
    </x:row>
    <x:row r="653" spans="1:14">
      <x:c r="A653" s="274" t="s">
        <x:v>1477</x:v>
      </x:c>
      <x:c r="B653" s="274" t="n">
        <x:v>1.79</x:v>
      </x:c>
      <x:c r="C653" s="274" t="n">
        <x:v>0</x:v>
      </x:c>
      <x:c r="D653" s="274" t="n">
        <x:v>0</x:v>
      </x:c>
      <x:c r="F653" s="274" t="s">
        <x:v>133</x:v>
      </x:c>
      <x:c r="G653" s="274" t="s">
        <x:v>134</x:v>
      </x:c>
      <x:c r="I653" s="274" t="n">
        <x:v>3.8</x:v>
      </x:c>
      <x:c r="J653" s="274" t="n">
        <x:v>136</x:v>
      </x:c>
      <x:c r="K653" s="274" t="n">
        <x:v>442</x:v>
      </x:c>
      <x:c r="M653" s="274" t="s">
        <x:v>1478</x:v>
      </x:c>
      <x:c r="N653" s="274" t="s">
        <x:v>299</x:v>
      </x:c>
    </x:row>
    <x:row r="654" spans="1:14">
      <x:c r="A654" s="274" t="s">
        <x:v>1479</x:v>
      </x:c>
      <x:c r="B654" s="274" t="n">
        <x:v>0.66</x:v>
      </x:c>
      <x:c r="C654" s="274" t="n">
        <x:v>0</x:v>
      </x:c>
      <x:c r="D654" s="274" t="n">
        <x:v>0</x:v>
      </x:c>
      <x:c r="F654" s="274" t="s">
        <x:v>133</x:v>
      </x:c>
      <x:c r="G654" s="274" t="s">
        <x:v>148</x:v>
      </x:c>
      <x:c r="I654" s="274" t="n">
        <x:v>3.2</x:v>
      </x:c>
      <x:c r="J654" s="274" t="n">
        <x:v>418</x:v>
      </x:c>
      <x:c r="K654" s="274" t="n">
        <x:v>62.5</x:v>
      </x:c>
      <x:c r="M654" s="274" t="s">
        <x:v>1480</x:v>
      </x:c>
      <x:c r="N654" s="274" t="s">
        <x:v>131</x:v>
      </x:c>
    </x:row>
    <x:row r="655" spans="1:14">
      <x:c r="A655" s="274" t="s">
        <x:v>1481</x:v>
      </x:c>
      <x:c r="B655" s="274" t="n">
        <x:v>1.21</x:v>
      </x:c>
      <x:c r="C655" s="274" t="n">
        <x:v>0</x:v>
      </x:c>
      <x:c r="D655" s="274" t="n">
        <x:v>35</x:v>
      </x:c>
      <x:c r="E655" s="274" t="n">
        <x:v>33</x:v>
      </x:c>
      <x:c r="F655" s="274" t="s">
        <x:v>133</x:v>
      </x:c>
      <x:c r="G655" s="274" t="s">
        <x:v>148</x:v>
      </x:c>
      <x:c r="I655" s="274" t="n">
        <x:v>2.6</x:v>
      </x:c>
      <x:c r="J655" s="274" t="n">
        <x:v>212</x:v>
      </x:c>
      <x:c r="K655" s="274" t="n">
        <x:v>280</x:v>
      </x:c>
      <x:c r="M655" s="274" t="s">
        <x:v>1482</x:v>
      </x:c>
      <x:c r="N655" s="274" t="s">
        <x:v>131</x:v>
      </x:c>
    </x:row>
    <x:row r="656" spans="1:14">
      <x:c r="A656" s="274" t="s">
        <x:v>1483</x:v>
      </x:c>
      <x:c r="B656" s="274" t="n">
        <x:v>1.16</x:v>
      </x:c>
      <x:c r="C656" s="274" t="n">
        <x:v>0</x:v>
      </x:c>
      <x:c r="D656" s="274" t="n">
        <x:v>35</x:v>
      </x:c>
      <x:c r="E656" s="274" t="n">
        <x:v>33</x:v>
      </x:c>
      <x:c r="F656" s="274" t="s">
        <x:v>133</x:v>
      </x:c>
      <x:c r="G656" s="274" t="s">
        <x:v>148</x:v>
      </x:c>
      <x:c r="I656" s="274" t="n">
        <x:v>2.6</x:v>
      </x:c>
      <x:c r="J656" s="274" t="n">
        <x:v>210</x:v>
      </x:c>
      <x:c r="K656" s="274" t="n">
        <x:v>270</x:v>
      </x:c>
      <x:c r="M656" s="274" t="s">
        <x:v>1484</x:v>
      </x:c>
      <x:c r="N656" s="274" t="s">
        <x:v>131</x:v>
      </x:c>
    </x:row>
    <x:row r="657" spans="1:14">
      <x:c r="A657" s="274" t="s">
        <x:v>1485</x:v>
      </x:c>
      <x:c r="B657" s="274" t="n">
        <x:v>0.64</x:v>
      </x:c>
      <x:c r="C657" s="274" t="n">
        <x:v>0</x:v>
      </x:c>
      <x:c r="D657" s="274" t="n">
        <x:v>0</x:v>
      </x:c>
      <x:c r="F657" s="274" t="s">
        <x:v>133</x:v>
      </x:c>
      <x:c r="G657" s="274" t="s">
        <x:v>134</x:v>
      </x:c>
      <x:c r="I657" s="274" t="n">
        <x:v>2.3</x:v>
      </x:c>
      <x:c r="J657" s="274" t="n">
        <x:v>100</x:v>
      </x:c>
      <x:c r="K657" s="274" t="n">
        <x:v>353</x:v>
      </x:c>
      <x:c r="M657" s="274" t="s">
        <x:v>1486</x:v>
      </x:c>
      <x:c r="N657" s="274" t="s">
        <x:v>126</x:v>
      </x:c>
    </x:row>
    <x:row r="658" spans="1:14">
      <x:c r="A658" s="274" t="s">
        <x:v>1487</x:v>
      </x:c>
      <x:c r="B658" s="274" t="n">
        <x:v>0.62</x:v>
      </x:c>
      <x:c r="C658" s="274" t="n">
        <x:v>0</x:v>
      </x:c>
      <x:c r="D658" s="274" t="n">
        <x:v>0</x:v>
      </x:c>
      <x:c r="F658" s="274" t="s">
        <x:v>333</x:v>
      </x:c>
      <x:c r="G658" s="274" t="s">
        <x:v>153</x:v>
      </x:c>
      <x:c r="I658" s="274" t="n">
        <x:v>1.4</x:v>
      </x:c>
      <x:c r="J658" s="274" t="n">
        <x:v>150</x:v>
      </x:c>
      <x:c r="K658" s="274" t="n">
        <x:v>374</x:v>
      </x:c>
      <x:c r="M658" s="274" t="s">
        <x:v>1488</x:v>
      </x:c>
      <x:c r="N658" s="274" t="s">
        <x:v>126</x:v>
      </x:c>
    </x:row>
    <x:row r="659" spans="1:14">
      <x:c r="A659" s="274" t="s">
        <x:v>1489</x:v>
      </x:c>
      <x:c r="B659" s="274" t="n">
        <x:v>1.4</x:v>
      </x:c>
      <x:c r="C659" s="274" t="n">
        <x:v>0</x:v>
      </x:c>
      <x:c r="D659" s="274" t="n">
        <x:v>0</x:v>
      </x:c>
      <x:c r="F659" s="274" t="s">
        <x:v>133</x:v>
      </x:c>
      <x:c r="G659" s="274" t="s">
        <x:v>134</x:v>
      </x:c>
      <x:c r="I659" s="274" t="n">
        <x:v>2.3</x:v>
      </x:c>
      <x:c r="J659" s="274" t="n">
        <x:v>130</x:v>
      </x:c>
      <x:c r="K659" s="274" t="n">
        <x:v>600</x:v>
      </x:c>
      <x:c r="M659" s="274" t="s">
        <x:v>1490</x:v>
      </x:c>
      <x:c r="N659" s="274" t="s">
        <x:v>126</x:v>
      </x:c>
    </x:row>
    <x:row r="660" spans="1:14">
      <x:c r="A660" s="274" t="s">
        <x:v>1491</x:v>
      </x:c>
      <x:c r="B660" s="274" t="n">
        <x:v>1.11</x:v>
      </x:c>
      <x:c r="C660" s="274" t="n">
        <x:v>0</x:v>
      </x:c>
      <x:c r="D660" s="274" t="n">
        <x:v>0</x:v>
      </x:c>
      <x:c r="F660" s="274" t="s">
        <x:v>333</x:v>
      </x:c>
      <x:c r="G660" s="274" t="s">
        <x:v>153</x:v>
      </x:c>
      <x:c r="I660" s="274" t="n">
        <x:v>1.2</x:v>
      </x:c>
      <x:c r="J660" s="274" t="n">
        <x:v>267</x:v>
      </x:c>
      <x:c r="K660" s="274" t="n">
        <x:v>440</x:v>
      </x:c>
      <x:c r="M660" s="274" t="s">
        <x:v>1492</x:v>
      </x:c>
      <x:c r="N660" s="274" t="s">
        <x:v>155</x:v>
      </x:c>
    </x:row>
    <x:row r="661" spans="1:14">
      <x:c r="A661" s="274" t="s">
        <x:v>1493</x:v>
      </x:c>
      <x:c r="B661" s="274" t="n">
        <x:v>1.67</x:v>
      </x:c>
      <x:c r="C661" s="274" t="n">
        <x:v>0</x:v>
      </x:c>
      <x:c r="D661" s="274" t="n">
        <x:v>0</x:v>
      </x:c>
      <x:c r="F661" s="274" t="s">
        <x:v>133</x:v>
      </x:c>
      <x:c r="G661" s="274" t="s">
        <x:v>136</x:v>
      </x:c>
      <x:c r="H661" s="274" t="n">
        <x:v>45</x:v>
      </x:c>
      <x:c r="I661" s="274" t="n">
        <x:v>1.8</x:v>
      </x:c>
      <x:c r="J661" s="274" t="n">
        <x:v>340</x:v>
      </x:c>
      <x:c r="K661" s="274" t="n">
        <x:v>345</x:v>
      </x:c>
      <x:c r="M661" s="274" t="s">
        <x:v>1494</x:v>
      </x:c>
      <x:c r="N661" s="274" t="s">
        <x:v>126</x:v>
      </x:c>
    </x:row>
    <x:row r="662" spans="1:14">
      <x:c r="A662" s="274" t="s">
        <x:v>1495</x:v>
      </x:c>
      <x:c r="B662" s="274" t="n">
        <x:v>2.31</x:v>
      </x:c>
      <x:c r="C662" s="274" t="n">
        <x:v>0</x:v>
      </x:c>
      <x:c r="D662" s="274" t="n">
        <x:v>0</x:v>
      </x:c>
      <x:c r="F662" s="274" t="s">
        <x:v>333</x:v>
      </x:c>
      <x:c r="G662" s="274" t="s">
        <x:v>153</x:v>
      </x:c>
      <x:c r="I662" s="274" t="n">
        <x:v>0.9</x:v>
      </x:c>
      <x:c r="J662" s="274" t="n">
        <x:v>387.5</x:v>
      </x:c>
      <x:c r="K662" s="274" t="n">
        <x:v>842</x:v>
      </x:c>
      <x:c r="M662" s="274" t="s">
        <x:v>1496</x:v>
      </x:c>
      <x:c r="N662" s="274" t="s">
        <x:v>126</x:v>
      </x:c>
    </x:row>
    <x:row r="663" spans="1:14">
      <x:c r="A663" s="274" t="s">
        <x:v>1497</x:v>
      </x:c>
      <x:c r="B663" s="274" t="n">
        <x:v>0.44</x:v>
      </x:c>
      <x:c r="C663" s="274" t="n">
        <x:v>0</x:v>
      </x:c>
      <x:c r="D663" s="274" t="n">
        <x:v>0</x:v>
      </x:c>
      <x:c r="F663" s="274" t="s">
        <x:v>333</x:v>
      </x:c>
      <x:c r="G663" s="274" t="s">
        <x:v>209</x:v>
      </x:c>
      <x:c r="I663" s="274" t="n">
        <x:v>1.2</x:v>
      </x:c>
      <x:c r="J663" s="274" t="n">
        <x:v>105</x:v>
      </x:c>
      <x:c r="K663" s="274" t="n">
        <x:v>440</x:v>
      </x:c>
      <x:c r="M663" s="274" t="s">
        <x:v>1498</x:v>
      </x:c>
      <x:c r="N663" s="274" t="s">
        <x:v>299</x:v>
      </x:c>
    </x:row>
    <x:row r="664" spans="1:14">
      <x:c r="A664" s="274" t="s">
        <x:v>1499</x:v>
      </x:c>
      <x:c r="B664" s="274" t="n">
        <x:v>9.92</x:v>
      </x:c>
      <x:c r="C664" s="274" t="n">
        <x:v>0</x:v>
      </x:c>
      <x:c r="D664" s="274" t="n">
        <x:v>0</x:v>
      </x:c>
      <x:c r="F664" s="274" t="s">
        <x:v>133</x:v>
      </x:c>
      <x:c r="G664" s="274" t="s">
        <x:v>1170</x:v>
      </x:c>
      <x:c r="I664" s="274" t="n">
        <x:v>8</x:v>
      </x:c>
      <x:c r="J664" s="274" t="n">
        <x:v>445</x:v>
      </x:c>
      <x:c r="K664" s="274" t="n">
        <x:v>355</x:v>
      </x:c>
      <x:c r="M664" s="274" t="s">
        <x:v>1171</x:v>
      </x:c>
      <x:c r="N664" s="274" t="s">
        <x:v>1157</x:v>
      </x:c>
    </x:row>
    <x:row r="665" spans="1:14">
      <x:c r="A665" s="274" t="s">
        <x:v>1500</x:v>
      </x:c>
      <x:c r="B665" s="274" t="n">
        <x:v>1.67</x:v>
      </x:c>
      <x:c r="C665" s="274" t="n">
        <x:v>0</x:v>
      </x:c>
      <x:c r="D665" s="274" t="n">
        <x:v>0</x:v>
      </x:c>
      <x:c r="F665" s="274" t="s">
        <x:v>133</x:v>
      </x:c>
      <x:c r="G665" s="274" t="s">
        <x:v>134</x:v>
      </x:c>
      <x:c r="I665" s="274" t="n">
        <x:v>3.2</x:v>
      </x:c>
      <x:c r="J665" s="274" t="n">
        <x:v>295</x:v>
      </x:c>
      <x:c r="K665" s="274" t="n">
        <x:v>226</x:v>
      </x:c>
      <x:c r="M665" s="274" t="s">
        <x:v>1501</x:v>
      </x:c>
      <x:c r="N665" s="274" t="s">
        <x:v>299</x:v>
      </x:c>
    </x:row>
    <x:row r="666" spans="1:14">
      <x:c r="A666" s="274" t="s">
        <x:v>1502</x:v>
      </x:c>
      <x:c r="B666" s="274" t="n">
        <x:v>1.16</x:v>
      </x:c>
      <x:c r="C666" s="274" t="n">
        <x:v>0</x:v>
      </x:c>
      <x:c r="D666" s="274" t="n">
        <x:v>0</x:v>
      </x:c>
      <x:c r="F666" s="274" t="s">
        <x:v>333</x:v>
      </x:c>
      <x:c r="G666" s="274" t="s">
        <x:v>209</x:v>
      </x:c>
      <x:c r="I666" s="274" t="n">
        <x:v>1.4</x:v>
      </x:c>
      <x:c r="J666" s="274" t="n">
        <x:v>80</x:v>
      </x:c>
      <x:c r="K666" s="274" t="n">
        <x:v>1320</x:v>
      </x:c>
      <x:c r="M666" s="274" t="s">
        <x:v>1503</x:v>
      </x:c>
      <x:c r="N666" s="274" t="s">
        <x:v>870</x:v>
      </x:c>
    </x:row>
    <x:row r="667" spans="1:14">
      <x:c r="A667" s="274" t="s">
        <x:v>1504</x:v>
      </x:c>
      <x:c r="B667" s="274" t="n">
        <x:v>2.13</x:v>
      </x:c>
      <x:c r="C667" s="274" t="n">
        <x:v>0</x:v>
      </x:c>
      <x:c r="D667" s="274" t="n">
        <x:v>0</x:v>
      </x:c>
      <x:c r="F667" s="274" t="s">
        <x:v>133</x:v>
      </x:c>
      <x:c r="G667" s="274" t="s">
        <x:v>148</x:v>
      </x:c>
      <x:c r="I667" s="274" t="n">
        <x:v>2.6</x:v>
      </x:c>
      <x:c r="J667" s="274" t="n">
        <x:v>455</x:v>
      </x:c>
      <x:c r="K667" s="274" t="n">
        <x:v>230</x:v>
      </x:c>
      <x:c r="M667" s="274" t="s">
        <x:v>1505</x:v>
      </x:c>
      <x:c r="N667" s="274" t="s">
        <x:v>299</x:v>
      </x:c>
    </x:row>
    <x:row r="668" spans="1:14">
      <x:c r="A668" s="274" t="s">
        <x:v>1506</x:v>
      </x:c>
      <x:c r="B668" s="274" t="n">
        <x:v>1.59</x:v>
      </x:c>
      <x:c r="C668" s="274" t="n">
        <x:v>0</x:v>
      </x:c>
      <x:c r="D668" s="274" t="n">
        <x:v>0</x:v>
      </x:c>
      <x:c r="F668" s="274" t="s">
        <x:v>133</x:v>
      </x:c>
      <x:c r="G668" s="274" t="s">
        <x:v>134</x:v>
      </x:c>
      <x:c r="I668" s="274" t="n">
        <x:v>3.8</x:v>
      </x:c>
      <x:c r="J668" s="274" t="n">
        <x:v>190</x:v>
      </x:c>
      <x:c r="K668" s="274" t="n">
        <x:v>280</x:v>
      </x:c>
      <x:c r="M668" s="274" t="s">
        <x:v>1507</x:v>
      </x:c>
      <x:c r="N668" s="274" t="s">
        <x:v>299</x:v>
      </x:c>
    </x:row>
    <x:row r="669" spans="1:14">
      <x:c r="A669" s="274" t="s">
        <x:v>1508</x:v>
      </x:c>
      <x:c r="B669" s="274" t="n">
        <x:v>0.54</x:v>
      </x:c>
      <x:c r="C669" s="274" t="n">
        <x:v>0</x:v>
      </x:c>
      <x:c r="D669" s="274" t="n">
        <x:v>0</x:v>
      </x:c>
      <x:c r="F669" s="274" t="s">
        <x:v>333</x:v>
      </x:c>
      <x:c r="G669" s="274" t="s">
        <x:v>209</x:v>
      </x:c>
      <x:c r="I669" s="274" t="n">
        <x:v>1.2</x:v>
      </x:c>
      <x:c r="J669" s="274" t="n">
        <x:v>47</x:v>
      </x:c>
      <x:c r="K669" s="274" t="n">
        <x:v>1219</x:v>
      </x:c>
      <x:c r="M669" s="274" t="s">
        <x:v>1509</x:v>
      </x:c>
      <x:c r="N669" s="274" t="s">
        <x:v>299</x:v>
      </x:c>
    </x:row>
    <x:row r="670" spans="1:14">
      <x:c r="A670" s="274" t="s">
        <x:v>1510</x:v>
      </x:c>
      <x:c r="B670" s="274" t="n">
        <x:v>1.08</x:v>
      </x:c>
      <x:c r="C670" s="274" t="n">
        <x:v>0</x:v>
      </x:c>
      <x:c r="D670" s="274" t="n">
        <x:v>0</x:v>
      </x:c>
      <x:c r="F670" s="274" t="s">
        <x:v>333</x:v>
      </x:c>
      <x:c r="G670" s="274" t="s">
        <x:v>209</x:v>
      </x:c>
      <x:c r="I670" s="274" t="n">
        <x:v>1.2</x:v>
      </x:c>
      <x:c r="J670" s="274" t="n">
        <x:v>93</x:v>
      </x:c>
      <x:c r="K670" s="274" t="n">
        <x:v>1234</x:v>
      </x:c>
      <x:c r="M670" s="274" t="s">
        <x:v>1511</x:v>
      </x:c>
      <x:c r="N670" s="274" t="s">
        <x:v>299</x:v>
      </x:c>
    </x:row>
    <x:row r="671" spans="1:14">
      <x:c r="A671" s="274" t="s">
        <x:v>1512</x:v>
      </x:c>
      <x:c r="B671" s="274" t="n">
        <x:v>0.18</x:v>
      </x:c>
      <x:c r="C671" s="274" t="n">
        <x:v>35</x:v>
      </x:c>
      <x:c r="D671" s="274" t="n">
        <x:v>35</x:v>
      </x:c>
      <x:c r="E671" s="274" t="n">
        <x:v>33</x:v>
      </x:c>
      <x:c r="F671" s="274" t="s">
        <x:v>333</x:v>
      </x:c>
      <x:c r="G671" s="274" t="s">
        <x:v>153</x:v>
      </x:c>
      <x:c r="I671" s="274" t="n">
        <x:v>1</x:v>
      </x:c>
      <x:c r="J671" s="274" t="n">
        <x:v>152</x:v>
      </x:c>
      <x:c r="K671" s="274" t="n">
        <x:v>152</x:v>
      </x:c>
      <x:c r="M671" s="274" t="s">
        <x:v>780</x:v>
      </x:c>
      <x:c r="N671" s="274" t="s">
        <x:v>155</x:v>
      </x:c>
    </x:row>
    <x:row r="672" spans="1:14">
      <x:c r="A672" s="274" t="s">
        <x:v>1513</x:v>
      </x:c>
      <x:c r="B672" s="274" t="n">
        <x:v>0.23</x:v>
      </x:c>
      <x:c r="C672" s="274" t="n">
        <x:v>0</x:v>
      </x:c>
      <x:c r="D672" s="274" t="n">
        <x:v>0</x:v>
      </x:c>
      <x:c r="F672" s="274" t="s">
        <x:v>133</x:v>
      </x:c>
      <x:c r="G672" s="274" t="s">
        <x:v>134</x:v>
      </x:c>
      <x:c r="I672" s="274" t="n">
        <x:v>2.3</x:v>
      </x:c>
      <x:c r="J672" s="274" t="n">
        <x:v>120</x:v>
      </x:c>
      <x:c r="K672" s="274" t="n">
        <x:v>105</x:v>
      </x:c>
      <x:c r="M672" s="274" t="s">
        <x:v>1514</x:v>
      </x:c>
      <x:c r="N672" s="274" t="s">
        <x:v>155</x:v>
      </x:c>
    </x:row>
    <x:row r="673" spans="1:14">
      <x:c r="A673" s="274" t="s">
        <x:v>1515</x:v>
      </x:c>
      <x:c r="B673" s="274" t="n">
        <x:v>9.79</x:v>
      </x:c>
      <x:c r="C673" s="274" t="n">
        <x:v>0</x:v>
      </x:c>
      <x:c r="D673" s="274" t="n">
        <x:v>0</x:v>
      </x:c>
      <x:c r="F673" s="274" t="s">
        <x:v>133</x:v>
      </x:c>
      <x:c r="G673" s="274" t="s">
        <x:v>134</x:v>
      </x:c>
      <x:c r="I673" s="274" t="n">
        <x:v>2.3</x:v>
      </x:c>
      <x:c r="J673" s="274" t="n">
        <x:v>995</x:v>
      </x:c>
      <x:c r="K673" s="274" t="n">
        <x:v>545</x:v>
      </x:c>
      <x:c r="M673" s="274" t="s">
        <x:v>1516</x:v>
      </x:c>
      <x:c r="N673" s="274" t="s">
        <x:v>155</x:v>
      </x:c>
    </x:row>
    <x:row r="674" spans="1:14">
      <x:c r="A674" s="274" t="s">
        <x:v>1517</x:v>
      </x:c>
      <x:c r="B674" s="274" t="n">
        <x:v>0.89</x:v>
      </x:c>
      <x:c r="C674" s="274" t="n">
        <x:v>28</x:v>
      </x:c>
      <x:c r="D674" s="274" t="n">
        <x:v>35</x:v>
      </x:c>
      <x:c r="E674" s="274" t="n">
        <x:v>33</x:v>
      </x:c>
      <x:c r="F674" s="274" t="s">
        <x:v>133</x:v>
      </x:c>
      <x:c r="G674" s="274" t="s">
        <x:v>144</x:v>
      </x:c>
      <x:c r="H674" s="274" t="n">
        <x:v>45</x:v>
      </x:c>
      <x:c r="I674" s="274" t="n">
        <x:v>1.4</x:v>
      </x:c>
      <x:c r="J674" s="274" t="n">
        <x:v>365</x:v>
      </x:c>
      <x:c r="K674" s="274" t="n">
        <x:v>221</x:v>
      </x:c>
      <x:c r="M674" s="274" t="s">
        <x:v>1518</x:v>
      </x:c>
      <x:c r="N674" s="274" t="s">
        <x:v>155</x:v>
      </x:c>
    </x:row>
    <x:row r="675" spans="1:14">
      <x:c r="A675" s="274" t="s">
        <x:v>1519</x:v>
      </x:c>
      <x:c r="B675" s="274" t="n">
        <x:v>0.52</x:v>
      </x:c>
      <x:c r="C675" s="274" t="n">
        <x:v>30</x:v>
      </x:c>
      <x:c r="D675" s="274" t="n">
        <x:v>35</x:v>
      </x:c>
      <x:c r="E675" s="274" t="n">
        <x:v>33</x:v>
      </x:c>
      <x:c r="F675" s="274" t="s">
        <x:v>133</x:v>
      </x:c>
      <x:c r="G675" s="274" t="s">
        <x:v>144</x:v>
      </x:c>
      <x:c r="H675" s="274" t="n">
        <x:v>45</x:v>
      </x:c>
      <x:c r="I675" s="274" t="n">
        <x:v>1.4</x:v>
      </x:c>
      <x:c r="J675" s="274" t="n">
        <x:v>212</x:v>
      </x:c>
      <x:c r="K675" s="274" t="n">
        <x:v>223</x:v>
      </x:c>
      <x:c r="M675" s="274" t="s">
        <x:v>1520</x:v>
      </x:c>
      <x:c r="N675" s="274" t="s">
        <x:v>155</x:v>
      </x:c>
    </x:row>
    <x:row r="676" spans="1:14">
      <x:c r="A676" s="274" t="s">
        <x:v>1521</x:v>
      </x:c>
      <x:c r="B676" s="274" t="n">
        <x:v>0.66</x:v>
      </x:c>
      <x:c r="C676" s="274" t="n">
        <x:v>30</x:v>
      </x:c>
      <x:c r="D676" s="274" t="n">
        <x:v>35</x:v>
      </x:c>
      <x:c r="E676" s="274" t="n">
        <x:v>33</x:v>
      </x:c>
      <x:c r="F676" s="274" t="s">
        <x:v>133</x:v>
      </x:c>
      <x:c r="G676" s="274" t="s">
        <x:v>134</x:v>
      </x:c>
      <x:c r="I676" s="274" t="n">
        <x:v>1.6</x:v>
      </x:c>
      <x:c r="J676" s="274" t="n">
        <x:v>95</x:v>
      </x:c>
      <x:c r="K676" s="274" t="n">
        <x:v>555</x:v>
      </x:c>
      <x:c r="M676" s="274" t="s">
        <x:v>1522</x:v>
      </x:c>
      <x:c r="N676" s="274" t="s">
        <x:v>155</x:v>
      </x:c>
    </x:row>
    <x:row r="677" spans="1:14">
      <x:c r="A677" s="274" t="s">
        <x:v>1523</x:v>
      </x:c>
      <x:c r="B677" s="274" t="n">
        <x:v>1.29</x:v>
      </x:c>
      <x:c r="C677" s="274" t="n">
        <x:v>0</x:v>
      </x:c>
      <x:c r="D677" s="274" t="n">
        <x:v>45</x:v>
      </x:c>
      <x:c r="E677" s="274" t="n">
        <x:v>0</x:v>
      </x:c>
      <x:c r="F677" s="274" t="s">
        <x:v>133</x:v>
      </x:c>
      <x:c r="G677" s="274" t="s">
        <x:v>144</x:v>
      </x:c>
      <x:c r="H677" s="274" t="n">
        <x:v>45</x:v>
      </x:c>
      <x:c r="I677" s="274" t="n">
        <x:v>1.2</x:v>
      </x:c>
      <x:c r="J677" s="274" t="n">
        <x:v>340</x:v>
      </x:c>
      <x:c r="K677" s="274" t="n">
        <x:v>220</x:v>
      </x:c>
      <x:c r="L677" s="274" t="n">
        <x:v>580</x:v>
      </x:c>
      <x:c r="M677" s="274" t="s">
        <x:v>1524</x:v>
      </x:c>
      <x:c r="N677" s="274" t="s">
        <x:v>870</x:v>
      </x:c>
    </x:row>
    <x:row r="678" spans="1:14">
      <x:c r="A678" s="274" t="s">
        <x:v>1525</x:v>
      </x:c>
      <x:c r="B678" s="274" t="n">
        <x:v>0.11</x:v>
      </x:c>
      <x:c r="C678" s="274" t="n">
        <x:v>0</x:v>
      </x:c>
      <x:c r="D678" s="274" t="n">
        <x:v>0</x:v>
      </x:c>
      <x:c r="E678" s="274" t="n">
        <x:v>14</x:v>
      </x:c>
      <x:c r="F678" s="274" t="s">
        <x:v>123</x:v>
      </x:c>
      <x:c r="G678" s="274" t="s">
        <x:v>153</x:v>
      </x:c>
      <x:c r="I678" s="274" t="n">
        <x:v>1.4</x:v>
      </x:c>
      <x:c r="J678" s="274" t="n">
        <x:v>92</x:v>
      </x:c>
      <x:c r="K678" s="274" t="n">
        <x:v>105</x:v>
      </x:c>
      <x:c r="M678" s="274" t="s">
        <x:v>1526</x:v>
      </x:c>
      <x:c r="N678" s="274" t="s">
        <x:v>131</x:v>
      </x:c>
    </x:row>
    <x:row r="679" spans="1:14">
      <x:c r="A679" s="274" t="s">
        <x:v>1527</x:v>
      </x:c>
      <x:c r="B679" s="274" t="n">
        <x:v>0.48</x:v>
      </x:c>
      <x:c r="C679" s="274" t="n">
        <x:v>0</x:v>
      </x:c>
      <x:c r="D679" s="274" t="n">
        <x:v>0</x:v>
      </x:c>
      <x:c r="F679" s="274" t="s">
        <x:v>133</x:v>
      </x:c>
      <x:c r="G679" s="274" t="s">
        <x:v>134</x:v>
      </x:c>
      <x:c r="I679" s="274" t="n">
        <x:v>2.6</x:v>
      </x:c>
      <x:c r="J679" s="274" t="n">
        <x:v>68</x:v>
      </x:c>
      <x:c r="K679" s="274" t="n">
        <x:v>345</x:v>
      </x:c>
      <x:c r="M679" s="274" t="s">
        <x:v>1528</x:v>
      </x:c>
      <x:c r="N679" s="274" t="s">
        <x:v>155</x:v>
      </x:c>
    </x:row>
    <x:row r="680" spans="1:14">
      <x:c r="A680" s="274" t="s">
        <x:v>1529</x:v>
      </x:c>
      <x:c r="B680" s="274" t="n">
        <x:v>0.1</x:v>
      </x:c>
      <x:c r="C680" s="274" t="n">
        <x:v>0</x:v>
      </x:c>
      <x:c r="D680" s="274" t="n">
        <x:v>0</x:v>
      </x:c>
      <x:c r="F680" s="274" t="s">
        <x:v>133</x:v>
      </x:c>
      <x:c r="G680" s="274" t="s">
        <x:v>209</x:v>
      </x:c>
      <x:c r="I680" s="274" t="n">
        <x:v>0.8</x:v>
      </x:c>
      <x:c r="J680" s="274" t="n">
        <x:v>116</x:v>
      </x:c>
      <x:c r="K680" s="274" t="n">
        <x:v>136</x:v>
      </x:c>
      <x:c r="M680" s="274" t="s">
        <x:v>1530</x:v>
      </x:c>
      <x:c r="N680" s="274" t="s">
        <x:v>155</x:v>
      </x:c>
    </x:row>
    <x:row r="681" spans="1:14">
      <x:c r="A681" s="274" t="s">
        <x:v>1531</x:v>
      </x:c>
      <x:c r="B681" s="274" t="n">
        <x:v>2.22</x:v>
      </x:c>
      <x:c r="C681" s="274" t="n">
        <x:v>0</x:v>
      </x:c>
      <x:c r="D681" s="274" t="n">
        <x:v>0</x:v>
      </x:c>
      <x:c r="F681" s="274" t="s">
        <x:v>333</x:v>
      </x:c>
      <x:c r="G681" s="274" t="s">
        <x:v>334</x:v>
      </x:c>
      <x:c r="I681" s="274" t="n">
        <x:v>1.4</x:v>
      </x:c>
      <x:c r="J681" s="274" t="n">
        <x:v>1204</x:v>
      </x:c>
      <x:c r="K681" s="274" t="n">
        <x:v>168</x:v>
      </x:c>
      <x:c r="M681" s="274" t="s">
        <x:v>1532</x:v>
      </x:c>
      <x:c r="N681" s="274" t="s">
        <x:v>1533</x:v>
      </x:c>
    </x:row>
    <x:row r="682" spans="1:14">
      <x:c r="A682" s="274" t="s">
        <x:v>1534</x:v>
      </x:c>
      <x:c r="B682" s="274" t="n">
        <x:v>0.1</x:v>
      </x:c>
      <x:c r="C682" s="274" t="n">
        <x:v>0</x:v>
      </x:c>
      <x:c r="D682" s="274" t="n">
        <x:v>0</x:v>
      </x:c>
      <x:c r="E682" s="274" t="n">
        <x:v>30</x:v>
      </x:c>
      <x:c r="F682" s="274" t="s">
        <x:v>133</x:v>
      </x:c>
      <x:c r="G682" s="274" t="s">
        <x:v>134</x:v>
      </x:c>
      <x:c r="I682" s="274" t="n">
        <x:v>2</x:v>
      </x:c>
      <x:c r="J682" s="274" t="n">
        <x:v>120</x:v>
      </x:c>
      <x:c r="K682" s="274" t="n">
        <x:v>53</x:v>
      </x:c>
      <x:c r="M682" s="274" t="s">
        <x:v>1535</x:v>
      </x:c>
      <x:c r="N682" s="274" t="s">
        <x:v>299</x:v>
      </x:c>
    </x:row>
    <x:row r="683" spans="1:14">
      <x:c r="A683" s="274" t="s">
        <x:v>1536</x:v>
      </x:c>
      <x:c r="B683" s="274" t="n">
        <x:v>1.94</x:v>
      </x:c>
      <x:c r="C683" s="274" t="n">
        <x:v>0</x:v>
      </x:c>
      <x:c r="D683" s="274" t="n">
        <x:v>0</x:v>
      </x:c>
      <x:c r="F683" s="274" t="s">
        <x:v>133</x:v>
      </x:c>
      <x:c r="G683" s="274" t="s">
        <x:v>148</x:v>
      </x:c>
      <x:c r="I683" s="274" t="n">
        <x:v>3.2</x:v>
      </x:c>
      <x:c r="J683" s="274" t="n">
        <x:v>172</x:v>
      </x:c>
      <x:c r="K683" s="274" t="n">
        <x:v>448</x:v>
      </x:c>
      <x:c r="M683" s="274" t="s">
        <x:v>1537</x:v>
      </x:c>
      <x:c r="N683" s="274" t="s">
        <x:v>299</x:v>
      </x:c>
    </x:row>
    <x:row r="684" spans="1:14">
      <x:c r="A684" s="274" t="s">
        <x:v>1538</x:v>
      </x:c>
      <x:c r="B684" s="274" t="n">
        <x:v>5.46</x:v>
      </x:c>
      <x:c r="C684" s="274" t="n">
        <x:v>0</x:v>
      </x:c>
      <x:c r="D684" s="274" t="n">
        <x:v>0</x:v>
      </x:c>
      <x:c r="F684" s="274" t="s">
        <x:v>133</x:v>
      </x:c>
      <x:c r="G684" s="274" t="s">
        <x:v>134</x:v>
      </x:c>
      <x:c r="I684" s="274" t="n">
        <x:v>2.3</x:v>
      </x:c>
      <x:c r="J684" s="274" t="n">
        <x:v>340</x:v>
      </x:c>
      <x:c r="K684" s="274" t="n">
        <x:v>890</x:v>
      </x:c>
      <x:c r="M684" s="274" t="s">
        <x:v>1539</x:v>
      </x:c>
      <x:c r="N684" s="274" t="s">
        <x:v>299</x:v>
      </x:c>
    </x:row>
    <x:row r="685" spans="1:14">
      <x:c r="A685" s="274" t="s">
        <x:v>1540</x:v>
      </x:c>
      <x:c r="B685" s="274" t="n">
        <x:v>1.66</x:v>
      </x:c>
      <x:c r="C685" s="274" t="n">
        <x:v>0</x:v>
      </x:c>
      <x:c r="D685" s="274" t="n">
        <x:v>0</x:v>
      </x:c>
      <x:c r="F685" s="274" t="s">
        <x:v>333</x:v>
      </x:c>
      <x:c r="G685" s="274" t="s">
        <x:v>209</x:v>
      </x:c>
      <x:c r="I685" s="274" t="n">
        <x:v>1.4</x:v>
      </x:c>
      <x:c r="J685" s="274" t="n">
        <x:v>125</x:v>
      </x:c>
      <x:c r="K685" s="274" t="n">
        <x:v>1205</x:v>
      </x:c>
      <x:c r="M685" s="274" t="s">
        <x:v>1044</x:v>
      </x:c>
      <x:c r="N685" s="274" t="s">
        <x:v>299</x:v>
      </x:c>
    </x:row>
    <x:row r="686" spans="1:14">
      <x:c r="A686" s="274" t="s">
        <x:v>1541</x:v>
      </x:c>
      <x:c r="B686" s="274" t="n">
        <x:v>1.04</x:v>
      </x:c>
      <x:c r="C686" s="274" t="n">
        <x:v>0</x:v>
      </x:c>
      <x:c r="D686" s="274" t="n">
        <x:v>0</x:v>
      </x:c>
      <x:c r="F686" s="274" t="s">
        <x:v>333</x:v>
      </x:c>
      <x:c r="G686" s="274" t="s">
        <x:v>209</x:v>
      </x:c>
      <x:c r="I686" s="274" t="n">
        <x:v>1.4</x:v>
      </x:c>
      <x:c r="J686" s="274" t="n">
        <x:v>125</x:v>
      </x:c>
      <x:c r="K686" s="274" t="n">
        <x:v>758</x:v>
      </x:c>
      <x:c r="M686" s="274" t="s">
        <x:v>1542</x:v>
      </x:c>
      <x:c r="N686" s="274" t="s">
        <x:v>131</x:v>
      </x:c>
    </x:row>
    <x:row r="687" spans="1:14">
      <x:c r="A687" s="274" t="s">
        <x:v>1543</x:v>
      </x:c>
      <x:c r="B687" s="274" t="n">
        <x:v>3.3</x:v>
      </x:c>
      <x:c r="C687" s="274" t="n">
        <x:v>0</x:v>
      </x:c>
      <x:c r="D687" s="274" t="n">
        <x:v>0</x:v>
      </x:c>
      <x:c r="F687" s="274" t="s">
        <x:v>333</x:v>
      </x:c>
      <x:c r="G687" s="274" t="s">
        <x:v>209</x:v>
      </x:c>
      <x:c r="I687" s="274" t="n">
        <x:v>1.2</x:v>
      </x:c>
      <x:c r="J687" s="274" t="n">
        <x:v>280</x:v>
      </x:c>
      <x:c r="K687" s="274" t="n">
        <x:v>1250</x:v>
      </x:c>
      <x:c r="M687" s="274" t="s">
        <x:v>1544</x:v>
      </x:c>
      <x:c r="N687" s="274" t="s">
        <x:v>131</x:v>
      </x:c>
    </x:row>
    <x:row r="688" spans="1:14">
      <x:c r="A688" s="274" t="s">
        <x:v>1545</x:v>
      </x:c>
      <x:c r="B688" s="274" t="n">
        <x:v>0.3</x:v>
      </x:c>
      <x:c r="C688" s="274" t="n">
        <x:v>0</x:v>
      </x:c>
      <x:c r="D688" s="274" t="n">
        <x:v>0</x:v>
      </x:c>
      <x:c r="F688" s="274" t="s">
        <x:v>333</x:v>
      </x:c>
      <x:c r="G688" s="274" t="s">
        <x:v>209</x:v>
      </x:c>
      <x:c r="I688" s="274" t="n">
        <x:v>1.6</x:v>
      </x:c>
      <x:c r="J688" s="274" t="n">
        <x:v>145</x:v>
      </x:c>
      <x:c r="K688" s="274" t="n">
        <x:v>165</x:v>
      </x:c>
      <x:c r="M688" s="274" t="s">
        <x:v>1546</x:v>
      </x:c>
      <x:c r="N688" s="274" t="s">
        <x:v>847</x:v>
      </x:c>
    </x:row>
    <x:row r="689" spans="1:14">
      <x:c r="A689" s="274" t="s">
        <x:v>1547</x:v>
      </x:c>
      <x:c r="B689" s="274" t="n">
        <x:v>1.27</x:v>
      </x:c>
      <x:c r="C689" s="274" t="n">
        <x:v>0</x:v>
      </x:c>
      <x:c r="D689" s="274" t="n">
        <x:v>0</x:v>
      </x:c>
      <x:c r="F689" s="274" t="s">
        <x:v>333</x:v>
      </x:c>
      <x:c r="G689" s="274" t="s">
        <x:v>153</x:v>
      </x:c>
      <x:c r="I689" s="274" t="n">
        <x:v>1.2</x:v>
      </x:c>
      <x:c r="J689" s="274" t="n">
        <x:v>300</x:v>
      </x:c>
      <x:c r="K689" s="274" t="n">
        <x:v>450</x:v>
      </x:c>
      <x:c r="M689" s="274" t="s">
        <x:v>1548</x:v>
      </x:c>
      <x:c r="N689" s="274" t="s">
        <x:v>847</x:v>
      </x:c>
    </x:row>
    <x:row r="690" spans="1:14">
      <x:c r="A690" s="274" t="s">
        <x:v>1549</x:v>
      </x:c>
      <x:c r="B690" s="274" t="n">
        <x:v>0.31</x:v>
      </x:c>
      <x:c r="C690" s="274" t="n">
        <x:v>0</x:v>
      </x:c>
      <x:c r="D690" s="274" t="n">
        <x:v>0</x:v>
      </x:c>
      <x:c r="F690" s="274" t="s">
        <x:v>133</x:v>
      </x:c>
      <x:c r="G690" s="274" t="s">
        <x:v>134</x:v>
      </x:c>
      <x:c r="I690" s="274" t="n">
        <x:v>3.2</x:v>
      </x:c>
      <x:c r="J690" s="274" t="n">
        <x:v>111</x:v>
      </x:c>
      <x:c r="K690" s="274" t="n">
        <x:v>111</x:v>
      </x:c>
      <x:c r="M690" s="274" t="s">
        <x:v>1550</x:v>
      </x:c>
      <x:c r="N690" s="274" t="s">
        <x:v>299</x:v>
      </x:c>
    </x:row>
    <x:row r="691" spans="1:14">
      <x:c r="A691" s="274" t="s">
        <x:v>1551</x:v>
      </x:c>
      <x:c r="B691" s="274" t="n">
        <x:v>0.82</x:v>
      </x:c>
      <x:c r="C691" s="274" t="n">
        <x:v>28</x:v>
      </x:c>
      <x:c r="D691" s="274" t="n">
        <x:v>35</x:v>
      </x:c>
      <x:c r="E691" s="274" t="n">
        <x:v>33</x:v>
      </x:c>
      <x:c r="F691" s="274" t="s">
        <x:v>133</x:v>
      </x:c>
      <x:c r="G691" s="274" t="s">
        <x:v>136</x:v>
      </x:c>
      <x:c r="H691" s="274" t="n">
        <x:v>45</x:v>
      </x:c>
      <x:c r="I691" s="274" t="n">
        <x:v>0.7</x:v>
      </x:c>
      <x:c r="J691" s="274" t="n">
        <x:v>335</x:v>
      </x:c>
      <x:c r="K691" s="274" t="n">
        <x:v>440</x:v>
      </x:c>
      <x:c r="M691" s="274" t="s">
        <x:v>1552</x:v>
      </x:c>
      <x:c r="N691" s="274" t="s">
        <x:v>131</x:v>
      </x:c>
    </x:row>
    <x:row r="692" spans="1:14">
      <x:c r="A692" s="274" t="s">
        <x:v>1553</x:v>
      </x:c>
      <x:c r="B692" s="274" t="n">
        <x:v>3.73</x:v>
      </x:c>
      <x:c r="C692" s="274" t="n">
        <x:v>0</x:v>
      </x:c>
      <x:c r="D692" s="274" t="n">
        <x:v>0</x:v>
      </x:c>
      <x:c r="F692" s="274" t="s">
        <x:v>133</x:v>
      </x:c>
      <x:c r="G692" s="274" t="s">
        <x:v>134</x:v>
      </x:c>
      <x:c r="I692" s="274" t="n">
        <x:v>2.6</x:v>
      </x:c>
      <x:c r="J692" s="274" t="n">
        <x:v>385</x:v>
      </x:c>
      <x:c r="K692" s="274" t="n">
        <x:v>475</x:v>
      </x:c>
      <x:c r="M692" s="274" t="s">
        <x:v>1554</x:v>
      </x:c>
      <x:c r="N692" s="274" t="s">
        <x:v>847</x:v>
      </x:c>
    </x:row>
    <x:row r="693" spans="1:14">
      <x:c r="A693" s="274" t="s">
        <x:v>1555</x:v>
      </x:c>
      <x:c r="B693" s="274" t="n">
        <x:v>11.47</x:v>
      </x:c>
      <x:c r="C693" s="274" t="n">
        <x:v>0</x:v>
      </x:c>
      <x:c r="D693" s="274" t="n">
        <x:v>0</x:v>
      </x:c>
      <x:c r="F693" s="274" t="s">
        <x:v>333</x:v>
      </x:c>
      <x:c r="G693" s="274" t="s">
        <x:v>209</x:v>
      </x:c>
      <x:c r="I693" s="274" t="n">
        <x:v>1.4</x:v>
      </x:c>
      <x:c r="J693" s="274" t="n">
        <x:v>960</x:v>
      </x:c>
      <x:c r="K693" s="274" t="n">
        <x:v>1088</x:v>
      </x:c>
      <x:c r="M693" s="274" t="s">
        <x:v>1556</x:v>
      </x:c>
      <x:c r="N693" s="274" t="s">
        <x:v>1557</x:v>
      </x:c>
    </x:row>
    <x:row r="694" spans="1:14">
      <x:c r="A694" s="274" t="s">
        <x:v>1558</x:v>
      </x:c>
      <x:c r="B694" s="274" t="n">
        <x:v>1.5</x:v>
      </x:c>
      <x:c r="C694" s="274" t="n">
        <x:v>0</x:v>
      </x:c>
      <x:c r="D694" s="274" t="n">
        <x:v>0</x:v>
      </x:c>
      <x:c r="F694" s="274" t="s">
        <x:v>133</x:v>
      </x:c>
      <x:c r="G694" s="274" t="s">
        <x:v>136</x:v>
      </x:c>
      <x:c r="H694" s="274" t="n">
        <x:v>45</x:v>
      </x:c>
      <x:c r="I694" s="274" t="n">
        <x:v>1.6</x:v>
      </x:c>
      <x:c r="J694" s="274" t="n">
        <x:v>95</x:v>
      </x:c>
      <x:c r="K694" s="274" t="n">
        <x:v>1250</x:v>
      </x:c>
      <x:c r="M694" s="274" t="s">
        <x:v>1559</x:v>
      </x:c>
      <x:c r="N694" s="274" t="s">
        <x:v>162</x:v>
      </x:c>
    </x:row>
    <x:row r="695" spans="1:14">
      <x:c r="A695" s="274" t="s">
        <x:v>1560</x:v>
      </x:c>
      <x:c r="B695" s="274" t="n">
        <x:v>2.14</x:v>
      </x:c>
      <x:c r="C695" s="274" t="n">
        <x:v>0</x:v>
      </x:c>
      <x:c r="D695" s="274" t="n">
        <x:v>0</x:v>
      </x:c>
      <x:c r="F695" s="274" t="s">
        <x:v>123</x:v>
      </x:c>
      <x:c r="G695" s="274" t="s">
        <x:v>124</x:v>
      </x:c>
      <x:c r="I695" s="274" t="n">
        <x:v>1.2</x:v>
      </x:c>
      <x:c r="J695" s="274" t="n">
        <x:v>191</x:v>
      </x:c>
      <x:c r="K695" s="274" t="n">
        <x:v>1189</x:v>
      </x:c>
      <x:c r="M695" s="274" t="s">
        <x:v>1561</x:v>
      </x:c>
      <x:c r="N695" s="274" t="s">
        <x:v>870</x:v>
      </x:c>
    </x:row>
    <x:row r="696" spans="1:14">
      <x:c r="A696" s="274" t="s">
        <x:v>1562</x:v>
      </x:c>
      <x:c r="B696" s="274" t="n">
        <x:v>3.49</x:v>
      </x:c>
      <x:c r="C696" s="274" t="n">
        <x:v>0</x:v>
      </x:c>
      <x:c r="D696" s="274" t="n">
        <x:v>0</x:v>
      </x:c>
      <x:c r="F696" s="274" t="s">
        <x:v>133</x:v>
      </x:c>
      <x:c r="G696" s="274" t="s">
        <x:v>148</x:v>
      </x:c>
      <x:c r="I696" s="274" t="n">
        <x:v>4.5</x:v>
      </x:c>
      <x:c r="J696" s="274" t="n">
        <x:v>233</x:v>
      </x:c>
      <x:c r="K696" s="274" t="n">
        <x:v>424</x:v>
      </x:c>
      <x:c r="M696" s="274" t="s">
        <x:v>1563</x:v>
      </x:c>
      <x:c r="N696" s="274" t="s">
        <x:v>847</x:v>
      </x:c>
    </x:row>
    <x:row r="697" spans="1:14">
      <x:c r="A697" s="274" t="s">
        <x:v>1564</x:v>
      </x:c>
      <x:c r="B697" s="274" t="n">
        <x:v>2.04</x:v>
      </x:c>
      <x:c r="C697" s="274" t="n">
        <x:v>0</x:v>
      </x:c>
      <x:c r="D697" s="274" t="n">
        <x:v>0</x:v>
      </x:c>
      <x:c r="F697" s="274" t="s">
        <x:v>333</x:v>
      </x:c>
      <x:c r="G697" s="274" t="s">
        <x:v>124</x:v>
      </x:c>
      <x:c r="I697" s="274" t="n">
        <x:v>1.2</x:v>
      </x:c>
      <x:c r="J697" s="274" t="n">
        <x:v>1084</x:v>
      </x:c>
      <x:c r="K697" s="274" t="n">
        <x:v>200</x:v>
      </x:c>
      <x:c r="M697" s="274" t="s">
        <x:v>1565</x:v>
      </x:c>
      <x:c r="N697" s="274" t="s">
        <x:v>299</x:v>
      </x:c>
    </x:row>
    <x:row r="698" spans="1:14">
      <x:c r="A698" s="274" t="s">
        <x:v>1566</x:v>
      </x:c>
      <x:c r="B698" s="274" t="n">
        <x:v>13.98</x:v>
      </x:c>
      <x:c r="C698" s="274" t="n">
        <x:v>0</x:v>
      </x:c>
      <x:c r="D698" s="274" t="n">
        <x:v>30</x:v>
      </x:c>
      <x:c r="E698" s="274" t="n">
        <x:v>33</x:v>
      </x:c>
      <x:c r="F698" s="274" t="s">
        <x:v>133</x:v>
      </x:c>
      <x:c r="G698" s="274" t="s">
        <x:v>148</x:v>
      </x:c>
      <x:c r="I698" s="274" t="n">
        <x:v>2</x:v>
      </x:c>
      <x:c r="J698" s="274" t="n">
        <x:v>1060</x:v>
      </x:c>
      <x:c r="K698" s="274" t="n">
        <x:v>840</x:v>
      </x:c>
      <x:c r="M698" s="274" t="s">
        <x:v>1567</x:v>
      </x:c>
    </x:row>
    <x:row r="699" spans="1:14">
      <x:c r="A699" s="274" t="s">
        <x:v>1568</x:v>
      </x:c>
      <x:c r="B699" s="274" t="n">
        <x:v>18.84</x:v>
      </x:c>
      <x:c r="C699" s="274" t="n">
        <x:v>0</x:v>
      </x:c>
      <x:c r="D699" s="274" t="n">
        <x:v>0</x:v>
      </x:c>
      <x:c r="F699" s="274" t="s">
        <x:v>133</x:v>
      </x:c>
      <x:c r="G699" s="274" t="s">
        <x:v>134</x:v>
      </x:c>
      <x:c r="I699" s="274" t="n">
        <x:v>2.3</x:v>
      </x:c>
      <x:c r="J699" s="274" t="n">
        <x:v>1000</x:v>
      </x:c>
      <x:c r="K699" s="274" t="n">
        <x:v>1043</x:v>
      </x:c>
      <x:c r="M699" s="274" t="s">
        <x:v>1569</x:v>
      </x:c>
      <x:c r="N699" s="274" t="s">
        <x:v>1557</x:v>
      </x:c>
    </x:row>
    <x:row r="700" spans="1:14">
      <x:c r="A700" s="274" t="s">
        <x:v>1570</x:v>
      </x:c>
      <x:c r="B700" s="274" t="n">
        <x:v>15.24</x:v>
      </x:c>
      <x:c r="C700" s="274" t="n">
        <x:v>0</x:v>
      </x:c>
      <x:c r="D700" s="274" t="n">
        <x:v>0</x:v>
      </x:c>
      <x:c r="F700" s="274" t="s">
        <x:v>133</x:v>
      </x:c>
      <x:c r="G700" s="274" t="s">
        <x:v>134</x:v>
      </x:c>
      <x:c r="I700" s="274" t="n">
        <x:v>2.3</x:v>
      </x:c>
      <x:c r="J700" s="274" t="n">
        <x:v>1000</x:v>
      </x:c>
      <x:c r="K700" s="274" t="n">
        <x:v>844</x:v>
      </x:c>
      <x:c r="M700" s="274" t="s">
        <x:v>1571</x:v>
      </x:c>
      <x:c r="N700" s="274" t="s">
        <x:v>1572</x:v>
      </x:c>
    </x:row>
    <x:row r="701" spans="1:14">
      <x:c r="A701" s="274" t="s">
        <x:v>1573</x:v>
      </x:c>
      <x:c r="B701" s="274" t="n">
        <x:v>0.42</x:v>
      </x:c>
      <x:c r="C701" s="274" t="n">
        <x:v>0</x:v>
      </x:c>
      <x:c r="D701" s="274" t="n">
        <x:v>0</x:v>
      </x:c>
      <x:c r="F701" s="274" t="s">
        <x:v>333</x:v>
      </x:c>
      <x:c r="G701" s="274" t="s">
        <x:v>124</x:v>
      </x:c>
      <x:c r="I701" s="274" t="n">
        <x:v>1</x:v>
      </x:c>
      <x:c r="J701" s="274" t="n">
        <x:v>230</x:v>
      </x:c>
      <x:c r="K701" s="274" t="n">
        <x:v>232</x:v>
      </x:c>
    </x:row>
    <x:row r="702" spans="1:14">
      <x:c r="A702" s="274" t="s">
        <x:v>1574</x:v>
      </x:c>
      <x:c r="B702" s="274" t="n">
        <x:v>0.52</x:v>
      </x:c>
      <x:c r="C702" s="274" t="n">
        <x:v>0</x:v>
      </x:c>
      <x:c r="D702" s="274" t="n">
        <x:v>0</x:v>
      </x:c>
      <x:c r="F702" s="274" t="s">
        <x:v>133</x:v>
      </x:c>
      <x:c r="G702" s="274" t="s">
        <x:v>136</x:v>
      </x:c>
      <x:c r="H702" s="274" t="n">
        <x:v>45</x:v>
      </x:c>
      <x:c r="I702" s="274" t="n">
        <x:v>1.6</x:v>
      </x:c>
      <x:c r="J702" s="274" t="n">
        <x:v>103</x:v>
      </x:c>
      <x:c r="K702" s="274" t="n">
        <x:v>400</x:v>
      </x:c>
      <x:c r="M702" s="274" t="s">
        <x:v>1575</x:v>
      </x:c>
      <x:c r="N702" s="274" t="s">
        <x:v>870</x:v>
      </x:c>
    </x:row>
    <x:row r="703" spans="1:14">
      <x:c r="A703" s="274" t="s">
        <x:v>1576</x:v>
      </x:c>
      <x:c r="B703" s="274" t="n">
        <x:v>0.19</x:v>
      </x:c>
      <x:c r="C703" s="274" t="n">
        <x:v>0</x:v>
      </x:c>
      <x:c r="D703" s="274" t="n">
        <x:v>0</x:v>
      </x:c>
      <x:c r="F703" s="274" t="s">
        <x:v>123</x:v>
      </x:c>
      <x:c r="G703" s="274" t="s">
        <x:v>209</x:v>
      </x:c>
      <x:c r="I703" s="274" t="n">
        <x:v>0.6</x:v>
      </x:c>
      <x:c r="J703" s="274" t="n">
        <x:v>241</x:v>
      </x:c>
      <x:c r="K703" s="274" t="n">
        <x:v>170</x:v>
      </x:c>
      <x:c r="M703" s="274" t="s">
        <x:v>1577</x:v>
      </x:c>
      <x:c r="N703" s="274" t="s">
        <x:v>870</x:v>
      </x:c>
    </x:row>
    <x:row r="704" spans="1:14">
      <x:c r="A704" s="274" t="s">
        <x:v>1578</x:v>
      </x:c>
      <x:c r="B704" s="274" t="n">
        <x:v>0.41</x:v>
      </x:c>
      <x:c r="C704" s="274" t="n">
        <x:v>0</x:v>
      </x:c>
      <x:c r="D704" s="274" t="n">
        <x:v>0</x:v>
      </x:c>
      <x:c r="F704" s="274" t="s">
        <x:v>123</x:v>
      </x:c>
      <x:c r="G704" s="274" t="s">
        <x:v>139</x:v>
      </x:c>
      <x:c r="I704" s="274" t="n">
        <x:v>2</x:v>
      </x:c>
      <x:c r="J704" s="274" t="n">
        <x:v>67</x:v>
      </x:c>
      <x:c r="K704" s="274" t="n">
        <x:v>390</x:v>
      </x:c>
      <x:c r="M704" s="274" t="s">
        <x:v>1579</x:v>
      </x:c>
      <x:c r="N704" s="274" t="s">
        <x:v>870</x:v>
      </x:c>
    </x:row>
    <x:row r="705" spans="1:14">
      <x:c r="A705" s="274" t="s">
        <x:v>1580</x:v>
      </x:c>
      <x:c r="B705" s="274" t="n">
        <x:v>16.08</x:v>
      </x:c>
      <x:c r="C705" s="274" t="n">
        <x:v>0</x:v>
      </x:c>
      <x:c r="D705" s="274" t="n">
        <x:v>30</x:v>
      </x:c>
      <x:c r="E705" s="274" t="n">
        <x:v>33</x:v>
      </x:c>
      <x:c r="F705" s="274" t="s">
        <x:v>133</x:v>
      </x:c>
      <x:c r="G705" s="274" t="s">
        <x:v>134</x:v>
      </x:c>
      <x:c r="I705" s="274" t="n">
        <x:v>2.6</x:v>
      </x:c>
      <x:c r="J705" s="274" t="n">
        <x:v>950</x:v>
      </x:c>
      <x:c r="K705" s="274" t="n">
        <x:v>829.5</x:v>
      </x:c>
      <x:c r="M705" s="274" t="s">
        <x:v>1581</x:v>
      </x:c>
      <x:c r="N705" s="274" t="s">
        <x:v>126</x:v>
      </x:c>
    </x:row>
    <x:row r="706" spans="1:14">
      <x:c r="A706" s="274" t="s">
        <x:v>1582</x:v>
      </x:c>
      <x:c r="B706" s="274" t="n">
        <x:v>0.59</x:v>
      </x:c>
      <x:c r="C706" s="274" t="n">
        <x:v>0</x:v>
      </x:c>
      <x:c r="D706" s="274" t="n">
        <x:v>0</x:v>
      </x:c>
      <x:c r="F706" s="274" t="s">
        <x:v>333</x:v>
      </x:c>
      <x:c r="G706" s="274" t="s">
        <x:v>209</x:v>
      </x:c>
      <x:c r="I706" s="274" t="n">
        <x:v>1.2</x:v>
      </x:c>
      <x:c r="J706" s="274" t="n">
        <x:v>117</x:v>
      </x:c>
      <x:c r="K706" s="274" t="n">
        <x:v>537</x:v>
      </x:c>
      <x:c r="M706" s="274" t="s">
        <x:v>1583</x:v>
      </x:c>
      <x:c r="N706" s="274" t="s">
        <x:v>299</x:v>
      </x:c>
    </x:row>
    <x:row r="707" spans="1:14">
      <x:c r="A707" s="274" t="s">
        <x:v>1584</x:v>
      </x:c>
      <x:c r="B707" s="274" t="n">
        <x:v>0.41</x:v>
      </x:c>
      <x:c r="C707" s="274" t="n">
        <x:v>0</x:v>
      </x:c>
      <x:c r="D707" s="274" t="n">
        <x:v>0</x:v>
      </x:c>
      <x:c r="F707" s="274" t="s">
        <x:v>333</x:v>
      </x:c>
      <x:c r="G707" s="274" t="s">
        <x:v>209</x:v>
      </x:c>
      <x:c r="I707" s="274" t="n">
        <x:v>1.2</x:v>
      </x:c>
      <x:c r="J707" s="274" t="n">
        <x:v>200</x:v>
      </x:c>
      <x:c r="K707" s="274" t="n">
        <x:v>215</x:v>
      </x:c>
      <x:c r="M707" s="274" t="s">
        <x:v>1585</x:v>
      </x:c>
      <x:c r="N707" s="274" t="s">
        <x:v>299</x:v>
      </x:c>
    </x:row>
    <x:row r="708" spans="1:14">
      <x:c r="A708" s="274" t="s">
        <x:v>1586</x:v>
      </x:c>
      <x:c r="B708" s="274" t="n">
        <x:v>0.89</x:v>
      </x:c>
      <x:c r="C708" s="274" t="n">
        <x:v>0</x:v>
      </x:c>
      <x:c r="D708" s="274" t="n">
        <x:v>0</x:v>
      </x:c>
      <x:c r="F708" s="274" t="s">
        <x:v>333</x:v>
      </x:c>
      <x:c r="G708" s="274" t="s">
        <x:v>209</x:v>
      </x:c>
      <x:c r="I708" s="274" t="n">
        <x:v>0.6</x:v>
      </x:c>
      <x:c r="J708" s="274" t="n">
        <x:v>912</x:v>
      </x:c>
      <x:c r="K708" s="274" t="n">
        <x:v>206</x:v>
      </x:c>
      <x:c r="M708" s="274" t="s">
        <x:v>1587</x:v>
      </x:c>
      <x:c r="N708" s="274" t="s">
        <x:v>299</x:v>
      </x:c>
    </x:row>
    <x:row r="709" spans="1:14">
      <x:c r="A709" s="274" t="s">
        <x:v>1588</x:v>
      </x:c>
      <x:c r="B709" s="274" t="n">
        <x:v>2.46</x:v>
      </x:c>
      <x:c r="C709" s="274" t="n">
        <x:v>0</x:v>
      </x:c>
      <x:c r="D709" s="274" t="n">
        <x:v>0</x:v>
      </x:c>
      <x:c r="F709" s="274" t="s">
        <x:v>133</x:v>
      </x:c>
      <x:c r="G709" s="274" t="s">
        <x:v>134</x:v>
      </x:c>
      <x:c r="I709" s="274" t="n">
        <x:v>4.5</x:v>
      </x:c>
      <x:c r="J709" s="274" t="n">
        <x:v>60</x:v>
      </x:c>
      <x:c r="K709" s="274" t="n">
        <x:v>1160</x:v>
      </x:c>
      <x:c r="M709" s="274" t="s">
        <x:v>1589</x:v>
      </x:c>
      <x:c r="N709" s="274" t="s">
        <x:v>870</x:v>
      </x:c>
    </x:row>
    <x:row r="710" spans="1:14">
      <x:c r="A710" s="274" t="s">
        <x:v>1590</x:v>
      </x:c>
      <x:c r="B710" s="274" t="n">
        <x:v>0.34</x:v>
      </x:c>
      <x:c r="C710" s="274" t="n">
        <x:v>0</x:v>
      </x:c>
      <x:c r="D710" s="274" t="n">
        <x:v>0</x:v>
      </x:c>
      <x:c r="F710" s="274" t="s">
        <x:v>333</x:v>
      </x:c>
      <x:c r="G710" s="274" t="s">
        <x:v>124</x:v>
      </x:c>
      <x:c r="I710" s="274" t="n">
        <x:v>1.4</x:v>
      </x:c>
      <x:c r="J710" s="274" t="n">
        <x:v>165</x:v>
      </x:c>
      <x:c r="K710" s="274" t="n">
        <x:v>190</x:v>
      </x:c>
      <x:c r="M710" s="274" t="s">
        <x:v>1591</x:v>
      </x:c>
      <x:c r="N710" s="274" t="s">
        <x:v>870</x:v>
      </x:c>
    </x:row>
    <x:row r="711" spans="1:14">
      <x:c r="A711" s="274" t="s">
        <x:v>1592</x:v>
      </x:c>
      <x:c r="B711" s="274" t="n">
        <x:v>0.29</x:v>
      </x:c>
      <x:c r="C711" s="274" t="n">
        <x:v>0</x:v>
      </x:c>
      <x:c r="D711" s="274" t="n">
        <x:v>0</x:v>
      </x:c>
      <x:c r="F711" s="274" t="s">
        <x:v>133</x:v>
      </x:c>
      <x:c r="G711" s="274" t="s">
        <x:v>136</x:v>
      </x:c>
      <x:c r="H711" s="274" t="n">
        <x:v>45</x:v>
      </x:c>
      <x:c r="I711" s="274" t="n">
        <x:v>1</x:v>
      </x:c>
      <x:c r="J711" s="274" t="n">
        <x:v>175</x:v>
      </x:c>
      <x:c r="K711" s="274" t="n">
        <x:v>210</x:v>
      </x:c>
      <x:c r="M711" s="274" t="s">
        <x:v>1593</x:v>
      </x:c>
      <x:c r="N711" s="274" t="s">
        <x:v>870</x:v>
      </x:c>
    </x:row>
    <x:row r="712" spans="1:14">
      <x:c r="A712" s="274" t="s">
        <x:v>1594</x:v>
      </x:c>
      <x:c r="B712" s="274" t="n">
        <x:v>0.5</x:v>
      </x:c>
      <x:c r="C712" s="274" t="n">
        <x:v>0</x:v>
      </x:c>
      <x:c r="D712" s="274" t="n">
        <x:v>0</x:v>
      </x:c>
      <x:c r="F712" s="274" t="s">
        <x:v>133</x:v>
      </x:c>
      <x:c r="G712" s="274" t="s">
        <x:v>144</x:v>
      </x:c>
      <x:c r="H712" s="274" t="n">
        <x:v>45</x:v>
      </x:c>
      <x:c r="I712" s="274" t="n">
        <x:v>1.6</x:v>
      </x:c>
      <x:c r="J712" s="274" t="n">
        <x:v>165</x:v>
      </x:c>
      <x:c r="K712" s="274" t="n">
        <x:v>240</x:v>
      </x:c>
      <x:c r="M712" s="274" t="s">
        <x:v>1595</x:v>
      </x:c>
      <x:c r="N712" s="274" t="s">
        <x:v>870</x:v>
      </x:c>
    </x:row>
    <x:row r="713" spans="1:14">
      <x:c r="A713" s="274" t="s">
        <x:v>1596</x:v>
      </x:c>
      <x:c r="B713" s="274" t="n">
        <x:v>0.29</x:v>
      </x:c>
      <x:c r="C713" s="274" t="n">
        <x:v>0</x:v>
      </x:c>
      <x:c r="D713" s="274" t="n">
        <x:v>0</x:v>
      </x:c>
      <x:c r="F713" s="274" t="s">
        <x:v>128</x:v>
      </x:c>
      <x:c r="G713" s="274" t="s">
        <x:v>129</x:v>
      </x:c>
      <x:c r="H713" s="274" t="n">
        <x:v>45</x:v>
      </x:c>
      <x:c r="I713" s="274" t="n">
        <x:v>0.6</x:v>
      </x:c>
      <x:c r="J713" s="274" t="n">
        <x:v>245</x:v>
      </x:c>
      <x:c r="K713" s="274" t="n">
        <x:v>250</x:v>
      </x:c>
      <x:c r="M713" s="274" t="s">
        <x:v>1597</x:v>
      </x:c>
      <x:c r="N713" s="274" t="s">
        <x:v>870</x:v>
      </x:c>
    </x:row>
    <x:row r="714" spans="1:14">
      <x:c r="A714" s="274" t="s">
        <x:v>1598</x:v>
      </x:c>
      <x:c r="B714" s="274" t="n">
        <x:v>2.95</x:v>
      </x:c>
      <x:c r="C714" s="274" t="n">
        <x:v>0</x:v>
      </x:c>
      <x:c r="D714" s="274" t="n">
        <x:v>0</x:v>
      </x:c>
      <x:c r="F714" s="274" t="s">
        <x:v>133</x:v>
      </x:c>
      <x:c r="G714" s="274" t="s">
        <x:v>148</x:v>
      </x:c>
      <x:c r="I714" s="274" t="n">
        <x:v>4.5</x:v>
      </x:c>
      <x:c r="J714" s="274" t="n">
        <x:v>222</x:v>
      </x:c>
      <x:c r="K714" s="274" t="n">
        <x:v>376</x:v>
      </x:c>
      <x:c r="M714" s="274" t="s">
        <x:v>1599</x:v>
      </x:c>
      <x:c r="N714" s="274" t="s">
        <x:v>870</x:v>
      </x:c>
    </x:row>
    <x:row r="715" spans="1:14">
      <x:c r="A715" s="274" t="s">
        <x:v>1600</x:v>
      </x:c>
      <x:c r="B715" s="274" t="n">
        <x:v>0.97</x:v>
      </x:c>
      <x:c r="C715" s="274" t="n">
        <x:v>0</x:v>
      </x:c>
      <x:c r="D715" s="274" t="n">
        <x:v>0</x:v>
      </x:c>
      <x:c r="F715" s="274" t="s">
        <x:v>333</x:v>
      </x:c>
      <x:c r="G715" s="274" t="s">
        <x:v>209</x:v>
      </x:c>
      <x:c r="I715" s="274" t="n">
        <x:v>1.2</x:v>
      </x:c>
      <x:c r="J715" s="274" t="n">
        <x:v>82</x:v>
      </x:c>
      <x:c r="K715" s="274" t="n">
        <x:v>1250</x:v>
      </x:c>
      <x:c r="M715" s="274" t="s">
        <x:v>1601</x:v>
      </x:c>
      <x:c r="N715" s="274" t="s">
        <x:v>1602</x:v>
      </x:c>
    </x:row>
    <x:row r="716" spans="1:14">
      <x:c r="A716" s="274" t="s">
        <x:v>1603</x:v>
      </x:c>
      <x:c r="B716" s="274" t="n">
        <x:v>1.4</x:v>
      </x:c>
      <x:c r="C716" s="274" t="n">
        <x:v>0</x:v>
      </x:c>
      <x:c r="D716" s="274" t="n">
        <x:v>0</x:v>
      </x:c>
      <x:c r="F716" s="274" t="s">
        <x:v>123</x:v>
      </x:c>
      <x:c r="G716" s="274" t="s">
        <x:v>148</x:v>
      </x:c>
      <x:c r="I716" s="274" t="n">
        <x:v>1.6</x:v>
      </x:c>
      <x:c r="J716" s="274" t="n">
        <x:v>89</x:v>
      </x:c>
      <x:c r="K716" s="274" t="n">
        <x:v>1250</x:v>
      </x:c>
      <x:c r="M716" s="274" t="s">
        <x:v>1604</x:v>
      </x:c>
      <x:c r="N716" s="274" t="s">
        <x:v>1605</x:v>
      </x:c>
    </x:row>
    <x:row r="717" spans="1:14">
      <x:c r="A717" s="274" t="s">
        <x:v>1606</x:v>
      </x:c>
      <x:c r="B717" s="274" t="n">
        <x:v>2.77</x:v>
      </x:c>
      <x:c r="C717" s="274" t="n">
        <x:v>0</x:v>
      </x:c>
      <x:c r="D717" s="274" t="n">
        <x:v>0</x:v>
      </x:c>
      <x:c r="F717" s="274" t="s">
        <x:v>333</x:v>
      </x:c>
      <x:c r="G717" s="274" t="s">
        <x:v>209</x:v>
      </x:c>
      <x:c r="I717" s="274" t="n">
        <x:v>1.2</x:v>
      </x:c>
      <x:c r="J717" s="274" t="n">
        <x:v>235</x:v>
      </x:c>
      <x:c r="K717" s="274" t="n">
        <x:v>1250</x:v>
      </x:c>
      <x:c r="M717" s="274" t="s">
        <x:v>1607</x:v>
      </x:c>
      <x:c r="N717" s="274" t="s">
        <x:v>1602</x:v>
      </x:c>
    </x:row>
    <x:row r="718" spans="1:14">
      <x:c r="A718" s="274" t="s">
        <x:v>1608</x:v>
      </x:c>
      <x:c r="B718" s="274" t="n">
        <x:v>4.29</x:v>
      </x:c>
      <x:c r="C718" s="274" t="n">
        <x:v>0</x:v>
      </x:c>
      <x:c r="D718" s="274" t="n">
        <x:v>0</x:v>
      </x:c>
      <x:c r="F718" s="274" t="s">
        <x:v>133</x:v>
      </x:c>
      <x:c r="G718" s="274" t="s">
        <x:v>134</x:v>
      </x:c>
      <x:c r="I718" s="274" t="n">
        <x:v>2.3</x:v>
      </x:c>
      <x:c r="J718" s="274" t="n">
        <x:v>193</x:v>
      </x:c>
      <x:c r="K718" s="274" t="n">
        <x:v>1230</x:v>
      </x:c>
      <x:c r="M718" s="274" t="s">
        <x:v>1609</x:v>
      </x:c>
      <x:c r="N718" s="274" t="s">
        <x:v>1610</x:v>
      </x:c>
    </x:row>
    <x:row r="719" spans="1:14">
      <x:c r="A719" s="274" t="s">
        <x:v>1611</x:v>
      </x:c>
      <x:c r="B719" s="274" t="n">
        <x:v>2</x:v>
      </x:c>
      <x:c r="C719" s="274" t="n">
        <x:v>0</x:v>
      </x:c>
      <x:c r="D719" s="274" t="n">
        <x:v>0</x:v>
      </x:c>
      <x:c r="F719" s="274" t="s">
        <x:v>133</x:v>
      </x:c>
      <x:c r="G719" s="274" t="s">
        <x:v>144</x:v>
      </x:c>
      <x:c r="H719" s="274" t="n">
        <x:v>45</x:v>
      </x:c>
      <x:c r="I719" s="274" t="n">
        <x:v>1.6</x:v>
      </x:c>
      <x:c r="J719" s="274" t="n">
        <x:v>565</x:v>
      </x:c>
      <x:c r="K719" s="274" t="n">
        <x:v>280</x:v>
      </x:c>
      <x:c r="M719" s="274" t="s">
        <x:v>1612</x:v>
      </x:c>
      <x:c r="N719" s="274" t="s">
        <x:v>1610</x:v>
      </x:c>
    </x:row>
    <x:row r="720" spans="1:14">
      <x:c r="A720" s="274" t="s">
        <x:v>1613</x:v>
      </x:c>
      <x:c r="B720" s="274" t="n">
        <x:v>2.65</x:v>
      </x:c>
      <x:c r="C720" s="274" t="n">
        <x:v>0</x:v>
      </x:c>
      <x:c r="D720" s="274" t="n">
        <x:v>0</x:v>
      </x:c>
      <x:c r="F720" s="274" t="s">
        <x:v>184</x:v>
      </x:c>
      <x:c r="G720" s="274" t="s">
        <x:v>1614</x:v>
      </x:c>
      <x:c r="H720" s="274" t="n">
        <x:v>45</x:v>
      </x:c>
      <x:c r="I720" s="274" t="n">
        <x:v>1.8</x:v>
      </x:c>
      <x:c r="J720" s="274" t="n">
        <x:v>1035</x:v>
      </x:c>
      <x:c r="K720" s="274" t="n">
        <x:v>180</x:v>
      </x:c>
      <x:c r="M720" s="274" t="s">
        <x:v>1615</x:v>
      </x:c>
      <x:c r="N720" s="274" t="s">
        <x:v>1605</x:v>
      </x:c>
    </x:row>
    <x:row r="721" spans="1:14">
      <x:c r="A721" s="274" t="s">
        <x:v>1616</x:v>
      </x:c>
      <x:c r="B721" s="274" t="n">
        <x:v>0.4</x:v>
      </x:c>
      <x:c r="C721" s="274" t="n">
        <x:v>0</x:v>
      </x:c>
      <x:c r="D721" s="274" t="n">
        <x:v>0</x:v>
      </x:c>
      <x:c r="F721" s="274" t="s">
        <x:v>123</x:v>
      </x:c>
      <x:c r="G721" s="274" t="s">
        <x:v>209</x:v>
      </x:c>
      <x:c r="I721" s="274" t="n">
        <x:v>0.55</x:v>
      </x:c>
      <x:c r="J721" s="274" t="n">
        <x:v>984</x:v>
      </x:c>
      <x:c r="K721" s="274" t="n">
        <x:v>95</x:v>
      </x:c>
      <x:c r="M721" s="274" t="s">
        <x:v>1617</x:v>
      </x:c>
      <x:c r="N721" s="274" t="s">
        <x:v>870</x:v>
      </x:c>
    </x:row>
    <x:row r="722" spans="1:14">
      <x:c r="A722" s="274" t="s">
        <x:v>1618</x:v>
      </x:c>
      <x:c r="B722" s="274" t="n">
        <x:v>5.18</x:v>
      </x:c>
      <x:c r="C722" s="274" t="n">
        <x:v>0</x:v>
      </x:c>
      <x:c r="D722" s="274" t="n">
        <x:v>0</x:v>
      </x:c>
      <x:c r="F722" s="274" t="s">
        <x:v>128</x:v>
      </x:c>
      <x:c r="G722" s="274" t="s">
        <x:v>496</x:v>
      </x:c>
      <x:c r="H722" s="274" t="n">
        <x:v>45</x:v>
      </x:c>
      <x:c r="I722" s="274" t="n">
        <x:v>2.6</x:v>
      </x:c>
      <x:c r="J722" s="274" t="n">
        <x:v>216</x:v>
      </x:c>
      <x:c r="K722" s="274" t="n">
        <x:v>1170</x:v>
      </x:c>
      <x:c r="M722" s="274" t="s">
        <x:v>1619</x:v>
      </x:c>
      <x:c r="N722" s="274" t="s">
        <x:v>870</x:v>
      </x:c>
    </x:row>
    <x:row r="723" spans="1:14">
      <x:c r="A723" s="274" t="s">
        <x:v>1620</x:v>
      </x:c>
      <x:c r="B723" s="274" t="n">
        <x:v>2.05</x:v>
      </x:c>
      <x:c r="C723" s="274" t="n">
        <x:v>0</x:v>
      </x:c>
      <x:c r="D723" s="274" t="n">
        <x:v>0</x:v>
      </x:c>
      <x:c r="F723" s="274" t="s">
        <x:v>133</x:v>
      </x:c>
      <x:c r="G723" s="274" t="s">
        <x:v>134</x:v>
      </x:c>
      <x:c r="I723" s="274" t="n">
        <x:v>1.8</x:v>
      </x:c>
      <x:c r="J723" s="274" t="n">
        <x:v>119</x:v>
      </x:c>
      <x:c r="K723" s="274" t="n">
        <x:v>1222</x:v>
      </x:c>
      <x:c r="M723" s="274" t="s">
        <x:v>1621</x:v>
      </x:c>
      <x:c r="N723" s="274" t="s">
        <x:v>1605</x:v>
      </x:c>
    </x:row>
    <x:row r="724" spans="1:14">
      <x:c r="A724" s="274" t="s">
        <x:v>1622</x:v>
      </x:c>
      <x:c r="B724" s="274" t="n">
        <x:v>3.14</x:v>
      </x:c>
      <x:c r="C724" s="274" t="n">
        <x:v>0</x:v>
      </x:c>
      <x:c r="D724" s="274" t="n">
        <x:v>0</x:v>
      </x:c>
      <x:c r="F724" s="274" t="s">
        <x:v>133</x:v>
      </x:c>
      <x:c r="G724" s="274" t="s">
        <x:v>134</x:v>
      </x:c>
      <x:c r="I724" s="274" t="n">
        <x:v>3.2</x:v>
      </x:c>
      <x:c r="J724" s="274" t="n">
        <x:v>100</x:v>
      </x:c>
      <x:c r="K724" s="274" t="n">
        <x:v>1250</x:v>
      </x:c>
      <x:c r="M724" s="274" t="s">
        <x:v>1623</x:v>
      </x:c>
      <x:c r="N724" s="274" t="s">
        <x:v>1624</x:v>
      </x:c>
    </x:row>
    <x:row r="725" spans="1:14">
      <x:c r="A725" s="274" t="s">
        <x:v>1625</x:v>
      </x:c>
      <x:c r="B725" s="274" t="n">
        <x:v>0.48</x:v>
      </x:c>
      <x:c r="C725" s="274" t="n">
        <x:v>0</x:v>
      </x:c>
      <x:c r="D725" s="274" t="n">
        <x:v>0</x:v>
      </x:c>
      <x:c r="F725" s="274" t="s">
        <x:v>133</x:v>
      </x:c>
      <x:c r="G725" s="274" t="s">
        <x:v>136</x:v>
      </x:c>
      <x:c r="H725" s="274" t="n">
        <x:v>45</x:v>
      </x:c>
      <x:c r="I725" s="274" t="n">
        <x:v>1.6</x:v>
      </x:c>
      <x:c r="J725" s="274" t="n">
        <x:v>110</x:v>
      </x:c>
      <x:c r="K725" s="274" t="n">
        <x:v>347</x:v>
      </x:c>
      <x:c r="M725" s="274" t="s">
        <x:v>1626</x:v>
      </x:c>
      <x:c r="N725" s="274" t="s">
        <x:v>1605</x:v>
      </x:c>
    </x:row>
    <x:row r="726" spans="1:14">
      <x:c r="A726" s="274" t="s">
        <x:v>1627</x:v>
      </x:c>
      <x:c r="B726" s="274" t="n">
        <x:v>0.72</x:v>
      </x:c>
      <x:c r="C726" s="274" t="n">
        <x:v>0</x:v>
      </x:c>
      <x:c r="D726" s="274" t="n">
        <x:v>0</x:v>
      </x:c>
      <x:c r="F726" s="274" t="s">
        <x:v>133</x:v>
      </x:c>
      <x:c r="G726" s="274" t="s">
        <x:v>144</x:v>
      </x:c>
      <x:c r="H726" s="274" t="n">
        <x:v>45</x:v>
      </x:c>
      <x:c r="I726" s="274" t="n">
        <x:v>2</x:v>
      </x:c>
      <x:c r="J726" s="274" t="n">
        <x:v>260</x:v>
      </x:c>
      <x:c r="K726" s="274" t="n">
        <x:v>175</x:v>
      </x:c>
      <x:c r="M726" s="274" t="s">
        <x:v>1628</x:v>
      </x:c>
      <x:c r="N726" s="274" t="s">
        <x:v>1605</x:v>
      </x:c>
    </x:row>
    <x:row r="727" spans="1:14">
      <x:c r="A727" s="274" t="s">
        <x:v>1629</x:v>
      </x:c>
      <x:c r="B727" s="274" t="n">
        <x:v>0.17</x:v>
      </x:c>
      <x:c r="C727" s="274" t="n">
        <x:v>35</x:v>
      </x:c>
      <x:c r="D727" s="274" t="n">
        <x:v>35</x:v>
      </x:c>
      <x:c r="E727" s="274" t="n">
        <x:v>33</x:v>
      </x:c>
      <x:c r="F727" s="274" t="s">
        <x:v>333</x:v>
      </x:c>
      <x:c r="G727" s="274" t="s">
        <x:v>124</x:v>
      </x:c>
      <x:c r="I727" s="274" t="n">
        <x:v>1.6</x:v>
      </x:c>
      <x:c r="J727" s="274" t="n">
        <x:v>150</x:v>
      </x:c>
      <x:c r="K727" s="274" t="n">
        <x:v>90</x:v>
      </x:c>
      <x:c r="M727" s="274" t="s">
        <x:v>1630</x:v>
      </x:c>
      <x:c r="N727" s="274" t="s">
        <x:v>155</x:v>
      </x:c>
    </x:row>
    <x:row r="728" spans="1:14">
      <x:c r="A728" s="274" t="s">
        <x:v>1631</x:v>
      </x:c>
      <x:c r="B728" s="274" t="n">
        <x:v>2.04</x:v>
      </x:c>
      <x:c r="C728" s="274" t="n">
        <x:v>0</x:v>
      </x:c>
      <x:c r="D728" s="274" t="n">
        <x:v>0</x:v>
      </x:c>
      <x:c r="F728" s="274" t="s">
        <x:v>133</x:v>
      </x:c>
      <x:c r="G728" s="274" t="s">
        <x:v>134</x:v>
      </x:c>
      <x:c r="I728" s="274" t="n">
        <x:v>3.2</x:v>
      </x:c>
      <x:c r="J728" s="274" t="n">
        <x:v>235</x:v>
      </x:c>
      <x:c r="K728" s="274" t="n">
        <x:v>345</x:v>
      </x:c>
      <x:c r="M728" s="274" t="s">
        <x:v>1632</x:v>
      </x:c>
      <x:c r="N728" s="274" t="s">
        <x:v>847</x:v>
      </x:c>
    </x:row>
    <x:row r="729" spans="1:14">
      <x:c r="A729" s="274" t="s">
        <x:v>1633</x:v>
      </x:c>
      <x:c r="B729" s="274" t="n">
        <x:v>0.25</x:v>
      </x:c>
      <x:c r="C729" s="274" t="n">
        <x:v>0</x:v>
      </x:c>
      <x:c r="D729" s="274" t="n">
        <x:v>35</x:v>
      </x:c>
      <x:c r="E729" s="274" t="n">
        <x:v>33</x:v>
      </x:c>
      <x:c r="F729" s="274" t="s">
        <x:v>333</x:v>
      </x:c>
      <x:c r="G729" s="274" t="s">
        <x:v>153</x:v>
      </x:c>
      <x:c r="I729" s="274" t="n">
        <x:v>0.6</x:v>
      </x:c>
      <x:c r="J729" s="274" t="n">
        <x:v>455</x:v>
      </x:c>
      <x:c r="K729" s="274" t="n">
        <x:v>116</x:v>
      </x:c>
      <x:c r="M729" s="274" t="s">
        <x:v>1634</x:v>
      </x:c>
    </x:row>
    <x:row r="730" spans="1:14">
      <x:c r="A730" s="274" t="s">
        <x:v>1635</x:v>
      </x:c>
      <x:c r="B730" s="274" t="n">
        <x:v>5.97</x:v>
      </x:c>
      <x:c r="C730" s="274" t="n">
        <x:v>0</x:v>
      </x:c>
      <x:c r="D730" s="274" t="n">
        <x:v>0</x:v>
      </x:c>
      <x:c r="F730" s="274" t="s">
        <x:v>133</x:v>
      </x:c>
      <x:c r="G730" s="274" t="s">
        <x:v>1636</x:v>
      </x:c>
      <x:c r="I730" s="274" t="n">
        <x:v>8</x:v>
      </x:c>
      <x:c r="J730" s="274" t="n">
        <x:v>1250</x:v>
      </x:c>
      <x:c r="K730" s="274" t="n">
        <x:v>76</x:v>
      </x:c>
      <x:c r="M730" s="274" t="s">
        <x:v>1637</x:v>
      </x:c>
      <x:c r="N730" s="274" t="s">
        <x:v>229</x:v>
      </x:c>
    </x:row>
    <x:row r="731" spans="1:14">
      <x:c r="A731" s="274" t="s">
        <x:v>1638</x:v>
      </x:c>
      <x:c r="B731" s="274" t="n">
        <x:v>0.25</x:v>
      </x:c>
      <x:c r="C731" s="274" t="n">
        <x:v>0</x:v>
      </x:c>
      <x:c r="D731" s="274" t="n">
        <x:v>35</x:v>
      </x:c>
      <x:c r="E731" s="274" t="n">
        <x:v>33</x:v>
      </x:c>
      <x:c r="F731" s="274" t="s">
        <x:v>133</x:v>
      </x:c>
      <x:c r="G731" s="274" t="s">
        <x:v>136</x:v>
      </x:c>
      <x:c r="H731" s="274" t="n">
        <x:v>45</x:v>
      </x:c>
      <x:c r="I731" s="274" t="n">
        <x:v>2</x:v>
      </x:c>
      <x:c r="J731" s="274" t="n">
        <x:v>120</x:v>
      </x:c>
      <x:c r="K731" s="274" t="n">
        <x:v>130</x:v>
      </x:c>
      <x:c r="M731" s="274" t="s">
        <x:v>1639</x:v>
      </x:c>
      <x:c r="N731" s="274" t="s">
        <x:v>131</x:v>
      </x:c>
    </x:row>
    <x:row r="732" spans="1:14">
      <x:c r="A732" s="274" t="s">
        <x:v>1640</x:v>
      </x:c>
      <x:c r="B732" s="274" t="n">
        <x:v>5.83</x:v>
      </x:c>
      <x:c r="C732" s="274" t="n">
        <x:v>0</x:v>
      </x:c>
      <x:c r="D732" s="274" t="n">
        <x:v>0</x:v>
      </x:c>
      <x:c r="F732" s="274" t="s">
        <x:v>133</x:v>
      </x:c>
      <x:c r="G732" s="274" t="s">
        <x:v>136</x:v>
      </x:c>
      <x:c r="H732" s="274" t="n">
        <x:v>45</x:v>
      </x:c>
      <x:c r="I732" s="274" t="n">
        <x:v>1.6</x:v>
      </x:c>
      <x:c r="J732" s="274" t="n">
        <x:v>800</x:v>
      </x:c>
      <x:c r="K732" s="274" t="n">
        <x:v>576</x:v>
      </x:c>
      <x:c r="M732" s="274" t="s">
        <x:v>1641</x:v>
      </x:c>
      <x:c r="N732" s="274" t="s">
        <x:v>1642</x:v>
      </x:c>
    </x:row>
    <x:row r="733" spans="1:14">
      <x:c r="A733" s="274" t="s">
        <x:v>1643</x:v>
      </x:c>
      <x:c r="B733" s="274" t="n">
        <x:v>3.09</x:v>
      </x:c>
      <x:c r="C733" s="274" t="n">
        <x:v>0</x:v>
      </x:c>
      <x:c r="D733" s="274" t="n">
        <x:v>0</x:v>
      </x:c>
      <x:c r="F733" s="274" t="s">
        <x:v>133</x:v>
      </x:c>
      <x:c r="G733" s="274" t="s">
        <x:v>136</x:v>
      </x:c>
      <x:c r="H733" s="274" t="n">
        <x:v>45</x:v>
      </x:c>
      <x:c r="I733" s="274" t="n">
        <x:v>1.2</x:v>
      </x:c>
      <x:c r="J733" s="274" t="n">
        <x:v>347</x:v>
      </x:c>
      <x:c r="K733" s="274" t="n">
        <x:v>936</x:v>
      </x:c>
      <x:c r="M733" s="274" t="s">
        <x:v>1644</x:v>
      </x:c>
      <x:c r="N733" s="274" t="s">
        <x:v>1642</x:v>
      </x:c>
    </x:row>
    <x:row r="734" spans="1:14">
      <x:c r="A734" s="274" t="s">
        <x:v>1645</x:v>
      </x:c>
      <x:c r="B734" s="274" t="n">
        <x:v>5.1</x:v>
      </x:c>
      <x:c r="C734" s="274" t="n">
        <x:v>0</x:v>
      </x:c>
      <x:c r="D734" s="274" t="n">
        <x:v>0</x:v>
      </x:c>
      <x:c r="F734" s="274" t="s">
        <x:v>133</x:v>
      </x:c>
      <x:c r="G734" s="274" t="s">
        <x:v>136</x:v>
      </x:c>
      <x:c r="H734" s="274" t="n">
        <x:v>45</x:v>
      </x:c>
      <x:c r="I734" s="274" t="n">
        <x:v>1.2</x:v>
      </x:c>
      <x:c r="J734" s="274" t="n">
        <x:v>371</x:v>
      </x:c>
      <x:c r="K734" s="274" t="n">
        <x:v>1445</x:v>
      </x:c>
      <x:c r="M734" s="274" t="s">
        <x:v>1644</x:v>
      </x:c>
      <x:c r="N734" s="274" t="s">
        <x:v>1646</x:v>
      </x:c>
    </x:row>
    <x:row r="735" spans="1:14">
      <x:c r="A735" s="274" t="s">
        <x:v>1647</x:v>
      </x:c>
      <x:c r="B735" s="274" t="n">
        <x:v>6.96</x:v>
      </x:c>
      <x:c r="C735" s="274" t="n">
        <x:v>0</x:v>
      </x:c>
      <x:c r="D735" s="274" t="n">
        <x:v>30</x:v>
      </x:c>
      <x:c r="E735" s="274" t="n">
        <x:v>40</x:v>
      </x:c>
      <x:c r="F735" s="274" t="s">
        <x:v>133</x:v>
      </x:c>
      <x:c r="G735" s="274" t="s">
        <x:v>148</x:v>
      </x:c>
      <x:c r="I735" s="274" t="n">
        <x:v>2</x:v>
      </x:c>
      <x:c r="J735" s="274" t="n">
        <x:v>650</x:v>
      </x:c>
      <x:c r="K735" s="274" t="n">
        <x:v>682</x:v>
      </x:c>
      <x:c r="M735" s="274" t="s">
        <x:v>1648</x:v>
      </x:c>
      <x:c r="N735" s="274" t="s">
        <x:v>155</x:v>
      </x:c>
    </x:row>
    <x:row r="736" spans="1:14">
      <x:c r="A736" s="274" t="s">
        <x:v>1649</x:v>
      </x:c>
      <x:c r="B736" s="274" t="n">
        <x:v>7.32</x:v>
      </x:c>
      <x:c r="C736" s="274" t="n">
        <x:v>0</x:v>
      </x:c>
      <x:c r="D736" s="274" t="n">
        <x:v>30</x:v>
      </x:c>
      <x:c r="E736" s="274" t="n">
        <x:v>40</x:v>
      </x:c>
      <x:c r="F736" s="274" t="s">
        <x:v>133</x:v>
      </x:c>
      <x:c r="G736" s="274" t="s">
        <x:v>148</x:v>
      </x:c>
      <x:c r="I736" s="274" t="n">
        <x:v>2</x:v>
      </x:c>
      <x:c r="J736" s="274" t="n">
        <x:v>668</x:v>
      </x:c>
      <x:c r="K736" s="274" t="n">
        <x:v>698</x:v>
      </x:c>
      <x:c r="M736" s="274" t="s">
        <x:v>1650</x:v>
      </x:c>
      <x:c r="N736" s="274" t="s">
        <x:v>155</x:v>
      </x:c>
    </x:row>
    <x:row r="737" spans="1:14">
      <x:c r="A737" s="274" t="s">
        <x:v>1651</x:v>
      </x:c>
      <x:c r="B737" s="274" t="n">
        <x:v>2.07</x:v>
      </x:c>
      <x:c r="C737" s="274" t="n">
        <x:v>0</x:v>
      </x:c>
      <x:c r="D737" s="274" t="n">
        <x:v>0</x:v>
      </x:c>
      <x:c r="F737" s="274" t="s">
        <x:v>133</x:v>
      </x:c>
      <x:c r="G737" s="274" t="s">
        <x:v>136</x:v>
      </x:c>
      <x:c r="H737" s="274" t="n">
        <x:v>45</x:v>
      </x:c>
      <x:c r="I737" s="274" t="n">
        <x:v>0.9</x:v>
      </x:c>
      <x:c r="J737" s="274" t="n">
        <x:v>483</x:v>
      </x:c>
      <x:c r="K737" s="274" t="n">
        <x:v>600</x:v>
      </x:c>
      <x:c r="M737" s="274" t="s">
        <x:v>1652</x:v>
      </x:c>
      <x:c r="N737" s="274" t="s">
        <x:v>870</x:v>
      </x:c>
    </x:row>
    <x:row r="738" spans="1:14">
      <x:c r="A738" s="274" t="s">
        <x:v>1653</x:v>
      </x:c>
      <x:c r="B738" s="274" t="n">
        <x:v>0.87</x:v>
      </x:c>
      <x:c r="C738" s="274" t="n">
        <x:v>0</x:v>
      </x:c>
      <x:c r="D738" s="274" t="n">
        <x:v>0</x:v>
      </x:c>
      <x:c r="F738" s="274" t="s">
        <x:v>133</x:v>
      </x:c>
      <x:c r="G738" s="274" t="s">
        <x:v>148</x:v>
      </x:c>
      <x:c r="I738" s="274" t="n">
        <x:v>5</x:v>
      </x:c>
      <x:c r="J738" s="274" t="n">
        <x:v>50</x:v>
      </x:c>
      <x:c r="K738" s="274" t="n">
        <x:v>445</x:v>
      </x:c>
      <x:c r="M738" s="274" t="s">
        <x:v>1654</x:v>
      </x:c>
      <x:c r="N738" s="274" t="s">
        <x:v>870</x:v>
      </x:c>
    </x:row>
    <x:row r="739" spans="1:14">
      <x:c r="A739" s="274" t="s">
        <x:v>1655</x:v>
      </x:c>
      <x:c r="B739" s="274" t="n">
        <x:v>3.75</x:v>
      </x:c>
      <x:c r="C739" s="274" t="n">
        <x:v>0</x:v>
      </x:c>
      <x:c r="D739" s="274" t="n">
        <x:v>0</x:v>
      </x:c>
      <x:c r="F739" s="274" t="s">
        <x:v>123</x:v>
      </x:c>
      <x:c r="G739" s="274" t="s">
        <x:v>124</x:v>
      </x:c>
      <x:c r="I739" s="274" t="n">
        <x:v>1.4</x:v>
      </x:c>
      <x:c r="J739" s="274" t="n">
        <x:v>1171</x:v>
      </x:c>
      <x:c r="K739" s="274" t="n">
        <x:v>291</x:v>
      </x:c>
      <x:c r="M739" s="274" t="s">
        <x:v>1656</x:v>
      </x:c>
      <x:c r="N739" s="274" t="s">
        <x:v>870</x:v>
      </x:c>
    </x:row>
    <x:row r="740" spans="1:14">
      <x:c r="A740" s="274" t="s">
        <x:v>1657</x:v>
      </x:c>
      <x:c r="B740" s="274" t="n">
        <x:v>3.8</x:v>
      </x:c>
      <x:c r="C740" s="274" t="n">
        <x:v>0</x:v>
      </x:c>
      <x:c r="D740" s="274" t="n">
        <x:v>21</x:v>
      </x:c>
      <x:c r="E740" s="274" t="n">
        <x:v>19</x:v>
      </x:c>
      <x:c r="F740" s="274" t="s">
        <x:v>128</x:v>
      </x:c>
      <x:c r="G740" s="274" t="s">
        <x:v>136</x:v>
      </x:c>
      <x:c r="H740" s="274" t="n">
        <x:v>45</x:v>
      </x:c>
      <x:c r="I740" s="274" t="n">
        <x:v>2.3</x:v>
      </x:c>
      <x:c r="J740" s="274" t="n">
        <x:v>176</x:v>
      </x:c>
      <x:c r="K740" s="274" t="n">
        <x:v>1190</x:v>
      </x:c>
      <x:c r="M740" s="274" t="s">
        <x:v>1658</x:v>
      </x:c>
      <x:c r="N740" s="274" t="s">
        <x:v>870</x:v>
      </x:c>
    </x:row>
    <x:row r="741" spans="1:14">
      <x:c r="A741" s="274" t="s">
        <x:v>1659</x:v>
      </x:c>
      <x:c r="B741" s="274" t="n">
        <x:v>0.16</x:v>
      </x:c>
      <x:c r="C741" s="274" t="n">
        <x:v>0</x:v>
      </x:c>
      <x:c r="D741" s="274" t="n">
        <x:v>0</x:v>
      </x:c>
      <x:c r="F741" s="274" t="s">
        <x:v>133</x:v>
      </x:c>
      <x:c r="G741" s="274" t="s">
        <x:v>136</x:v>
      </x:c>
      <x:c r="H741" s="274" t="n">
        <x:v>45</x:v>
      </x:c>
      <x:c r="I741" s="274" t="n">
        <x:v>1</x:v>
      </x:c>
      <x:c r="J741" s="274" t="n">
        <x:v>200</x:v>
      </x:c>
      <x:c r="K741" s="274" t="n">
        <x:v>101</x:v>
      </x:c>
      <x:c r="M741" s="274" t="s">
        <x:v>1660</x:v>
      </x:c>
      <x:c r="N741" s="274" t="s">
        <x:v>299</x:v>
      </x:c>
    </x:row>
    <x:row r="742" spans="1:14">
      <x:c r="A742" s="274" t="s">
        <x:v>1661</x:v>
      </x:c>
      <x:c r="B742" s="274" t="n">
        <x:v>3.85</x:v>
      </x:c>
      <x:c r="C742" s="274" t="n">
        <x:v>0</x:v>
      </x:c>
      <x:c r="D742" s="274" t="n">
        <x:v>0</x:v>
      </x:c>
      <x:c r="F742" s="274" t="s">
        <x:v>133</x:v>
      </x:c>
      <x:c r="G742" s="274" t="s">
        <x:v>134</x:v>
      </x:c>
      <x:c r="I742" s="274" t="n">
        <x:v>2.3</x:v>
      </x:c>
      <x:c r="J742" s="274" t="n">
        <x:v>183</x:v>
      </x:c>
      <x:c r="K742" s="274" t="n">
        <x:v>1164</x:v>
      </x:c>
      <x:c r="M742" s="274" t="s">
        <x:v>1662</x:v>
      </x:c>
      <x:c r="N742" s="274" t="s">
        <x:v>870</x:v>
      </x:c>
    </x:row>
    <x:row r="743" spans="1:14">
      <x:c r="A743" s="274" t="s">
        <x:v>1663</x:v>
      </x:c>
      <x:c r="B743" s="274" t="n">
        <x:v>0.65</x:v>
      </x:c>
      <x:c r="C743" s="274" t="n">
        <x:v>0</x:v>
      </x:c>
      <x:c r="D743" s="274" t="n">
        <x:v>0</x:v>
      </x:c>
      <x:c r="F743" s="274" t="s">
        <x:v>333</x:v>
      </x:c>
      <x:c r="G743" s="274" t="s">
        <x:v>209</x:v>
      </x:c>
      <x:c r="I743" s="274" t="n">
        <x:v>1.4</x:v>
      </x:c>
      <x:c r="J743" s="274" t="n">
        <x:v>120</x:v>
      </x:c>
      <x:c r="K743" s="274" t="n">
        <x:v>490</x:v>
      </x:c>
      <x:c r="M743" s="274" t="s">
        <x:v>1664</x:v>
      </x:c>
      <x:c r="N743" s="274" t="s">
        <x:v>870</x:v>
      </x:c>
    </x:row>
    <x:row r="744" spans="1:14">
      <x:c r="A744" s="274" t="s">
        <x:v>1665</x:v>
      </x:c>
      <x:c r="B744" s="274" t="n">
        <x:v>1.48</x:v>
      </x:c>
      <x:c r="C744" s="274" t="n">
        <x:v>0</x:v>
      </x:c>
      <x:c r="D744" s="274" t="n">
        <x:v>0</x:v>
      </x:c>
      <x:c r="F744" s="274" t="s">
        <x:v>123</x:v>
      </x:c>
      <x:c r="G744" s="274" t="s">
        <x:v>153</x:v>
      </x:c>
      <x:c r="I744" s="274" t="n">
        <x:v>1.4</x:v>
      </x:c>
      <x:c r="J744" s="274" t="n">
        <x:v>112</x:v>
      </x:c>
      <x:c r="K744" s="274" t="n">
        <x:v>1200</x:v>
      </x:c>
      <x:c r="M744" s="274" t="s">
        <x:v>1666</x:v>
      </x:c>
      <x:c r="N744" s="274" t="s">
        <x:v>870</x:v>
      </x:c>
    </x:row>
    <x:row r="745" spans="1:14">
      <x:c r="A745" s="274" t="s">
        <x:v>1667</x:v>
      </x:c>
      <x:c r="B745" s="274" t="n">
        <x:v>6.03</x:v>
      </x:c>
      <x:c r="C745" s="274" t="n">
        <x:v>0</x:v>
      </x:c>
      <x:c r="D745" s="274" t="n">
        <x:v>0</x:v>
      </x:c>
      <x:c r="F745" s="274" t="s">
        <x:v>133</x:v>
      </x:c>
      <x:c r="G745" s="274" t="s">
        <x:v>148</x:v>
      </x:c>
      <x:c r="I745" s="274" t="n">
        <x:v>5</x:v>
      </x:c>
      <x:c r="J745" s="274" t="n">
        <x:v>290</x:v>
      </x:c>
      <x:c r="K745" s="274" t="n">
        <x:v>530</x:v>
      </x:c>
      <x:c r="M745" s="274" t="s">
        <x:v>1668</x:v>
      </x:c>
      <x:c r="N745" s="274" t="s">
        <x:v>870</x:v>
      </x:c>
    </x:row>
    <x:row r="746" spans="1:14">
      <x:c r="A746" s="274" t="s">
        <x:v>1669</x:v>
      </x:c>
      <x:c r="B746" s="274" t="n">
        <x:v>0.27</x:v>
      </x:c>
      <x:c r="C746" s="274" t="n">
        <x:v>0</x:v>
      </x:c>
      <x:c r="D746" s="274" t="n">
        <x:v>0</x:v>
      </x:c>
      <x:c r="F746" s="274" t="s">
        <x:v>123</x:v>
      </x:c>
      <x:c r="G746" s="274" t="s">
        <x:v>148</x:v>
      </x:c>
      <x:c r="I746" s="274" t="n">
        <x:v>1.6</x:v>
      </x:c>
      <x:c r="J746" s="274" t="n">
        <x:v>50</x:v>
      </x:c>
      <x:c r="K746" s="274" t="n">
        <x:v>425</x:v>
      </x:c>
      <x:c r="M746" s="274" t="s">
        <x:v>1670</x:v>
      </x:c>
      <x:c r="N746" s="274" t="s">
        <x:v>870</x:v>
      </x:c>
    </x:row>
    <x:row r="747" spans="1:14">
      <x:c r="A747" s="274" t="s">
        <x:v>1671</x:v>
      </x:c>
      <x:c r="B747" s="274" t="n">
        <x:v>0.95</x:v>
      </x:c>
      <x:c r="C747" s="274" t="n">
        <x:v>0</x:v>
      </x:c>
      <x:c r="D747" s="274" t="n">
        <x:v>0</x:v>
      </x:c>
      <x:c r="F747" s="274" t="s">
        <x:v>123</x:v>
      </x:c>
      <x:c r="G747" s="274" t="s">
        <x:v>209</x:v>
      </x:c>
      <x:c r="I747" s="274" t="n">
        <x:v>1.2</x:v>
      </x:c>
      <x:c r="J747" s="274" t="n">
        <x:v>85</x:v>
      </x:c>
      <x:c r="K747" s="274" t="n">
        <x:v>1182</x:v>
      </x:c>
      <x:c r="M747" s="274" t="s">
        <x:v>1672</x:v>
      </x:c>
      <x:c r="N747" s="274" t="s">
        <x:v>870</x:v>
      </x:c>
    </x:row>
    <x:row r="748" spans="1:14">
      <x:c r="A748" s="274" t="s">
        <x:v>1673</x:v>
      </x:c>
      <x:c r="B748" s="274" t="n">
        <x:v>1.36</x:v>
      </x:c>
      <x:c r="C748" s="274" t="n">
        <x:v>0</x:v>
      </x:c>
      <x:c r="D748" s="274" t="n">
        <x:v>0</x:v>
      </x:c>
      <x:c r="F748" s="274" t="s">
        <x:v>123</x:v>
      </x:c>
      <x:c r="G748" s="274" t="s">
        <x:v>209</x:v>
      </x:c>
      <x:c r="I748" s="274" t="n">
        <x:v>1.2</x:v>
      </x:c>
      <x:c r="J748" s="274" t="n">
        <x:v>122</x:v>
      </x:c>
      <x:c r="K748" s="274" t="n">
        <x:v>1184</x:v>
      </x:c>
      <x:c r="M748" s="274" t="s">
        <x:v>1674</x:v>
      </x:c>
      <x:c r="N748" s="274" t="s">
        <x:v>870</x:v>
      </x:c>
    </x:row>
    <x:row r="749" spans="1:14">
      <x:c r="A749" s="274" t="s">
        <x:v>1675</x:v>
      </x:c>
      <x:c r="B749" s="274" t="n">
        <x:v>1.16</x:v>
      </x:c>
      <x:c r="C749" s="274" t="n">
        <x:v>0</x:v>
      </x:c>
      <x:c r="D749" s="274" t="n">
        <x:v>0</x:v>
      </x:c>
      <x:c r="F749" s="274" t="s">
        <x:v>123</x:v>
      </x:c>
      <x:c r="G749" s="274" t="s">
        <x:v>209</x:v>
      </x:c>
      <x:c r="I749" s="274" t="n">
        <x:v>1.2</x:v>
      </x:c>
      <x:c r="J749" s="274" t="n">
        <x:v>103</x:v>
      </x:c>
      <x:c r="K749" s="274" t="n">
        <x:v>1197</x:v>
      </x:c>
      <x:c r="M749" s="274" t="s">
        <x:v>1676</x:v>
      </x:c>
      <x:c r="N749" s="274" t="s">
        <x:v>870</x:v>
      </x:c>
    </x:row>
    <x:row r="750" spans="1:14">
      <x:c r="A750" s="274" t="s">
        <x:v>1677</x:v>
      </x:c>
      <x:c r="B750" s="274" t="n">
        <x:v>1.88</x:v>
      </x:c>
      <x:c r="C750" s="274" t="n">
        <x:v>0</x:v>
      </x:c>
      <x:c r="D750" s="274" t="n">
        <x:v>0</x:v>
      </x:c>
      <x:c r="F750" s="274" t="s">
        <x:v>123</x:v>
      </x:c>
      <x:c r="G750" s="274" t="s">
        <x:v>209</x:v>
      </x:c>
      <x:c r="I750" s="274" t="n">
        <x:v>1.2</x:v>
      </x:c>
      <x:c r="J750" s="274" t="n">
        <x:v>167</x:v>
      </x:c>
      <x:c r="K750" s="274" t="n">
        <x:v>1195</x:v>
      </x:c>
      <x:c r="M750" s="274" t="s">
        <x:v>1678</x:v>
      </x:c>
      <x:c r="N750" s="274" t="s">
        <x:v>870</x:v>
      </x:c>
    </x:row>
    <x:row r="751" spans="1:14">
      <x:c r="A751" s="274" t="s">
        <x:v>1679</x:v>
      </x:c>
      <x:c r="B751" s="274" t="n">
        <x:v>0.62</x:v>
      </x:c>
      <x:c r="C751" s="274" t="n">
        <x:v>0</x:v>
      </x:c>
      <x:c r="D751" s="274" t="n">
        <x:v>0</x:v>
      </x:c>
      <x:c r="F751" s="274" t="s">
        <x:v>123</x:v>
      </x:c>
      <x:c r="G751" s="274" t="s">
        <x:v>209</x:v>
      </x:c>
      <x:c r="I751" s="274" t="n">
        <x:v>1.2</x:v>
      </x:c>
      <x:c r="J751" s="274" t="n">
        <x:v>56</x:v>
      </x:c>
      <x:c r="K751" s="274" t="n">
        <x:v>1180</x:v>
      </x:c>
      <x:c r="M751" s="274" t="s">
        <x:v>1680</x:v>
      </x:c>
      <x:c r="N751" s="274" t="s">
        <x:v>870</x:v>
      </x:c>
    </x:row>
    <x:row r="752" spans="1:14">
      <x:c r="A752" s="274" t="s">
        <x:v>1681</x:v>
      </x:c>
      <x:c r="B752" s="274" t="n">
        <x:v>0.94</x:v>
      </x:c>
      <x:c r="C752" s="274" t="n">
        <x:v>0</x:v>
      </x:c>
      <x:c r="D752" s="274" t="n">
        <x:v>0</x:v>
      </x:c>
      <x:c r="F752" s="274" t="s">
        <x:v>123</x:v>
      </x:c>
      <x:c r="G752" s="274" t="s">
        <x:v>209</x:v>
      </x:c>
      <x:c r="I752" s="274" t="n">
        <x:v>1.2</x:v>
      </x:c>
      <x:c r="J752" s="274" t="n">
        <x:v>86.5</x:v>
      </x:c>
      <x:c r="K752" s="274" t="n">
        <x:v>1157</x:v>
      </x:c>
      <x:c r="M752" s="274" t="s">
        <x:v>1682</x:v>
      </x:c>
      <x:c r="N752" s="274" t="s">
        <x:v>870</x:v>
      </x:c>
    </x:row>
    <x:row r="753" spans="1:14">
      <x:c r="A753" s="274" t="s">
        <x:v>1683</x:v>
      </x:c>
      <x:c r="B753" s="274" t="n">
        <x:v>1.01</x:v>
      </x:c>
      <x:c r="C753" s="274" t="n">
        <x:v>0</x:v>
      </x:c>
      <x:c r="D753" s="274" t="n">
        <x:v>0</x:v>
      </x:c>
      <x:c r="F753" s="274" t="s">
        <x:v>123</x:v>
      </x:c>
      <x:c r="G753" s="274" t="s">
        <x:v>209</x:v>
      </x:c>
      <x:c r="I753" s="274" t="n">
        <x:v>1.2</x:v>
      </x:c>
      <x:c r="J753" s="274" t="n">
        <x:v>86</x:v>
      </x:c>
      <x:c r="K753" s="274" t="n">
        <x:v>1243</x:v>
      </x:c>
      <x:c r="M753" s="274" t="s">
        <x:v>1684</x:v>
      </x:c>
      <x:c r="N753" s="274" t="s">
        <x:v>870</x:v>
      </x:c>
    </x:row>
    <x:row r="754" spans="1:14">
      <x:c r="A754" s="274" t="s">
        <x:v>1685</x:v>
      </x:c>
      <x:c r="B754" s="274" t="n">
        <x:v>1.15</x:v>
      </x:c>
      <x:c r="C754" s="274" t="n">
        <x:v>0</x:v>
      </x:c>
      <x:c r="D754" s="274" t="n">
        <x:v>0</x:v>
      </x:c>
      <x:c r="F754" s="274" t="s">
        <x:v>123</x:v>
      </x:c>
      <x:c r="G754" s="274" t="s">
        <x:v>209</x:v>
      </x:c>
      <x:c r="I754" s="274" t="n">
        <x:v>1.2</x:v>
      </x:c>
      <x:c r="J754" s="274" t="n">
        <x:v>105</x:v>
      </x:c>
      <x:c r="K754" s="274" t="n">
        <x:v>1162</x:v>
      </x:c>
      <x:c r="M754" s="274" t="s">
        <x:v>1686</x:v>
      </x:c>
      <x:c r="N754" s="274" t="s">
        <x:v>870</x:v>
      </x:c>
    </x:row>
    <x:row r="755" spans="1:14">
      <x:c r="A755" s="274" t="s">
        <x:v>1687</x:v>
      </x:c>
      <x:c r="B755" s="274" t="n">
        <x:v>3.06</x:v>
      </x:c>
      <x:c r="C755" s="274" t="n">
        <x:v>0</x:v>
      </x:c>
      <x:c r="D755" s="274" t="n">
        <x:v>0</x:v>
      </x:c>
      <x:c r="F755" s="274" t="s">
        <x:v>128</x:v>
      </x:c>
      <x:c r="G755" s="274" t="s">
        <x:v>139</x:v>
      </x:c>
      <x:c r="I755" s="274" t="n">
        <x:v>2.6</x:v>
      </x:c>
      <x:c r="J755" s="274" t="n">
        <x:v>150</x:v>
      </x:c>
      <x:c r="K755" s="274" t="n">
        <x:v>1000</x:v>
      </x:c>
      <x:c r="M755" s="274" t="s">
        <x:v>1688</x:v>
      </x:c>
      <x:c r="N755" s="274" t="s">
        <x:v>582</x:v>
      </x:c>
    </x:row>
    <x:row r="756" spans="1:14">
      <x:c r="A756" s="274" t="s">
        <x:v>1689</x:v>
      </x:c>
      <x:c r="B756" s="274" t="n">
        <x:v>2.12</x:v>
      </x:c>
      <x:c r="C756" s="274" t="n">
        <x:v>0</x:v>
      </x:c>
      <x:c r="D756" s="274" t="n">
        <x:v>32</x:v>
      </x:c>
      <x:c r="E756" s="274" t="n">
        <x:v>40</x:v>
      </x:c>
      <x:c r="F756" s="274" t="s">
        <x:v>123</x:v>
      </x:c>
      <x:c r="G756" s="274" t="s">
        <x:v>153</x:v>
      </x:c>
      <x:c r="I756" s="274" t="n">
        <x:v>1</x:v>
      </x:c>
      <x:c r="J756" s="274" t="n">
        <x:v>750</x:v>
      </x:c>
      <x:c r="K756" s="274" t="n">
        <x:v>360</x:v>
      </x:c>
      <x:c r="M756" s="274" t="s">
        <x:v>1690</x:v>
      </x:c>
      <x:c r="N756" s="274" t="s">
        <x:v>229</x:v>
      </x:c>
    </x:row>
    <x:row r="757" spans="1:14">
      <x:c r="A757" s="274" t="s">
        <x:v>1691</x:v>
      </x:c>
      <x:c r="B757" s="274" t="n">
        <x:v>1.19</x:v>
      </x:c>
      <x:c r="C757" s="274" t="n">
        <x:v>19</x:v>
      </x:c>
      <x:c r="D757" s="274" t="n">
        <x:v>26</x:v>
      </x:c>
      <x:c r="E757" s="274" t="n">
        <x:v>18</x:v>
      </x:c>
      <x:c r="F757" s="274" t="s">
        <x:v>133</x:v>
      </x:c>
      <x:c r="G757" s="274" t="s">
        <x:v>136</x:v>
      </x:c>
      <x:c r="H757" s="274" t="n">
        <x:v>45</x:v>
      </x:c>
      <x:c r="I757" s="274" t="n">
        <x:v>0.65</x:v>
      </x:c>
      <x:c r="J757" s="274" t="n">
        <x:v>230</x:v>
      </x:c>
      <x:c r="K757" s="274" t="n">
        <x:v>1000</x:v>
      </x:c>
      <x:c r="M757" s="274" t="s">
        <x:v>1692</x:v>
      </x:c>
      <x:c r="N757" s="274" t="s">
        <x:v>229</x:v>
      </x:c>
    </x:row>
    <x:row r="758" spans="1:14">
      <x:c r="A758" s="274" t="s">
        <x:v>1693</x:v>
      </x:c>
      <x:c r="B758" s="274" t="n">
        <x:v>0.3</x:v>
      </x:c>
      <x:c r="C758" s="274" t="n">
        <x:v>0</x:v>
      </x:c>
      <x:c r="D758" s="274" t="n">
        <x:v>0</x:v>
      </x:c>
      <x:c r="F758" s="274" t="s">
        <x:v>333</x:v>
      </x:c>
      <x:c r="G758" s="274" t="s">
        <x:v>209</x:v>
      </x:c>
      <x:c r="I758" s="274" t="n">
        <x:v>1.2</x:v>
      </x:c>
      <x:c r="J758" s="274" t="n">
        <x:v>78</x:v>
      </x:c>
      <x:c r="K758" s="274" t="n">
        <x:v>404</x:v>
      </x:c>
      <x:c r="M758" s="274" t="s">
        <x:v>1694</x:v>
      </x:c>
      <x:c r="N758" s="274" t="s">
        <x:v>299</x:v>
      </x:c>
    </x:row>
    <x:row r="759" spans="1:14">
      <x:c r="A759" s="274" t="s">
        <x:v>1695</x:v>
      </x:c>
      <x:c r="B759" s="274" t="n">
        <x:v>2.24</x:v>
      </x:c>
      <x:c r="C759" s="274" t="n">
        <x:v>0</x:v>
      </x:c>
      <x:c r="D759" s="274" t="n">
        <x:v>0</x:v>
      </x:c>
      <x:c r="F759" s="274" t="s">
        <x:v>133</x:v>
      </x:c>
      <x:c r="G759" s="274" t="s">
        <x:v>136</x:v>
      </x:c>
      <x:c r="H759" s="274" t="n">
        <x:v>45</x:v>
      </x:c>
      <x:c r="I759" s="274" t="n">
        <x:v>1</x:v>
      </x:c>
      <x:c r="J759" s="274" t="n">
        <x:v>508</x:v>
      </x:c>
      <x:c r="K759" s="274" t="n">
        <x:v>556</x:v>
      </x:c>
      <x:c r="M759" s="274" t="s">
        <x:v>1696</x:v>
      </x:c>
      <x:c r="N759" s="274" t="s">
        <x:v>131</x:v>
      </x:c>
    </x:row>
    <x:row r="760" spans="1:14">
      <x:c r="A760" s="274" t="s">
        <x:v>1697</x:v>
      </x:c>
      <x:c r="B760" s="274" t="n">
        <x:v>0.72</x:v>
      </x:c>
      <x:c r="C760" s="274" t="n">
        <x:v>0</x:v>
      </x:c>
      <x:c r="D760" s="274" t="n">
        <x:v>0</x:v>
      </x:c>
      <x:c r="F760" s="274" t="s">
        <x:v>133</x:v>
      </x:c>
      <x:c r="G760" s="274" t="s">
        <x:v>136</x:v>
      </x:c>
      <x:c r="H760" s="274" t="n">
        <x:v>45</x:v>
      </x:c>
      <x:c r="I760" s="274" t="n">
        <x:v>1.6</x:v>
      </x:c>
      <x:c r="J760" s="274" t="n">
        <x:v>210</x:v>
      </x:c>
      <x:c r="K760" s="274" t="n">
        <x:v>270</x:v>
      </x:c>
      <x:c r="M760" s="274" t="s">
        <x:v>1698</x:v>
      </x:c>
    </x:row>
    <x:row r="761" spans="1:14">
      <x:c r="A761" s="274" t="s">
        <x:v>1699</x:v>
      </x:c>
      <x:c r="B761" s="274" t="n">
        <x:v>1.27</x:v>
      </x:c>
      <x:c r="C761" s="274" t="n">
        <x:v>0</x:v>
      </x:c>
      <x:c r="D761" s="274" t="n">
        <x:v>0</x:v>
      </x:c>
      <x:c r="F761" s="274" t="s">
        <x:v>133</x:v>
      </x:c>
      <x:c r="G761" s="274" t="s">
        <x:v>136</x:v>
      </x:c>
      <x:c r="H761" s="274" t="n">
        <x:v>45</x:v>
      </x:c>
      <x:c r="I761" s="274" t="n">
        <x:v>0.65</x:v>
      </x:c>
      <x:c r="J761" s="274" t="n">
        <x:v>488</x:v>
      </x:c>
      <x:c r="K761" s="274" t="n">
        <x:v>500</x:v>
      </x:c>
      <x:c r="M761" s="274" t="s">
        <x:v>1700</x:v>
      </x:c>
    </x:row>
    <x:row r="762" spans="1:14">
      <x:c r="A762" s="274" t="s">
        <x:v>1701</x:v>
      </x:c>
      <x:c r="B762" s="274" t="n">
        <x:v>3.65</x:v>
      </x:c>
      <x:c r="C762" s="274" t="n">
        <x:v>0</x:v>
      </x:c>
      <x:c r="D762" s="274" t="n">
        <x:v>35</x:v>
      </x:c>
      <x:c r="E762" s="274" t="n">
        <x:v>33</x:v>
      </x:c>
      <x:c r="F762" s="274" t="s">
        <x:v>133</x:v>
      </x:c>
      <x:c r="G762" s="274" t="s">
        <x:v>148</x:v>
      </x:c>
      <x:c r="I762" s="274" t="n">
        <x:v>2.6</x:v>
      </x:c>
      <x:c r="J762" s="274" t="n">
        <x:v>492</x:v>
      </x:c>
      <x:c r="K762" s="274" t="n">
        <x:v>363</x:v>
      </x:c>
      <x:c r="M762" s="274" t="s">
        <x:v>1702</x:v>
      </x:c>
      <x:c r="N762" s="274" t="s">
        <x:v>126</x:v>
      </x:c>
    </x:row>
    <x:row r="763" spans="1:14">
      <x:c r="A763" s="274" t="s">
        <x:v>1703</x:v>
      </x:c>
      <x:c r="B763" s="274" t="n">
        <x:v>0.92</x:v>
      </x:c>
      <x:c r="C763" s="274" t="n">
        <x:v>0</x:v>
      </x:c>
      <x:c r="D763" s="274" t="n">
        <x:v>0</x:v>
      </x:c>
      <x:c r="F763" s="274" t="s">
        <x:v>133</x:v>
      </x:c>
      <x:c r="G763" s="274" t="s">
        <x:v>136</x:v>
      </x:c>
      <x:c r="H763" s="274" t="n">
        <x:v>45</x:v>
      </x:c>
      <x:c r="I763" s="274" t="n">
        <x:v>1.2</x:v>
      </x:c>
      <x:c r="J763" s="274" t="n">
        <x:v>496</x:v>
      </x:c>
      <x:c r="K763" s="274" t="n">
        <x:v>194</x:v>
      </x:c>
      <x:c r="M763" s="274" t="s">
        <x:v>1704</x:v>
      </x:c>
      <x:c r="N763" s="274" t="s">
        <x:v>146</x:v>
      </x:c>
    </x:row>
    <x:row r="764" spans="1:14">
      <x:c r="A764" s="274" t="s">
        <x:v>1705</x:v>
      </x:c>
      <x:c r="B764" s="274" t="n">
        <x:v>4.71</x:v>
      </x:c>
      <x:c r="C764" s="274" t="n">
        <x:v>0</x:v>
      </x:c>
      <x:c r="D764" s="274" t="n">
        <x:v>0</x:v>
      </x:c>
      <x:c r="F764" s="274" t="s">
        <x:v>133</x:v>
      </x:c>
      <x:c r="G764" s="274" t="s">
        <x:v>148</x:v>
      </x:c>
      <x:c r="I764" s="274" t="n">
        <x:v>3.6</x:v>
      </x:c>
      <x:c r="J764" s="274" t="n">
        <x:v>1110</x:v>
      </x:c>
      <x:c r="K764" s="274" t="n">
        <x:v>150</x:v>
      </x:c>
      <x:c r="M764" s="274" t="s">
        <x:v>1706</x:v>
      </x:c>
      <x:c r="N764" s="274" t="s">
        <x:v>299</x:v>
      </x:c>
    </x:row>
    <x:row r="765" spans="1:14">
      <x:c r="A765" s="274" t="s">
        <x:v>1707</x:v>
      </x:c>
      <x:c r="B765" s="274" t="n">
        <x:v>4.47</x:v>
      </x:c>
      <x:c r="C765" s="274" t="n">
        <x:v>0</x:v>
      </x:c>
      <x:c r="D765" s="274" t="n">
        <x:v>0</x:v>
      </x:c>
      <x:c r="F765" s="274" t="s">
        <x:v>133</x:v>
      </x:c>
      <x:c r="G765" s="274" t="s">
        <x:v>148</x:v>
      </x:c>
      <x:c r="I765" s="274" t="n">
        <x:v>2.9</x:v>
      </x:c>
      <x:c r="J765" s="274" t="n">
        <x:v>190</x:v>
      </x:c>
      <x:c r="K765" s="274" t="n">
        <x:v>1035</x:v>
      </x:c>
      <x:c r="M765" s="274" t="s">
        <x:v>1708</x:v>
      </x:c>
      <x:c r="N765" s="274" t="s">
        <x:v>126</x:v>
      </x:c>
    </x:row>
    <x:row r="766" spans="1:14">
      <x:c r="A766" s="274" t="s">
        <x:v>1709</x:v>
      </x:c>
      <x:c r="B766" s="274" t="n">
        <x:v>4.61</x:v>
      </x:c>
      <x:c r="C766" s="274" t="n">
        <x:v>0</x:v>
      </x:c>
      <x:c r="D766" s="274" t="n">
        <x:v>0</x:v>
      </x:c>
      <x:c r="F766" s="274" t="s">
        <x:v>133</x:v>
      </x:c>
      <x:c r="G766" s="274" t="s">
        <x:v>148</x:v>
      </x:c>
      <x:c r="I766" s="274" t="n">
        <x:v>3.6</x:v>
      </x:c>
      <x:c r="J766" s="274" t="n">
        <x:v>1110</x:v>
      </x:c>
      <x:c r="K766" s="274" t="n">
        <x:v>147</x:v>
      </x:c>
      <x:c r="M766" s="274" t="s">
        <x:v>1710</x:v>
      </x:c>
      <x:c r="N766" s="274" t="s">
        <x:v>299</x:v>
      </x:c>
    </x:row>
    <x:row r="767" spans="1:14">
      <x:c r="A767" s="274" t="s">
        <x:v>1711</x:v>
      </x:c>
      <x:c r="B767" s="274" t="n">
        <x:v>3.26</x:v>
      </x:c>
      <x:c r="C767" s="274" t="n">
        <x:v>0</x:v>
      </x:c>
      <x:c r="D767" s="274" t="n">
        <x:v>0</x:v>
      </x:c>
      <x:c r="F767" s="274" t="s">
        <x:v>333</x:v>
      </x:c>
      <x:c r="G767" s="274" t="s">
        <x:v>124</x:v>
      </x:c>
      <x:c r="I767" s="274" t="n">
        <x:v>1.6</x:v>
      </x:c>
      <x:c r="J767" s="274" t="n">
        <x:v>216</x:v>
      </x:c>
      <x:c r="K767" s="274" t="n">
        <x:v>1200</x:v>
      </x:c>
      <x:c r="M767" s="274" t="s">
        <x:v>1712</x:v>
      </x:c>
      <x:c r="N767" s="274" t="s">
        <x:v>870</x:v>
      </x:c>
    </x:row>
    <x:row r="768" spans="1:14">
      <x:c r="A768" s="274" t="s">
        <x:v>1713</x:v>
      </x:c>
      <x:c r="B768" s="274" t="n">
        <x:v>2.8</x:v>
      </x:c>
      <x:c r="C768" s="274" t="n">
        <x:v>0</x:v>
      </x:c>
      <x:c r="D768" s="274" t="n">
        <x:v>0</x:v>
      </x:c>
      <x:c r="F768" s="274" t="s">
        <x:v>123</x:v>
      </x:c>
      <x:c r="G768" s="274" t="s">
        <x:v>209</x:v>
      </x:c>
      <x:c r="I768" s="274" t="n">
        <x:v>1.6</x:v>
      </x:c>
      <x:c r="J768" s="274" t="n">
        <x:v>182</x:v>
      </x:c>
      <x:c r="K768" s="274" t="n">
        <x:v>1224</x:v>
      </x:c>
      <x:c r="M768" s="274" t="s">
        <x:v>1714</x:v>
      </x:c>
      <x:c r="N768" s="274" t="s">
        <x:v>870</x:v>
      </x:c>
    </x:row>
    <x:row r="769" spans="1:14">
      <x:c r="A769" s="274" t="s">
        <x:v>1715</x:v>
      </x:c>
      <x:c r="B769" s="274" t="n">
        <x:v>1.98</x:v>
      </x:c>
      <x:c r="C769" s="274" t="n">
        <x:v>0</x:v>
      </x:c>
      <x:c r="D769" s="274" t="n">
        <x:v>0</x:v>
      </x:c>
      <x:c r="F769" s="274" t="s">
        <x:v>333</x:v>
      </x:c>
      <x:c r="G769" s="274" t="s">
        <x:v>153</x:v>
      </x:c>
      <x:c r="I769" s="274" t="n">
        <x:v>1.6</x:v>
      </x:c>
      <x:c r="J769" s="274" t="n">
        <x:v>158</x:v>
      </x:c>
      <x:c r="K769" s="274" t="n">
        <x:v>1000</x:v>
      </x:c>
      <x:c r="M769" s="274" t="s">
        <x:v>1716</x:v>
      </x:c>
      <x:c r="N769" s="274" t="s">
        <x:v>582</x:v>
      </x:c>
    </x:row>
    <x:row r="770" spans="1:14">
      <x:c r="A770" s="274" t="s">
        <x:v>1717</x:v>
      </x:c>
      <x:c r="B770" s="274" t="n">
        <x:v>2.91</x:v>
      </x:c>
      <x:c r="C770" s="274" t="n">
        <x:v>0</x:v>
      </x:c>
      <x:c r="D770" s="274" t="n">
        <x:v>0</x:v>
      </x:c>
      <x:c r="F770" s="274" t="s">
        <x:v>184</x:v>
      </x:c>
      <x:c r="G770" s="274" t="s">
        <x:v>1718</x:v>
      </x:c>
      <x:c r="H770" s="274" t="n">
        <x:v>45</x:v>
      </x:c>
      <x:c r="I770" s="274" t="n">
        <x:v>1.4</x:v>
      </x:c>
      <x:c r="J770" s="274" t="n">
        <x:v>1130</x:v>
      </x:c>
      <x:c r="K770" s="274" t="n">
        <x:v>232</x:v>
      </x:c>
      <x:c r="M770" s="274" t="s">
        <x:v>1719</x:v>
      </x:c>
    </x:row>
    <x:row r="771" spans="1:14">
      <x:c r="A771" s="274" t="s">
        <x:v>1720</x:v>
      </x:c>
      <x:c r="B771" s="274" t="n">
        <x:v>1.26</x:v>
      </x:c>
      <x:c r="C771" s="274" t="n">
        <x:v>0</x:v>
      </x:c>
      <x:c r="D771" s="274" t="n">
        <x:v>0</x:v>
      </x:c>
      <x:c r="F771" s="274" t="s">
        <x:v>184</x:v>
      </x:c>
      <x:c r="G771" s="274" t="s">
        <x:v>1718</x:v>
      </x:c>
      <x:c r="H771" s="274" t="n">
        <x:v>45</x:v>
      </x:c>
      <x:c r="I771" s="274" t="n">
        <x:v>1.4</x:v>
      </x:c>
      <x:c r="J771" s="274" t="n">
        <x:v>564</x:v>
      </x:c>
      <x:c r="K771" s="274" t="n">
        <x:v>202</x:v>
      </x:c>
      <x:c r="M771" s="274" t="s">
        <x:v>1721</x:v>
      </x:c>
      <x:c r="N771" s="274" t="s">
        <x:v>870</x:v>
      </x:c>
    </x:row>
    <x:row r="772" spans="1:14">
      <x:c r="A772" s="274" t="s">
        <x:v>1722</x:v>
      </x:c>
      <x:c r="B772" s="274" t="n">
        <x:v>0.09</x:v>
      </x:c>
      <x:c r="C772" s="274" t="n">
        <x:v>0</x:v>
      </x:c>
      <x:c r="D772" s="274" t="n">
        <x:v>0</x:v>
      </x:c>
      <x:c r="F772" s="274" t="s">
        <x:v>133</x:v>
      </x:c>
      <x:c r="G772" s="274" t="s">
        <x:v>134</x:v>
      </x:c>
      <x:c r="I772" s="274" t="n">
        <x:v>1.6</x:v>
      </x:c>
      <x:c r="J772" s="274" t="n">
        <x:v>116</x:v>
      </x:c>
      <x:c r="K772" s="274" t="n">
        <x:v>65</x:v>
      </x:c>
      <x:c r="M772" s="274" t="s">
        <x:v>1723</x:v>
      </x:c>
      <x:c r="N772" s="274" t="s">
        <x:v>870</x:v>
      </x:c>
    </x:row>
    <x:row r="773" spans="1:14">
      <x:c r="A773" s="274" t="s">
        <x:v>1724</x:v>
      </x:c>
      <x:c r="B773" s="274" t="n">
        <x:v>42.6</x:v>
      </x:c>
      <x:c r="C773" s="274" t="n">
        <x:v>0</x:v>
      </x:c>
      <x:c r="D773" s="274" t="n">
        <x:v>15</x:v>
      </x:c>
      <x:c r="E773" s="274" t="n">
        <x:v>0</x:v>
      </x:c>
      <x:c r="F773" s="274" t="s">
        <x:v>123</x:v>
      </x:c>
      <x:c r="G773" s="274" t="s">
        <x:v>1725</x:v>
      </x:c>
      <x:c r="I773" s="274" t="n">
        <x:v>1.2</x:v>
      </x:c>
      <x:c r="J773" s="274" t="n">
        <x:v>1830</x:v>
      </x:c>
      <x:c r="K773" s="274" t="n">
        <x:v>2460</x:v>
      </x:c>
      <x:c r="M773" s="274" t="s">
        <x:v>1726</x:v>
      </x:c>
    </x:row>
    <x:row r="774" spans="1:14">
      <x:c r="A774" s="274" t="s">
        <x:v>1727</x:v>
      </x:c>
      <x:c r="B774" s="274" t="n">
        <x:v>0</x:v>
      </x:c>
      <x:c r="C774" s="274" t="n">
        <x:v>0</x:v>
      </x:c>
      <x:c r="D774" s="274" t="n">
        <x:v>0</x:v>
      </x:c>
      <x:c r="F774" s="274" t="s">
        <x:v>311</x:v>
      </x:c>
      <x:c r="G774" s="274" t="s">
        <x:v>1728</x:v>
      </x:c>
      <x:c r="H774" s="274" t="s">
        <x:v>1729</x:v>
      </x:c>
      <x:c r="I774" s="274" t="n">
        <x:v>0.65</x:v>
      </x:c>
      <x:c r="J774" s="274" t="n">
        <x:v>500</x:v>
      </x:c>
      <x:c r="K774" s="274" t="n">
        <x:v>237.8</x:v>
      </x:c>
      <x:c r="L774" s="274" t="n">
        <x:v>550.2</x:v>
      </x:c>
      <x:c r="M774" s="274" t="s">
        <x:v>1730</x:v>
      </x:c>
      <x:c r="N774" s="274" t="s">
        <x:v>870</x:v>
      </x:c>
    </x:row>
    <x:row r="775" spans="1:14">
      <x:c r="A775" s="274" t="s">
        <x:v>1731</x:v>
      </x:c>
      <x:c r="B775" s="274" t="n">
        <x:v>0</x:v>
      </x:c>
      <x:c r="C775" s="274" t="n">
        <x:v>0</x:v>
      </x:c>
      <x:c r="D775" s="274" t="n">
        <x:v>0</x:v>
      </x:c>
      <x:c r="F775" s="274" t="s">
        <x:v>311</x:v>
      </x:c>
      <x:c r="G775" s="274" t="s">
        <x:v>1728</x:v>
      </x:c>
      <x:c r="H775" s="274" t="s">
        <x:v>1732</x:v>
      </x:c>
      <x:c r="I775" s="274" t="n">
        <x:v>0.65</x:v>
      </x:c>
      <x:c r="J775" s="274" t="n">
        <x:v>500</x:v>
      </x:c>
      <x:c r="K775" s="274" t="n">
        <x:v>237.8</x:v>
      </x:c>
      <x:c r="L775" s="274" t="n">
        <x:v>550.2</x:v>
      </x:c>
      <x:c r="M775" s="274" t="s">
        <x:v>1733</x:v>
      </x:c>
      <x:c r="N775" s="274" t="s">
        <x:v>1734</x:v>
      </x:c>
    </x:row>
    <x:row r="776" spans="1:14">
      <x:c r="A776" s="274" t="s">
        <x:v>1735</x:v>
      </x:c>
      <x:c r="B776" s="274" t="n">
        <x:v>0</x:v>
      </x:c>
      <x:c r="C776" s="274" t="n">
        <x:v>0</x:v>
      </x:c>
      <x:c r="D776" s="274" t="n">
        <x:v>0</x:v>
      </x:c>
      <x:c r="F776" s="274" t="s">
        <x:v>311</x:v>
      </x:c>
      <x:c r="G776" s="274" t="s">
        <x:v>1728</x:v>
      </x:c>
      <x:c r="H776" s="274" t="s">
        <x:v>1732</x:v>
      </x:c>
      <x:c r="I776" s="274" t="n">
        <x:v>0.65</x:v>
      </x:c>
      <x:c r="J776" s="274" t="n">
        <x:v>760</x:v>
      </x:c>
      <x:c r="K776" s="274" t="n">
        <x:v>233.6</x:v>
      </x:c>
      <x:c r="L776" s="274" t="n">
        <x:v>511.6</x:v>
      </x:c>
      <x:c r="M776" s="274" t="s">
        <x:v>1736</x:v>
      </x:c>
      <x:c r="N776" s="274" t="s">
        <x:v>870</x:v>
      </x:c>
    </x:row>
    <x:row r="777" spans="1:14">
      <x:c r="A777" s="274" t="s">
        <x:v>1737</x:v>
      </x:c>
      <x:c r="B777" s="274" t="n">
        <x:v>0</x:v>
      </x:c>
      <x:c r="C777" s="274" t="n">
        <x:v>0</x:v>
      </x:c>
      <x:c r="D777" s="274" t="n">
        <x:v>0</x:v>
      </x:c>
      <x:c r="F777" s="274" t="s">
        <x:v>311</x:v>
      </x:c>
      <x:c r="G777" s="274" t="s">
        <x:v>1728</x:v>
      </x:c>
      <x:c r="H777" s="274" t="s">
        <x:v>1729</x:v>
      </x:c>
      <x:c r="I777" s="274" t="n">
        <x:v>0.65</x:v>
      </x:c>
      <x:c r="J777" s="274" t="n">
        <x:v>760</x:v>
      </x:c>
      <x:c r="K777" s="274" t="n">
        <x:v>233.6</x:v>
      </x:c>
      <x:c r="L777" s="274" t="n">
        <x:v>511.6</x:v>
      </x:c>
      <x:c r="M777" s="274" t="s">
        <x:v>1738</x:v>
      </x:c>
      <x:c r="N777" s="274" t="s">
        <x:v>870</x:v>
      </x:c>
    </x:row>
    <x:row r="778" spans="1:14">
      <x:c r="A778" s="274" t="s">
        <x:v>1739</x:v>
      </x:c>
      <x:c r="B778" s="274" t="n">
        <x:v>0</x:v>
      </x:c>
      <x:c r="C778" s="274" t="n">
        <x:v>0</x:v>
      </x:c>
      <x:c r="D778" s="274" t="n">
        <x:v>0</x:v>
      </x:c>
      <x:c r="F778" s="274" t="s">
        <x:v>311</x:v>
      </x:c>
      <x:c r="G778" s="274" t="s">
        <x:v>1728</x:v>
      </x:c>
      <x:c r="H778" s="274" t="s">
        <x:v>1732</x:v>
      </x:c>
      <x:c r="I778" s="274" t="n">
        <x:v>0.65</x:v>
      </x:c>
      <x:c r="J778" s="274" t="n">
        <x:v>595</x:v>
      </x:c>
      <x:c r="K778" s="274" t="n">
        <x:v>596.4</x:v>
      </x:c>
      <x:c r="L778" s="274" t="n">
        <x:v>835</x:v>
      </x:c>
      <x:c r="M778" s="274" t="s">
        <x:v>1740</x:v>
      </x:c>
      <x:c r="N778" s="274" t="s">
        <x:v>870</x:v>
      </x:c>
    </x:row>
    <x:row r="779" spans="1:14">
      <x:c r="A779" s="274" t="s">
        <x:v>1741</x:v>
      </x:c>
      <x:c r="B779" s="274" t="n">
        <x:v>0</x:v>
      </x:c>
      <x:c r="C779" s="274" t="n">
        <x:v>0</x:v>
      </x:c>
      <x:c r="D779" s="274" t="n">
        <x:v>0</x:v>
      </x:c>
      <x:c r="F779" s="274" t="s">
        <x:v>311</x:v>
      </x:c>
      <x:c r="G779" s="274" t="s">
        <x:v>1728</x:v>
      </x:c>
      <x:c r="H779" s="274" t="s">
        <x:v>1729</x:v>
      </x:c>
      <x:c r="I779" s="274" t="n">
        <x:v>0.65</x:v>
      </x:c>
      <x:c r="J779" s="274" t="n">
        <x:v>595</x:v>
      </x:c>
      <x:c r="K779" s="274" t="n">
        <x:v>596.4</x:v>
      </x:c>
      <x:c r="L779" s="274" t="n">
        <x:v>835</x:v>
      </x:c>
      <x:c r="M779" s="274" t="s">
        <x:v>1742</x:v>
      </x:c>
      <x:c r="N779" s="274" t="s">
        <x:v>870</x:v>
      </x:c>
    </x:row>
    <x:row r="780" spans="1:14">
      <x:c r="A780" s="274" t="s">
        <x:v>1743</x:v>
      </x:c>
      <x:c r="B780" s="274" t="n">
        <x:v>9.24</x:v>
      </x:c>
      <x:c r="C780" s="274" t="n">
        <x:v>0</x:v>
      </x:c>
      <x:c r="D780" s="274" t="n">
        <x:v>0</x:v>
      </x:c>
      <x:c r="E780" s="274" t="n">
        <x:v>0</x:v>
      </x:c>
      <x:c r="F780" s="274" t="s">
        <x:v>184</x:v>
      </x:c>
      <x:c r="G780" s="274" t="s">
        <x:v>878</x:v>
      </x:c>
      <x:c r="H780" s="274" t="s">
        <x:v>285</x:v>
      </x:c>
      <x:c r="I780" s="274" t="n">
        <x:v>0.65</x:v>
      </x:c>
      <x:c r="J780" s="274" t="n">
        <x:v>885</x:v>
      </x:c>
      <x:c r="K780" s="274" t="n">
        <x:v>1499.1</x:v>
      </x:c>
      <x:c r="L780" s="274" t="n">
        <x:v>2521</x:v>
      </x:c>
      <x:c r="M780" s="274" t="s">
        <x:v>1744</x:v>
      </x:c>
      <x:c r="N780" s="274" t="s">
        <x:v>870</x:v>
      </x:c>
    </x:row>
    <x:row r="781" spans="1:14">
      <x:c r="A781" s="274" t="s">
        <x:v>1745</x:v>
      </x:c>
      <x:c r="B781" s="274" t="n">
        <x:v>0.15</x:v>
      </x:c>
      <x:c r="C781" s="274" t="n">
        <x:v>0</x:v>
      </x:c>
      <x:c r="D781" s="274" t="n">
        <x:v>0</x:v>
      </x:c>
      <x:c r="F781" s="274" t="s">
        <x:v>333</x:v>
      </x:c>
      <x:c r="G781" s="274" t="s">
        <x:v>153</x:v>
      </x:c>
      <x:c r="I781" s="274" t="n">
        <x:v>1.2</x:v>
      </x:c>
      <x:c r="J781" s="274" t="n">
        <x:v>185</x:v>
      </x:c>
      <x:c r="K781" s="274" t="n">
        <x:v>85</x:v>
      </x:c>
      <x:c r="M781" s="274" t="s">
        <x:v>1746</x:v>
      </x:c>
      <x:c r="N781" s="274" t="s">
        <x:v>870</x:v>
      </x:c>
    </x:row>
    <x:row r="782" spans="1:14">
      <x:c r="A782" s="274" t="s">
        <x:v>1747</x:v>
      </x:c>
      <x:c r="B782" s="274" t="n">
        <x:v>1.91</x:v>
      </x:c>
      <x:c r="C782" s="274" t="n">
        <x:v>0</x:v>
      </x:c>
      <x:c r="D782" s="274" t="n">
        <x:v>0</x:v>
      </x:c>
      <x:c r="F782" s="274" t="s">
        <x:v>133</x:v>
      </x:c>
      <x:c r="G782" s="274" t="s">
        <x:v>136</x:v>
      </x:c>
      <x:c r="H782" s="274" t="n">
        <x:v>45</x:v>
      </x:c>
      <x:c r="I782" s="274" t="n">
        <x:v>0.7</x:v>
      </x:c>
      <x:c r="J782" s="274" t="n">
        <x:v>690</x:v>
      </x:c>
      <x:c r="K782" s="274" t="n">
        <x:v>495</x:v>
      </x:c>
      <x:c r="M782" s="274" t="s">
        <x:v>1748</x:v>
      </x:c>
      <x:c r="N782" s="274" t="s">
        <x:v>870</x:v>
      </x:c>
    </x:row>
    <x:row r="783" spans="1:14">
      <x:c r="A783" s="274" t="s">
        <x:v>1749</x:v>
      </x:c>
      <x:c r="B783" s="274" t="n">
        <x:v>1.73</x:v>
      </x:c>
      <x:c r="C783" s="274" t="n">
        <x:v>0</x:v>
      </x:c>
      <x:c r="D783" s="274" t="n">
        <x:v>0</x:v>
      </x:c>
      <x:c r="F783" s="274" t="s">
        <x:v>123</x:v>
      </x:c>
      <x:c r="G783" s="274" t="s">
        <x:v>209</x:v>
      </x:c>
      <x:c r="I783" s="274" t="n">
        <x:v>1</x:v>
      </x:c>
      <x:c r="J783" s="274" t="n">
        <x:v>175</x:v>
      </x:c>
      <x:c r="K783" s="274" t="n">
        <x:v>1260</x:v>
      </x:c>
      <x:c r="M783" s="274" t="s">
        <x:v>1750</x:v>
      </x:c>
    </x:row>
    <x:row r="784" spans="1:14">
      <x:c r="A784" s="274" t="s">
        <x:v>1751</x:v>
      </x:c>
      <x:c r="B784" s="274" t="n">
        <x:v>2.32</x:v>
      </x:c>
      <x:c r="C784" s="274" t="n">
        <x:v>0</x:v>
      </x:c>
      <x:c r="D784" s="274" t="n">
        <x:v>0</x:v>
      </x:c>
      <x:c r="F784" s="274" t="s">
        <x:v>133</x:v>
      </x:c>
      <x:c r="G784" s="274" t="s">
        <x:v>136</x:v>
      </x:c>
      <x:c r="H784" s="274" t="n">
        <x:v>45</x:v>
      </x:c>
      <x:c r="I784" s="274" t="n">
        <x:v>1.2</x:v>
      </x:c>
      <x:c r="J784" s="274" t="n">
        <x:v>388</x:v>
      </x:c>
      <x:c r="K784" s="274" t="n">
        <x:v>630</x:v>
      </x:c>
      <x:c r="M784" s="274" t="s">
        <x:v>1752</x:v>
      </x:c>
      <x:c r="N784" s="274" t="s">
        <x:v>870</x:v>
      </x:c>
    </x:row>
    <x:row r="785" spans="1:14">
      <x:c r="A785" s="274" t="s">
        <x:v>1753</x:v>
      </x:c>
      <x:c r="B785" s="274" t="n">
        <x:v>0.38</x:v>
      </x:c>
      <x:c r="C785" s="274" t="n">
        <x:v>0</x:v>
      </x:c>
      <x:c r="D785" s="274" t="n">
        <x:v>0</x:v>
      </x:c>
      <x:c r="F785" s="274" t="s">
        <x:v>333</x:v>
      </x:c>
      <x:c r="G785" s="274" t="s">
        <x:v>153</x:v>
      </x:c>
      <x:c r="I785" s="274" t="n">
        <x:v>0.6</x:v>
      </x:c>
      <x:c r="J785" s="274" t="n">
        <x:v>67</x:v>
      </x:c>
      <x:c r="K785" s="274" t="n">
        <x:v>1200</x:v>
      </x:c>
      <x:c r="M785" s="274" t="s">
        <x:v>1754</x:v>
      </x:c>
      <x:c r="N785" s="274" t="s">
        <x:v>870</x:v>
      </x:c>
    </x:row>
    <x:row r="786" spans="1:14">
      <x:c r="A786" s="274" t="s">
        <x:v>1755</x:v>
      </x:c>
      <x:c r="B786" s="274" t="n">
        <x:v>3.17</x:v>
      </x:c>
      <x:c r="C786" s="274" t="n">
        <x:v>0</x:v>
      </x:c>
      <x:c r="D786" s="274" t="n">
        <x:v>0</x:v>
      </x:c>
      <x:c r="F786" s="274" t="s">
        <x:v>133</x:v>
      </x:c>
      <x:c r="G786" s="274" t="s">
        <x:v>134</x:v>
      </x:c>
      <x:c r="I786" s="274" t="n">
        <x:v>2</x:v>
      </x:c>
      <x:c r="J786" s="274" t="n">
        <x:v>224</x:v>
      </x:c>
      <x:c r="K786" s="274" t="n">
        <x:v>900</x:v>
      </x:c>
      <x:c r="M786" s="274" t="s">
        <x:v>1333</x:v>
      </x:c>
      <x:c r="N786" s="274" t="s">
        <x:v>870</x:v>
      </x:c>
    </x:row>
    <x:row r="787" spans="1:14">
      <x:c r="A787" s="274" t="s">
        <x:v>1756</x:v>
      </x:c>
      <x:c r="B787" s="274" t="n">
        <x:v>2.29</x:v>
      </x:c>
      <x:c r="C787" s="274" t="n">
        <x:v>0</x:v>
      </x:c>
      <x:c r="D787" s="274" t="n">
        <x:v>0</x:v>
      </x:c>
      <x:c r="F787" s="274" t="s">
        <x:v>133</x:v>
      </x:c>
      <x:c r="G787" s="274" t="s">
        <x:v>134</x:v>
      </x:c>
      <x:c r="I787" s="274" t="n">
        <x:v>2</x:v>
      </x:c>
      <x:c r="J787" s="274" t="n">
        <x:v>182</x:v>
      </x:c>
      <x:c r="K787" s="274" t="n">
        <x:v>800</x:v>
      </x:c>
      <x:c r="M787" s="274" t="s">
        <x:v>1757</x:v>
      </x:c>
      <x:c r="N787" s="274" t="s">
        <x:v>870</x:v>
      </x:c>
    </x:row>
    <x:row r="788" spans="1:14">
      <x:c r="A788" s="274" t="s">
        <x:v>1758</x:v>
      </x:c>
      <x:c r="B788" s="274" t="n">
        <x:v>1.16</x:v>
      </x:c>
      <x:c r="C788" s="274" t="n">
        <x:v>0</x:v>
      </x:c>
      <x:c r="D788" s="274" t="n">
        <x:v>0</x:v>
      </x:c>
      <x:c r="F788" s="274" t="s">
        <x:v>133</x:v>
      </x:c>
      <x:c r="G788" s="274" t="s">
        <x:v>136</x:v>
      </x:c>
      <x:c r="H788" s="274" t="n">
        <x:v>45</x:v>
      </x:c>
      <x:c r="I788" s="274" t="n">
        <x:v>1.2</x:v>
      </x:c>
      <x:c r="J788" s="274" t="n">
        <x:v>195</x:v>
      </x:c>
      <x:c r="K788" s="274" t="n">
        <x:v>626</x:v>
      </x:c>
      <x:c r="M788" s="274" t="s">
        <x:v>1759</x:v>
      </x:c>
      <x:c r="N788" s="274" t="s">
        <x:v>870</x:v>
      </x:c>
    </x:row>
    <x:row r="789" spans="1:14">
      <x:c r="A789" s="274" t="s">
        <x:v>1760</x:v>
      </x:c>
      <x:c r="B789" s="274" t="n">
        <x:v>2.29</x:v>
      </x:c>
      <x:c r="C789" s="274" t="n">
        <x:v>0</x:v>
      </x:c>
      <x:c r="D789" s="274" t="n">
        <x:v>0</x:v>
      </x:c>
      <x:c r="F789" s="274" t="s">
        <x:v>133</x:v>
      </x:c>
      <x:c r="G789" s="274" t="s">
        <x:v>136</x:v>
      </x:c>
      <x:c r="H789" s="274" t="n">
        <x:v>45</x:v>
      </x:c>
      <x:c r="I789" s="274" t="n">
        <x:v>1.2</x:v>
      </x:c>
      <x:c r="J789" s="274" t="n">
        <x:v>200</x:v>
      </x:c>
      <x:c r="K789" s="274" t="n">
        <x:v>1206</x:v>
      </x:c>
      <x:c r="M789" s="274" t="s">
        <x:v>1761</x:v>
      </x:c>
      <x:c r="N789" s="274" t="s">
        <x:v>870</x:v>
      </x:c>
    </x:row>
    <x:row r="790" spans="1:14">
      <x:c r="A790" s="274" t="s">
        <x:v>1762</x:v>
      </x:c>
      <x:c r="B790" s="274" t="n">
        <x:v>6.09</x:v>
      </x:c>
      <x:c r="C790" s="274" t="n">
        <x:v>0</x:v>
      </x:c>
      <x:c r="D790" s="274" t="n">
        <x:v>30</x:v>
      </x:c>
      <x:c r="E790" s="274" t="n">
        <x:v>40</x:v>
      </x:c>
      <x:c r="F790" s="274" t="s">
        <x:v>184</x:v>
      </x:c>
      <x:c r="G790" s="274" t="s">
        <x:v>1718</x:v>
      </x:c>
      <x:c r="H790" s="274" t="n">
        <x:v>45</x:v>
      </x:c>
      <x:c r="I790" s="274" t="n">
        <x:v>1.4</x:v>
      </x:c>
      <x:c r="J790" s="274" t="n">
        <x:v>1325</x:v>
      </x:c>
      <x:c r="K790" s="274" t="n">
        <x:v>415</x:v>
      </x:c>
      <x:c r="M790" s="274" t="s">
        <x:v>1763</x:v>
      </x:c>
      <x:c r="N790" s="274" t="s">
        <x:v>870</x:v>
      </x:c>
    </x:row>
    <x:row r="791" spans="1:14">
      <x:c r="A791" s="274" t="s">
        <x:v>1764</x:v>
      </x:c>
      <x:c r="B791" s="274" t="n">
        <x:v>1.93</x:v>
      </x:c>
      <x:c r="C791" s="274" t="n">
        <x:v>0</x:v>
      </x:c>
      <x:c r="D791" s="274" t="n">
        <x:v>0</x:v>
      </x:c>
      <x:c r="F791" s="274" t="s">
        <x:v>333</x:v>
      </x:c>
      <x:c r="G791" s="274" t="s">
        <x:v>124</x:v>
      </x:c>
      <x:c r="I791" s="274" t="n">
        <x:v>1.6</x:v>
      </x:c>
      <x:c r="J791" s="274" t="n">
        <x:v>357</x:v>
      </x:c>
      <x:c r="K791" s="274" t="n">
        <x:v>431</x:v>
      </x:c>
      <x:c r="M791" s="274" t="s">
        <x:v>1765</x:v>
      </x:c>
      <x:c r="N791" s="274" t="s">
        <x:v>870</x:v>
      </x:c>
    </x:row>
    <x:row r="792" spans="1:14">
      <x:c r="A792" s="274" t="s">
        <x:v>1766</x:v>
      </x:c>
      <x:c r="B792" s="274" t="n">
        <x:v>1.57</x:v>
      </x:c>
      <x:c r="C792" s="274" t="n">
        <x:v>0</x:v>
      </x:c>
      <x:c r="D792" s="274" t="n">
        <x:v>0</x:v>
      </x:c>
      <x:c r="F792" s="274" t="s">
        <x:v>333</x:v>
      </x:c>
      <x:c r="G792" s="274" t="s">
        <x:v>124</x:v>
      </x:c>
      <x:c r="I792" s="274" t="n">
        <x:v>1.4</x:v>
      </x:c>
      <x:c r="J792" s="274" t="n">
        <x:v>114</x:v>
      </x:c>
      <x:c r="K792" s="274" t="n">
        <x:v>1250</x:v>
      </x:c>
      <x:c r="M792" s="274" t="s">
        <x:v>1767</x:v>
      </x:c>
      <x:c r="N792" s="274" t="s">
        <x:v>870</x:v>
      </x:c>
    </x:row>
    <x:row r="793" spans="1:14">
      <x:c r="A793" s="274" t="s">
        <x:v>1768</x:v>
      </x:c>
      <x:c r="B793" s="274" t="n">
        <x:v>1.47</x:v>
      </x:c>
      <x:c r="C793" s="274" t="n">
        <x:v>0</x:v>
      </x:c>
      <x:c r="D793" s="274" t="n">
        <x:v>0</x:v>
      </x:c>
      <x:c r="F793" s="274" t="s">
        <x:v>133</x:v>
      </x:c>
      <x:c r="G793" s="274" t="s">
        <x:v>136</x:v>
      </x:c>
      <x:c r="H793" s="274" t="n">
        <x:v>45</x:v>
      </x:c>
      <x:c r="I793" s="274" t="n">
        <x:v>0.65</x:v>
      </x:c>
      <x:c r="J793" s="274" t="n">
        <x:v>420</x:v>
      </x:c>
      <x:c r="K793" s="274" t="n">
        <x:v>675</x:v>
      </x:c>
      <x:c r="M793" s="274" t="s">
        <x:v>1769</x:v>
      </x:c>
      <x:c r="N793" s="274" t="s">
        <x:v>870</x:v>
      </x:c>
    </x:row>
    <x:row r="794" spans="1:14">
      <x:c r="A794" s="274" t="s">
        <x:v>1770</x:v>
      </x:c>
      <x:c r="B794" s="274" t="n">
        <x:v>2.73</x:v>
      </x:c>
      <x:c r="C794" s="274" t="n">
        <x:v>38</x:v>
      </x:c>
      <x:c r="D794" s="274" t="n">
        <x:v>60</x:v>
      </x:c>
      <x:c r="E794" s="274" t="n">
        <x:v>0</x:v>
      </x:c>
      <x:c r="F794" s="274" t="s">
        <x:v>123</x:v>
      </x:c>
      <x:c r="G794" s="274" t="s">
        <x:v>153</x:v>
      </x:c>
      <x:c r="I794" s="274" t="n">
        <x:v>0.8</x:v>
      </x:c>
      <x:c r="J794" s="274" t="n">
        <x:v>835</x:v>
      </x:c>
      <x:c r="K794" s="274" t="n">
        <x:v>570</x:v>
      </x:c>
      <x:c r="L794" s="274" t="n">
        <x:v>470</x:v>
      </x:c>
      <x:c r="M794" s="274" t="s">
        <x:v>1771</x:v>
      </x:c>
    </x:row>
    <x:row r="795" spans="1:14">
      <x:c r="A795" s="274" t="s">
        <x:v>1772</x:v>
      </x:c>
      <x:c r="B795" s="274" t="n">
        <x:v>0.78</x:v>
      </x:c>
      <x:c r="C795" s="274" t="n">
        <x:v>0</x:v>
      </x:c>
      <x:c r="D795" s="274" t="n">
        <x:v>0</x:v>
      </x:c>
      <x:c r="F795" s="274" t="s">
        <x:v>123</x:v>
      </x:c>
      <x:c r="G795" s="274" t="s">
        <x:v>124</x:v>
      </x:c>
      <x:c r="I795" s="274" t="n">
        <x:v>0.8</x:v>
      </x:c>
      <x:c r="J795" s="274" t="n">
        <x:v>325</x:v>
      </x:c>
      <x:c r="K795" s="274" t="n">
        <x:v>380</x:v>
      </x:c>
      <x:c r="M795" s="274" t="s">
        <x:v>1773</x:v>
      </x:c>
      <x:c r="N795" s="274" t="s">
        <x:v>870</x:v>
      </x:c>
    </x:row>
    <x:row r="796" spans="1:14">
      <x:c r="A796" s="274" t="s">
        <x:v>1774</x:v>
      </x:c>
      <x:c r="B796" s="274" t="n">
        <x:v>3.04</x:v>
      </x:c>
      <x:c r="C796" s="274" t="n">
        <x:v>0</x:v>
      </x:c>
      <x:c r="D796" s="274" t="n">
        <x:v>0</x:v>
      </x:c>
      <x:c r="F796" s="274" t="s">
        <x:v>184</x:v>
      </x:c>
      <x:c r="G796" s="274" t="s">
        <x:v>1718</x:v>
      </x:c>
      <x:c r="H796" s="274" t="n">
        <x:v>45</x:v>
      </x:c>
      <x:c r="I796" s="274" t="n">
        <x:v>1.8</x:v>
      </x:c>
      <x:c r="J796" s="274" t="n">
        <x:v>180</x:v>
      </x:c>
      <x:c r="K796" s="274" t="n">
        <x:v>1187</x:v>
      </x:c>
      <x:c r="M796" s="274" t="s">
        <x:v>1775</x:v>
      </x:c>
      <x:c r="N796" s="274" t="s">
        <x:v>870</x:v>
      </x:c>
    </x:row>
    <x:row r="797" spans="1:14">
      <x:c r="A797" s="274" t="s">
        <x:v>1776</x:v>
      </x:c>
      <x:c r="B797" s="274" t="n">
        <x:v>0.37</x:v>
      </x:c>
      <x:c r="C797" s="274" t="n">
        <x:v>0</x:v>
      </x:c>
      <x:c r="D797" s="274" t="n">
        <x:v>0</x:v>
      </x:c>
      <x:c r="F797" s="274" t="s">
        <x:v>133</x:v>
      </x:c>
      <x:c r="G797" s="274" t="s">
        <x:v>136</x:v>
      </x:c>
      <x:c r="H797" s="274" t="n">
        <x:v>45</x:v>
      </x:c>
      <x:c r="I797" s="274" t="n">
        <x:v>0.8</x:v>
      </x:c>
      <x:c r="J797" s="274" t="n">
        <x:v>165</x:v>
      </x:c>
      <x:c r="K797" s="274" t="n">
        <x:v>350</x:v>
      </x:c>
      <x:c r="M797" s="274" t="s">
        <x:v>1777</x:v>
      </x:c>
      <x:c r="N797" s="274" t="s">
        <x:v>870</x:v>
      </x:c>
    </x:row>
    <x:row r="798" spans="1:14">
      <x:c r="A798" s="274" t="s">
        <x:v>1778</x:v>
      </x:c>
      <x:c r="B798" s="274" t="n">
        <x:v>2.85</x:v>
      </x:c>
      <x:c r="C798" s="274" t="n">
        <x:v>0</x:v>
      </x:c>
      <x:c r="D798" s="274" t="n">
        <x:v>0</x:v>
      </x:c>
      <x:c r="F798" s="274" t="s">
        <x:v>133</x:v>
      </x:c>
      <x:c r="G798" s="274" t="s">
        <x:v>136</x:v>
      </x:c>
      <x:c r="H798" s="274" t="n">
        <x:v>45</x:v>
      </x:c>
      <x:c r="I798" s="274" t="n">
        <x:v>1.2</x:v>
      </x:c>
      <x:c r="J798" s="274" t="n">
        <x:v>270</x:v>
      </x:c>
      <x:c r="K798" s="274" t="n">
        <x:v>1110</x:v>
      </x:c>
      <x:c r="M798" s="274" t="s">
        <x:v>1779</x:v>
      </x:c>
      <x:c r="N798" s="274" t="s">
        <x:v>870</x:v>
      </x:c>
    </x:row>
    <x:row r="799" spans="1:14">
      <x:c r="A799" s="274" t="s">
        <x:v>1780</x:v>
      </x:c>
      <x:c r="B799" s="274" t="n">
        <x:v>0.63</x:v>
      </x:c>
      <x:c r="C799" s="274" t="n">
        <x:v>0</x:v>
      </x:c>
      <x:c r="D799" s="274" t="n">
        <x:v>0</x:v>
      </x:c>
      <x:c r="F799" s="274" t="s">
        <x:v>133</x:v>
      </x:c>
      <x:c r="G799" s="274" t="s">
        <x:v>136</x:v>
      </x:c>
      <x:c r="H799" s="274" t="n">
        <x:v>45</x:v>
      </x:c>
      <x:c r="I799" s="274" t="n">
        <x:v>0.75</x:v>
      </x:c>
      <x:c r="J799" s="274" t="n">
        <x:v>515</x:v>
      </x:c>
      <x:c r="K799" s="274" t="n">
        <x:v>205</x:v>
      </x:c>
      <x:c r="M799" s="274" t="s">
        <x:v>1781</x:v>
      </x:c>
      <x:c r="N799" s="274" t="s">
        <x:v>870</x:v>
      </x:c>
    </x:row>
    <x:row r="800" spans="1:14">
      <x:c r="A800" s="274" t="s">
        <x:v>1782</x:v>
      </x:c>
      <x:c r="B800" s="274" t="n">
        <x:v>0.35</x:v>
      </x:c>
      <x:c r="C800" s="274" t="n">
        <x:v>0</x:v>
      </x:c>
      <x:c r="D800" s="274" t="n">
        <x:v>0</x:v>
      </x:c>
      <x:c r="F800" s="274" t="s">
        <x:v>333</x:v>
      </x:c>
      <x:c r="G800" s="274" t="s">
        <x:v>153</x:v>
      </x:c>
      <x:c r="I800" s="274" t="n">
        <x:v>1</x:v>
      </x:c>
      <x:c r="J800" s="274" t="n">
        <x:v>113</x:v>
      </x:c>
      <x:c r="K800" s="274" t="n">
        <x:v>393</x:v>
      </x:c>
      <x:c r="M800" s="274" t="s">
        <x:v>1783</x:v>
      </x:c>
      <x:c r="N800" s="274" t="s">
        <x:v>1784</x:v>
      </x:c>
    </x:row>
    <x:row r="801" spans="1:14">
      <x:c r="A801" s="274" t="s">
        <x:v>1785</x:v>
      </x:c>
      <x:c r="B801" s="274" t="n">
        <x:v>0.56</x:v>
      </x:c>
      <x:c r="C801" s="274" t="n">
        <x:v>0</x:v>
      </x:c>
      <x:c r="D801" s="274" t="n">
        <x:v>0</x:v>
      </x:c>
      <x:c r="F801" s="274" t="s">
        <x:v>123</x:v>
      </x:c>
      <x:c r="G801" s="274" t="s">
        <x:v>124</x:v>
      </x:c>
      <x:c r="I801" s="274" t="n">
        <x:v>0.8</x:v>
      </x:c>
      <x:c r="J801" s="274" t="n">
        <x:v>250</x:v>
      </x:c>
      <x:c r="K801" s="274" t="n">
        <x:v>355</x:v>
      </x:c>
      <x:c r="M801" s="274" t="s">
        <x:v>1786</x:v>
      </x:c>
      <x:c r="N801" s="274" t="s">
        <x:v>870</x:v>
      </x:c>
    </x:row>
    <x:row r="802" spans="1:14">
      <x:c r="A802" s="274" t="s">
        <x:v>1787</x:v>
      </x:c>
      <x:c r="B802" s="274" t="n">
        <x:v>1.22</x:v>
      </x:c>
      <x:c r="C802" s="274" t="n">
        <x:v>0</x:v>
      </x:c>
      <x:c r="D802" s="274" t="n">
        <x:v>0</x:v>
      </x:c>
      <x:c r="F802" s="274" t="s">
        <x:v>133</x:v>
      </x:c>
      <x:c r="G802" s="274" t="s">
        <x:v>136</x:v>
      </x:c>
      <x:c r="H802" s="274" t="n">
        <x:v>45</x:v>
      </x:c>
      <x:c r="I802" s="274" t="n">
        <x:v>1.4</x:v>
      </x:c>
      <x:c r="J802" s="274" t="n">
        <x:v>88</x:v>
      </x:c>
      <x:c r="K802" s="274" t="n">
        <x:v>1250</x:v>
      </x:c>
      <x:c r="M802" s="274" t="s">
        <x:v>1788</x:v>
      </x:c>
      <x:c r="N802" s="274" t="s">
        <x:v>870</x:v>
      </x:c>
    </x:row>
    <x:row r="803" spans="1:14">
      <x:c r="A803" s="274" t="s">
        <x:v>1789</x:v>
      </x:c>
      <x:c r="B803" s="274" t="n">
        <x:v>2.59</x:v>
      </x:c>
      <x:c r="C803" s="274" t="n">
        <x:v>0</x:v>
      </x:c>
      <x:c r="D803" s="274" t="n">
        <x:v>0</x:v>
      </x:c>
      <x:c r="F803" s="274" t="s">
        <x:v>184</x:v>
      </x:c>
      <x:c r="G803" s="274" t="s">
        <x:v>1718</x:v>
      </x:c>
      <x:c r="H803" s="274" t="n">
        <x:v>45</x:v>
      </x:c>
      <x:c r="I803" s="274" t="n">
        <x:v>1.6</x:v>
      </x:c>
      <x:c r="J803" s="274" t="n">
        <x:v>168</x:v>
      </x:c>
      <x:c r="K803" s="274" t="n">
        <x:v>1219</x:v>
      </x:c>
      <x:c r="M803" s="274" t="s">
        <x:v>1790</x:v>
      </x:c>
    </x:row>
    <x:row r="804" spans="1:14">
      <x:c r="A804" s="274" t="s">
        <x:v>1791</x:v>
      </x:c>
      <x:c r="B804" s="274" t="n">
        <x:v>5.64</x:v>
      </x:c>
      <x:c r="C804" s="274" t="n">
        <x:v>0</x:v>
      </x:c>
      <x:c r="D804" s="274" t="n">
        <x:v>32</x:v>
      </x:c>
      <x:c r="E804" s="274" t="n">
        <x:v>37</x:v>
      </x:c>
      <x:c r="F804" s="274" t="s">
        <x:v>333</x:v>
      </x:c>
      <x:c r="G804" s="274" t="s">
        <x:v>153</x:v>
      </x:c>
      <x:c r="I804" s="274" t="n">
        <x:v>0.6</x:v>
      </x:c>
      <x:c r="J804" s="274" t="n">
        <x:v>1175</x:v>
      </x:c>
      <x:c r="K804" s="274" t="n">
        <x:v>1020</x:v>
      </x:c>
      <x:c r="M804" s="274" t="s">
        <x:v>1792</x:v>
      </x:c>
      <x:c r="N804" s="274" t="s">
        <x:v>126</x:v>
      </x:c>
    </x:row>
    <x:row r="805" spans="1:14">
      <x:c r="A805" s="274" t="s">
        <x:v>1793</x:v>
      </x:c>
      <x:c r="B805" s="274" t="n">
        <x:v>0.27</x:v>
      </x:c>
      <x:c r="C805" s="274" t="n">
        <x:v>0</x:v>
      </x:c>
      <x:c r="D805" s="274" t="n">
        <x:v>0</x:v>
      </x:c>
      <x:c r="F805" s="274" t="s">
        <x:v>333</x:v>
      </x:c>
      <x:c r="G805" s="274" t="s">
        <x:v>153</x:v>
      </x:c>
      <x:c r="I805" s="274" t="n">
        <x:v>1.2</x:v>
      </x:c>
      <x:c r="J805" s="274" t="n">
        <x:v>143</x:v>
      </x:c>
      <x:c r="K805" s="274" t="n">
        <x:v>204</x:v>
      </x:c>
      <x:c r="M805" s="274" t="s">
        <x:v>1794</x:v>
      </x:c>
      <x:c r="N805" s="274" t="s">
        <x:v>870</x:v>
      </x:c>
    </x:row>
    <x:row r="806" spans="1:14">
      <x:c r="A806" s="274" t="s">
        <x:v>1795</x:v>
      </x:c>
      <x:c r="B806" s="274" t="n">
        <x:v>0.37</x:v>
      </x:c>
      <x:c r="C806" s="274" t="n">
        <x:v>0</x:v>
      </x:c>
      <x:c r="D806" s="274" t="n">
        <x:v>0</x:v>
      </x:c>
      <x:c r="F806" s="274" t="s">
        <x:v>123</x:v>
      </x:c>
      <x:c r="G806" s="274" t="s">
        <x:v>124</x:v>
      </x:c>
      <x:c r="I806" s="274" t="n">
        <x:v>1.2</x:v>
      </x:c>
      <x:c r="J806" s="274" t="n">
        <x:v>275</x:v>
      </x:c>
      <x:c r="K806" s="274" t="n">
        <x:v>142</x:v>
      </x:c>
      <x:c r="M806" s="274" t="s">
        <x:v>1796</x:v>
      </x:c>
      <x:c r="N806" s="274" t="s">
        <x:v>870</x:v>
      </x:c>
    </x:row>
    <x:row r="807" spans="1:14">
      <x:c r="A807" s="274" t="s">
        <x:v>1797</x:v>
      </x:c>
      <x:c r="B807" s="274" t="n">
        <x:v>0.35</x:v>
      </x:c>
      <x:c r="C807" s="274" t="n">
        <x:v>0</x:v>
      </x:c>
      <x:c r="D807" s="274" t="n">
        <x:v>0</x:v>
      </x:c>
      <x:c r="F807" s="274" t="s">
        <x:v>123</x:v>
      </x:c>
      <x:c r="G807" s="274" t="s">
        <x:v>124</x:v>
      </x:c>
      <x:c r="I807" s="274" t="n">
        <x:v>1.2</x:v>
      </x:c>
      <x:c r="J807" s="274" t="n">
        <x:v>265</x:v>
      </x:c>
      <x:c r="K807" s="274" t="n">
        <x:v>140</x:v>
      </x:c>
      <x:c r="M807" s="274" t="s">
        <x:v>1798</x:v>
      </x:c>
      <x:c r="N807" s="274" t="s">
        <x:v>870</x:v>
      </x:c>
    </x:row>
    <x:row r="808" spans="1:14">
      <x:c r="A808" s="274" t="s">
        <x:v>1799</x:v>
      </x:c>
      <x:c r="B808" s="274" t="n">
        <x:v>0.18</x:v>
      </x:c>
      <x:c r="C808" s="274" t="n">
        <x:v>0</x:v>
      </x:c>
      <x:c r="D808" s="274" t="n">
        <x:v>0</x:v>
      </x:c>
      <x:c r="F808" s="274" t="s">
        <x:v>184</x:v>
      </x:c>
      <x:c r="G808" s="274" t="s">
        <x:v>1718</x:v>
      </x:c>
      <x:c r="H808" s="274" t="n">
        <x:v>45</x:v>
      </x:c>
      <x:c r="I808" s="274" t="n">
        <x:v>1.6</x:v>
      </x:c>
      <x:c r="J808" s="274" t="n">
        <x:v>91</x:v>
      </x:c>
      <x:c r="K808" s="274" t="n">
        <x:v>158</x:v>
      </x:c>
      <x:c r="M808" s="274" t="s">
        <x:v>1800</x:v>
      </x:c>
      <x:c r="N808" s="274" t="s">
        <x:v>870</x:v>
      </x:c>
    </x:row>
    <x:row r="809" spans="1:14">
      <x:c r="A809" s="274" t="s">
        <x:v>1801</x:v>
      </x:c>
      <x:c r="B809" s="274" t="n">
        <x:v>0.24</x:v>
      </x:c>
      <x:c r="C809" s="274" t="n">
        <x:v>0</x:v>
      </x:c>
      <x:c r="D809" s="274" t="n">
        <x:v>0</x:v>
      </x:c>
      <x:c r="F809" s="274" t="s">
        <x:v>133</x:v>
      </x:c>
      <x:c r="G809" s="274" t="s">
        <x:v>136</x:v>
      </x:c>
      <x:c r="H809" s="274" t="n">
        <x:v>45</x:v>
      </x:c>
      <x:c r="I809" s="274" t="n">
        <x:v>1.2</x:v>
      </x:c>
      <x:c r="J809" s="274" t="n">
        <x:v>155</x:v>
      </x:c>
      <x:c r="K809" s="274" t="n">
        <x:v>160</x:v>
      </x:c>
      <x:c r="M809" s="274" t="s">
        <x:v>1802</x:v>
      </x:c>
    </x:row>
    <x:row r="810" spans="1:14">
      <x:c r="A810" s="274" t="s">
        <x:v>1803</x:v>
      </x:c>
      <x:c r="B810" s="274" t="n">
        <x:v>1.3</x:v>
      </x:c>
      <x:c r="C810" s="274" t="n">
        <x:v>0</x:v>
      </x:c>
      <x:c r="D810" s="274" t="n">
        <x:v>0</x:v>
      </x:c>
      <x:c r="F810" s="274" t="s">
        <x:v>123</x:v>
      </x:c>
      <x:c r="G810" s="274" t="s">
        <x:v>209</x:v>
      </x:c>
      <x:c r="I810" s="274" t="n">
        <x:v>0.6</x:v>
      </x:c>
      <x:c r="J810" s="274" t="n">
        <x:v>265</x:v>
      </x:c>
      <x:c r="K810" s="274" t="n">
        <x:v>1045</x:v>
      </x:c>
      <x:c r="M810" s="274" t="s">
        <x:v>1804</x:v>
      </x:c>
      <x:c r="N810" s="274" t="s">
        <x:v>870</x:v>
      </x:c>
    </x:row>
    <x:row r="811" spans="1:14">
      <x:c r="A811" s="274" t="s">
        <x:v>1805</x:v>
      </x:c>
      <x:c r="B811" s="274" t="n">
        <x:v>1.55</x:v>
      </x:c>
      <x:c r="C811" s="274" t="n">
        <x:v>0</x:v>
      </x:c>
      <x:c r="D811" s="274" t="n">
        <x:v>0</x:v>
      </x:c>
      <x:c r="F811" s="274" t="s">
        <x:v>333</x:v>
      </x:c>
      <x:c r="G811" s="274" t="s">
        <x:v>153</x:v>
      </x:c>
      <x:c r="I811" s="274" t="n">
        <x:v>0.6</x:v>
      </x:c>
      <x:c r="J811" s="274" t="n">
        <x:v>218</x:v>
      </x:c>
      <x:c r="K811" s="274" t="n">
        <x:v>1510</x:v>
      </x:c>
      <x:c r="M811" s="274" t="s">
        <x:v>1806</x:v>
      </x:c>
      <x:c r="N811" s="274" t="s">
        <x:v>870</x:v>
      </x:c>
    </x:row>
    <x:row r="812" spans="1:14">
      <x:c r="A812" s="274" t="s">
        <x:v>1807</x:v>
      </x:c>
      <x:c r="B812" s="274" t="n">
        <x:v>2.55</x:v>
      </x:c>
      <x:c r="C812" s="274" t="n">
        <x:v>0</x:v>
      </x:c>
      <x:c r="D812" s="274" t="n">
        <x:v>0</x:v>
      </x:c>
      <x:c r="F812" s="274" t="s">
        <x:v>133</x:v>
      </x:c>
      <x:c r="G812" s="274" t="s">
        <x:v>144</x:v>
      </x:c>
      <x:c r="H812" s="274" t="n">
        <x:v>45</x:v>
      </x:c>
      <x:c r="I812" s="274" t="n">
        <x:v>1.2</x:v>
      </x:c>
      <x:c r="J812" s="274" t="n">
        <x:v>220</x:v>
      </x:c>
      <x:c r="K812" s="274" t="n">
        <x:v>1219</x:v>
      </x:c>
      <x:c r="M812" s="274" t="s">
        <x:v>1808</x:v>
      </x:c>
      <x:c r="N812" s="274" t="s">
        <x:v>870</x:v>
      </x:c>
    </x:row>
    <x:row r="813" spans="1:14">
      <x:c r="A813" s="274" t="s">
        <x:v>1809</x:v>
      </x:c>
      <x:c r="B813" s="274" t="n">
        <x:v>2.89</x:v>
      </x:c>
      <x:c r="C813" s="274" t="n">
        <x:v>0</x:v>
      </x:c>
      <x:c r="D813" s="274" t="n">
        <x:v>0</x:v>
      </x:c>
      <x:c r="F813" s="274" t="s">
        <x:v>133</x:v>
      </x:c>
      <x:c r="G813" s="274" t="s">
        <x:v>136</x:v>
      </x:c>
      <x:c r="H813" s="274" t="n">
        <x:v>45</x:v>
      </x:c>
      <x:c r="I813" s="274" t="n">
        <x:v>1.4</x:v>
      </x:c>
      <x:c r="J813" s="274" t="n">
        <x:v>215</x:v>
      </x:c>
      <x:c r="K813" s="274" t="n">
        <x:v>1215</x:v>
      </x:c>
      <x:c r="M813" s="274" t="s">
        <x:v>1810</x:v>
      </x:c>
      <x:c r="N813" s="274" t="s">
        <x:v>870</x:v>
      </x:c>
    </x:row>
    <x:row r="814" spans="1:14">
      <x:c r="A814" s="274" t="s">
        <x:v>1811</x:v>
      </x:c>
      <x:c r="B814" s="274" t="n">
        <x:v>2.19</x:v>
      </x:c>
      <x:c r="C814" s="274" t="n">
        <x:v>0</x:v>
      </x:c>
      <x:c r="D814" s="274" t="n">
        <x:v>60</x:v>
      </x:c>
      <x:c r="E814" s="274" t="n">
        <x:v>0</x:v>
      </x:c>
      <x:c r="F814" s="274" t="s">
        <x:v>123</x:v>
      </x:c>
      <x:c r="G814" s="274" t="s">
        <x:v>124</x:v>
      </x:c>
      <x:c r="I814" s="274" t="n">
        <x:v>0.8</x:v>
      </x:c>
      <x:c r="J814" s="274" t="n">
        <x:v>600</x:v>
      </x:c>
      <x:c r="K814" s="274" t="n">
        <x:v>540</x:v>
      </x:c>
      <x:c r="L814" s="274" t="n">
        <x:v>620</x:v>
      </x:c>
      <x:c r="M814" s="274" t="s">
        <x:v>1812</x:v>
      </x:c>
      <x:c r="N814" s="274" t="s">
        <x:v>870</x:v>
      </x:c>
    </x:row>
    <x:row r="815" spans="1:14">
      <x:c r="A815" s="274" t="s">
        <x:v>1813</x:v>
      </x:c>
      <x:c r="B815" s="274" t="n">
        <x:v>0.51</x:v>
      </x:c>
      <x:c r="C815" s="274" t="n">
        <x:v>0</x:v>
      </x:c>
      <x:c r="D815" s="274" t="n">
        <x:v>0</x:v>
      </x:c>
      <x:c r="F815" s="274" t="s">
        <x:v>133</x:v>
      </x:c>
      <x:c r="G815" s="274" t="s">
        <x:v>134</x:v>
      </x:c>
      <x:c r="I815" s="274" t="n">
        <x:v>2.3</x:v>
      </x:c>
      <x:c r="J815" s="274" t="n">
        <x:v>58</x:v>
      </x:c>
      <x:c r="K815" s="274" t="n">
        <x:v>487</x:v>
      </x:c>
      <x:c r="M815" s="274" t="s">
        <x:v>1814</x:v>
      </x:c>
      <x:c r="N815" s="274" t="s">
        <x:v>1815</x:v>
      </x:c>
    </x:row>
    <x:row r="816" spans="1:14">
      <x:c r="A816" s="274" t="s">
        <x:v>1816</x:v>
      </x:c>
      <x:c r="B816" s="274" t="n">
        <x:v>0.14</x:v>
      </x:c>
      <x:c r="C816" s="274" t="n">
        <x:v>0</x:v>
      </x:c>
      <x:c r="D816" s="274" t="n">
        <x:v>0</x:v>
      </x:c>
      <x:c r="F816" s="274" t="s">
        <x:v>333</x:v>
      </x:c>
      <x:c r="G816" s="274" t="s">
        <x:v>473</x:v>
      </x:c>
      <x:c r="I816" s="274" t="n">
        <x:v>0.8</x:v>
      </x:c>
      <x:c r="J816" s="274" t="n">
        <x:v>150</x:v>
      </x:c>
      <x:c r="K816" s="274" t="n">
        <x:v>150</x:v>
      </x:c>
      <x:c r="M816" s="274" t="s">
        <x:v>1817</x:v>
      </x:c>
      <x:c r="N816" s="274" t="s">
        <x:v>1815</x:v>
      </x:c>
    </x:row>
    <x:row r="817" spans="1:14">
      <x:c r="A817" s="274" t="s">
        <x:v>1818</x:v>
      </x:c>
      <x:c r="B817" s="274" t="n">
        <x:v>2.85</x:v>
      </x:c>
      <x:c r="C817" s="274" t="n">
        <x:v>0</x:v>
      </x:c>
      <x:c r="D817" s="274" t="n">
        <x:v>0</x:v>
      </x:c>
      <x:c r="F817" s="274" t="s">
        <x:v>123</x:v>
      </x:c>
      <x:c r="G817" s="274" t="s">
        <x:v>139</x:v>
      </x:c>
      <x:c r="I817" s="274" t="n">
        <x:v>3.2</x:v>
      </x:c>
      <x:c r="J817" s="274" t="n">
        <x:v>246</x:v>
      </x:c>
      <x:c r="K817" s="274" t="n">
        <x:v>462</x:v>
      </x:c>
      <x:c r="M817" s="274" t="s">
        <x:v>1819</x:v>
      </x:c>
      <x:c r="N817" s="274" t="s">
        <x:v>299</x:v>
      </x:c>
    </x:row>
    <x:row r="818" spans="1:14">
      <x:c r="A818" s="274" t="s">
        <x:v>1820</x:v>
      </x:c>
      <x:c r="B818" s="274" t="n">
        <x:v>0.69</x:v>
      </x:c>
      <x:c r="C818" s="274" t="n">
        <x:v>0</x:v>
      </x:c>
      <x:c r="D818" s="274" t="n">
        <x:v>0</x:v>
      </x:c>
      <x:c r="F818" s="274" t="s">
        <x:v>133</x:v>
      </x:c>
      <x:c r="G818" s="274" t="s">
        <x:v>136</x:v>
      </x:c>
      <x:c r="H818" s="274" t="n">
        <x:v>45</x:v>
      </x:c>
      <x:c r="I818" s="274" t="n">
        <x:v>0.65</x:v>
      </x:c>
      <x:c r="J818" s="274" t="n">
        <x:v>1082</x:v>
      </x:c>
      <x:c r="K818" s="274" t="n">
        <x:v>123</x:v>
      </x:c>
      <x:c r="M818" s="274" t="s">
        <x:v>1821</x:v>
      </x:c>
      <x:c r="N818" s="274" t="s">
        <x:v>870</x:v>
      </x:c>
    </x:row>
    <x:row r="819" spans="1:14">
      <x:c r="A819" s="274" t="s">
        <x:v>1822</x:v>
      </x:c>
      <x:c r="B819" s="274" t="n">
        <x:v>5.11</x:v>
      </x:c>
      <x:c r="C819" s="274" t="n">
        <x:v>0</x:v>
      </x:c>
      <x:c r="D819" s="274" t="n">
        <x:v>0</x:v>
      </x:c>
      <x:c r="F819" s="274" t="s">
        <x:v>133</x:v>
      </x:c>
      <x:c r="G819" s="274" t="s">
        <x:v>136</x:v>
      </x:c>
      <x:c r="H819" s="274" t="n">
        <x:v>45</x:v>
      </x:c>
      <x:c r="I819" s="274" t="n">
        <x:v>0.7</x:v>
      </x:c>
      <x:c r="J819" s="274" t="n">
        <x:v>610</x:v>
      </x:c>
      <x:c r="K819" s="274" t="n">
        <x:v>1500</x:v>
      </x:c>
      <x:c r="M819" s="274" t="s">
        <x:v>1823</x:v>
      </x:c>
      <x:c r="N819" s="274" t="s">
        <x:v>870</x:v>
      </x:c>
    </x:row>
    <x:row r="820" spans="1:14">
      <x:c r="A820" s="274" t="s">
        <x:v>1824</x:v>
      </x:c>
      <x:c r="B820" s="274" t="n">
        <x:v>2.35</x:v>
      </x:c>
      <x:c r="C820" s="274" t="n">
        <x:v>0</x:v>
      </x:c>
      <x:c r="D820" s="274" t="n">
        <x:v>0</x:v>
      </x:c>
      <x:c r="F820" s="274" t="s">
        <x:v>333</x:v>
      </x:c>
      <x:c r="G820" s="274" t="s">
        <x:v>153</x:v>
      </x:c>
      <x:c r="I820" s="274" t="n">
        <x:v>0.6</x:v>
      </x:c>
      <x:c r="J820" s="274" t="n">
        <x:v>330</x:v>
      </x:c>
      <x:c r="K820" s="274" t="n">
        <x:v>1510</x:v>
      </x:c>
      <x:c r="M820" s="274" t="s">
        <x:v>1825</x:v>
      </x:c>
      <x:c r="N820" s="274" t="s">
        <x:v>870</x:v>
      </x:c>
    </x:row>
    <x:row r="821" spans="1:14">
      <x:c r="A821" s="274" t="s">
        <x:v>1826</x:v>
      </x:c>
      <x:c r="B821" s="274" t="n">
        <x:v>2.54</x:v>
      </x:c>
      <x:c r="C821" s="274" t="n">
        <x:v>0</x:v>
      </x:c>
      <x:c r="D821" s="274" t="n">
        <x:v>0</x:v>
      </x:c>
      <x:c r="F821" s="274" t="s">
        <x:v>123</x:v>
      </x:c>
      <x:c r="G821" s="274" t="s">
        <x:v>148</x:v>
      </x:c>
      <x:c r="I821" s="274" t="n">
        <x:v>1.8</x:v>
      </x:c>
      <x:c r="J821" s="274" t="n">
        <x:v>180</x:v>
      </x:c>
      <x:c r="K821" s="274" t="n">
        <x:v>1000</x:v>
      </x:c>
      <x:c r="M821" s="274" t="s">
        <x:v>1827</x:v>
      </x:c>
      <x:c r="N821" s="274" t="s">
        <x:v>870</x:v>
      </x:c>
    </x:row>
    <x:row r="822" spans="1:14">
      <x:c r="A822" s="274" t="s">
        <x:v>1828</x:v>
      </x:c>
      <x:c r="B822" s="274" t="n">
        <x:v>1.63</x:v>
      </x:c>
      <x:c r="C822" s="274" t="n">
        <x:v>0</x:v>
      </x:c>
      <x:c r="D822" s="274" t="n">
        <x:v>0</x:v>
      </x:c>
      <x:c r="F822" s="274" t="s">
        <x:v>133</x:v>
      </x:c>
      <x:c r="G822" s="274" t="s">
        <x:v>148</x:v>
      </x:c>
      <x:c r="I822" s="274" t="n">
        <x:v>3.2</x:v>
      </x:c>
      <x:c r="J822" s="274" t="n">
        <x:v>65</x:v>
      </x:c>
      <x:c r="K822" s="274" t="n">
        <x:v>1000</x:v>
      </x:c>
      <x:c r="M822" s="274" t="s">
        <x:v>1829</x:v>
      </x:c>
      <x:c r="N822" s="274" t="s">
        <x:v>870</x:v>
      </x:c>
    </x:row>
    <x:row r="823" spans="1:14">
      <x:c r="A823" s="274" t="s">
        <x:v>1830</x:v>
      </x:c>
      <x:c r="B823" s="274" t="n">
        <x:v>1.63</x:v>
      </x:c>
      <x:c r="C823" s="274" t="n">
        <x:v>0</x:v>
      </x:c>
      <x:c r="D823" s="274" t="n">
        <x:v>0</x:v>
      </x:c>
      <x:c r="F823" s="274" t="s">
        <x:v>133</x:v>
      </x:c>
      <x:c r="G823" s="274" t="s">
        <x:v>134</x:v>
      </x:c>
      <x:c r="I823" s="274" t="n">
        <x:v>2.6</x:v>
      </x:c>
      <x:c r="J823" s="274" t="n">
        <x:v>63</x:v>
      </x:c>
      <x:c r="K823" s="274" t="n">
        <x:v>1270</x:v>
      </x:c>
      <x:c r="M823" s="274" t="s">
        <x:v>1503</x:v>
      </x:c>
      <x:c r="N823" s="274" t="s">
        <x:v>870</x:v>
      </x:c>
    </x:row>
    <x:row r="824" spans="1:14">
      <x:c r="A824" s="274" t="s">
        <x:v>1831</x:v>
      </x:c>
      <x:c r="B824" s="274" t="n">
        <x:v>2.65</x:v>
      </x:c>
      <x:c r="C824" s="274" t="n">
        <x:v>0</x:v>
      </x:c>
      <x:c r="D824" s="274" t="n">
        <x:v>0</x:v>
      </x:c>
      <x:c r="F824" s="274" t="s">
        <x:v>133</x:v>
      </x:c>
      <x:c r="G824" s="274" t="s">
        <x:v>148</x:v>
      </x:c>
      <x:c r="I824" s="274" t="n">
        <x:v>3.6</x:v>
      </x:c>
      <x:c r="J824" s="274" t="n">
        <x:v>78</x:v>
      </x:c>
      <x:c r="K824" s="274" t="n">
        <x:v>1200</x:v>
      </x:c>
      <x:c r="M824" s="274" t="s">
        <x:v>1832</x:v>
      </x:c>
      <x:c r="N824" s="274" t="s">
        <x:v>870</x:v>
      </x:c>
    </x:row>
    <x:row r="825" spans="1:14">
      <x:c r="A825" s="274" t="s">
        <x:v>1833</x:v>
      </x:c>
      <x:c r="B825" s="274" t="n">
        <x:v>0.88</x:v>
      </x:c>
      <x:c r="C825" s="274" t="n">
        <x:v>0</x:v>
      </x:c>
      <x:c r="D825" s="274" t="n">
        <x:v>0</x:v>
      </x:c>
      <x:c r="F825" s="274" t="s">
        <x:v>133</x:v>
      </x:c>
      <x:c r="G825" s="274" t="s">
        <x:v>134</x:v>
      </x:c>
      <x:c r="I825" s="274" t="n">
        <x:v>2</x:v>
      </x:c>
      <x:c r="J825" s="274" t="n">
        <x:v>56</x:v>
      </x:c>
      <x:c r="K825" s="274" t="n">
        <x:v>1000</x:v>
      </x:c>
      <x:c r="M825" s="274" t="s">
        <x:v>1834</x:v>
      </x:c>
      <x:c r="N825" s="274" t="s">
        <x:v>870</x:v>
      </x:c>
    </x:row>
    <x:row r="826" spans="1:14">
      <x:c r="A826" s="274" t="s">
        <x:v>1835</x:v>
      </x:c>
      <x:c r="B826" s="274" t="n">
        <x:v>2.17</x:v>
      </x:c>
      <x:c r="C826" s="274" t="n">
        <x:v>0</x:v>
      </x:c>
      <x:c r="D826" s="274" t="n">
        <x:v>28</x:v>
      </x:c>
      <x:c r="E826" s="274" t="n">
        <x:v>0</x:v>
      </x:c>
      <x:c r="F826" s="274" t="s">
        <x:v>133</x:v>
      </x:c>
      <x:c r="G826" s="274" t="s">
        <x:v>144</x:v>
      </x:c>
      <x:c r="H826" s="274" t="n">
        <x:v>45</x:v>
      </x:c>
      <x:c r="I826" s="274" t="n">
        <x:v>1.2</x:v>
      </x:c>
      <x:c r="J826" s="274" t="n">
        <x:v>490</x:v>
      </x:c>
      <x:c r="K826" s="274" t="n">
        <x:v>670</x:v>
      </x:c>
      <x:c r="L826" s="274" t="n">
        <x:v>260</x:v>
      </x:c>
      <x:c r="M826" s="274" t="s">
        <x:v>1836</x:v>
      </x:c>
      <x:c r="N826" s="274" t="s">
        <x:v>870</x:v>
      </x:c>
    </x:row>
    <x:row r="827" spans="1:14">
      <x:c r="A827" s="274" t="s">
        <x:v>1837</x:v>
      </x:c>
      <x:c r="B827" s="274" t="n">
        <x:v>0.93</x:v>
      </x:c>
      <x:c r="C827" s="274" t="n">
        <x:v>0</x:v>
      </x:c>
      <x:c r="D827" s="274" t="n">
        <x:v>0</x:v>
      </x:c>
      <x:c r="F827" s="274" t="s">
        <x:v>133</x:v>
      </x:c>
      <x:c r="G827" s="274" t="s">
        <x:v>148</x:v>
      </x:c>
      <x:c r="I827" s="274" t="n">
        <x:v>2.9</x:v>
      </x:c>
      <x:c r="J827" s="274" t="n">
        <x:v>41</x:v>
      </x:c>
      <x:c r="K827" s="274" t="n">
        <x:v>1000</x:v>
      </x:c>
      <x:c r="M827" s="274" t="s">
        <x:v>1838</x:v>
      </x:c>
      <x:c r="N827" s="274" t="s">
        <x:v>870</x:v>
      </x:c>
    </x:row>
    <x:row r="828" spans="1:14">
      <x:c r="A828" s="274" t="s">
        <x:v>1839</x:v>
      </x:c>
      <x:c r="B828" s="274" t="n">
        <x:v>1.09</x:v>
      </x:c>
      <x:c r="C828" s="274" t="n">
        <x:v>0</x:v>
      </x:c>
      <x:c r="D828" s="274" t="n">
        <x:v>0</x:v>
      </x:c>
      <x:c r="F828" s="274" t="s">
        <x:v>333</x:v>
      </x:c>
      <x:c r="G828" s="274" t="s">
        <x:v>124</x:v>
      </x:c>
      <x:c r="I828" s="274" t="n">
        <x:v>1.4</x:v>
      </x:c>
      <x:c r="J828" s="274" t="n">
        <x:v>180</x:v>
      </x:c>
      <x:c r="K828" s="274" t="n">
        <x:v>550</x:v>
      </x:c>
      <x:c r="M828" s="274" t="s">
        <x:v>1840</x:v>
      </x:c>
      <x:c r="N828" s="274" t="s">
        <x:v>870</x:v>
      </x:c>
    </x:row>
    <x:row r="829" spans="1:14">
      <x:c r="A829" s="274" t="s">
        <x:v>1841</x:v>
      </x:c>
      <x:c r="B829" s="274" t="n">
        <x:v>0.35</x:v>
      </x:c>
      <x:c r="C829" s="274" t="n">
        <x:v>0</x:v>
      </x:c>
      <x:c r="D829" s="274" t="n">
        <x:v>0</x:v>
      </x:c>
      <x:c r="F829" s="274" t="s">
        <x:v>133</x:v>
      </x:c>
      <x:c r="G829" s="274" t="s">
        <x:v>144</x:v>
      </x:c>
      <x:c r="H829" s="274" t="n">
        <x:v>45</x:v>
      </x:c>
      <x:c r="I829" s="274" t="n">
        <x:v>1.4</x:v>
      </x:c>
      <x:c r="J829" s="274" t="n">
        <x:v>195</x:v>
      </x:c>
      <x:c r="K829" s="274" t="n">
        <x:v>160</x:v>
      </x:c>
      <x:c r="M829" s="274" t="s">
        <x:v>1842</x:v>
      </x:c>
      <x:c r="N829" s="274" t="s">
        <x:v>870</x:v>
      </x:c>
    </x:row>
    <x:row r="830" spans="1:14">
      <x:c r="A830" s="274" t="s">
        <x:v>1843</x:v>
      </x:c>
      <x:c r="B830" s="274" t="n">
        <x:v>0.88</x:v>
      </x:c>
      <x:c r="C830" s="274" t="n">
        <x:v>0</x:v>
      </x:c>
      <x:c r="D830" s="274" t="n">
        <x:v>0</x:v>
      </x:c>
      <x:c r="F830" s="274" t="s">
        <x:v>133</x:v>
      </x:c>
      <x:c r="G830" s="274" t="s">
        <x:v>144</x:v>
      </x:c>
      <x:c r="H830" s="274" t="n">
        <x:v>45</x:v>
      </x:c>
      <x:c r="I830" s="274" t="n">
        <x:v>1.6</x:v>
      </x:c>
      <x:c r="J830" s="274" t="n">
        <x:v>437</x:v>
      </x:c>
      <x:c r="K830" s="274" t="n">
        <x:v>160</x:v>
      </x:c>
      <x:c r="M830" s="274" t="s">
        <x:v>1844</x:v>
      </x:c>
      <x:c r="N830" s="274" t="s">
        <x:v>870</x:v>
      </x:c>
    </x:row>
    <x:row r="831" spans="1:14">
      <x:c r="A831" s="274" t="s">
        <x:v>1845</x:v>
      </x:c>
      <x:c r="B831" s="274" t="n">
        <x:v>0.43</x:v>
      </x:c>
      <x:c r="C831" s="274" t="n">
        <x:v>0</x:v>
      </x:c>
      <x:c r="D831" s="274" t="n">
        <x:v>0</x:v>
      </x:c>
      <x:c r="F831" s="274" t="s">
        <x:v>333</x:v>
      </x:c>
      <x:c r="G831" s="274" t="s">
        <x:v>124</x:v>
      </x:c>
      <x:c r="I831" s="274" t="n">
        <x:v>1.6</x:v>
      </x:c>
      <x:c r="J831" s="274" t="n">
        <x:v>68</x:v>
      </x:c>
      <x:c r="K831" s="274" t="n">
        <x:v>505</x:v>
      </x:c>
      <x:c r="M831" s="274" t="s">
        <x:v>1846</x:v>
      </x:c>
      <x:c r="N831" s="274" t="s">
        <x:v>870</x:v>
      </x:c>
    </x:row>
    <x:row r="832" spans="1:14">
      <x:c r="A832" s="274" t="s">
        <x:v>1847</x:v>
      </x:c>
      <x:c r="B832" s="274" t="n">
        <x:v>0.42</x:v>
      </x:c>
      <x:c r="C832" s="274" t="n">
        <x:v>0</x:v>
      </x:c>
      <x:c r="D832" s="274" t="n">
        <x:v>0</x:v>
      </x:c>
      <x:c r="F832" s="274" t="s">
        <x:v>333</x:v>
      </x:c>
      <x:c r="G832" s="274" t="s">
        <x:v>124</x:v>
      </x:c>
      <x:c r="I832" s="274" t="n">
        <x:v>1.6</x:v>
      </x:c>
      <x:c r="J832" s="274" t="n">
        <x:v>135</x:v>
      </x:c>
      <x:c r="K832" s="274" t="n">
        <x:v>245</x:v>
      </x:c>
      <x:c r="M832" s="274" t="s">
        <x:v>1848</x:v>
      </x:c>
      <x:c r="N832" s="274" t="s">
        <x:v>870</x:v>
      </x:c>
    </x:row>
    <x:row r="833" spans="1:14">
      <x:c r="A833" s="274" t="s">
        <x:v>1849</x:v>
      </x:c>
      <x:c r="B833" s="274" t="n">
        <x:v>4.22</x:v>
      </x:c>
      <x:c r="C833" s="274" t="n">
        <x:v>0</x:v>
      </x:c>
      <x:c r="D833" s="274" t="n">
        <x:v>32</x:v>
      </x:c>
      <x:c r="E833" s="274" t="n">
        <x:v>40</x:v>
      </x:c>
      <x:c r="F833" s="274" t="s">
        <x:v>133</x:v>
      </x:c>
      <x:c r="G833" s="274" t="s">
        <x:v>136</x:v>
      </x:c>
      <x:c r="H833" s="274" t="n">
        <x:v>45</x:v>
      </x:c>
      <x:c r="I833" s="274" t="n">
        <x:v>0.8</x:v>
      </x:c>
      <x:c r="J833" s="274" t="n">
        <x:v>1379</x:v>
      </x:c>
      <x:c r="K833" s="274" t="n">
        <x:v>480</x:v>
      </x:c>
      <x:c r="M833" s="274" t="s">
        <x:v>1850</x:v>
      </x:c>
      <x:c r="N833" s="274" t="s">
        <x:v>870</x:v>
      </x:c>
    </x:row>
    <x:row r="834" spans="1:14">
      <x:c r="A834" s="274" t="s">
        <x:v>1851</x:v>
      </x:c>
      <x:c r="B834" s="274" t="n">
        <x:v>3.99</x:v>
      </x:c>
      <x:c r="C834" s="274" t="n">
        <x:v>0</x:v>
      </x:c>
      <x:c r="D834" s="274" t="n">
        <x:v>50</x:v>
      </x:c>
      <x:c r="E834" s="274" t="n">
        <x:v>0</x:v>
      </x:c>
      <x:c r="F834" s="274" t="s">
        <x:v>184</x:v>
      </x:c>
      <x:c r="G834" s="274" t="s">
        <x:v>136</x:v>
      </x:c>
      <x:c r="H834" s="274" t="s">
        <x:v>1852</x:v>
      </x:c>
      <x:c r="I834" s="274" t="n">
        <x:v>0.8</x:v>
      </x:c>
      <x:c r="J834" s="274" t="n">
        <x:v>1490</x:v>
      </x:c>
      <x:c r="K834" s="274" t="n">
        <x:v>420</x:v>
      </x:c>
      <x:c r="M834" s="274" t="s">
        <x:v>1853</x:v>
      </x:c>
      <x:c r="N834" s="274" t="s">
        <x:v>1854</x:v>
      </x:c>
    </x:row>
    <x:row r="835" spans="1:14">
      <x:c r="A835" s="274" t="s">
        <x:v>1855</x:v>
      </x:c>
      <x:c r="B835" s="274" t="n">
        <x:v>2.99</x:v>
      </x:c>
      <x:c r="C835" s="274" t="n">
        <x:v>0</x:v>
      </x:c>
      <x:c r="D835" s="274" t="n">
        <x:v>0</x:v>
      </x:c>
      <x:c r="F835" s="274" t="s">
        <x:v>184</x:v>
      </x:c>
      <x:c r="G835" s="274" t="s">
        <x:v>881</x:v>
      </x:c>
      <x:c r="H835" s="274" t="n">
        <x:v>45</x:v>
      </x:c>
      <x:c r="I835" s="274" t="n">
        <x:v>2</x:v>
      </x:c>
      <x:c r="J835" s="274" t="n">
        <x:v>1192</x:v>
      </x:c>
      <x:c r="K835" s="274" t="n">
        <x:v>159</x:v>
      </x:c>
      <x:c r="M835" s="274" t="s">
        <x:v>1856</x:v>
      </x:c>
      <x:c r="N835" s="274" t="s">
        <x:v>870</x:v>
      </x:c>
    </x:row>
    <x:row r="836" spans="1:14">
      <x:c r="A836" s="274" t="s">
        <x:v>1857</x:v>
      </x:c>
      <x:c r="B836" s="274" t="n">
        <x:v>3.59</x:v>
      </x:c>
      <x:c r="C836" s="274" t="n">
        <x:v>0</x:v>
      </x:c>
      <x:c r="D836" s="274" t="n">
        <x:v>0</x:v>
      </x:c>
      <x:c r="F836" s="274" t="s">
        <x:v>311</x:v>
      </x:c>
      <x:c r="G836" s="274" t="s">
        <x:v>334</x:v>
      </x:c>
      <x:c r="I836" s="274" t="n">
        <x:v>1.2</x:v>
      </x:c>
      <x:c r="J836" s="274" t="n">
        <x:v>1230</x:v>
      </x:c>
      <x:c r="K836" s="274" t="n">
        <x:v>310</x:v>
      </x:c>
      <x:c r="M836" s="274" t="s">
        <x:v>1858</x:v>
      </x:c>
      <x:c r="N836" s="274" t="s">
        <x:v>870</x:v>
      </x:c>
    </x:row>
    <x:row r="837" spans="1:14">
      <x:c r="A837" s="274" t="s">
        <x:v>1859</x:v>
      </x:c>
      <x:c r="B837" s="274" t="n">
        <x:v>1.29</x:v>
      </x:c>
      <x:c r="C837" s="274" t="n">
        <x:v>0</x:v>
      </x:c>
      <x:c r="D837" s="274" t="n">
        <x:v>0</x:v>
      </x:c>
      <x:c r="F837" s="274" t="s">
        <x:v>184</x:v>
      </x:c>
      <x:c r="G837" s="274" t="s">
        <x:v>136</x:v>
      </x:c>
      <x:c r="H837" s="274" t="n">
        <x:v>45</x:v>
      </x:c>
      <x:c r="I837" s="274" t="n">
        <x:v>0.55</x:v>
      </x:c>
      <x:c r="J837" s="274" t="n">
        <x:v>922</x:v>
      </x:c>
      <x:c r="K837" s="274" t="n">
        <x:v>318</x:v>
      </x:c>
      <x:c r="M837" s="274" t="s">
        <x:v>1860</x:v>
      </x:c>
      <x:c r="N837" s="274" t="s">
        <x:v>870</x:v>
      </x:c>
    </x:row>
    <x:row r="838" spans="1:14">
      <x:c r="A838" s="274" t="s">
        <x:v>1861</x:v>
      </x:c>
      <x:c r="B838" s="274" t="n">
        <x:v>4.19</x:v>
      </x:c>
      <x:c r="C838" s="274" t="n">
        <x:v>0</x:v>
      </x:c>
      <x:c r="D838" s="274" t="n">
        <x:v>0</x:v>
      </x:c>
      <x:c r="E838" s="274" t="n">
        <x:v>0</x:v>
      </x:c>
      <x:c r="F838" s="274" t="s">
        <x:v>133</x:v>
      </x:c>
      <x:c r="G838" s="274" t="s">
        <x:v>136</x:v>
      </x:c>
      <x:c r="H838" s="274" t="s">
        <x:v>285</x:v>
      </x:c>
      <x:c r="I838" s="274" t="n">
        <x:v>0.65</x:v>
      </x:c>
      <x:c r="J838" s="274" t="n">
        <x:v>1126</x:v>
      </x:c>
      <x:c r="K838" s="274" t="n">
        <x:v>1460</x:v>
      </x:c>
      <x:c r="M838" s="274" t="s">
        <x:v>1862</x:v>
      </x:c>
      <x:c r="N838" s="274" t="s">
        <x:v>229</x:v>
      </x:c>
    </x:row>
    <x:row r="839" spans="1:14">
      <x:c r="A839" s="274" t="s">
        <x:v>1863</x:v>
      </x:c>
      <x:c r="B839" s="274" t="n">
        <x:v>1.96</x:v>
      </x:c>
      <x:c r="C839" s="274" t="n">
        <x:v>0</x:v>
      </x:c>
      <x:c r="D839" s="274" t="n">
        <x:v>0</x:v>
      </x:c>
      <x:c r="F839" s="274" t="s">
        <x:v>333</x:v>
      </x:c>
      <x:c r="G839" s="274" t="s">
        <x:v>334</x:v>
      </x:c>
      <x:c r="I839" s="274" t="n">
        <x:v>2</x:v>
      </x:c>
      <x:c r="J839" s="274" t="n">
        <x:v>708</x:v>
      </x:c>
      <x:c r="K839" s="274" t="n">
        <x:v>176</x:v>
      </x:c>
      <x:c r="M839" s="274" t="s">
        <x:v>1864</x:v>
      </x:c>
      <x:c r="N839" s="274" t="s">
        <x:v>1605</x:v>
      </x:c>
    </x:row>
    <x:row r="840" spans="1:14">
      <x:c r="A840" s="274" t="s">
        <x:v>1865</x:v>
      </x:c>
      <x:c r="B840" s="274" t="n">
        <x:v>1.92</x:v>
      </x:c>
      <x:c r="C840" s="274" t="n">
        <x:v>0</x:v>
      </x:c>
      <x:c r="D840" s="274" t="n">
        <x:v>0</x:v>
      </x:c>
      <x:c r="F840" s="274" t="s">
        <x:v>184</x:v>
      </x:c>
      <x:c r="G840" s="274" t="s">
        <x:v>1718</x:v>
      </x:c>
      <x:c r="H840" s="274" t="n">
        <x:v>45</x:v>
      </x:c>
      <x:c r="I840" s="274" t="n">
        <x:v>1.6</x:v>
      </x:c>
      <x:c r="J840" s="274" t="n">
        <x:v>245</x:v>
      </x:c>
      <x:c r="K840" s="274" t="n">
        <x:v>620</x:v>
      </x:c>
      <x:c r="M840" s="274" t="s">
        <x:v>1866</x:v>
      </x:c>
      <x:c r="N840" s="274" t="s">
        <x:v>870</x:v>
      </x:c>
    </x:row>
    <x:row r="841" spans="1:14">
      <x:c r="A841" s="274" t="s">
        <x:v>1867</x:v>
      </x:c>
      <x:c r="B841" s="274" t="n">
        <x:v>4.19</x:v>
      </x:c>
      <x:c r="C841" s="274" t="n">
        <x:v>0</x:v>
      </x:c>
      <x:c r="D841" s="274" t="n">
        <x:v>0</x:v>
      </x:c>
      <x:c r="E841" s="274" t="n">
        <x:v>0</x:v>
      </x:c>
      <x:c r="F841" s="274" t="s">
        <x:v>133</x:v>
      </x:c>
      <x:c r="G841" s="274" t="s">
        <x:v>136</x:v>
      </x:c>
      <x:c r="H841" s="274" t="s">
        <x:v>423</x:v>
      </x:c>
      <x:c r="I841" s="274" t="n">
        <x:v>0.65</x:v>
      </x:c>
      <x:c r="J841" s="274" t="n">
        <x:v>1125</x:v>
      </x:c>
      <x:c r="K841" s="274" t="n">
        <x:v>1460</x:v>
      </x:c>
      <x:c r="M841" s="274" t="s">
        <x:v>1868</x:v>
      </x:c>
      <x:c r="N841" s="274" t="s">
        <x:v>1869</x:v>
      </x:c>
    </x:row>
    <x:row r="842" spans="1:14">
      <x:c r="A842" s="274" t="s">
        <x:v>1870</x:v>
      </x:c>
      <x:c r="B842" s="274" t="n">
        <x:v>2.22</x:v>
      </x:c>
      <x:c r="C842" s="274" t="n">
        <x:v>0</x:v>
      </x:c>
      <x:c r="D842" s="274" t="n">
        <x:v>0</x:v>
      </x:c>
      <x:c r="F842" s="274" t="s">
        <x:v>133</x:v>
      </x:c>
      <x:c r="G842" s="274" t="s">
        <x:v>144</x:v>
      </x:c>
      <x:c r="H842" s="274" t="n">
        <x:v>45</x:v>
      </x:c>
      <x:c r="I842" s="274" t="n">
        <x:v>1.4</x:v>
      </x:c>
      <x:c r="J842" s="274" t="n">
        <x:v>164</x:v>
      </x:c>
      <x:c r="K842" s="274" t="n">
        <x:v>1220</x:v>
      </x:c>
      <x:c r="M842" s="274" t="s">
        <x:v>1871</x:v>
      </x:c>
    </x:row>
    <x:row r="843" spans="1:14">
      <x:c r="A843" s="274" t="s">
        <x:v>1872</x:v>
      </x:c>
      <x:c r="B843" s="274" t="n">
        <x:v>0.24</x:v>
      </x:c>
      <x:c r="C843" s="274" t="n">
        <x:v>0</x:v>
      </x:c>
      <x:c r="D843" s="274" t="n">
        <x:v>0</x:v>
      </x:c>
      <x:c r="F843" s="274" t="s">
        <x:v>133</x:v>
      </x:c>
      <x:c r="G843" s="274" t="s">
        <x:v>136</x:v>
      </x:c>
      <x:c r="H843" s="274" t="n">
        <x:v>45</x:v>
      </x:c>
      <x:c r="I843" s="274" t="n">
        <x:v>1.2</x:v>
      </x:c>
      <x:c r="J843" s="274" t="n">
        <x:v>160</x:v>
      </x:c>
      <x:c r="K843" s="274" t="n">
        <x:v>160</x:v>
      </x:c>
      <x:c r="M843" s="274" t="s">
        <x:v>1873</x:v>
      </x:c>
      <x:c r="N843" s="274" t="s">
        <x:v>870</x:v>
      </x:c>
    </x:row>
    <x:row r="844" spans="1:14">
      <x:c r="A844" s="274" t="s">
        <x:v>1874</x:v>
      </x:c>
      <x:c r="B844" s="274" t="n">
        <x:v>1.69</x:v>
      </x:c>
      <x:c r="C844" s="274" t="n">
        <x:v>0</x:v>
      </x:c>
      <x:c r="D844" s="274" t="n">
        <x:v>0</x:v>
      </x:c>
      <x:c r="F844" s="274" t="s">
        <x:v>123</x:v>
      </x:c>
      <x:c r="G844" s="274" t="s">
        <x:v>124</x:v>
      </x:c>
      <x:c r="I844" s="274" t="n">
        <x:v>1.2</x:v>
      </x:c>
      <x:c r="J844" s="274" t="n">
        <x:v>1045</x:v>
      </x:c>
      <x:c r="K844" s="274" t="n">
        <x:v>172</x:v>
      </x:c>
      <x:c r="M844" s="274" t="s">
        <x:v>1875</x:v>
      </x:c>
      <x:c r="N844" s="274" t="s">
        <x:v>870</x:v>
      </x:c>
    </x:row>
    <x:row r="845" spans="1:14">
      <x:c r="A845" s="274" t="s">
        <x:v>1876</x:v>
      </x:c>
      <x:c r="B845" s="274" t="n">
        <x:v>2.15</x:v>
      </x:c>
      <x:c r="C845" s="274" t="n">
        <x:v>0</x:v>
      </x:c>
      <x:c r="D845" s="274" t="n">
        <x:v>0</x:v>
      </x:c>
      <x:c r="F845" s="274" t="s">
        <x:v>133</x:v>
      </x:c>
      <x:c r="G845" s="274" t="s">
        <x:v>148</x:v>
      </x:c>
      <x:c r="I845" s="274" t="n">
        <x:v>2.3</x:v>
      </x:c>
      <x:c r="J845" s="274" t="n">
        <x:v>680</x:v>
      </x:c>
      <x:c r="K845" s="274" t="n">
        <x:v>175</x:v>
      </x:c>
      <x:c r="M845" s="274" t="s">
        <x:v>1877</x:v>
      </x:c>
      <x:c r="N845" s="274" t="s">
        <x:v>870</x:v>
      </x:c>
    </x:row>
    <x:row r="846" spans="1:14">
      <x:c r="A846" s="274" t="s">
        <x:v>1878</x:v>
      </x:c>
      <x:c r="B846" s="274" t="n">
        <x:v>1.59</x:v>
      </x:c>
      <x:c r="C846" s="274" t="n">
        <x:v>0</x:v>
      </x:c>
      <x:c r="D846" s="274" t="n">
        <x:v>0</x:v>
      </x:c>
      <x:c r="F846" s="274" t="s">
        <x:v>133</x:v>
      </x:c>
      <x:c r="G846" s="274" t="s">
        <x:v>136</x:v>
      </x:c>
      <x:c r="H846" s="274" t="n">
        <x:v>45</x:v>
      </x:c>
      <x:c r="I846" s="274" t="n">
        <x:v>0.65</x:v>
      </x:c>
      <x:c r="J846" s="274" t="n">
        <x:v>1100</x:v>
      </x:c>
      <x:c r="K846" s="274" t="n">
        <x:v>278</x:v>
      </x:c>
      <x:c r="M846" s="274" t="s">
        <x:v>1879</x:v>
      </x:c>
      <x:c r="N846" s="274" t="s">
        <x:v>870</x:v>
      </x:c>
    </x:row>
    <x:row r="847" spans="1:14">
      <x:c r="A847" s="274" t="s">
        <x:v>1880</x:v>
      </x:c>
      <x:c r="B847" s="274" t="n">
        <x:v>3.75</x:v>
      </x:c>
      <x:c r="C847" s="274" t="n">
        <x:v>0</x:v>
      </x:c>
      <x:c r="D847" s="274" t="n">
        <x:v>0</x:v>
      </x:c>
      <x:c r="F847" s="274" t="s">
        <x:v>123</x:v>
      </x:c>
      <x:c r="G847" s="274" t="s">
        <x:v>124</x:v>
      </x:c>
      <x:c r="I847" s="274" t="n">
        <x:v>1.4</x:v>
      </x:c>
      <x:c r="J847" s="274" t="n">
        <x:v>1171</x:v>
      </x:c>
      <x:c r="K847" s="274" t="n">
        <x:v>291</x:v>
      </x:c>
      <x:c r="M847" s="274" t="s">
        <x:v>1656</x:v>
      </x:c>
      <x:c r="N847" s="274" t="s">
        <x:v>870</x:v>
      </x:c>
    </x:row>
    <x:row r="848" spans="1:14">
      <x:c r="A848" s="274" t="s">
        <x:v>1881</x:v>
      </x:c>
      <x:c r="B848" s="274" t="n">
        <x:v>1.26</x:v>
      </x:c>
      <x:c r="C848" s="274" t="n">
        <x:v>0</x:v>
      </x:c>
      <x:c r="D848" s="274" t="n">
        <x:v>0</x:v>
      </x:c>
      <x:c r="F848" s="274" t="s">
        <x:v>133</x:v>
      </x:c>
      <x:c r="G848" s="274" t="s">
        <x:v>144</x:v>
      </x:c>
      <x:c r="H848" s="274" t="n">
        <x:v>45</x:v>
      </x:c>
      <x:c r="I848" s="274" t="n">
        <x:v>1.4</x:v>
      </x:c>
      <x:c r="J848" s="274" t="n">
        <x:v>615</x:v>
      </x:c>
      <x:c r="K848" s="274" t="n">
        <x:v>185</x:v>
      </x:c>
      <x:c r="M848" s="274" t="s">
        <x:v>1882</x:v>
      </x:c>
      <x:c r="N848" s="274" t="s">
        <x:v>870</x:v>
      </x:c>
    </x:row>
    <x:row r="849" spans="1:14">
      <x:c r="A849" s="274" t="s">
        <x:v>1883</x:v>
      </x:c>
      <x:c r="B849" s="274" t="n">
        <x:v>3.62</x:v>
      </x:c>
      <x:c r="C849" s="274" t="n">
        <x:v>0</x:v>
      </x:c>
      <x:c r="D849" s="274" t="n">
        <x:v>0</x:v>
      </x:c>
      <x:c r="F849" s="274" t="s">
        <x:v>333</x:v>
      </x:c>
      <x:c r="G849" s="274" t="s">
        <x:v>124</x:v>
      </x:c>
      <x:c r="I849" s="274" t="n">
        <x:v>1.4</x:v>
      </x:c>
      <x:c r="J849" s="274" t="n">
        <x:v>732</x:v>
      </x:c>
      <x:c r="K849" s="274" t="n">
        <x:v>450</x:v>
      </x:c>
      <x:c r="M849" s="274" t="s">
        <x:v>1884</x:v>
      </x:c>
      <x:c r="N849" s="274" t="s">
        <x:v>870</x:v>
      </x:c>
    </x:row>
    <x:row r="850" spans="1:14">
      <x:c r="A850" s="274" t="s">
        <x:v>1885</x:v>
      </x:c>
      <x:c r="B850" s="274" t="n">
        <x:v>2.19</x:v>
      </x:c>
      <x:c r="C850" s="274" t="n">
        <x:v>0</x:v>
      </x:c>
      <x:c r="D850" s="274" t="n">
        <x:v>0</x:v>
      </x:c>
      <x:c r="F850" s="274" t="s">
        <x:v>133</x:v>
      </x:c>
      <x:c r="G850" s="274" t="s">
        <x:v>144</x:v>
      </x:c>
      <x:c r="H850" s="274" t="n">
        <x:v>45</x:v>
      </x:c>
      <x:c r="I850" s="274" t="n">
        <x:v>1.2</x:v>
      </x:c>
      <x:c r="J850" s="274" t="n">
        <x:v>1000</x:v>
      </x:c>
      <x:c r="K850" s="274" t="n">
        <x:v>230</x:v>
      </x:c>
      <x:c r="M850" s="274" t="s">
        <x:v>1886</x:v>
      </x:c>
      <x:c r="N850" s="274" t="s">
        <x:v>870</x:v>
      </x:c>
    </x:row>
    <x:row r="851" spans="1:14">
      <x:c r="A851" s="274" t="s">
        <x:v>1887</x:v>
      </x:c>
      <x:c r="B851" s="274" t="n">
        <x:v>1.91</x:v>
      </x:c>
      <x:c r="C851" s="274" t="n">
        <x:v>0</x:v>
      </x:c>
      <x:c r="D851" s="274" t="n">
        <x:v>0</x:v>
      </x:c>
      <x:c r="F851" s="274" t="s">
        <x:v>133</x:v>
      </x:c>
      <x:c r="G851" s="274" t="s">
        <x:v>144</x:v>
      </x:c>
      <x:c r="H851" s="274" t="n">
        <x:v>45</x:v>
      </x:c>
      <x:c r="I851" s="274" t="n">
        <x:v>1</x:v>
      </x:c>
      <x:c r="J851" s="274" t="n">
        <x:v>635</x:v>
      </x:c>
      <x:c r="K851" s="274" t="n">
        <x:v>379</x:v>
      </x:c>
      <x:c r="M851" s="274" t="s">
        <x:v>1888</x:v>
      </x:c>
      <x:c r="N851" s="274" t="s">
        <x:v>870</x:v>
      </x:c>
    </x:row>
    <x:row r="852" spans="1:14">
      <x:c r="A852" s="274" t="s">
        <x:v>1889</x:v>
      </x:c>
      <x:c r="B852" s="274" t="n">
        <x:v>1.62</x:v>
      </x:c>
      <x:c r="C852" s="274" t="n">
        <x:v>0</x:v>
      </x:c>
      <x:c r="D852" s="274" t="n">
        <x:v>0</x:v>
      </x:c>
      <x:c r="F852" s="274" t="s">
        <x:v>133</x:v>
      </x:c>
      <x:c r="G852" s="274" t="s">
        <x:v>144</x:v>
      </x:c>
      <x:c r="H852" s="274" t="n">
        <x:v>45</x:v>
      </x:c>
      <x:c r="I852" s="274" t="n">
        <x:v>1.4</x:v>
      </x:c>
      <x:c r="J852" s="274" t="n">
        <x:v>785</x:v>
      </x:c>
      <x:c r="K852" s="274" t="n">
        <x:v>186</x:v>
      </x:c>
      <x:c r="M852" s="274" t="s">
        <x:v>1890</x:v>
      </x:c>
      <x:c r="N852" s="274" t="s">
        <x:v>870</x:v>
      </x:c>
    </x:row>
    <x:row r="853" spans="1:14">
      <x:c r="A853" s="274" t="s">
        <x:v>1891</x:v>
      </x:c>
      <x:c r="B853" s="274" t="n">
        <x:v>1.37</x:v>
      </x:c>
      <x:c r="C853" s="274" t="n">
        <x:v>0</x:v>
      </x:c>
      <x:c r="D853" s="274" t="n">
        <x:v>0</x:v>
      </x:c>
      <x:c r="F853" s="274" t="s">
        <x:v>133</x:v>
      </x:c>
      <x:c r="G853" s="274" t="s">
        <x:v>136</x:v>
      </x:c>
      <x:c r="H853" s="274" t="n">
        <x:v>45</x:v>
      </x:c>
      <x:c r="I853" s="274" t="n">
        <x:v>0.6</x:v>
      </x:c>
      <x:c r="J853" s="274" t="n">
        <x:v>1145</x:v>
      </x:c>
      <x:c r="K853" s="274" t="n">
        <x:v>250</x:v>
      </x:c>
      <x:c r="M853" s="274" t="s">
        <x:v>1892</x:v>
      </x:c>
    </x:row>
    <x:row r="854" spans="1:14">
      <x:c r="A854" s="274" t="s">
        <x:v>1893</x:v>
      </x:c>
      <x:c r="B854" s="274" t="n">
        <x:v>3.18</x:v>
      </x:c>
      <x:c r="C854" s="274" t="n">
        <x:v>0</x:v>
      </x:c>
      <x:c r="D854" s="274" t="n">
        <x:v>0</x:v>
      </x:c>
      <x:c r="F854" s="274" t="s">
        <x:v>133</x:v>
      </x:c>
      <x:c r="G854" s="274" t="s">
        <x:v>144</x:v>
      </x:c>
      <x:c r="H854" s="274" t="n">
        <x:v>45</x:v>
      </x:c>
      <x:c r="I854" s="274" t="n">
        <x:v>1.6</x:v>
      </x:c>
      <x:c r="J854" s="274" t="n">
        <x:v>938</x:v>
      </x:c>
      <x:c r="K854" s="274" t="n">
        <x:v>268</x:v>
      </x:c>
      <x:c r="M854" s="274" t="s">
        <x:v>1894</x:v>
      </x:c>
      <x:c r="N854" s="274" t="s">
        <x:v>870</x:v>
      </x:c>
    </x:row>
    <x:row r="855" spans="1:14">
      <x:c r="A855" s="274" t="s">
        <x:v>1895</x:v>
      </x:c>
      <x:c r="B855" s="274" t="n">
        <x:v>7.19</x:v>
      </x:c>
      <x:c r="C855" s="274" t="n">
        <x:v>0</x:v>
      </x:c>
      <x:c r="D855" s="274" t="n">
        <x:v>0</x:v>
      </x:c>
      <x:c r="F855" s="274" t="s">
        <x:v>184</x:v>
      </x:c>
      <x:c r="G855" s="274" t="s">
        <x:v>881</x:v>
      </x:c>
      <x:c r="H855" s="274" t="n">
        <x:v>45</x:v>
      </x:c>
      <x:c r="I855" s="274" t="n">
        <x:v>1.4</x:v>
      </x:c>
      <x:c r="J855" s="274" t="n">
        <x:v>1364</x:v>
      </x:c>
      <x:c r="K855" s="274" t="n">
        <x:v>476</x:v>
      </x:c>
      <x:c r="M855" s="274" t="s">
        <x:v>1896</x:v>
      </x:c>
      <x:c r="N855" s="274" t="s">
        <x:v>870</x:v>
      </x:c>
    </x:row>
    <x:row r="856" spans="1:14">
      <x:c r="A856" s="274" t="s">
        <x:v>1897</x:v>
      </x:c>
      <x:c r="B856" s="274" t="n">
        <x:v>4.38</x:v>
      </x:c>
      <x:c r="C856" s="274" t="n">
        <x:v>0</x:v>
      </x:c>
      <x:c r="D856" s="274" t="n">
        <x:v>0</x:v>
      </x:c>
      <x:c r="F856" s="274" t="s">
        <x:v>133</x:v>
      </x:c>
      <x:c r="G856" s="274" t="s">
        <x:v>144</x:v>
      </x:c>
      <x:c r="H856" s="274" t="n">
        <x:v>45</x:v>
      </x:c>
      <x:c r="I856" s="274" t="n">
        <x:v>1.6</x:v>
      </x:c>
      <x:c r="J856" s="274" t="n">
        <x:v>660</x:v>
      </x:c>
      <x:c r="K856" s="274" t="n">
        <x:v>525</x:v>
      </x:c>
      <x:c r="M856" s="274" t="s">
        <x:v>1898</x:v>
      </x:c>
      <x:c r="N856" s="274" t="s">
        <x:v>870</x:v>
      </x:c>
    </x:row>
    <x:row r="857" spans="1:14">
      <x:c r="A857" s="274" t="s">
        <x:v>1899</x:v>
      </x:c>
      <x:c r="B857" s="274" t="n">
        <x:v>158.95</x:v>
      </x:c>
      <x:c r="C857" s="274" t="n">
        <x:v>0</x:v>
      </x:c>
      <x:c r="D857" s="274" t="n">
        <x:v>0</x:v>
      </x:c>
      <x:c r="F857" s="274" t="s">
        <x:v>133</x:v>
      </x:c>
      <x:c r="G857" s="274" t="s">
        <x:v>1636</x:v>
      </x:c>
      <x:c r="I857" s="274" t="n">
        <x:v>8</x:v>
      </x:c>
      <x:c r="J857" s="274" t="n">
        <x:v>1250</x:v>
      </x:c>
      <x:c r="K857" s="274" t="n">
        <x:v>2025</x:v>
      </x:c>
      <x:c r="M857" s="274" t="s">
        <x:v>1900</x:v>
      </x:c>
    </x:row>
    <x:row r="858" spans="1:14">
      <x:c r="A858" s="274" t="s">
        <x:v>1901</x:v>
      </x:c>
      <x:c r="B858" s="274" t="n">
        <x:v>4.82</x:v>
      </x:c>
      <x:c r="C858" s="274" t="n">
        <x:v>0</x:v>
      </x:c>
      <x:c r="D858" s="274" t="n">
        <x:v>0</x:v>
      </x:c>
      <x:c r="F858" s="274" t="s">
        <x:v>133</x:v>
      </x:c>
      <x:c r="G858" s="274" t="s">
        <x:v>144</x:v>
      </x:c>
      <x:c r="H858" s="274" t="n">
        <x:v>45</x:v>
      </x:c>
      <x:c r="I858" s="274" t="n">
        <x:v>1.6</x:v>
      </x:c>
      <x:c r="J858" s="274" t="n">
        <x:v>657</x:v>
      </x:c>
      <x:c r="K858" s="274" t="n">
        <x:v>580</x:v>
      </x:c>
      <x:c r="M858" s="274" t="s">
        <x:v>1902</x:v>
      </x:c>
      <x:c r="N858" s="274" t="s">
        <x:v>870</x:v>
      </x:c>
    </x:row>
    <x:row r="859" spans="1:14">
      <x:c r="A859" s="274" t="s">
        <x:v>1903</x:v>
      </x:c>
      <x:c r="B859" s="274" t="n">
        <x:v>4.16</x:v>
      </x:c>
      <x:c r="C859" s="274" t="n">
        <x:v>65</x:v>
      </x:c>
      <x:c r="D859" s="274" t="n">
        <x:v>40</x:v>
      </x:c>
      <x:c r="E859" s="274" t="n">
        <x:v>0</x:v>
      </x:c>
      <x:c r="F859" s="274" t="s">
        <x:v>333</x:v>
      </x:c>
      <x:c r="G859" s="274" t="s">
        <x:v>124</x:v>
      </x:c>
      <x:c r="I859" s="274" t="n">
        <x:v>1.4</x:v>
      </x:c>
      <x:c r="J859" s="274" t="n">
        <x:v>947</x:v>
      </x:c>
      <x:c r="K859" s="274" t="n">
        <x:v>400</x:v>
      </x:c>
      <x:c r="M859" s="274" t="s">
        <x:v>1904</x:v>
      </x:c>
      <x:c r="N859" s="274" t="s">
        <x:v>155</x:v>
      </x:c>
    </x:row>
    <x:row r="860" spans="1:14">
      <x:c r="A860" s="274" t="s">
        <x:v>1905</x:v>
      </x:c>
      <x:c r="B860" s="274" t="n">
        <x:v>0.85</x:v>
      </x:c>
      <x:c r="C860" s="274" t="n">
        <x:v>0</x:v>
      </x:c>
      <x:c r="D860" s="274" t="n">
        <x:v>0</x:v>
      </x:c>
      <x:c r="F860" s="274" t="s">
        <x:v>133</x:v>
      </x:c>
      <x:c r="G860" s="274" t="s">
        <x:v>136</x:v>
      </x:c>
      <x:c r="H860" s="274" t="n">
        <x:v>45</x:v>
      </x:c>
      <x:c r="I860" s="274" t="n">
        <x:v>1</x:v>
      </x:c>
      <x:c r="J860" s="274" t="n">
        <x:v>580</x:v>
      </x:c>
      <x:c r="K860" s="274" t="n">
        <x:v>185</x:v>
      </x:c>
      <x:c r="M860" s="274" t="s">
        <x:v>1906</x:v>
      </x:c>
      <x:c r="N860" s="274" t="s">
        <x:v>1236</x:v>
      </x:c>
    </x:row>
    <x:row r="861" spans="1:14">
      <x:c r="A861" s="274" t="s">
        <x:v>1907</x:v>
      </x:c>
      <x:c r="B861" s="274" t="n">
        <x:v>1.16</x:v>
      </x:c>
      <x:c r="C861" s="274" t="n">
        <x:v>0</x:v>
      </x:c>
      <x:c r="D861" s="274" t="n">
        <x:v>0</x:v>
      </x:c>
      <x:c r="F861" s="274" t="s">
        <x:v>333</x:v>
      </x:c>
      <x:c r="G861" s="274" t="s">
        <x:v>124</x:v>
      </x:c>
      <x:c r="I861" s="274" t="n">
        <x:v>0.9</x:v>
      </x:c>
      <x:c r="J861" s="274" t="n">
        <x:v>135</x:v>
      </x:c>
      <x:c r="K861" s="274" t="n">
        <x:v>1220</x:v>
      </x:c>
      <x:c r="M861" s="274" t="s">
        <x:v>1908</x:v>
      </x:c>
      <x:c r="N861" s="274" t="s">
        <x:v>870</x:v>
      </x:c>
    </x:row>
    <x:row r="862" spans="1:14">
      <x:c r="A862" s="274" t="s">
        <x:v>1909</x:v>
      </x:c>
      <x:c r="B862" s="274" t="n">
        <x:v>2.82</x:v>
      </x:c>
      <x:c r="C862" s="274" t="n">
        <x:v>0</x:v>
      </x:c>
      <x:c r="D862" s="274" t="n">
        <x:v>32</x:v>
      </x:c>
      <x:c r="E862" s="274" t="n">
        <x:v>40</x:v>
      </x:c>
      <x:c r="F862" s="274" t="s">
        <x:v>133</x:v>
      </x:c>
      <x:c r="G862" s="274" t="s">
        <x:v>136</x:v>
      </x:c>
      <x:c r="H862" s="274" t="n">
        <x:v>45</x:v>
      </x:c>
      <x:c r="I862" s="274" t="n">
        <x:v>0.9</x:v>
      </x:c>
      <x:c r="J862" s="274" t="n">
        <x:v>760</x:v>
      </x:c>
      <x:c r="K862" s="274" t="n">
        <x:v>518</x:v>
      </x:c>
      <x:c r="M862" s="274" t="s">
        <x:v>1910</x:v>
      </x:c>
    </x:row>
    <x:row r="863" spans="1:14">
      <x:c r="A863" s="274" t="s">
        <x:v>1911</x:v>
      </x:c>
      <x:c r="B863" s="274" t="n">
        <x:v>1.68</x:v>
      </x:c>
      <x:c r="C863" s="274" t="n">
        <x:v>0</x:v>
      </x:c>
      <x:c r="D863" s="274" t="n">
        <x:v>0</x:v>
      </x:c>
      <x:c r="F863" s="274" t="s">
        <x:v>333</x:v>
      </x:c>
      <x:c r="G863" s="274" t="s">
        <x:v>153</x:v>
      </x:c>
      <x:c r="I863" s="274" t="n">
        <x:v>1.2</x:v>
      </x:c>
      <x:c r="J863" s="274" t="n">
        <x:v>144</x:v>
      </x:c>
      <x:c r="K863" s="274" t="n">
        <x:v>1240</x:v>
      </x:c>
      <x:c r="M863" s="274" t="s">
        <x:v>1912</x:v>
      </x:c>
      <x:c r="N863" s="274" t="s">
        <x:v>870</x:v>
      </x:c>
    </x:row>
    <x:row r="864" spans="1:14">
      <x:c r="A864" s="274" t="s">
        <x:v>1913</x:v>
      </x:c>
      <x:c r="B864" s="274" t="n">
        <x:v>2.22</x:v>
      </x:c>
      <x:c r="C864" s="274" t="n">
        <x:v>0</x:v>
      </x:c>
      <x:c r="D864" s="274" t="n">
        <x:v>0</x:v>
      </x:c>
      <x:c r="F864" s="274" t="s">
        <x:v>133</x:v>
      </x:c>
      <x:c r="G864" s="274" t="s">
        <x:v>134</x:v>
      </x:c>
      <x:c r="I864" s="274" t="n">
        <x:v>2</x:v>
      </x:c>
      <x:c r="J864" s="274" t="n">
        <x:v>118</x:v>
      </x:c>
      <x:c r="K864" s="274" t="n">
        <x:v>1200</x:v>
      </x:c>
      <x:c r="M864" s="274" t="s">
        <x:v>1446</x:v>
      </x:c>
      <x:c r="N864" s="274" t="s">
        <x:v>870</x:v>
      </x:c>
    </x:row>
    <x:row r="865" spans="1:14">
      <x:c r="A865" s="274" t="s">
        <x:v>1914</x:v>
      </x:c>
      <x:c r="B865" s="274" t="n">
        <x:v>0.92</x:v>
      </x:c>
      <x:c r="C865" s="274" t="n">
        <x:v>0</x:v>
      </x:c>
      <x:c r="D865" s="274" t="n">
        <x:v>0</x:v>
      </x:c>
      <x:c r="F865" s="274" t="s">
        <x:v>333</x:v>
      </x:c>
      <x:c r="G865" s="274" t="s">
        <x:v>153</x:v>
      </x:c>
      <x:c r="I865" s="274" t="n">
        <x:v>1.2</x:v>
      </x:c>
      <x:c r="J865" s="274" t="n">
        <x:v>79</x:v>
      </x:c>
      <x:c r="K865" s="274" t="n">
        <x:v>1230</x:v>
      </x:c>
      <x:c r="M865" s="274" t="s">
        <x:v>1915</x:v>
      </x:c>
      <x:c r="N865" s="274" t="s">
        <x:v>870</x:v>
      </x:c>
    </x:row>
    <x:row r="866" spans="1:14">
      <x:c r="A866" s="274" t="s">
        <x:v>1916</x:v>
      </x:c>
      <x:c r="B866" s="274" t="n">
        <x:v>5.34</x:v>
      </x:c>
      <x:c r="C866" s="274" t="n">
        <x:v>0</x:v>
      </x:c>
      <x:c r="D866" s="274" t="n">
        <x:v>0</x:v>
      </x:c>
      <x:c r="F866" s="274" t="s">
        <x:v>133</x:v>
      </x:c>
      <x:c r="G866" s="274" t="s">
        <x:v>144</x:v>
      </x:c>
      <x:c r="H866" s="274" t="n">
        <x:v>45</x:v>
      </x:c>
      <x:c r="I866" s="274" t="n">
        <x:v>1.6</x:v>
      </x:c>
      <x:c r="J866" s="274" t="n">
        <x:v>677</x:v>
      </x:c>
      <x:c r="K866" s="274" t="n">
        <x:v>623</x:v>
      </x:c>
      <x:c r="M866" s="274" t="s">
        <x:v>1917</x:v>
      </x:c>
      <x:c r="N866" s="274" t="s">
        <x:v>870</x:v>
      </x:c>
    </x:row>
    <x:row r="867" spans="1:14">
      <x:c r="A867" s="274" t="s">
        <x:v>1918</x:v>
      </x:c>
      <x:c r="B867" s="274" t="n">
        <x:v>7.39</x:v>
      </x:c>
      <x:c r="C867" s="274" t="n">
        <x:v>0</x:v>
      </x:c>
      <x:c r="D867" s="274" t="n">
        <x:v>0</x:v>
      </x:c>
      <x:c r="E867" s="274" t="n">
        <x:v>0</x:v>
      </x:c>
      <x:c r="F867" s="274" t="s">
        <x:v>333</x:v>
      </x:c>
      <x:c r="G867" s="274" t="s">
        <x:v>473</x:v>
      </x:c>
      <x:c r="I867" s="274" t="n">
        <x:v>0.8</x:v>
      </x:c>
      <x:c r="J867" s="274" t="n">
        <x:v>1270</x:v>
      </x:c>
      <x:c r="K867" s="274" t="n">
        <x:v>1392</x:v>
      </x:c>
      <x:c r="L867" s="274" t="n">
        <x:v>460</x:v>
      </x:c>
      <x:c r="M867" s="274" t="s">
        <x:v>1919</x:v>
      </x:c>
      <x:c r="N867" s="274" t="s">
        <x:v>126</x:v>
      </x:c>
    </x:row>
    <x:row r="868" spans="1:14">
      <x:c r="A868" s="274" t="s">
        <x:v>1920</x:v>
      </x:c>
      <x:c r="B868" s="274" t="n">
        <x:v>7.39</x:v>
      </x:c>
      <x:c r="C868" s="274" t="n">
        <x:v>0</x:v>
      </x:c>
      <x:c r="D868" s="274" t="n">
        <x:v>0</x:v>
      </x:c>
      <x:c r="E868" s="274" t="n">
        <x:v>0</x:v>
      </x:c>
      <x:c r="F868" s="274" t="s">
        <x:v>333</x:v>
      </x:c>
      <x:c r="G868" s="274" t="s">
        <x:v>473</x:v>
      </x:c>
      <x:c r="I868" s="274" t="n">
        <x:v>0.8</x:v>
      </x:c>
      <x:c r="J868" s="274" t="n">
        <x:v>1270</x:v>
      </x:c>
      <x:c r="K868" s="274" t="n">
        <x:v>460</x:v>
      </x:c>
      <x:c r="L868" s="274" t="n">
        <x:v>1392</x:v>
      </x:c>
      <x:c r="M868" s="274" t="s">
        <x:v>1921</x:v>
      </x:c>
      <x:c r="N868" s="274" t="s">
        <x:v>126</x:v>
      </x:c>
    </x:row>
    <x:row r="869" spans="1:14">
      <x:c r="A869" s="274" t="s">
        <x:v>1922</x:v>
      </x:c>
      <x:c r="B869" s="274" t="n">
        <x:v>0.82</x:v>
      </x:c>
      <x:c r="C869" s="274" t="n">
        <x:v>0</x:v>
      </x:c>
      <x:c r="D869" s="274" t="n">
        <x:v>0</x:v>
      </x:c>
      <x:c r="F869" s="274" t="s">
        <x:v>184</x:v>
      </x:c>
      <x:c r="G869" s="274" t="s">
        <x:v>1718</x:v>
      </x:c>
      <x:c r="H869" s="274" t="n">
        <x:v>45</x:v>
      </x:c>
      <x:c r="I869" s="274" t="n">
        <x:v>1.6</x:v>
      </x:c>
      <x:c r="J869" s="274" t="n">
        <x:v>215</x:v>
      </x:c>
      <x:c r="K869" s="274" t="n">
        <x:v>303</x:v>
      </x:c>
      <x:c r="M869" s="274" t="s">
        <x:v>1923</x:v>
      </x:c>
      <x:c r="N869" s="274" t="s">
        <x:v>870</x:v>
      </x:c>
    </x:row>
    <x:row r="870" spans="1:14">
      <x:c r="A870" s="274" t="s">
        <x:v>1924</x:v>
      </x:c>
      <x:c r="B870" s="274" t="n">
        <x:v>3.47</x:v>
      </x:c>
      <x:c r="C870" s="274" t="n">
        <x:v>0</x:v>
      </x:c>
      <x:c r="D870" s="274" t="n">
        <x:v>0</x:v>
      </x:c>
      <x:c r="F870" s="274" t="s">
        <x:v>133</x:v>
      </x:c>
      <x:c r="G870" s="274" t="s">
        <x:v>124</x:v>
      </x:c>
      <x:c r="I870" s="274" t="n">
        <x:v>1.2</x:v>
      </x:c>
      <x:c r="J870" s="274" t="n">
        <x:v>380</x:v>
      </x:c>
      <x:c r="K870" s="274" t="n">
        <x:v>970</x:v>
      </x:c>
      <x:c r="M870" s="274" t="s">
        <x:v>1925</x:v>
      </x:c>
      <x:c r="N870" s="274" t="s">
        <x:v>1926</x:v>
      </x:c>
    </x:row>
    <x:row r="871" spans="1:14">
      <x:c r="A871" s="274" t="s">
        <x:v>1927</x:v>
      </x:c>
      <x:c r="B871" s="274" t="n">
        <x:v>3.47</x:v>
      </x:c>
      <x:c r="C871" s="274" t="n">
        <x:v>0</x:v>
      </x:c>
      <x:c r="D871" s="274" t="n">
        <x:v>0</x:v>
      </x:c>
      <x:c r="F871" s="274" t="s">
        <x:v>133</x:v>
      </x:c>
      <x:c r="G871" s="274" t="s">
        <x:v>144</x:v>
      </x:c>
      <x:c r="H871" s="274" t="n">
        <x:v>45</x:v>
      </x:c>
      <x:c r="I871" s="274" t="n">
        <x:v>2</x:v>
      </x:c>
      <x:c r="J871" s="274" t="n">
        <x:v>558</x:v>
      </x:c>
      <x:c r="K871" s="274" t="n">
        <x:v>394</x:v>
      </x:c>
      <x:c r="M871" s="274" t="s">
        <x:v>1928</x:v>
      </x:c>
      <x:c r="N871" s="274" t="s">
        <x:v>870</x:v>
      </x:c>
    </x:row>
    <x:row r="872" spans="1:14">
      <x:c r="A872" s="274" t="s">
        <x:v>1929</x:v>
      </x:c>
      <x:c r="B872" s="274" t="n">
        <x:v>1.37</x:v>
      </x:c>
      <x:c r="C872" s="274" t="n">
        <x:v>0</x:v>
      </x:c>
      <x:c r="D872" s="274" t="n">
        <x:v>26</x:v>
      </x:c>
      <x:c r="E872" s="274" t="n">
        <x:v>16</x:v>
      </x:c>
      <x:c r="F872" s="274" t="s">
        <x:v>133</x:v>
      </x:c>
      <x:c r="G872" s="274" t="s">
        <x:v>144</x:v>
      </x:c>
      <x:c r="H872" s="274" t="n">
        <x:v>45</x:v>
      </x:c>
      <x:c r="I872" s="274" t="n">
        <x:v>1</x:v>
      </x:c>
      <x:c r="J872" s="274" t="n">
        <x:v>142</x:v>
      </x:c>
      <x:c r="K872" s="274" t="n">
        <x:v>1219</x:v>
      </x:c>
      <x:c r="M872" s="274" t="s">
        <x:v>1930</x:v>
      </x:c>
      <x:c r="N872" s="274" t="s">
        <x:v>870</x:v>
      </x:c>
    </x:row>
    <x:row r="873" spans="1:14">
      <x:c r="A873" s="274" t="s">
        <x:v>1931</x:v>
      </x:c>
      <x:c r="B873" s="274" t="n">
        <x:v>31.4</x:v>
      </x:c>
      <x:c r="C873" s="274" t="n">
        <x:v>0</x:v>
      </x:c>
      <x:c r="D873" s="274" t="n">
        <x:v>30</x:v>
      </x:c>
      <x:c r="E873" s="274" t="n">
        <x:v>19</x:v>
      </x:c>
      <x:c r="F873" s="274" t="s">
        <x:v>123</x:v>
      </x:c>
      <x:c r="G873" s="274" t="s">
        <x:v>1932</x:v>
      </x:c>
      <x:c r="I873" s="274" t="n">
        <x:v>1.6</x:v>
      </x:c>
      <x:c r="J873" s="274" t="n">
        <x:v>1250</x:v>
      </x:c>
      <x:c r="K873" s="274" t="n">
        <x:v>2000</x:v>
      </x:c>
      <x:c r="M873" s="274" t="s">
        <x:v>1356</x:v>
      </x:c>
      <x:c r="N873" s="274" t="s">
        <x:v>1933</x:v>
      </x:c>
    </x:row>
    <x:row r="874" spans="1:14">
      <x:c r="A874" s="274" t="s">
        <x:v>1934</x:v>
      </x:c>
      <x:c r="B874" s="274" t="n">
        <x:v>62.71</x:v>
      </x:c>
      <x:c r="C874" s="274" t="n">
        <x:v>0</x:v>
      </x:c>
      <x:c r="D874" s="274" t="n">
        <x:v>30</x:v>
      </x:c>
      <x:c r="E874" s="274" t="n">
        <x:v>19</x:v>
      </x:c>
      <x:c r="F874" s="274" t="s">
        <x:v>123</x:v>
      </x:c>
      <x:c r="G874" s="274" t="s">
        <x:v>1932</x:v>
      </x:c>
      <x:c r="I874" s="274" t="n">
        <x:v>3.15</x:v>
      </x:c>
      <x:c r="J874" s="274" t="n">
        <x:v>1250</x:v>
      </x:c>
      <x:c r="K874" s="274" t="n">
        <x:v>2000</x:v>
      </x:c>
      <x:c r="M874" s="274" t="s">
        <x:v>865</x:v>
      </x:c>
      <x:c r="N874" s="274" t="s">
        <x:v>1933</x:v>
      </x:c>
    </x:row>
    <x:row r="875" spans="1:14">
      <x:c r="A875" s="274" t="s">
        <x:v>1935</x:v>
      </x:c>
      <x:c r="B875" s="274" t="n">
        <x:v>41.32</x:v>
      </x:c>
      <x:c r="C875" s="274" t="n">
        <x:v>0</x:v>
      </x:c>
      <x:c r="D875" s="274" t="n">
        <x:v>30</x:v>
      </x:c>
      <x:c r="E875" s="274" t="n">
        <x:v>19</x:v>
      </x:c>
      <x:c r="F875" s="274" t="s">
        <x:v>123</x:v>
      </x:c>
      <x:c r="G875" s="274" t="s">
        <x:v>1932</x:v>
      </x:c>
      <x:c r="I875" s="274" t="n">
        <x:v>2.3</x:v>
      </x:c>
      <x:c r="J875" s="274" t="n">
        <x:v>1250</x:v>
      </x:c>
      <x:c r="K875" s="274" t="n">
        <x:v>1830</x:v>
      </x:c>
      <x:c r="M875" s="274" t="s">
        <x:v>1413</x:v>
      </x:c>
      <x:c r="N875" s="274" t="s">
        <x:v>1933</x:v>
      </x:c>
    </x:row>
    <x:row r="876" spans="1:14">
      <x:c r="A876" s="274" t="s">
        <x:v>1936</x:v>
      </x:c>
      <x:c r="B876" s="274" t="n">
        <x:v>2</x:v>
      </x:c>
      <x:c r="C876" s="274" t="n">
        <x:v>0</x:v>
      </x:c>
      <x:c r="D876" s="274" t="n">
        <x:v>0</x:v>
      </x:c>
      <x:c r="F876" s="274" t="s">
        <x:v>333</x:v>
      </x:c>
      <x:c r="G876" s="274" t="s">
        <x:v>124</x:v>
      </x:c>
      <x:c r="I876" s="274" t="n">
        <x:v>2</x:v>
      </x:c>
      <x:c r="J876" s="274" t="n">
        <x:v>265</x:v>
      </x:c>
      <x:c r="K876" s="274" t="n">
        <x:v>481</x:v>
      </x:c>
      <x:c r="M876" s="274" t="s">
        <x:v>1937</x:v>
      </x:c>
      <x:c r="N876" s="274" t="s">
        <x:v>870</x:v>
      </x:c>
    </x:row>
    <x:row r="877" spans="1:14">
      <x:c r="A877" s="274" t="s">
        <x:v>1938</x:v>
      </x:c>
      <x:c r="B877" s="274" t="n">
        <x:v>2.55</x:v>
      </x:c>
      <x:c r="C877" s="274" t="n">
        <x:v>0</x:v>
      </x:c>
      <x:c r="D877" s="274" t="n">
        <x:v>0</x:v>
      </x:c>
      <x:c r="F877" s="274" t="s">
        <x:v>333</x:v>
      </x:c>
      <x:c r="G877" s="274" t="s">
        <x:v>124</x:v>
      </x:c>
      <x:c r="I877" s="274" t="n">
        <x:v>2</x:v>
      </x:c>
      <x:c r="J877" s="274" t="n">
        <x:v>130</x:v>
      </x:c>
      <x:c r="K877" s="274" t="n">
        <x:v>1250</x:v>
      </x:c>
      <x:c r="M877" s="274" t="s">
        <x:v>1939</x:v>
      </x:c>
      <x:c r="N877" s="274" t="s">
        <x:v>870</x:v>
      </x:c>
    </x:row>
    <x:row r="878" spans="1:14">
      <x:c r="A878" s="274" t="s">
        <x:v>1940</x:v>
      </x:c>
      <x:c r="B878" s="274" t="n">
        <x:v>0.92</x:v>
      </x:c>
      <x:c r="C878" s="274" t="n">
        <x:v>0</x:v>
      </x:c>
      <x:c r="D878" s="274" t="n">
        <x:v>0</x:v>
      </x:c>
      <x:c r="F878" s="274" t="s">
        <x:v>133</x:v>
      </x:c>
      <x:c r="G878" s="274" t="s">
        <x:v>136</x:v>
      </x:c>
      <x:c r="H878" s="274" t="n">
        <x:v>45</x:v>
      </x:c>
      <x:c r="I878" s="274" t="n">
        <x:v>0.75</x:v>
      </x:c>
      <x:c r="J878" s="274" t="n">
        <x:v>380</x:v>
      </x:c>
      <x:c r="K878" s="274" t="n">
        <x:v>405</x:v>
      </x:c>
      <x:c r="M878" s="274" t="s">
        <x:v>1941</x:v>
      </x:c>
      <x:c r="N878" s="274" t="s">
        <x:v>870</x:v>
      </x:c>
    </x:row>
    <x:row r="879" spans="1:14">
      <x:c r="A879" s="274" t="s">
        <x:v>1942</x:v>
      </x:c>
      <x:c r="B879" s="274" t="n">
        <x:v>11.43</x:v>
      </x:c>
      <x:c r="C879" s="274" t="n">
        <x:v>0</x:v>
      </x:c>
      <x:c r="D879" s="274" t="n">
        <x:v>0</x:v>
      </x:c>
      <x:c r="F879" s="274" t="s">
        <x:v>333</x:v>
      </x:c>
      <x:c r="G879" s="274" t="s">
        <x:v>124</x:v>
      </x:c>
      <x:c r="I879" s="274" t="n">
        <x:v>2</x:v>
      </x:c>
      <x:c r="J879" s="274" t="n">
        <x:v>587</x:v>
      </x:c>
      <x:c r="K879" s="274" t="n">
        <x:v>1240</x:v>
      </x:c>
      <x:c r="M879" s="274" t="s">
        <x:v>1943</x:v>
      </x:c>
      <x:c r="N879" s="274" t="s">
        <x:v>870</x:v>
      </x:c>
    </x:row>
    <x:row r="880" spans="1:14">
      <x:c r="A880" s="274" t="s">
        <x:v>1944</x:v>
      </x:c>
      <x:c r="B880" s="274" t="n">
        <x:v>4.3</x:v>
      </x:c>
      <x:c r="C880" s="274" t="n">
        <x:v>0</x:v>
      </x:c>
      <x:c r="D880" s="274" t="n">
        <x:v>0</x:v>
      </x:c>
      <x:c r="F880" s="274" t="s">
        <x:v>333</x:v>
      </x:c>
      <x:c r="G880" s="274" t="s">
        <x:v>124</x:v>
      </x:c>
      <x:c r="I880" s="274" t="n">
        <x:v>2</x:v>
      </x:c>
      <x:c r="J880" s="274" t="n">
        <x:v>250</x:v>
      </x:c>
      <x:c r="K880" s="274" t="n">
        <x:v>1095</x:v>
      </x:c>
      <x:c r="M880" s="274" t="s">
        <x:v>1945</x:v>
      </x:c>
      <x:c r="N880" s="274" t="s">
        <x:v>870</x:v>
      </x:c>
    </x:row>
    <x:row r="881" spans="1:14">
      <x:c r="A881" s="274" t="s">
        <x:v>1946</x:v>
      </x:c>
      <x:c r="B881" s="274" t="n">
        <x:v>0.25</x:v>
      </x:c>
      <x:c r="C881" s="274" t="n">
        <x:v>0</x:v>
      </x:c>
      <x:c r="D881" s="274" t="n">
        <x:v>35</x:v>
      </x:c>
      <x:c r="E881" s="274" t="n">
        <x:v>33</x:v>
      </x:c>
      <x:c r="F881" s="274" t="s">
        <x:v>133</x:v>
      </x:c>
      <x:c r="G881" s="274" t="s">
        <x:v>136</x:v>
      </x:c>
      <x:c r="H881" s="274" t="n">
        <x:v>45</x:v>
      </x:c>
      <x:c r="I881" s="274" t="n">
        <x:v>2</x:v>
      </x:c>
      <x:c r="J881" s="274" t="n">
        <x:v>120</x:v>
      </x:c>
      <x:c r="K881" s="274" t="n">
        <x:v>130</x:v>
      </x:c>
      <x:c r="M881" s="274" t="s">
        <x:v>1639</x:v>
      </x:c>
      <x:c r="N881" s="274" t="s">
        <x:v>131</x:v>
      </x:c>
    </x:row>
    <x:row r="882" spans="1:14">
      <x:c r="A882" s="274" t="s">
        <x:v>1947</x:v>
      </x:c>
      <x:c r="B882" s="274" t="n">
        <x:v>0.99</x:v>
      </x:c>
      <x:c r="C882" s="274" t="n">
        <x:v>30</x:v>
      </x:c>
      <x:c r="D882" s="274" t="n">
        <x:v>35</x:v>
      </x:c>
      <x:c r="E882" s="274" t="n">
        <x:v>33</x:v>
      </x:c>
      <x:c r="F882" s="274" t="s">
        <x:v>333</x:v>
      </x:c>
      <x:c r="G882" s="274" t="s">
        <x:v>153</x:v>
      </x:c>
      <x:c r="I882" s="274" t="n">
        <x:v>1.6</x:v>
      </x:c>
      <x:c r="J882" s="274" t="n">
        <x:v>255</x:v>
      </x:c>
      <x:c r="K882" s="274" t="n">
        <x:v>310</x:v>
      </x:c>
      <x:c r="M882" s="274" t="s">
        <x:v>934</x:v>
      </x:c>
      <x:c r="N882" s="274" t="s">
        <x:v>131</x:v>
      </x:c>
    </x:row>
    <x:row r="883" spans="1:14">
      <x:c r="A883" s="274" t="s">
        <x:v>1948</x:v>
      </x:c>
      <x:c r="B883" s="274" t="n">
        <x:v>0.9</x:v>
      </x:c>
      <x:c r="C883" s="274" t="n">
        <x:v>28</x:v>
      </x:c>
      <x:c r="D883" s="274" t="n">
        <x:v>35</x:v>
      </x:c>
      <x:c r="E883" s="274" t="n">
        <x:v>33</x:v>
      </x:c>
      <x:c r="F883" s="274" t="s">
        <x:v>333</x:v>
      </x:c>
      <x:c r="G883" s="274" t="s">
        <x:v>153</x:v>
      </x:c>
      <x:c r="I883" s="274" t="n">
        <x:v>1.6</x:v>
      </x:c>
      <x:c r="J883" s="274" t="n">
        <x:v>340</x:v>
      </x:c>
      <x:c r="K883" s="274" t="n">
        <x:v>210</x:v>
      </x:c>
      <x:c r="M883" s="274" t="s">
        <x:v>901</x:v>
      </x:c>
      <x:c r="N883" s="274" t="s">
        <x:v>131</x:v>
      </x:c>
    </x:row>
    <x:row r="884" spans="1:14">
      <x:c r="A884" s="274" t="s">
        <x:v>1949</x:v>
      </x:c>
      <x:c r="B884" s="274" t="n">
        <x:v>0.94</x:v>
      </x:c>
      <x:c r="C884" s="274" t="n">
        <x:v>0</x:v>
      </x:c>
      <x:c r="D884" s="274" t="n">
        <x:v>0</x:v>
      </x:c>
      <x:c r="F884" s="274" t="s">
        <x:v>333</x:v>
      </x:c>
      <x:c r="G884" s="274" t="s">
        <x:v>153</x:v>
      </x:c>
      <x:c r="I884" s="274" t="n">
        <x:v>0.6</x:v>
      </x:c>
      <x:c r="J884" s="274" t="n">
        <x:v>1051</x:v>
      </x:c>
      <x:c r="K884" s="274" t="n">
        <x:v>190</x:v>
      </x:c>
      <x:c r="M884" s="274" t="s">
        <x:v>1950</x:v>
      </x:c>
      <x:c r="N884" s="274" t="s">
        <x:v>299</x:v>
      </x:c>
    </x:row>
    <x:row r="885" spans="1:14">
      <x:c r="A885" s="274" t="s">
        <x:v>1951</x:v>
      </x:c>
      <x:c r="B885" s="274" t="n">
        <x:v>0.91</x:v>
      </x:c>
      <x:c r="C885" s="274" t="n">
        <x:v>0</x:v>
      </x:c>
      <x:c r="D885" s="274" t="n">
        <x:v>0</x:v>
      </x:c>
      <x:c r="F885" s="274" t="s">
        <x:v>123</x:v>
      </x:c>
      <x:c r="G885" s="274" t="s">
        <x:v>148</x:v>
      </x:c>
      <x:c r="I885" s="274" t="n">
        <x:v>1.6</x:v>
      </x:c>
      <x:c r="J885" s="274" t="n">
        <x:v>91</x:v>
      </x:c>
      <x:c r="K885" s="274" t="n">
        <x:v>800</x:v>
      </x:c>
      <x:c r="M885" s="274" t="s">
        <x:v>1952</x:v>
      </x:c>
      <x:c r="N885" s="274" t="s">
        <x:v>131</x:v>
      </x:c>
    </x:row>
    <x:row r="886" spans="1:14">
      <x:c r="A886" s="274" t="s">
        <x:v>1953</x:v>
      </x:c>
      <x:c r="B886" s="274" t="n">
        <x:v>1.46</x:v>
      </x:c>
      <x:c r="C886" s="274" t="n">
        <x:v>0</x:v>
      </x:c>
      <x:c r="D886" s="274" t="n">
        <x:v>0</x:v>
      </x:c>
      <x:c r="F886" s="274" t="s">
        <x:v>133</x:v>
      </x:c>
      <x:c r="G886" s="274" t="s">
        <x:v>134</x:v>
      </x:c>
      <x:c r="I886" s="274" t="n">
        <x:v>2</x:v>
      </x:c>
      <x:c r="J886" s="274" t="n">
        <x:v>133</x:v>
      </x:c>
      <x:c r="K886" s="274" t="n">
        <x:v>700</x:v>
      </x:c>
      <x:c r="M886" s="274" t="s">
        <x:v>1954</x:v>
      </x:c>
    </x:row>
    <x:row r="887" spans="1:14">
      <x:c r="A887" s="274" t="s">
        <x:v>1955</x:v>
      </x:c>
      <x:c r="B887" s="274" t="n">
        <x:v>0.44</x:v>
      </x:c>
      <x:c r="C887" s="274" t="n">
        <x:v>0</x:v>
      </x:c>
      <x:c r="D887" s="274" t="n">
        <x:v>0</x:v>
      </x:c>
      <x:c r="F887" s="274" t="s">
        <x:v>133</x:v>
      </x:c>
      <x:c r="G887" s="274" t="s">
        <x:v>136</x:v>
      </x:c>
      <x:c r="H887" s="274" t="n">
        <x:v>45</x:v>
      </x:c>
      <x:c r="I887" s="274" t="n">
        <x:v>1.2</x:v>
      </x:c>
      <x:c r="J887" s="274" t="n">
        <x:v>68</x:v>
      </x:c>
      <x:c r="K887" s="274" t="n">
        <x:v>685</x:v>
      </x:c>
      <x:c r="M887" s="274" t="s">
        <x:v>1956</x:v>
      </x:c>
      <x:c r="N887" s="274" t="s">
        <x:v>131</x:v>
      </x:c>
    </x:row>
    <x:row r="888" spans="1:14">
      <x:c r="A888" s="274" t="s">
        <x:v>1957</x:v>
      </x:c>
      <x:c r="B888" s="274" t="n">
        <x:v>3.2</x:v>
      </x:c>
      <x:c r="C888" s="274" t="n">
        <x:v>0</x:v>
      </x:c>
      <x:c r="D888" s="274" t="n">
        <x:v>26</x:v>
      </x:c>
      <x:c r="E888" s="274" t="n">
        <x:v>18</x:v>
      </x:c>
      <x:c r="F888" s="274" t="s">
        <x:v>133</x:v>
      </x:c>
      <x:c r="G888" s="274" t="s">
        <x:v>134</x:v>
      </x:c>
      <x:c r="I888" s="274" t="n">
        <x:v>2</x:v>
      </x:c>
      <x:c r="J888" s="274" t="n">
        <x:v>181</x:v>
      </x:c>
      <x:c r="K888" s="274" t="n">
        <x:v>1125</x:v>
      </x:c>
      <x:c r="M888" s="274" t="s">
        <x:v>1958</x:v>
      </x:c>
      <x:c r="N888" s="274" t="s">
        <x:v>229</x:v>
      </x:c>
    </x:row>
    <x:row r="889" spans="1:14">
      <x:c r="A889" s="274" t="s">
        <x:v>1959</x:v>
      </x:c>
      <x:c r="B889" s="274" t="n">
        <x:v>0.68</x:v>
      </x:c>
      <x:c r="C889" s="274" t="n">
        <x:v>0</x:v>
      </x:c>
      <x:c r="D889" s="274" t="n">
        <x:v>0</x:v>
      </x:c>
      <x:c r="F889" s="274" t="s">
        <x:v>133</x:v>
      </x:c>
      <x:c r="G889" s="274" t="s">
        <x:v>209</x:v>
      </x:c>
      <x:c r="I889" s="274" t="n">
        <x:v>1.2</x:v>
      </x:c>
      <x:c r="J889" s="274" t="n">
        <x:v>59</x:v>
      </x:c>
      <x:c r="K889" s="274" t="n">
        <x:v>1215</x:v>
      </x:c>
      <x:c r="M889" s="274" t="s">
        <x:v>1960</x:v>
      </x:c>
      <x:c r="N889" s="274" t="s">
        <x:v>131</x:v>
      </x:c>
    </x:row>
    <x:row r="890" spans="1:14">
      <x:c r="A890" s="274" t="s">
        <x:v>1961</x:v>
      </x:c>
      <x:c r="B890" s="274" t="n">
        <x:v>1.73</x:v>
      </x:c>
      <x:c r="C890" s="274" t="n">
        <x:v>0</x:v>
      </x:c>
      <x:c r="D890" s="274" t="n">
        <x:v>0</x:v>
      </x:c>
      <x:c r="F890" s="274" t="s">
        <x:v>133</x:v>
      </x:c>
      <x:c r="G890" s="274" t="s">
        <x:v>209</x:v>
      </x:c>
      <x:c r="I890" s="274" t="n">
        <x:v>1.2</x:v>
      </x:c>
      <x:c r="J890" s="274" t="n">
        <x:v>150</x:v>
      </x:c>
      <x:c r="K890" s="274" t="n">
        <x:v>1225</x:v>
      </x:c>
      <x:c r="M890" s="274" t="s">
        <x:v>1962</x:v>
      </x:c>
      <x:c r="N890" s="274" t="s">
        <x:v>131</x:v>
      </x:c>
    </x:row>
    <x:row r="891" spans="1:14">
      <x:c r="A891" s="274" t="s">
        <x:v>1963</x:v>
      </x:c>
      <x:c r="B891" s="274" t="n">
        <x:v>11.2</x:v>
      </x:c>
      <x:c r="C891" s="274" t="n">
        <x:v>0</x:v>
      </x:c>
      <x:c r="D891" s="274" t="n">
        <x:v>42</x:v>
      </x:c>
      <x:c r="E891" s="274" t="n">
        <x:v>20</x:v>
      </x:c>
      <x:c r="F891" s="274" t="s">
        <x:v>1964</x:v>
      </x:c>
      <x:c r="G891" s="274" t="s">
        <x:v>906</x:v>
      </x:c>
      <x:c r="H891" s="274" t="s">
        <x:v>907</x:v>
      </x:c>
      <x:c r="I891" s="274" t="n">
        <x:v>0.65</x:v>
      </x:c>
      <x:c r="J891" s="274" t="n">
        <x:v>1320</x:v>
      </x:c>
      <x:c r="K891" s="274" t="n">
        <x:v>1635</x:v>
      </x:c>
      <x:c r="M891" s="274" t="s">
        <x:v>1965</x:v>
      </x:c>
      <x:c r="N891" s="274" t="s">
        <x:v>299</x:v>
      </x:c>
    </x:row>
    <x:row r="892" spans="1:14">
      <x:c r="A892" s="274" t="s">
        <x:v>1966</x:v>
      </x:c>
      <x:c r="B892" s="274" t="n">
        <x:v>0.13</x:v>
      </x:c>
      <x:c r="C892" s="274" t="n">
        <x:v>0</x:v>
      </x:c>
      <x:c r="D892" s="274" t="n">
        <x:v>0</x:v>
      </x:c>
      <x:c r="F892" s="274" t="s">
        <x:v>333</x:v>
      </x:c>
      <x:c r="G892" s="274" t="s">
        <x:v>153</x:v>
      </x:c>
      <x:c r="I892" s="274" t="n">
        <x:v>0.6</x:v>
      </x:c>
      <x:c r="J892" s="274" t="n">
        <x:v>165</x:v>
      </x:c>
      <x:c r="K892" s="274" t="n">
        <x:v>165</x:v>
      </x:c>
      <x:c r="M892" s="274" t="s">
        <x:v>1967</x:v>
      </x:c>
      <x:c r="N892" s="274" t="s">
        <x:v>299</x:v>
      </x:c>
    </x:row>
    <x:row r="893" spans="1:14">
      <x:c r="A893" s="274" t="s">
        <x:v>1968</x:v>
      </x:c>
      <x:c r="B893" s="274" t="n">
        <x:v>4.48</x:v>
      </x:c>
      <x:c r="C893" s="274" t="n">
        <x:v>0</x:v>
      </x:c>
      <x:c r="D893" s="274" t="n">
        <x:v>0</x:v>
      </x:c>
      <x:c r="F893" s="274" t="s">
        <x:v>333</x:v>
      </x:c>
      <x:c r="G893" s="274" t="s">
        <x:v>153</x:v>
      </x:c>
      <x:c r="I893" s="274" t="n">
        <x:v>1.4</x:v>
      </x:c>
      <x:c r="J893" s="274" t="n">
        <x:v>350</x:v>
      </x:c>
      <x:c r="K893" s="274" t="n">
        <x:v>1165</x:v>
      </x:c>
      <x:c r="M893" s="274" t="s">
        <x:v>1969</x:v>
      </x:c>
      <x:c r="N893" s="274" t="s">
        <x:v>299</x:v>
      </x:c>
    </x:row>
    <x:row r="894" spans="1:14">
      <x:c r="A894" s="274" t="s">
        <x:v>1970</x:v>
      </x:c>
      <x:c r="B894" s="274" t="n">
        <x:v>0.31</x:v>
      </x:c>
      <x:c r="C894" s="274" t="n">
        <x:v>0</x:v>
      </x:c>
      <x:c r="D894" s="274" t="n">
        <x:v>0</x:v>
      </x:c>
      <x:c r="F894" s="274" t="s">
        <x:v>133</x:v>
      </x:c>
      <x:c r="G894" s="274" t="s">
        <x:v>209</x:v>
      </x:c>
      <x:c r="I894" s="274" t="n">
        <x:v>0.8</x:v>
      </x:c>
      <x:c r="J894" s="274" t="n">
        <x:v>73</x:v>
      </x:c>
      <x:c r="K894" s="274" t="n">
        <x:v>687</x:v>
      </x:c>
      <x:c r="M894" s="274" t="s">
        <x:v>1971</x:v>
      </x:c>
      <x:c r="N894" s="274" t="s">
        <x:v>1972</x:v>
      </x:c>
    </x:row>
    <x:row r="895" spans="1:14">
      <x:c r="A895" s="274" t="s">
        <x:v>1973</x:v>
      </x:c>
      <x:c r="B895" s="274" t="n">
        <x:v>14.07</x:v>
      </x:c>
      <x:c r="C895" s="274" t="n">
        <x:v>0</x:v>
      </x:c>
      <x:c r="D895" s="274" t="n">
        <x:v>0</x:v>
      </x:c>
      <x:c r="E895" s="274" t="n">
        <x:v>0</x:v>
      </x:c>
      <x:c r="F895" s="274" t="s">
        <x:v>184</x:v>
      </x:c>
      <x:c r="G895" s="274" t="s">
        <x:v>1718</x:v>
      </x:c>
      <x:c r="H895" s="274" t="s">
        <x:v>285</x:v>
      </x:c>
      <x:c r="I895" s="274" t="n">
        <x:v>0.65</x:v>
      </x:c>
      <x:c r="J895" s="274" t="n">
        <x:v>1315</x:v>
      </x:c>
      <x:c r="K895" s="274" t="n">
        <x:v>2462.3</x:v>
      </x:c>
      <x:c r="L895" s="274" t="n">
        <x:v>1658</x:v>
      </x:c>
      <x:c r="M895" s="274" t="s">
        <x:v>1974</x:v>
      </x:c>
      <x:c r="N895" s="274" t="s">
        <x:v>202</x:v>
      </x:c>
    </x:row>
    <x:row r="896" spans="1:14">
      <x:c r="A896" s="274" t="s">
        <x:v>1975</x:v>
      </x:c>
      <x:c r="B896" s="274" t="n">
        <x:v>12.94</x:v>
      </x:c>
      <x:c r="C896" s="274" t="n">
        <x:v>0</x:v>
      </x:c>
      <x:c r="D896" s="274" t="n">
        <x:v>0</x:v>
      </x:c>
      <x:c r="E896" s="274" t="n">
        <x:v>0</x:v>
      </x:c>
      <x:c r="F896" s="274" t="s">
        <x:v>184</x:v>
      </x:c>
      <x:c r="G896" s="274" t="s">
        <x:v>284</x:v>
      </x:c>
      <x:c r="H896" s="274" t="s">
        <x:v>285</x:v>
      </x:c>
      <x:c r="I896" s="274" t="n">
        <x:v>0.7</x:v>
      </x:c>
      <x:c r="J896" s="274" t="n">
        <x:v>1430</x:v>
      </x:c>
      <x:c r="K896" s="274" t="n">
        <x:v>1695</x:v>
      </x:c>
      <x:c r="L896" s="274" t="n">
        <x:v>1545.1</x:v>
      </x:c>
      <x:c r="M896" s="274" t="s">
        <x:v>1976</x:v>
      </x:c>
      <x:c r="N896" s="274" t="s">
        <x:v>155</x:v>
      </x:c>
    </x:row>
    <x:row r="897" spans="1:14">
      <x:c r="A897" s="274" t="s">
        <x:v>1977</x:v>
      </x:c>
      <x:c r="B897" s="274" t="n">
        <x:v>5.75</x:v>
      </x:c>
      <x:c r="C897" s="274" t="n">
        <x:v>35</x:v>
      </x:c>
      <x:c r="D897" s="274" t="n">
        <x:v>40</x:v>
      </x:c>
      <x:c r="E897" s="274" t="n">
        <x:v>0</x:v>
      </x:c>
      <x:c r="F897" s="274" t="s">
        <x:v>133</x:v>
      </x:c>
      <x:c r="G897" s="274" t="s">
        <x:v>136</x:v>
      </x:c>
      <x:c r="H897" s="274" t="n">
        <x:v>45</x:v>
      </x:c>
      <x:c r="I897" s="274" t="n">
        <x:v>1.2</x:v>
      </x:c>
      <x:c r="J897" s="274" t="n">
        <x:v>877</x:v>
      </x:c>
      <x:c r="K897" s="274" t="n">
        <x:v>750.4</x:v>
      </x:c>
      <x:c r="L897" s="274" t="n">
        <x:v>627.7</x:v>
      </x:c>
      <x:c r="M897" s="274" t="s">
        <x:v>1978</x:v>
      </x:c>
      <x:c r="N897" s="274" t="s">
        <x:v>155</x:v>
      </x:c>
    </x:row>
    <x:row r="898" spans="1:14">
      <x:c r="A898" s="274" t="s">
        <x:v>1979</x:v>
      </x:c>
      <x:c r="B898" s="274" t="n">
        <x:v>17.94</x:v>
      </x:c>
      <x:c r="C898" s="274" t="n">
        <x:v>0</x:v>
      </x:c>
      <x:c r="D898" s="274" t="n">
        <x:v>25</x:v>
      </x:c>
      <x:c r="E898" s="274" t="n">
        <x:v>20</x:v>
      </x:c>
      <x:c r="F898" s="274" t="s">
        <x:v>1980</x:v>
      </x:c>
      <x:c r="G898" s="274" t="s">
        <x:v>1981</x:v>
      </x:c>
      <x:c r="I898" s="274" t="n">
        <x:v>0.7</x:v>
      </x:c>
      <x:c r="J898" s="274" t="n">
        <x:v>1590</x:v>
      </x:c>
      <x:c r="K898" s="274" t="n">
        <x:v>2095</x:v>
      </x:c>
      <x:c r="M898" s="274" t="s">
        <x:v>1982</x:v>
      </x:c>
      <x:c r="N898" s="274" t="s">
        <x:v>1983</x:v>
      </x:c>
    </x:row>
    <x:row r="899" spans="1:14">
      <x:c r="A899" s="274" t="s">
        <x:v>1984</x:v>
      </x:c>
      <x:c r="B899" s="274" t="n">
        <x:v>9.5</x:v>
      </x:c>
      <x:c r="C899" s="274" t="n">
        <x:v>0</x:v>
      </x:c>
      <x:c r="D899" s="274" t="n">
        <x:v>38</x:v>
      </x:c>
      <x:c r="E899" s="274" t="n">
        <x:v>27</x:v>
      </x:c>
      <x:c r="F899" s="274" t="s">
        <x:v>1980</x:v>
      </x:c>
      <x:c r="G899" s="274" t="s">
        <x:v>1985</x:v>
      </x:c>
      <x:c r="I899" s="274" t="n">
        <x:v>0.7</x:v>
      </x:c>
      <x:c r="J899" s="274" t="n">
        <x:v>1125</x:v>
      </x:c>
      <x:c r="K899" s="274" t="n">
        <x:v>1575</x:v>
      </x:c>
      <x:c r="M899" s="274" t="s">
        <x:v>1986</x:v>
      </x:c>
      <x:c r="N899" s="274" t="s">
        <x:v>1983</x:v>
      </x:c>
    </x:row>
    <x:row r="900" spans="1:14">
      <x:c r="A900" s="274" t="s">
        <x:v>1987</x:v>
      </x:c>
      <x:c r="B900" s="274" t="n">
        <x:v>9.37</x:v>
      </x:c>
      <x:c r="C900" s="274" t="n">
        <x:v>0</x:v>
      </x:c>
      <x:c r="D900" s="274" t="n">
        <x:v>30</x:v>
      </x:c>
      <x:c r="E900" s="274" t="n">
        <x:v>29</x:v>
      </x:c>
      <x:c r="F900" s="274" t="s">
        <x:v>1980</x:v>
      </x:c>
      <x:c r="G900" s="274" t="s">
        <x:v>1981</x:v>
      </x:c>
      <x:c r="I900" s="274" t="n">
        <x:v>0.7</x:v>
      </x:c>
      <x:c r="J900" s="274" t="n">
        <x:v>1160</x:v>
      </x:c>
      <x:c r="K900" s="274" t="n">
        <x:v>1490</x:v>
      </x:c>
      <x:c r="M900" s="274" t="s">
        <x:v>1988</x:v>
      </x:c>
      <x:c r="N900" s="274" t="s">
        <x:v>1983</x:v>
      </x:c>
    </x:row>
    <x:row r="901" spans="1:14">
      <x:c r="A901" s="274" t="s">
        <x:v>1989</x:v>
      </x:c>
      <x:c r="B901" s="274" t="n">
        <x:v>16.44</x:v>
      </x:c>
      <x:c r="C901" s="274" t="n">
        <x:v>0</x:v>
      </x:c>
      <x:c r="D901" s="274" t="n">
        <x:v>30</x:v>
      </x:c>
      <x:c r="E901" s="274" t="n">
        <x:v>0</x:v>
      </x:c>
      <x:c r="F901" s="274" t="s">
        <x:v>1980</x:v>
      </x:c>
      <x:c r="G901" s="274" t="s">
        <x:v>1981</x:v>
      </x:c>
      <x:c r="I901" s="274" t="n">
        <x:v>0.75</x:v>
      </x:c>
      <x:c r="J901" s="274" t="n">
        <x:v>1655</x:v>
      </x:c>
      <x:c r="K901" s="274" t="n">
        <x:v>1720</x:v>
      </x:c>
      <x:c r="M901" s="274" t="s">
        <x:v>1990</x:v>
      </x:c>
      <x:c r="N901" s="274" t="s">
        <x:v>1983</x:v>
      </x:c>
    </x:row>
    <x:row r="902" spans="1:14">
      <x:c r="A902" s="274" t="s">
        <x:v>1991</x:v>
      </x:c>
      <x:c r="B902" s="274" t="n">
        <x:v>19.1</x:v>
      </x:c>
      <x:c r="C902" s="274" t="n">
        <x:v>0</x:v>
      </x:c>
      <x:c r="D902" s="274" t="n">
        <x:v>28</x:v>
      </x:c>
      <x:c r="E902" s="274" t="n">
        <x:v>25</x:v>
      </x:c>
      <x:c r="F902" s="274" t="s">
        <x:v>1980</x:v>
      </x:c>
      <x:c r="G902" s="274" t="s">
        <x:v>1981</x:v>
      </x:c>
      <x:c r="I902" s="274" t="n">
        <x:v>0.9</x:v>
      </x:c>
      <x:c r="J902" s="274" t="n">
        <x:v>1480</x:v>
      </x:c>
      <x:c r="K902" s="274" t="n">
        <x:v>1850</x:v>
      </x:c>
      <x:c r="M902" s="274" t="s">
        <x:v>1992</x:v>
      </x:c>
      <x:c r="N902" s="274" t="s">
        <x:v>1983</x:v>
      </x:c>
    </x:row>
    <x:row r="903" spans="1:14">
      <x:c r="A903" s="274" t="s">
        <x:v>1993</x:v>
      </x:c>
      <x:c r="B903" s="274" t="n">
        <x:v>18.14</x:v>
      </x:c>
      <x:c r="C903" s="274" t="n">
        <x:v>0</x:v>
      </x:c>
      <x:c r="D903" s="274" t="n">
        <x:v>32</x:v>
      </x:c>
      <x:c r="E903" s="274" t="n">
        <x:v>17</x:v>
      </x:c>
      <x:c r="F903" s="274" t="s">
        <x:v>1980</x:v>
      </x:c>
      <x:c r="G903" s="274" t="s">
        <x:v>1985</x:v>
      </x:c>
      <x:c r="I903" s="274" t="n">
        <x:v>1</x:v>
      </x:c>
      <x:c r="J903" s="274" t="n">
        <x:v>1000</x:v>
      </x:c>
      <x:c r="K903" s="274" t="n">
        <x:v>2360</x:v>
      </x:c>
      <x:c r="M903" s="274" t="s">
        <x:v>1994</x:v>
      </x:c>
      <x:c r="N903" s="274" t="s">
        <x:v>1983</x:v>
      </x:c>
    </x:row>
    <x:row r="904" spans="1:14">
      <x:c r="A904" s="274" t="s">
        <x:v>1995</x:v>
      </x:c>
      <x:c r="B904" s="274" t="n">
        <x:v>15.05</x:v>
      </x:c>
      <x:c r="C904" s="274" t="n">
        <x:v>0</x:v>
      </x:c>
      <x:c r="D904" s="274" t="n">
        <x:v>29</x:v>
      </x:c>
      <x:c r="E904" s="274" t="n">
        <x:v>26</x:v>
      </x:c>
      <x:c r="F904" s="274" t="s">
        <x:v>1980</x:v>
      </x:c>
      <x:c r="G904" s="274" t="s">
        <x:v>1985</x:v>
      </x:c>
      <x:c r="I904" s="274" t="n">
        <x:v>1</x:v>
      </x:c>
      <x:c r="J904" s="274" t="n">
        <x:v>1120</x:v>
      </x:c>
      <x:c r="K904" s="274" t="n">
        <x:v>1740</x:v>
      </x:c>
      <x:c r="M904" s="274" t="s">
        <x:v>1996</x:v>
      </x:c>
      <x:c r="N904" s="274" t="s">
        <x:v>1983</x:v>
      </x:c>
    </x:row>
    <x:row r="905" spans="1:14">
      <x:c r="A905" s="274" t="s">
        <x:v>1997</x:v>
      </x:c>
      <x:c r="B905" s="274" t="n">
        <x:v>13.18</x:v>
      </x:c>
      <x:c r="C905" s="274" t="n">
        <x:v>0</x:v>
      </x:c>
      <x:c r="D905" s="274" t="n">
        <x:v>36</x:v>
      </x:c>
      <x:c r="E905" s="274" t="n">
        <x:v>28</x:v>
      </x:c>
      <x:c r="F905" s="274" t="s">
        <x:v>1980</x:v>
      </x:c>
      <x:c r="G905" s="274" t="s">
        <x:v>1981</x:v>
      </x:c>
      <x:c r="I905" s="274" t="n">
        <x:v>1</x:v>
      </x:c>
      <x:c r="J905" s="274" t="n">
        <x:v>1130</x:v>
      </x:c>
      <x:c r="K905" s="274" t="n">
        <x:v>1500</x:v>
      </x:c>
      <x:c r="M905" s="274" t="s">
        <x:v>1998</x:v>
      </x:c>
      <x:c r="N905" s="274" t="s">
        <x:v>1983</x:v>
      </x:c>
    </x:row>
    <x:row r="906" spans="1:14">
      <x:c r="A906" s="274" t="s">
        <x:v>1999</x:v>
      </x:c>
      <x:c r="B906" s="274" t="n">
        <x:v>13.52</x:v>
      </x:c>
      <x:c r="C906" s="274" t="n">
        <x:v>0</x:v>
      </x:c>
      <x:c r="D906" s="274" t="n">
        <x:v>35</x:v>
      </x:c>
      <x:c r="E906" s="274" t="n">
        <x:v>22</x:v>
      </x:c>
      <x:c r="F906" s="274" t="s">
        <x:v>1980</x:v>
      </x:c>
      <x:c r="G906" s="274" t="s">
        <x:v>1981</x:v>
      </x:c>
      <x:c r="I906" s="274" t="n">
        <x:v>1</x:v>
      </x:c>
      <x:c r="J906" s="274" t="n">
        <x:v>1165</x:v>
      </x:c>
      <x:c r="K906" s="274" t="n">
        <x:v>1500</x:v>
      </x:c>
      <x:c r="M906" s="274" t="s">
        <x:v>2000</x:v>
      </x:c>
      <x:c r="N906" s="274" t="s">
        <x:v>1983</x:v>
      </x:c>
    </x:row>
    <x:row r="907" spans="1:14">
      <x:c r="A907" s="274" t="s">
        <x:v>2001</x:v>
      </x:c>
      <x:c r="B907" s="274" t="n">
        <x:v>21.86</x:v>
      </x:c>
      <x:c r="C907" s="274" t="n">
        <x:v>0</x:v>
      </x:c>
      <x:c r="D907" s="274" t="n">
        <x:v>25</x:v>
      </x:c>
      <x:c r="E907" s="274" t="n">
        <x:v>0</x:v>
      </x:c>
      <x:c r="F907" s="274" t="s">
        <x:v>1980</x:v>
      </x:c>
      <x:c r="G907" s="274" t="s">
        <x:v>1985</x:v>
      </x:c>
      <x:c r="I907" s="274" t="n">
        <x:v>1</x:v>
      </x:c>
      <x:c r="J907" s="274" t="n">
        <x:v>1190</x:v>
      </x:c>
      <x:c r="K907" s="274" t="n">
        <x:v>2390</x:v>
      </x:c>
      <x:c r="M907" s="274" t="s">
        <x:v>2002</x:v>
      </x:c>
      <x:c r="N907" s="274" t="s">
        <x:v>1983</x:v>
      </x:c>
    </x:row>
    <x:row r="908" spans="1:14">
      <x:c r="A908" s="274" t="s">
        <x:v>2003</x:v>
      </x:c>
      <x:c r="B908" s="274" t="n">
        <x:v>16.1</x:v>
      </x:c>
      <x:c r="C908" s="274" t="n">
        <x:v>0</x:v>
      </x:c>
      <x:c r="D908" s="274" t="n">
        <x:v>28</x:v>
      </x:c>
      <x:c r="E908" s="274" t="n">
        <x:v>0</x:v>
      </x:c>
      <x:c r="F908" s="274" t="s">
        <x:v>1980</x:v>
      </x:c>
      <x:c r="G908" s="274" t="s">
        <x:v>1981</x:v>
      </x:c>
      <x:c r="I908" s="274" t="n">
        <x:v>1</x:v>
      </x:c>
      <x:c r="J908" s="274" t="n">
        <x:v>1225</x:v>
      </x:c>
      <x:c r="K908" s="274" t="n">
        <x:v>1706</x:v>
      </x:c>
      <x:c r="M908" s="274" t="s">
        <x:v>2004</x:v>
      </x:c>
    </x:row>
    <x:row r="909" spans="1:14">
      <x:c r="A909" s="274" t="s">
        <x:v>2005</x:v>
      </x:c>
      <x:c r="B909" s="274" t="n">
        <x:v>15.5</x:v>
      </x:c>
      <x:c r="C909" s="274" t="n">
        <x:v>0</x:v>
      </x:c>
      <x:c r="D909" s="274" t="n">
        <x:v>22</x:v>
      </x:c>
      <x:c r="E909" s="274" t="n">
        <x:v>29</x:v>
      </x:c>
      <x:c r="F909" s="274" t="s">
        <x:v>1980</x:v>
      </x:c>
      <x:c r="G909" s="274" t="s">
        <x:v>1981</x:v>
      </x:c>
      <x:c r="I909" s="274" t="n">
        <x:v>1</x:v>
      </x:c>
      <x:c r="J909" s="274" t="n">
        <x:v>1380</x:v>
      </x:c>
      <x:c r="K909" s="274" t="n">
        <x:v>1450</x:v>
      </x:c>
      <x:c r="M909" s="274" t="s">
        <x:v>2006</x:v>
      </x:c>
      <x:c r="N909" s="274" t="s">
        <x:v>1983</x:v>
      </x:c>
    </x:row>
    <x:row r="910" spans="1:14">
      <x:c r="A910" s="274" t="s">
        <x:v>2007</x:v>
      </x:c>
      <x:c r="B910" s="274" t="n">
        <x:v>24.63</x:v>
      </x:c>
      <x:c r="C910" s="274" t="n">
        <x:v>0</x:v>
      </x:c>
      <x:c r="D910" s="274" t="n">
        <x:v>22</x:v>
      </x:c>
      <x:c r="E910" s="274" t="n">
        <x:v>25</x:v>
      </x:c>
      <x:c r="F910" s="274" t="s">
        <x:v>1980</x:v>
      </x:c>
      <x:c r="G910" s="274" t="s">
        <x:v>1985</x:v>
      </x:c>
      <x:c r="I910" s="274" t="n">
        <x:v>1.2</x:v>
      </x:c>
      <x:c r="J910" s="274" t="n">
        <x:v>1470</x:v>
      </x:c>
      <x:c r="K910" s="274" t="n">
        <x:v>1815</x:v>
      </x:c>
      <x:c r="M910" s="274" t="s">
        <x:v>2008</x:v>
      </x:c>
      <x:c r="N910" s="274" t="s">
        <x:v>1983</x:v>
      </x:c>
    </x:row>
    <x:row r="911" spans="1:14">
      <x:c r="A911" s="274" t="s">
        <x:v>2009</x:v>
      </x:c>
      <x:c r="B911" s="274" t="n">
        <x:v>18.22</x:v>
      </x:c>
      <x:c r="C911" s="274" t="n">
        <x:v>0</x:v>
      </x:c>
      <x:c r="D911" s="274" t="n">
        <x:v>28</x:v>
      </x:c>
      <x:c r="E911" s="274" t="n">
        <x:v>40</x:v>
      </x:c>
      <x:c r="F911" s="274" t="s">
        <x:v>1980</x:v>
      </x:c>
      <x:c r="G911" s="274" t="s">
        <x:v>1981</x:v>
      </x:c>
      <x:c r="I911" s="274" t="n">
        <x:v>1.6</x:v>
      </x:c>
      <x:c r="J911" s="274" t="n">
        <x:v>1560</x:v>
      </x:c>
      <x:c r="K911" s="274" t="n">
        <x:v>930</x:v>
      </x:c>
      <x:c r="M911" s="274" t="s">
        <x:v>2010</x:v>
      </x:c>
      <x:c r="N911" s="274" t="s">
        <x:v>1983</x:v>
      </x:c>
    </x:row>
    <x:row r="912" spans="1:14">
      <x:c r="A912" s="274" t="s">
        <x:v>2011</x:v>
      </x:c>
      <x:c r="B912" s="274" t="n">
        <x:v>14.29</x:v>
      </x:c>
      <x:c r="C912" s="274" t="n">
        <x:v>0</x:v>
      </x:c>
      <x:c r="D912" s="274" t="n">
        <x:v>0</x:v>
      </x:c>
      <x:c r="E912" s="274" t="n">
        <x:v>0</x:v>
      </x:c>
      <x:c r="F912" s="274" t="s">
        <x:v>184</x:v>
      </x:c>
      <x:c r="G912" s="274" t="s">
        <x:v>1718</x:v>
      </x:c>
      <x:c r="H912" s="274" t="s">
        <x:v>285</x:v>
      </x:c>
      <x:c r="I912" s="274" t="n">
        <x:v>0.65</x:v>
      </x:c>
      <x:c r="J912" s="274" t="n">
        <x:v>1300</x:v>
      </x:c>
      <x:c r="K912" s="274" t="n">
        <x:v>1719.5</x:v>
      </x:c>
      <x:c r="L912" s="274" t="n">
        <x:v>2514.4</x:v>
      </x:c>
      <x:c r="M912" s="274" t="s">
        <x:v>2012</x:v>
      </x:c>
      <x:c r="N912" s="274" t="s">
        <x:v>480</x:v>
      </x:c>
    </x:row>
    <x:row r="913" spans="1:14">
      <x:c r="A913" s="274" t="s">
        <x:v>2013</x:v>
      </x:c>
      <x:c r="B913" s="274" t="n">
        <x:v>10.19</x:v>
      </x:c>
      <x:c r="C913" s="274" t="n">
        <x:v>38</x:v>
      </x:c>
      <x:c r="D913" s="274" t="n">
        <x:v>40</x:v>
      </x:c>
      <x:c r="E913" s="274" t="n">
        <x:v>0</x:v>
      </x:c>
      <x:c r="F913" s="274" t="s">
        <x:v>133</x:v>
      </x:c>
      <x:c r="G913" s="274" t="s">
        <x:v>136</x:v>
      </x:c>
      <x:c r="H913" s="274" t="n">
        <x:v>45</x:v>
      </x:c>
      <x:c r="I913" s="274" t="n">
        <x:v>0.65</x:v>
      </x:c>
      <x:c r="J913" s="274" t="n">
        <x:v>1340</x:v>
      </x:c>
      <x:c r="K913" s="274" t="n">
        <x:v>1492.3</x:v>
      </x:c>
      <x:c r="L913" s="274" t="n">
        <x:v>1436.7</x:v>
      </x:c>
      <x:c r="M913" s="274" t="s">
        <x:v>2014</x:v>
      </x:c>
      <x:c r="N913" s="274" t="s">
        <x:v>202</x:v>
      </x:c>
    </x:row>
    <x:row r="914" spans="1:14">
      <x:c r="A914" s="274" t="s">
        <x:v>2015</x:v>
      </x:c>
      <x:c r="B914" s="274" t="n">
        <x:v>8.47</x:v>
      </x:c>
      <x:c r="C914" s="274" t="n">
        <x:v>0</x:v>
      </x:c>
      <x:c r="D914" s="274" t="n">
        <x:v>0</x:v>
      </x:c>
      <x:c r="E914" s="274" t="n">
        <x:v>30</x:v>
      </x:c>
      <x:c r="F914" s="274" t="s">
        <x:v>184</x:v>
      </x:c>
      <x:c r="G914" s="274" t="s">
        <x:v>1718</x:v>
      </x:c>
      <x:c r="H914" s="274" t="s">
        <x:v>285</x:v>
      </x:c>
      <x:c r="I914" s="274" t="n">
        <x:v>0.65</x:v>
      </x:c>
      <x:c r="J914" s="274" t="n">
        <x:v>1186</x:v>
      </x:c>
      <x:c r="K914" s="274" t="n">
        <x:v>1375</x:v>
      </x:c>
      <x:c r="M914" s="274" t="s">
        <x:v>2016</x:v>
      </x:c>
      <x:c r="N914" s="274" t="s">
        <x:v>202</x:v>
      </x:c>
    </x:row>
    <x:row r="915" spans="1:14">
      <x:c r="A915" s="274" t="s">
        <x:v>2017</x:v>
      </x:c>
      <x:c r="B915" s="274" t="n">
        <x:v>6.06</x:v>
      </x:c>
      <x:c r="C915" s="274" t="n">
        <x:v>32</x:v>
      </x:c>
      <x:c r="D915" s="274" t="n">
        <x:v>47</x:v>
      </x:c>
      <x:c r="E915" s="274" t="n">
        <x:v>0</x:v>
      </x:c>
      <x:c r="F915" s="274" t="s">
        <x:v>133</x:v>
      </x:c>
      <x:c r="G915" s="274" t="s">
        <x:v>136</x:v>
      </x:c>
      <x:c r="H915" s="274" t="n">
        <x:v>45</x:v>
      </x:c>
      <x:c r="I915" s="274" t="n">
        <x:v>0.65</x:v>
      </x:c>
      <x:c r="J915" s="274" t="n">
        <x:v>935</x:v>
      </x:c>
      <x:c r="K915" s="274" t="n">
        <x:v>1228.1</x:v>
      </x:c>
      <x:c r="L915" s="274" t="n">
        <x:v>1267.8</x:v>
      </x:c>
      <x:c r="M915" s="274" t="s">
        <x:v>2018</x:v>
      </x:c>
      <x:c r="N915" s="274" t="s">
        <x:v>202</x:v>
      </x:c>
    </x:row>
    <x:row r="916" spans="1:14">
      <x:c r="A916" s="274" t="s">
        <x:v>2019</x:v>
      </x:c>
      <x:c r="B916" s="274" t="n">
        <x:v>32.12</x:v>
      </x:c>
      <x:c r="C916" s="274" t="n">
        <x:v>0</x:v>
      </x:c>
      <x:c r="D916" s="274" t="n">
        <x:v>0</x:v>
      </x:c>
      <x:c r="E916" s="274" t="n">
        <x:v>0</x:v>
      </x:c>
      <x:c r="F916" s="274" t="s">
        <x:v>311</x:v>
      </x:c>
      <x:c r="G916" s="274" t="s">
        <x:v>1728</x:v>
      </x:c>
      <x:c r="H916" s="274" t="s">
        <x:v>1732</x:v>
      </x:c>
      <x:c r="I916" s="274" t="n">
        <x:v>0.7</x:v>
      </x:c>
      <x:c r="J916" s="274" t="n">
        <x:v>1625</x:v>
      </x:c>
      <x:c r="K916" s="274" t="n">
        <x:v>3540</x:v>
      </x:c>
      <x:c r="M916" s="274" t="s">
        <x:v>2020</x:v>
      </x:c>
      <x:c r="N916" s="274" t="s">
        <x:v>299</x:v>
      </x:c>
    </x:row>
    <x:row r="917" spans="1:14">
      <x:c r="A917" s="274" t="s">
        <x:v>2021</x:v>
      </x:c>
      <x:c r="B917" s="274" t="n">
        <x:v>32.12</x:v>
      </x:c>
      <x:c r="C917" s="274" t="n">
        <x:v>0</x:v>
      </x:c>
      <x:c r="D917" s="274" t="n">
        <x:v>0</x:v>
      </x:c>
      <x:c r="E917" s="274" t="n">
        <x:v>0</x:v>
      </x:c>
      <x:c r="F917" s="274" t="s">
        <x:v>311</x:v>
      </x:c>
      <x:c r="G917" s="274" t="s">
        <x:v>1728</x:v>
      </x:c>
      <x:c r="H917" s="274" t="s">
        <x:v>1729</x:v>
      </x:c>
      <x:c r="I917" s="274" t="n">
        <x:v>0.7</x:v>
      </x:c>
      <x:c r="J917" s="274" t="n">
        <x:v>1625</x:v>
      </x:c>
      <x:c r="K917" s="274" t="n">
        <x:v>3540</x:v>
      </x:c>
      <x:c r="M917" s="274" t="s">
        <x:v>2022</x:v>
      </x:c>
      <x:c r="N917" s="274" t="s">
        <x:v>299</x:v>
      </x:c>
    </x:row>
    <x:row r="918" spans="1:14">
      <x:c r="A918" s="274" t="s">
        <x:v>2023</x:v>
      </x:c>
      <x:c r="B918" s="274" t="n">
        <x:v>25.87</x:v>
      </x:c>
      <x:c r="C918" s="274" t="n">
        <x:v>0</x:v>
      </x:c>
      <x:c r="D918" s="274" t="n">
        <x:v>0</x:v>
      </x:c>
      <x:c r="E918" s="274" t="n">
        <x:v>0</x:v>
      </x:c>
      <x:c r="F918" s="274" t="s">
        <x:v>311</x:v>
      </x:c>
      <x:c r="G918" s="274" t="s">
        <x:v>1728</x:v>
      </x:c>
      <x:c r="H918" s="274" t="s">
        <x:v>1729</x:v>
      </x:c>
      <x:c r="I918" s="274" t="n">
        <x:v>0.65</x:v>
      </x:c>
      <x:c r="J918" s="274" t="n">
        <x:v>1516</x:v>
      </x:c>
      <x:c r="K918" s="274" t="n">
        <x:v>3265</x:v>
      </x:c>
      <x:c r="M918" s="274" t="s">
        <x:v>2024</x:v>
      </x:c>
      <x:c r="N918" s="274" t="s">
        <x:v>1233</x:v>
      </x:c>
    </x:row>
    <x:row r="919" spans="1:14">
      <x:c r="A919" s="274" t="s">
        <x:v>2025</x:v>
      </x:c>
      <x:c r="B919" s="274" t="n">
        <x:v>25.72</x:v>
      </x:c>
      <x:c r="C919" s="274" t="n">
        <x:v>0</x:v>
      </x:c>
      <x:c r="D919" s="274" t="n">
        <x:v>0</x:v>
      </x:c>
      <x:c r="E919" s="274" t="n">
        <x:v>0</x:v>
      </x:c>
      <x:c r="F919" s="274" t="s">
        <x:v>311</x:v>
      </x:c>
      <x:c r="G919" s="274" t="s">
        <x:v>1728</x:v>
      </x:c>
      <x:c r="H919" s="274" t="s">
        <x:v>1732</x:v>
      </x:c>
      <x:c r="I919" s="274" t="n">
        <x:v>0.65</x:v>
      </x:c>
      <x:c r="J919" s="274" t="n">
        <x:v>1517</x:v>
      </x:c>
      <x:c r="K919" s="274" t="n">
        <x:v>3265</x:v>
      </x:c>
      <x:c r="M919" s="274" t="s">
        <x:v>2026</x:v>
      </x:c>
      <x:c r="N919" s="274" t="s">
        <x:v>480</x:v>
      </x:c>
    </x:row>
    <x:row r="920" spans="1:14">
      <x:c r="A920" s="274" t="s">
        <x:v>2027</x:v>
      </x:c>
      <x:c r="B920" s="274" t="n">
        <x:v>21.85</x:v>
      </x:c>
      <x:c r="C920" s="274" t="n">
        <x:v>0</x:v>
      </x:c>
      <x:c r="D920" s="274" t="n">
        <x:v>0</x:v>
      </x:c>
      <x:c r="E920" s="274" t="n">
        <x:v>0</x:v>
      </x:c>
      <x:c r="F920" s="274" t="s">
        <x:v>311</x:v>
      </x:c>
      <x:c r="G920" s="274" t="s">
        <x:v>1728</x:v>
      </x:c>
      <x:c r="H920" s="274" t="s">
        <x:v>1729</x:v>
      </x:c>
      <x:c r="I920" s="274" t="n">
        <x:v>0.65</x:v>
      </x:c>
      <x:c r="J920" s="274" t="n">
        <x:v>1516</x:v>
      </x:c>
      <x:c r="K920" s="274" t="n">
        <x:v>2776</x:v>
      </x:c>
      <x:c r="M920" s="274" t="s">
        <x:v>2028</x:v>
      </x:c>
      <x:c r="N920" s="274" t="s">
        <x:v>202</x:v>
      </x:c>
    </x:row>
    <x:row r="921" spans="1:14">
      <x:c r="A921" s="274" t="s">
        <x:v>2029</x:v>
      </x:c>
      <x:c r="B921" s="274" t="n">
        <x:v>21.86</x:v>
      </x:c>
      <x:c r="C921" s="274" t="n">
        <x:v>0</x:v>
      </x:c>
      <x:c r="D921" s="274" t="n">
        <x:v>0</x:v>
      </x:c>
      <x:c r="E921" s="274" t="n">
        <x:v>0</x:v>
      </x:c>
      <x:c r="F921" s="274" t="s">
        <x:v>311</x:v>
      </x:c>
      <x:c r="G921" s="274" t="s">
        <x:v>1728</x:v>
      </x:c>
      <x:c r="H921" s="274" t="s">
        <x:v>1732</x:v>
      </x:c>
      <x:c r="I921" s="274" t="n">
        <x:v>0.65</x:v>
      </x:c>
      <x:c r="J921" s="274" t="n">
        <x:v>1517</x:v>
      </x:c>
      <x:c r="K921" s="274" t="n">
        <x:v>2776</x:v>
      </x:c>
      <x:c r="M921" s="274" t="s">
        <x:v>2030</x:v>
      </x:c>
      <x:c r="N921" s="274" t="s">
        <x:v>202</x:v>
      </x:c>
    </x:row>
    <x:row r="922" spans="1:14">
      <x:c r="A922" s="274" t="s">
        <x:v>2031</x:v>
      </x:c>
      <x:c r="B922" s="274" t="n">
        <x:v>25.87</x:v>
      </x:c>
      <x:c r="C922" s="274" t="n">
        <x:v>0</x:v>
      </x:c>
      <x:c r="D922" s="274" t="n">
        <x:v>0</x:v>
      </x:c>
      <x:c r="E922" s="274" t="n">
        <x:v>0</x:v>
      </x:c>
      <x:c r="F922" s="274" t="s">
        <x:v>311</x:v>
      </x:c>
      <x:c r="G922" s="274" t="s">
        <x:v>1728</x:v>
      </x:c>
      <x:c r="H922" s="274" t="s">
        <x:v>1729</x:v>
      </x:c>
      <x:c r="I922" s="274" t="n">
        <x:v>0.65</x:v>
      </x:c>
      <x:c r="J922" s="274" t="n">
        <x:v>1516</x:v>
      </x:c>
      <x:c r="K922" s="274" t="n">
        <x:v>3276</x:v>
      </x:c>
      <x:c r="M922" s="274" t="s">
        <x:v>2032</x:v>
      </x:c>
      <x:c r="N922" s="274" t="s">
        <x:v>870</x:v>
      </x:c>
    </x:row>
    <x:row r="923" spans="1:14">
      <x:c r="A923" s="274" t="s">
        <x:v>2033</x:v>
      </x:c>
      <x:c r="B923" s="274" t="n">
        <x:v>25.88</x:v>
      </x:c>
      <x:c r="C923" s="274" t="n">
        <x:v>0</x:v>
      </x:c>
      <x:c r="D923" s="274" t="n">
        <x:v>0</x:v>
      </x:c>
      <x:c r="E923" s="274" t="n">
        <x:v>0</x:v>
      </x:c>
      <x:c r="F923" s="274" t="s">
        <x:v>311</x:v>
      </x:c>
      <x:c r="G923" s="274" t="s">
        <x:v>1728</x:v>
      </x:c>
      <x:c r="H923" s="274" t="s">
        <x:v>1732</x:v>
      </x:c>
      <x:c r="I923" s="274" t="n">
        <x:v>0.65</x:v>
      </x:c>
      <x:c r="J923" s="274" t="n">
        <x:v>1517</x:v>
      </x:c>
      <x:c r="K923" s="274" t="n">
        <x:v>3276</x:v>
      </x:c>
      <x:c r="M923" s="274" t="s">
        <x:v>2034</x:v>
      </x:c>
      <x:c r="N923" s="274" t="s">
        <x:v>870</x:v>
      </x:c>
    </x:row>
    <x:row r="924" spans="1:14">
      <x:c r="A924" s="274" t="s">
        <x:v>2035</x:v>
      </x:c>
      <x:c r="B924" s="274" t="n">
        <x:v>1.72</x:v>
      </x:c>
      <x:c r="C924" s="274" t="n">
        <x:v>0</x:v>
      </x:c>
      <x:c r="D924" s="274" t="n">
        <x:v>0</x:v>
      </x:c>
      <x:c r="F924" s="274" t="s">
        <x:v>133</x:v>
      </x:c>
      <x:c r="G924" s="274" t="s">
        <x:v>134</x:v>
      </x:c>
      <x:c r="I924" s="274" t="n">
        <x:v>2.6</x:v>
      </x:c>
      <x:c r="J924" s="274" t="n">
        <x:v>935</x:v>
      </x:c>
      <x:c r="K924" s="274" t="n">
        <x:v>90</x:v>
      </x:c>
      <x:c r="M924" s="274" t="s">
        <x:v>2036</x:v>
      </x:c>
      <x:c r="N924" s="274" t="s">
        <x:v>131</x:v>
      </x:c>
    </x:row>
    <x:row r="925" spans="1:14">
      <x:c r="A925" s="274" t="s">
        <x:v>2037</x:v>
      </x:c>
      <x:c r="B925" s="274" t="n">
        <x:v>0.9</x:v>
      </x:c>
      <x:c r="C925" s="274" t="n">
        <x:v>0</x:v>
      </x:c>
      <x:c r="D925" s="274" t="n">
        <x:v>0</x:v>
      </x:c>
      <x:c r="F925" s="274" t="s">
        <x:v>123</x:v>
      </x:c>
      <x:c r="G925" s="274" t="s">
        <x:v>209</x:v>
      </x:c>
      <x:c r="I925" s="274" t="n">
        <x:v>0.9</x:v>
      </x:c>
      <x:c r="J925" s="274" t="n">
        <x:v>115</x:v>
      </x:c>
      <x:c r="K925" s="274" t="n">
        <x:v>1110</x:v>
      </x:c>
      <x:c r="M925" s="274" t="s">
        <x:v>2038</x:v>
      </x:c>
      <x:c r="N925" s="274" t="s">
        <x:v>162</x:v>
      </x:c>
    </x:row>
    <x:row r="926" spans="1:14">
      <x:c r="A926" s="274" t="s">
        <x:v>2039</x:v>
      </x:c>
      <x:c r="B926" s="274" t="n">
        <x:v>1.16</x:v>
      </x:c>
      <x:c r="C926" s="274" t="n">
        <x:v>0</x:v>
      </x:c>
      <x:c r="D926" s="274" t="n">
        <x:v>0</x:v>
      </x:c>
      <x:c r="F926" s="274" t="s">
        <x:v>123</x:v>
      </x:c>
      <x:c r="G926" s="274" t="s">
        <x:v>209</x:v>
      </x:c>
      <x:c r="I926" s="274" t="n">
        <x:v>1</x:v>
      </x:c>
      <x:c r="J926" s="274" t="n">
        <x:v>132</x:v>
      </x:c>
      <x:c r="K926" s="274" t="n">
        <x:v>1120</x:v>
      </x:c>
      <x:c r="M926" s="274" t="s">
        <x:v>2040</x:v>
      </x:c>
      <x:c r="N926" s="274" t="s">
        <x:v>480</x:v>
      </x:c>
    </x:row>
    <x:row r="927" spans="1:14">
      <x:c r="A927" s="274" t="s">
        <x:v>2041</x:v>
      </x:c>
      <x:c r="B927" s="274" t="n">
        <x:v>0.56</x:v>
      </x:c>
      <x:c r="C927" s="274" t="n">
        <x:v>0</x:v>
      </x:c>
      <x:c r="D927" s="274" t="n">
        <x:v>0</x:v>
      </x:c>
      <x:c r="F927" s="274" t="s">
        <x:v>123</x:v>
      </x:c>
      <x:c r="G927" s="274" t="s">
        <x:v>209</x:v>
      </x:c>
      <x:c r="I927" s="274" t="n">
        <x:v>1.2</x:v>
      </x:c>
      <x:c r="J927" s="274" t="n">
        <x:v>56</x:v>
      </x:c>
      <x:c r="K927" s="274" t="n">
        <x:v>1062</x:v>
      </x:c>
      <x:c r="M927" s="274" t="s">
        <x:v>2042</x:v>
      </x:c>
      <x:c r="N927" s="274" t="s">
        <x:v>162</x:v>
      </x:c>
    </x:row>
    <x:row r="928" spans="1:14">
      <x:c r="A928" s="274" t="s">
        <x:v>2043</x:v>
      </x:c>
      <x:c r="B928" s="274" t="n">
        <x:v>0.7</x:v>
      </x:c>
      <x:c r="C928" s="274" t="n">
        <x:v>0</x:v>
      </x:c>
      <x:c r="D928" s="274" t="n">
        <x:v>0</x:v>
      </x:c>
      <x:c r="F928" s="274" t="s">
        <x:v>123</x:v>
      </x:c>
      <x:c r="G928" s="274" t="s">
        <x:v>153</x:v>
      </x:c>
      <x:c r="I928" s="274" t="n">
        <x:v>1</x:v>
      </x:c>
      <x:c r="J928" s="274" t="n">
        <x:v>80</x:v>
      </x:c>
      <x:c r="K928" s="274" t="n">
        <x:v>1120</x:v>
      </x:c>
      <x:c r="M928" s="274" t="s">
        <x:v>2044</x:v>
      </x:c>
      <x:c r="N928" s="274" t="s">
        <x:v>162</x:v>
      </x:c>
    </x:row>
    <x:row r="929" spans="1:14">
      <x:c r="A929" s="274" t="s">
        <x:v>2045</x:v>
      </x:c>
      <x:c r="B929" s="274" t="n">
        <x:v>0.47</x:v>
      </x:c>
      <x:c r="C929" s="274" t="n">
        <x:v>0</x:v>
      </x:c>
      <x:c r="D929" s="274" t="n">
        <x:v>0</x:v>
      </x:c>
      <x:c r="F929" s="274" t="s">
        <x:v>184</x:v>
      </x:c>
      <x:c r="G929" s="274" t="s">
        <x:v>129</x:v>
      </x:c>
      <x:c r="H929" s="274" t="n">
        <x:v>45</x:v>
      </x:c>
      <x:c r="I929" s="274" t="n">
        <x:v>1.2</x:v>
      </x:c>
      <x:c r="J929" s="274" t="n">
        <x:v>41</x:v>
      </x:c>
      <x:c r="K929" s="274" t="n">
        <x:v>1207</x:v>
      </x:c>
      <x:c r="M929" s="274" t="s">
        <x:v>2046</x:v>
      </x:c>
      <x:c r="N929" s="274" t="s">
        <x:v>131</x:v>
      </x:c>
    </x:row>
    <x:row r="930" spans="1:14">
      <x:c r="A930" s="274" t="s">
        <x:v>2047</x:v>
      </x:c>
      <x:c r="B930" s="274" t="n">
        <x:v>3.34</x:v>
      </x:c>
      <x:c r="C930" s="274" t="n">
        <x:v>0</x:v>
      </x:c>
      <x:c r="D930" s="274" t="n">
        <x:v>0</x:v>
      </x:c>
      <x:c r="F930" s="274" t="s">
        <x:v>184</x:v>
      </x:c>
      <x:c r="G930" s="274" t="s">
        <x:v>129</x:v>
      </x:c>
      <x:c r="H930" s="274" t="n">
        <x:v>45</x:v>
      </x:c>
      <x:c r="I930" s="274" t="n">
        <x:v>2</x:v>
      </x:c>
      <x:c r="J930" s="274" t="n">
        <x:v>187</x:v>
      </x:c>
      <x:c r="K930" s="274" t="n">
        <x:v>1130</x:v>
      </x:c>
      <x:c r="M930" s="274" t="s">
        <x:v>2048</x:v>
      </x:c>
      <x:c r="N930" s="274" t="s">
        <x:v>299</x:v>
      </x:c>
    </x:row>
    <x:row r="931" spans="1:14">
      <x:c r="A931" s="274" t="s">
        <x:v>2049</x:v>
      </x:c>
      <x:c r="B931" s="274" t="n">
        <x:v>0.64</x:v>
      </x:c>
      <x:c r="C931" s="274" t="n">
        <x:v>0</x:v>
      </x:c>
      <x:c r="D931" s="274" t="n">
        <x:v>0</x:v>
      </x:c>
      <x:c r="F931" s="274" t="s">
        <x:v>133</x:v>
      </x:c>
      <x:c r="G931" s="274" t="s">
        <x:v>136</x:v>
      </x:c>
      <x:c r="H931" s="274" t="n">
        <x:v>45</x:v>
      </x:c>
      <x:c r="I931" s="274" t="n">
        <x:v>0.8</x:v>
      </x:c>
      <x:c r="J931" s="274" t="n">
        <x:v>113</x:v>
      </x:c>
      <x:c r="K931" s="274" t="n">
        <x:v>887</x:v>
      </x:c>
      <x:c r="M931" s="274" t="s">
        <x:v>240</x:v>
      </x:c>
      <x:c r="N931" s="274" t="s">
        <x:v>155</x:v>
      </x:c>
    </x:row>
    <x:row r="932" spans="1:14">
      <x:c r="A932" s="274" t="s">
        <x:v>2050</x:v>
      </x:c>
      <x:c r="B932" s="274" t="n">
        <x:v>5.01</x:v>
      </x:c>
      <x:c r="C932" s="274" t="n">
        <x:v>0</x:v>
      </x:c>
      <x:c r="D932" s="274" t="n">
        <x:v>35</x:v>
      </x:c>
      <x:c r="E932" s="274" t="n">
        <x:v>33</x:v>
      </x:c>
      <x:c r="F932" s="274" t="s">
        <x:v>133</x:v>
      </x:c>
      <x:c r="G932" s="274" t="s">
        <x:v>148</x:v>
      </x:c>
      <x:c r="I932" s="274" t="n">
        <x:v>2.9</x:v>
      </x:c>
      <x:c r="J932" s="274" t="n">
        <x:v>468</x:v>
      </x:c>
      <x:c r="K932" s="274" t="n">
        <x:v>470</x:v>
      </x:c>
      <x:c r="M932" s="274" t="s">
        <x:v>1098</x:v>
      </x:c>
      <x:c r="N932" s="274" t="s">
        <x:v>299</x:v>
      </x:c>
    </x:row>
    <x:row r="933" spans="1:14">
      <x:c r="A933" s="274" t="s">
        <x:v>2051</x:v>
      </x:c>
      <x:c r="B933" s="274" t="n">
        <x:v>2.68</x:v>
      </x:c>
      <x:c r="C933" s="274" t="n">
        <x:v>19</x:v>
      </x:c>
      <x:c r="D933" s="274" t="n">
        <x:v>35</x:v>
      </x:c>
      <x:c r="E933" s="274" t="n">
        <x:v>24</x:v>
      </x:c>
      <x:c r="F933" s="274" t="s">
        <x:v>333</x:v>
      </x:c>
      <x:c r="G933" s="274" t="s">
        <x:v>153</x:v>
      </x:c>
      <x:c r="I933" s="274" t="n">
        <x:v>1.2</x:v>
      </x:c>
      <x:c r="J933" s="274" t="n">
        <x:v>370</x:v>
      </x:c>
      <x:c r="K933" s="274" t="n">
        <x:v>770</x:v>
      </x:c>
      <x:c r="M933" s="274" t="s">
        <x:v>2052</x:v>
      </x:c>
    </x:row>
    <x:row r="934" spans="1:14">
      <x:c r="A934" s="274" t="s">
        <x:v>2053</x:v>
      </x:c>
      <x:c r="B934" s="274" t="n">
        <x:v>26.2</x:v>
      </x:c>
      <x:c r="C934" s="274" t="n">
        <x:v>0</x:v>
      </x:c>
      <x:c r="D934" s="274" t="n">
        <x:v>22</x:v>
      </x:c>
      <x:c r="E934" s="274" t="n">
        <x:v>0</x:v>
      </x:c>
      <x:c r="F934" s="274" t="s">
        <x:v>1980</x:v>
      </x:c>
      <x:c r="G934" s="274" t="s">
        <x:v>1981</x:v>
      </x:c>
      <x:c r="I934" s="274" t="n">
        <x:v>1</x:v>
      </x:c>
      <x:c r="J934" s="274" t="n">
        <x:v>1655</x:v>
      </x:c>
      <x:c r="K934" s="274" t="n">
        <x:v>2040</x:v>
      </x:c>
      <x:c r="M934" s="274" t="s">
        <x:v>2054</x:v>
      </x:c>
      <x:c r="N934" s="274" t="s">
        <x:v>1983</x:v>
      </x:c>
    </x:row>
    <x:row r="935" spans="1:14">
      <x:c r="A935" s="274" t="s">
        <x:v>2055</x:v>
      </x:c>
      <x:c r="B935" s="274" t="n">
        <x:v>13.58</x:v>
      </x:c>
      <x:c r="C935" s="274" t="n">
        <x:v>0</x:v>
      </x:c>
      <x:c r="D935" s="274" t="n">
        <x:v>0</x:v>
      </x:c>
      <x:c r="E935" s="274" t="n">
        <x:v>0</x:v>
      </x:c>
      <x:c r="F935" s="274" t="s">
        <x:v>184</x:v>
      </x:c>
      <x:c r="G935" s="274" t="s">
        <x:v>284</x:v>
      </x:c>
      <x:c r="H935" s="274" t="s">
        <x:v>285</x:v>
      </x:c>
      <x:c r="I935" s="274" t="n">
        <x:v>0.8</x:v>
      </x:c>
      <x:c r="J935" s="274" t="n">
        <x:v>935</x:v>
      </x:c>
      <x:c r="K935" s="274" t="n">
        <x:v>2345.4</x:v>
      </x:c>
      <x:c r="L935" s="274" t="n">
        <x:v>2214.6</x:v>
      </x:c>
      <x:c r="M935" s="274" t="s">
        <x:v>2056</x:v>
      </x:c>
      <x:c r="N935" s="274" t="s">
        <x:v>155</x:v>
      </x:c>
    </x:row>
    <x:row r="936" spans="1:14">
      <x:c r="A936" s="274" t="s">
        <x:v>2057</x:v>
      </x:c>
      <x:c r="B936" s="274" t="n">
        <x:v>11.26</x:v>
      </x:c>
      <x:c r="C936" s="274" t="n">
        <x:v>32</x:v>
      </x:c>
      <x:c r="D936" s="274" t="n">
        <x:v>30</x:v>
      </x:c>
      <x:c r="E936" s="274" t="n">
        <x:v>0</x:v>
      </x:c>
      <x:c r="F936" s="274" t="s">
        <x:v>184</x:v>
      </x:c>
      <x:c r="G936" s="274" t="s">
        <x:v>284</x:v>
      </x:c>
      <x:c r="H936" s="274" t="n">
        <x:v>45</x:v>
      </x:c>
      <x:c r="I936" s="274" t="n">
        <x:v>0.6</x:v>
      </x:c>
      <x:c r="J936" s="274" t="n">
        <x:v>1395</x:v>
      </x:c>
      <x:c r="K936" s="274" t="n">
        <x:v>1803.1</x:v>
      </x:c>
      <x:c r="L936" s="274" t="n">
        <x:v>1559</x:v>
      </x:c>
      <x:c r="M936" s="274" t="s">
        <x:v>2058</x:v>
      </x:c>
      <x:c r="N936" s="274" t="s">
        <x:v>299</x:v>
      </x:c>
    </x:row>
    <x:row r="937" spans="1:14">
      <x:c r="A937" s="274" t="s">
        <x:v>2059</x:v>
      </x:c>
      <x:c r="B937" s="274" t="n">
        <x:v>13.4</x:v>
      </x:c>
      <x:c r="C937" s="274" t="n">
        <x:v>0</x:v>
      </x:c>
      <x:c r="D937" s="274" t="n">
        <x:v>0</x:v>
      </x:c>
      <x:c r="E937" s="274" t="n">
        <x:v>0</x:v>
      </x:c>
      <x:c r="F937" s="274" t="s">
        <x:v>184</x:v>
      </x:c>
      <x:c r="G937" s="274" t="s">
        <x:v>284</x:v>
      </x:c>
      <x:c r="H937" s="274" t="s">
        <x:v>285</x:v>
      </x:c>
      <x:c r="I937" s="274" t="n">
        <x:v>0.8</x:v>
      </x:c>
      <x:c r="J937" s="274" t="n">
        <x:v>940</x:v>
      </x:c>
      <x:c r="K937" s="274" t="n">
        <x:v>2779.7</x:v>
      </x:c>
      <x:c r="L937" s="274" t="n">
        <x:v>1694.3</x:v>
      </x:c>
      <x:c r="M937" s="274" t="s">
        <x:v>2060</x:v>
      </x:c>
      <x:c r="N937" s="274" t="s">
        <x:v>155</x:v>
      </x:c>
    </x:row>
    <x:row r="938" spans="1:14">
      <x:c r="A938" s="274" t="s">
        <x:v>2061</x:v>
      </x:c>
      <x:c r="B938" s="274" t="n">
        <x:v>4.09</x:v>
      </x:c>
      <x:c r="C938" s="274" t="n">
        <x:v>40</x:v>
      </x:c>
      <x:c r="D938" s="274" t="n">
        <x:v>44</x:v>
      </x:c>
      <x:c r="E938" s="274" t="n">
        <x:v>0</x:v>
      </x:c>
      <x:c r="F938" s="274" t="s">
        <x:v>333</x:v>
      </x:c>
      <x:c r="G938" s="274" t="s">
        <x:v>153</x:v>
      </x:c>
      <x:c r="I938" s="274" t="n">
        <x:v>0.6</x:v>
      </x:c>
      <x:c r="J938" s="274" t="n">
        <x:v>615</x:v>
      </x:c>
      <x:c r="K938" s="274" t="n">
        <x:v>1290</x:v>
      </x:c>
      <x:c r="L938" s="274" t="n">
        <x:v>1533.2</x:v>
      </x:c>
      <x:c r="M938" s="274" t="s">
        <x:v>2062</x:v>
      </x:c>
      <x:c r="N938" s="274" t="s">
        <x:v>162</x:v>
      </x:c>
    </x:row>
    <x:row r="939" spans="1:14">
      <x:c r="A939" s="274" t="s">
        <x:v>2063</x:v>
      </x:c>
      <x:c r="B939" s="274" t="n">
        <x:v>6.69</x:v>
      </x:c>
      <x:c r="C939" s="274" t="n">
        <x:v>0</x:v>
      </x:c>
      <x:c r="D939" s="274" t="n">
        <x:v>0</x:v>
      </x:c>
      <x:c r="E939" s="274" t="n">
        <x:v>0</x:v>
      </x:c>
      <x:c r="F939" s="274" t="s">
        <x:v>184</x:v>
      </x:c>
      <x:c r="G939" s="274" t="s">
        <x:v>1718</x:v>
      </x:c>
      <x:c r="H939" s="274" t="s">
        <x:v>285</x:v>
      </x:c>
      <x:c r="I939" s="274" t="n">
        <x:v>0.65</x:v>
      </x:c>
      <x:c r="J939" s="274" t="n">
        <x:v>1465</x:v>
      </x:c>
      <x:c r="K939" s="274" t="n">
        <x:v>880</x:v>
      </x:c>
      <x:c r="M939" s="274" t="s">
        <x:v>2064</x:v>
      </x:c>
      <x:c r="N939" s="274" t="s">
        <x:v>162</x:v>
      </x:c>
    </x:row>
    <x:row r="940" spans="1:14">
      <x:c r="A940" s="274" t="s">
        <x:v>2065</x:v>
      </x:c>
      <x:c r="B940" s="274" t="n">
        <x:v>1.71</x:v>
      </x:c>
      <x:c r="C940" s="274" t="n">
        <x:v>0</x:v>
      </x:c>
      <x:c r="D940" s="274" t="n">
        <x:v>0</x:v>
      </x:c>
      <x:c r="F940" s="274" t="s">
        <x:v>123</x:v>
      </x:c>
      <x:c r="G940" s="274" t="s">
        <x:v>153</x:v>
      </x:c>
      <x:c r="I940" s="274" t="n">
        <x:v>0.8</x:v>
      </x:c>
      <x:c r="J940" s="274" t="n">
        <x:v>587</x:v>
      </x:c>
      <x:c r="K940" s="274" t="n">
        <x:v>465</x:v>
      </x:c>
      <x:c r="M940" s="274" t="s">
        <x:v>2066</x:v>
      </x:c>
      <x:c r="N940" s="274" t="s">
        <x:v>582</x:v>
      </x:c>
    </x:row>
    <x:row r="941" spans="1:14">
      <x:c r="A941" s="274" t="s">
        <x:v>2067</x:v>
      </x:c>
      <x:c r="B941" s="274" t="n">
        <x:v>4.96</x:v>
      </x:c>
      <x:c r="C941" s="274" t="n">
        <x:v>0</x:v>
      </x:c>
      <x:c r="D941" s="274" t="n">
        <x:v>0</x:v>
      </x:c>
      <x:c r="F941" s="274" t="s">
        <x:v>333</x:v>
      </x:c>
      <x:c r="G941" s="274" t="s">
        <x:v>124</x:v>
      </x:c>
      <x:c r="I941" s="274" t="n">
        <x:v>1.2</x:v>
      </x:c>
      <x:c r="J941" s="274" t="n">
        <x:v>605</x:v>
      </x:c>
      <x:c r="K941" s="274" t="n">
        <x:v>870</x:v>
      </x:c>
      <x:c r="M941" s="274" t="s">
        <x:v>2068</x:v>
      </x:c>
      <x:c r="N941" s="274" t="s">
        <x:v>582</x:v>
      </x:c>
    </x:row>
    <x:row r="942" spans="1:14">
      <x:c r="A942" s="274" t="s">
        <x:v>2069</x:v>
      </x:c>
      <x:c r="B942" s="274" t="n">
        <x:v>5.6</x:v>
      </x:c>
      <x:c r="C942" s="274" t="n">
        <x:v>40</x:v>
      </x:c>
      <x:c r="D942" s="274" t="n">
        <x:v>45</x:v>
      </x:c>
      <x:c r="E942" s="274" t="n">
        <x:v>0</x:v>
      </x:c>
      <x:c r="F942" s="274" t="s">
        <x:v>133</x:v>
      </x:c>
      <x:c r="G942" s="274" t="s">
        <x:v>136</x:v>
      </x:c>
      <x:c r="H942" s="274" t="n">
        <x:v>45</x:v>
      </x:c>
      <x:c r="I942" s="274" t="n">
        <x:v>0.6</x:v>
      </x:c>
      <x:c r="J942" s="274" t="n">
        <x:v>905</x:v>
      </x:c>
      <x:c r="K942" s="274" t="n">
        <x:v>1161.3</x:v>
      </x:c>
      <x:c r="L942" s="274" t="n">
        <x:v>1415.7</x:v>
      </x:c>
      <x:c r="M942" s="274" t="s">
        <x:v>2070</x:v>
      </x:c>
      <x:c r="N942" s="274" t="s">
        <x:v>480</x:v>
      </x:c>
    </x:row>
    <x:row r="943" spans="1:14">
      <x:c r="A943" s="274" t="s">
        <x:v>2071</x:v>
      </x:c>
      <x:c r="B943" s="274" t="n">
        <x:v>12.77</x:v>
      </x:c>
      <x:c r="C943" s="274" t="n">
        <x:v>0</x:v>
      </x:c>
      <x:c r="D943" s="274" t="n">
        <x:v>0</x:v>
      </x:c>
      <x:c r="E943" s="274" t="n">
        <x:v>0</x:v>
      </x:c>
      <x:c r="F943" s="274" t="s">
        <x:v>184</x:v>
      </x:c>
      <x:c r="G943" s="274" t="s">
        <x:v>284</x:v>
      </x:c>
      <x:c r="H943" s="274" t="s">
        <x:v>285</x:v>
      </x:c>
      <x:c r="I943" s="274" t="n">
        <x:v>0.75</x:v>
      </x:c>
      <x:c r="J943" s="274" t="n">
        <x:v>1704</x:v>
      </x:c>
      <x:c r="K943" s="274" t="n">
        <x:v>1254</x:v>
      </x:c>
      <x:c r="M943" s="274" t="s">
        <x:v>2072</x:v>
      </x:c>
      <x:c r="N943" s="274" t="s">
        <x:v>299</x:v>
      </x:c>
    </x:row>
    <x:row r="944" spans="1:14">
      <x:c r="A944" s="274" t="s">
        <x:v>2073</x:v>
      </x:c>
      <x:c r="B944" s="274" t="n">
        <x:v>2.58</x:v>
      </x:c>
      <x:c r="C944" s="274" t="n">
        <x:v>0</x:v>
      </x:c>
      <x:c r="D944" s="274" t="n">
        <x:v>0</x:v>
      </x:c>
      <x:c r="F944" s="274" t="s">
        <x:v>311</x:v>
      </x:c>
      <x:c r="G944" s="274" t="s">
        <x:v>134</x:v>
      </x:c>
      <x:c r="I944" s="274" t="n">
        <x:v>3.4</x:v>
      </x:c>
      <x:c r="J944" s="274" t="n">
        <x:v>159</x:v>
      </x:c>
      <x:c r="K944" s="274" t="n">
        <x:v>608</x:v>
      </x:c>
      <x:c r="M944" s="274" t="s">
        <x:v>2074</x:v>
      </x:c>
      <x:c r="N944" s="274" t="s">
        <x:v>582</x:v>
      </x:c>
    </x:row>
    <x:row r="945" spans="1:14">
      <x:c r="A945" s="274" t="s">
        <x:v>2075</x:v>
      </x:c>
      <x:c r="B945" s="274" t="n">
        <x:v>5.36</x:v>
      </x:c>
      <x:c r="C945" s="274" t="n">
        <x:v>25</x:v>
      </x:c>
      <x:c r="D945" s="274" t="n">
        <x:v>48</x:v>
      </x:c>
      <x:c r="E945" s="274" t="n">
        <x:v>0</x:v>
      </x:c>
      <x:c r="F945" s="274" t="s">
        <x:v>1980</x:v>
      </x:c>
      <x:c r="G945" s="274" t="s">
        <x:v>1981</x:v>
      </x:c>
      <x:c r="I945" s="274" t="n">
        <x:v>0.7</x:v>
      </x:c>
      <x:c r="J945" s="274" t="n">
        <x:v>1600</x:v>
      </x:c>
      <x:c r="K945" s="274" t="n">
        <x:v>820</x:v>
      </x:c>
      <x:c r="L945" s="274" t="n">
        <x:v>400</x:v>
      </x:c>
      <x:c r="M945" s="274" t="s">
        <x:v>2076</x:v>
      </x:c>
      <x:c r="N945" s="274" t="s">
        <x:v>1983</x:v>
      </x:c>
    </x:row>
    <x:row r="946" spans="1:14">
      <x:c r="A946" s="274" t="s">
        <x:v>2077</x:v>
      </x:c>
      <x:c r="B946" s="274" t="n">
        <x:v>5.36</x:v>
      </x:c>
      <x:c r="C946" s="274" t="n">
        <x:v>25</x:v>
      </x:c>
      <x:c r="D946" s="274" t="n">
        <x:v>48</x:v>
      </x:c>
      <x:c r="E946" s="274" t="n">
        <x:v>0</x:v>
      </x:c>
      <x:c r="F946" s="274" t="s">
        <x:v>1980</x:v>
      </x:c>
      <x:c r="G946" s="274" t="s">
        <x:v>1981</x:v>
      </x:c>
      <x:c r="I946" s="274" t="n">
        <x:v>0.7</x:v>
      </x:c>
      <x:c r="J946" s="274" t="n">
        <x:v>1600</x:v>
      </x:c>
      <x:c r="K946" s="274" t="n">
        <x:v>820</x:v>
      </x:c>
      <x:c r="L946" s="274" t="n">
        <x:v>400</x:v>
      </x:c>
      <x:c r="M946" s="274" t="s">
        <x:v>2078</x:v>
      </x:c>
      <x:c r="N946" s="274" t="s">
        <x:v>1983</x:v>
      </x:c>
    </x:row>
    <x:row r="947" spans="1:14">
      <x:c r="A947" s="274" t="s">
        <x:v>2079</x:v>
      </x:c>
      <x:c r="B947" s="274" t="n">
        <x:v>0.46</x:v>
      </x:c>
      <x:c r="C947" s="274" t="n">
        <x:v>0</x:v>
      </x:c>
      <x:c r="D947" s="274" t="n">
        <x:v>0</x:v>
      </x:c>
      <x:c r="F947" s="274" t="s">
        <x:v>123</x:v>
      </x:c>
      <x:c r="G947" s="274" t="s">
        <x:v>129</x:v>
      </x:c>
      <x:c r="H947" s="274" t="n">
        <x:v>45</x:v>
      </x:c>
      <x:c r="I947" s="274" t="n">
        <x:v>0.7</x:v>
      </x:c>
      <x:c r="J947" s="274" t="n">
        <x:v>127</x:v>
      </x:c>
      <x:c r="K947" s="274" t="n">
        <x:v>650</x:v>
      </x:c>
      <x:c r="M947" s="274" t="s">
        <x:v>130</x:v>
      </x:c>
      <x:c r="N947" s="274" t="s">
        <x:v>131</x:v>
      </x:c>
    </x:row>
    <x:row r="948" spans="1:14">
      <x:c r="A948" s="274" t="s">
        <x:v>2080</x:v>
      </x:c>
      <x:c r="B948" s="274" t="n">
        <x:v>0.64</x:v>
      </x:c>
      <x:c r="C948" s="274" t="n">
        <x:v>0</x:v>
      </x:c>
      <x:c r="D948" s="274" t="n">
        <x:v>0</x:v>
      </x:c>
      <x:c r="F948" s="274" t="s">
        <x:v>123</x:v>
      </x:c>
      <x:c r="G948" s="274" t="s">
        <x:v>129</x:v>
      </x:c>
      <x:c r="H948" s="274" t="n">
        <x:v>45</x:v>
      </x:c>
      <x:c r="I948" s="274" t="n">
        <x:v>0.7</x:v>
      </x:c>
      <x:c r="J948" s="274" t="n">
        <x:v>338</x:v>
      </x:c>
      <x:c r="K948" s="274" t="n">
        <x:v>340</x:v>
      </x:c>
      <x:c r="M948" s="274" t="s">
        <x:v>2081</x:v>
      </x:c>
      <x:c r="N948" s="274" t="s">
        <x:v>299</x:v>
      </x:c>
    </x:row>
    <x:row r="949" spans="1:14">
      <x:c r="A949" s="274" t="s">
        <x:v>2082</x:v>
      </x:c>
      <x:c r="B949" s="274" t="n">
        <x:v>0.88</x:v>
      </x:c>
      <x:c r="C949" s="274" t="n">
        <x:v>0</x:v>
      </x:c>
      <x:c r="D949" s="274" t="n">
        <x:v>0</x:v>
      </x:c>
      <x:c r="F949" s="274" t="s">
        <x:v>333</x:v>
      </x:c>
      <x:c r="G949" s="274" t="s">
        <x:v>209</x:v>
      </x:c>
      <x:c r="I949" s="274" t="n">
        <x:v>0.9</x:v>
      </x:c>
      <x:c r="J949" s="274" t="n">
        <x:v>316</x:v>
      </x:c>
      <x:c r="K949" s="274" t="n">
        <x:v>394</x:v>
      </x:c>
      <x:c r="M949" s="274" t="s">
        <x:v>2083</x:v>
      </x:c>
      <x:c r="N949" s="274" t="s">
        <x:v>582</x:v>
      </x:c>
    </x:row>
    <x:row r="950" spans="1:14">
      <x:c r="A950" s="274" t="s">
        <x:v>2084</x:v>
      </x:c>
      <x:c r="B950" s="274" t="n">
        <x:v>9.79</x:v>
      </x:c>
      <x:c r="C950" s="274" t="n">
        <x:v>0</x:v>
      </x:c>
      <x:c r="D950" s="274" t="n">
        <x:v>30</x:v>
      </x:c>
      <x:c r="E950" s="274" t="n">
        <x:v>40</x:v>
      </x:c>
      <x:c r="F950" s="274" t="s">
        <x:v>133</x:v>
      </x:c>
      <x:c r="G950" s="274" t="s">
        <x:v>134</x:v>
      </x:c>
      <x:c r="I950" s="274" t="n">
        <x:v>2.3</x:v>
      </x:c>
      <x:c r="J950" s="274" t="n">
        <x:v>995</x:v>
      </x:c>
      <x:c r="K950" s="274" t="n">
        <x:v>545</x:v>
      </x:c>
      <x:c r="M950" s="274" t="s">
        <x:v>1516</x:v>
      </x:c>
      <x:c r="N950" s="274" t="s">
        <x:v>155</x:v>
      </x:c>
    </x:row>
    <x:row r="951" spans="1:14">
      <x:c r="A951" s="274" t="s">
        <x:v>2085</x:v>
      </x:c>
      <x:c r="B951" s="274" t="n">
        <x:v>5.08</x:v>
      </x:c>
      <x:c r="C951" s="274" t="n">
        <x:v>0</x:v>
      </x:c>
      <x:c r="D951" s="274" t="n">
        <x:v>40</x:v>
      </x:c>
      <x:c r="E951" s="274" t="n">
        <x:v>40</x:v>
      </x:c>
      <x:c r="F951" s="274" t="s">
        <x:v>333</x:v>
      </x:c>
      <x:c r="G951" s="274" t="s">
        <x:v>334</x:v>
      </x:c>
      <x:c r="I951" s="274" t="n">
        <x:v>1.2</x:v>
      </x:c>
      <x:c r="J951" s="274" t="n">
        <x:v>930</x:v>
      </x:c>
      <x:c r="K951" s="274" t="n">
        <x:v>580</x:v>
      </x:c>
      <x:c r="M951" s="274" t="s">
        <x:v>2086</x:v>
      </x:c>
      <x:c r="N951" s="274" t="s">
        <x:v>299</x:v>
      </x:c>
    </x:row>
    <x:row r="952" spans="1:14">
      <x:c r="A952" s="274" t="s">
        <x:v>2087</x:v>
      </x:c>
      <x:c r="B952" s="274" t="n">
        <x:v>2.8</x:v>
      </x:c>
      <x:c r="C952" s="274" t="n">
        <x:v>0</x:v>
      </x:c>
      <x:c r="D952" s="274" t="n">
        <x:v>32</x:v>
      </x:c>
      <x:c r="E952" s="274" t="n">
        <x:v>40</x:v>
      </x:c>
      <x:c r="F952" s="274" t="s">
        <x:v>333</x:v>
      </x:c>
      <x:c r="G952" s="274" t="s">
        <x:v>124</x:v>
      </x:c>
      <x:c r="I952" s="274" t="n">
        <x:v>1</x:v>
      </x:c>
      <x:c r="J952" s="274" t="n">
        <x:v>820</x:v>
      </x:c>
      <x:c r="K952" s="274" t="n">
        <x:v>435</x:v>
      </x:c>
      <x:c r="M952" s="274" t="s">
        <x:v>2088</x:v>
      </x:c>
      <x:c r="N952" s="274" t="s">
        <x:v>299</x:v>
      </x:c>
    </x:row>
    <x:row r="953" spans="1:14">
      <x:c r="A953" s="274" t="s">
        <x:v>2089</x:v>
      </x:c>
      <x:c r="B953" s="274" t="n">
        <x:v>1.98</x:v>
      </x:c>
      <x:c r="C953" s="274" t="n">
        <x:v>0</x:v>
      </x:c>
      <x:c r="D953" s="274" t="n">
        <x:v>32</x:v>
      </x:c>
      <x:c r="E953" s="274" t="n">
        <x:v>40</x:v>
      </x:c>
      <x:c r="F953" s="274" t="s">
        <x:v>133</x:v>
      </x:c>
      <x:c r="G953" s="274" t="s">
        <x:v>209</x:v>
      </x:c>
      <x:c r="I953" s="274" t="n">
        <x:v>0.8</x:v>
      </x:c>
      <x:c r="J953" s="274" t="n">
        <x:v>710</x:v>
      </x:c>
      <x:c r="K953" s="274" t="n">
        <x:v>445</x:v>
      </x:c>
      <x:c r="M953" s="274" t="s">
        <x:v>2090</x:v>
      </x:c>
      <x:c r="N953" s="274" t="s">
        <x:v>299</x:v>
      </x:c>
    </x:row>
    <x:row r="954" spans="1:14">
      <x:c r="A954" s="274" t="s">
        <x:v>2091</x:v>
      </x:c>
      <x:c r="B954" s="274" t="n">
        <x:v>1.01</x:v>
      </x:c>
      <x:c r="C954" s="274" t="n">
        <x:v>0</x:v>
      </x:c>
      <x:c r="D954" s="274" t="n">
        <x:v>0</x:v>
      </x:c>
      <x:c r="F954" s="274" t="s">
        <x:v>333</x:v>
      </x:c>
      <x:c r="G954" s="274" t="s">
        <x:v>209</x:v>
      </x:c>
      <x:c r="I954" s="274" t="n">
        <x:v>0.6</x:v>
      </x:c>
      <x:c r="J954" s="274" t="n">
        <x:v>215</x:v>
      </x:c>
      <x:c r="K954" s="274" t="n">
        <x:v>1000</x:v>
      </x:c>
      <x:c r="M954" s="274" t="s">
        <x:v>2092</x:v>
      </x:c>
      <x:c r="N954" s="274" t="s">
        <x:v>126</x:v>
      </x:c>
    </x:row>
    <x:row r="955" spans="1:14">
      <x:c r="A955" s="274" t="s">
        <x:v>2093</x:v>
      </x:c>
      <x:c r="B955" s="274" t="n">
        <x:v>1</x:v>
      </x:c>
      <x:c r="C955" s="274" t="n">
        <x:v>0</x:v>
      </x:c>
      <x:c r="D955" s="274" t="n">
        <x:v>0</x:v>
      </x:c>
      <x:c r="F955" s="274" t="s">
        <x:v>333</x:v>
      </x:c>
      <x:c r="G955" s="274" t="s">
        <x:v>209</x:v>
      </x:c>
      <x:c r="I955" s="274" t="n">
        <x:v>0.6</x:v>
      </x:c>
      <x:c r="J955" s="274" t="n">
        <x:v>213</x:v>
      </x:c>
      <x:c r="K955" s="274" t="n">
        <x:v>1000</x:v>
      </x:c>
      <x:c r="M955" s="274" t="s">
        <x:v>2094</x:v>
      </x:c>
      <x:c r="N955" s="274" t="s">
        <x:v>126</x:v>
      </x:c>
    </x:row>
    <x:row r="956" spans="1:14">
      <x:c r="A956" s="274" t="s">
        <x:v>2095</x:v>
      </x:c>
      <x:c r="B956" s="274" t="n">
        <x:v>4.15</x:v>
      </x:c>
      <x:c r="C956" s="274" t="n">
        <x:v>0</x:v>
      </x:c>
      <x:c r="D956" s="274" t="n">
        <x:v>32</x:v>
      </x:c>
      <x:c r="E956" s="274" t="n">
        <x:v>40</x:v>
      </x:c>
      <x:c r="F956" s="274" t="s">
        <x:v>333</x:v>
      </x:c>
      <x:c r="G956" s="274" t="s">
        <x:v>124</x:v>
      </x:c>
      <x:c r="I956" s="274" t="n">
        <x:v>1</x:v>
      </x:c>
      <x:c r="J956" s="274" t="n">
        <x:v>920</x:v>
      </x:c>
      <x:c r="K956" s="274" t="n">
        <x:v>575</x:v>
      </x:c>
      <x:c r="M956" s="274" t="s">
        <x:v>2096</x:v>
      </x:c>
      <x:c r="N956" s="274" t="s">
        <x:v>299</x:v>
      </x:c>
    </x:row>
    <x:row r="957" spans="1:14">
      <x:c r="A957" s="274" t="s">
        <x:v>2097</x:v>
      </x:c>
      <x:c r="B957" s="274" t="n">
        <x:v>4.38</x:v>
      </x:c>
      <x:c r="C957" s="274" t="n">
        <x:v>0</x:v>
      </x:c>
      <x:c r="D957" s="274" t="n">
        <x:v>30</x:v>
      </x:c>
      <x:c r="E957" s="274" t="n">
        <x:v>40</x:v>
      </x:c>
      <x:c r="F957" s="274" t="s">
        <x:v>133</x:v>
      </x:c>
      <x:c r="G957" s="274" t="s">
        <x:v>144</x:v>
      </x:c>
      <x:c r="H957" s="274" t="n">
        <x:v>45</x:v>
      </x:c>
      <x:c r="I957" s="274" t="n">
        <x:v>1.6</x:v>
      </x:c>
      <x:c r="J957" s="274" t="n">
        <x:v>660</x:v>
      </x:c>
      <x:c r="K957" s="274" t="n">
        <x:v>525</x:v>
      </x:c>
      <x:c r="M957" s="274" t="s">
        <x:v>2098</x:v>
      </x:c>
      <x:c r="N957" s="274" t="s">
        <x:v>870</x:v>
      </x:c>
    </x:row>
    <x:row r="958" spans="1:14">
      <x:c r="A958" s="274" t="s">
        <x:v>2099</x:v>
      </x:c>
      <x:c r="B958" s="274" t="n">
        <x:v>4.82</x:v>
      </x:c>
      <x:c r="C958" s="274" t="n">
        <x:v>0</x:v>
      </x:c>
      <x:c r="D958" s="274" t="n">
        <x:v>30</x:v>
      </x:c>
      <x:c r="E958" s="274" t="n">
        <x:v>40</x:v>
      </x:c>
      <x:c r="F958" s="274" t="s">
        <x:v>133</x:v>
      </x:c>
      <x:c r="G958" s="274" t="s">
        <x:v>144</x:v>
      </x:c>
      <x:c r="H958" s="274" t="n">
        <x:v>45</x:v>
      </x:c>
      <x:c r="I958" s="274" t="n">
        <x:v>1.6</x:v>
      </x:c>
      <x:c r="J958" s="274" t="n">
        <x:v>657</x:v>
      </x:c>
      <x:c r="K958" s="274" t="n">
        <x:v>580</x:v>
      </x:c>
      <x:c r="M958" s="274" t="s">
        <x:v>1902</x:v>
      </x:c>
      <x:c r="N958" s="274" t="s">
        <x:v>870</x:v>
      </x:c>
    </x:row>
    <x:row r="959" spans="1:14">
      <x:c r="A959" s="274" t="s">
        <x:v>2100</x:v>
      </x:c>
      <x:c r="B959" s="274" t="n">
        <x:v>3.62</x:v>
      </x:c>
      <x:c r="C959" s="274" t="n">
        <x:v>0</x:v>
      </x:c>
      <x:c r="D959" s="274" t="n">
        <x:v>30</x:v>
      </x:c>
      <x:c r="E959" s="274" t="n">
        <x:v>40</x:v>
      </x:c>
      <x:c r="F959" s="274" t="s">
        <x:v>333</x:v>
      </x:c>
      <x:c r="G959" s="274" t="s">
        <x:v>124</x:v>
      </x:c>
      <x:c r="I959" s="274" t="n">
        <x:v>1.4</x:v>
      </x:c>
      <x:c r="J959" s="274" t="n">
        <x:v>732</x:v>
      </x:c>
      <x:c r="K959" s="274" t="n">
        <x:v>450</x:v>
      </x:c>
      <x:c r="M959" s="274" t="s">
        <x:v>1884</x:v>
      </x:c>
      <x:c r="N959" s="274" t="s">
        <x:v>870</x:v>
      </x:c>
    </x:row>
    <x:row r="960" spans="1:14">
      <x:c r="A960" s="274" t="s">
        <x:v>2101</x:v>
      </x:c>
      <x:c r="B960" s="274" t="n">
        <x:v>2.29</x:v>
      </x:c>
      <x:c r="C960" s="274" t="n">
        <x:v>0</x:v>
      </x:c>
      <x:c r="D960" s="274" t="n">
        <x:v>0</x:v>
      </x:c>
      <x:c r="F960" s="274" t="s">
        <x:v>333</x:v>
      </x:c>
      <x:c r="G960" s="274" t="s">
        <x:v>153</x:v>
      </x:c>
      <x:c r="I960" s="274" t="n">
        <x:v>1</x:v>
      </x:c>
      <x:c r="J960" s="274" t="n">
        <x:v>854</x:v>
      </x:c>
      <x:c r="K960" s="274" t="n">
        <x:v>342</x:v>
      </x:c>
      <x:c r="M960" s="274" t="s">
        <x:v>2102</x:v>
      </x:c>
      <x:c r="N960" s="274" t="s">
        <x:v>131</x:v>
      </x:c>
    </x:row>
    <x:row r="961" spans="1:14">
      <x:c r="A961" s="274" t="s">
        <x:v>2103</x:v>
      </x:c>
      <x:c r="B961" s="274" t="n">
        <x:v>9.3</x:v>
      </x:c>
      <x:c r="C961" s="274" t="n">
        <x:v>0</x:v>
      </x:c>
      <x:c r="D961" s="274" t="n">
        <x:v>30</x:v>
      </x:c>
      <x:c r="E961" s="274" t="n">
        <x:v>40</x:v>
      </x:c>
      <x:c r="F961" s="274" t="s">
        <x:v>133</x:v>
      </x:c>
      <x:c r="G961" s="274" t="s">
        <x:v>134</x:v>
      </x:c>
      <x:c r="I961" s="274" t="n">
        <x:v>2.9</x:v>
      </x:c>
      <x:c r="J961" s="274" t="n">
        <x:v>920</x:v>
      </x:c>
      <x:c r="K961" s="274" t="n">
        <x:v>444</x:v>
      </x:c>
      <x:c r="M961" s="274" t="s">
        <x:v>2104</x:v>
      </x:c>
      <x:c r="N961" s="274" t="s">
        <x:v>299</x:v>
      </x:c>
    </x:row>
    <x:row r="962" spans="1:14">
      <x:c r="A962" s="274" t="s">
        <x:v>2105</x:v>
      </x:c>
      <x:c r="B962" s="274" t="n">
        <x:v>0.67</x:v>
      </x:c>
      <x:c r="C962" s="274" t="n">
        <x:v>0</x:v>
      </x:c>
      <x:c r="D962" s="274" t="n">
        <x:v>0</x:v>
      </x:c>
      <x:c r="F962" s="274" t="s">
        <x:v>2106</x:v>
      </x:c>
      <x:c r="G962" s="274" t="s">
        <x:v>2107</x:v>
      </x:c>
      <x:c r="I962" s="274" t="n">
        <x:v>0.6</x:v>
      </x:c>
      <x:c r="J962" s="274" t="n">
        <x:v>326</x:v>
      </x:c>
      <x:c r="K962" s="274" t="n">
        <x:v>435</x:v>
      </x:c>
      <x:c r="M962" s="274" t="s">
        <x:v>2108</x:v>
      </x:c>
    </x:row>
    <x:row r="963" spans="1:14">
      <x:c r="A963" s="274" t="s">
        <x:v>2109</x:v>
      </x:c>
      <x:c r="B963" s="274" t="n">
        <x:v>0.59</x:v>
      </x:c>
      <x:c r="C963" s="274" t="n">
        <x:v>0</x:v>
      </x:c>
      <x:c r="D963" s="274" t="n">
        <x:v>0</x:v>
      </x:c>
      <x:c r="F963" s="274" t="s">
        <x:v>2106</x:v>
      </x:c>
      <x:c r="G963" s="274" t="s">
        <x:v>2107</x:v>
      </x:c>
      <x:c r="I963" s="274" t="n">
        <x:v>0.6</x:v>
      </x:c>
      <x:c r="J963" s="274" t="n">
        <x:v>288</x:v>
      </x:c>
      <x:c r="K963" s="274" t="n">
        <x:v>434</x:v>
      </x:c>
      <x:c r="M963" s="274" t="s">
        <x:v>2110</x:v>
      </x:c>
      <x:c r="N963" s="274" t="s">
        <x:v>2111</x:v>
      </x:c>
    </x:row>
    <x:row r="964" spans="1:14">
      <x:c r="A964" s="274" t="s">
        <x:v>2112</x:v>
      </x:c>
      <x:c r="B964" s="274" t="n">
        <x:v>0.3</x:v>
      </x:c>
      <x:c r="C964" s="274" t="n">
        <x:v>0</x:v>
      </x:c>
      <x:c r="D964" s="274" t="n">
        <x:v>0</x:v>
      </x:c>
      <x:c r="F964" s="274" t="s">
        <x:v>184</x:v>
      </x:c>
      <x:c r="G964" s="274" t="s">
        <x:v>129</x:v>
      </x:c>
      <x:c r="H964" s="274" t="n">
        <x:v>45</x:v>
      </x:c>
      <x:c r="I964" s="274" t="n">
        <x:v>1</x:v>
      </x:c>
      <x:c r="J964" s="274" t="n">
        <x:v>100</x:v>
      </x:c>
      <x:c r="K964" s="274" t="n">
        <x:v>380</x:v>
      </x:c>
      <x:c r="M964" s="274" t="s">
        <x:v>2113</x:v>
      </x:c>
      <x:c r="N964" s="274" t="s">
        <x:v>2114</x:v>
      </x:c>
    </x:row>
    <x:row r="965" spans="1:14">
      <x:c r="A965" s="274" t="s">
        <x:v>2115</x:v>
      </x:c>
      <x:c r="B965" s="274" t="n">
        <x:v>0.34</x:v>
      </x:c>
      <x:c r="C965" s="274" t="n">
        <x:v>0</x:v>
      </x:c>
      <x:c r="D965" s="274" t="n">
        <x:v>0</x:v>
      </x:c>
      <x:c r="F965" s="274" t="s">
        <x:v>123</x:v>
      </x:c>
      <x:c r="G965" s="274" t="s">
        <x:v>129</x:v>
      </x:c>
      <x:c r="H965" s="274" t="n">
        <x:v>45</x:v>
      </x:c>
      <x:c r="I965" s="274" t="n">
        <x:v>0.6</x:v>
      </x:c>
      <x:c r="J965" s="274" t="n">
        <x:v>80</x:v>
      </x:c>
      <x:c r="K965" s="274" t="n">
        <x:v>880</x:v>
      </x:c>
      <x:c r="M965" s="274" t="s">
        <x:v>309</x:v>
      </x:c>
      <x:c r="N965" s="274" t="s">
        <x:v>299</x:v>
      </x:c>
    </x:row>
    <x:row r="966" spans="1:14">
      <x:c r="A966" s="274" t="s">
        <x:v>2116</x:v>
      </x:c>
      <x:c r="B966" s="274" t="n">
        <x:v>0.29</x:v>
      </x:c>
      <x:c r="C966" s="274" t="n">
        <x:v>0</x:v>
      </x:c>
      <x:c r="D966" s="274" t="n">
        <x:v>0</x:v>
      </x:c>
      <x:c r="F966" s="274" t="s">
        <x:v>123</x:v>
      </x:c>
      <x:c r="G966" s="274" t="s">
        <x:v>129</x:v>
      </x:c>
      <x:c r="H966" s="274" t="n">
        <x:v>45</x:v>
      </x:c>
      <x:c r="I966" s="274" t="n">
        <x:v>0.6</x:v>
      </x:c>
      <x:c r="J966" s="274" t="n">
        <x:v>245</x:v>
      </x:c>
      <x:c r="K966" s="274" t="n">
        <x:v>250</x:v>
      </x:c>
      <x:c r="M966" s="274" t="s">
        <x:v>1597</x:v>
      </x:c>
      <x:c r="N966" s="274" t="s">
        <x:v>870</x:v>
      </x:c>
    </x:row>
    <x:row r="967" spans="1:14">
      <x:c r="A967" s="274" t="s">
        <x:v>2117</x:v>
      </x:c>
      <x:c r="B967" s="274" t="n">
        <x:v>0.95</x:v>
      </x:c>
      <x:c r="C967" s="274" t="n">
        <x:v>0</x:v>
      </x:c>
      <x:c r="D967" s="274" t="n">
        <x:v>0</x:v>
      </x:c>
      <x:c r="F967" s="274" t="s">
        <x:v>123</x:v>
      </x:c>
      <x:c r="G967" s="274" t="s">
        <x:v>129</x:v>
      </x:c>
      <x:c r="H967" s="274" t="n">
        <x:v>45</x:v>
      </x:c>
      <x:c r="I967" s="274" t="n">
        <x:v>0.6</x:v>
      </x:c>
      <x:c r="J967" s="274" t="n">
        <x:v>159</x:v>
      </x:c>
      <x:c r="K967" s="274" t="n">
        <x:v>1250</x:v>
      </x:c>
      <x:c r="M967" s="274" t="s">
        <x:v>2118</x:v>
      </x:c>
      <x:c r="N967" s="274" t="s">
        <x:v>299</x:v>
      </x:c>
    </x:row>
    <x:row r="968" spans="1:14">
      <x:c r="A968" s="274" t="s">
        <x:v>2119</x:v>
      </x:c>
      <x:c r="B968" s="274" t="n">
        <x:v>0.28</x:v>
      </x:c>
      <x:c r="C968" s="274" t="n">
        <x:v>0</x:v>
      </x:c>
      <x:c r="D968" s="274" t="n">
        <x:v>0</x:v>
      </x:c>
      <x:c r="F968" s="274" t="s">
        <x:v>123</x:v>
      </x:c>
      <x:c r="G968" s="274" t="s">
        <x:v>129</x:v>
      </x:c>
      <x:c r="H968" s="274" t="n">
        <x:v>45</x:v>
      </x:c>
      <x:c r="I968" s="274" t="n">
        <x:v>0.6</x:v>
      </x:c>
      <x:c r="J968" s="274" t="n">
        <x:v>97</x:v>
      </x:c>
      <x:c r="K968" s="274" t="n">
        <x:v>610</x:v>
      </x:c>
      <x:c r="M968" s="274" t="s">
        <x:v>2120</x:v>
      </x:c>
      <x:c r="N968" s="274" t="s">
        <x:v>299</x:v>
      </x:c>
    </x:row>
    <x:row r="969" spans="1:14">
      <x:c r="A969" s="274" t="s">
        <x:v>2121</x:v>
      </x:c>
      <x:c r="B969" s="274" t="n">
        <x:v>0.35</x:v>
      </x:c>
      <x:c r="C969" s="274" t="n">
        <x:v>0</x:v>
      </x:c>
      <x:c r="D969" s="274" t="n">
        <x:v>0</x:v>
      </x:c>
      <x:c r="F969" s="274" t="s">
        <x:v>123</x:v>
      </x:c>
      <x:c r="G969" s="274" t="s">
        <x:v>129</x:v>
      </x:c>
      <x:c r="H969" s="274" t="n">
        <x:v>45</x:v>
      </x:c>
      <x:c r="I969" s="274" t="n">
        <x:v>0.6</x:v>
      </x:c>
      <x:c r="J969" s="274" t="n">
        <x:v>72</x:v>
      </x:c>
      <x:c r="K969" s="274" t="n">
        <x:v>1020</x:v>
      </x:c>
      <x:c r="M969" s="274" t="s">
        <x:v>2122</x:v>
      </x:c>
      <x:c r="N969" s="274" t="s">
        <x:v>299</x:v>
      </x:c>
    </x:row>
    <x:row r="970" spans="1:14">
      <x:c r="A970" s="274" t="s">
        <x:v>2123</x:v>
      </x:c>
      <x:c r="B970" s="274" t="n">
        <x:v>0.29</x:v>
      </x:c>
      <x:c r="C970" s="274" t="n">
        <x:v>0</x:v>
      </x:c>
      <x:c r="D970" s="274" t="n">
        <x:v>0</x:v>
      </x:c>
      <x:c r="F970" s="274" t="s">
        <x:v>123</x:v>
      </x:c>
      <x:c r="G970" s="274" t="s">
        <x:v>129</x:v>
      </x:c>
      <x:c r="H970" s="274" t="n">
        <x:v>45</x:v>
      </x:c>
      <x:c r="I970" s="274" t="n">
        <x:v>0.6</x:v>
      </x:c>
      <x:c r="J970" s="274" t="n">
        <x:v>114</x:v>
      </x:c>
      <x:c r="K970" s="274" t="n">
        <x:v>525</x:v>
      </x:c>
      <x:c r="M970" s="274" t="s">
        <x:v>2124</x:v>
      </x:c>
      <x:c r="N970" s="274" t="s">
        <x:v>299</x:v>
      </x:c>
    </x:row>
    <x:row r="971" spans="1:14">
      <x:c r="A971" s="274" t="s">
        <x:v>2125</x:v>
      </x:c>
      <x:c r="B971" s="274" t="n">
        <x:v>2.54</x:v>
      </x:c>
      <x:c r="C971" s="274" t="n">
        <x:v>0</x:v>
      </x:c>
      <x:c r="D971" s="274" t="n">
        <x:v>40</x:v>
      </x:c>
      <x:c r="E971" s="274" t="n">
        <x:v>0</x:v>
      </x:c>
      <x:c r="F971" s="274" t="s">
        <x:v>333</x:v>
      </x:c>
      <x:c r="G971" s="274" t="s">
        <x:v>124</x:v>
      </x:c>
      <x:c r="I971" s="274" t="n">
        <x:v>1</x:v>
      </x:c>
      <x:c r="J971" s="274" t="n">
        <x:v>1192</x:v>
      </x:c>
      <x:c r="K971" s="274" t="n">
        <x:v>358</x:v>
      </x:c>
      <x:c r="L971" s="274" t="n">
        <x:v>184</x:v>
      </x:c>
      <x:c r="M971" s="274" t="s">
        <x:v>2126</x:v>
      </x:c>
      <x:c r="N971" s="274" t="s">
        <x:v>299</x:v>
      </x:c>
    </x:row>
    <x:row r="972" spans="1:14">
      <x:c r="A972" s="274" t="s">
        <x:v>2127</x:v>
      </x:c>
      <x:c r="B972" s="274" t="n">
        <x:v>2.23</x:v>
      </x:c>
      <x:c r="C972" s="274" t="n">
        <x:v>0</x:v>
      </x:c>
      <x:c r="D972" s="274" t="n">
        <x:v>0</x:v>
      </x:c>
      <x:c r="F972" s="274" t="s">
        <x:v>133</x:v>
      </x:c>
      <x:c r="G972" s="274" t="s">
        <x:v>144</x:v>
      </x:c>
      <x:c r="H972" s="274" t="n">
        <x:v>45</x:v>
      </x:c>
      <x:c r="I972" s="274" t="n">
        <x:v>1.2</x:v>
      </x:c>
      <x:c r="J972" s="274" t="n">
        <x:v>240</x:v>
      </x:c>
      <x:c r="K972" s="274" t="n">
        <x:v>975</x:v>
      </x:c>
      <x:c r="M972" s="274" t="s">
        <x:v>2128</x:v>
      </x:c>
      <x:c r="N972" s="274" t="s">
        <x:v>870</x:v>
      </x:c>
    </x:row>
    <x:row r="973" spans="1:14">
      <x:c r="A973" s="274" t="s">
        <x:v>2129</x:v>
      </x:c>
      <x:c r="B973" s="274" t="n">
        <x:v>0.92</x:v>
      </x:c>
      <x:c r="C973" s="274" t="n">
        <x:v>0</x:v>
      </x:c>
      <x:c r="D973" s="274" t="n">
        <x:v>0</x:v>
      </x:c>
      <x:c r="F973" s="274" t="s">
        <x:v>123</x:v>
      </x:c>
      <x:c r="G973" s="274" t="s">
        <x:v>209</x:v>
      </x:c>
      <x:c r="I973" s="274" t="n">
        <x:v>1</x:v>
      </x:c>
      <x:c r="J973" s="274" t="n">
        <x:v>1130</x:v>
      </x:c>
      <x:c r="K973" s="274" t="n">
        <x:v>104</x:v>
      </x:c>
      <x:c r="M973" s="274" t="s">
        <x:v>2130</x:v>
      </x:c>
      <x:c r="N973" s="274" t="s">
        <x:v>162</x:v>
      </x:c>
    </x:row>
    <x:row r="974" spans="1:14">
      <x:c r="A974" s="274" t="s">
        <x:v>2131</x:v>
      </x:c>
      <x:c r="B974" s="274" t="n">
        <x:v>0.51</x:v>
      </x:c>
      <x:c r="C974" s="274" t="n">
        <x:v>0</x:v>
      </x:c>
      <x:c r="D974" s="274" t="n">
        <x:v>0</x:v>
      </x:c>
      <x:c r="F974" s="274" t="s">
        <x:v>123</x:v>
      </x:c>
      <x:c r="G974" s="274" t="s">
        <x:v>129</x:v>
      </x:c>
      <x:c r="H974" s="274" t="n">
        <x:v>45</x:v>
      </x:c>
      <x:c r="I974" s="274" t="n">
        <x:v>0.7</x:v>
      </x:c>
      <x:c r="J974" s="274" t="n">
        <x:v>222</x:v>
      </x:c>
      <x:c r="K974" s="274" t="n">
        <x:v>415</x:v>
      </x:c>
      <x:c r="M974" s="274" t="s">
        <x:v>1112</x:v>
      </x:c>
      <x:c r="N974" s="274" t="s">
        <x:v>299</x:v>
      </x:c>
    </x:row>
    <x:row r="975" spans="1:14">
      <x:c r="A975" s="274" t="s">
        <x:v>2132</x:v>
      </x:c>
      <x:c r="B975" s="274" t="n">
        <x:v>0.26</x:v>
      </x:c>
      <x:c r="C975" s="274" t="n">
        <x:v>0</x:v>
      </x:c>
      <x:c r="D975" s="274" t="n">
        <x:v>0</x:v>
      </x:c>
      <x:c r="F975" s="274" t="s">
        <x:v>123</x:v>
      </x:c>
      <x:c r="G975" s="274" t="s">
        <x:v>129</x:v>
      </x:c>
      <x:c r="H975" s="274" t="n">
        <x:v>45</x:v>
      </x:c>
      <x:c r="I975" s="274" t="n">
        <x:v>0.7</x:v>
      </x:c>
      <x:c r="J975" s="274" t="n">
        <x:v>75</x:v>
      </x:c>
      <x:c r="K975" s="274" t="n">
        <x:v>626</x:v>
      </x:c>
      <x:c r="M975" s="274" t="s">
        <x:v>2133</x:v>
      </x:c>
      <x:c r="N975" s="274" t="s">
        <x:v>155</x:v>
      </x:c>
    </x:row>
    <x:row r="976" spans="1:14">
      <x:c r="A976" s="274" t="s">
        <x:v>2134</x:v>
      </x:c>
      <x:c r="B976" s="274" t="n">
        <x:v>6.32</x:v>
      </x:c>
      <x:c r="C976" s="274" t="n">
        <x:v>0</x:v>
      </x:c>
      <x:c r="D976" s="274" t="n">
        <x:v>0</x:v>
      </x:c>
      <x:c r="E976" s="274" t="n">
        <x:v>0</x:v>
      </x:c>
      <x:c r="F976" s="274" t="s">
        <x:v>133</x:v>
      </x:c>
      <x:c r="G976" s="274" t="s">
        <x:v>136</x:v>
      </x:c>
      <x:c r="H976" s="274" t="s">
        <x:v>285</x:v>
      </x:c>
      <x:c r="I976" s="274" t="n">
        <x:v>0.65</x:v>
      </x:c>
      <x:c r="J976" s="274" t="n">
        <x:v>930</x:v>
      </x:c>
      <x:c r="K976" s="274" t="n">
        <x:v>1457.3</x:v>
      </x:c>
      <x:c r="L976" s="274" t="n">
        <x:v>1162.7</x:v>
      </x:c>
      <x:c r="M976" s="274" t="s">
        <x:v>2135</x:v>
      </x:c>
      <x:c r="N976" s="274" t="s">
        <x:v>480</x:v>
      </x:c>
    </x:row>
    <x:row r="977" spans="1:14">
      <x:c r="A977" s="274" t="s">
        <x:v>2136</x:v>
      </x:c>
      <x:c r="B977" s="274" t="n">
        <x:v>1.37</x:v>
      </x:c>
      <x:c r="C977" s="274" t="n">
        <x:v>0</x:v>
      </x:c>
      <x:c r="D977" s="274" t="n">
        <x:v>0</x:v>
      </x:c>
      <x:c r="F977" s="274" t="s">
        <x:v>123</x:v>
      </x:c>
      <x:c r="G977" s="274" t="s">
        <x:v>129</x:v>
      </x:c>
      <x:c r="H977" s="274" t="n">
        <x:v>45</x:v>
      </x:c>
      <x:c r="I977" s="274" t="n">
        <x:v>0.6</x:v>
      </x:c>
      <x:c r="J977" s="274" t="n">
        <x:v>270</x:v>
      </x:c>
      <x:c r="K977" s="274" t="n">
        <x:v>1060</x:v>
      </x:c>
      <x:c r="M977" s="274" t="s">
        <x:v>1106</x:v>
      </x:c>
    </x:row>
    <x:row r="978" spans="1:14">
      <x:c r="A978" s="274" t="s">
        <x:v>2137</x:v>
      </x:c>
      <x:c r="B978" s="274" t="n">
        <x:v>0.83</x:v>
      </x:c>
      <x:c r="C978" s="274" t="n">
        <x:v>0</x:v>
      </x:c>
      <x:c r="D978" s="274" t="n">
        <x:v>0</x:v>
      </x:c>
      <x:c r="F978" s="274" t="s">
        <x:v>184</x:v>
      </x:c>
      <x:c r="G978" s="274" t="s">
        <x:v>129</x:v>
      </x:c>
      <x:c r="H978" s="274" t="n">
        <x:v>45</x:v>
      </x:c>
      <x:c r="I978" s="274" t="n">
        <x:v>1.6</x:v>
      </x:c>
      <x:c r="J978" s="274" t="n">
        <x:v>150</x:v>
      </x:c>
      <x:c r="K978" s="274" t="n">
        <x:v>440</x:v>
      </x:c>
      <x:c r="M978" s="274" t="s">
        <x:v>2138</x:v>
      </x:c>
      <x:c r="N978" s="274" t="s">
        <x:v>870</x:v>
      </x:c>
    </x:row>
    <x:row r="979" spans="1:14">
      <x:c r="A979" s="274" t="s">
        <x:v>2139</x:v>
      </x:c>
      <x:c r="B979" s="274" t="n">
        <x:v>2.16</x:v>
      </x:c>
      <x:c r="C979" s="274" t="n">
        <x:v>0</x:v>
      </x:c>
      <x:c r="D979" s="274" t="n">
        <x:v>0</x:v>
      </x:c>
      <x:c r="F979" s="274" t="s">
        <x:v>123</x:v>
      </x:c>
      <x:c r="G979" s="274" t="s">
        <x:v>124</x:v>
      </x:c>
      <x:c r="I979" s="274" t="n">
        <x:v>1.2</x:v>
      </x:c>
      <x:c r="J979" s="274" t="n">
        <x:v>215</x:v>
      </x:c>
      <x:c r="K979" s="274" t="n">
        <x:v>1065</x:v>
      </x:c>
      <x:c r="M979" s="274" t="s">
        <x:v>2140</x:v>
      </x:c>
      <x:c r="N979" s="274" t="s">
        <x:v>870</x:v>
      </x:c>
    </x:row>
    <x:row r="980" spans="1:14">
      <x:c r="A980" s="274" t="s">
        <x:v>2141</x:v>
      </x:c>
      <x:c r="B980" s="274" t="n">
        <x:v>1.12</x:v>
      </x:c>
      <x:c r="C980" s="274" t="n">
        <x:v>0</x:v>
      </x:c>
      <x:c r="D980" s="274" t="n">
        <x:v>0</x:v>
      </x:c>
      <x:c r="F980" s="274" t="s">
        <x:v>133</x:v>
      </x:c>
      <x:c r="G980" s="274" t="s">
        <x:v>136</x:v>
      </x:c>
      <x:c r="H980" s="274" t="n">
        <x:v>45</x:v>
      </x:c>
      <x:c r="I980" s="274" t="n">
        <x:v>1.2</x:v>
      </x:c>
      <x:c r="J980" s="274" t="n">
        <x:v>94</x:v>
      </x:c>
      <x:c r="K980" s="274" t="n">
        <x:v>1250</x:v>
      </x:c>
      <x:c r="M980" s="274" t="s">
        <x:v>2142</x:v>
      </x:c>
      <x:c r="N980" s="274" t="s">
        <x:v>870</x:v>
      </x:c>
    </x:row>
    <x:row r="981" spans="1:14">
      <x:c r="A981" s="274" t="s">
        <x:v>2143</x:v>
      </x:c>
      <x:c r="B981" s="274" t="n">
        <x:v>2.69</x:v>
      </x:c>
      <x:c r="C981" s="274" t="n">
        <x:v>0</x:v>
      </x:c>
      <x:c r="D981" s="274" t="n">
        <x:v>0</x:v>
      </x:c>
      <x:c r="F981" s="274" t="s">
        <x:v>311</x:v>
      </x:c>
      <x:c r="G981" s="274" t="s">
        <x:v>496</x:v>
      </x:c>
      <x:c r="H981" s="274" t="n">
        <x:v>45</x:v>
      </x:c>
      <x:c r="I981" s="274" t="n">
        <x:v>3.2</x:v>
      </x:c>
      <x:c r="J981" s="274" t="n">
        <x:v>90</x:v>
      </x:c>
      <x:c r="K981" s="274" t="n">
        <x:v>1184</x:v>
      </x:c>
      <x:c r="M981" s="274" t="s">
        <x:v>2144</x:v>
      </x:c>
      <x:c r="N981" s="274" t="s">
        <x:v>870</x:v>
      </x:c>
    </x:row>
    <x:row r="982" spans="1:14">
      <x:c r="A982" s="274" t="s">
        <x:v>2145</x:v>
      </x:c>
      <x:c r="B982" s="274" t="n">
        <x:v>1.63</x:v>
      </x:c>
      <x:c r="C982" s="274" t="n">
        <x:v>0</x:v>
      </x:c>
      <x:c r="D982" s="274" t="n">
        <x:v>0</x:v>
      </x:c>
      <x:c r="F982" s="274" t="s">
        <x:v>123</x:v>
      </x:c>
      <x:c r="G982" s="274" t="s">
        <x:v>153</x:v>
      </x:c>
      <x:c r="I982" s="274" t="n">
        <x:v>2</x:v>
      </x:c>
      <x:c r="J982" s="274" t="n">
        <x:v>85</x:v>
      </x:c>
      <x:c r="K982" s="274" t="n">
        <x:v>1219</x:v>
      </x:c>
      <x:c r="M982" s="274" t="s">
        <x:v>2146</x:v>
      </x:c>
      <x:c r="N982" s="274" t="s">
        <x:v>870</x:v>
      </x:c>
    </x:row>
    <x:row r="983" spans="1:14">
      <x:c r="A983" s="274" t="s">
        <x:v>2147</x:v>
      </x:c>
      <x:c r="B983" s="274" t="n">
        <x:v>3.38</x:v>
      </x:c>
      <x:c r="C983" s="274" t="n">
        <x:v>0</x:v>
      </x:c>
      <x:c r="D983" s="274" t="n">
        <x:v>0</x:v>
      </x:c>
      <x:c r="F983" s="274" t="s">
        <x:v>133</x:v>
      </x:c>
      <x:c r="G983" s="274" t="s">
        <x:v>148</x:v>
      </x:c>
      <x:c r="I983" s="274" t="n">
        <x:v>5</x:v>
      </x:c>
      <x:c r="J983" s="274" t="n">
        <x:v>1075</x:v>
      </x:c>
      <x:c r="K983" s="274" t="n">
        <x:v>80</x:v>
      </x:c>
      <x:c r="M983" s="274" t="s">
        <x:v>2148</x:v>
      </x:c>
      <x:c r="N983" s="274" t="s">
        <x:v>162</x:v>
      </x:c>
    </x:row>
    <x:row r="984" spans="1:14">
      <x:c r="A984" s="274" t="s">
        <x:v>2149</x:v>
      </x:c>
      <x:c r="B984" s="274" t="n">
        <x:v>1.39</x:v>
      </x:c>
      <x:c r="C984" s="274" t="n">
        <x:v>0</x:v>
      </x:c>
      <x:c r="D984" s="274" t="n">
        <x:v>0</x:v>
      </x:c>
      <x:c r="F984" s="274" t="s">
        <x:v>133</x:v>
      </x:c>
      <x:c r="G984" s="274" t="s">
        <x:v>124</x:v>
      </x:c>
      <x:c r="I984" s="274" t="n">
        <x:v>1.2</x:v>
      </x:c>
      <x:c r="J984" s="274" t="n">
        <x:v>118</x:v>
      </x:c>
      <x:c r="K984" s="274" t="n">
        <x:v>1250</x:v>
      </x:c>
    </x:row>
    <x:row r="985" spans="1:14">
      <x:c r="A985" s="274" t="s">
        <x:v>2150</x:v>
      </x:c>
      <x:c r="B985" s="274" t="n">
        <x:v>0.96</x:v>
      </x:c>
      <x:c r="C985" s="274" t="n">
        <x:v>0</x:v>
      </x:c>
      <x:c r="D985" s="274" t="n">
        <x:v>35</x:v>
      </x:c>
      <x:c r="E985" s="274" t="n">
        <x:v>33</x:v>
      </x:c>
      <x:c r="F985" s="274" t="s">
        <x:v>333</x:v>
      </x:c>
      <x:c r="G985" s="274" t="s">
        <x:v>153</x:v>
      </x:c>
      <x:c r="I985" s="274" t="n">
        <x:v>1.4</x:v>
      </x:c>
      <x:c r="J985" s="274" t="n">
        <x:v>426</x:v>
      </x:c>
      <x:c r="K985" s="274" t="n">
        <x:v>206</x:v>
      </x:c>
      <x:c r="M985" s="274" t="s">
        <x:v>2151</x:v>
      </x:c>
      <x:c r="N985" s="274" t="s">
        <x:v>131</x:v>
      </x:c>
    </x:row>
    <x:row r="986" spans="1:14">
      <x:c r="A986" s="274" t="s">
        <x:v>2152</x:v>
      </x:c>
      <x:c r="B986" s="274" t="n">
        <x:v>1.53</x:v>
      </x:c>
      <x:c r="C986" s="274" t="n">
        <x:v>0</x:v>
      </x:c>
      <x:c r="D986" s="274" t="n">
        <x:v>0</x:v>
      </x:c>
      <x:c r="F986" s="274" t="s">
        <x:v>333</x:v>
      </x:c>
      <x:c r="G986" s="274" t="s">
        <x:v>2153</x:v>
      </x:c>
      <x:c r="I986" s="274" t="n">
        <x:v>0.7</x:v>
      </x:c>
      <x:c r="J986" s="274" t="n">
        <x:v>321</x:v>
      </x:c>
      <x:c r="K986" s="274" t="n">
        <x:v>866</x:v>
      </x:c>
      <x:c r="M986" s="274" t="s">
        <x:v>2154</x:v>
      </x:c>
      <x:c r="N986" s="274" t="s">
        <x:v>2155</x:v>
      </x:c>
    </x:row>
    <x:row r="987" spans="1:14">
      <x:c r="A987" s="274" t="s">
        <x:v>2156</x:v>
      </x:c>
      <x:c r="B987" s="274" t="n">
        <x:v>1.45</x:v>
      </x:c>
      <x:c r="C987" s="274" t="n">
        <x:v>0</x:v>
      </x:c>
      <x:c r="D987" s="274" t="n">
        <x:v>0</x:v>
      </x:c>
      <x:c r="F987" s="274" t="s">
        <x:v>333</x:v>
      </x:c>
      <x:c r="G987" s="274" t="s">
        <x:v>2157</x:v>
      </x:c>
      <x:c r="I987" s="274" t="n">
        <x:v>0.6</x:v>
      </x:c>
      <x:c r="J987" s="274" t="n">
        <x:v>1115</x:v>
      </x:c>
      <x:c r="K987" s="274" t="n">
        <x:v>276</x:v>
      </x:c>
      <x:c r="M987" s="274" t="s">
        <x:v>2158</x:v>
      </x:c>
      <x:c r="N987" s="274" t="s">
        <x:v>2155</x:v>
      </x:c>
    </x:row>
    <x:row r="988" spans="1:14">
      <x:c r="A988" s="274" t="s">
        <x:v>2159</x:v>
      </x:c>
      <x:c r="B988" s="274" t="n">
        <x:v>1.48</x:v>
      </x:c>
      <x:c r="C988" s="274" t="n">
        <x:v>0</x:v>
      </x:c>
      <x:c r="D988" s="274" t="n">
        <x:v>0</x:v>
      </x:c>
      <x:c r="F988" s="274" t="s">
        <x:v>333</x:v>
      </x:c>
      <x:c r="G988" s="274" t="s">
        <x:v>2160</x:v>
      </x:c>
      <x:c r="I988" s="274" t="n">
        <x:v>0.8</x:v>
      </x:c>
      <x:c r="J988" s="274" t="n">
        <x:v>188</x:v>
      </x:c>
      <x:c r="K988" s="274" t="n">
        <x:v>1250</x:v>
      </x:c>
      <x:c r="M988" s="274" t="s">
        <x:v>2161</x:v>
      </x:c>
      <x:c r="N988" s="274" t="s">
        <x:v>2155</x:v>
      </x:c>
    </x:row>
    <x:row r="989" spans="1:14">
      <x:c r="A989" s="274" t="s">
        <x:v>2162</x:v>
      </x:c>
      <x:c r="B989" s="274" t="n">
        <x:v>1.48</x:v>
      </x:c>
      <x:c r="C989" s="274" t="n">
        <x:v>0</x:v>
      </x:c>
      <x:c r="D989" s="274" t="n">
        <x:v>0</x:v>
      </x:c>
      <x:c r="F989" s="274" t="s">
        <x:v>333</x:v>
      </x:c>
      <x:c r="G989" s="274" t="s">
        <x:v>2160</x:v>
      </x:c>
      <x:c r="I989" s="274" t="n">
        <x:v>0.8</x:v>
      </x:c>
      <x:c r="J989" s="274" t="n">
        <x:v>188</x:v>
      </x:c>
      <x:c r="K989" s="274" t="n">
        <x:v>1250</x:v>
      </x:c>
      <x:c r="M989" s="274" t="s">
        <x:v>2163</x:v>
      </x:c>
      <x:c r="N989" s="274" t="s">
        <x:v>2155</x:v>
      </x:c>
    </x:row>
    <x:row r="990" spans="1:14">
      <x:c r="A990" s="274" t="s">
        <x:v>2164</x:v>
      </x:c>
      <x:c r="B990" s="274" t="n">
        <x:v>2.09</x:v>
      </x:c>
      <x:c r="C990" s="274" t="n">
        <x:v>0</x:v>
      </x:c>
      <x:c r="D990" s="274" t="n">
        <x:v>0</x:v>
      </x:c>
      <x:c r="F990" s="274" t="s">
        <x:v>333</x:v>
      </x:c>
      <x:c r="G990" s="274" t="s">
        <x:v>2160</x:v>
      </x:c>
      <x:c r="I990" s="274" t="n">
        <x:v>0.8</x:v>
      </x:c>
      <x:c r="J990" s="274" t="n">
        <x:v>277</x:v>
      </x:c>
      <x:c r="K990" s="274" t="n">
        <x:v>1200</x:v>
      </x:c>
      <x:c r="M990" s="274" t="s">
        <x:v>2165</x:v>
      </x:c>
      <x:c r="N990" s="274" t="s">
        <x:v>2155</x:v>
      </x:c>
    </x:row>
    <x:row r="991" spans="1:14">
      <x:c r="A991" s="274" t="s">
        <x:v>2166</x:v>
      </x:c>
      <x:c r="B991" s="274" t="n">
        <x:v>2.09</x:v>
      </x:c>
      <x:c r="C991" s="274" t="n">
        <x:v>0</x:v>
      </x:c>
      <x:c r="D991" s="274" t="n">
        <x:v>0</x:v>
      </x:c>
      <x:c r="F991" s="274" t="s">
        <x:v>333</x:v>
      </x:c>
      <x:c r="G991" s="274" t="s">
        <x:v>2160</x:v>
      </x:c>
      <x:c r="I991" s="274" t="n">
        <x:v>0.8</x:v>
      </x:c>
      <x:c r="J991" s="274" t="n">
        <x:v>277</x:v>
      </x:c>
      <x:c r="K991" s="274" t="n">
        <x:v>1200</x:v>
      </x:c>
      <x:c r="M991" s="274" t="s">
        <x:v>2167</x:v>
      </x:c>
      <x:c r="N991" s="274" t="s">
        <x:v>2155</x:v>
      </x:c>
    </x:row>
    <x:row r="992" spans="1:14">
      <x:c r="A992" s="274" t="s">
        <x:v>2168</x:v>
      </x:c>
      <x:c r="B992" s="274" t="n">
        <x:v>1.28</x:v>
      </x:c>
      <x:c r="C992" s="274" t="n">
        <x:v>0</x:v>
      </x:c>
      <x:c r="D992" s="274" t="n">
        <x:v>0</x:v>
      </x:c>
      <x:c r="F992" s="274" t="s">
        <x:v>333</x:v>
      </x:c>
      <x:c r="G992" s="274" t="s">
        <x:v>2160</x:v>
      </x:c>
      <x:c r="I992" s="274" t="n">
        <x:v>0.8</x:v>
      </x:c>
      <x:c r="J992" s="274" t="n">
        <x:v>170</x:v>
      </x:c>
      <x:c r="K992" s="274" t="n">
        <x:v>1200</x:v>
      </x:c>
      <x:c r="M992" s="274" t="s">
        <x:v>2169</x:v>
      </x:c>
      <x:c r="N992" s="274" t="s">
        <x:v>2155</x:v>
      </x:c>
    </x:row>
    <x:row r="993" spans="1:14">
      <x:c r="A993" s="274" t="s">
        <x:v>2170</x:v>
      </x:c>
      <x:c r="B993" s="274" t="n">
        <x:v>1.28</x:v>
      </x:c>
      <x:c r="C993" s="274" t="n">
        <x:v>0</x:v>
      </x:c>
      <x:c r="D993" s="274" t="n">
        <x:v>0</x:v>
      </x:c>
      <x:c r="F993" s="274" t="s">
        <x:v>333</x:v>
      </x:c>
      <x:c r="G993" s="274" t="s">
        <x:v>2160</x:v>
      </x:c>
      <x:c r="I993" s="274" t="n">
        <x:v>0.8</x:v>
      </x:c>
      <x:c r="J993" s="274" t="n">
        <x:v>170</x:v>
      </x:c>
      <x:c r="K993" s="274" t="n">
        <x:v>1200</x:v>
      </x:c>
      <x:c r="M993" s="274" t="s">
        <x:v>2171</x:v>
      </x:c>
      <x:c r="N993" s="274" t="s">
        <x:v>2155</x:v>
      </x:c>
    </x:row>
    <x:row r="994" spans="1:14">
      <x:c r="A994" s="274" t="s">
        <x:v>2172</x:v>
      </x:c>
      <x:c r="B994" s="274" t="n">
        <x:v>2.06</x:v>
      </x:c>
      <x:c r="C994" s="274" t="n">
        <x:v>0</x:v>
      </x:c>
      <x:c r="D994" s="274" t="n">
        <x:v>0</x:v>
      </x:c>
      <x:c r="F994" s="274" t="s">
        <x:v>333</x:v>
      </x:c>
      <x:c r="G994" s="274" t="s">
        <x:v>2160</x:v>
      </x:c>
      <x:c r="I994" s="274" t="n">
        <x:v>0.8</x:v>
      </x:c>
      <x:c r="J994" s="274" t="n">
        <x:v>263</x:v>
      </x:c>
      <x:c r="K994" s="274" t="n">
        <x:v>1250</x:v>
      </x:c>
      <x:c r="M994" s="274" t="s">
        <x:v>2173</x:v>
      </x:c>
      <x:c r="N994" s="274" t="s">
        <x:v>2155</x:v>
      </x:c>
    </x:row>
    <x:row r="995" spans="1:14">
      <x:c r="A995" s="274" t="s">
        <x:v>2174</x:v>
      </x:c>
      <x:c r="B995" s="274" t="n">
        <x:v>2.06</x:v>
      </x:c>
      <x:c r="C995" s="274" t="n">
        <x:v>0</x:v>
      </x:c>
      <x:c r="D995" s="274" t="n">
        <x:v>0</x:v>
      </x:c>
      <x:c r="F995" s="274" t="s">
        <x:v>333</x:v>
      </x:c>
      <x:c r="G995" s="274" t="s">
        <x:v>2160</x:v>
      </x:c>
      <x:c r="I995" s="274" t="n">
        <x:v>0.8</x:v>
      </x:c>
      <x:c r="J995" s="274" t="n">
        <x:v>263</x:v>
      </x:c>
      <x:c r="K995" s="274" t="n">
        <x:v>1250</x:v>
      </x:c>
      <x:c r="M995" s="274" t="s">
        <x:v>2175</x:v>
      </x:c>
      <x:c r="N995" s="274" t="s">
        <x:v>2155</x:v>
      </x:c>
    </x:row>
    <x:row r="996" spans="1:14">
      <x:c r="A996" s="274" t="s">
        <x:v>2176</x:v>
      </x:c>
      <x:c r="B996" s="274" t="n">
        <x:v>1.47</x:v>
      </x:c>
      <x:c r="C996" s="274" t="n">
        <x:v>0</x:v>
      </x:c>
      <x:c r="D996" s="274" t="n">
        <x:v>0</x:v>
      </x:c>
      <x:c r="F996" s="274" t="s">
        <x:v>333</x:v>
      </x:c>
      <x:c r="G996" s="274" t="s">
        <x:v>2160</x:v>
      </x:c>
      <x:c r="I996" s="274" t="n">
        <x:v>1</x:v>
      </x:c>
      <x:c r="J996" s="274" t="n">
        <x:v>170</x:v>
      </x:c>
      <x:c r="K996" s="274" t="n">
        <x:v>1100</x:v>
      </x:c>
      <x:c r="M996" s="274" t="s">
        <x:v>2177</x:v>
      </x:c>
      <x:c r="N996" s="274" t="s">
        <x:v>2155</x:v>
      </x:c>
    </x:row>
    <x:row r="997" spans="1:14">
      <x:c r="A997" s="274" t="s">
        <x:v>2178</x:v>
      </x:c>
      <x:c r="B997" s="274" t="n">
        <x:v>0.51</x:v>
      </x:c>
      <x:c r="C997" s="274" t="n">
        <x:v>0</x:v>
      </x:c>
      <x:c r="D997" s="274" t="n">
        <x:v>0</x:v>
      </x:c>
      <x:c r="F997" s="274" t="s">
        <x:v>333</x:v>
      </x:c>
      <x:c r="G997" s="274" t="s">
        <x:v>2153</x:v>
      </x:c>
      <x:c r="I997" s="274" t="n">
        <x:v>0.6</x:v>
      </x:c>
      <x:c r="J997" s="274" t="n">
        <x:v>1081</x:v>
      </x:c>
      <x:c r="K997" s="274" t="n">
        <x:v>100</x:v>
      </x:c>
      <x:c r="M997" s="274" t="s">
        <x:v>2179</x:v>
      </x:c>
      <x:c r="N997" s="274" t="s">
        <x:v>2155</x:v>
      </x:c>
    </x:row>
    <x:row r="998" spans="1:14">
      <x:c r="A998" s="274" t="s">
        <x:v>2180</x:v>
      </x:c>
      <x:c r="B998" s="274" t="n">
        <x:v>0.49</x:v>
      </x:c>
      <x:c r="C998" s="274" t="n">
        <x:v>0</x:v>
      </x:c>
      <x:c r="D998" s="274" t="n">
        <x:v>0</x:v>
      </x:c>
      <x:c r="F998" s="274" t="s">
        <x:v>333</x:v>
      </x:c>
      <x:c r="G998" s="274" t="s">
        <x:v>2153</x:v>
      </x:c>
      <x:c r="I998" s="274" t="n">
        <x:v>0.6</x:v>
      </x:c>
      <x:c r="J998" s="274" t="n">
        <x:v>1072</x:v>
      </x:c>
      <x:c r="K998" s="274" t="n">
        <x:v>98</x:v>
      </x:c>
      <x:c r="M998" s="274" t="s">
        <x:v>2181</x:v>
      </x:c>
      <x:c r="N998" s="274" t="s">
        <x:v>2155</x:v>
      </x:c>
    </x:row>
    <x:row r="999" spans="1:14">
      <x:c r="A999" s="274" t="s">
        <x:v>2182</x:v>
      </x:c>
      <x:c r="B999" s="274" t="n">
        <x:v>0.49</x:v>
      </x:c>
      <x:c r="C999" s="274" t="n">
        <x:v>0</x:v>
      </x:c>
      <x:c r="D999" s="274" t="n">
        <x:v>0</x:v>
      </x:c>
      <x:c r="F999" s="274" t="s">
        <x:v>333</x:v>
      </x:c>
      <x:c r="G999" s="274" t="s">
        <x:v>2153</x:v>
      </x:c>
      <x:c r="I999" s="274" t="n">
        <x:v>0.6</x:v>
      </x:c>
      <x:c r="J999" s="274" t="n">
        <x:v>1072</x:v>
      </x:c>
      <x:c r="K999" s="274" t="n">
        <x:v>97</x:v>
      </x:c>
      <x:c r="M999" s="274" t="s">
        <x:v>2183</x:v>
      </x:c>
      <x:c r="N999" s="274" t="s">
        <x:v>2155</x:v>
      </x:c>
    </x:row>
    <x:row r="1000" spans="1:14">
      <x:c r="A1000" s="274" t="s">
        <x:v>2184</x:v>
      </x:c>
      <x:c r="B1000" s="274" t="n">
        <x:v>3.35</x:v>
      </x:c>
      <x:c r="C1000" s="274" t="n">
        <x:v>0</x:v>
      </x:c>
      <x:c r="D1000" s="274" t="n">
        <x:v>50</x:v>
      </x:c>
      <x:c r="E1000" s="274" t="n">
        <x:v>0</x:v>
      </x:c>
      <x:c r="F1000" s="274" t="s">
        <x:v>133</x:v>
      </x:c>
      <x:c r="G1000" s="274" t="s">
        <x:v>136</x:v>
      </x:c>
      <x:c r="H1000" s="274" t="n">
        <x:v>45</x:v>
      </x:c>
      <x:c r="I1000" s="274" t="n">
        <x:v>1.4</x:v>
      </x:c>
      <x:c r="J1000" s="274" t="n">
        <x:v>526</x:v>
      </x:c>
      <x:c r="K1000" s="274" t="n">
        <x:v>664.5</x:v>
      </x:c>
      <x:c r="L1000" s="274" t="n">
        <x:v>484</x:v>
      </x:c>
      <x:c r="M1000" s="274" t="s">
        <x:v>2185</x:v>
      </x:c>
      <x:c r="N1000" s="274" t="s">
        <x:v>1236</x:v>
      </x:c>
    </x:row>
    <x:row r="1001" spans="1:14">
      <x:c r="A1001" s="274" t="s">
        <x:v>2186</x:v>
      </x:c>
      <x:c r="B1001" s="274" t="n">
        <x:v>1.04</x:v>
      </x:c>
      <x:c r="C1001" s="274" t="n">
        <x:v>0</x:v>
      </x:c>
      <x:c r="D1001" s="274" t="n">
        <x:v>0</x:v>
      </x:c>
      <x:c r="F1001" s="274" t="s">
        <x:v>333</x:v>
      </x:c>
      <x:c r="G1001" s="274" t="s">
        <x:v>2153</x:v>
      </x:c>
      <x:c r="I1001" s="274" t="n">
        <x:v>0.8</x:v>
      </x:c>
      <x:c r="J1001" s="274" t="n">
        <x:v>598</x:v>
      </x:c>
      <x:c r="K1001" s="274" t="n">
        <x:v>276</x:v>
      </x:c>
      <x:c r="M1001" s="274" t="s">
        <x:v>2187</x:v>
      </x:c>
      <x:c r="N1001" s="274" t="s">
        <x:v>2155</x:v>
      </x:c>
    </x:row>
    <x:row r="1002" spans="1:14">
      <x:c r="A1002" s="274" t="s">
        <x:v>2188</x:v>
      </x:c>
      <x:c r="B1002" s="274" t="n">
        <x:v>7.5</x:v>
      </x:c>
      <x:c r="C1002" s="274" t="n">
        <x:v>0</x:v>
      </x:c>
      <x:c r="D1002" s="274" t="n">
        <x:v>0</x:v>
      </x:c>
      <x:c r="F1002" s="274" t="s">
        <x:v>133</x:v>
      </x:c>
      <x:c r="G1002" s="274" t="s">
        <x:v>148</x:v>
      </x:c>
      <x:c r="I1002" s="274" t="n">
        <x:v>3.6</x:v>
      </x:c>
      <x:c r="J1002" s="274" t="n">
        <x:v>209</x:v>
      </x:c>
      <x:c r="K1002" s="274" t="n">
        <x:v>1270</x:v>
      </x:c>
      <x:c r="M1002" s="274" t="s">
        <x:v>2189</x:v>
      </x:c>
      <x:c r="N1002" s="274" t="s">
        <x:v>1274</x:v>
      </x:c>
    </x:row>
    <x:row r="1003" spans="1:14">
      <x:c r="A1003" s="274" t="s">
        <x:v>2190</x:v>
      </x:c>
      <x:c r="B1003" s="274" t="n">
        <x:v>1.69</x:v>
      </x:c>
      <x:c r="C1003" s="274" t="n">
        <x:v>0</x:v>
      </x:c>
      <x:c r="D1003" s="274" t="n">
        <x:v>0</x:v>
      </x:c>
      <x:c r="F1003" s="274" t="s">
        <x:v>333</x:v>
      </x:c>
      <x:c r="G1003" s="274" t="s">
        <x:v>124</x:v>
      </x:c>
      <x:c r="I1003" s="274" t="n">
        <x:v>1</x:v>
      </x:c>
      <x:c r="J1003" s="274" t="n">
        <x:v>190</x:v>
      </x:c>
      <x:c r="K1003" s="274" t="n">
        <x:v>1130</x:v>
      </x:c>
      <x:c r="M1003" s="274" t="s">
        <x:v>2191</x:v>
      </x:c>
    </x:row>
    <x:row r="1004" spans="1:14">
      <x:c r="A1004" s="274" t="s">
        <x:v>2192</x:v>
      </x:c>
      <x:c r="B1004" s="274" t="n">
        <x:v>0.16</x:v>
      </x:c>
      <x:c r="C1004" s="274" t="n">
        <x:v>0</x:v>
      </x:c>
      <x:c r="D1004" s="274" t="n">
        <x:v>0</x:v>
      </x:c>
      <x:c r="F1004" s="274" t="s">
        <x:v>333</x:v>
      </x:c>
      <x:c r="G1004" s="274" t="s">
        <x:v>124</x:v>
      </x:c>
      <x:c r="I1004" s="274" t="n">
        <x:v>1</x:v>
      </x:c>
      <x:c r="J1004" s="274" t="n">
        <x:v>194</x:v>
      </x:c>
      <x:c r="K1004" s="274" t="n">
        <x:v>103</x:v>
      </x:c>
      <x:c r="M1004" s="274" t="s">
        <x:v>2193</x:v>
      </x:c>
      <x:c r="N1004" s="274" t="s">
        <x:v>299</x:v>
      </x:c>
    </x:row>
    <x:row r="1005" spans="1:14">
      <x:c r="A1005" s="274" t="s">
        <x:v>2194</x:v>
      </x:c>
      <x:c r="B1005" s="274" t="n">
        <x:v>21.47</x:v>
      </x:c>
      <x:c r="C1005" s="274" t="n">
        <x:v>0</x:v>
      </x:c>
      <x:c r="D1005" s="274" t="n">
        <x:v>0</x:v>
      </x:c>
      <x:c r="F1005" s="274" t="s">
        <x:v>133</x:v>
      </x:c>
      <x:c r="G1005" s="274" t="s">
        <x:v>148</x:v>
      </x:c>
      <x:c r="I1005" s="274" t="n">
        <x:v>2.6</x:v>
      </x:c>
      <x:c r="J1005" s="274" t="n">
        <x:v>1035</x:v>
      </x:c>
      <x:c r="K1005" s="274" t="n">
        <x:v>1017</x:v>
      </x:c>
      <x:c r="M1005" s="274" t="s">
        <x:v>2195</x:v>
      </x:c>
      <x:c r="N1005" s="274" t="s">
        <x:v>2196</x:v>
      </x:c>
    </x:row>
    <x:row r="1006" spans="1:14">
      <x:c r="A1006" s="274" t="s">
        <x:v>2197</x:v>
      </x:c>
      <x:c r="B1006" s="274" t="n">
        <x:v>0.84</x:v>
      </x:c>
      <x:c r="C1006" s="274" t="n">
        <x:v>0</x:v>
      </x:c>
      <x:c r="D1006" s="274" t="n">
        <x:v>0</x:v>
      </x:c>
      <x:c r="F1006" s="274" t="s">
        <x:v>133</x:v>
      </x:c>
      <x:c r="G1006" s="274" t="s">
        <x:v>136</x:v>
      </x:c>
      <x:c r="H1006" s="274" t="n">
        <x:v>45</x:v>
      </x:c>
      <x:c r="I1006" s="274" t="n">
        <x:v>0.8</x:v>
      </x:c>
      <x:c r="J1006" s="274" t="n">
        <x:v>117</x:v>
      </x:c>
      <x:c r="K1006" s="274" t="n">
        <x:v>1125</x:v>
      </x:c>
      <x:c r="M1006" s="274" t="s">
        <x:v>2198</x:v>
      </x:c>
      <x:c r="N1006" s="274" t="s">
        <x:v>421</x:v>
      </x:c>
    </x:row>
    <x:row r="1007" spans="1:14">
      <x:c r="A1007" s="274" t="s">
        <x:v>2199</x:v>
      </x:c>
      <x:c r="B1007" s="274" t="n">
        <x:v>0</x:v>
      </x:c>
      <x:c r="C1007" s="274" t="n">
        <x:v>0</x:v>
      </x:c>
      <x:c r="D1007" s="274" t="n">
        <x:v>0</x:v>
      </x:c>
      <x:c r="F1007" s="274" t="s">
        <x:v>311</x:v>
      </x:c>
      <x:c r="G1007" s="274" t="s">
        <x:v>1728</x:v>
      </x:c>
      <x:c r="H1007" s="274" t="s">
        <x:v>1729</x:v>
      </x:c>
      <x:c r="I1007" s="274" t="n">
        <x:v>0.65</x:v>
      </x:c>
      <x:c r="J1007" s="274" t="n">
        <x:v>250</x:v>
      </x:c>
      <x:c r="K1007" s="274" t="n">
        <x:v>610</x:v>
      </x:c>
      <x:c r="M1007" s="274" t="s">
        <x:v>2200</x:v>
      </x:c>
      <x:c r="N1007" s="274" t="s">
        <x:v>202</x:v>
      </x:c>
    </x:row>
    <x:row r="1008" spans="1:14">
      <x:c r="A1008" s="274" t="s">
        <x:v>2201</x:v>
      </x:c>
      <x:c r="B1008" s="274" t="n">
        <x:v>0</x:v>
      </x:c>
      <x:c r="C1008" s="274" t="n">
        <x:v>0</x:v>
      </x:c>
      <x:c r="D1008" s="274" t="n">
        <x:v>0</x:v>
      </x:c>
      <x:c r="F1008" s="274" t="s">
        <x:v>311</x:v>
      </x:c>
      <x:c r="G1008" s="274" t="s">
        <x:v>1728</x:v>
      </x:c>
      <x:c r="H1008" s="274" t="s">
        <x:v>1729</x:v>
      </x:c>
      <x:c r="I1008" s="274" t="n">
        <x:v>0.65</x:v>
      </x:c>
      <x:c r="J1008" s="274" t="n">
        <x:v>340</x:v>
      </x:c>
      <x:c r="K1008" s="274" t="n">
        <x:v>510</x:v>
      </x:c>
      <x:c r="M1008" s="274" t="s">
        <x:v>2202</x:v>
      </x:c>
      <x:c r="N1008" s="274" t="s">
        <x:v>202</x:v>
      </x:c>
    </x:row>
    <x:row r="1009" spans="1:14">
      <x:c r="A1009" s="274" t="s">
        <x:v>2203</x:v>
      </x:c>
      <x:c r="B1009" s="274" t="n">
        <x:v>0</x:v>
      </x:c>
      <x:c r="C1009" s="274" t="n">
        <x:v>0</x:v>
      </x:c>
      <x:c r="D1009" s="274" t="n">
        <x:v>0</x:v>
      </x:c>
      <x:c r="E1009" s="274" t="n">
        <x:v>20</x:v>
      </x:c>
      <x:c r="F1009" s="274" t="s">
        <x:v>311</x:v>
      </x:c>
      <x:c r="G1009" s="274" t="s">
        <x:v>1728</x:v>
      </x:c>
      <x:c r="H1009" s="274" t="s">
        <x:v>1729</x:v>
      </x:c>
      <x:c r="I1009" s="274" t="n">
        <x:v>0.65</x:v>
      </x:c>
      <x:c r="J1009" s="274" t="n">
        <x:v>530</x:v>
      </x:c>
      <x:c r="K1009" s="274" t="n">
        <x:v>730</x:v>
      </x:c>
      <x:c r="M1009" s="274" t="s">
        <x:v>2204</x:v>
      </x:c>
      <x:c r="N1009" s="274" t="s">
        <x:v>202</x:v>
      </x:c>
    </x:row>
    <x:row r="1010" spans="1:14">
      <x:c r="A1010" s="274" t="s">
        <x:v>2205</x:v>
      </x:c>
      <x:c r="B1010" s="274" t="n">
        <x:v>0</x:v>
      </x:c>
      <x:c r="C1010" s="274" t="n">
        <x:v>0</x:v>
      </x:c>
      <x:c r="D1010" s="274" t="n">
        <x:v>0</x:v>
      </x:c>
      <x:c r="F1010" s="274" t="s">
        <x:v>311</x:v>
      </x:c>
      <x:c r="G1010" s="274" t="s">
        <x:v>1728</x:v>
      </x:c>
      <x:c r="H1010" s="274" t="s">
        <x:v>1729</x:v>
      </x:c>
      <x:c r="I1010" s="274" t="n">
        <x:v>0.65</x:v>
      </x:c>
      <x:c r="J1010" s="274" t="n">
        <x:v>430</x:v>
      </x:c>
      <x:c r="K1010" s="274" t="n">
        <x:v>740</x:v>
      </x:c>
      <x:c r="M1010" s="274" t="s">
        <x:v>2206</x:v>
      </x:c>
      <x:c r="N1010" s="274" t="s">
        <x:v>202</x:v>
      </x:c>
    </x:row>
    <x:row r="1011" spans="1:14">
      <x:c r="A1011" s="274" t="s">
        <x:v>2207</x:v>
      </x:c>
      <x:c r="B1011" s="274" t="n">
        <x:v>0</x:v>
      </x:c>
      <x:c r="C1011" s="274" t="n">
        <x:v>0</x:v>
      </x:c>
      <x:c r="D1011" s="274" t="n">
        <x:v>0</x:v>
      </x:c>
      <x:c r="F1011" s="274" t="s">
        <x:v>311</x:v>
      </x:c>
      <x:c r="G1011" s="274" t="s">
        <x:v>1728</x:v>
      </x:c>
      <x:c r="H1011" s="274" t="s">
        <x:v>1732</x:v>
      </x:c>
      <x:c r="I1011" s="274" t="n">
        <x:v>0.65</x:v>
      </x:c>
      <x:c r="J1011" s="274" t="n">
        <x:v>430</x:v>
      </x:c>
      <x:c r="K1011" s="274" t="n">
        <x:v>740</x:v>
      </x:c>
      <x:c r="M1011" s="274" t="s">
        <x:v>2208</x:v>
      </x:c>
      <x:c r="N1011" s="274" t="s">
        <x:v>202</x:v>
      </x:c>
    </x:row>
    <x:row r="1012" spans="1:14">
      <x:c r="A1012" s="274" t="s">
        <x:v>2209</x:v>
      </x:c>
      <x:c r="B1012" s="274" t="n">
        <x:v>0</x:v>
      </x:c>
      <x:c r="C1012" s="274" t="n">
        <x:v>0</x:v>
      </x:c>
      <x:c r="D1012" s="274" t="n">
        <x:v>0</x:v>
      </x:c>
      <x:c r="F1012" s="274" t="s">
        <x:v>311</x:v>
      </x:c>
      <x:c r="G1012" s="274" t="s">
        <x:v>1728</x:v>
      </x:c>
      <x:c r="H1012" s="274" t="s">
        <x:v>1732</x:v>
      </x:c>
      <x:c r="I1012" s="274" t="n">
        <x:v>0.65</x:v>
      </x:c>
      <x:c r="J1012" s="274" t="n">
        <x:v>340</x:v>
      </x:c>
      <x:c r="K1012" s="274" t="n">
        <x:v>510</x:v>
      </x:c>
      <x:c r="M1012" s="274" t="s">
        <x:v>2210</x:v>
      </x:c>
      <x:c r="N1012" s="274" t="s">
        <x:v>202</x:v>
      </x:c>
    </x:row>
    <x:row r="1013" spans="1:14">
      <x:c r="A1013" s="274" t="s">
        <x:v>2211</x:v>
      </x:c>
      <x:c r="B1013" s="274" t="n">
        <x:v>0</x:v>
      </x:c>
      <x:c r="C1013" s="274" t="n">
        <x:v>0</x:v>
      </x:c>
      <x:c r="D1013" s="274" t="n">
        <x:v>0</x:v>
      </x:c>
      <x:c r="F1013" s="274" t="s">
        <x:v>311</x:v>
      </x:c>
      <x:c r="G1013" s="274" t="s">
        <x:v>1728</x:v>
      </x:c>
      <x:c r="H1013" s="274" t="s">
        <x:v>1732</x:v>
      </x:c>
      <x:c r="I1013" s="274" t="n">
        <x:v>0.65</x:v>
      </x:c>
      <x:c r="J1013" s="274" t="n">
        <x:v>250</x:v>
      </x:c>
      <x:c r="K1013" s="274" t="n">
        <x:v>610</x:v>
      </x:c>
      <x:c r="M1013" s="274" t="s">
        <x:v>2212</x:v>
      </x:c>
      <x:c r="N1013" s="274" t="s">
        <x:v>202</x:v>
      </x:c>
    </x:row>
    <x:row r="1014" spans="1:14">
      <x:c r="A1014" s="274" t="s">
        <x:v>2213</x:v>
      </x:c>
      <x:c r="B1014" s="274" t="n">
        <x:v>0</x:v>
      </x:c>
      <x:c r="C1014" s="274" t="n">
        <x:v>0</x:v>
      </x:c>
      <x:c r="D1014" s="274" t="n">
        <x:v>0</x:v>
      </x:c>
      <x:c r="F1014" s="274" t="s">
        <x:v>311</x:v>
      </x:c>
      <x:c r="G1014" s="274" t="s">
        <x:v>1728</x:v>
      </x:c>
      <x:c r="H1014" s="274" t="s">
        <x:v>1732</x:v>
      </x:c>
      <x:c r="I1014" s="274" t="n">
        <x:v>0.65</x:v>
      </x:c>
      <x:c r="J1014" s="274" t="n">
        <x:v>530</x:v>
      </x:c>
      <x:c r="K1014" s="274" t="n">
        <x:v>730</x:v>
      </x:c>
      <x:c r="M1014" s="274" t="s">
        <x:v>2204</x:v>
      </x:c>
      <x:c r="N1014" s="274" t="s">
        <x:v>202</x:v>
      </x:c>
    </x:row>
    <x:row r="1015" spans="1:14">
      <x:c r="A1015" s="274" t="s">
        <x:v>2214</x:v>
      </x:c>
      <x:c r="B1015" s="274" t="n">
        <x:v>0</x:v>
      </x:c>
      <x:c r="C1015" s="274" t="n">
        <x:v>0</x:v>
      </x:c>
      <x:c r="D1015" s="274" t="n">
        <x:v>0</x:v>
      </x:c>
      <x:c r="F1015" s="274" t="s">
        <x:v>311</x:v>
      </x:c>
      <x:c r="G1015" s="274" t="s">
        <x:v>1728</x:v>
      </x:c>
      <x:c r="H1015" s="274" t="s">
        <x:v>1729</x:v>
      </x:c>
      <x:c r="I1015" s="274" t="n">
        <x:v>0.65</x:v>
      </x:c>
      <x:c r="J1015" s="274" t="n">
        <x:v>440</x:v>
      </x:c>
      <x:c r="K1015" s="274" t="n">
        <x:v>1000</x:v>
      </x:c>
      <x:c r="M1015" s="274" t="s">
        <x:v>2215</x:v>
      </x:c>
      <x:c r="N1015" s="274" t="s">
        <x:v>480</x:v>
      </x:c>
    </x:row>
    <x:row r="1016" spans="1:14">
      <x:c r="A1016" s="274" t="s">
        <x:v>2216</x:v>
      </x:c>
      <x:c r="B1016" s="274" t="n">
        <x:v>0</x:v>
      </x:c>
      <x:c r="C1016" s="274" t="n">
        <x:v>0</x:v>
      </x:c>
      <x:c r="D1016" s="274" t="n">
        <x:v>0</x:v>
      </x:c>
      <x:c r="F1016" s="274" t="s">
        <x:v>311</x:v>
      </x:c>
      <x:c r="G1016" s="274" t="s">
        <x:v>1728</x:v>
      </x:c>
      <x:c r="H1016" s="274" t="s">
        <x:v>1729</x:v>
      </x:c>
      <x:c r="I1016" s="274" t="n">
        <x:v>0.65</x:v>
      </x:c>
      <x:c r="J1016" s="274" t="n">
        <x:v>330</x:v>
      </x:c>
      <x:c r="K1016" s="274" t="n">
        <x:v>875</x:v>
      </x:c>
      <x:c r="M1016" s="274" t="s">
        <x:v>2217</x:v>
      </x:c>
      <x:c r="N1016" s="274" t="s">
        <x:v>162</x:v>
      </x:c>
    </x:row>
    <x:row r="1017" spans="1:14">
      <x:c r="A1017" s="274" t="s">
        <x:v>2218</x:v>
      </x:c>
      <x:c r="B1017" s="274" t="n">
        <x:v>0</x:v>
      </x:c>
      <x:c r="C1017" s="274" t="n">
        <x:v>0</x:v>
      </x:c>
      <x:c r="D1017" s="274" t="n">
        <x:v>0</x:v>
      </x:c>
      <x:c r="F1017" s="274" t="s">
        <x:v>311</x:v>
      </x:c>
      <x:c r="G1017" s="274" t="s">
        <x:v>1728</x:v>
      </x:c>
      <x:c r="H1017" s="274" t="s">
        <x:v>1729</x:v>
      </x:c>
      <x:c r="I1017" s="274" t="n">
        <x:v>0.65</x:v>
      </x:c>
      <x:c r="J1017" s="274" t="n">
        <x:v>595</x:v>
      </x:c>
      <x:c r="K1017" s="274" t="n">
        <x:v>711.7</x:v>
      </x:c>
      <x:c r="L1017" s="274" t="n">
        <x:v>688.2</x:v>
      </x:c>
      <x:c r="M1017" s="274" t="s">
        <x:v>2219</x:v>
      </x:c>
      <x:c r="N1017" s="274" t="s">
        <x:v>480</x:v>
      </x:c>
    </x:row>
    <x:row r="1018" spans="1:14">
      <x:c r="A1018" s="274" t="s">
        <x:v>2220</x:v>
      </x:c>
      <x:c r="B1018" s="274" t="n">
        <x:v>0</x:v>
      </x:c>
      <x:c r="C1018" s="274" t="n">
        <x:v>0</x:v>
      </x:c>
      <x:c r="D1018" s="274" t="n">
        <x:v>0</x:v>
      </x:c>
      <x:c r="F1018" s="274" t="s">
        <x:v>311</x:v>
      </x:c>
      <x:c r="G1018" s="274" t="s">
        <x:v>1728</x:v>
      </x:c>
      <x:c r="H1018" s="274" t="s">
        <x:v>1729</x:v>
      </x:c>
      <x:c r="I1018" s="274" t="n">
        <x:v>0.65</x:v>
      </x:c>
      <x:c r="J1018" s="274" t="n">
        <x:v>640</x:v>
      </x:c>
      <x:c r="K1018" s="274" t="n">
        <x:v>440</x:v>
      </x:c>
      <x:c r="M1018" s="274" t="s">
        <x:v>2221</x:v>
      </x:c>
      <x:c r="N1018" s="274" t="s">
        <x:v>480</x:v>
      </x:c>
    </x:row>
    <x:row r="1019" spans="1:14">
      <x:c r="A1019" s="274" t="s">
        <x:v>2222</x:v>
      </x:c>
      <x:c r="B1019" s="274" t="n">
        <x:v>0</x:v>
      </x:c>
      <x:c r="C1019" s="274" t="n">
        <x:v>0</x:v>
      </x:c>
      <x:c r="D1019" s="274" t="n">
        <x:v>0</x:v>
      </x:c>
      <x:c r="F1019" s="274" t="s">
        <x:v>311</x:v>
      </x:c>
      <x:c r="G1019" s="274" t="s">
        <x:v>1728</x:v>
      </x:c>
      <x:c r="H1019" s="274" t="s">
        <x:v>1732</x:v>
      </x:c>
      <x:c r="I1019" s="274" t="n">
        <x:v>0.65</x:v>
      </x:c>
      <x:c r="J1019" s="274" t="n">
        <x:v>595</x:v>
      </x:c>
      <x:c r="K1019" s="274" t="n">
        <x:v>711.7</x:v>
      </x:c>
      <x:c r="L1019" s="274" t="n">
        <x:v>688.2</x:v>
      </x:c>
      <x:c r="M1019" s="274" t="s">
        <x:v>2223</x:v>
      </x:c>
      <x:c r="N1019" s="274" t="s">
        <x:v>480</x:v>
      </x:c>
    </x:row>
    <x:row r="1020" spans="1:14">
      <x:c r="A1020" s="274" t="s">
        <x:v>2224</x:v>
      </x:c>
      <x:c r="B1020" s="274" t="n">
        <x:v>0</x:v>
      </x:c>
      <x:c r="C1020" s="274" t="n">
        <x:v>0</x:v>
      </x:c>
      <x:c r="D1020" s="274" t="n">
        <x:v>0</x:v>
      </x:c>
      <x:c r="F1020" s="274" t="s">
        <x:v>311</x:v>
      </x:c>
      <x:c r="G1020" s="274" t="s">
        <x:v>1728</x:v>
      </x:c>
      <x:c r="H1020" s="274" t="s">
        <x:v>1732</x:v>
      </x:c>
      <x:c r="I1020" s="274" t="n">
        <x:v>0.65</x:v>
      </x:c>
      <x:c r="J1020" s="274" t="n">
        <x:v>330</x:v>
      </x:c>
      <x:c r="K1020" s="274" t="n">
        <x:v>875</x:v>
      </x:c>
      <x:c r="M1020" s="274" t="s">
        <x:v>2217</x:v>
      </x:c>
      <x:c r="N1020" s="274" t="s">
        <x:v>162</x:v>
      </x:c>
    </x:row>
    <x:row r="1021" spans="1:14">
      <x:c r="A1021" s="274" t="s">
        <x:v>2225</x:v>
      </x:c>
      <x:c r="B1021" s="274" t="n">
        <x:v>0</x:v>
      </x:c>
      <x:c r="C1021" s="274" t="n">
        <x:v>0</x:v>
      </x:c>
      <x:c r="D1021" s="274" t="n">
        <x:v>0</x:v>
      </x:c>
      <x:c r="F1021" s="274" t="s">
        <x:v>311</x:v>
      </x:c>
      <x:c r="G1021" s="274" t="s">
        <x:v>1728</x:v>
      </x:c>
      <x:c r="H1021" s="274" t="s">
        <x:v>1732</x:v>
      </x:c>
      <x:c r="I1021" s="274" t="n">
        <x:v>0.65</x:v>
      </x:c>
      <x:c r="J1021" s="274" t="n">
        <x:v>440</x:v>
      </x:c>
      <x:c r="K1021" s="274" t="n">
        <x:v>1000</x:v>
      </x:c>
      <x:c r="M1021" s="274" t="s">
        <x:v>2226</x:v>
      </x:c>
      <x:c r="N1021" s="274" t="s">
        <x:v>480</x:v>
      </x:c>
    </x:row>
    <x:row r="1022" spans="1:14">
      <x:c r="A1022" s="274" t="s">
        <x:v>2227</x:v>
      </x:c>
      <x:c r="B1022" s="274" t="n">
        <x:v>0</x:v>
      </x:c>
      <x:c r="C1022" s="274" t="n">
        <x:v>0</x:v>
      </x:c>
      <x:c r="D1022" s="274" t="n">
        <x:v>0</x:v>
      </x:c>
      <x:c r="F1022" s="274" t="s">
        <x:v>311</x:v>
      </x:c>
      <x:c r="G1022" s="274" t="s">
        <x:v>1728</x:v>
      </x:c>
      <x:c r="H1022" s="274" t="s">
        <x:v>1732</x:v>
      </x:c>
      <x:c r="I1022" s="274" t="n">
        <x:v>0.65</x:v>
      </x:c>
      <x:c r="J1022" s="274" t="n">
        <x:v>640</x:v>
      </x:c>
      <x:c r="K1022" s="274" t="n">
        <x:v>440</x:v>
      </x:c>
      <x:c r="M1022" s="274" t="s">
        <x:v>2228</x:v>
      </x:c>
      <x:c r="N1022" s="274" t="s">
        <x:v>480</x:v>
      </x:c>
    </x:row>
    <x:row r="1023" spans="1:14">
      <x:c r="A1023" s="274" t="s">
        <x:v>2229</x:v>
      </x:c>
      <x:c r="B1023" s="274" t="n">
        <x:v>0.31</x:v>
      </x:c>
      <x:c r="C1023" s="274" t="n">
        <x:v>32</x:v>
      </x:c>
      <x:c r="D1023" s="274" t="n">
        <x:v>35</x:v>
      </x:c>
      <x:c r="E1023" s="274" t="n">
        <x:v>33</x:v>
      </x:c>
      <x:c r="F1023" s="274" t="s">
        <x:v>133</x:v>
      </x:c>
      <x:c r="G1023" s="274" t="s">
        <x:v>136</x:v>
      </x:c>
      <x:c r="H1023" s="274" t="n">
        <x:v>45</x:v>
      </x:c>
      <x:c r="I1023" s="274" t="n">
        <x:v>1</x:v>
      </x:c>
      <x:c r="J1023" s="274" t="n">
        <x:v>165</x:v>
      </x:c>
      <x:c r="K1023" s="274" t="n">
        <x:v>240</x:v>
      </x:c>
      <x:c r="M1023" s="274" t="s">
        <x:v>2230</x:v>
      </x:c>
      <x:c r="N1023" s="274" t="s">
        <x:v>131</x:v>
      </x:c>
    </x:row>
    <x:row r="1024" spans="1:14">
      <x:c r="A1024" s="274" t="s">
        <x:v>2231</x:v>
      </x:c>
      <x:c r="B1024" s="274" t="n">
        <x:v>0.4</x:v>
      </x:c>
      <x:c r="C1024" s="274" t="n">
        <x:v>32</x:v>
      </x:c>
      <x:c r="D1024" s="274" t="n">
        <x:v>35</x:v>
      </x:c>
      <x:c r="E1024" s="274" t="n">
        <x:v>33</x:v>
      </x:c>
      <x:c r="F1024" s="274" t="s">
        <x:v>133</x:v>
      </x:c>
      <x:c r="G1024" s="274" t="s">
        <x:v>136</x:v>
      </x:c>
      <x:c r="H1024" s="274" t="n">
        <x:v>45</x:v>
      </x:c>
      <x:c r="I1024" s="274" t="n">
        <x:v>1</x:v>
      </x:c>
      <x:c r="J1024" s="274" t="n">
        <x:v>175</x:v>
      </x:c>
      <x:c r="K1024" s="274" t="n">
        <x:v>290</x:v>
      </x:c>
      <x:c r="M1024" s="274" t="s">
        <x:v>2232</x:v>
      </x:c>
      <x:c r="N1024" s="274" t="s">
        <x:v>155</x:v>
      </x:c>
    </x:row>
    <x:row r="1025" spans="1:14">
      <x:c r="A1025" s="274" t="s">
        <x:v>2233</x:v>
      </x:c>
      <x:c r="B1025" s="274" t="n">
        <x:v>0.94</x:v>
      </x:c>
      <x:c r="C1025" s="274" t="n">
        <x:v>28</x:v>
      </x:c>
      <x:c r="D1025" s="274" t="n">
        <x:v>35</x:v>
      </x:c>
      <x:c r="E1025" s="274" t="n">
        <x:v>33</x:v>
      </x:c>
      <x:c r="F1025" s="274" t="s">
        <x:v>133</x:v>
      </x:c>
      <x:c r="G1025" s="274" t="s">
        <x:v>144</x:v>
      </x:c>
      <x:c r="H1025" s="274" t="n">
        <x:v>45</x:v>
      </x:c>
      <x:c r="I1025" s="274" t="n">
        <x:v>1.2</x:v>
      </x:c>
      <x:c r="J1025" s="274" t="n">
        <x:v>330</x:v>
      </x:c>
      <x:c r="K1025" s="274" t="n">
        <x:v>300</x:v>
      </x:c>
      <x:c r="M1025" s="274" t="s">
        <x:v>2234</x:v>
      </x:c>
      <x:c r="N1025" s="274" t="s">
        <x:v>2235</x:v>
      </x:c>
    </x:row>
    <x:row r="1026" spans="1:14">
      <x:c r="A1026" s="274" t="s">
        <x:v>2236</x:v>
      </x:c>
      <x:c r="B1026" s="274" t="n">
        <x:v>6.94</x:v>
      </x:c>
      <x:c r="C1026" s="274" t="n">
        <x:v>0</x:v>
      </x:c>
      <x:c r="D1026" s="274" t="n">
        <x:v>0</x:v>
      </x:c>
      <x:c r="F1026" s="274" t="s">
        <x:v>333</x:v>
      </x:c>
      <x:c r="G1026" s="274" t="s">
        <x:v>124</x:v>
      </x:c>
      <x:c r="I1026" s="274" t="n">
        <x:v>2</x:v>
      </x:c>
      <x:c r="J1026" s="274" t="n">
        <x:v>375</x:v>
      </x:c>
      <x:c r="K1026" s="274" t="n">
        <x:v>1179</x:v>
      </x:c>
      <x:c r="M1026" s="274" t="s">
        <x:v>2237</x:v>
      </x:c>
      <x:c r="N1026" s="274" t="s">
        <x:v>870</x:v>
      </x:c>
    </x:row>
    <x:row r="1027" spans="1:14">
      <x:c r="A1027" s="274" t="s">
        <x:v>2238</x:v>
      </x:c>
      <x:c r="B1027" s="274" t="n">
        <x:v>0.39</x:v>
      </x:c>
      <x:c r="C1027" s="274" t="n">
        <x:v>30</x:v>
      </x:c>
      <x:c r="D1027" s="274" t="n">
        <x:v>35</x:v>
      </x:c>
      <x:c r="E1027" s="274" t="n">
        <x:v>33</x:v>
      </x:c>
      <x:c r="F1027" s="274" t="s">
        <x:v>333</x:v>
      </x:c>
      <x:c r="G1027" s="274" t="s">
        <x:v>153</x:v>
      </x:c>
      <x:c r="I1027" s="274" t="n">
        <x:v>1.6</x:v>
      </x:c>
      <x:c r="J1027" s="274" t="n">
        <x:v>285</x:v>
      </x:c>
      <x:c r="K1027" s="274" t="n">
        <x:v>110</x:v>
      </x:c>
      <x:c r="M1027" s="274" t="s">
        <x:v>2239</x:v>
      </x:c>
      <x:c r="N1027" s="274" t="s">
        <x:v>131</x:v>
      </x:c>
    </x:row>
    <x:row r="1028" spans="1:14">
      <x:c r="A1028" s="274" t="s">
        <x:v>2240</x:v>
      </x:c>
      <x:c r="B1028" s="274" t="n">
        <x:v>1.66</x:v>
      </x:c>
      <x:c r="C1028" s="274" t="n">
        <x:v>0</x:v>
      </x:c>
      <x:c r="D1028" s="274" t="n">
        <x:v>19</x:v>
      </x:c>
      <x:c r="E1028" s="274" t="n">
        <x:v>19</x:v>
      </x:c>
      <x:c r="F1028" s="274" t="s">
        <x:v>133</x:v>
      </x:c>
      <x:c r="G1028" s="274" t="s">
        <x:v>136</x:v>
      </x:c>
      <x:c r="H1028" s="274" t="n">
        <x:v>45</x:v>
      </x:c>
      <x:c r="I1028" s="274" t="n">
        <x:v>0.9</x:v>
      </x:c>
      <x:c r="J1028" s="274" t="n">
        <x:v>172</x:v>
      </x:c>
      <x:c r="K1028" s="274" t="n">
        <x:v>1350</x:v>
      </x:c>
      <x:c r="M1028" s="274" t="s">
        <x:v>1188</x:v>
      </x:c>
      <x:c r="N1028" s="274" t="s">
        <x:v>131</x:v>
      </x:c>
    </x:row>
    <x:row r="1029" spans="1:14">
      <x:c r="A1029" s="274" t="s">
        <x:v>2241</x:v>
      </x:c>
      <x:c r="B1029" s="274" t="n">
        <x:v>0.31</x:v>
      </x:c>
      <x:c r="C1029" s="274" t="n">
        <x:v>0</x:v>
      </x:c>
      <x:c r="D1029" s="274" t="n">
        <x:v>0</x:v>
      </x:c>
      <x:c r="F1029" s="274" t="s">
        <x:v>333</x:v>
      </x:c>
      <x:c r="G1029" s="274" t="s">
        <x:v>153</x:v>
      </x:c>
      <x:c r="I1029" s="274" t="n">
        <x:v>1</x:v>
      </x:c>
      <x:c r="J1029" s="274" t="n">
        <x:v>190</x:v>
      </x:c>
      <x:c r="K1029" s="274" t="n">
        <x:v>210</x:v>
      </x:c>
      <x:c r="M1029" s="274" t="s">
        <x:v>2242</x:v>
      </x:c>
    </x:row>
    <x:row r="1030" spans="1:14">
      <x:c r="A1030" s="274" t="s">
        <x:v>2243</x:v>
      </x:c>
      <x:c r="B1030" s="274" t="n">
        <x:v>1.99</x:v>
      </x:c>
      <x:c r="C1030" s="274" t="n">
        <x:v>0</x:v>
      </x:c>
      <x:c r="D1030" s="274" t="n">
        <x:v>0</x:v>
      </x:c>
      <x:c r="F1030" s="274" t="s">
        <x:v>133</x:v>
      </x:c>
      <x:c r="G1030" s="274" t="s">
        <x:v>136</x:v>
      </x:c>
      <x:c r="H1030" s="274" t="n">
        <x:v>45</x:v>
      </x:c>
      <x:c r="I1030" s="274" t="n">
        <x:v>1</x:v>
      </x:c>
      <x:c r="J1030" s="274" t="n">
        <x:v>200</x:v>
      </x:c>
      <x:c r="K1030" s="274" t="n">
        <x:v>1250</x:v>
      </x:c>
      <x:c r="M1030" s="274" t="s">
        <x:v>2244</x:v>
      </x:c>
      <x:c r="N1030" s="274" t="s">
        <x:v>299</x:v>
      </x:c>
    </x:row>
    <x:row r="1031" spans="1:14">
      <x:c r="A1031" s="274" t="s">
        <x:v>2245</x:v>
      </x:c>
      <x:c r="B1031" s="274" t="n">
        <x:v>6.87</x:v>
      </x:c>
      <x:c r="C1031" s="274" t="n">
        <x:v>0</x:v>
      </x:c>
      <x:c r="D1031" s="274" t="n">
        <x:v>0</x:v>
      </x:c>
      <x:c r="F1031" s="274" t="s">
        <x:v>133</x:v>
      </x:c>
      <x:c r="G1031" s="274" t="s">
        <x:v>148</x:v>
      </x:c>
      <x:c r="I1031" s="274" t="n">
        <x:v>6</x:v>
      </x:c>
      <x:c r="J1031" s="274" t="n">
        <x:v>270</x:v>
      </x:c>
      <x:c r="K1031" s="274" t="n">
        <x:v>540</x:v>
      </x:c>
      <x:c r="M1031" s="274" t="s">
        <x:v>2246</x:v>
      </x:c>
      <x:c r="N1031" s="274" t="s">
        <x:v>299</x:v>
      </x:c>
    </x:row>
    <x:row r="1032" spans="1:14">
      <x:c r="A1032" s="274" t="s">
        <x:v>2247</x:v>
      </x:c>
      <x:c r="B1032" s="274" t="n">
        <x:v>1.78</x:v>
      </x:c>
      <x:c r="C1032" s="274" t="n">
        <x:v>0</x:v>
      </x:c>
      <x:c r="D1032" s="274" t="n">
        <x:v>0</x:v>
      </x:c>
      <x:c r="F1032" s="274" t="s">
        <x:v>123</x:v>
      </x:c>
      <x:c r="G1032" s="274" t="s">
        <x:v>124</x:v>
      </x:c>
      <x:c r="I1032" s="274" t="n">
        <x:v>0.8</x:v>
      </x:c>
      <x:c r="J1032" s="274" t="n">
        <x:v>480</x:v>
      </x:c>
      <x:c r="K1032" s="274" t="n">
        <x:v>590</x:v>
      </x:c>
      <x:c r="M1032" s="274" t="s">
        <x:v>2248</x:v>
      </x:c>
      <x:c r="N1032" s="274" t="s">
        <x:v>582</x:v>
      </x:c>
    </x:row>
    <x:row r="1033" spans="1:14">
      <x:c r="A1033" s="274" t="s">
        <x:v>2249</x:v>
      </x:c>
      <x:c r="B1033" s="274" t="n">
        <x:v>6.3</x:v>
      </x:c>
      <x:c r="C1033" s="274" t="n">
        <x:v>0</x:v>
      </x:c>
      <x:c r="D1033" s="274" t="n">
        <x:v>0</x:v>
      </x:c>
      <x:c r="F1033" s="274" t="s">
        <x:v>333</x:v>
      </x:c>
      <x:c r="G1033" s="274" t="s">
        <x:v>2157</x:v>
      </x:c>
      <x:c r="I1033" s="274" t="n">
        <x:v>0.6</x:v>
      </x:c>
      <x:c r="J1033" s="274" t="n">
        <x:v>1115</x:v>
      </x:c>
      <x:c r="K1033" s="274" t="n">
        <x:v>1200</x:v>
      </x:c>
      <x:c r="M1033" s="274" t="s">
        <x:v>2250</x:v>
      </x:c>
    </x:row>
    <x:row r="1034" spans="1:14">
      <x:c r="A1034" s="274" t="s">
        <x:v>2251</x:v>
      </x:c>
      <x:c r="B1034" s="274" t="n">
        <x:v>0.1</x:v>
      </x:c>
      <x:c r="C1034" s="274" t="n">
        <x:v>33</x:v>
      </x:c>
      <x:c r="D1034" s="274" t="n">
        <x:v>35</x:v>
      </x:c>
      <x:c r="E1034" s="274" t="n">
        <x:v>33</x:v>
      </x:c>
      <x:c r="F1034" s="274" t="s">
        <x:v>133</x:v>
      </x:c>
      <x:c r="G1034" s="274" t="s">
        <x:v>209</x:v>
      </x:c>
      <x:c r="I1034" s="274" t="n">
        <x:v>0.8</x:v>
      </x:c>
      <x:c r="J1034" s="274" t="n">
        <x:v>116</x:v>
      </x:c>
      <x:c r="K1034" s="274" t="n">
        <x:v>136</x:v>
      </x:c>
      <x:c r="M1034" s="274" t="s">
        <x:v>1530</x:v>
      </x:c>
      <x:c r="N1034" s="274" t="s">
        <x:v>155</x:v>
      </x:c>
    </x:row>
    <x:row r="1035" spans="1:14">
      <x:c r="A1035" s="274" t="s">
        <x:v>2252</x:v>
      </x:c>
      <x:c r="B1035" s="274" t="n">
        <x:v>1.57</x:v>
      </x:c>
      <x:c r="C1035" s="274" t="n">
        <x:v>0</x:v>
      </x:c>
      <x:c r="D1035" s="274" t="n">
        <x:v>0</x:v>
      </x:c>
      <x:c r="F1035" s="274" t="s">
        <x:v>133</x:v>
      </x:c>
      <x:c r="G1035" s="274" t="s">
        <x:v>136</x:v>
      </x:c>
      <x:c r="H1035" s="274" t="n">
        <x:v>45</x:v>
      </x:c>
      <x:c r="I1035" s="274" t="n">
        <x:v>1.2</x:v>
      </x:c>
      <x:c r="J1035" s="274" t="n">
        <x:v>355</x:v>
      </x:c>
      <x:c r="K1035" s="274" t="n">
        <x:v>465</x:v>
      </x:c>
      <x:c r="M1035" s="274" t="s">
        <x:v>2253</x:v>
      </x:c>
      <x:c r="N1035" s="274" t="s">
        <x:v>1236</x:v>
      </x:c>
    </x:row>
    <x:row r="1036" spans="1:14">
      <x:c r="A1036" s="274" t="s">
        <x:v>2254</x:v>
      </x:c>
      <x:c r="B1036" s="274" t="n">
        <x:v>2.15</x:v>
      </x:c>
      <x:c r="C1036" s="274" t="n">
        <x:v>0</x:v>
      </x:c>
      <x:c r="D1036" s="274" t="n">
        <x:v>0</x:v>
      </x:c>
      <x:c r="F1036" s="274" t="s">
        <x:v>133</x:v>
      </x:c>
      <x:c r="G1036" s="274" t="s">
        <x:v>136</x:v>
      </x:c>
      <x:c r="H1036" s="274" t="n">
        <x:v>45</x:v>
      </x:c>
      <x:c r="I1036" s="274" t="n">
        <x:v>1.2</x:v>
      </x:c>
      <x:c r="J1036" s="274" t="n">
        <x:v>200</x:v>
      </x:c>
      <x:c r="K1036" s="274" t="n">
        <x:v>1129</x:v>
      </x:c>
      <x:c r="M1036" s="274" t="s">
        <x:v>2255</x:v>
      </x:c>
      <x:c r="N1036" s="274" t="s">
        <x:v>131</x:v>
      </x:c>
    </x:row>
    <x:row r="1037" spans="1:14">
      <x:c r="A1037" s="274" t="s">
        <x:v>2256</x:v>
      </x:c>
      <x:c r="B1037" s="274" t="n">
        <x:v>2.06</x:v>
      </x:c>
      <x:c r="C1037" s="274" t="n">
        <x:v>0</x:v>
      </x:c>
      <x:c r="D1037" s="274" t="n">
        <x:v>0</x:v>
      </x:c>
      <x:c r="F1037" s="274" t="s">
        <x:v>333</x:v>
      </x:c>
      <x:c r="G1037" s="274" t="s">
        <x:v>2160</x:v>
      </x:c>
      <x:c r="I1037" s="274" t="n">
        <x:v>0.8</x:v>
      </x:c>
      <x:c r="J1037" s="274" t="n">
        <x:v>263</x:v>
      </x:c>
      <x:c r="K1037" s="274" t="n">
        <x:v>1250</x:v>
      </x:c>
      <x:c r="M1037" s="274" t="s">
        <x:v>2175</x:v>
      </x:c>
      <x:c r="N1037" s="274" t="s">
        <x:v>2257</x:v>
      </x:c>
    </x:row>
    <x:row r="1038" spans="1:14">
      <x:c r="A1038" s="274" t="s">
        <x:v>2258</x:v>
      </x:c>
      <x:c r="B1038" s="274" t="n">
        <x:v>2.06</x:v>
      </x:c>
      <x:c r="C1038" s="274" t="n">
        <x:v>0</x:v>
      </x:c>
      <x:c r="D1038" s="274" t="n">
        <x:v>0</x:v>
      </x:c>
      <x:c r="F1038" s="274" t="s">
        <x:v>333</x:v>
      </x:c>
      <x:c r="G1038" s="274" t="s">
        <x:v>2160</x:v>
      </x:c>
      <x:c r="I1038" s="274" t="n">
        <x:v>0.8</x:v>
      </x:c>
      <x:c r="J1038" s="274" t="n">
        <x:v>263</x:v>
      </x:c>
      <x:c r="K1038" s="274" t="n">
        <x:v>1250</x:v>
      </x:c>
      <x:c r="M1038" s="274" t="s">
        <x:v>2173</x:v>
      </x:c>
      <x:c r="N1038" s="274" t="s">
        <x:v>2257</x:v>
      </x:c>
    </x:row>
    <x:row r="1039" spans="1:14">
      <x:c r="A1039" s="274" t="s">
        <x:v>2259</x:v>
      </x:c>
      <x:c r="B1039" s="274" t="n">
        <x:v>1.28</x:v>
      </x:c>
      <x:c r="C1039" s="274" t="n">
        <x:v>0</x:v>
      </x:c>
      <x:c r="D1039" s="274" t="n">
        <x:v>0</x:v>
      </x:c>
      <x:c r="F1039" s="274" t="s">
        <x:v>333</x:v>
      </x:c>
      <x:c r="G1039" s="274" t="s">
        <x:v>2160</x:v>
      </x:c>
      <x:c r="I1039" s="274" t="n">
        <x:v>0.8</x:v>
      </x:c>
      <x:c r="J1039" s="274" t="n">
        <x:v>170</x:v>
      </x:c>
      <x:c r="K1039" s="274" t="n">
        <x:v>1200</x:v>
      </x:c>
      <x:c r="M1039" s="274" t="s">
        <x:v>2171</x:v>
      </x:c>
      <x:c r="N1039" s="274" t="s">
        <x:v>2257</x:v>
      </x:c>
    </x:row>
    <x:row r="1040" spans="1:14">
      <x:c r="A1040" s="274" t="s">
        <x:v>2260</x:v>
      </x:c>
      <x:c r="B1040" s="274" t="n">
        <x:v>1.28</x:v>
      </x:c>
      <x:c r="C1040" s="274" t="n">
        <x:v>0</x:v>
      </x:c>
      <x:c r="D1040" s="274" t="n">
        <x:v>0</x:v>
      </x:c>
      <x:c r="F1040" s="274" t="s">
        <x:v>333</x:v>
      </x:c>
      <x:c r="G1040" s="274" t="s">
        <x:v>2160</x:v>
      </x:c>
      <x:c r="I1040" s="274" t="n">
        <x:v>0.8</x:v>
      </x:c>
      <x:c r="J1040" s="274" t="n">
        <x:v>170</x:v>
      </x:c>
      <x:c r="K1040" s="274" t="n">
        <x:v>1200</x:v>
      </x:c>
      <x:c r="M1040" s="274" t="s">
        <x:v>2169</x:v>
      </x:c>
      <x:c r="N1040" s="274" t="s">
        <x:v>2257</x:v>
      </x:c>
    </x:row>
    <x:row r="1041" spans="1:14">
      <x:c r="A1041" s="274" t="s">
        <x:v>2261</x:v>
      </x:c>
      <x:c r="B1041" s="274" t="n">
        <x:v>2.09</x:v>
      </x:c>
      <x:c r="C1041" s="274" t="n">
        <x:v>0</x:v>
      </x:c>
      <x:c r="D1041" s="274" t="n">
        <x:v>0</x:v>
      </x:c>
      <x:c r="F1041" s="274" t="s">
        <x:v>333</x:v>
      </x:c>
      <x:c r="G1041" s="274" t="s">
        <x:v>2160</x:v>
      </x:c>
      <x:c r="I1041" s="274" t="n">
        <x:v>0.8</x:v>
      </x:c>
      <x:c r="J1041" s="274" t="n">
        <x:v>277</x:v>
      </x:c>
      <x:c r="K1041" s="274" t="n">
        <x:v>1200</x:v>
      </x:c>
      <x:c r="M1041" s="274" t="s">
        <x:v>2167</x:v>
      </x:c>
      <x:c r="N1041" s="274" t="s">
        <x:v>2257</x:v>
      </x:c>
    </x:row>
    <x:row r="1042" spans="1:14">
      <x:c r="A1042" s="274" t="s">
        <x:v>2262</x:v>
      </x:c>
      <x:c r="B1042" s="274" t="n">
        <x:v>2.09</x:v>
      </x:c>
      <x:c r="C1042" s="274" t="n">
        <x:v>0</x:v>
      </x:c>
      <x:c r="D1042" s="274" t="n">
        <x:v>0</x:v>
      </x:c>
      <x:c r="F1042" s="274" t="s">
        <x:v>333</x:v>
      </x:c>
      <x:c r="G1042" s="274" t="s">
        <x:v>2160</x:v>
      </x:c>
      <x:c r="I1042" s="274" t="n">
        <x:v>0.8</x:v>
      </x:c>
      <x:c r="J1042" s="274" t="n">
        <x:v>277</x:v>
      </x:c>
      <x:c r="K1042" s="274" t="n">
        <x:v>1200</x:v>
      </x:c>
      <x:c r="M1042" s="274" t="s">
        <x:v>2165</x:v>
      </x:c>
      <x:c r="N1042" s="274" t="s">
        <x:v>2257</x:v>
      </x:c>
    </x:row>
    <x:row r="1043" spans="1:14">
      <x:c r="A1043" s="274" t="s">
        <x:v>2263</x:v>
      </x:c>
      <x:c r="B1043" s="274" t="n">
        <x:v>1.48</x:v>
      </x:c>
      <x:c r="C1043" s="274" t="n">
        <x:v>0</x:v>
      </x:c>
      <x:c r="D1043" s="274" t="n">
        <x:v>0</x:v>
      </x:c>
      <x:c r="F1043" s="274" t="s">
        <x:v>333</x:v>
      </x:c>
      <x:c r="G1043" s="274" t="s">
        <x:v>2160</x:v>
      </x:c>
      <x:c r="I1043" s="274" t="n">
        <x:v>0.8</x:v>
      </x:c>
      <x:c r="J1043" s="274" t="n">
        <x:v>188</x:v>
      </x:c>
      <x:c r="K1043" s="274" t="n">
        <x:v>1250</x:v>
      </x:c>
      <x:c r="M1043" s="274" t="s">
        <x:v>2163</x:v>
      </x:c>
      <x:c r="N1043" s="274" t="s">
        <x:v>2257</x:v>
      </x:c>
    </x:row>
    <x:row r="1044" spans="1:14">
      <x:c r="A1044" s="274" t="s">
        <x:v>2264</x:v>
      </x:c>
      <x:c r="B1044" s="274" t="n">
        <x:v>1.48</x:v>
      </x:c>
      <x:c r="C1044" s="274" t="n">
        <x:v>0</x:v>
      </x:c>
      <x:c r="D1044" s="274" t="n">
        <x:v>0</x:v>
      </x:c>
      <x:c r="F1044" s="274" t="s">
        <x:v>333</x:v>
      </x:c>
      <x:c r="G1044" s="274" t="s">
        <x:v>2160</x:v>
      </x:c>
      <x:c r="I1044" s="274" t="n">
        <x:v>0.8</x:v>
      </x:c>
      <x:c r="J1044" s="274" t="n">
        <x:v>188</x:v>
      </x:c>
      <x:c r="K1044" s="274" t="n">
        <x:v>1250</x:v>
      </x:c>
      <x:c r="M1044" s="274" t="s">
        <x:v>2161</x:v>
      </x:c>
      <x:c r="N1044" s="274" t="s">
        <x:v>2257</x:v>
      </x:c>
    </x:row>
    <x:row r="1045" spans="1:14">
      <x:c r="A1045" s="274" t="s">
        <x:v>2265</x:v>
      </x:c>
      <x:c r="B1045" s="274" t="n">
        <x:v>1.56</x:v>
      </x:c>
      <x:c r="C1045" s="274" t="n">
        <x:v>0</x:v>
      </x:c>
      <x:c r="D1045" s="274" t="n">
        <x:v>0</x:v>
      </x:c>
      <x:c r="F1045" s="274" t="s">
        <x:v>333</x:v>
      </x:c>
      <x:c r="G1045" s="274" t="s">
        <x:v>2153</x:v>
      </x:c>
      <x:c r="I1045" s="274" t="n">
        <x:v>0.7</x:v>
      </x:c>
      <x:c r="J1045" s="274" t="n">
        <x:v>321</x:v>
      </x:c>
      <x:c r="K1045" s="274" t="n">
        <x:v>884</x:v>
      </x:c>
      <x:c r="M1045" s="274" t="s">
        <x:v>2154</x:v>
      </x:c>
      <x:c r="N1045" s="274" t="s">
        <x:v>2257</x:v>
      </x:c>
    </x:row>
    <x:row r="1046" spans="1:14">
      <x:c r="A1046" s="274" t="s">
        <x:v>2266</x:v>
      </x:c>
      <x:c r="B1046" s="274" t="n">
        <x:v>0.49</x:v>
      </x:c>
      <x:c r="C1046" s="274" t="n">
        <x:v>0</x:v>
      </x:c>
      <x:c r="D1046" s="274" t="n">
        <x:v>0</x:v>
      </x:c>
      <x:c r="F1046" s="274" t="s">
        <x:v>333</x:v>
      </x:c>
      <x:c r="G1046" s="274" t="s">
        <x:v>2153</x:v>
      </x:c>
      <x:c r="I1046" s="274" t="n">
        <x:v>0.6</x:v>
      </x:c>
      <x:c r="J1046" s="274" t="n">
        <x:v>1072</x:v>
      </x:c>
      <x:c r="K1046" s="274" t="n">
        <x:v>97</x:v>
      </x:c>
      <x:c r="M1046" s="274" t="s">
        <x:v>2183</x:v>
      </x:c>
      <x:c r="N1046" s="274" t="s">
        <x:v>2257</x:v>
      </x:c>
    </x:row>
    <x:row r="1047" spans="1:14">
      <x:c r="A1047" s="274" t="s">
        <x:v>2267</x:v>
      </x:c>
      <x:c r="B1047" s="274" t="n">
        <x:v>0.49</x:v>
      </x:c>
      <x:c r="C1047" s="274" t="n">
        <x:v>0</x:v>
      </x:c>
      <x:c r="D1047" s="274" t="n">
        <x:v>0</x:v>
      </x:c>
      <x:c r="F1047" s="274" t="s">
        <x:v>333</x:v>
      </x:c>
      <x:c r="G1047" s="274" t="s">
        <x:v>2153</x:v>
      </x:c>
      <x:c r="I1047" s="274" t="n">
        <x:v>0.6</x:v>
      </x:c>
      <x:c r="J1047" s="274" t="n">
        <x:v>1072</x:v>
      </x:c>
      <x:c r="K1047" s="274" t="n">
        <x:v>98</x:v>
      </x:c>
      <x:c r="M1047" s="274" t="s">
        <x:v>2181</x:v>
      </x:c>
      <x:c r="N1047" s="274" t="s">
        <x:v>2257</x:v>
      </x:c>
    </x:row>
    <x:row r="1048" spans="1:14">
      <x:c r="A1048" s="274" t="s">
        <x:v>2268</x:v>
      </x:c>
      <x:c r="B1048" s="274" t="n">
        <x:v>0.51</x:v>
      </x:c>
      <x:c r="C1048" s="274" t="n">
        <x:v>0</x:v>
      </x:c>
      <x:c r="D1048" s="274" t="n">
        <x:v>0</x:v>
      </x:c>
      <x:c r="F1048" s="274" t="s">
        <x:v>333</x:v>
      </x:c>
      <x:c r="G1048" s="274" t="s">
        <x:v>2153</x:v>
      </x:c>
      <x:c r="I1048" s="274" t="n">
        <x:v>0.6</x:v>
      </x:c>
      <x:c r="J1048" s="274" t="n">
        <x:v>1081</x:v>
      </x:c>
      <x:c r="K1048" s="274" t="n">
        <x:v>100</x:v>
      </x:c>
      <x:c r="M1048" s="274" t="s">
        <x:v>2179</x:v>
      </x:c>
      <x:c r="N1048" s="274" t="s">
        <x:v>2257</x:v>
      </x:c>
    </x:row>
    <x:row r="1049" spans="1:14">
      <x:c r="A1049" s="274" t="s">
        <x:v>2269</x:v>
      </x:c>
      <x:c r="B1049" s="274" t="n">
        <x:v>1.47</x:v>
      </x:c>
      <x:c r="C1049" s="274" t="n">
        <x:v>0</x:v>
      </x:c>
      <x:c r="D1049" s="274" t="n">
        <x:v>0</x:v>
      </x:c>
      <x:c r="F1049" s="274" t="s">
        <x:v>333</x:v>
      </x:c>
      <x:c r="G1049" s="274" t="s">
        <x:v>2160</x:v>
      </x:c>
      <x:c r="I1049" s="274" t="n">
        <x:v>1</x:v>
      </x:c>
      <x:c r="J1049" s="274" t="n">
        <x:v>170</x:v>
      </x:c>
      <x:c r="K1049" s="274" t="n">
        <x:v>1100</x:v>
      </x:c>
      <x:c r="M1049" s="274" t="s">
        <x:v>2177</x:v>
      </x:c>
      <x:c r="N1049" s="274" t="s">
        <x:v>2257</x:v>
      </x:c>
    </x:row>
    <x:row r="1050" spans="1:14">
      <x:c r="A1050" s="274" t="s">
        <x:v>2270</x:v>
      </x:c>
      <x:c r="B1050" s="274" t="n">
        <x:v>1.04</x:v>
      </x:c>
      <x:c r="C1050" s="274" t="n">
        <x:v>0</x:v>
      </x:c>
      <x:c r="D1050" s="274" t="n">
        <x:v>0</x:v>
      </x:c>
      <x:c r="F1050" s="274" t="s">
        <x:v>333</x:v>
      </x:c>
      <x:c r="G1050" s="274" t="s">
        <x:v>2153</x:v>
      </x:c>
      <x:c r="I1050" s="274" t="n">
        <x:v>0.8</x:v>
      </x:c>
      <x:c r="J1050" s="274" t="n">
        <x:v>598</x:v>
      </x:c>
      <x:c r="K1050" s="274" t="n">
        <x:v>276</x:v>
      </x:c>
      <x:c r="M1050" s="274" t="s">
        <x:v>2187</x:v>
      </x:c>
      <x:c r="N1050" s="274" t="s">
        <x:v>2257</x:v>
      </x:c>
    </x:row>
    <x:row r="1051" spans="1:14">
      <x:c r="A1051" s="274" t="s">
        <x:v>2271</x:v>
      </x:c>
      <x:c r="B1051" s="274" t="n">
        <x:v>0.4</x:v>
      </x:c>
      <x:c r="C1051" s="274" t="n">
        <x:v>28</x:v>
      </x:c>
      <x:c r="D1051" s="274" t="n">
        <x:v>35</x:v>
      </x:c>
      <x:c r="E1051" s="274" t="n">
        <x:v>33</x:v>
      </x:c>
      <x:c r="F1051" s="274" t="s">
        <x:v>133</x:v>
      </x:c>
      <x:c r="G1051" s="274" t="s">
        <x:v>136</x:v>
      </x:c>
      <x:c r="H1051" s="274" t="n">
        <x:v>45</x:v>
      </x:c>
      <x:c r="I1051" s="274" t="n">
        <x:v>1.2</x:v>
      </x:c>
      <x:c r="J1051" s="274" t="n">
        <x:v>350</x:v>
      </x:c>
      <x:c r="K1051" s="274" t="n">
        <x:v>120</x:v>
      </x:c>
      <x:c r="M1051" s="274" t="s">
        <x:v>2272</x:v>
      </x:c>
      <x:c r="N1051" s="274" t="s">
        <x:v>1236</x:v>
      </x:c>
    </x:row>
    <x:row r="1052" spans="1:14">
      <x:c r="A1052" s="274" t="s">
        <x:v>2273</x:v>
      </x:c>
      <x:c r="B1052" s="274" t="n">
        <x:v>26.04</x:v>
      </x:c>
      <x:c r="C1052" s="274" t="n">
        <x:v>0</x:v>
      </x:c>
      <x:c r="D1052" s="274" t="n">
        <x:v>30</x:v>
      </x:c>
      <x:c r="E1052" s="274" t="n">
        <x:v>0</x:v>
      </x:c>
      <x:c r="F1052" s="274" t="s">
        <x:v>1980</x:v>
      </x:c>
      <x:c r="G1052" s="274" t="s">
        <x:v>1981</x:v>
      </x:c>
      <x:c r="I1052" s="274" t="n">
        <x:v>1</x:v>
      </x:c>
      <x:c r="J1052" s="274" t="n">
        <x:v>1640</x:v>
      </x:c>
      <x:c r="K1052" s="274" t="n">
        <x:v>2040</x:v>
      </x:c>
      <x:c r="M1052" s="274" t="s">
        <x:v>2054</x:v>
      </x:c>
    </x:row>
    <x:row r="1053" spans="1:14">
      <x:c r="A1053" s="274" t="s">
        <x:v>2274</x:v>
      </x:c>
      <x:c r="B1053" s="274" t="n">
        <x:v>4.43</x:v>
      </x:c>
      <x:c r="C1053" s="274" t="n">
        <x:v>0</x:v>
      </x:c>
      <x:c r="D1053" s="274" t="n">
        <x:v>25</x:v>
      </x:c>
      <x:c r="E1053" s="274" t="n">
        <x:v>40</x:v>
      </x:c>
      <x:c r="F1053" s="274" t="s">
        <x:v>1980</x:v>
      </x:c>
      <x:c r="G1053" s="274" t="s">
        <x:v>1981</x:v>
      </x:c>
      <x:c r="I1053" s="274" t="n">
        <x:v>0.8</x:v>
      </x:c>
      <x:c r="J1053" s="274" t="n">
        <x:v>1450</x:v>
      </x:c>
      <x:c r="K1053" s="274" t="n">
        <x:v>495</x:v>
      </x:c>
      <x:c r="M1053" s="274" t="s">
        <x:v>2275</x:v>
      </x:c>
    </x:row>
    <x:row r="1054" spans="1:14">
      <x:c r="A1054" s="274" t="s">
        <x:v>2276</x:v>
      </x:c>
      <x:c r="B1054" s="274" t="n">
        <x:v>8.6</x:v>
      </x:c>
      <x:c r="C1054" s="274" t="n">
        <x:v>0</x:v>
      </x:c>
      <x:c r="D1054" s="274" t="n">
        <x:v>32</x:v>
      </x:c>
      <x:c r="E1054" s="274" t="n">
        <x:v>30</x:v>
      </x:c>
      <x:c r="F1054" s="274" t="s">
        <x:v>1980</x:v>
      </x:c>
      <x:c r="G1054" s="274" t="s">
        <x:v>2277</x:v>
      </x:c>
      <x:c r="I1054" s="274" t="n">
        <x:v>0.8</x:v>
      </x:c>
      <x:c r="J1054" s="274" t="n">
        <x:v>1030</x:v>
      </x:c>
      <x:c r="K1054" s="274" t="n">
        <x:v>1330</x:v>
      </x:c>
      <x:c r="M1054" s="274" t="s">
        <x:v>2278</x:v>
      </x:c>
      <x:c r="N1054" s="274" t="s">
        <x:v>1983</x:v>
      </x:c>
    </x:row>
    <x:row r="1055" spans="1:14">
      <x:c r="A1055" s="274" t="s">
        <x:v>2279</x:v>
      </x:c>
      <x:c r="B1055" s="274" t="n">
        <x:v>18.65</x:v>
      </x:c>
      <x:c r="C1055" s="274" t="n">
        <x:v>0</x:v>
      </x:c>
      <x:c r="D1055" s="274" t="n">
        <x:v>0</x:v>
      </x:c>
      <x:c r="E1055" s="274" t="n">
        <x:v>15</x:v>
      </x:c>
      <x:c r="F1055" s="274" t="s">
        <x:v>333</x:v>
      </x:c>
      <x:c r="G1055" s="274" t="s">
        <x:v>473</x:v>
      </x:c>
      <x:c r="I1055" s="274" t="n">
        <x:v>0.75</x:v>
      </x:c>
      <x:c r="J1055" s="274" t="n">
        <x:v>1230</x:v>
      </x:c>
      <x:c r="K1055" s="274" t="n">
        <x:v>2575</x:v>
      </x:c>
      <x:c r="M1055" s="274" t="s">
        <x:v>2280</x:v>
      </x:c>
      <x:c r="N1055" s="274" t="s">
        <x:v>2281</x:v>
      </x:c>
    </x:row>
    <x:row r="1056" spans="1:14">
      <x:c r="A1056" s="274" t="s">
        <x:v>2282</x:v>
      </x:c>
      <x:c r="B1056" s="274" t="n">
        <x:v>9.9</x:v>
      </x:c>
      <x:c r="C1056" s="274" t="n">
        <x:v>22</x:v>
      </x:c>
      <x:c r="D1056" s="274" t="n">
        <x:v>35</x:v>
      </x:c>
      <x:c r="E1056" s="274" t="n">
        <x:v>0</x:v>
      </x:c>
      <x:c r="F1056" s="274" t="s">
        <x:v>123</x:v>
      </x:c>
      <x:c r="G1056" s="274" t="s">
        <x:v>906</x:v>
      </x:c>
      <x:c r="H1056" s="274" t="s">
        <x:v>907</x:v>
      </x:c>
      <x:c r="I1056" s="274" t="n">
        <x:v>0.65</x:v>
      </x:c>
      <x:c r="J1056" s="274" t="n">
        <x:v>980</x:v>
      </x:c>
      <x:c r="K1056" s="274" t="n">
        <x:v>2030.8</x:v>
      </x:c>
      <x:c r="L1056" s="274" t="n">
        <x:v>1859.3</x:v>
      </x:c>
      <x:c r="M1056" s="274" t="s">
        <x:v>2283</x:v>
      </x:c>
      <x:c r="N1056" s="274" t="s">
        <x:v>155</x:v>
      </x:c>
    </x:row>
    <x:row r="1057" spans="1:14">
      <x:c r="A1057" s="274" t="s">
        <x:v>2284</x:v>
      </x:c>
      <x:c r="B1057" s="274" t="n">
        <x:v>1.19</x:v>
      </x:c>
      <x:c r="C1057" s="274" t="n">
        <x:v>0</x:v>
      </x:c>
      <x:c r="D1057" s="274" t="n">
        <x:v>0</x:v>
      </x:c>
      <x:c r="F1057" s="274" t="s">
        <x:v>123</x:v>
      </x:c>
      <x:c r="G1057" s="274" t="s">
        <x:v>129</x:v>
      </x:c>
      <x:c r="H1057" s="274" t="n">
        <x:v>45</x:v>
      </x:c>
      <x:c r="I1057" s="274" t="n">
        <x:v>0.7</x:v>
      </x:c>
      <x:c r="J1057" s="274" t="n">
        <x:v>220</x:v>
      </x:c>
      <x:c r="K1057" s="274" t="n">
        <x:v>965</x:v>
      </x:c>
      <x:c r="M1057" s="274" t="s">
        <x:v>2285</x:v>
      </x:c>
      <x:c r="N1057" s="274" t="s">
        <x:v>131</x:v>
      </x:c>
    </x:row>
    <x:row r="1058" spans="1:14">
      <x:c r="A1058" s="274" t="s">
        <x:v>2286</x:v>
      </x:c>
      <x:c r="B1058" s="274" t="n">
        <x:v>0.99</x:v>
      </x:c>
      <x:c r="C1058" s="274" t="n">
        <x:v>30</x:v>
      </x:c>
      <x:c r="D1058" s="274" t="n">
        <x:v>35</x:v>
      </x:c>
      <x:c r="E1058" s="274" t="n">
        <x:v>33</x:v>
      </x:c>
      <x:c r="F1058" s="274" t="s">
        <x:v>333</x:v>
      </x:c>
      <x:c r="G1058" s="274" t="s">
        <x:v>153</x:v>
      </x:c>
      <x:c r="I1058" s="274" t="n">
        <x:v>1.6</x:v>
      </x:c>
      <x:c r="J1058" s="274" t="n">
        <x:v>255</x:v>
      </x:c>
      <x:c r="K1058" s="274" t="n">
        <x:v>310</x:v>
      </x:c>
      <x:c r="M1058" s="274" t="s">
        <x:v>934</x:v>
      </x:c>
      <x:c r="N1058" s="274" t="s">
        <x:v>131</x:v>
      </x:c>
    </x:row>
    <x:row r="1059" spans="1:14">
      <x:c r="A1059" s="274" t="s">
        <x:v>2287</x:v>
      </x:c>
      <x:c r="B1059" s="274" t="n">
        <x:v>1.54</x:v>
      </x:c>
      <x:c r="C1059" s="274" t="n">
        <x:v>0</x:v>
      </x:c>
      <x:c r="D1059" s="274" t="n">
        <x:v>0</x:v>
      </x:c>
      <x:c r="F1059" s="274" t="s">
        <x:v>133</x:v>
      </x:c>
      <x:c r="G1059" s="274" t="s">
        <x:v>134</x:v>
      </x:c>
      <x:c r="I1059" s="274" t="n">
        <x:v>2.9</x:v>
      </x:c>
      <x:c r="J1059" s="274" t="n">
        <x:v>160</x:v>
      </x:c>
      <x:c r="K1059" s="274" t="n">
        <x:v>423</x:v>
      </x:c>
      <x:c r="M1059" s="274" t="s">
        <x:v>2288</x:v>
      </x:c>
      <x:c r="N1059" s="274" t="s">
        <x:v>155</x:v>
      </x:c>
    </x:row>
    <x:row r="1060" spans="1:14">
      <x:c r="A1060" s="274" t="s">
        <x:v>2289</x:v>
      </x:c>
      <x:c r="B1060" s="274" t="n">
        <x:v>0.95</x:v>
      </x:c>
      <x:c r="C1060" s="274" t="n">
        <x:v>0</x:v>
      </x:c>
      <x:c r="D1060" s="274" t="n">
        <x:v>0</x:v>
      </x:c>
      <x:c r="F1060" s="274" t="s">
        <x:v>128</x:v>
      </x:c>
      <x:c r="G1060" s="274" t="s">
        <x:v>177</x:v>
      </x:c>
      <x:c r="H1060" s="274" t="n">
        <x:v>45</x:v>
      </x:c>
      <x:c r="I1060" s="274" t="n">
        <x:v>2</x:v>
      </x:c>
      <x:c r="J1060" s="274" t="n">
        <x:v>147</x:v>
      </x:c>
      <x:c r="K1060" s="274" t="n">
        <x:v>410</x:v>
      </x:c>
      <x:c r="M1060" s="274" t="s">
        <x:v>2290</x:v>
      </x:c>
      <x:c r="N1060" s="274" t="s">
        <x:v>131</x:v>
      </x:c>
    </x:row>
    <x:row r="1061" spans="1:14">
      <x:c r="A1061" s="274" t="s">
        <x:v>2291</x:v>
      </x:c>
      <x:c r="B1061" s="274" t="n">
        <x:v>2.65</x:v>
      </x:c>
      <x:c r="C1061" s="274" t="n">
        <x:v>0</x:v>
      </x:c>
      <x:c r="D1061" s="274" t="n">
        <x:v>0</x:v>
      </x:c>
      <x:c r="F1061" s="274" t="s">
        <x:v>128</x:v>
      </x:c>
      <x:c r="G1061" s="274" t="s">
        <x:v>136</x:v>
      </x:c>
      <x:c r="H1061" s="274" t="n">
        <x:v>45</x:v>
      </x:c>
      <x:c r="I1061" s="274" t="n">
        <x:v>2.6</x:v>
      </x:c>
      <x:c r="J1061" s="274" t="n">
        <x:v>186</x:v>
      </x:c>
      <x:c r="K1061" s="274" t="n">
        <x:v>695</x:v>
      </x:c>
      <x:c r="M1061" s="274" t="s">
        <x:v>2292</x:v>
      </x:c>
      <x:c r="N1061" s="274" t="s">
        <x:v>131</x:v>
      </x:c>
    </x:row>
    <x:row r="1062" spans="1:14">
      <x:c r="A1062" s="274" t="s">
        <x:v>2293</x:v>
      </x:c>
      <x:c r="B1062" s="274" t="n">
        <x:v>2.34</x:v>
      </x:c>
      <x:c r="C1062" s="274" t="n">
        <x:v>0</x:v>
      </x:c>
      <x:c r="D1062" s="274" t="n">
        <x:v>0</x:v>
      </x:c>
      <x:c r="F1062" s="274" t="s">
        <x:v>133</x:v>
      </x:c>
      <x:c r="G1062" s="274" t="s">
        <x:v>148</x:v>
      </x:c>
      <x:c r="I1062" s="274" t="n">
        <x:v>3.8</x:v>
      </x:c>
      <x:c r="J1062" s="274" t="n">
        <x:v>192</x:v>
      </x:c>
      <x:c r="K1062" s="274" t="n">
        <x:v>408</x:v>
      </x:c>
      <x:c r="M1062" s="274" t="s">
        <x:v>2294</x:v>
      </x:c>
      <x:c r="N1062" s="274" t="s">
        <x:v>155</x:v>
      </x:c>
    </x:row>
    <x:row r="1063" spans="1:14">
      <x:c r="A1063" s="274" t="s">
        <x:v>2295</x:v>
      </x:c>
      <x:c r="B1063" s="274" t="n">
        <x:v>1.34</x:v>
      </x:c>
      <x:c r="C1063" s="274" t="n">
        <x:v>0</x:v>
      </x:c>
      <x:c r="D1063" s="274" t="n">
        <x:v>0</x:v>
      </x:c>
      <x:c r="F1063" s="274" t="s">
        <x:v>133</x:v>
      </x:c>
      <x:c r="G1063" s="274" t="s">
        <x:v>148</x:v>
      </x:c>
      <x:c r="I1063" s="274" t="n">
        <x:v>3.6</x:v>
      </x:c>
      <x:c r="J1063" s="274" t="n">
        <x:v>440</x:v>
      </x:c>
      <x:c r="K1063" s="274" t="n">
        <x:v>108</x:v>
      </x:c>
      <x:c r="M1063" s="274" t="s">
        <x:v>2296</x:v>
      </x:c>
      <x:c r="N1063" s="274" t="s">
        <x:v>155</x:v>
      </x:c>
    </x:row>
    <x:row r="1064" spans="1:14">
      <x:c r="A1064" s="274" t="s">
        <x:v>2297</x:v>
      </x:c>
      <x:c r="B1064" s="274" t="n">
        <x:v>3.98</x:v>
      </x:c>
      <x:c r="C1064" s="274" t="n">
        <x:v>0</x:v>
      </x:c>
      <x:c r="D1064" s="274" t="n">
        <x:v>0</x:v>
      </x:c>
      <x:c r="F1064" s="274" t="s">
        <x:v>133</x:v>
      </x:c>
      <x:c r="G1064" s="274" t="s">
        <x:v>148</x:v>
      </x:c>
      <x:c r="I1064" s="274" t="n">
        <x:v>3.8</x:v>
      </x:c>
      <x:c r="J1064" s="274" t="n">
        <x:v>232</x:v>
      </x:c>
      <x:c r="K1064" s="274" t="n">
        <x:v>575</x:v>
      </x:c>
      <x:c r="M1064" s="274" t="s">
        <x:v>2298</x:v>
      </x:c>
      <x:c r="N1064" s="274" t="s">
        <x:v>131</x:v>
      </x:c>
    </x:row>
    <x:row r="1065" spans="1:14">
      <x:c r="A1065" s="274" t="s">
        <x:v>2299</x:v>
      </x:c>
      <x:c r="B1065" s="274" t="n">
        <x:v>3.39</x:v>
      </x:c>
      <x:c r="C1065" s="274" t="n">
        <x:v>0</x:v>
      </x:c>
      <x:c r="D1065" s="274" t="n">
        <x:v>0</x:v>
      </x:c>
      <x:c r="F1065" s="274" t="s">
        <x:v>133</x:v>
      </x:c>
      <x:c r="G1065" s="274" t="s">
        <x:v>148</x:v>
      </x:c>
      <x:c r="I1065" s="274" t="n">
        <x:v>4.5</x:v>
      </x:c>
      <x:c r="J1065" s="274" t="n">
        <x:v>126</x:v>
      </x:c>
      <x:c r="K1065" s="274" t="n">
        <x:v>762</x:v>
      </x:c>
      <x:c r="M1065" s="274" t="s">
        <x:v>2300</x:v>
      </x:c>
      <x:c r="N1065" s="274" t="s">
        <x:v>131</x:v>
      </x:c>
    </x:row>
    <x:row r="1066" spans="1:14">
      <x:c r="A1066" s="274" t="s">
        <x:v>2301</x:v>
      </x:c>
      <x:c r="B1066" s="274" t="n">
        <x:v>4.15</x:v>
      </x:c>
      <x:c r="C1066" s="274" t="n">
        <x:v>0</x:v>
      </x:c>
      <x:c r="D1066" s="274" t="n">
        <x:v>0</x:v>
      </x:c>
      <x:c r="F1066" s="274" t="s">
        <x:v>133</x:v>
      </x:c>
      <x:c r="G1066" s="274" t="s">
        <x:v>148</x:v>
      </x:c>
      <x:c r="I1066" s="274" t="n">
        <x:v>3.8</x:v>
      </x:c>
      <x:c r="J1066" s="274" t="n">
        <x:v>242</x:v>
      </x:c>
      <x:c r="K1066" s="274" t="n">
        <x:v>575</x:v>
      </x:c>
      <x:c r="M1066" s="274" t="s">
        <x:v>2302</x:v>
      </x:c>
      <x:c r="N1066" s="274" t="s">
        <x:v>131</x:v>
      </x:c>
    </x:row>
    <x:row r="1067" spans="1:14">
      <x:c r="A1067" s="274" t="s">
        <x:v>2303</x:v>
      </x:c>
      <x:c r="B1067" s="274" t="n">
        <x:v>1.54</x:v>
      </x:c>
      <x:c r="C1067" s="274" t="n">
        <x:v>0</x:v>
      </x:c>
      <x:c r="D1067" s="274" t="n">
        <x:v>35</x:v>
      </x:c>
      <x:c r="E1067" s="274" t="n">
        <x:v>33</x:v>
      </x:c>
      <x:c r="F1067" s="274" t="s">
        <x:v>133</x:v>
      </x:c>
      <x:c r="G1067" s="274" t="s">
        <x:v>134</x:v>
      </x:c>
      <x:c r="I1067" s="274" t="n">
        <x:v>2.9</x:v>
      </x:c>
      <x:c r="J1067" s="274" t="n">
        <x:v>160</x:v>
      </x:c>
      <x:c r="K1067" s="274" t="n">
        <x:v>423</x:v>
      </x:c>
      <x:c r="M1067" s="274" t="s">
        <x:v>2288</x:v>
      </x:c>
      <x:c r="N1067" s="274" t="s">
        <x:v>155</x:v>
      </x:c>
    </x:row>
    <x:row r="1068" spans="1:14">
      <x:c r="A1068" s="274" t="s">
        <x:v>2304</x:v>
      </x:c>
      <x:c r="B1068" s="274" t="n">
        <x:v>1.36</x:v>
      </x:c>
      <x:c r="C1068" s="274" t="n">
        <x:v>0</x:v>
      </x:c>
      <x:c r="D1068" s="274" t="n">
        <x:v>35</x:v>
      </x:c>
      <x:c r="E1068" s="274" t="n">
        <x:v>33</x:v>
      </x:c>
      <x:c r="F1068" s="274" t="s">
        <x:v>133</x:v>
      </x:c>
      <x:c r="G1068" s="274" t="s">
        <x:v>134</x:v>
      </x:c>
      <x:c r="I1068" s="274" t="n">
        <x:v>2.9</x:v>
      </x:c>
      <x:c r="J1068" s="274" t="n">
        <x:v>174</x:v>
      </x:c>
      <x:c r="K1068" s="274" t="n">
        <x:v>343</x:v>
      </x:c>
      <x:c r="M1068" s="274" t="s">
        <x:v>2305</x:v>
      </x:c>
      <x:c r="N1068" s="274" t="s">
        <x:v>131</x:v>
      </x:c>
    </x:row>
    <x:row r="1069" spans="1:14">
      <x:c r="A1069" s="274" t="s">
        <x:v>2306</x:v>
      </x:c>
      <x:c r="B1069" s="274" t="n">
        <x:v>2.65</x:v>
      </x:c>
      <x:c r="C1069" s="274" t="n">
        <x:v>0</x:v>
      </x:c>
      <x:c r="D1069" s="274" t="n">
        <x:v>35</x:v>
      </x:c>
      <x:c r="E1069" s="274" t="n">
        <x:v>30</x:v>
      </x:c>
      <x:c r="F1069" s="274" t="s">
        <x:v>128</x:v>
      </x:c>
      <x:c r="G1069" s="274" t="s">
        <x:v>136</x:v>
      </x:c>
      <x:c r="H1069" s="274" t="n">
        <x:v>45</x:v>
      </x:c>
      <x:c r="I1069" s="274" t="n">
        <x:v>2.6</x:v>
      </x:c>
      <x:c r="J1069" s="274" t="n">
        <x:v>186</x:v>
      </x:c>
      <x:c r="K1069" s="274" t="n">
        <x:v>695</x:v>
      </x:c>
      <x:c r="M1069" s="274" t="s">
        <x:v>2292</x:v>
      </x:c>
      <x:c r="N1069" s="274" t="s">
        <x:v>131</x:v>
      </x:c>
    </x:row>
    <x:row r="1070" spans="1:14">
      <x:c r="A1070" s="274" t="s">
        <x:v>2307</x:v>
      </x:c>
      <x:c r="B1070" s="274" t="n">
        <x:v>3.14</x:v>
      </x:c>
      <x:c r="C1070" s="274" t="n">
        <x:v>0</x:v>
      </x:c>
      <x:c r="D1070" s="274" t="n">
        <x:v>0</x:v>
      </x:c>
      <x:c r="F1070" s="274" t="s">
        <x:v>133</x:v>
      </x:c>
      <x:c r="G1070" s="274" t="s">
        <x:v>136</x:v>
      </x:c>
      <x:c r="H1070" s="274" t="n">
        <x:v>45</x:v>
      </x:c>
      <x:c r="I1070" s="274" t="n">
        <x:v>1.6</x:v>
      </x:c>
      <x:c r="J1070" s="274" t="n">
        <x:v>645</x:v>
      </x:c>
      <x:c r="K1070" s="274" t="n">
        <x:v>385</x:v>
      </x:c>
      <x:c r="M1070" s="274" t="s">
        <x:v>2308</x:v>
      </x:c>
      <x:c r="N1070" s="274" t="s">
        <x:v>870</x:v>
      </x:c>
    </x:row>
    <x:row r="1071" spans="1:14">
      <x:c r="A1071" s="274" t="s">
        <x:v>2309</x:v>
      </x:c>
      <x:c r="B1071" s="274" t="n">
        <x:v>5.01</x:v>
      </x:c>
      <x:c r="C1071" s="274" t="n">
        <x:v>0</x:v>
      </x:c>
      <x:c r="D1071" s="274" t="n">
        <x:v>0</x:v>
      </x:c>
      <x:c r="F1071" s="274" t="s">
        <x:v>133</x:v>
      </x:c>
      <x:c r="G1071" s="274" t="s">
        <x:v>2310</x:v>
      </x:c>
      <x:c r="I1071" s="274" t="n">
        <x:v>4</x:v>
      </x:c>
      <x:c r="J1071" s="274" t="n">
        <x:v>152</x:v>
      </x:c>
      <x:c r="K1071" s="274" t="n">
        <x:v>1050</x:v>
      </x:c>
      <x:c r="M1071" s="274" t="s">
        <x:v>2311</x:v>
      </x:c>
      <x:c r="N1071" s="274" t="s">
        <x:v>421</x:v>
      </x:c>
    </x:row>
    <x:row r="1072" spans="1:14">
      <x:c r="A1072" s="274" t="s">
        <x:v>2312</x:v>
      </x:c>
      <x:c r="B1072" s="274" t="n">
        <x:v>2.91</x:v>
      </x:c>
      <x:c r="C1072" s="274" t="n">
        <x:v>0</x:v>
      </x:c>
      <x:c r="D1072" s="274" t="n">
        <x:v>0</x:v>
      </x:c>
      <x:c r="F1072" s="274" t="s">
        <x:v>133</x:v>
      </x:c>
      <x:c r="G1072" s="274" t="s">
        <x:v>136</x:v>
      </x:c>
      <x:c r="H1072" s="274" t="n">
        <x:v>45</x:v>
      </x:c>
      <x:c r="I1072" s="274" t="n">
        <x:v>1.6</x:v>
      </x:c>
      <x:c r="J1072" s="274" t="n">
        <x:v>390</x:v>
      </x:c>
      <x:c r="K1072" s="274" t="n">
        <x:v>590</x:v>
      </x:c>
      <x:c r="M1072" s="274" t="s">
        <x:v>2313</x:v>
      </x:c>
      <x:c r="N1072" s="274" t="s">
        <x:v>870</x:v>
      </x:c>
    </x:row>
    <x:row r="1073" spans="1:14">
      <x:c r="A1073" s="274" t="s">
        <x:v>2314</x:v>
      </x:c>
      <x:c r="B1073" s="274" t="n">
        <x:v>1.81</x:v>
      </x:c>
      <x:c r="C1073" s="274" t="n">
        <x:v>0</x:v>
      </x:c>
      <x:c r="D1073" s="274" t="n">
        <x:v>0</x:v>
      </x:c>
      <x:c r="F1073" s="274" t="s">
        <x:v>133</x:v>
      </x:c>
      <x:c r="G1073" s="274" t="s">
        <x:v>136</x:v>
      </x:c>
      <x:c r="H1073" s="274" t="n">
        <x:v>45</x:v>
      </x:c>
      <x:c r="I1073" s="274" t="n">
        <x:v>1.2</x:v>
      </x:c>
      <x:c r="J1073" s="274" t="n">
        <x:v>930</x:v>
      </x:c>
      <x:c r="K1073" s="274" t="n">
        <x:v>205</x:v>
      </x:c>
      <x:c r="M1073" s="274" t="s">
        <x:v>2315</x:v>
      </x:c>
      <x:c r="N1073" s="274" t="s">
        <x:v>870</x:v>
      </x:c>
    </x:row>
    <x:row r="1074" spans="1:14">
      <x:c r="A1074" s="274" t="s">
        <x:v>2316</x:v>
      </x:c>
      <x:c r="B1074" s="274" t="n">
        <x:v>2.71</x:v>
      </x:c>
      <x:c r="C1074" s="274" t="n">
        <x:v>0</x:v>
      </x:c>
      <x:c r="D1074" s="274" t="n">
        <x:v>35</x:v>
      </x:c>
      <x:c r="E1074" s="274" t="n">
        <x:v>33</x:v>
      </x:c>
      <x:c r="F1074" s="274" t="s">
        <x:v>133</x:v>
      </x:c>
      <x:c r="G1074" s="274" t="s">
        <x:v>134</x:v>
      </x:c>
      <x:c r="I1074" s="274" t="n">
        <x:v>2.6</x:v>
      </x:c>
      <x:c r="J1074" s="274" t="n">
        <x:v>400</x:v>
      </x:c>
      <x:c r="K1074" s="274" t="n">
        <x:v>332</x:v>
      </x:c>
      <x:c r="M1074" s="274" t="s">
        <x:v>2317</x:v>
      </x:c>
      <x:c r="N1074" s="274" t="s">
        <x:v>299</x:v>
      </x:c>
    </x:row>
    <x:row r="1075" spans="1:14">
      <x:c r="A1075" s="274" t="s">
        <x:v>2318</x:v>
      </x:c>
      <x:c r="B1075" s="274" t="n">
        <x:v>1.37</x:v>
      </x:c>
      <x:c r="C1075" s="274" t="n">
        <x:v>0</x:v>
      </x:c>
      <x:c r="D1075" s="274" t="n">
        <x:v>0</x:v>
      </x:c>
      <x:c r="F1075" s="274" t="s">
        <x:v>133</x:v>
      </x:c>
      <x:c r="G1075" s="274" t="s">
        <x:v>134</x:v>
      </x:c>
      <x:c r="I1075" s="274" t="n">
        <x:v>2.9</x:v>
      </x:c>
      <x:c r="J1075" s="274" t="n">
        <x:v>205</x:v>
      </x:c>
      <x:c r="K1075" s="274" t="n">
        <x:v>293</x:v>
      </x:c>
      <x:c r="M1075" s="274" t="s">
        <x:v>2319</x:v>
      </x:c>
      <x:c r="N1075" s="274" t="s">
        <x:v>299</x:v>
      </x:c>
    </x:row>
    <x:row r="1076" spans="1:14">
      <x:c r="A1076" s="274" t="s">
        <x:v>2320</x:v>
      </x:c>
      <x:c r="B1076" s="274" t="n">
        <x:v>1.96</x:v>
      </x:c>
      <x:c r="C1076" s="274" t="n">
        <x:v>0</x:v>
      </x:c>
      <x:c r="D1076" s="274" t="n">
        <x:v>46</x:v>
      </x:c>
      <x:c r="E1076" s="274" t="n">
        <x:v>0</x:v>
      </x:c>
      <x:c r="F1076" s="274" t="s">
        <x:v>133</x:v>
      </x:c>
      <x:c r="G1076" s="274" t="s">
        <x:v>144</x:v>
      </x:c>
      <x:c r="H1076" s="274" t="n">
        <x:v>45</x:v>
      </x:c>
      <x:c r="I1076" s="274" t="n">
        <x:v>1.4</x:v>
      </x:c>
      <x:c r="J1076" s="274" t="n">
        <x:v>395</x:v>
      </x:c>
      <x:c r="K1076" s="274" t="n">
        <x:v>896</x:v>
      </x:c>
      <x:c r="M1076" s="274" t="s">
        <x:v>2321</x:v>
      </x:c>
      <x:c r="N1076" s="274" t="s">
        <x:v>131</x:v>
      </x:c>
    </x:row>
    <x:row r="1077" spans="1:14">
      <x:c r="A1077" s="274" t="s">
        <x:v>2322</x:v>
      </x:c>
      <x:c r="B1077" s="274" t="n">
        <x:v>2.83</x:v>
      </x:c>
      <x:c r="C1077" s="274" t="n">
        <x:v>0</x:v>
      </x:c>
      <x:c r="D1077" s="274" t="n">
        <x:v>0</x:v>
      </x:c>
      <x:c r="F1077" s="274" t="s">
        <x:v>333</x:v>
      </x:c>
      <x:c r="G1077" s="274" t="s">
        <x:v>124</x:v>
      </x:c>
      <x:c r="I1077" s="274" t="n">
        <x:v>1</x:v>
      </x:c>
      <x:c r="J1077" s="274" t="n">
        <x:v>366</x:v>
      </x:c>
      <x:c r="K1077" s="274" t="n">
        <x:v>985</x:v>
      </x:c>
      <x:c r="M1077" s="274" t="s">
        <x:v>2323</x:v>
      </x:c>
      <x:c r="N1077" s="274" t="s">
        <x:v>372</x:v>
      </x:c>
    </x:row>
    <x:row r="1078" spans="1:14">
      <x:c r="A1078" s="274" t="s">
        <x:v>2324</x:v>
      </x:c>
      <x:c r="B1078" s="274" t="n">
        <x:v>2.19</x:v>
      </x:c>
      <x:c r="C1078" s="274" t="n">
        <x:v>24</x:v>
      </x:c>
      <x:c r="D1078" s="274" t="n">
        <x:v>35</x:v>
      </x:c>
      <x:c r="E1078" s="274" t="n">
        <x:v>30</x:v>
      </x:c>
      <x:c r="F1078" s="274" t="s">
        <x:v>133</x:v>
      </x:c>
      <x:c r="G1078" s="274" t="s">
        <x:v>136</x:v>
      </x:c>
      <x:c r="H1078" s="274" t="n">
        <x:v>45</x:v>
      </x:c>
      <x:c r="I1078" s="274" t="n">
        <x:v>1.6</x:v>
      </x:c>
      <x:c r="J1078" s="274" t="n">
        <x:v>276</x:v>
      </x:c>
      <x:c r="K1078" s="274" t="n">
        <x:v>626</x:v>
      </x:c>
      <x:c r="M1078" s="274" t="s">
        <x:v>2325</x:v>
      </x:c>
      <x:c r="N1078" s="274" t="s">
        <x:v>131</x:v>
      </x:c>
    </x:row>
    <x:row r="1079" spans="1:14">
      <x:c r="A1079" s="274" t="s">
        <x:v>2326</x:v>
      </x:c>
      <x:c r="B1079" s="274" t="n">
        <x:v>1.32</x:v>
      </x:c>
      <x:c r="C1079" s="274" t="n">
        <x:v>0</x:v>
      </x:c>
      <x:c r="D1079" s="274" t="n">
        <x:v>35</x:v>
      </x:c>
      <x:c r="E1079" s="274" t="n">
        <x:v>33</x:v>
      </x:c>
      <x:c r="F1079" s="274" t="s">
        <x:v>133</x:v>
      </x:c>
      <x:c r="G1079" s="274" t="s">
        <x:v>136</x:v>
      </x:c>
      <x:c r="H1079" s="274" t="n">
        <x:v>45</x:v>
      </x:c>
      <x:c r="I1079" s="274" t="n">
        <x:v>1.6</x:v>
      </x:c>
      <x:c r="J1079" s="274" t="n">
        <x:v>445</x:v>
      </x:c>
      <x:c r="K1079" s="274" t="n">
        <x:v>235</x:v>
      </x:c>
      <x:c r="M1079" s="274" t="s">
        <x:v>2327</x:v>
      </x:c>
      <x:c r="N1079" s="274" t="s">
        <x:v>131</x:v>
      </x:c>
    </x:row>
    <x:row r="1080" spans="1:14">
      <x:c r="A1080" s="274" t="s">
        <x:v>2328</x:v>
      </x:c>
      <x:c r="B1080" s="274" t="n">
        <x:v>1.46</x:v>
      </x:c>
      <x:c r="C1080" s="274" t="n">
        <x:v>0</x:v>
      </x:c>
      <x:c r="D1080" s="274" t="n">
        <x:v>0</x:v>
      </x:c>
      <x:c r="F1080" s="274" t="s">
        <x:v>133</x:v>
      </x:c>
      <x:c r="G1080" s="274" t="s">
        <x:v>134</x:v>
      </x:c>
      <x:c r="I1080" s="274" t="n">
        <x:v>2</x:v>
      </x:c>
      <x:c r="J1080" s="274" t="n">
        <x:v>133</x:v>
      </x:c>
      <x:c r="K1080" s="274" t="n">
        <x:v>700</x:v>
      </x:c>
      <x:c r="M1080" s="274" t="s">
        <x:v>1954</x:v>
      </x:c>
      <x:c r="N1080" s="274" t="s">
        <x:v>131</x:v>
      </x:c>
    </x:row>
    <x:row r="1081" spans="1:14">
      <x:c r="A1081" s="274" t="s">
        <x:v>2329</x:v>
      </x:c>
      <x:c r="B1081" s="274" t="n">
        <x:v>2.44</x:v>
      </x:c>
      <x:c r="C1081" s="274" t="n">
        <x:v>0</x:v>
      </x:c>
      <x:c r="D1081" s="274" t="n">
        <x:v>0</x:v>
      </x:c>
      <x:c r="F1081" s="274" t="s">
        <x:v>133</x:v>
      </x:c>
      <x:c r="G1081" s="274" t="s">
        <x:v>134</x:v>
      </x:c>
      <x:c r="I1081" s="274" t="n">
        <x:v>2</x:v>
      </x:c>
      <x:c r="J1081" s="274" t="n">
        <x:v>679</x:v>
      </x:c>
      <x:c r="K1081" s="274" t="n">
        <x:v>229</x:v>
      </x:c>
      <x:c r="M1081" s="274" t="s">
        <x:v>857</x:v>
      </x:c>
      <x:c r="N1081" s="274" t="s">
        <x:v>155</x:v>
      </x:c>
    </x:row>
    <x:row r="1082" spans="1:14">
      <x:c r="A1082" s="274" t="s">
        <x:v>2330</x:v>
      </x:c>
      <x:c r="B1082" s="274" t="n">
        <x:v>2.57</x:v>
      </x:c>
      <x:c r="C1082" s="274" t="n">
        <x:v>0</x:v>
      </x:c>
      <x:c r="D1082" s="274" t="n">
        <x:v>0</x:v>
      </x:c>
      <x:c r="F1082" s="274" t="s">
        <x:v>333</x:v>
      </x:c>
      <x:c r="G1082" s="274" t="s">
        <x:v>124</x:v>
      </x:c>
      <x:c r="I1082" s="274" t="n">
        <x:v>1.6</x:v>
      </x:c>
      <x:c r="J1082" s="274" t="n">
        <x:v>390</x:v>
      </x:c>
      <x:c r="K1082" s="274" t="n">
        <x:v>525</x:v>
      </x:c>
      <x:c r="M1082" s="274" t="s">
        <x:v>2331</x:v>
      </x:c>
      <x:c r="N1082" s="274" t="s">
        <x:v>870</x:v>
      </x:c>
    </x:row>
    <x:row r="1083" spans="1:14">
      <x:c r="A1083" s="274" t="s">
        <x:v>2332</x:v>
      </x:c>
      <x:c r="B1083" s="274" t="n">
        <x:v>0.54</x:v>
      </x:c>
      <x:c r="C1083" s="274" t="n">
        <x:v>0</x:v>
      </x:c>
      <x:c r="D1083" s="274" t="n">
        <x:v>0</x:v>
      </x:c>
      <x:c r="F1083" s="274" t="s">
        <x:v>333</x:v>
      </x:c>
      <x:c r="G1083" s="274" t="s">
        <x:v>153</x:v>
      </x:c>
      <x:c r="I1083" s="274" t="n">
        <x:v>1.6</x:v>
      </x:c>
      <x:c r="J1083" s="274" t="n">
        <x:v>282</x:v>
      </x:c>
      <x:c r="K1083" s="274" t="n">
        <x:v>152</x:v>
      </x:c>
      <x:c r="M1083" s="274" t="s">
        <x:v>2333</x:v>
      </x:c>
      <x:c r="N1083" s="274" t="s">
        <x:v>299</x:v>
      </x:c>
    </x:row>
    <x:row r="1084" spans="1:14">
      <x:c r="A1084" s="274" t="s">
        <x:v>2334</x:v>
      </x:c>
      <x:c r="B1084" s="274" t="n">
        <x:v>1.3</x:v>
      </x:c>
      <x:c r="C1084" s="274" t="n">
        <x:v>0</x:v>
      </x:c>
      <x:c r="D1084" s="274" t="n">
        <x:v>0</x:v>
      </x:c>
      <x:c r="F1084" s="274" t="s">
        <x:v>133</x:v>
      </x:c>
      <x:c r="G1084" s="274" t="s">
        <x:v>136</x:v>
      </x:c>
      <x:c r="H1084" s="274" t="n">
        <x:v>45</x:v>
      </x:c>
      <x:c r="I1084" s="274" t="n">
        <x:v>1.2</x:v>
      </x:c>
      <x:c r="J1084" s="274" t="n">
        <x:v>455</x:v>
      </x:c>
      <x:c r="K1084" s="274" t="n">
        <x:v>301</x:v>
      </x:c>
      <x:c r="M1084" s="274" t="s">
        <x:v>2335</x:v>
      </x:c>
      <x:c r="N1084" s="274" t="s">
        <x:v>870</x:v>
      </x:c>
    </x:row>
    <x:row r="1085" spans="1:14">
      <x:c r="A1085" s="274" t="s">
        <x:v>2336</x:v>
      </x:c>
      <x:c r="B1085" s="274" t="n">
        <x:v>0.48</x:v>
      </x:c>
      <x:c r="C1085" s="274" t="n">
        <x:v>0</x:v>
      </x:c>
      <x:c r="D1085" s="274" t="n">
        <x:v>0</x:v>
      </x:c>
      <x:c r="F1085" s="274" t="s">
        <x:v>133</x:v>
      </x:c>
      <x:c r="G1085" s="274" t="s">
        <x:v>136</x:v>
      </x:c>
      <x:c r="H1085" s="274" t="n">
        <x:v>45</x:v>
      </x:c>
      <x:c r="I1085" s="274" t="n">
        <x:v>1.6</x:v>
      </x:c>
      <x:c r="J1085" s="274" t="n">
        <x:v>110</x:v>
      </x:c>
      <x:c r="K1085" s="274" t="n">
        <x:v>347</x:v>
      </x:c>
      <x:c r="M1085" s="274" t="s">
        <x:v>2337</x:v>
      </x:c>
      <x:c r="N1085" s="274" t="s">
        <x:v>2338</x:v>
      </x:c>
    </x:row>
    <x:row r="1086" spans="1:14">
      <x:c r="A1086" s="274" t="s">
        <x:v>2339</x:v>
      </x:c>
      <x:c r="B1086" s="274" t="n">
        <x:v>1.29</x:v>
      </x:c>
      <x:c r="C1086" s="274" t="n">
        <x:v>0</x:v>
      </x:c>
      <x:c r="D1086" s="274" t="n">
        <x:v>0</x:v>
      </x:c>
      <x:c r="F1086" s="274" t="s">
        <x:v>133</x:v>
      </x:c>
      <x:c r="G1086" s="274" t="s">
        <x:v>136</x:v>
      </x:c>
      <x:c r="H1086" s="274" t="n">
        <x:v>45</x:v>
      </x:c>
      <x:c r="I1086" s="274" t="n">
        <x:v>1.6</x:v>
      </x:c>
      <x:c r="J1086" s="274" t="n">
        <x:v>68</x:v>
      </x:c>
      <x:c r="K1086" s="274" t="n">
        <x:v>1500</x:v>
      </x:c>
      <x:c r="M1086" s="274" t="s">
        <x:v>2340</x:v>
      </x:c>
      <x:c r="N1086" s="274" t="s">
        <x:v>2341</x:v>
      </x:c>
    </x:row>
    <x:row r="1087" spans="1:14">
      <x:c r="A1087" s="274" t="s">
        <x:v>2342</x:v>
      </x:c>
      <x:c r="B1087" s="274" t="n">
        <x:v>2.4</x:v>
      </x:c>
      <x:c r="C1087" s="274" t="n">
        <x:v>0</x:v>
      </x:c>
      <x:c r="D1087" s="274" t="n">
        <x:v>0</x:v>
      </x:c>
      <x:c r="F1087" s="274" t="s">
        <x:v>133</x:v>
      </x:c>
      <x:c r="G1087" s="274" t="s">
        <x:v>134</x:v>
      </x:c>
      <x:c r="I1087" s="274" t="n">
        <x:v>3.6</x:v>
      </x:c>
      <x:c r="J1087" s="274" t="n">
        <x:v>193</x:v>
      </x:c>
      <x:c r="K1087" s="274" t="n">
        <x:v>440</x:v>
      </x:c>
      <x:c r="M1087" s="274" t="s">
        <x:v>2343</x:v>
      </x:c>
      <x:c r="N1087" s="274" t="s">
        <x:v>299</x:v>
      </x:c>
    </x:row>
    <x:row r="1088" spans="1:14">
      <x:c r="A1088" s="274" t="s">
        <x:v>2344</x:v>
      </x:c>
      <x:c r="B1088" s="274" t="n">
        <x:v>1.42</x:v>
      </x:c>
      <x:c r="C1088" s="274" t="n">
        <x:v>0</x:v>
      </x:c>
      <x:c r="D1088" s="274" t="n">
        <x:v>0</x:v>
      </x:c>
      <x:c r="F1088" s="274" t="s">
        <x:v>133</x:v>
      </x:c>
      <x:c r="G1088" s="274" t="s">
        <x:v>136</x:v>
      </x:c>
      <x:c r="H1088" s="274" t="n">
        <x:v>45</x:v>
      </x:c>
      <x:c r="I1088" s="274" t="n">
        <x:v>1.6</x:v>
      </x:c>
      <x:c r="J1088" s="274" t="n">
        <x:v>75</x:v>
      </x:c>
      <x:c r="K1088" s="274" t="n">
        <x:v>1500</x:v>
      </x:c>
      <x:c r="M1088" s="274" t="s">
        <x:v>2345</x:v>
      </x:c>
      <x:c r="N1088" s="274" t="s">
        <x:v>2341</x:v>
      </x:c>
    </x:row>
    <x:row r="1089" spans="1:14">
      <x:c r="A1089" s="274" t="s">
        <x:v>2346</x:v>
      </x:c>
      <x:c r="B1089" s="274" t="n">
        <x:v>0.12</x:v>
      </x:c>
      <x:c r="C1089" s="274" t="n">
        <x:v>0</x:v>
      </x:c>
      <x:c r="D1089" s="274" t="n">
        <x:v>0</x:v>
      </x:c>
      <x:c r="F1089" s="274" t="s">
        <x:v>133</x:v>
      </x:c>
      <x:c r="G1089" s="274" t="s">
        <x:v>148</x:v>
      </x:c>
      <x:c r="I1089" s="274" t="n">
        <x:v>2.3</x:v>
      </x:c>
      <x:c r="J1089" s="274" t="n">
        <x:v>66</x:v>
      </x:c>
      <x:c r="K1089" s="274" t="n">
        <x:v>98</x:v>
      </x:c>
      <x:c r="M1089" s="274" t="s">
        <x:v>2347</x:v>
      </x:c>
      <x:c r="N1089" s="274" t="s">
        <x:v>748</x:v>
      </x:c>
    </x:row>
    <x:row r="1090" spans="1:14">
      <x:c r="A1090" s="274" t="s">
        <x:v>2348</x:v>
      </x:c>
      <x:c r="B1090" s="274" t="n">
        <x:v>0.87</x:v>
      </x:c>
      <x:c r="C1090" s="274" t="n">
        <x:v>0</x:v>
      </x:c>
      <x:c r="D1090" s="274" t="n">
        <x:v>0</x:v>
      </x:c>
      <x:c r="F1090" s="274" t="s">
        <x:v>133</x:v>
      </x:c>
      <x:c r="G1090" s="274" t="s">
        <x:v>134</x:v>
      </x:c>
      <x:c r="I1090" s="274" t="n">
        <x:v>2.6</x:v>
      </x:c>
      <x:c r="J1090" s="274" t="n">
        <x:v>103</x:v>
      </x:c>
      <x:c r="K1090" s="274" t="n">
        <x:v>415</x:v>
      </x:c>
      <x:c r="M1090" s="274" t="s">
        <x:v>2349</x:v>
      </x:c>
      <x:c r="N1090" s="274" t="s">
        <x:v>299</x:v>
      </x:c>
    </x:row>
    <x:row r="1091" spans="1:14">
      <x:c r="A1091" s="274" t="s">
        <x:v>2350</x:v>
      </x:c>
      <x:c r="B1091" s="274" t="n">
        <x:v>4.82</x:v>
      </x:c>
      <x:c r="C1091" s="274" t="n">
        <x:v>0</x:v>
      </x:c>
      <x:c r="D1091" s="274" t="n">
        <x:v>35</x:v>
      </x:c>
      <x:c r="E1091" s="274" t="n">
        <x:v>33</x:v>
      </x:c>
      <x:c r="F1091" s="274" t="s">
        <x:v>133</x:v>
      </x:c>
      <x:c r="G1091" s="274" t="s">
        <x:v>148</x:v>
      </x:c>
      <x:c r="I1091" s="274" t="n">
        <x:v>2.9</x:v>
      </x:c>
      <x:c r="J1091" s="274" t="n">
        <x:v>460</x:v>
      </x:c>
      <x:c r="K1091" s="274" t="n">
        <x:v>460</x:v>
      </x:c>
      <x:c r="M1091" s="274" t="s">
        <x:v>2351</x:v>
      </x:c>
      <x:c r="N1091" s="274" t="s">
        <x:v>299</x:v>
      </x:c>
    </x:row>
    <x:row r="1092" spans="1:14">
      <x:c r="A1092" s="274" t="s">
        <x:v>2352</x:v>
      </x:c>
      <x:c r="B1092" s="274" t="n">
        <x:v>1.59</x:v>
      </x:c>
      <x:c r="C1092" s="274" t="n">
        <x:v>0</x:v>
      </x:c>
      <x:c r="D1092" s="274" t="n">
        <x:v>0</x:v>
      </x:c>
      <x:c r="F1092" s="274" t="s">
        <x:v>133</x:v>
      </x:c>
      <x:c r="G1092" s="274" t="s">
        <x:v>136</x:v>
      </x:c>
      <x:c r="H1092" s="274" t="n">
        <x:v>45</x:v>
      </x:c>
      <x:c r="I1092" s="274" t="n">
        <x:v>1.6</x:v>
      </x:c>
      <x:c r="J1092" s="274" t="n">
        <x:v>420</x:v>
      </x:c>
      <x:c r="K1092" s="274" t="n">
        <x:v>300</x:v>
      </x:c>
      <x:c r="M1092" s="274" t="s">
        <x:v>2353</x:v>
      </x:c>
      <x:c r="N1092" s="274" t="s">
        <x:v>299</x:v>
      </x:c>
    </x:row>
    <x:row r="1093" spans="1:14">
      <x:c r="A1093" s="274" t="s">
        <x:v>2354</x:v>
      </x:c>
      <x:c r="B1093" s="274" t="n">
        <x:v>0.92</x:v>
      </x:c>
      <x:c r="C1093" s="274" t="n">
        <x:v>0</x:v>
      </x:c>
      <x:c r="D1093" s="274" t="n">
        <x:v>0</x:v>
      </x:c>
      <x:c r="F1093" s="274" t="s">
        <x:v>133</x:v>
      </x:c>
      <x:c r="G1093" s="274" t="s">
        <x:v>136</x:v>
      </x:c>
      <x:c r="H1093" s="274" t="n">
        <x:v>45</x:v>
      </x:c>
      <x:c r="I1093" s="274" t="n">
        <x:v>1.6</x:v>
      </x:c>
      <x:c r="J1093" s="274" t="n">
        <x:v>140</x:v>
      </x:c>
      <x:c r="K1093" s="274" t="n">
        <x:v>519</x:v>
      </x:c>
      <x:c r="M1093" s="274" t="s">
        <x:v>2355</x:v>
      </x:c>
      <x:c r="N1093" s="274" t="s">
        <x:v>299</x:v>
      </x:c>
    </x:row>
    <x:row r="1094" spans="1:14">
      <x:c r="A1094" s="274" t="s">
        <x:v>2356</x:v>
      </x:c>
      <x:c r="B1094" s="274" t="n">
        <x:v>0.36</x:v>
      </x:c>
      <x:c r="C1094" s="274" t="n">
        <x:v>0</x:v>
      </x:c>
      <x:c r="D1094" s="274" t="n">
        <x:v>0</x:v>
      </x:c>
      <x:c r="F1094" s="274" t="s">
        <x:v>133</x:v>
      </x:c>
      <x:c r="G1094" s="274" t="s">
        <x:v>134</x:v>
      </x:c>
      <x:c r="I1094" s="274" t="n">
        <x:v>2.6</x:v>
      </x:c>
      <x:c r="J1094" s="274" t="n">
        <x:v>410</x:v>
      </x:c>
      <x:c r="K1094" s="274" t="n">
        <x:v>43</x:v>
      </x:c>
      <x:c r="M1094" s="274" t="s">
        <x:v>2357</x:v>
      </x:c>
      <x:c r="N1094" s="274" t="s">
        <x:v>131</x:v>
      </x:c>
    </x:row>
    <x:row r="1095" spans="1:14">
      <x:c r="A1095" s="274" t="s">
        <x:v>2358</x:v>
      </x:c>
      <x:c r="B1095" s="274" t="n">
        <x:v>0.34</x:v>
      </x:c>
      <x:c r="C1095" s="274" t="n">
        <x:v>34</x:v>
      </x:c>
      <x:c r="D1095" s="274" t="n">
        <x:v>35</x:v>
      </x:c>
      <x:c r="E1095" s="274" t="n">
        <x:v>33</x:v>
      </x:c>
      <x:c r="F1095" s="274" t="s">
        <x:v>333</x:v>
      </x:c>
      <x:c r="G1095" s="274" t="s">
        <x:v>124</x:v>
      </x:c>
      <x:c r="I1095" s="274" t="n">
        <x:v>1</x:v>
      </x:c>
      <x:c r="J1095" s="274" t="n">
        <x:v>262</x:v>
      </x:c>
      <x:c r="K1095" s="274" t="n">
        <x:v>165</x:v>
      </x:c>
      <x:c r="M1095" s="274" t="s">
        <x:v>2359</x:v>
      </x:c>
      <x:c r="N1095" s="274" t="s">
        <x:v>155</x:v>
      </x:c>
    </x:row>
    <x:row r="1096" spans="1:14">
      <x:c r="A1096" s="274" t="s">
        <x:v>2360</x:v>
      </x:c>
      <x:c r="B1096" s="274" t="n">
        <x:v>0.32</x:v>
      </x:c>
      <x:c r="C1096" s="274" t="n">
        <x:v>32</x:v>
      </x:c>
      <x:c r="D1096" s="274" t="n">
        <x:v>35</x:v>
      </x:c>
      <x:c r="E1096" s="274" t="n">
        <x:v>33</x:v>
      </x:c>
      <x:c r="F1096" s="274" t="s">
        <x:v>333</x:v>
      </x:c>
      <x:c r="G1096" s="274" t="s">
        <x:v>153</x:v>
      </x:c>
      <x:c r="I1096" s="274" t="n">
        <x:v>1</x:v>
      </x:c>
      <x:c r="J1096" s="274" t="n">
        <x:v>252</x:v>
      </x:c>
      <x:c r="K1096" s="274" t="n">
        <x:v>163</x:v>
      </x:c>
      <x:c r="M1096" s="274" t="s">
        <x:v>2361</x:v>
      </x:c>
      <x:c r="N1096" s="274" t="s">
        <x:v>155</x:v>
      </x:c>
    </x:row>
    <x:row r="1097" spans="1:14">
      <x:c r="A1097" s="274" t="s">
        <x:v>2362</x:v>
      </x:c>
      <x:c r="B1097" s="274" t="n">
        <x:v>0.83</x:v>
      </x:c>
      <x:c r="C1097" s="274" t="n">
        <x:v>0</x:v>
      </x:c>
      <x:c r="D1097" s="274" t="n">
        <x:v>0</x:v>
      </x:c>
      <x:c r="F1097" s="274" t="s">
        <x:v>333</x:v>
      </x:c>
      <x:c r="G1097" s="274" t="s">
        <x:v>124</x:v>
      </x:c>
      <x:c r="I1097" s="274" t="n">
        <x:v>1.2</x:v>
      </x:c>
      <x:c r="J1097" s="274" t="n">
        <x:v>148</x:v>
      </x:c>
      <x:c r="K1097" s="274" t="n">
        <x:v>595</x:v>
      </x:c>
      <x:c r="M1097" s="274" t="s">
        <x:v>1367</x:v>
      </x:c>
      <x:c r="N1097" s="274" t="s">
        <x:v>155</x:v>
      </x:c>
    </x:row>
    <x:row r="1098" spans="1:14">
      <x:c r="A1098" s="274" t="s">
        <x:v>2363</x:v>
      </x:c>
      <x:c r="B1098" s="274" t="n">
        <x:v>5.33</x:v>
      </x:c>
      <x:c r="C1098" s="274" t="n">
        <x:v>25</x:v>
      </x:c>
      <x:c r="D1098" s="274" t="n">
        <x:v>48</x:v>
      </x:c>
      <x:c r="E1098" s="274" t="n">
        <x:v>0</x:v>
      </x:c>
      <x:c r="F1098" s="274" t="s">
        <x:v>123</x:v>
      </x:c>
      <x:c r="G1098" s="274" t="s">
        <x:v>2364</x:v>
      </x:c>
      <x:c r="I1098" s="274" t="n">
        <x:v>0.7</x:v>
      </x:c>
      <x:c r="J1098" s="274" t="n">
        <x:v>1600</x:v>
      </x:c>
      <x:c r="K1098" s="274" t="n">
        <x:v>820</x:v>
      </x:c>
      <x:c r="L1098" s="274" t="n">
        <x:v>400</x:v>
      </x:c>
      <x:c r="M1098" s="274" t="s">
        <x:v>2076</x:v>
      </x:c>
      <x:c r="N1098" s="274" t="s">
        <x:v>1983</x:v>
      </x:c>
    </x:row>
    <x:row r="1099" spans="1:14">
      <x:c r="A1099" s="274" t="s">
        <x:v>2365</x:v>
      </x:c>
      <x:c r="B1099" s="274" t="n">
        <x:v>0.9</x:v>
      </x:c>
      <x:c r="C1099" s="274" t="n">
        <x:v>28</x:v>
      </x:c>
      <x:c r="D1099" s="274" t="n">
        <x:v>35</x:v>
      </x:c>
      <x:c r="E1099" s="274" t="n">
        <x:v>33</x:v>
      </x:c>
      <x:c r="F1099" s="274" t="s">
        <x:v>333</x:v>
      </x:c>
      <x:c r="G1099" s="274" t="s">
        <x:v>153</x:v>
      </x:c>
      <x:c r="I1099" s="274" t="n">
        <x:v>1.6</x:v>
      </x:c>
      <x:c r="J1099" s="274" t="n">
        <x:v>340</x:v>
      </x:c>
      <x:c r="K1099" s="274" t="n">
        <x:v>210</x:v>
      </x:c>
      <x:c r="M1099" s="274" t="s">
        <x:v>901</x:v>
      </x:c>
      <x:c r="N1099" s="274" t="s">
        <x:v>131</x:v>
      </x:c>
    </x:row>
    <x:row r="1100" spans="1:14">
      <x:c r="A1100" s="274" t="s">
        <x:v>2366</x:v>
      </x:c>
      <x:c r="B1100" s="274" t="n">
        <x:v>5.33</x:v>
      </x:c>
      <x:c r="C1100" s="274" t="n">
        <x:v>25</x:v>
      </x:c>
      <x:c r="D1100" s="274" t="n">
        <x:v>48</x:v>
      </x:c>
      <x:c r="E1100" s="274" t="n">
        <x:v>0</x:v>
      </x:c>
      <x:c r="F1100" s="274" t="s">
        <x:v>123</x:v>
      </x:c>
      <x:c r="G1100" s="274" t="s">
        <x:v>2364</x:v>
      </x:c>
      <x:c r="I1100" s="274" t="n">
        <x:v>0.7</x:v>
      </x:c>
      <x:c r="J1100" s="274" t="n">
        <x:v>1600</x:v>
      </x:c>
      <x:c r="K1100" s="274" t="n">
        <x:v>820</x:v>
      </x:c>
      <x:c r="L1100" s="274" t="n">
        <x:v>400</x:v>
      </x:c>
      <x:c r="M1100" s="274" t="s">
        <x:v>2078</x:v>
      </x:c>
      <x:c r="N1100" s="274" t="s">
        <x:v>1983</x:v>
      </x:c>
    </x:row>
    <x:row r="1101" spans="1:14">
      <x:c r="A1101" s="274" t="s">
        <x:v>2367</x:v>
      </x:c>
      <x:c r="B1101" s="274" t="n">
        <x:v>2.32</x:v>
      </x:c>
      <x:c r="C1101" s="274" t="n">
        <x:v>0</x:v>
      </x:c>
      <x:c r="D1101" s="274" t="n">
        <x:v>32</x:v>
      </x:c>
      <x:c r="E1101" s="274" t="n">
        <x:v>40</x:v>
      </x:c>
      <x:c r="F1101" s="274" t="s">
        <x:v>184</x:v>
      </x:c>
      <x:c r="G1101" s="274" t="s">
        <x:v>144</x:v>
      </x:c>
      <x:c r="H1101" s="274" t="n">
        <x:v>45</x:v>
      </x:c>
      <x:c r="I1101" s="274" t="n">
        <x:v>0.9</x:v>
      </x:c>
      <x:c r="J1101" s="274" t="n">
        <x:v>885</x:v>
      </x:c>
      <x:c r="K1101" s="274" t="n">
        <x:v>366</x:v>
      </x:c>
      <x:c r="M1101" s="274" t="s">
        <x:v>2368</x:v>
      </x:c>
      <x:c r="N1101" s="274" t="s">
        <x:v>299</x:v>
      </x:c>
    </x:row>
    <x:row r="1102" spans="1:14">
      <x:c r="A1102" s="274" t="s">
        <x:v>2369</x:v>
      </x:c>
      <x:c r="B1102" s="274" t="n">
        <x:v>3.38</x:v>
      </x:c>
      <x:c r="C1102" s="274" t="n">
        <x:v>0</x:v>
      </x:c>
      <x:c r="D1102" s="274" t="n">
        <x:v>0</x:v>
      </x:c>
      <x:c r="F1102" s="274" t="s">
        <x:v>133</x:v>
      </x:c>
      <x:c r="G1102" s="274" t="s">
        <x:v>136</x:v>
      </x:c>
      <x:c r="H1102" s="274" t="n">
        <x:v>45</x:v>
      </x:c>
      <x:c r="I1102" s="274" t="n">
        <x:v>2</x:v>
      </x:c>
      <x:c r="J1102" s="274" t="n">
        <x:v>173</x:v>
      </x:c>
      <x:c r="K1102" s="274" t="n">
        <x:v>1239</x:v>
      </x:c>
      <x:c r="M1102" s="274" t="s">
        <x:v>2370</x:v>
      </x:c>
      <x:c r="N1102" s="274" t="s">
        <x:v>131</x:v>
      </x:c>
    </x:row>
    <x:row r="1103" spans="1:14">
      <x:c r="A1103" s="274" t="s">
        <x:v>2371</x:v>
      </x:c>
      <x:c r="B1103" s="274" t="n">
        <x:v>3.93</x:v>
      </x:c>
      <x:c r="C1103" s="274" t="n">
        <x:v>0</x:v>
      </x:c>
      <x:c r="D1103" s="274" t="n">
        <x:v>0</x:v>
      </x:c>
      <x:c r="F1103" s="274" t="s">
        <x:v>333</x:v>
      </x:c>
      <x:c r="G1103" s="274" t="s">
        <x:v>153</x:v>
      </x:c>
      <x:c r="I1103" s="274" t="n">
        <x:v>1</x:v>
      </x:c>
      <x:c r="J1103" s="274" t="n">
        <x:v>400</x:v>
      </x:c>
      <x:c r="K1103" s="274" t="n">
        <x:v>1250</x:v>
      </x:c>
      <x:c r="M1103" s="274" t="s">
        <x:v>2372</x:v>
      </x:c>
      <x:c r="N1103" s="274" t="s">
        <x:v>2373</x:v>
      </x:c>
    </x:row>
    <x:row r="1104" spans="1:14">
      <x:c r="A1104" s="274" t="s">
        <x:v>2374</x:v>
      </x:c>
      <x:c r="B1104" s="274" t="n">
        <x:v>2.14</x:v>
      </x:c>
      <x:c r="C1104" s="274" t="n">
        <x:v>0</x:v>
      </x:c>
      <x:c r="D1104" s="274" t="n">
        <x:v>0</x:v>
      </x:c>
      <x:c r="F1104" s="274" t="s">
        <x:v>333</x:v>
      </x:c>
      <x:c r="G1104" s="274" t="s">
        <x:v>209</x:v>
      </x:c>
      <x:c r="I1104" s="274" t="n">
        <x:v>1</x:v>
      </x:c>
      <x:c r="J1104" s="274" t="n">
        <x:v>218</x:v>
      </x:c>
      <x:c r="K1104" s="274" t="n">
        <x:v>1250</x:v>
      </x:c>
      <x:c r="M1104" s="274" t="s">
        <x:v>2375</x:v>
      </x:c>
      <x:c r="N1104" s="274" t="s">
        <x:v>421</x:v>
      </x:c>
    </x:row>
    <x:row r="1105" spans="1:14">
      <x:c r="A1105" s="274" t="s">
        <x:v>2376</x:v>
      </x:c>
      <x:c r="B1105" s="274" t="n">
        <x:v>1.21</x:v>
      </x:c>
      <x:c r="C1105" s="274" t="n">
        <x:v>0</x:v>
      </x:c>
      <x:c r="D1105" s="274" t="n">
        <x:v>0</x:v>
      </x:c>
      <x:c r="F1105" s="274" t="s">
        <x:v>333</x:v>
      </x:c>
      <x:c r="G1105" s="274" t="s">
        <x:v>124</x:v>
      </x:c>
      <x:c r="I1105" s="274" t="n">
        <x:v>1.4</x:v>
      </x:c>
      <x:c r="J1105" s="274" t="n">
        <x:v>325</x:v>
      </x:c>
      <x:c r="K1105" s="274" t="n">
        <x:v>340</x:v>
      </x:c>
      <x:c r="M1105" s="274" t="s">
        <x:v>2377</x:v>
      </x:c>
      <x:c r="N1105" s="274" t="s">
        <x:v>421</x:v>
      </x:c>
    </x:row>
    <x:row r="1106" spans="1:14">
      <x:c r="A1106" s="274" t="s">
        <x:v>2378</x:v>
      </x:c>
      <x:c r="B1106" s="274" t="n">
        <x:v>2.18</x:v>
      </x:c>
      <x:c r="C1106" s="274" t="n">
        <x:v>0</x:v>
      </x:c>
      <x:c r="D1106" s="274" t="n">
        <x:v>0</x:v>
      </x:c>
      <x:c r="F1106" s="274" t="s">
        <x:v>333</x:v>
      </x:c>
      <x:c r="G1106" s="274" t="s">
        <x:v>124</x:v>
      </x:c>
      <x:c r="I1106" s="274" t="n">
        <x:v>1.2</x:v>
      </x:c>
      <x:c r="J1106" s="274" t="n">
        <x:v>185</x:v>
      </x:c>
      <x:c r="K1106" s="274" t="n">
        <x:v>1250</x:v>
      </x:c>
      <x:c r="M1106" s="274" t="s">
        <x:v>2379</x:v>
      </x:c>
      <x:c r="N1106" s="274" t="s">
        <x:v>421</x:v>
      </x:c>
    </x:row>
    <x:row r="1107" spans="1:14">
      <x:c r="A1107" s="274" t="s">
        <x:v>2380</x:v>
      </x:c>
      <x:c r="B1107" s="274" t="n">
        <x:v>3.36</x:v>
      </x:c>
      <x:c r="C1107" s="274" t="n">
        <x:v>0</x:v>
      </x:c>
      <x:c r="D1107" s="274" t="n">
        <x:v>0</x:v>
      </x:c>
      <x:c r="F1107" s="274" t="s">
        <x:v>333</x:v>
      </x:c>
      <x:c r="G1107" s="274" t="s">
        <x:v>124</x:v>
      </x:c>
      <x:c r="I1107" s="274" t="n">
        <x:v>1.6</x:v>
      </x:c>
      <x:c r="J1107" s="274" t="n">
        <x:v>214</x:v>
      </x:c>
      <x:c r="K1107" s="274" t="n">
        <x:v>1250</x:v>
      </x:c>
      <x:c r="M1107" s="274" t="s">
        <x:v>2381</x:v>
      </x:c>
      <x:c r="N1107" s="274" t="s">
        <x:v>162</x:v>
      </x:c>
    </x:row>
    <x:row r="1108" spans="1:14">
      <x:c r="A1108" s="274" t="s">
        <x:v>2382</x:v>
      </x:c>
      <x:c r="B1108" s="274" t="n">
        <x:v>6.78</x:v>
      </x:c>
      <x:c r="C1108" s="274" t="n">
        <x:v>0</x:v>
      </x:c>
      <x:c r="D1108" s="274" t="n">
        <x:v>0</x:v>
      </x:c>
      <x:c r="F1108" s="274" t="s">
        <x:v>333</x:v>
      </x:c>
      <x:c r="G1108" s="274" t="s">
        <x:v>124</x:v>
      </x:c>
      <x:c r="I1108" s="274" t="n">
        <x:v>1.6</x:v>
      </x:c>
      <x:c r="J1108" s="274" t="n">
        <x:v>490.5</x:v>
      </x:c>
      <x:c r="K1108" s="274" t="n">
        <x:v>1100</x:v>
      </x:c>
      <x:c r="M1108" s="274" t="s">
        <x:v>2383</x:v>
      </x:c>
      <x:c r="N1108" s="274" t="s">
        <x:v>162</x:v>
      </x:c>
    </x:row>
    <x:row r="1109" spans="1:14">
      <x:c r="A1109" s="274" t="s">
        <x:v>2384</x:v>
      </x:c>
      <x:c r="B1109" s="274" t="n">
        <x:v>0.46</x:v>
      </x:c>
      <x:c r="C1109" s="274" t="n">
        <x:v>0</x:v>
      </x:c>
      <x:c r="D1109" s="274" t="n">
        <x:v>0</x:v>
      </x:c>
      <x:c r="F1109" s="274" t="s">
        <x:v>333</x:v>
      </x:c>
      <x:c r="G1109" s="274" t="s">
        <x:v>209</x:v>
      </x:c>
      <x:c r="I1109" s="274" t="n">
        <x:v>1.2</x:v>
      </x:c>
      <x:c r="J1109" s="274" t="n">
        <x:v>220</x:v>
      </x:c>
      <x:c r="K1109" s="274" t="n">
        <x:v>220</x:v>
      </x:c>
      <x:c r="M1109" s="274" t="s">
        <x:v>2385</x:v>
      </x:c>
      <x:c r="N1109" s="274" t="s">
        <x:v>1168</x:v>
      </x:c>
    </x:row>
    <x:row r="1110" spans="1:14">
      <x:c r="A1110" s="274" t="s">
        <x:v>2386</x:v>
      </x:c>
      <x:c r="B1110" s="274" t="n">
        <x:v>2.55</x:v>
      </x:c>
      <x:c r="C1110" s="274" t="n">
        <x:v>0</x:v>
      </x:c>
      <x:c r="D1110" s="274" t="n">
        <x:v>35</x:v>
      </x:c>
      <x:c r="E1110" s="274" t="n">
        <x:v>0</x:v>
      </x:c>
      <x:c r="F1110" s="274" t="s">
        <x:v>311</x:v>
      </x:c>
      <x:c r="G1110" s="274" t="s">
        <x:v>828</x:v>
      </x:c>
      <x:c r="H1110" s="274" t="s">
        <x:v>837</x:v>
      </x:c>
      <x:c r="I1110" s="274" t="n">
        <x:v>0.8</x:v>
      </x:c>
      <x:c r="J1110" s="274" t="n">
        <x:v>530</x:v>
      </x:c>
      <x:c r="K1110" s="274" t="n">
        <x:v>765</x:v>
      </x:c>
      <x:c r="M1110" s="274" t="s">
        <x:v>2387</x:v>
      </x:c>
      <x:c r="N1110" s="274" t="s">
        <x:v>831</x:v>
      </x:c>
    </x:row>
    <x:row r="1111" spans="1:14">
      <x:c r="A1111" s="274" t="s">
        <x:v>2388</x:v>
      </x:c>
      <x:c r="B1111" s="274" t="n">
        <x:v>0.79</x:v>
      </x:c>
      <x:c r="C1111" s="274" t="n">
        <x:v>0</x:v>
      </x:c>
      <x:c r="D1111" s="274" t="n">
        <x:v>26</x:v>
      </x:c>
      <x:c r="E1111" s="274" t="n">
        <x:v>13</x:v>
      </x:c>
      <x:c r="F1111" s="274" t="s">
        <x:v>333</x:v>
      </x:c>
      <x:c r="G1111" s="274" t="s">
        <x:v>153</x:v>
      </x:c>
      <x:c r="I1111" s="274" t="n">
        <x:v>0.65</x:v>
      </x:c>
      <x:c r="J1111" s="274" t="n">
        <x:v>155</x:v>
      </x:c>
      <x:c r="K1111" s="274" t="n">
        <x:v>1000</x:v>
      </x:c>
      <x:c r="M1111" s="274" t="s">
        <x:v>747</x:v>
      </x:c>
      <x:c r="N1111" s="274" t="s">
        <x:v>748</x:v>
      </x:c>
    </x:row>
    <x:row r="1112" spans="1:14">
      <x:c r="A1112" s="274" t="s">
        <x:v>2389</x:v>
      </x:c>
      <x:c r="B1112" s="274" t="n">
        <x:v>4.25</x:v>
      </x:c>
      <x:c r="C1112" s="274" t="n">
        <x:v>0</x:v>
      </x:c>
      <x:c r="D1112" s="274" t="n">
        <x:v>0</x:v>
      </x:c>
      <x:c r="F1112" s="274" t="s">
        <x:v>133</x:v>
      </x:c>
      <x:c r="G1112" s="274" t="s">
        <x:v>134</x:v>
      </x:c>
      <x:c r="I1112" s="274" t="n">
        <x:v>3.2</x:v>
      </x:c>
      <x:c r="J1112" s="274" t="n">
        <x:v>512</x:v>
      </x:c>
      <x:c r="K1112" s="274" t="n">
        <x:v>330</x:v>
      </x:c>
      <x:c r="M1112" s="274" t="s">
        <x:v>2390</x:v>
      </x:c>
      <x:c r="N1112" s="274" t="s">
        <x:v>155</x:v>
      </x:c>
    </x:row>
    <x:row r="1113" spans="1:14">
      <x:c r="A1113" s="274" t="s">
        <x:v>2391</x:v>
      </x:c>
      <x:c r="B1113" s="274" t="n">
        <x:v>0.36</x:v>
      </x:c>
      <x:c r="C1113" s="274" t="n">
        <x:v>0</x:v>
      </x:c>
      <x:c r="D1113" s="274" t="n">
        <x:v>0</x:v>
      </x:c>
      <x:c r="F1113" s="274" t="s">
        <x:v>133</x:v>
      </x:c>
      <x:c r="G1113" s="274" t="s">
        <x:v>134</x:v>
      </x:c>
      <x:c r="I1113" s="274" t="n">
        <x:v>2.3</x:v>
      </x:c>
      <x:c r="J1113" s="274" t="n">
        <x:v>100</x:v>
      </x:c>
      <x:c r="K1113" s="274" t="n">
        <x:v>200</x:v>
      </x:c>
      <x:c r="M1113" s="274" t="s">
        <x:v>2392</x:v>
      </x:c>
      <x:c r="N1113" s="274" t="s">
        <x:v>131</x:v>
      </x:c>
    </x:row>
    <x:row r="1114" spans="1:14">
      <x:c r="A1114" s="274" t="s">
        <x:v>2393</x:v>
      </x:c>
      <x:c r="B1114" s="274" t="n">
        <x:v>1.95</x:v>
      </x:c>
      <x:c r="C1114" s="274" t="n">
        <x:v>30</x:v>
      </x:c>
      <x:c r="D1114" s="274" t="n">
        <x:v>62</x:v>
      </x:c>
      <x:c r="E1114" s="274" t="n">
        <x:v>0</x:v>
      </x:c>
      <x:c r="F1114" s="274" t="s">
        <x:v>123</x:v>
      </x:c>
      <x:c r="G1114" s="274" t="s">
        <x:v>2394</x:v>
      </x:c>
      <x:c r="I1114" s="274" t="n">
        <x:v>0.7</x:v>
      </x:c>
      <x:c r="J1114" s="274" t="n">
        <x:v>740</x:v>
      </x:c>
      <x:c r="K1114" s="274" t="n">
        <x:v>420</x:v>
      </x:c>
      <x:c r="L1114" s="274" t="n">
        <x:v>540</x:v>
      </x:c>
      <x:c r="M1114" s="274" t="s">
        <x:v>2395</x:v>
      </x:c>
      <x:c r="N1114" s="274" t="s">
        <x:v>2396</x:v>
      </x:c>
    </x:row>
    <x:row r="1115" spans="1:14">
      <x:c r="A1115" s="274" t="s">
        <x:v>2397</x:v>
      </x:c>
      <x:c r="B1115" s="274" t="n">
        <x:v>0.43</x:v>
      </x:c>
      <x:c r="C1115" s="274" t="n">
        <x:v>0</x:v>
      </x:c>
      <x:c r="D1115" s="274" t="n">
        <x:v>0</x:v>
      </x:c>
      <x:c r="F1115" s="274" t="s">
        <x:v>333</x:v>
      </x:c>
      <x:c r="G1115" s="274" t="s">
        <x:v>209</x:v>
      </x:c>
      <x:c r="I1115" s="274" t="n">
        <x:v>1.2</x:v>
      </x:c>
      <x:c r="J1115" s="274" t="n">
        <x:v>107</x:v>
      </x:c>
      <x:c r="K1115" s="274" t="n">
        <x:v>428</x:v>
      </x:c>
      <x:c r="M1115" s="274" t="s">
        <x:v>2398</x:v>
      </x:c>
      <x:c r="N1115" s="274" t="s">
        <x:v>1279</x:v>
      </x:c>
    </x:row>
    <x:row r="1116" spans="1:14">
      <x:c r="A1116" s="274" t="s">
        <x:v>2399</x:v>
      </x:c>
      <x:c r="B1116" s="274" t="n">
        <x:v>0.3</x:v>
      </x:c>
      <x:c r="C1116" s="274" t="n">
        <x:v>0</x:v>
      </x:c>
      <x:c r="D1116" s="274" t="n">
        <x:v>0</x:v>
      </x:c>
      <x:c r="F1116" s="274" t="s">
        <x:v>333</x:v>
      </x:c>
      <x:c r="G1116" s="274" t="s">
        <x:v>153</x:v>
      </x:c>
      <x:c r="I1116" s="274" t="n">
        <x:v>1.4</x:v>
      </x:c>
      <x:c r="J1116" s="274" t="n">
        <x:v>66</x:v>
      </x:c>
      <x:c r="K1116" s="274" t="n">
        <x:v>417</x:v>
      </x:c>
      <x:c r="M1116" s="274" t="s">
        <x:v>2400</x:v>
      </x:c>
      <x:c r="N1116" s="274" t="s">
        <x:v>1279</x:v>
      </x:c>
    </x:row>
    <x:row r="1117" spans="1:14">
      <x:c r="A1117" s="274" t="s">
        <x:v>2401</x:v>
      </x:c>
      <x:c r="B1117" s="274" t="n">
        <x:v>0.65</x:v>
      </x:c>
      <x:c r="C1117" s="274" t="n">
        <x:v>0</x:v>
      </x:c>
      <x:c r="D1117" s="274" t="n">
        <x:v>0</x:v>
      </x:c>
      <x:c r="F1117" s="274" t="s">
        <x:v>133</x:v>
      </x:c>
      <x:c r="G1117" s="274" t="s">
        <x:v>134</x:v>
      </x:c>
      <x:c r="I1117" s="274" t="n">
        <x:v>3.2</x:v>
      </x:c>
      <x:c r="J1117" s="274" t="n">
        <x:v>130</x:v>
      </x:c>
      <x:c r="K1117" s="274" t="n">
        <x:v>200</x:v>
      </x:c>
      <x:c r="M1117" s="274" t="s">
        <x:v>2402</x:v>
      </x:c>
      <x:c r="N1117" s="274" t="s">
        <x:v>1279</x:v>
      </x:c>
    </x:row>
    <x:row r="1118" spans="1:14">
      <x:c r="A1118" s="274" t="s">
        <x:v>2403</x:v>
      </x:c>
      <x:c r="B1118" s="274" t="n">
        <x:v>0.26</x:v>
      </x:c>
      <x:c r="C1118" s="274" t="n">
        <x:v>0</x:v>
      </x:c>
      <x:c r="D1118" s="274" t="n">
        <x:v>0</x:v>
      </x:c>
      <x:c r="F1118" s="274" t="s">
        <x:v>333</x:v>
      </x:c>
      <x:c r="G1118" s="274" t="s">
        <x:v>209</x:v>
      </x:c>
      <x:c r="I1118" s="274" t="n">
        <x:v>1</x:v>
      </x:c>
      <x:c r="J1118" s="274" t="n">
        <x:v>75</x:v>
      </x:c>
      <x:c r="K1118" s="274" t="n">
        <x:v>450</x:v>
      </x:c>
      <x:c r="M1118" s="274" t="s">
        <x:v>2404</x:v>
      </x:c>
      <x:c r="N1118" s="274" t="s">
        <x:v>1279</x:v>
      </x:c>
    </x:row>
    <x:row r="1119" spans="1:14">
      <x:c r="A1119" s="274" t="s">
        <x:v>2405</x:v>
      </x:c>
      <x:c r="B1119" s="274" t="n">
        <x:v>0.85</x:v>
      </x:c>
      <x:c r="C1119" s="274" t="n">
        <x:v>0</x:v>
      </x:c>
      <x:c r="D1119" s="274" t="n">
        <x:v>0</x:v>
      </x:c>
      <x:c r="F1119" s="274" t="s">
        <x:v>333</x:v>
      </x:c>
      <x:c r="G1119" s="274" t="s">
        <x:v>209</x:v>
      </x:c>
      <x:c r="I1119" s="274" t="n">
        <x:v>1.6</x:v>
      </x:c>
      <x:c r="J1119" s="274" t="n">
        <x:v>150</x:v>
      </x:c>
      <x:c r="K1119" s="274" t="n">
        <x:v>450</x:v>
      </x:c>
      <x:c r="M1119" s="274" t="s">
        <x:v>2406</x:v>
      </x:c>
      <x:c r="N1119" s="274" t="s">
        <x:v>1279</x:v>
      </x:c>
    </x:row>
    <x:row r="1120" spans="1:14">
      <x:c r="A1120" s="274" t="s">
        <x:v>2407</x:v>
      </x:c>
      <x:c r="B1120" s="274" t="n">
        <x:v>3.18</x:v>
      </x:c>
      <x:c r="C1120" s="274" t="n">
        <x:v>0</x:v>
      </x:c>
      <x:c r="D1120" s="274" t="n">
        <x:v>0</x:v>
      </x:c>
      <x:c r="F1120" s="274" t="s">
        <x:v>133</x:v>
      </x:c>
      <x:c r="G1120" s="274" t="s">
        <x:v>148</x:v>
      </x:c>
      <x:c r="I1120" s="274" t="n">
        <x:v>2.9</x:v>
      </x:c>
      <x:c r="J1120" s="274" t="n">
        <x:v>290</x:v>
      </x:c>
      <x:c r="K1120" s="274" t="n">
        <x:v>482.5</x:v>
      </x:c>
      <x:c r="M1120" s="274" t="s">
        <x:v>2408</x:v>
      </x:c>
      <x:c r="N1120" s="274" t="s">
        <x:v>1279</x:v>
      </x:c>
    </x:row>
    <x:row r="1121" spans="1:14">
      <x:c r="A1121" s="274" t="s">
        <x:v>2409</x:v>
      </x:c>
      <x:c r="B1121" s="274" t="n">
        <x:v>0.97</x:v>
      </x:c>
      <x:c r="C1121" s="274" t="n">
        <x:v>0</x:v>
      </x:c>
      <x:c r="D1121" s="274" t="n">
        <x:v>0</x:v>
      </x:c>
      <x:c r="F1121" s="274" t="s">
        <x:v>133</x:v>
      </x:c>
      <x:c r="G1121" s="274" t="s">
        <x:v>134</x:v>
      </x:c>
      <x:c r="I1121" s="274" t="n">
        <x:v>2</x:v>
      </x:c>
      <x:c r="J1121" s="274" t="n">
        <x:v>487</x:v>
      </x:c>
      <x:c r="K1121" s="274" t="n">
        <x:v>127</x:v>
      </x:c>
      <x:c r="M1121" s="274" t="s">
        <x:v>182</x:v>
      </x:c>
      <x:c r="N1121" s="274" t="s">
        <x:v>1279</x:v>
      </x:c>
    </x:row>
    <x:row r="1122" spans="1:14">
      <x:c r="A1122" s="274" t="s">
        <x:v>2410</x:v>
      </x:c>
      <x:c r="B1122" s="274" t="n">
        <x:v>10.3</x:v>
      </x:c>
      <x:c r="C1122" s="274" t="n">
        <x:v>25</x:v>
      </x:c>
      <x:c r="D1122" s="274" t="n">
        <x:v>25</x:v>
      </x:c>
      <x:c r="E1122" s="274" t="n">
        <x:v>0</x:v>
      </x:c>
      <x:c r="F1122" s="274" t="s">
        <x:v>333</x:v>
      </x:c>
      <x:c r="G1122" s="274" t="s">
        <x:v>153</x:v>
      </x:c>
      <x:c r="I1122" s="274" t="n">
        <x:v>1.8</x:v>
      </x:c>
      <x:c r="J1122" s="274" t="n">
        <x:v>770</x:v>
      </x:c>
      <x:c r="K1122" s="274" t="n">
        <x:v>600</x:v>
      </x:c>
      <x:c r="L1122" s="274" t="n">
        <x:v>1294</x:v>
      </x:c>
      <x:c r="M1122" s="274" t="s">
        <x:v>2411</x:v>
      </x:c>
      <x:c r="N1122" s="274" t="s">
        <x:v>1279</x:v>
      </x:c>
    </x:row>
    <x:row r="1123" spans="1:14">
      <x:c r="A1123" s="274" t="s">
        <x:v>2412</x:v>
      </x:c>
      <x:c r="B1123" s="274" t="n">
        <x:v>0.38</x:v>
      </x:c>
      <x:c r="C1123" s="274" t="n">
        <x:v>0</x:v>
      </x:c>
      <x:c r="D1123" s="274" t="n">
        <x:v>0</x:v>
      </x:c>
      <x:c r="F1123" s="274" t="s">
        <x:v>133</x:v>
      </x:c>
      <x:c r="G1123" s="274" t="s">
        <x:v>134</x:v>
      </x:c>
      <x:c r="I1123" s="274" t="n">
        <x:v>3.6</x:v>
      </x:c>
      <x:c r="J1123" s="274" t="n">
        <x:v>57</x:v>
      </x:c>
      <x:c r="K1123" s="274" t="n">
        <x:v>236</x:v>
      </x:c>
      <x:c r="M1123" s="274" t="s">
        <x:v>2413</x:v>
      </x:c>
      <x:c r="N1123" s="274" t="s">
        <x:v>155</x:v>
      </x:c>
    </x:row>
    <x:row r="1124" spans="1:14">
      <x:c r="A1124" s="274" t="s">
        <x:v>2414</x:v>
      </x:c>
      <x:c r="B1124" s="274" t="n">
        <x:v>1.89</x:v>
      </x:c>
      <x:c r="C1124" s="274" t="n">
        <x:v>0</x:v>
      </x:c>
      <x:c r="D1124" s="274" t="n">
        <x:v>0</x:v>
      </x:c>
      <x:c r="F1124" s="274" t="s">
        <x:v>133</x:v>
      </x:c>
      <x:c r="G1124" s="274" t="s">
        <x:v>134</x:v>
      </x:c>
      <x:c r="I1124" s="274" t="n">
        <x:v>3.6</x:v>
      </x:c>
      <x:c r="J1124" s="274" t="n">
        <x:v>135</x:v>
      </x:c>
      <x:c r="K1124" s="274" t="n">
        <x:v>495</x:v>
      </x:c>
      <x:c r="M1124" s="274" t="s">
        <x:v>2415</x:v>
      </x:c>
      <x:c r="N1124" s="274" t="s">
        <x:v>2416</x:v>
      </x:c>
    </x:row>
    <x:row r="1125" spans="1:14">
      <x:c r="A1125" s="274" t="s">
        <x:v>2417</x:v>
      </x:c>
      <x:c r="B1125" s="274" t="n">
        <x:v>3.72</x:v>
      </x:c>
      <x:c r="C1125" s="274" t="n">
        <x:v>0</x:v>
      </x:c>
      <x:c r="D1125" s="274" t="n">
        <x:v>0</x:v>
      </x:c>
      <x:c r="F1125" s="274" t="s">
        <x:v>133</x:v>
      </x:c>
      <x:c r="G1125" s="274" t="s">
        <x:v>134</x:v>
      </x:c>
      <x:c r="I1125" s="274" t="n">
        <x:v>3.6</x:v>
      </x:c>
      <x:c r="J1125" s="274" t="n">
        <x:v>183</x:v>
      </x:c>
      <x:c r="K1125" s="274" t="n">
        <x:v>720</x:v>
      </x:c>
      <x:c r="M1125" s="274" t="s">
        <x:v>2418</x:v>
      </x:c>
      <x:c r="N1125" s="274" t="s">
        <x:v>2416</x:v>
      </x:c>
    </x:row>
    <x:row r="1126" spans="1:14">
      <x:c r="A1126" s="274" t="s">
        <x:v>2419</x:v>
      </x:c>
      <x:c r="B1126" s="274" t="n">
        <x:v>1.17</x:v>
      </x:c>
      <x:c r="C1126" s="274" t="n">
        <x:v>0</x:v>
      </x:c>
      <x:c r="D1126" s="274" t="n">
        <x:v>35</x:v>
      </x:c>
      <x:c r="E1126" s="274" t="n">
        <x:v>33</x:v>
      </x:c>
      <x:c r="F1126" s="274" t="s">
        <x:v>333</x:v>
      </x:c>
      <x:c r="G1126" s="274" t="s">
        <x:v>153</x:v>
      </x:c>
      <x:c r="I1126" s="274" t="n">
        <x:v>1.8</x:v>
      </x:c>
      <x:c r="J1126" s="274" t="n">
        <x:v>360</x:v>
      </x:c>
      <x:c r="K1126" s="274" t="n">
        <x:v>230</x:v>
      </x:c>
      <x:c r="M1126" s="274" t="s">
        <x:v>1238</x:v>
      </x:c>
      <x:c r="N1126" s="274" t="s">
        <x:v>155</x:v>
      </x:c>
    </x:row>
    <x:row r="1127" spans="1:14">
      <x:c r="A1127" s="274" t="s">
        <x:v>2420</x:v>
      </x:c>
      <x:c r="B1127" s="274" t="n">
        <x:v>0.93</x:v>
      </x:c>
      <x:c r="C1127" s="274" t="n">
        <x:v>0</x:v>
      </x:c>
      <x:c r="D1127" s="274" t="n">
        <x:v>0</x:v>
      </x:c>
      <x:c r="F1127" s="274" t="s">
        <x:v>311</x:v>
      </x:c>
      <x:c r="G1127" s="274" t="s">
        <x:v>1728</x:v>
      </x:c>
      <x:c r="H1127" s="274" t="s">
        <x:v>1729</x:v>
      </x:c>
      <x:c r="I1127" s="274" t="n">
        <x:v>0.65</x:v>
      </x:c>
      <x:c r="J1127" s="274" t="n">
        <x:v>190</x:v>
      </x:c>
      <x:c r="K1127" s="274" t="n">
        <x:v>945</x:v>
      </x:c>
      <x:c r="M1127" s="274" t="s">
        <x:v>2421</x:v>
      </x:c>
      <x:c r="N1127" s="274" t="s">
        <x:v>372</x:v>
      </x:c>
    </x:row>
    <x:row r="1128" spans="1:14">
      <x:c r="A1128" s="274" t="s">
        <x:v>2422</x:v>
      </x:c>
      <x:c r="B1128" s="274" t="n">
        <x:v>0.93</x:v>
      </x:c>
      <x:c r="C1128" s="274" t="n">
        <x:v>0</x:v>
      </x:c>
      <x:c r="D1128" s="274" t="n">
        <x:v>0</x:v>
      </x:c>
      <x:c r="F1128" s="274" t="s">
        <x:v>311</x:v>
      </x:c>
      <x:c r="G1128" s="274" t="s">
        <x:v>1728</x:v>
      </x:c>
      <x:c r="H1128" s="274" t="s">
        <x:v>1732</x:v>
      </x:c>
      <x:c r="I1128" s="274" t="n">
        <x:v>0.65</x:v>
      </x:c>
      <x:c r="J1128" s="274" t="n">
        <x:v>190</x:v>
      </x:c>
      <x:c r="K1128" s="274" t="n">
        <x:v>945</x:v>
      </x:c>
      <x:c r="M1128" s="274" t="s">
        <x:v>2421</x:v>
      </x:c>
      <x:c r="N1128" s="274" t="s">
        <x:v>372</x:v>
      </x:c>
    </x:row>
    <x:row r="1129" spans="1:14">
      <x:c r="A1129" s="274" t="s">
        <x:v>2423</x:v>
      </x:c>
      <x:c r="B1129" s="274" t="n">
        <x:v>0.25</x:v>
      </x:c>
      <x:c r="C1129" s="274" t="n">
        <x:v>0</x:v>
      </x:c>
      <x:c r="D1129" s="274" t="n">
        <x:v>0</x:v>
      </x:c>
      <x:c r="E1129" s="274" t="n">
        <x:v>20</x:v>
      </x:c>
      <x:c r="F1129" s="274" t="s">
        <x:v>311</x:v>
      </x:c>
      <x:c r="G1129" s="274" t="s">
        <x:v>1728</x:v>
      </x:c>
      <x:c r="H1129" s="274" t="s">
        <x:v>1729</x:v>
      </x:c>
      <x:c r="I1129" s="274" t="n">
        <x:v>0.65</x:v>
      </x:c>
      <x:c r="J1129" s="274" t="n">
        <x:v>60</x:v>
      </x:c>
      <x:c r="K1129" s="274" t="n">
        <x:v>800</x:v>
      </x:c>
      <x:c r="M1129" s="274" t="s">
        <x:v>2424</x:v>
      </x:c>
      <x:c r="N1129" s="274" t="s">
        <x:v>480</x:v>
      </x:c>
    </x:row>
    <x:row r="1130" spans="1:14">
      <x:c r="A1130" s="274" t="s">
        <x:v>2425</x:v>
      </x:c>
      <x:c r="B1130" s="274" t="n">
        <x:v>0.25</x:v>
      </x:c>
      <x:c r="C1130" s="274" t="n">
        <x:v>0</x:v>
      </x:c>
      <x:c r="D1130" s="274" t="n">
        <x:v>0</x:v>
      </x:c>
      <x:c r="E1130" s="274" t="n">
        <x:v>20</x:v>
      </x:c>
      <x:c r="F1130" s="274" t="s">
        <x:v>311</x:v>
      </x:c>
      <x:c r="G1130" s="274" t="s">
        <x:v>1728</x:v>
      </x:c>
      <x:c r="H1130" s="274" t="s">
        <x:v>1732</x:v>
      </x:c>
      <x:c r="I1130" s="274" t="n">
        <x:v>0.65</x:v>
      </x:c>
      <x:c r="J1130" s="274" t="n">
        <x:v>60</x:v>
      </x:c>
      <x:c r="K1130" s="274" t="n">
        <x:v>800</x:v>
      </x:c>
      <x:c r="M1130" s="274" t="s">
        <x:v>2424</x:v>
      </x:c>
      <x:c r="N1130" s="274" t="s">
        <x:v>480</x:v>
      </x:c>
    </x:row>
    <x:row r="1131" spans="1:14">
      <x:c r="A1131" s="274" t="s">
        <x:v>2426</x:v>
      </x:c>
      <x:c r="B1131" s="274" t="n">
        <x:v>2.16</x:v>
      </x:c>
      <x:c r="C1131" s="274" t="n">
        <x:v>0</x:v>
      </x:c>
      <x:c r="D1131" s="274" t="n">
        <x:v>0</x:v>
      </x:c>
      <x:c r="F1131" s="274" t="s">
        <x:v>133</x:v>
      </x:c>
      <x:c r="G1131" s="274" t="s">
        <x:v>209</x:v>
      </x:c>
      <x:c r="I1131" s="274" t="n">
        <x:v>1.2</x:v>
      </x:c>
      <x:c r="J1131" s="274" t="n">
        <x:v>192</x:v>
      </x:c>
      <x:c r="K1131" s="274" t="n">
        <x:v>1195</x:v>
      </x:c>
      <x:c r="M1131" s="274" t="s">
        <x:v>2427</x:v>
      </x:c>
      <x:c r="N1131" s="274" t="s">
        <x:v>372</x:v>
      </x:c>
    </x:row>
    <x:row r="1132" spans="1:14">
      <x:c r="A1132" s="274" t="s">
        <x:v>2428</x:v>
      </x:c>
      <x:c r="B1132" s="274" t="n">
        <x:v>0.88</x:v>
      </x:c>
      <x:c r="C1132" s="274" t="n">
        <x:v>0</x:v>
      </x:c>
      <x:c r="D1132" s="274" t="n">
        <x:v>0</x:v>
      </x:c>
      <x:c r="F1132" s="274" t="s">
        <x:v>133</x:v>
      </x:c>
      <x:c r="G1132" s="274" t="s">
        <x:v>209</x:v>
      </x:c>
      <x:c r="I1132" s="274" t="n">
        <x:v>1.2</x:v>
      </x:c>
      <x:c r="J1132" s="274" t="n">
        <x:v>147</x:v>
      </x:c>
      <x:c r="K1132" s="274" t="n">
        <x:v>633</x:v>
      </x:c>
      <x:c r="M1132" s="274" t="s">
        <x:v>243</x:v>
      </x:c>
      <x:c r="N1132" s="274" t="s">
        <x:v>131</x:v>
      </x:c>
    </x:row>
    <x:row r="1133" spans="1:14">
      <x:c r="A1133" s="274" t="s">
        <x:v>2429</x:v>
      </x:c>
      <x:c r="B1133" s="274" t="n">
        <x:v>0.46</x:v>
      </x:c>
      <x:c r="C1133" s="274" t="n">
        <x:v>0</x:v>
      </x:c>
      <x:c r="D1133" s="274" t="n">
        <x:v>0</x:v>
      </x:c>
      <x:c r="F1133" s="274" t="s">
        <x:v>333</x:v>
      </x:c>
      <x:c r="G1133" s="274" t="s">
        <x:v>209</x:v>
      </x:c>
      <x:c r="I1133" s="274" t="n">
        <x:v>0.6</x:v>
      </x:c>
      <x:c r="J1133" s="274" t="n">
        <x:v>85</x:v>
      </x:c>
      <x:c r="K1133" s="274" t="n">
        <x:v>1140</x:v>
      </x:c>
      <x:c r="M1133" s="274" t="s">
        <x:v>2430</x:v>
      </x:c>
      <x:c r="N1133" s="274" t="s">
        <x:v>1279</x:v>
      </x:c>
    </x:row>
    <x:row r="1134" spans="1:14">
      <x:c r="A1134" s="274" t="s">
        <x:v>2431</x:v>
      </x:c>
      <x:c r="B1134" s="274" t="n">
        <x:v>1.53</x:v>
      </x:c>
      <x:c r="C1134" s="274" t="n">
        <x:v>0</x:v>
      </x:c>
      <x:c r="D1134" s="274" t="n">
        <x:v>0</x:v>
      </x:c>
      <x:c r="F1134" s="274" t="s">
        <x:v>333</x:v>
      </x:c>
      <x:c r="G1134" s="274" t="s">
        <x:v>2153</x:v>
      </x:c>
      <x:c r="I1134" s="274" t="n">
        <x:v>0.7</x:v>
      </x:c>
      <x:c r="J1134" s="274" t="n">
        <x:v>321</x:v>
      </x:c>
      <x:c r="K1134" s="274" t="n">
        <x:v>866</x:v>
      </x:c>
      <x:c r="M1134" s="274" t="s">
        <x:v>2154</x:v>
      </x:c>
      <x:c r="N1134" s="274" t="s">
        <x:v>2155</x:v>
      </x:c>
    </x:row>
    <x:row r="1135" spans="1:14">
      <x:c r="A1135" s="274" t="s">
        <x:v>2432</x:v>
      </x:c>
      <x:c r="B1135" s="274" t="n">
        <x:v>20.7</x:v>
      </x:c>
      <x:c r="C1135" s="274" t="n">
        <x:v>0</x:v>
      </x:c>
      <x:c r="D1135" s="274" t="n">
        <x:v>0</x:v>
      </x:c>
      <x:c r="F1135" s="274" t="s">
        <x:v>133</x:v>
      </x:c>
      <x:c r="G1135" s="274" t="s">
        <x:v>284</x:v>
      </x:c>
      <x:c r="H1135" s="274" t="s">
        <x:v>285</x:v>
      </x:c>
      <x:c r="I1135" s="274" t="n">
        <x:v>0.8</x:v>
      </x:c>
      <x:c r="J1135" s="274" t="n">
        <x:v>1360</x:v>
      </x:c>
      <x:c r="K1135" s="274" t="n">
        <x:v>2509</x:v>
      </x:c>
      <x:c r="L1135" s="274" t="n">
        <x:v>2271</x:v>
      </x:c>
      <x:c r="M1135" s="274" t="s">
        <x:v>2433</x:v>
      </x:c>
      <x:c r="N1135" s="274" t="s">
        <x:v>299</x:v>
      </x:c>
    </x:row>
    <x:row r="1136" spans="1:14">
      <x:c r="A1136" s="274" t="s">
        <x:v>2434</x:v>
      </x:c>
      <x:c r="B1136" s="274" t="n">
        <x:v>13.19</x:v>
      </x:c>
      <x:c r="C1136" s="274" t="n">
        <x:v>0</x:v>
      </x:c>
      <x:c r="D1136" s="274" t="n">
        <x:v>0</x:v>
      </x:c>
      <x:c r="F1136" s="274" t="s">
        <x:v>133</x:v>
      </x:c>
      <x:c r="G1136" s="274" t="s">
        <x:v>284</x:v>
      </x:c>
      <x:c r="H1136" s="274" t="s">
        <x:v>285</x:v>
      </x:c>
      <x:c r="I1136" s="274" t="n">
        <x:v>0.7</x:v>
      </x:c>
      <x:c r="J1136" s="274" t="n">
        <x:v>1437</x:v>
      </x:c>
      <x:c r="K1136" s="274" t="n">
        <x:v>1643</x:v>
      </x:c>
      <x:c r="M1136" s="274" t="s">
        <x:v>2435</x:v>
      </x:c>
      <x:c r="N1136" s="274" t="s">
        <x:v>131</x:v>
      </x:c>
    </x:row>
    <x:row r="1137" spans="1:14">
      <x:c r="A1137" s="274" t="s">
        <x:v>2436</x:v>
      </x:c>
      <x:c r="B1137" s="274" t="n">
        <x:v>1.4</x:v>
      </x:c>
      <x:c r="C1137" s="274" t="n">
        <x:v>0</x:v>
      </x:c>
      <x:c r="D1137" s="274" t="n">
        <x:v>0</x:v>
      </x:c>
      <x:c r="F1137" s="274" t="s">
        <x:v>133</x:v>
      </x:c>
      <x:c r="G1137" s="274" t="s">
        <x:v>134</x:v>
      </x:c>
      <x:c r="I1137" s="274" t="n">
        <x:v>2.6</x:v>
      </x:c>
      <x:c r="J1137" s="274" t="n">
        <x:v>144</x:v>
      </x:c>
      <x:c r="K1137" s="274" t="n">
        <x:v>476</x:v>
      </x:c>
      <x:c r="M1137" s="274" t="s">
        <x:v>2437</x:v>
      </x:c>
      <x:c r="N1137" s="274" t="s">
        <x:v>1279</x:v>
      </x:c>
    </x:row>
    <x:row r="1138" spans="1:14">
      <x:c r="A1138" s="274" t="s">
        <x:v>2438</x:v>
      </x:c>
      <x:c r="B1138" s="274" t="n">
        <x:v>0.57</x:v>
      </x:c>
      <x:c r="C1138" s="274" t="n">
        <x:v>0</x:v>
      </x:c>
      <x:c r="D1138" s="274" t="n">
        <x:v>0</x:v>
      </x:c>
      <x:c r="F1138" s="274" t="s">
        <x:v>133</x:v>
      </x:c>
      <x:c r="G1138" s="274" t="s">
        <x:v>134</x:v>
      </x:c>
      <x:c r="I1138" s="274" t="n">
        <x:v>3.6</x:v>
      </x:c>
      <x:c r="J1138" s="274" t="n">
        <x:v>50</x:v>
      </x:c>
      <x:c r="K1138" s="274" t="n">
        <x:v>405</x:v>
      </x:c>
      <x:c r="M1138" s="274" t="s">
        <x:v>2439</x:v>
      </x:c>
      <x:c r="N1138" s="274" t="s">
        <x:v>1279</x:v>
      </x:c>
    </x:row>
    <x:row r="1139" spans="1:14">
      <x:c r="A1139" s="274" t="s">
        <x:v>2440</x:v>
      </x:c>
      <x:c r="B1139" s="274" t="n">
        <x:v>0.29</x:v>
      </x:c>
      <x:c r="C1139" s="274" t="n">
        <x:v>0</x:v>
      </x:c>
      <x:c r="D1139" s="274" t="n">
        <x:v>0</x:v>
      </x:c>
      <x:c r="F1139" s="274" t="s">
        <x:v>333</x:v>
      </x:c>
      <x:c r="G1139" s="274" t="s">
        <x:v>209</x:v>
      </x:c>
      <x:c r="I1139" s="274" t="n">
        <x:v>1</x:v>
      </x:c>
      <x:c r="J1139" s="274" t="n">
        <x:v>183</x:v>
      </x:c>
      <x:c r="K1139" s="274" t="n">
        <x:v>203</x:v>
      </x:c>
      <x:c r="M1139" s="274" t="s">
        <x:v>2441</x:v>
      </x:c>
      <x:c r="N1139" s="274" t="s">
        <x:v>1279</x:v>
      </x:c>
    </x:row>
    <x:row r="1140" spans="1:14">
      <x:c r="A1140" s="274" t="s">
        <x:v>2442</x:v>
      </x:c>
      <x:c r="B1140" s="274" t="n">
        <x:v>3.16</x:v>
      </x:c>
      <x:c r="C1140" s="274" t="n">
        <x:v>0</x:v>
      </x:c>
      <x:c r="D1140" s="274" t="n">
        <x:v>0</x:v>
      </x:c>
      <x:c r="F1140" s="274" t="s">
        <x:v>133</x:v>
      </x:c>
      <x:c r="G1140" s="274" t="s">
        <x:v>134</x:v>
      </x:c>
      <x:c r="I1140" s="274" t="n">
        <x:v>2.6</x:v>
      </x:c>
      <x:c r="J1140" s="274" t="n">
        <x:v>295</x:v>
      </x:c>
      <x:c r="K1140" s="274" t="n">
        <x:v>525</x:v>
      </x:c>
      <x:c r="M1140" s="274" t="s">
        <x:v>2443</x:v>
      </x:c>
      <x:c r="N1140" s="274" t="s">
        <x:v>1279</x:v>
      </x:c>
    </x:row>
    <x:row r="1141" spans="1:14">
      <x:c r="A1141" s="274" t="s">
        <x:v>2444</x:v>
      </x:c>
      <x:c r="B1141" s="274" t="n">
        <x:v>2.79</x:v>
      </x:c>
      <x:c r="C1141" s="274" t="n">
        <x:v>0</x:v>
      </x:c>
      <x:c r="D1141" s="274" t="n">
        <x:v>0</x:v>
      </x:c>
      <x:c r="F1141" s="274" t="s">
        <x:v>133</x:v>
      </x:c>
      <x:c r="G1141" s="274" t="s">
        <x:v>134</x:v>
      </x:c>
      <x:c r="I1141" s="274" t="n">
        <x:v>2.9</x:v>
      </x:c>
      <x:c r="J1141" s="274" t="n">
        <x:v>223</x:v>
      </x:c>
      <x:c r="K1141" s="274" t="n">
        <x:v>550</x:v>
      </x:c>
      <x:c r="M1141" s="274" t="s">
        <x:v>2445</x:v>
      </x:c>
      <x:c r="N1141" s="274" t="s">
        <x:v>1279</x:v>
      </x:c>
    </x:row>
    <x:row r="1142" spans="1:14">
      <x:c r="A1142" s="274" t="s">
        <x:v>2446</x:v>
      </x:c>
      <x:c r="B1142" s="274" t="n">
        <x:v>5.46</x:v>
      </x:c>
      <x:c r="C1142" s="274" t="n">
        <x:v>0</x:v>
      </x:c>
      <x:c r="D1142" s="274" t="n">
        <x:v>0</x:v>
      </x:c>
      <x:c r="F1142" s="274" t="s">
        <x:v>133</x:v>
      </x:c>
      <x:c r="G1142" s="274" t="s">
        <x:v>134</x:v>
      </x:c>
      <x:c r="I1142" s="274" t="n">
        <x:v>3.8</x:v>
      </x:c>
      <x:c r="J1142" s="274" t="n">
        <x:v>310</x:v>
      </x:c>
      <x:c r="K1142" s="274" t="n">
        <x:v>590</x:v>
      </x:c>
      <x:c r="M1142" s="274" t="s">
        <x:v>2447</x:v>
      </x:c>
      <x:c r="N1142" s="274" t="s">
        <x:v>1279</x:v>
      </x:c>
    </x:row>
    <x:row r="1143" spans="1:14">
      <x:c r="A1143" s="274" t="s">
        <x:v>2448</x:v>
      </x:c>
      <x:c r="B1143" s="274" t="n">
        <x:v>4.16</x:v>
      </x:c>
      <x:c r="C1143" s="274" t="n">
        <x:v>65</x:v>
      </x:c>
      <x:c r="D1143" s="274" t="n">
        <x:v>40</x:v>
      </x:c>
      <x:c r="E1143" s="274" t="n">
        <x:v>0</x:v>
      </x:c>
      <x:c r="F1143" s="274" t="s">
        <x:v>333</x:v>
      </x:c>
      <x:c r="G1143" s="274" t="s">
        <x:v>124</x:v>
      </x:c>
      <x:c r="I1143" s="274" t="n">
        <x:v>1.4</x:v>
      </x:c>
      <x:c r="J1143" s="274" t="n">
        <x:v>947</x:v>
      </x:c>
      <x:c r="K1143" s="274" t="n">
        <x:v>400</x:v>
      </x:c>
      <x:c r="M1143" s="274" t="s">
        <x:v>2449</x:v>
      </x:c>
    </x:row>
    <x:row r="1144" spans="1:14">
      <x:c r="A1144" s="274" t="s">
        <x:v>2450</x:v>
      </x:c>
      <x:c r="B1144" s="274" t="n">
        <x:v>1.54</x:v>
      </x:c>
      <x:c r="C1144" s="274" t="n">
        <x:v>0</x:v>
      </x:c>
      <x:c r="D1144" s="274" t="n">
        <x:v>0</x:v>
      </x:c>
      <x:c r="F1144" s="274" t="s">
        <x:v>333</x:v>
      </x:c>
      <x:c r="G1144" s="274" t="s">
        <x:v>2160</x:v>
      </x:c>
      <x:c r="I1144" s="274" t="n">
        <x:v>1</x:v>
      </x:c>
      <x:c r="J1144" s="274" t="n">
        <x:v>178</x:v>
      </x:c>
      <x:c r="K1144" s="274" t="n">
        <x:v>1100</x:v>
      </x:c>
      <x:c r="M1144" s="274" t="s">
        <x:v>2451</x:v>
      </x:c>
      <x:c r="N1144" s="274" t="s">
        <x:v>2257</x:v>
      </x:c>
    </x:row>
    <x:row r="1145" spans="1:14">
      <x:c r="A1145" s="274" t="s">
        <x:v>2452</x:v>
      </x:c>
      <x:c r="B1145" s="274" t="n">
        <x:v>1.27</x:v>
      </x:c>
      <x:c r="C1145" s="274" t="n">
        <x:v>0</x:v>
      </x:c>
      <x:c r="D1145" s="274" t="n">
        <x:v>0</x:v>
      </x:c>
      <x:c r="F1145" s="274" t="s">
        <x:v>333</x:v>
      </x:c>
      <x:c r="G1145" s="274" t="s">
        <x:v>153</x:v>
      </x:c>
      <x:c r="I1145" s="274" t="n">
        <x:v>1.2</x:v>
      </x:c>
      <x:c r="J1145" s="274" t="n">
        <x:v>300</x:v>
      </x:c>
      <x:c r="K1145" s="274" t="n">
        <x:v>450</x:v>
      </x:c>
      <x:c r="M1145" s="274" t="s">
        <x:v>1548</x:v>
      </x:c>
      <x:c r="N1145" s="274" t="s">
        <x:v>1279</x:v>
      </x:c>
    </x:row>
    <x:row r="1146" spans="1:14">
      <x:c r="A1146" s="274" t="s">
        <x:v>2453</x:v>
      </x:c>
      <x:c r="B1146" s="274" t="n">
        <x:v>0.21</x:v>
      </x:c>
      <x:c r="C1146" s="274" t="n">
        <x:v>35</x:v>
      </x:c>
      <x:c r="D1146" s="274" t="n">
        <x:v>35</x:v>
      </x:c>
      <x:c r="E1146" s="274" t="n">
        <x:v>33</x:v>
      </x:c>
      <x:c r="F1146" s="274" t="s">
        <x:v>133</x:v>
      </x:c>
      <x:c r="G1146" s="274" t="s">
        <x:v>136</x:v>
      </x:c>
      <x:c r="H1146" s="274" t="n">
        <x:v>45</x:v>
      </x:c>
      <x:c r="I1146" s="274" t="n">
        <x:v>1</x:v>
      </x:c>
      <x:c r="J1146" s="274" t="n">
        <x:v>180</x:v>
      </x:c>
      <x:c r="K1146" s="274" t="n">
        <x:v>150</x:v>
      </x:c>
      <x:c r="M1146" s="274" t="s">
        <x:v>2454</x:v>
      </x:c>
      <x:c r="N1146" s="274" t="s">
        <x:v>162</x:v>
      </x:c>
    </x:row>
    <x:row r="1147" spans="1:14">
      <x:c r="A1147" s="274" t="s">
        <x:v>2455</x:v>
      </x:c>
      <x:c r="B1147" s="274" t="n">
        <x:v>18.85</x:v>
      </x:c>
      <x:c r="C1147" s="274" t="n">
        <x:v>0</x:v>
      </x:c>
      <x:c r="D1147" s="274" t="n">
        <x:v>32</x:v>
      </x:c>
      <x:c r="E1147" s="274" t="n">
        <x:v>0</x:v>
      </x:c>
      <x:c r="F1147" s="274" t="s">
        <x:v>1980</x:v>
      </x:c>
      <x:c r="G1147" s="274" t="s">
        <x:v>1981</x:v>
      </x:c>
      <x:c r="I1147" s="274" t="n">
        <x:v>0.8</x:v>
      </x:c>
      <x:c r="J1147" s="274" t="n">
        <x:v>1685</x:v>
      </x:c>
      <x:c r="K1147" s="274" t="n">
        <x:v>1800</x:v>
      </x:c>
      <x:c r="M1147" s="274" t="s">
        <x:v>2456</x:v>
      </x:c>
    </x:row>
    <x:row r="1148" spans="1:14">
      <x:c r="A1148" s="274" t="s">
        <x:v>2457</x:v>
      </x:c>
      <x:c r="B1148" s="274" t="n">
        <x:v>14.23</x:v>
      </x:c>
      <x:c r="C1148" s="274" t="n">
        <x:v>0</x:v>
      </x:c>
      <x:c r="D1148" s="274" t="n">
        <x:v>35</x:v>
      </x:c>
      <x:c r="E1148" s="274" t="n">
        <x:v>0</x:v>
      </x:c>
      <x:c r="F1148" s="274" t="s">
        <x:v>1980</x:v>
      </x:c>
      <x:c r="G1148" s="274" t="s">
        <x:v>1981</x:v>
      </x:c>
      <x:c r="I1148" s="274" t="n">
        <x:v>0.8</x:v>
      </x:c>
      <x:c r="J1148" s="274" t="n">
        <x:v>1685</x:v>
      </x:c>
      <x:c r="K1148" s="274" t="n">
        <x:v>1360</x:v>
      </x:c>
      <x:c r="M1148" s="274" t="s">
        <x:v>2458</x:v>
      </x:c>
    </x:row>
    <x:row r="1149" spans="1:14">
      <x:c r="A1149" s="274" t="s">
        <x:v>2459</x:v>
      </x:c>
      <x:c r="B1149" s="274" t="n">
        <x:v>2.29</x:v>
      </x:c>
      <x:c r="C1149" s="274" t="n">
        <x:v>0</x:v>
      </x:c>
      <x:c r="D1149" s="274" t="n">
        <x:v>0</x:v>
      </x:c>
      <x:c r="F1149" s="274" t="s">
        <x:v>333</x:v>
      </x:c>
      <x:c r="G1149" s="274" t="s">
        <x:v>2160</x:v>
      </x:c>
      <x:c r="I1149" s="274" t="n">
        <x:v>0.8</x:v>
      </x:c>
      <x:c r="J1149" s="274" t="n">
        <x:v>292</x:v>
      </x:c>
      <x:c r="K1149" s="274" t="n">
        <x:v>1250</x:v>
      </x:c>
      <x:c r="M1149" s="274" t="s">
        <x:v>2460</x:v>
      </x:c>
    </x:row>
    <x:row r="1150" spans="1:14">
      <x:c r="A1150" s="274" t="s">
        <x:v>2461</x:v>
      </x:c>
      <x:c r="B1150" s="274" t="n">
        <x:v>3.26</x:v>
      </x:c>
      <x:c r="C1150" s="274" t="n">
        <x:v>0</x:v>
      </x:c>
      <x:c r="D1150" s="274" t="n">
        <x:v>0</x:v>
      </x:c>
      <x:c r="F1150" s="274" t="s">
        <x:v>333</x:v>
      </x:c>
      <x:c r="G1150" s="274" t="s">
        <x:v>2160</x:v>
      </x:c>
      <x:c r="I1150" s="274" t="n">
        <x:v>0.8</x:v>
      </x:c>
      <x:c r="J1150" s="274" t="n">
        <x:v>415</x:v>
      </x:c>
      <x:c r="K1150" s="274" t="n">
        <x:v>1250</x:v>
      </x:c>
      <x:c r="M1150" s="274" t="s">
        <x:v>2462</x:v>
      </x:c>
    </x:row>
    <x:row r="1151" spans="1:14">
      <x:c r="A1151" s="274" t="s">
        <x:v>2463</x:v>
      </x:c>
      <x:c r="B1151" s="274" t="n">
        <x:v>2.21</x:v>
      </x:c>
      <x:c r="C1151" s="274" t="n">
        <x:v>0</x:v>
      </x:c>
      <x:c r="D1151" s="274" t="n">
        <x:v>0</x:v>
      </x:c>
      <x:c r="F1151" s="274" t="s">
        <x:v>333</x:v>
      </x:c>
      <x:c r="G1151" s="274" t="s">
        <x:v>2160</x:v>
      </x:c>
      <x:c r="I1151" s="274" t="n">
        <x:v>0.8</x:v>
      </x:c>
      <x:c r="J1151" s="274" t="n">
        <x:v>281</x:v>
      </x:c>
      <x:c r="K1151" s="274" t="n">
        <x:v>1250</x:v>
      </x:c>
      <x:c r="M1151" s="274" t="s">
        <x:v>2464</x:v>
      </x:c>
    </x:row>
    <x:row r="1152" spans="1:14">
      <x:c r="A1152" s="274" t="s">
        <x:v>2465</x:v>
      </x:c>
      <x:c r="B1152" s="274" t="n">
        <x:v>2.51</x:v>
      </x:c>
      <x:c r="C1152" s="274" t="n">
        <x:v>0</x:v>
      </x:c>
      <x:c r="D1152" s="274" t="n">
        <x:v>0</x:v>
      </x:c>
      <x:c r="F1152" s="274" t="s">
        <x:v>333</x:v>
      </x:c>
      <x:c r="G1152" s="274" t="s">
        <x:v>2160</x:v>
      </x:c>
      <x:c r="I1152" s="274" t="n">
        <x:v>0.8</x:v>
      </x:c>
      <x:c r="J1152" s="274" t="n">
        <x:v>320</x:v>
      </x:c>
      <x:c r="K1152" s="274" t="n">
        <x:v>1250</x:v>
      </x:c>
      <x:c r="M1152" s="274" t="s">
        <x:v>2466</x:v>
      </x:c>
    </x:row>
    <x:row r="1153" spans="1:14">
      <x:c r="A1153" s="274" t="s">
        <x:v>2467</x:v>
      </x:c>
      <x:c r="B1153" s="274" t="n">
        <x:v>1.96</x:v>
      </x:c>
      <x:c r="C1153" s="274" t="n">
        <x:v>0</x:v>
      </x:c>
      <x:c r="D1153" s="274" t="n">
        <x:v>0</x:v>
      </x:c>
      <x:c r="F1153" s="274" t="s">
        <x:v>333</x:v>
      </x:c>
      <x:c r="G1153" s="274" t="s">
        <x:v>2468</x:v>
      </x:c>
      <x:c r="I1153" s="274" t="n">
        <x:v>0.7</x:v>
      </x:c>
      <x:c r="J1153" s="274" t="n">
        <x:v>1064</x:v>
      </x:c>
      <x:c r="K1153" s="274" t="n">
        <x:v>335</x:v>
      </x:c>
      <x:c r="M1153" s="274" t="s">
        <x:v>2469</x:v>
      </x:c>
    </x:row>
    <x:row r="1154" spans="1:14">
      <x:c r="A1154" s="274" t="s">
        <x:v>2470</x:v>
      </x:c>
      <x:c r="B1154" s="274" t="n">
        <x:v>8.84</x:v>
      </x:c>
      <x:c r="C1154" s="274" t="n">
        <x:v>0</x:v>
      </x:c>
      <x:c r="D1154" s="274" t="n">
        <x:v>0</x:v>
      </x:c>
      <x:c r="F1154" s="274" t="s">
        <x:v>333</x:v>
      </x:c>
      <x:c r="G1154" s="274" t="s">
        <x:v>2468</x:v>
      </x:c>
      <x:c r="I1154" s="274" t="n">
        <x:v>0.7</x:v>
      </x:c>
      <x:c r="J1154" s="274" t="n">
        <x:v>1072</x:v>
      </x:c>
      <x:c r="K1154" s="274" t="n">
        <x:v>1500</x:v>
      </x:c>
      <x:c r="M1154" s="274" t="s">
        <x:v>2471</x:v>
      </x:c>
    </x:row>
    <x:row r="1155" spans="1:14">
      <x:c r="A1155" s="274" t="s">
        <x:v>2472</x:v>
      </x:c>
      <x:c r="B1155" s="274" t="n">
        <x:v>0.29</x:v>
      </x:c>
      <x:c r="C1155" s="274" t="n">
        <x:v>0</x:v>
      </x:c>
      <x:c r="D1155" s="274" t="n">
        <x:v>0</x:v>
      </x:c>
      <x:c r="F1155" s="274" t="s">
        <x:v>333</x:v>
      </x:c>
      <x:c r="G1155" s="274" t="s">
        <x:v>2153</x:v>
      </x:c>
      <x:c r="I1155" s="274" t="n">
        <x:v>0.8</x:v>
      </x:c>
      <x:c r="J1155" s="274" t="n">
        <x:v>210</x:v>
      </x:c>
      <x:c r="K1155" s="274" t="n">
        <x:v>220</x:v>
      </x:c>
      <x:c r="M1155" s="274" t="s">
        <x:v>2473</x:v>
      </x:c>
    </x:row>
    <x:row r="1156" spans="1:14">
      <x:c r="A1156" s="274" t="s">
        <x:v>2474</x:v>
      </x:c>
      <x:c r="B1156" s="274" t="n">
        <x:v>2.5</x:v>
      </x:c>
      <x:c r="C1156" s="274" t="n">
        <x:v>0</x:v>
      </x:c>
      <x:c r="D1156" s="274" t="n">
        <x:v>50</x:v>
      </x:c>
      <x:c r="E1156" s="274" t="n">
        <x:v>0</x:v>
      </x:c>
      <x:c r="F1156" s="274" t="s">
        <x:v>133</x:v>
      </x:c>
      <x:c r="G1156" s="274" t="s">
        <x:v>2475</x:v>
      </x:c>
      <x:c r="I1156" s="274" t="n">
        <x:v>0.75</x:v>
      </x:c>
      <x:c r="J1156" s="274" t="n">
        <x:v>680</x:v>
      </x:c>
      <x:c r="K1156" s="274" t="n">
        <x:v>640</x:v>
      </x:c>
      <x:c r="L1156" s="274" t="n">
        <x:v>610</x:v>
      </x:c>
    </x:row>
    <x:row r="1157" spans="1:14">
      <x:c r="A1157" s="274" t="s">
        <x:v>2476</x:v>
      </x:c>
      <x:c r="B1157" s="274" t="n">
        <x:v>1.81</x:v>
      </x:c>
      <x:c r="C1157" s="274" t="n">
        <x:v>0</x:v>
      </x:c>
      <x:c r="D1157" s="274" t="n">
        <x:v>0</x:v>
      </x:c>
      <x:c r="F1157" s="274" t="s">
        <x:v>333</x:v>
      </x:c>
      <x:c r="G1157" s="274" t="s">
        <x:v>2157</x:v>
      </x:c>
      <x:c r="I1157" s="274" t="n">
        <x:v>0.6</x:v>
      </x:c>
      <x:c r="J1157" s="274" t="n">
        <x:v>1200</x:v>
      </x:c>
      <x:c r="K1157" s="274" t="n">
        <x:v>320</x:v>
      </x:c>
      <x:c r="M1157" s="274" t="s">
        <x:v>2477</x:v>
      </x:c>
    </x:row>
    <x:row r="1158" spans="1:14">
      <x:c r="A1158" s="274" t="s">
        <x:v>2478</x:v>
      </x:c>
      <x:c r="B1158" s="274" t="n">
        <x:v>1.74</x:v>
      </x:c>
      <x:c r="C1158" s="274" t="n">
        <x:v>0</x:v>
      </x:c>
      <x:c r="D1158" s="274" t="n">
        <x:v>32</x:v>
      </x:c>
      <x:c r="E1158" s="274" t="n">
        <x:v>40</x:v>
      </x:c>
      <x:c r="F1158" s="274" t="s">
        <x:v>333</x:v>
      </x:c>
      <x:c r="G1158" s="274" t="s">
        <x:v>2157</x:v>
      </x:c>
      <x:c r="I1158" s="274" t="n">
        <x:v>1</x:v>
      </x:c>
      <x:c r="J1158" s="274" t="n">
        <x:v>370</x:v>
      </x:c>
      <x:c r="K1158" s="274" t="n">
        <x:v>600</x:v>
      </x:c>
      <x:c r="M1158" s="274" t="s">
        <x:v>2479</x:v>
      </x:c>
    </x:row>
    <x:row r="1159" spans="1:14">
      <x:c r="A1159" s="274" t="s">
        <x:v>2480</x:v>
      </x:c>
      <x:c r="B1159" s="274" t="n">
        <x:v>1.88</x:v>
      </x:c>
      <x:c r="C1159" s="274" t="n">
        <x:v>0</x:v>
      </x:c>
      <x:c r="D1159" s="274" t="n">
        <x:v>32</x:v>
      </x:c>
      <x:c r="E1159" s="274" t="n">
        <x:v>40</x:v>
      </x:c>
      <x:c r="F1159" s="274" t="s">
        <x:v>333</x:v>
      </x:c>
      <x:c r="G1159" s="274" t="s">
        <x:v>2157</x:v>
      </x:c>
      <x:c r="I1159" s="274" t="n">
        <x:v>0.6</x:v>
      </x:c>
      <x:c r="J1159" s="274" t="n">
        <x:v>1000</x:v>
      </x:c>
      <x:c r="K1159" s="274" t="n">
        <x:v>400</x:v>
      </x:c>
      <x:c r="M1159" s="274" t="s">
        <x:v>2481</x:v>
      </x:c>
    </x:row>
    <x:row r="1160" spans="1:14">
      <x:c r="A1160" s="274" t="s">
        <x:v>2482</x:v>
      </x:c>
      <x:c r="B1160" s="274" t="n">
        <x:v>1.58</x:v>
      </x:c>
      <x:c r="C1160" s="274" t="n">
        <x:v>0</x:v>
      </x:c>
      <x:c r="D1160" s="274" t="n">
        <x:v>0</x:v>
      </x:c>
      <x:c r="F1160" s="274" t="s">
        <x:v>333</x:v>
      </x:c>
      <x:c r="G1160" s="274" t="s">
        <x:v>2157</x:v>
      </x:c>
      <x:c r="I1160" s="274" t="n">
        <x:v>1</x:v>
      </x:c>
      <x:c r="J1160" s="274" t="n">
        <x:v>360</x:v>
      </x:c>
      <x:c r="K1160" s="274" t="n">
        <x:v>560</x:v>
      </x:c>
      <x:c r="M1160" s="274" t="s">
        <x:v>2483</x:v>
      </x:c>
    </x:row>
    <x:row r="1161" spans="1:14">
      <x:c r="A1161" s="274" t="s">
        <x:v>2484</x:v>
      </x:c>
      <x:c r="B1161" s="274" t="n">
        <x:v>0.24</x:v>
      </x:c>
      <x:c r="C1161" s="274" t="n">
        <x:v>35</x:v>
      </x:c>
      <x:c r="D1161" s="274" t="n">
        <x:v>35</x:v>
      </x:c>
      <x:c r="E1161" s="274" t="n">
        <x:v>33</x:v>
      </x:c>
      <x:c r="F1161" s="274" t="s">
        <x:v>133</x:v>
      </x:c>
      <x:c r="G1161" s="274" t="s">
        <x:v>136</x:v>
      </x:c>
      <x:c r="H1161" s="274" t="n">
        <x:v>45</x:v>
      </x:c>
      <x:c r="I1161" s="274" t="n">
        <x:v>1</x:v>
      </x:c>
      <x:c r="J1161" s="274" t="n">
        <x:v>195</x:v>
      </x:c>
      <x:c r="K1161" s="274" t="n">
        <x:v>157</x:v>
      </x:c>
      <x:c r="M1161" s="274" t="s">
        <x:v>2485</x:v>
      </x:c>
      <x:c r="N1161" s="274" t="s">
        <x:v>162</x:v>
      </x:c>
    </x:row>
    <x:row r="1162" spans="1:14">
      <x:c r="A1162" s="274" t="s">
        <x:v>2486</x:v>
      </x:c>
      <x:c r="B1162" s="274" t="n">
        <x:v>10.09</x:v>
      </x:c>
      <x:c r="C1162" s="274" t="n">
        <x:v>0</x:v>
      </x:c>
      <x:c r="D1162" s="274" t="n">
        <x:v>0</x:v>
      </x:c>
      <x:c r="F1162" s="274" t="s">
        <x:v>133</x:v>
      </x:c>
      <x:c r="G1162" s="274" t="s">
        <x:v>1170</x:v>
      </x:c>
      <x:c r="I1162" s="274" t="n">
        <x:v>8</x:v>
      </x:c>
      <x:c r="J1162" s="274" t="n">
        <x:v>440</x:v>
      </x:c>
      <x:c r="K1162" s="274" t="n">
        <x:v>365</x:v>
      </x:c>
      <x:c r="M1162" s="274" t="s">
        <x:v>2487</x:v>
      </x:c>
      <x:c r="N1162" s="274" t="s">
        <x:v>2488</x:v>
      </x:c>
    </x:row>
    <x:row r="1163" spans="1:14">
      <x:c r="A1163" s="274" t="s">
        <x:v>2489</x:v>
      </x:c>
      <x:c r="B1163" s="274" t="n">
        <x:v>0.57</x:v>
      </x:c>
      <x:c r="C1163" s="274" t="n">
        <x:v>0</x:v>
      </x:c>
      <x:c r="D1163" s="274" t="n">
        <x:v>0</x:v>
      </x:c>
      <x:c r="F1163" s="274" t="s">
        <x:v>133</x:v>
      </x:c>
      <x:c r="G1163" s="274" t="s">
        <x:v>148</x:v>
      </x:c>
      <x:c r="I1163" s="274" t="n">
        <x:v>2.9</x:v>
      </x:c>
      <x:c r="J1163" s="274" t="n">
        <x:v>135</x:v>
      </x:c>
      <x:c r="K1163" s="274" t="n">
        <x:v>184.6</x:v>
      </x:c>
      <x:c r="M1163" s="274" t="s">
        <x:v>2490</x:v>
      </x:c>
      <x:c r="N1163" s="274" t="s">
        <x:v>1279</x:v>
      </x:c>
    </x:row>
    <x:row r="1164" spans="1:14">
      <x:c r="A1164" s="274" t="s">
        <x:v>2491</x:v>
      </x:c>
      <x:c r="B1164" s="274" t="n">
        <x:v>2.53</x:v>
      </x:c>
      <x:c r="C1164" s="274" t="n">
        <x:v>0</x:v>
      </x:c>
      <x:c r="D1164" s="274" t="n">
        <x:v>50</x:v>
      </x:c>
      <x:c r="E1164" s="274" t="n">
        <x:v>0</x:v>
      </x:c>
      <x:c r="F1164" s="274" t="s">
        <x:v>133</x:v>
      </x:c>
      <x:c r="G1164" s="274" t="s">
        <x:v>2475</x:v>
      </x:c>
      <x:c r="I1164" s="274" t="n">
        <x:v>0.75</x:v>
      </x:c>
      <x:c r="J1164" s="274" t="n">
        <x:v>680</x:v>
      </x:c>
      <x:c r="K1164" s="274" t="n">
        <x:v>640</x:v>
      </x:c>
      <x:c r="M1164" s="274" t="s">
        <x:v>2492</x:v>
      </x:c>
    </x:row>
    <x:row r="1165" spans="1:14">
      <x:c r="A1165" s="274" t="s">
        <x:v>2493</x:v>
      </x:c>
      <x:c r="B1165" s="274" t="n">
        <x:v>0.53</x:v>
      </x:c>
      <x:c r="C1165" s="274" t="n">
        <x:v>0</x:v>
      </x:c>
      <x:c r="D1165" s="274" t="n">
        <x:v>0</x:v>
      </x:c>
      <x:c r="F1165" s="274" t="s">
        <x:v>333</x:v>
      </x:c>
      <x:c r="G1165" s="274" t="s">
        <x:v>2153</x:v>
      </x:c>
      <x:c r="I1165" s="274" t="n">
        <x:v>0.6</x:v>
      </x:c>
      <x:c r="J1165" s="274" t="n">
        <x:v>1081</x:v>
      </x:c>
      <x:c r="K1165" s="274" t="n">
        <x:v>105</x:v>
      </x:c>
      <x:c r="M1165" s="274" t="s">
        <x:v>2179</x:v>
      </x:c>
      <x:c r="N1165" s="274" t="s">
        <x:v>2257</x:v>
      </x:c>
    </x:row>
    <x:row r="1166" spans="1:14">
      <x:c r="A1166" s="274" t="s">
        <x:v>2494</x:v>
      </x:c>
      <x:c r="B1166" s="274" t="n">
        <x:v>0.5</x:v>
      </x:c>
      <x:c r="C1166" s="274" t="n">
        <x:v>0</x:v>
      </x:c>
      <x:c r="D1166" s="274" t="n">
        <x:v>0</x:v>
      </x:c>
      <x:c r="F1166" s="274" t="s">
        <x:v>333</x:v>
      </x:c>
      <x:c r="G1166" s="274" t="s">
        <x:v>2153</x:v>
      </x:c>
      <x:c r="I1166" s="274" t="n">
        <x:v>0.6</x:v>
      </x:c>
      <x:c r="J1166" s="274" t="n">
        <x:v>1072</x:v>
      </x:c>
      <x:c r="K1166" s="274" t="n">
        <x:v>100</x:v>
      </x:c>
      <x:c r="M1166" s="274" t="s">
        <x:v>2183</x:v>
      </x:c>
      <x:c r="N1166" s="274" t="s">
        <x:v>2257</x:v>
      </x:c>
    </x:row>
    <x:row r="1167" spans="1:14">
      <x:c r="A1167" s="274" t="s">
        <x:v>2495</x:v>
      </x:c>
      <x:c r="B1167" s="274" t="n">
        <x:v>1.56</x:v>
      </x:c>
      <x:c r="C1167" s="274" t="n">
        <x:v>0</x:v>
      </x:c>
      <x:c r="D1167" s="274" t="n">
        <x:v>0</x:v>
      </x:c>
      <x:c r="F1167" s="274" t="s">
        <x:v>333</x:v>
      </x:c>
      <x:c r="G1167" s="274" t="s">
        <x:v>2468</x:v>
      </x:c>
      <x:c r="I1167" s="274" t="n">
        <x:v>0.7</x:v>
      </x:c>
      <x:c r="J1167" s="274" t="n">
        <x:v>321</x:v>
      </x:c>
      <x:c r="K1167" s="274" t="n">
        <x:v>884</x:v>
      </x:c>
      <x:c r="M1167" s="274" t="s">
        <x:v>2154</x:v>
      </x:c>
      <x:c r="N1167" s="274" t="s">
        <x:v>2257</x:v>
      </x:c>
    </x:row>
    <x:row r="1168" spans="1:14">
      <x:c r="A1168" s="274" t="s">
        <x:v>2496</x:v>
      </x:c>
      <x:c r="B1168" s="274" t="n">
        <x:v>2.62</x:v>
      </x:c>
      <x:c r="C1168" s="274" t="n">
        <x:v>0</x:v>
      </x:c>
      <x:c r="D1168" s="274" t="n">
        <x:v>0</x:v>
      </x:c>
      <x:c r="F1168" s="274" t="s">
        <x:v>333</x:v>
      </x:c>
      <x:c r="G1168" s="274" t="s">
        <x:v>2160</x:v>
      </x:c>
      <x:c r="I1168" s="274" t="n">
        <x:v>0.8</x:v>
      </x:c>
      <x:c r="J1168" s="274" t="n">
        <x:v>278</x:v>
      </x:c>
      <x:c r="K1168" s="274" t="n">
        <x:v>1500</x:v>
      </x:c>
      <x:c r="M1168" s="274" t="s">
        <x:v>2173</x:v>
      </x:c>
      <x:c r="N1168" s="274" t="s">
        <x:v>2257</x:v>
      </x:c>
    </x:row>
    <x:row r="1169" spans="1:14">
      <x:c r="A1169" s="274" t="s">
        <x:v>2497</x:v>
      </x:c>
      <x:c r="B1169" s="274" t="n">
        <x:v>1.44</x:v>
      </x:c>
      <x:c r="C1169" s="274" t="n">
        <x:v>0</x:v>
      </x:c>
      <x:c r="D1169" s="274" t="n">
        <x:v>0</x:v>
      </x:c>
      <x:c r="F1169" s="274" t="s">
        <x:v>333</x:v>
      </x:c>
      <x:c r="G1169" s="274" t="s">
        <x:v>2468</x:v>
      </x:c>
      <x:c r="I1169" s="274" t="n">
        <x:v>0.7</x:v>
      </x:c>
      <x:c r="J1169" s="274" t="n">
        <x:v>350</x:v>
      </x:c>
      <x:c r="K1169" s="274" t="n">
        <x:v>750</x:v>
      </x:c>
      <x:c r="M1169" s="274" t="s">
        <x:v>2498</x:v>
      </x:c>
    </x:row>
    <x:row r="1170" spans="1:14">
      <x:c r="A1170" s="274" t="s">
        <x:v>2499</x:v>
      </x:c>
      <x:c r="B1170" s="274" t="n">
        <x:v>62.8</x:v>
      </x:c>
      <x:c r="C1170" s="274" t="n">
        <x:v>0</x:v>
      </x:c>
      <x:c r="D1170" s="274" t="n">
        <x:v>0</x:v>
      </x:c>
      <x:c r="F1170" s="274" t="s">
        <x:v>2500</x:v>
      </x:c>
      <x:c r="G1170" s="274" t="s">
        <x:v>2501</x:v>
      </x:c>
      <x:c r="I1170" s="274" t="n">
        <x:v>3.2</x:v>
      </x:c>
      <x:c r="J1170" s="274" t="n">
        <x:v>1250</x:v>
      </x:c>
      <x:c r="K1170" s="274" t="n">
        <x:v>2000</x:v>
      </x:c>
      <x:c r="M1170" s="274" t="s">
        <x:v>865</x:v>
      </x:c>
    </x:row>
    <x:row r="1171" spans="1:14">
      <x:c r="A1171" s="274" t="s">
        <x:v>2502</x:v>
      </x:c>
      <x:c r="B1171" s="274" t="n">
        <x:v>10.91</x:v>
      </x:c>
      <x:c r="C1171" s="274" t="n">
        <x:v>0</x:v>
      </x:c>
      <x:c r="D1171" s="274" t="n">
        <x:v>0</x:v>
      </x:c>
      <x:c r="F1171" s="274" t="s">
        <x:v>2500</x:v>
      </x:c>
      <x:c r="G1171" s="274" t="s">
        <x:v>2503</x:v>
      </x:c>
      <x:c r="I1171" s="274" t="n">
        <x:v>0.8</x:v>
      </x:c>
      <x:c r="J1171" s="274" t="n">
        <x:v>915</x:v>
      </x:c>
      <x:c r="K1171" s="274" t="n">
        <x:v>1900</x:v>
      </x:c>
      <x:c r="M1171" s="274" t="s">
        <x:v>2504</x:v>
      </x:c>
    </x:row>
    <x:row r="1172" spans="1:14">
      <x:c r="A1172" s="274" t="s">
        <x:v>2505</x:v>
      </x:c>
      <x:c r="B1172" s="274" t="n">
        <x:v>3.47</x:v>
      </x:c>
      <x:c r="C1172" s="274" t="n">
        <x:v>0</x:v>
      </x:c>
      <x:c r="D1172" s="274" t="n">
        <x:v>32</x:v>
      </x:c>
      <x:c r="E1172" s="274" t="n">
        <x:v>40</x:v>
      </x:c>
      <x:c r="F1172" s="274" t="s">
        <x:v>133</x:v>
      </x:c>
      <x:c r="G1172" s="274" t="s">
        <x:v>136</x:v>
      </x:c>
      <x:c r="H1172" s="274" t="n">
        <x:v>45</x:v>
      </x:c>
      <x:c r="I1172" s="274" t="n">
        <x:v>1.2</x:v>
      </x:c>
      <x:c r="J1172" s="274" t="n">
        <x:v>952</x:v>
      </x:c>
      <x:c r="K1172" s="274" t="n">
        <x:v>383</x:v>
      </x:c>
      <x:c r="M1172" s="274" t="s">
        <x:v>2506</x:v>
      </x:c>
      <x:c r="N1172" s="274" t="s">
        <x:v>131</x:v>
      </x:c>
    </x:row>
    <x:row r="1173" spans="1:14">
      <x:c r="A1173" s="274" t="s">
        <x:v>2507</x:v>
      </x:c>
      <x:c r="B1173" s="274" t="n">
        <x:v>6.42</x:v>
      </x:c>
      <x:c r="C1173" s="274" t="n">
        <x:v>0</x:v>
      </x:c>
      <x:c r="D1173" s="274" t="n">
        <x:v>0</x:v>
      </x:c>
      <x:c r="F1173" s="274" t="s">
        <x:v>133</x:v>
      </x:c>
      <x:c r="G1173" s="274" t="s">
        <x:v>148</x:v>
      </x:c>
      <x:c r="I1173" s="274" t="n">
        <x:v>6</x:v>
      </x:c>
      <x:c r="J1173" s="274" t="n">
        <x:v>114</x:v>
      </x:c>
      <x:c r="K1173" s="274" t="n">
        <x:v>1196</x:v>
      </x:c>
      <x:c r="N1173" s="274" t="s">
        <x:v>2508</x:v>
      </x:c>
    </x:row>
    <x:row r="1174" spans="1:14">
      <x:c r="A1174" s="274" t="s">
        <x:v>2509</x:v>
      </x:c>
      <x:c r="B1174" s="274" t="n">
        <x:v>4.9</x:v>
      </x:c>
      <x:c r="C1174" s="274" t="n">
        <x:v>0</x:v>
      </x:c>
      <x:c r="D1174" s="274" t="n">
        <x:v>0</x:v>
      </x:c>
      <x:c r="F1174" s="274" t="s">
        <x:v>133</x:v>
      </x:c>
      <x:c r="G1174" s="274" t="s">
        <x:v>148</x:v>
      </x:c>
      <x:c r="I1174" s="274" t="n">
        <x:v>6</x:v>
      </x:c>
      <x:c r="J1174" s="274" t="n">
        <x:v>87</x:v>
      </x:c>
      <x:c r="K1174" s="274" t="n">
        <x:v>1196</x:v>
      </x:c>
      <x:c r="N1174" s="274" t="s">
        <x:v>2508</x:v>
      </x:c>
    </x:row>
    <x:row r="1175" spans="1:14">
      <x:c r="A1175" s="274" t="s">
        <x:v>2510</x:v>
      </x:c>
      <x:c r="B1175" s="274" t="n">
        <x:v>18.87</x:v>
      </x:c>
      <x:c r="C1175" s="274" t="n">
        <x:v>0</x:v>
      </x:c>
      <x:c r="D1175" s="274" t="n">
        <x:v>25</x:v>
      </x:c>
      <x:c r="E1175" s="274" t="n">
        <x:v>0</x:v>
      </x:c>
      <x:c r="F1175" s="274" t="s">
        <x:v>1980</x:v>
      </x:c>
      <x:c r="G1175" s="274" t="s">
        <x:v>1985</x:v>
      </x:c>
      <x:c r="I1175" s="274" t="n">
        <x:v>0.8</x:v>
      </x:c>
      <x:c r="J1175" s="274" t="n">
        <x:v>1680</x:v>
      </x:c>
      <x:c r="K1175" s="274" t="n">
        <x:v>1800</x:v>
      </x:c>
      <x:c r="M1175" s="274" t="s">
        <x:v>2456</x:v>
      </x:c>
    </x:row>
    <x:row r="1176" spans="1:14">
      <x:c r="A1176" s="274" t="s">
        <x:v>2511</x:v>
      </x:c>
      <x:c r="B1176" s="274" t="n">
        <x:v>19.3</x:v>
      </x:c>
      <x:c r="C1176" s="274" t="n">
        <x:v>0</x:v>
      </x:c>
      <x:c r="D1176" s="274" t="n">
        <x:v>25</x:v>
      </x:c>
      <x:c r="E1176" s="274" t="n">
        <x:v>0</x:v>
      </x:c>
      <x:c r="F1176" s="274" t="s">
        <x:v>123</x:v>
      </x:c>
      <x:c r="G1176" s="274" t="s">
        <x:v>1985</x:v>
      </x:c>
      <x:c r="I1176" s="274" t="n">
        <x:v>0.8</x:v>
      </x:c>
      <x:c r="J1176" s="274" t="n">
        <x:v>1680</x:v>
      </x:c>
      <x:c r="K1176" s="274" t="n">
        <x:v>1800</x:v>
      </x:c>
      <x:c r="M1176" s="274" t="s">
        <x:v>2456</x:v>
      </x:c>
    </x:row>
    <x:row r="1177" spans="1:14">
      <x:c r="A1177" s="274" t="s">
        <x:v>2512</x:v>
      </x:c>
      <x:c r="B1177" s="274" t="n">
        <x:v>0.35</x:v>
      </x:c>
      <x:c r="C1177" s="274" t="n">
        <x:v>0</x:v>
      </x:c>
      <x:c r="D1177" s="274" t="n">
        <x:v>0</x:v>
      </x:c>
      <x:c r="F1177" s="274" t="s">
        <x:v>133</x:v>
      </x:c>
      <x:c r="G1177" s="274" t="s">
        <x:v>136</x:v>
      </x:c>
      <x:c r="H1177" s="274" t="n">
        <x:v>45</x:v>
      </x:c>
      <x:c r="I1177" s="274" t="n">
        <x:v>1.2</x:v>
      </x:c>
      <x:c r="J1177" s="274" t="n">
        <x:v>190</x:v>
      </x:c>
      <x:c r="K1177" s="274" t="n">
        <x:v>195</x:v>
      </x:c>
      <x:c r="M1177" s="274" t="s">
        <x:v>962</x:v>
      </x:c>
      <x:c r="N1177" s="274" t="s">
        <x:v>870</x:v>
      </x:c>
    </x:row>
    <x:row r="1178" spans="1:14">
      <x:c r="A1178" s="274" t="s">
        <x:v>2513</x:v>
      </x:c>
      <x:c r="B1178" s="274" t="n">
        <x:v>0.41</x:v>
      </x:c>
      <x:c r="C1178" s="274" t="n">
        <x:v>0</x:v>
      </x:c>
      <x:c r="D1178" s="274" t="n">
        <x:v>0</x:v>
      </x:c>
      <x:c r="F1178" s="274" t="s">
        <x:v>333</x:v>
      </x:c>
      <x:c r="G1178" s="274" t="s">
        <x:v>209</x:v>
      </x:c>
      <x:c r="I1178" s="274" t="n">
        <x:v>0.6</x:v>
      </x:c>
      <x:c r="J1178" s="274" t="n">
        <x:v>350</x:v>
      </x:c>
      <x:c r="K1178" s="274" t="n">
        <x:v>250</x:v>
      </x:c>
      <x:c r="M1178" s="274" t="s">
        <x:v>2514</x:v>
      </x:c>
      <x:c r="N1178" s="274" t="s">
        <x:v>915</x:v>
      </x:c>
    </x:row>
    <x:row r="1179" spans="1:14">
      <x:c r="A1179" s="274" t="s">
        <x:v>2515</x:v>
      </x:c>
      <x:c r="B1179" s="274" t="n">
        <x:v>1.63</x:v>
      </x:c>
      <x:c r="C1179" s="274" t="n">
        <x:v>0</x:v>
      </x:c>
      <x:c r="D1179" s="274" t="n">
        <x:v>0</x:v>
      </x:c>
      <x:c r="F1179" s="274" t="s">
        <x:v>333</x:v>
      </x:c>
      <x:c r="G1179" s="274" t="s">
        <x:v>209</x:v>
      </x:c>
      <x:c r="I1179" s="274" t="n">
        <x:v>1</x:v>
      </x:c>
      <x:c r="J1179" s="274" t="n">
        <x:v>166</x:v>
      </x:c>
      <x:c r="K1179" s="274" t="n">
        <x:v>1250</x:v>
      </x:c>
      <x:c r="M1179" s="274" t="s">
        <x:v>2516</x:v>
      </x:c>
      <x:c r="N1179" s="274" t="s">
        <x:v>2517</x:v>
      </x:c>
    </x:row>
    <x:row r="1180" spans="1:14">
      <x:c r="A1180" s="274" t="s">
        <x:v>2518</x:v>
      </x:c>
      <x:c r="B1180" s="274" t="n">
        <x:v>0.81</x:v>
      </x:c>
      <x:c r="C1180" s="274" t="n">
        <x:v>0</x:v>
      </x:c>
      <x:c r="D1180" s="274" t="n">
        <x:v>35</x:v>
      </x:c>
      <x:c r="E1180" s="274" t="n">
        <x:v>33</x:v>
      </x:c>
      <x:c r="F1180" s="274" t="s">
        <x:v>123</x:v>
      </x:c>
      <x:c r="G1180" s="274" t="s">
        <x:v>209</x:v>
      </x:c>
      <x:c r="I1180" s="274" t="n">
        <x:v>2</x:v>
      </x:c>
      <x:c r="J1180" s="274" t="n">
        <x:v>310</x:v>
      </x:c>
      <x:c r="K1180" s="274" t="n">
        <x:v>167</x:v>
      </x:c>
      <x:c r="M1180" s="274" t="s">
        <x:v>2519</x:v>
      </x:c>
      <x:c r="N1180" s="274" t="s">
        <x:v>131</x:v>
      </x:c>
    </x:row>
    <x:row r="1181" spans="1:14">
      <x:c r="A1181" s="274" t="s">
        <x:v>2520</x:v>
      </x:c>
      <x:c r="B1181" s="274" t="n">
        <x:v>0.29</x:v>
      </x:c>
      <x:c r="C1181" s="274" t="n">
        <x:v>34</x:v>
      </x:c>
      <x:c r="D1181" s="274" t="n">
        <x:v>35</x:v>
      </x:c>
      <x:c r="E1181" s="274" t="n">
        <x:v>33</x:v>
      </x:c>
      <x:c r="F1181" s="274" t="s">
        <x:v>123</x:v>
      </x:c>
      <x:c r="G1181" s="274" t="s">
        <x:v>209</x:v>
      </x:c>
      <x:c r="I1181" s="274" t="n">
        <x:v>1</x:v>
      </x:c>
      <x:c r="J1181" s="274" t="n">
        <x:v>138</x:v>
      </x:c>
      <x:c r="K1181" s="274" t="n">
        <x:v>270</x:v>
      </x:c>
      <x:c r="M1181" s="274" t="s">
        <x:v>2521</x:v>
      </x:c>
      <x:c r="N1181" s="274" t="s">
        <x:v>2522</x:v>
      </x:c>
    </x:row>
    <x:row r="1182" spans="1:14">
      <x:c r="A1182" s="274" t="s">
        <x:v>2523</x:v>
      </x:c>
      <x:c r="B1182" s="274" t="n">
        <x:v>0.7</x:v>
      </x:c>
      <x:c r="C1182" s="274" t="n">
        <x:v>27</x:v>
      </x:c>
      <x:c r="D1182" s="274" t="n">
        <x:v>35</x:v>
      </x:c>
      <x:c r="E1182" s="274" t="n">
        <x:v>33</x:v>
      </x:c>
      <x:c r="F1182" s="274" t="s">
        <x:v>123</x:v>
      </x:c>
      <x:c r="G1182" s="274" t="s">
        <x:v>153</x:v>
      </x:c>
      <x:c r="I1182" s="274" t="n">
        <x:v>1</x:v>
      </x:c>
      <x:c r="J1182" s="274" t="n">
        <x:v>180</x:v>
      </x:c>
      <x:c r="K1182" s="274" t="n">
        <x:v>498</x:v>
      </x:c>
      <x:c r="M1182" s="274" t="s">
        <x:v>2524</x:v>
      </x:c>
      <x:c r="N1182" s="274" t="s">
        <x:v>162</x:v>
      </x:c>
    </x:row>
    <x:row r="1183" spans="1:14">
      <x:c r="A1183" s="274" t="s">
        <x:v>2525</x:v>
      </x:c>
      <x:c r="B1183" s="274" t="n">
        <x:v>0.63</x:v>
      </x:c>
      <x:c r="C1183" s="274" t="n">
        <x:v>0</x:v>
      </x:c>
      <x:c r="D1183" s="274" t="n">
        <x:v>0</x:v>
      </x:c>
      <x:c r="F1183" s="274" t="s">
        <x:v>123</x:v>
      </x:c>
      <x:c r="G1183" s="274" t="s">
        <x:v>129</x:v>
      </x:c>
      <x:c r="H1183" s="274" t="n">
        <x:v>45</x:v>
      </x:c>
      <x:c r="I1183" s="274" t="n">
        <x:v>0.6</x:v>
      </x:c>
      <x:c r="J1183" s="274" t="n">
        <x:v>106</x:v>
      </x:c>
      <x:c r="K1183" s="274" t="n">
        <x:v>1240</x:v>
      </x:c>
      <x:c r="M1183" s="274" t="s">
        <x:v>2526</x:v>
      </x:c>
      <x:c r="N1183" s="274" t="s">
        <x:v>299</x:v>
      </x:c>
    </x:row>
    <x:row r="1184" spans="1:14">
      <x:c r="A1184" s="274" t="s">
        <x:v>2527</x:v>
      </x:c>
      <x:c r="B1184" s="274" t="n">
        <x:v>5.5</x:v>
      </x:c>
      <x:c r="C1184" s="274" t="n">
        <x:v>30</x:v>
      </x:c>
      <x:c r="D1184" s="274" t="n">
        <x:v>25</x:v>
      </x:c>
      <x:c r="E1184" s="274" t="n">
        <x:v>0</x:v>
      </x:c>
      <x:c r="F1184" s="274" t="s">
        <x:v>123</x:v>
      </x:c>
      <x:c r="G1184" s="274" t="s">
        <x:v>136</x:v>
      </x:c>
      <x:c r="H1184" s="274" t="n">
        <x:v>45</x:v>
      </x:c>
      <x:c r="I1184" s="274" t="n">
        <x:v>0.55</x:v>
      </x:c>
      <x:c r="J1184" s="274" t="n">
        <x:v>1465</x:v>
      </x:c>
      <x:c r="K1184" s="274" t="n">
        <x:v>852</x:v>
      </x:c>
      <x:c r="M1184" s="274" t="s">
        <x:v>2528</x:v>
      </x:c>
      <x:c r="N1184" s="274" t="s">
        <x:v>162</x:v>
      </x:c>
    </x:row>
    <x:row r="1185" spans="1:14">
      <x:c r="A1185" s="274" t="s">
        <x:v>2529</x:v>
      </x:c>
      <x:c r="B1185" s="274" t="n">
        <x:v>0.08</x:v>
      </x:c>
      <x:c r="C1185" s="274" t="n">
        <x:v>0</x:v>
      </x:c>
      <x:c r="D1185" s="274" t="n">
        <x:v>0</x:v>
      </x:c>
      <x:c r="F1185" s="274" t="s">
        <x:v>133</x:v>
      </x:c>
      <x:c r="G1185" s="274" t="s">
        <x:v>134</x:v>
      </x:c>
      <x:c r="I1185" s="274" t="n">
        <x:v>1.6</x:v>
      </x:c>
      <x:c r="J1185" s="274" t="n">
        <x:v>40</x:v>
      </x:c>
      <x:c r="K1185" s="274" t="n">
        <x:v>150</x:v>
      </x:c>
      <x:c r="M1185" s="274" t="s">
        <x:v>2530</x:v>
      </x:c>
      <x:c r="N1185" s="274" t="s">
        <x:v>2531</x:v>
      </x:c>
    </x:row>
    <x:row r="1186" spans="1:14">
      <x:c r="A1186" s="274" t="s">
        <x:v>2532</x:v>
      </x:c>
      <x:c r="B1186" s="274" t="n">
        <x:v>0.15</x:v>
      </x:c>
      <x:c r="C1186" s="274" t="n">
        <x:v>0</x:v>
      </x:c>
      <x:c r="D1186" s="274" t="n">
        <x:v>0</x:v>
      </x:c>
      <x:c r="F1186" s="274" t="s">
        <x:v>133</x:v>
      </x:c>
      <x:c r="G1186" s="274" t="s">
        <x:v>134</x:v>
      </x:c>
      <x:c r="I1186" s="274" t="n">
        <x:v>1.6</x:v>
      </x:c>
      <x:c r="J1186" s="274" t="n">
        <x:v>80</x:v>
      </x:c>
      <x:c r="K1186" s="274" t="n">
        <x:v>150</x:v>
      </x:c>
      <x:c r="M1186" s="274" t="s">
        <x:v>2533</x:v>
      </x:c>
      <x:c r="N1186" s="274" t="s">
        <x:v>2531</x:v>
      </x:c>
    </x:row>
    <x:row r="1187" spans="1:14">
      <x:c r="A1187" s="274" t="s">
        <x:v>2534</x:v>
      </x:c>
      <x:c r="B1187" s="274" t="n">
        <x:v>0.17</x:v>
      </x:c>
      <x:c r="C1187" s="274" t="n">
        <x:v>0</x:v>
      </x:c>
      <x:c r="D1187" s="274" t="n">
        <x:v>0</x:v>
      </x:c>
      <x:c r="F1187" s="274" t="s">
        <x:v>333</x:v>
      </x:c>
      <x:c r="G1187" s="274" t="s">
        <x:v>209</x:v>
      </x:c>
      <x:c r="I1187" s="274" t="n">
        <x:v>0.6</x:v>
      </x:c>
      <x:c r="J1187" s="274" t="n">
        <x:v>352</x:v>
      </x:c>
      <x:c r="K1187" s="274" t="n">
        <x:v>105</x:v>
      </x:c>
      <x:c r="M1187" s="274" t="s">
        <x:v>2535</x:v>
      </x:c>
      <x:c r="N1187" s="274" t="s">
        <x:v>155</x:v>
      </x:c>
    </x:row>
    <x:row r="1188" spans="1:14">
      <x:c r="A1188" s="274" t="s">
        <x:v>2536</x:v>
      </x:c>
      <x:c r="B1188" s="274" t="n">
        <x:v>1.93</x:v>
      </x:c>
      <x:c r="C1188" s="274" t="n">
        <x:v>0</x:v>
      </x:c>
      <x:c r="D1188" s="274" t="n">
        <x:v>0</x:v>
      </x:c>
      <x:c r="F1188" s="274" t="s">
        <x:v>123</x:v>
      </x:c>
      <x:c r="G1188" s="274" t="s">
        <x:v>148</x:v>
      </x:c>
      <x:c r="I1188" s="274" t="n">
        <x:v>1.6</x:v>
      </x:c>
      <x:c r="J1188" s="274" t="n">
        <x:v>193</x:v>
      </x:c>
      <x:c r="K1188" s="274" t="n">
        <x:v>795</x:v>
      </x:c>
      <x:c r="M1188" s="274" t="s">
        <x:v>2537</x:v>
      </x:c>
      <x:c r="N1188" s="274" t="s">
        <x:v>131</x:v>
      </x:c>
    </x:row>
    <x:row r="1189" spans="1:14">
      <x:c r="A1189" s="274" t="s">
        <x:v>2538</x:v>
      </x:c>
      <x:c r="B1189" s="274" t="n">
        <x:v>0.87</x:v>
      </x:c>
      <x:c r="C1189" s="274" t="n">
        <x:v>28</x:v>
      </x:c>
      <x:c r="D1189" s="274" t="n">
        <x:v>35</x:v>
      </x:c>
      <x:c r="E1189" s="274" t="n">
        <x:v>33</x:v>
      </x:c>
      <x:c r="F1189" s="274" t="s">
        <x:v>123</x:v>
      </x:c>
      <x:c r="G1189" s="274" t="s">
        <x:v>148</x:v>
      </x:c>
      <x:c r="I1189" s="274" t="n">
        <x:v>1.6</x:v>
      </x:c>
      <x:c r="J1189" s="274" t="n">
        <x:v>340</x:v>
      </x:c>
      <x:c r="K1189" s="274" t="n">
        <x:v>203</x:v>
      </x:c>
      <x:c r="M1189" s="274" t="s">
        <x:v>2539</x:v>
      </x:c>
      <x:c r="N1189" s="274" t="s">
        <x:v>155</x:v>
      </x:c>
    </x:row>
    <x:row r="1190" spans="1:14">
      <x:c r="A1190" s="274" t="s">
        <x:v>2540</x:v>
      </x:c>
      <x:c r="B1190" s="274" t="n">
        <x:v>0.32</x:v>
      </x:c>
      <x:c r="C1190" s="274" t="n">
        <x:v>0</x:v>
      </x:c>
      <x:c r="D1190" s="274" t="n">
        <x:v>0</x:v>
      </x:c>
      <x:c r="F1190" s="274" t="s">
        <x:v>133</x:v>
      </x:c>
      <x:c r="G1190" s="274" t="s">
        <x:v>136</x:v>
      </x:c>
      <x:c r="H1190" s="274" t="n">
        <x:v>45</x:v>
      </x:c>
      <x:c r="I1190" s="274" t="n">
        <x:v>1.2</x:v>
      </x:c>
      <x:c r="J1190" s="274" t="n">
        <x:v>79</x:v>
      </x:c>
      <x:c r="K1190" s="274" t="n">
        <x:v>420</x:v>
      </x:c>
      <x:c r="M1190" s="274" t="s">
        <x:v>2541</x:v>
      </x:c>
      <x:c r="N1190" s="274" t="s">
        <x:v>155</x:v>
      </x:c>
    </x:row>
    <x:row r="1191" spans="1:14">
      <x:c r="A1191" s="274" t="s">
        <x:v>2542</x:v>
      </x:c>
      <x:c r="B1191" s="274" t="n">
        <x:v>0.44</x:v>
      </x:c>
      <x:c r="C1191" s="274" t="n">
        <x:v>0</x:v>
      </x:c>
      <x:c r="D1191" s="274" t="n">
        <x:v>0</x:v>
      </x:c>
      <x:c r="F1191" s="274" t="s">
        <x:v>133</x:v>
      </x:c>
      <x:c r="G1191" s="274" t="s">
        <x:v>134</x:v>
      </x:c>
      <x:c r="I1191" s="274" t="n">
        <x:v>2.3</x:v>
      </x:c>
      <x:c r="J1191" s="274" t="n">
        <x:v>157</x:v>
      </x:c>
      <x:c r="K1191" s="274" t="n">
        <x:v>154</x:v>
      </x:c>
      <x:c r="M1191" s="274" t="s">
        <x:v>2543</x:v>
      </x:c>
      <x:c r="N1191" s="274" t="s">
        <x:v>131</x:v>
      </x:c>
    </x:row>
    <x:row r="1192" spans="1:14">
      <x:c r="A1192" s="274" t="s">
        <x:v>2544</x:v>
      </x:c>
      <x:c r="B1192" s="274" t="n">
        <x:v>3.42</x:v>
      </x:c>
      <x:c r="C1192" s="274" t="n">
        <x:v>0</x:v>
      </x:c>
      <x:c r="D1192" s="274" t="n">
        <x:v>0</x:v>
      </x:c>
      <x:c r="F1192" s="274" t="s">
        <x:v>333</x:v>
      </x:c>
      <x:c r="G1192" s="274" t="s">
        <x:v>124</x:v>
      </x:c>
      <x:c r="I1192" s="274" t="n">
        <x:v>1.4</x:v>
      </x:c>
      <x:c r="J1192" s="274" t="n">
        <x:v>465</x:v>
      </x:c>
      <x:c r="K1192" s="274" t="n">
        <x:v>670</x:v>
      </x:c>
      <x:c r="M1192" s="274" t="s">
        <x:v>2545</x:v>
      </x:c>
      <x:c r="N1192" s="274" t="s">
        <x:v>1279</x:v>
      </x:c>
    </x:row>
    <x:row r="1193" spans="1:14">
      <x:c r="A1193" s="274" t="s">
        <x:v>2546</x:v>
      </x:c>
      <x:c r="B1193" s="274" t="n">
        <x:v>1.37</x:v>
      </x:c>
      <x:c r="C1193" s="274" t="n">
        <x:v>0</x:v>
      </x:c>
      <x:c r="D1193" s="274" t="n">
        <x:v>0</x:v>
      </x:c>
      <x:c r="F1193" s="274" t="s">
        <x:v>311</x:v>
      </x:c>
      <x:c r="G1193" s="274" t="s">
        <x:v>134</x:v>
      </x:c>
      <x:c r="I1193" s="274" t="n">
        <x:v>1.4</x:v>
      </x:c>
      <x:c r="J1193" s="274" t="n">
        <x:v>500</x:v>
      </x:c>
      <x:c r="K1193" s="274" t="n">
        <x:v>250</x:v>
      </x:c>
      <x:c r="M1193" s="274" t="s">
        <x:v>2547</x:v>
      </x:c>
      <x:c r="N1193" s="274" t="s">
        <x:v>1279</x:v>
      </x:c>
    </x:row>
    <x:row r="1194" spans="1:14">
      <x:c r="A1194" s="274" t="s">
        <x:v>2548</x:v>
      </x:c>
      <x:c r="B1194" s="274" t="n">
        <x:v>5.89</x:v>
      </x:c>
      <x:c r="C1194" s="274" t="n">
        <x:v>0</x:v>
      </x:c>
      <x:c r="D1194" s="274" t="n">
        <x:v>0</x:v>
      </x:c>
      <x:c r="E1194" s="274" t="n">
        <x:v>0</x:v>
      </x:c>
      <x:c r="F1194" s="274" t="s">
        <x:v>133</x:v>
      </x:c>
      <x:c r="G1194" s="274" t="s">
        <x:v>284</x:v>
      </x:c>
      <x:c r="H1194" s="274" t="s">
        <x:v>423</x:v>
      </x:c>
      <x:c r="I1194" s="274" t="n">
        <x:v>0.75</x:v>
      </x:c>
      <x:c r="J1194" s="274" t="n">
        <x:v>1166</x:v>
      </x:c>
      <x:c r="K1194" s="274" t="n">
        <x:v>1688</x:v>
      </x:c>
      <x:c r="M1194" s="274" t="s">
        <x:v>2549</x:v>
      </x:c>
      <x:c r="N1194" s="274" t="s">
        <x:v>299</x:v>
      </x:c>
    </x:row>
    <x:row r="1195" spans="1:14">
      <x:c r="A1195" s="274" t="s">
        <x:v>2550</x:v>
      </x:c>
      <x:c r="B1195" s="274" t="n">
        <x:v>2.2</x:v>
      </x:c>
      <x:c r="C1195" s="274" t="n">
        <x:v>0</x:v>
      </x:c>
      <x:c r="D1195" s="274" t="n">
        <x:v>35</x:v>
      </x:c>
      <x:c r="E1195" s="274" t="n">
        <x:v>29</x:v>
      </x:c>
      <x:c r="F1195" s="274" t="s">
        <x:v>133</x:v>
      </x:c>
      <x:c r="G1195" s="274" t="s">
        <x:v>148</x:v>
      </x:c>
      <x:c r="I1195" s="274" t="n">
        <x:v>2.3</x:v>
      </x:c>
      <x:c r="J1195" s="274" t="n">
        <x:v>170</x:v>
      </x:c>
      <x:c r="K1195" s="274" t="n">
        <x:v>715</x:v>
      </x:c>
      <x:c r="M1195" s="274" t="s">
        <x:v>2551</x:v>
      </x:c>
      <x:c r="N1195" s="274" t="s">
        <x:v>162</x:v>
      </x:c>
    </x:row>
    <x:row r="1196" spans="1:14">
      <x:c r="A1196" s="274" t="s">
        <x:v>2552</x:v>
      </x:c>
      <x:c r="B1196" s="274" t="n">
        <x:v>0.91</x:v>
      </x:c>
      <x:c r="C1196" s="274" t="n">
        <x:v>0</x:v>
      </x:c>
      <x:c r="D1196" s="274" t="n">
        <x:v>0</x:v>
      </x:c>
      <x:c r="F1196" s="274" t="s">
        <x:v>133</x:v>
      </x:c>
      <x:c r="G1196" s="274" t="s">
        <x:v>134</x:v>
      </x:c>
      <x:c r="I1196" s="274" t="n">
        <x:v>2.9</x:v>
      </x:c>
      <x:c r="J1196" s="274" t="n">
        <x:v>116</x:v>
      </x:c>
      <x:c r="K1196" s="274" t="n">
        <x:v>345</x:v>
      </x:c>
      <x:c r="M1196" s="274" t="s">
        <x:v>2553</x:v>
      </x:c>
      <x:c r="N1196" s="274" t="s">
        <x:v>1279</x:v>
      </x:c>
    </x:row>
    <x:row r="1197" spans="1:14">
      <x:c r="A1197" s="274" t="s">
        <x:v>2554</x:v>
      </x:c>
      <x:c r="B1197" s="274" t="n">
        <x:v>0.76</x:v>
      </x:c>
      <x:c r="C1197" s="274" t="n">
        <x:v>0</x:v>
      </x:c>
      <x:c r="D1197" s="274" t="n">
        <x:v>0</x:v>
      </x:c>
      <x:c r="F1197" s="274" t="s">
        <x:v>133</x:v>
      </x:c>
      <x:c r="G1197" s="274" t="s">
        <x:v>134</x:v>
      </x:c>
      <x:c r="I1197" s="274" t="n">
        <x:v>2.9</x:v>
      </x:c>
      <x:c r="J1197" s="274" t="n">
        <x:v>100</x:v>
      </x:c>
      <x:c r="K1197" s="274" t="n">
        <x:v>335</x:v>
      </x:c>
      <x:c r="M1197" s="274" t="s">
        <x:v>2555</x:v>
      </x:c>
      <x:c r="N1197" s="274" t="s">
        <x:v>1279</x:v>
      </x:c>
    </x:row>
    <x:row r="1198" spans="1:14">
      <x:c r="A1198" s="274" t="s">
        <x:v>2556</x:v>
      </x:c>
      <x:c r="B1198" s="274" t="n">
        <x:v>0.51</x:v>
      </x:c>
      <x:c r="C1198" s="274" t="n">
        <x:v>0</x:v>
      </x:c>
      <x:c r="D1198" s="274" t="n">
        <x:v>0</x:v>
      </x:c>
      <x:c r="F1198" s="274" t="s">
        <x:v>333</x:v>
      </x:c>
      <x:c r="G1198" s="274" t="s">
        <x:v>209</x:v>
      </x:c>
      <x:c r="I1198" s="274" t="n">
        <x:v>1</x:v>
      </x:c>
      <x:c r="J1198" s="274" t="n">
        <x:v>230</x:v>
      </x:c>
      <x:c r="K1198" s="274" t="n">
        <x:v>285</x:v>
      </x:c>
      <x:c r="M1198" s="274" t="s">
        <x:v>2557</x:v>
      </x:c>
      <x:c r="N1198" s="274" t="s">
        <x:v>1279</x:v>
      </x:c>
    </x:row>
    <x:row r="1199" spans="1:14">
      <x:c r="A1199" s="274" t="s">
        <x:v>2558</x:v>
      </x:c>
      <x:c r="B1199" s="274" t="n">
        <x:v>2.29</x:v>
      </x:c>
      <x:c r="C1199" s="274" t="n">
        <x:v>0</x:v>
      </x:c>
      <x:c r="D1199" s="274" t="n">
        <x:v>35</x:v>
      </x:c>
      <x:c r="E1199" s="274" t="n">
        <x:v>29</x:v>
      </x:c>
      <x:c r="F1199" s="274" t="s">
        <x:v>133</x:v>
      </x:c>
      <x:c r="G1199" s="274" t="s">
        <x:v>148</x:v>
      </x:c>
      <x:c r="I1199" s="274" t="n">
        <x:v>2.3</x:v>
      </x:c>
      <x:c r="J1199" s="274" t="n">
        <x:v>180</x:v>
      </x:c>
      <x:c r="K1199" s="274" t="n">
        <x:v>705</x:v>
      </x:c>
      <x:c r="M1199" s="274" t="s">
        <x:v>2559</x:v>
      </x:c>
      <x:c r="N1199" s="274" t="s">
        <x:v>162</x:v>
      </x:c>
    </x:row>
    <x:row r="1200" spans="1:14">
      <x:c r="A1200" s="274" t="s">
        <x:v>2560</x:v>
      </x:c>
      <x:c r="B1200" s="274" t="n">
        <x:v>1.07</x:v>
      </x:c>
      <x:c r="C1200" s="274" t="n">
        <x:v>28</x:v>
      </x:c>
      <x:c r="D1200" s="274" t="n">
        <x:v>35</x:v>
      </x:c>
      <x:c r="E1200" s="274" t="n">
        <x:v>33</x:v>
      </x:c>
      <x:c r="F1200" s="274" t="s">
        <x:v>123</x:v>
      </x:c>
      <x:c r="G1200" s="274" t="s">
        <x:v>153</x:v>
      </x:c>
      <x:c r="I1200" s="274" t="n">
        <x:v>1</x:v>
      </x:c>
      <x:c r="J1200" s="274" t="n">
        <x:v>355</x:v>
      </x:c>
      <x:c r="K1200" s="274" t="n">
        <x:v>385</x:v>
      </x:c>
      <x:c r="M1200" s="274" t="s">
        <x:v>2561</x:v>
      </x:c>
      <x:c r="N1200" s="274" t="s">
        <x:v>229</x:v>
      </x:c>
    </x:row>
    <x:row r="1201" spans="1:14">
      <x:c r="A1201" s="274" t="s">
        <x:v>2562</x:v>
      </x:c>
      <x:c r="B1201" s="274" t="n">
        <x:v>1.69</x:v>
      </x:c>
      <x:c r="C1201" s="274" t="n">
        <x:v>0</x:v>
      </x:c>
      <x:c r="D1201" s="274" t="n">
        <x:v>26</x:v>
      </x:c>
      <x:c r="E1201" s="274" t="n">
        <x:v>14</x:v>
      </x:c>
      <x:c r="F1201" s="274" t="s">
        <x:v>333</x:v>
      </x:c>
      <x:c r="G1201" s="274" t="s">
        <x:v>124</x:v>
      </x:c>
      <x:c r="I1201" s="274" t="n">
        <x:v>1</x:v>
      </x:c>
      <x:c r="J1201" s="274" t="n">
        <x:v>190</x:v>
      </x:c>
      <x:c r="K1201" s="274" t="n">
        <x:v>1130</x:v>
      </x:c>
      <x:c r="M1201" s="274" t="s">
        <x:v>2191</x:v>
      </x:c>
    </x:row>
    <x:row r="1202" spans="1:14">
      <x:c r="A1202" s="274" t="s">
        <x:v>2563</x:v>
      </x:c>
      <x:c r="B1202" s="274" t="n">
        <x:v>1.22</x:v>
      </x:c>
      <x:c r="C1202" s="274" t="n">
        <x:v>0</x:v>
      </x:c>
      <x:c r="D1202" s="274" t="n">
        <x:v>22</x:v>
      </x:c>
      <x:c r="E1202" s="274" t="n">
        <x:v>15</x:v>
      </x:c>
      <x:c r="F1202" s="274" t="s">
        <x:v>133</x:v>
      </x:c>
      <x:c r="G1202" s="274" t="s">
        <x:v>136</x:v>
      </x:c>
      <x:c r="H1202" s="274" t="n">
        <x:v>45</x:v>
      </x:c>
      <x:c r="I1202" s="274" t="n">
        <x:v>0.8</x:v>
      </x:c>
      <x:c r="J1202" s="274" t="n">
        <x:v>140</x:v>
      </x:c>
      <x:c r="K1202" s="274" t="n">
        <x:v>1370</x:v>
      </x:c>
      <x:c r="M1202" s="274" t="s">
        <x:v>2564</x:v>
      </x:c>
      <x:c r="N1202" s="274" t="s">
        <x:v>162</x:v>
      </x:c>
    </x:row>
    <x:row r="1203" spans="1:14">
      <x:c r="A1203" s="274" t="s">
        <x:v>2565</x:v>
      </x:c>
      <x:c r="B1203" s="274" t="n">
        <x:v>0.81</x:v>
      </x:c>
      <x:c r="C1203" s="274" t="n">
        <x:v>0</x:v>
      </x:c>
      <x:c r="D1203" s="274" t="n">
        <x:v>22</x:v>
      </x:c>
      <x:c r="E1203" s="274" t="n">
        <x:v>20</x:v>
      </x:c>
      <x:c r="F1203" s="274" t="s">
        <x:v>123</x:v>
      </x:c>
      <x:c r="G1203" s="274" t="s">
        <x:v>209</x:v>
      </x:c>
      <x:c r="I1203" s="274" t="n">
        <x:v>0.6</x:v>
      </x:c>
      <x:c r="J1203" s="274" t="n">
        <x:v>150</x:v>
      </x:c>
      <x:c r="K1203" s="274" t="n">
        <x:v>1140</x:v>
      </x:c>
      <x:c r="M1203" s="274" t="s">
        <x:v>305</x:v>
      </x:c>
      <x:c r="N1203" s="274" t="s">
        <x:v>299</x:v>
      </x:c>
    </x:row>
    <x:row r="1204" spans="1:14">
      <x:c r="A1204" s="274" t="s">
        <x:v>2566</x:v>
      </x:c>
      <x:c r="B1204" s="274" t="n">
        <x:v>0.72</x:v>
      </x:c>
      <x:c r="C1204" s="274" t="n">
        <x:v>0</x:v>
      </x:c>
      <x:c r="D1204" s="274" t="n">
        <x:v>35</x:v>
      </x:c>
      <x:c r="E1204" s="274" t="n">
        <x:v>33</x:v>
      </x:c>
      <x:c r="F1204" s="274" t="s">
        <x:v>133</x:v>
      </x:c>
      <x:c r="G1204" s="274" t="s">
        <x:v>209</x:v>
      </x:c>
      <x:c r="I1204" s="274" t="n">
        <x:v>0.8</x:v>
      </x:c>
      <x:c r="J1204" s="274" t="n">
        <x:v>465</x:v>
      </x:c>
      <x:c r="K1204" s="274" t="n">
        <x:v>245</x:v>
      </x:c>
      <x:c r="M1204" s="274" t="s">
        <x:v>622</x:v>
      </x:c>
      <x:c r="N1204" s="274" t="s">
        <x:v>299</x:v>
      </x:c>
    </x:row>
    <x:row r="1205" spans="1:14">
      <x:c r="A1205" s="274" t="s">
        <x:v>2567</x:v>
      </x:c>
      <x:c r="B1205" s="274" t="n">
        <x:v>0.67</x:v>
      </x:c>
      <x:c r="C1205" s="274" t="n">
        <x:v>0</x:v>
      </x:c>
      <x:c r="D1205" s="274" t="n">
        <x:v>35</x:v>
      </x:c>
      <x:c r="E1205" s="274" t="n">
        <x:v>33</x:v>
      </x:c>
      <x:c r="F1205" s="274" t="s">
        <x:v>123</x:v>
      </x:c>
      <x:c r="G1205" s="274" t="s">
        <x:v>153</x:v>
      </x:c>
      <x:c r="I1205" s="274" t="n">
        <x:v>1</x:v>
      </x:c>
      <x:c r="J1205" s="274" t="n">
        <x:v>570</x:v>
      </x:c>
      <x:c r="K1205" s="274" t="n">
        <x:v>150</x:v>
      </x:c>
      <x:c r="M1205" s="274" t="s">
        <x:v>2568</x:v>
      </x:c>
      <x:c r="N1205" s="274" t="s">
        <x:v>229</x:v>
      </x:c>
    </x:row>
    <x:row r="1206" spans="1:14">
      <x:c r="A1206" s="274" t="s">
        <x:v>2569</x:v>
      </x:c>
      <x:c r="B1206" s="274" t="n">
        <x:v>0.63</x:v>
      </x:c>
      <x:c r="C1206" s="274" t="n">
        <x:v>27</x:v>
      </x:c>
      <x:c r="D1206" s="274" t="n">
        <x:v>36</x:v>
      </x:c>
      <x:c r="E1206" s="274" t="n">
        <x:v>33</x:v>
      </x:c>
      <x:c r="F1206" s="274" t="s">
        <x:v>333</x:v>
      </x:c>
      <x:c r="G1206" s="274" t="s">
        <x:v>153</x:v>
      </x:c>
      <x:c r="I1206" s="274" t="n">
        <x:v>0.65</x:v>
      </x:c>
      <x:c r="J1206" s="274" t="n">
        <x:v>340</x:v>
      </x:c>
      <x:c r="K1206" s="274" t="n">
        <x:v>365</x:v>
      </x:c>
      <x:c r="M1206" s="274" t="s">
        <x:v>2570</x:v>
      </x:c>
      <x:c r="N1206" s="274" t="s">
        <x:v>155</x:v>
      </x:c>
    </x:row>
    <x:row r="1207" spans="1:14">
      <x:c r="A1207" s="274" t="s">
        <x:v>2571</x:v>
      </x:c>
      <x:c r="B1207" s="274" t="n">
        <x:v>1.22</x:v>
      </x:c>
      <x:c r="C1207" s="274" t="n">
        <x:v>22</x:v>
      </x:c>
      <x:c r="D1207" s="274" t="n">
        <x:v>35</x:v>
      </x:c>
      <x:c r="E1207" s="274" t="n">
        <x:v>33</x:v>
      </x:c>
      <x:c r="F1207" s="274" t="s">
        <x:v>133</x:v>
      </x:c>
      <x:c r="G1207" s="274" t="s">
        <x:v>124</x:v>
      </x:c>
      <x:c r="I1207" s="274" t="n">
        <x:v>1.2</x:v>
      </x:c>
      <x:c r="J1207" s="274" t="n">
        <x:v>223</x:v>
      </x:c>
      <x:c r="K1207" s="274" t="n">
        <x:v>580</x:v>
      </x:c>
      <x:c r="M1207" s="274" t="s">
        <x:v>639</x:v>
      </x:c>
    </x:row>
    <x:row r="1208" spans="1:14">
      <x:c r="A1208" s="274" t="s">
        <x:v>2572</x:v>
      </x:c>
      <x:c r="B1208" s="274" t="n">
        <x:v>0.58</x:v>
      </x:c>
      <x:c r="C1208" s="274" t="n">
        <x:v>28</x:v>
      </x:c>
      <x:c r="D1208" s="274" t="n">
        <x:v>35</x:v>
      </x:c>
      <x:c r="E1208" s="274" t="n">
        <x:v>33</x:v>
      </x:c>
      <x:c r="F1208" s="274" t="s">
        <x:v>311</x:v>
      </x:c>
      <x:c r="G1208" s="274" t="s">
        <x:v>312</x:v>
      </x:c>
      <x:c r="H1208" s="274" t="n">
        <x:v>45</x:v>
      </x:c>
      <x:c r="I1208" s="274" t="n">
        <x:v>0.7</x:v>
      </x:c>
      <x:c r="J1208" s="274" t="n">
        <x:v>340</x:v>
      </x:c>
      <x:c r="K1208" s="274" t="n">
        <x:v>305</x:v>
      </x:c>
      <x:c r="M1208" s="274" t="s">
        <x:v>313</x:v>
      </x:c>
    </x:row>
    <x:row r="1209" spans="1:14">
      <x:c r="A1209" s="274" t="s">
        <x:v>2573</x:v>
      </x:c>
      <x:c r="B1209" s="274" t="n">
        <x:v>0.51</x:v>
      </x:c>
      <x:c r="C1209" s="274" t="n">
        <x:v>35</x:v>
      </x:c>
      <x:c r="D1209" s="274" t="n">
        <x:v>36</x:v>
      </x:c>
      <x:c r="E1209" s="274" t="n">
        <x:v>33</x:v>
      </x:c>
      <x:c r="F1209" s="274" t="s">
        <x:v>133</x:v>
      </x:c>
      <x:c r="G1209" s="274" t="s">
        <x:v>144</x:v>
      </x:c>
      <x:c r="H1209" s="274" t="n">
        <x:v>45</x:v>
      </x:c>
      <x:c r="I1209" s="274" t="n">
        <x:v>1.6</x:v>
      </x:c>
      <x:c r="J1209" s="274" t="n">
        <x:v>281</x:v>
      </x:c>
      <x:c r="K1209" s="274" t="n">
        <x:v>144</x:v>
      </x:c>
      <x:c r="M1209" s="274" t="s">
        <x:v>2574</x:v>
      </x:c>
      <x:c r="N1209" s="274" t="s">
        <x:v>2575</x:v>
      </x:c>
    </x:row>
    <x:row r="1210" spans="1:14">
      <x:c r="A1210" s="274" t="s">
        <x:v>2576</x:v>
      </x:c>
      <x:c r="B1210" s="274" t="n">
        <x:v>1.9</x:v>
      </x:c>
      <x:c r="C1210" s="274" t="n">
        <x:v>0</x:v>
      </x:c>
      <x:c r="D1210" s="274" t="n">
        <x:v>35</x:v>
      </x:c>
      <x:c r="E1210" s="274" t="n">
        <x:v>30</x:v>
      </x:c>
      <x:c r="F1210" s="274" t="s">
        <x:v>123</x:v>
      </x:c>
      <x:c r="G1210" s="274" t="s">
        <x:v>209</x:v>
      </x:c>
      <x:c r="I1210" s="274" t="n">
        <x:v>1.8</x:v>
      </x:c>
      <x:c r="J1210" s="274" t="n">
        <x:v>220</x:v>
      </x:c>
      <x:c r="K1210" s="274" t="n">
        <x:v>610</x:v>
      </x:c>
      <x:c r="M1210" s="274" t="s">
        <x:v>2577</x:v>
      </x:c>
      <x:c r="N1210" s="274" t="s">
        <x:v>162</x:v>
      </x:c>
    </x:row>
    <x:row r="1211" spans="1:14">
      <x:c r="A1211" s="274" t="s">
        <x:v>2578</x:v>
      </x:c>
      <x:c r="B1211" s="274" t="n">
        <x:v>0.67</x:v>
      </x:c>
      <x:c r="C1211" s="274" t="n">
        <x:v>30</x:v>
      </x:c>
      <x:c r="D1211" s="274" t="n">
        <x:v>35</x:v>
      </x:c>
      <x:c r="E1211" s="274" t="n">
        <x:v>33</x:v>
      </x:c>
      <x:c r="F1211" s="274" t="s">
        <x:v>133</x:v>
      </x:c>
      <x:c r="G1211" s="274" t="s">
        <x:v>144</x:v>
      </x:c>
      <x:c r="H1211" s="274" t="n">
        <x:v>45</x:v>
      </x:c>
      <x:c r="I1211" s="274" t="n">
        <x:v>1</x:v>
      </x:c>
      <x:c r="J1211" s="274" t="n">
        <x:v>308</x:v>
      </x:c>
      <x:c r="K1211" s="274" t="n">
        <x:v>274</x:v>
      </x:c>
      <x:c r="M1211" s="274" t="s">
        <x:v>1150</x:v>
      </x:c>
    </x:row>
    <x:row r="1212" spans="1:14">
      <x:c r="A1212" s="274" t="s">
        <x:v>2579</x:v>
      </x:c>
      <x:c r="B1212" s="274" t="n">
        <x:v>1.23</x:v>
      </x:c>
      <x:c r="C1212" s="274" t="n">
        <x:v>27</x:v>
      </x:c>
      <x:c r="D1212" s="274" t="n">
        <x:v>35</x:v>
      </x:c>
      <x:c r="E1212" s="274" t="n">
        <x:v>33</x:v>
      </x:c>
      <x:c r="F1212" s="274" t="s">
        <x:v>133</x:v>
      </x:c>
      <x:c r="G1212" s="274" t="s">
        <x:v>136</x:v>
      </x:c>
      <x:c r="H1212" s="274" t="n">
        <x:v>45</x:v>
      </x:c>
      <x:c r="I1212" s="274" t="n">
        <x:v>1.6</x:v>
      </x:c>
      <x:c r="J1212" s="274" t="n">
        <x:v>165</x:v>
      </x:c>
      <x:c r="K1212" s="274" t="n">
        <x:v>590</x:v>
      </x:c>
      <x:c r="M1212" s="274" t="s">
        <x:v>325</x:v>
      </x:c>
      <x:c r="N1212" s="274" t="s">
        <x:v>162</x:v>
      </x:c>
    </x:row>
    <x:row r="1213" spans="1:14">
      <x:c r="A1213" s="274" t="s">
        <x:v>2580</x:v>
      </x:c>
      <x:c r="B1213" s="274" t="n">
        <x:v>3.97</x:v>
      </x:c>
      <x:c r="C1213" s="274" t="n">
        <x:v>0</x:v>
      </x:c>
      <x:c r="D1213" s="274" t="n">
        <x:v>35</x:v>
      </x:c>
      <x:c r="E1213" s="274" t="n">
        <x:v>18</x:v>
      </x:c>
      <x:c r="F1213" s="274" t="s">
        <x:v>133</x:v>
      </x:c>
      <x:c r="G1213" s="274" t="s">
        <x:v>134</x:v>
      </x:c>
      <x:c r="I1213" s="274" t="n">
        <x:v>2.3</x:v>
      </x:c>
      <x:c r="J1213" s="274" t="n">
        <x:v>188</x:v>
      </x:c>
      <x:c r="K1213" s="274" t="n">
        <x:v>1170</x:v>
      </x:c>
      <x:c r="M1213" s="274" t="s">
        <x:v>226</x:v>
      </x:c>
      <x:c r="N1213" s="274" t="s">
        <x:v>162</x:v>
      </x:c>
    </x:row>
    <x:row r="1214" spans="1:14">
      <x:c r="A1214" s="274" t="s">
        <x:v>2581</x:v>
      </x:c>
      <x:c r="B1214" s="274" t="n">
        <x:v>0.95</x:v>
      </x:c>
      <x:c r="C1214" s="274" t="n">
        <x:v>0</x:v>
      </x:c>
      <x:c r="D1214" s="274" t="n">
        <x:v>35</x:v>
      </x:c>
      <x:c r="E1214" s="274" t="n">
        <x:v>33</x:v>
      </x:c>
      <x:c r="F1214" s="274" t="s">
        <x:v>128</x:v>
      </x:c>
      <x:c r="G1214" s="274" t="s">
        <x:v>177</x:v>
      </x:c>
      <x:c r="H1214" s="274" t="n">
        <x:v>45</x:v>
      </x:c>
      <x:c r="I1214" s="274" t="n">
        <x:v>2</x:v>
      </x:c>
      <x:c r="J1214" s="274" t="n">
        <x:v>147</x:v>
      </x:c>
      <x:c r="K1214" s="274" t="n">
        <x:v>410</x:v>
      </x:c>
      <x:c r="M1214" s="274" t="s">
        <x:v>2290</x:v>
      </x:c>
      <x:c r="N1214" s="274" t="s">
        <x:v>131</x:v>
      </x:c>
    </x:row>
    <x:row r="1215" spans="1:14">
      <x:c r="A1215" s="274" t="s">
        <x:v>2582</x:v>
      </x:c>
      <x:c r="B1215" s="274" t="n">
        <x:v>15.36</x:v>
      </x:c>
      <x:c r="C1215" s="274" t="n">
        <x:v>0</x:v>
      </x:c>
      <x:c r="D1215" s="274" t="n">
        <x:v>35</x:v>
      </x:c>
      <x:c r="E1215" s="274" t="n">
        <x:v>29</x:v>
      </x:c>
      <x:c r="F1215" s="274" t="s">
        <x:v>1980</x:v>
      </x:c>
      <x:c r="G1215" s="274" t="s">
        <x:v>1981</x:v>
      </x:c>
      <x:c r="I1215" s="274" t="n">
        <x:v>0.9</x:v>
      </x:c>
      <x:c r="J1215" s="274" t="n">
        <x:v>1510</x:v>
      </x:c>
      <x:c r="K1215" s="274" t="n">
        <x:v>1447</x:v>
      </x:c>
      <x:c r="M1215" s="274" t="s">
        <x:v>2583</x:v>
      </x:c>
      <x:c r="N1215" s="274" t="s">
        <x:v>1983</x:v>
      </x:c>
    </x:row>
    <x:row r="1216" spans="1:14">
      <x:c r="A1216" s="274" t="s">
        <x:v>2584</x:v>
      </x:c>
      <x:c r="B1216" s="274" t="n">
        <x:v>18.25</x:v>
      </x:c>
      <x:c r="C1216" s="274" t="n">
        <x:v>0</x:v>
      </x:c>
      <x:c r="D1216" s="274" t="n">
        <x:v>30</x:v>
      </x:c>
      <x:c r="E1216" s="274" t="n">
        <x:v>0</x:v>
      </x:c>
      <x:c r="F1216" s="274" t="s">
        <x:v>123</x:v>
      </x:c>
      <x:c r="G1216" s="274" t="s">
        <x:v>2364</x:v>
      </x:c>
      <x:c r="I1216" s="274" t="n">
        <x:v>0.7</x:v>
      </x:c>
      <x:c r="J1216" s="274" t="n">
        <x:v>1600</x:v>
      </x:c>
      <x:c r="K1216" s="274" t="n">
        <x:v>2095</x:v>
      </x:c>
      <x:c r="M1216" s="274" t="s">
        <x:v>1982</x:v>
      </x:c>
      <x:c r="N1216" s="274" t="s">
        <x:v>1983</x:v>
      </x:c>
    </x:row>
    <x:row r="1217" spans="1:14">
      <x:c r="A1217" s="274" t="s">
        <x:v>2585</x:v>
      </x:c>
      <x:c r="B1217" s="274" t="n">
        <x:v>3.99</x:v>
      </x:c>
      <x:c r="C1217" s="274" t="n">
        <x:v>0</x:v>
      </x:c>
      <x:c r="D1217" s="274" t="n">
        <x:v>50</x:v>
      </x:c>
      <x:c r="E1217" s="274" t="n">
        <x:v>0</x:v>
      </x:c>
      <x:c r="F1217" s="274" t="s">
        <x:v>133</x:v>
      </x:c>
      <x:c r="G1217" s="274" t="s">
        <x:v>284</x:v>
      </x:c>
      <x:c r="H1217" s="274" t="n">
        <x:v>45</x:v>
      </x:c>
      <x:c r="I1217" s="274" t="n">
        <x:v>0.8</x:v>
      </x:c>
      <x:c r="J1217" s="274" t="n">
        <x:v>1490</x:v>
      </x:c>
      <x:c r="K1217" s="274" t="n">
        <x:v>420</x:v>
      </x:c>
      <x:c r="M1217" s="274" t="s">
        <x:v>2586</x:v>
      </x:c>
      <x:c r="N1217" s="274" t="s">
        <x:v>155</x:v>
      </x:c>
    </x:row>
    <x:row r="1218" spans="1:14">
      <x:c r="A1218" s="274" t="s">
        <x:v>2587</x:v>
      </x:c>
      <x:c r="B1218" s="274" t="n">
        <x:v>0.49</x:v>
      </x:c>
      <x:c r="C1218" s="274" t="n">
        <x:v>0</x:v>
      </x:c>
      <x:c r="D1218" s="274" t="n">
        <x:v>0</x:v>
      </x:c>
      <x:c r="F1218" s="274" t="s">
        <x:v>333</x:v>
      </x:c>
      <x:c r="G1218" s="274" t="s">
        <x:v>2157</x:v>
      </x:c>
      <x:c r="I1218" s="274" t="n">
        <x:v>0.8</x:v>
      </x:c>
      <x:c r="J1218" s="274" t="n">
        <x:v>158</x:v>
      </x:c>
      <x:c r="K1218" s="274" t="n">
        <x:v>493</x:v>
      </x:c>
      <x:c r="M1218" s="274" t="s">
        <x:v>2588</x:v>
      </x:c>
      <x:c r="N1218" s="274" t="s">
        <x:v>2257</x:v>
      </x:c>
    </x:row>
    <x:row r="1219" spans="1:14">
      <x:c r="A1219" s="274" t="s">
        <x:v>2589</x:v>
      </x:c>
      <x:c r="B1219" s="274" t="n">
        <x:v>0.28</x:v>
      </x:c>
      <x:c r="C1219" s="274" t="n">
        <x:v>35</x:v>
      </x:c>
      <x:c r="D1219" s="274" t="n">
        <x:v>35</x:v>
      </x:c>
      <x:c r="E1219" s="274" t="n">
        <x:v>33</x:v>
      </x:c>
      <x:c r="F1219" s="274" t="s">
        <x:v>333</x:v>
      </x:c>
      <x:c r="G1219" s="274" t="s">
        <x:v>209</x:v>
      </x:c>
      <x:c r="I1219" s="274" t="n">
        <x:v>1</x:v>
      </x:c>
      <x:c r="J1219" s="274" t="n">
        <x:v>206</x:v>
      </x:c>
      <x:c r="K1219" s="274" t="n">
        <x:v>174</x:v>
      </x:c>
      <x:c r="M1219" s="274" t="s">
        <x:v>2590</x:v>
      </x:c>
      <x:c r="N1219" s="274" t="s">
        <x:v>131</x:v>
      </x:c>
    </x:row>
    <x:row r="1220" spans="1:14">
      <x:c r="A1220" s="274" t="s">
        <x:v>2591</x:v>
      </x:c>
      <x:c r="B1220" s="274" t="n">
        <x:v>0.44</x:v>
      </x:c>
      <x:c r="C1220" s="274" t="n">
        <x:v>0</x:v>
      </x:c>
      <x:c r="D1220" s="274" t="n">
        <x:v>0</x:v>
      </x:c>
      <x:c r="F1220" s="274" t="s">
        <x:v>333</x:v>
      </x:c>
      <x:c r="G1220" s="274" t="s">
        <x:v>209</x:v>
      </x:c>
      <x:c r="I1220" s="274" t="n">
        <x:v>1</x:v>
      </x:c>
      <x:c r="J1220" s="274" t="n">
        <x:v>80</x:v>
      </x:c>
      <x:c r="K1220" s="274" t="n">
        <x:v>705</x:v>
      </x:c>
      <x:c r="M1220" s="274" t="s">
        <x:v>2592</x:v>
      </x:c>
      <x:c r="N1220" s="274" t="s">
        <x:v>131</x:v>
      </x:c>
    </x:row>
    <x:row r="1221" spans="1:14">
      <x:c r="A1221" s="274" t="s">
        <x:v>2593</x:v>
      </x:c>
      <x:c r="B1221" s="274" t="n">
        <x:v>1.29</x:v>
      </x:c>
      <x:c r="C1221" s="274" t="n">
        <x:v>0</x:v>
      </x:c>
      <x:c r="D1221" s="274" t="n">
        <x:v>0</x:v>
      </x:c>
      <x:c r="F1221" s="274" t="s">
        <x:v>333</x:v>
      </x:c>
      <x:c r="G1221" s="274" t="s">
        <x:v>209</x:v>
      </x:c>
      <x:c r="I1221" s="274" t="n">
        <x:v>1</x:v>
      </x:c>
      <x:c r="J1221" s="274" t="n">
        <x:v>350</x:v>
      </x:c>
      <x:c r="K1221" s="274" t="n">
        <x:v>468</x:v>
      </x:c>
      <x:c r="M1221" s="274" t="s">
        <x:v>2594</x:v>
      </x:c>
      <x:c r="N1221" s="274" t="s">
        <x:v>299</x:v>
      </x:c>
    </x:row>
    <x:row r="1222" spans="1:14">
      <x:c r="A1222" s="274" t="s">
        <x:v>2595</x:v>
      </x:c>
      <x:c r="B1222" s="274" t="n">
        <x:v>14.17</x:v>
      </x:c>
      <x:c r="C1222" s="274" t="n">
        <x:v>0</x:v>
      </x:c>
      <x:c r="D1222" s="274" t="n">
        <x:v>30</x:v>
      </x:c>
      <x:c r="E1222" s="274" t="n">
        <x:v>37</x:v>
      </x:c>
      <x:c r="F1222" s="274" t="s">
        <x:v>133</x:v>
      </x:c>
      <x:c r="G1222" s="274" t="s">
        <x:v>136</x:v>
      </x:c>
      <x:c r="H1222" s="274" t="n">
        <x:v>45</x:v>
      </x:c>
      <x:c r="I1222" s="274" t="n">
        <x:v>1.6</x:v>
      </x:c>
      <x:c r="J1222" s="274" t="n">
        <x:v>1021</x:v>
      </x:c>
      <x:c r="K1222" s="274" t="n">
        <x:v>1097</x:v>
      </x:c>
      <x:c r="M1222" s="274" t="s">
        <x:v>2596</x:v>
      </x:c>
      <x:c r="N1222" s="274" t="s">
        <x:v>299</x:v>
      </x:c>
    </x:row>
    <x:row r="1223" spans="1:14">
      <x:c r="A1223" s="274" t="s">
        <x:v>2597</x:v>
      </x:c>
      <x:c r="B1223" s="274" t="n">
        <x:v>2.63</x:v>
      </x:c>
      <x:c r="C1223" s="274" t="n">
        <x:v>0</x:v>
      </x:c>
      <x:c r="D1223" s="274" t="n">
        <x:v>0</x:v>
      </x:c>
      <x:c r="F1223" s="274" t="s">
        <x:v>133</x:v>
      </x:c>
      <x:c r="G1223" s="274" t="s">
        <x:v>148</x:v>
      </x:c>
      <x:c r="I1223" s="274" t="n">
        <x:v>3.2</x:v>
      </x:c>
      <x:c r="J1223" s="274" t="n">
        <x:v>88</x:v>
      </x:c>
      <x:c r="K1223" s="274" t="n">
        <x:v>1190</x:v>
      </x:c>
      <x:c r="M1223" s="274" t="s">
        <x:v>2598</x:v>
      </x:c>
      <x:c r="N1223" s="274" t="s">
        <x:v>299</x:v>
      </x:c>
    </x:row>
    <x:row r="1224" spans="1:14">
      <x:c r="A1224" s="274" t="s">
        <x:v>2599</x:v>
      </x:c>
      <x:c r="B1224" s="274" t="n">
        <x:v>1.44</x:v>
      </x:c>
      <x:c r="C1224" s="274" t="n">
        <x:v>0</x:v>
      </x:c>
      <x:c r="D1224" s="274" t="n">
        <x:v>0</x:v>
      </x:c>
      <x:c r="F1224" s="274" t="s">
        <x:v>333</x:v>
      </x:c>
      <x:c r="G1224" s="274" t="s">
        <x:v>209</x:v>
      </x:c>
      <x:c r="I1224" s="274" t="n">
        <x:v>1</x:v>
      </x:c>
      <x:c r="J1224" s="274" t="n">
        <x:v>145</x:v>
      </x:c>
      <x:c r="K1224" s="274" t="n">
        <x:v>1265</x:v>
      </x:c>
      <x:c r="M1224" s="274" t="s">
        <x:v>2600</x:v>
      </x:c>
      <x:c r="N1224" s="274" t="s">
        <x:v>870</x:v>
      </x:c>
    </x:row>
    <x:row r="1225" spans="1:14">
      <x:c r="A1225" s="274" t="s">
        <x:v>2601</x:v>
      </x:c>
      <x:c r="B1225" s="274" t="n">
        <x:v>0.38</x:v>
      </x:c>
      <x:c r="C1225" s="274" t="n">
        <x:v>0</x:v>
      </x:c>
      <x:c r="D1225" s="274" t="n">
        <x:v>0</x:v>
      </x:c>
      <x:c r="F1225" s="274" t="s">
        <x:v>333</x:v>
      </x:c>
      <x:c r="G1225" s="274" t="s">
        <x:v>209</x:v>
      </x:c>
      <x:c r="I1225" s="274" t="n">
        <x:v>1</x:v>
      </x:c>
      <x:c r="J1225" s="274" t="n">
        <x:v>145</x:v>
      </x:c>
      <x:c r="K1225" s="274" t="n">
        <x:v>335</x:v>
      </x:c>
      <x:c r="M1225" s="274" t="s">
        <x:v>2602</x:v>
      </x:c>
      <x:c r="N1225" s="274" t="s">
        <x:v>155</x:v>
      </x:c>
    </x:row>
    <x:row r="1226" spans="1:14">
      <x:c r="A1226" s="274" t="s">
        <x:v>2603</x:v>
      </x:c>
      <x:c r="B1226" s="274" t="n">
        <x:v>3.49</x:v>
      </x:c>
      <x:c r="C1226" s="274" t="n">
        <x:v>0</x:v>
      </x:c>
      <x:c r="D1226" s="274" t="n">
        <x:v>0</x:v>
      </x:c>
      <x:c r="F1226" s="274" t="s">
        <x:v>333</x:v>
      </x:c>
      <x:c r="G1226" s="274" t="s">
        <x:v>209</x:v>
      </x:c>
      <x:c r="I1226" s="274" t="n">
        <x:v>1.4</x:v>
      </x:c>
      <x:c r="J1226" s="274" t="n">
        <x:v>265</x:v>
      </x:c>
      <x:c r="K1226" s="274" t="n">
        <x:v>1199</x:v>
      </x:c>
      <x:c r="M1226" s="274" t="s">
        <x:v>2604</x:v>
      </x:c>
      <x:c r="N1226" s="274" t="s">
        <x:v>870</x:v>
      </x:c>
    </x:row>
    <x:row r="1227" spans="1:14">
      <x:c r="A1227" s="274" t="s">
        <x:v>2605</x:v>
      </x:c>
      <x:c r="B1227" s="274" t="n">
        <x:v>5.52</x:v>
      </x:c>
      <x:c r="C1227" s="274" t="n">
        <x:v>0</x:v>
      </x:c>
      <x:c r="D1227" s="274" t="n">
        <x:v>18</x:v>
      </x:c>
      <x:c r="E1227" s="274" t="n">
        <x:v>15</x:v>
      </x:c>
      <x:c r="F1227" s="274" t="s">
        <x:v>133</x:v>
      </x:c>
      <x:c r="G1227" s="274" t="s">
        <x:v>136</x:v>
      </x:c>
      <x:c r="H1227" s="274" t="n">
        <x:v>45</x:v>
      </x:c>
      <x:c r="I1227" s="274" t="n">
        <x:v>1.4</x:v>
      </x:c>
      <x:c r="J1227" s="274" t="n">
        <x:v>345</x:v>
      </x:c>
      <x:c r="K1227" s="274" t="n">
        <x:v>1445</x:v>
      </x:c>
      <x:c r="M1227" s="274" t="s">
        <x:v>2606</x:v>
      </x:c>
      <x:c r="N1227" s="274" t="s">
        <x:v>131</x:v>
      </x:c>
    </x:row>
    <x:row r="1228" spans="1:14">
      <x:c r="A1228" s="274" t="s">
        <x:v>2607</x:v>
      </x:c>
      <x:c r="B1228" s="274" t="n">
        <x:v>1.49</x:v>
      </x:c>
      <x:c r="C1228" s="274" t="n">
        <x:v>0</x:v>
      </x:c>
      <x:c r="D1228" s="274" t="n">
        <x:v>0</x:v>
      </x:c>
      <x:c r="F1228" s="274" t="s">
        <x:v>133</x:v>
      </x:c>
      <x:c r="G1228" s="274" t="s">
        <x:v>134</x:v>
      </x:c>
      <x:c r="I1228" s="274" t="n">
        <x:v>1.6</x:v>
      </x:c>
      <x:c r="J1228" s="274" t="n">
        <x:v>99</x:v>
      </x:c>
      <x:c r="K1228" s="274" t="n">
        <x:v>1199</x:v>
      </x:c>
      <x:c r="M1228" s="274" t="s">
        <x:v>2608</x:v>
      </x:c>
      <x:c r="N1228" s="274" t="s">
        <x:v>870</x:v>
      </x:c>
    </x:row>
    <x:row r="1229" spans="1:14">
      <x:c r="A1229" s="274" t="s">
        <x:v>2609</x:v>
      </x:c>
      <x:c r="B1229" s="274" t="n">
        <x:v>1.59</x:v>
      </x:c>
      <x:c r="C1229" s="274" t="n">
        <x:v>0</x:v>
      </x:c>
      <x:c r="D1229" s="274" t="n">
        <x:v>0</x:v>
      </x:c>
      <x:c r="F1229" s="274" t="s">
        <x:v>333</x:v>
      </x:c>
      <x:c r="G1229" s="274" t="s">
        <x:v>153</x:v>
      </x:c>
      <x:c r="I1229" s="274" t="n">
        <x:v>1.2</x:v>
      </x:c>
      <x:c r="J1229" s="274" t="n">
        <x:v>140</x:v>
      </x:c>
      <x:c r="K1229" s="274" t="n">
        <x:v>1204</x:v>
      </x:c>
      <x:c r="M1229" s="274" t="s">
        <x:v>2610</x:v>
      </x:c>
      <x:c r="N1229" s="274" t="s">
        <x:v>870</x:v>
      </x:c>
    </x:row>
    <x:row r="1230" spans="1:14">
      <x:c r="A1230" s="274" t="s">
        <x:v>2611</x:v>
      </x:c>
      <x:c r="B1230" s="274" t="n">
        <x:v>3.45</x:v>
      </x:c>
      <x:c r="C1230" s="274" t="n">
        <x:v>0</x:v>
      </x:c>
      <x:c r="D1230" s="274" t="n">
        <x:v>0</x:v>
      </x:c>
      <x:c r="F1230" s="274" t="s">
        <x:v>333</x:v>
      </x:c>
      <x:c r="G1230" s="274" t="s">
        <x:v>209</x:v>
      </x:c>
      <x:c r="I1230" s="274" t="n">
        <x:v>1.4</x:v>
      </x:c>
      <x:c r="J1230" s="274" t="n">
        <x:v>260</x:v>
      </x:c>
      <x:c r="K1230" s="274" t="n">
        <x:v>1206</x:v>
      </x:c>
      <x:c r="M1230" s="274" t="s">
        <x:v>2612</x:v>
      </x:c>
      <x:c r="N1230" s="274" t="s">
        <x:v>870</x:v>
      </x:c>
    </x:row>
    <x:row r="1231" spans="1:14">
      <x:c r="A1231" s="274" t="s">
        <x:v>2613</x:v>
      </x:c>
      <x:c r="B1231" s="274" t="n">
        <x:v>4.04</x:v>
      </x:c>
      <x:c r="C1231" s="274" t="n">
        <x:v>0</x:v>
      </x:c>
      <x:c r="D1231" s="274" t="n">
        <x:v>0</x:v>
      </x:c>
      <x:c r="F1231" s="274" t="s">
        <x:v>184</x:v>
      </x:c>
      <x:c r="G1231" s="274" t="s">
        <x:v>1718</x:v>
      </x:c>
      <x:c r="H1231" s="274" t="n">
        <x:v>45</x:v>
      </x:c>
      <x:c r="I1231" s="274" t="n">
        <x:v>1.8</x:v>
      </x:c>
      <x:c r="J1231" s="274" t="n">
        <x:v>243</x:v>
      </x:c>
      <x:c r="K1231" s="274" t="n">
        <x:v>1170</x:v>
      </x:c>
      <x:c r="M1231" s="274" t="s">
        <x:v>2614</x:v>
      </x:c>
      <x:c r="N1231" s="274" t="s">
        <x:v>870</x:v>
      </x:c>
    </x:row>
    <x:row r="1232" spans="1:14">
      <x:c r="A1232" s="274" t="s">
        <x:v>2615</x:v>
      </x:c>
      <x:c r="B1232" s="274" t="n">
        <x:v>0.86</x:v>
      </x:c>
      <x:c r="C1232" s="274" t="n">
        <x:v>0</x:v>
      </x:c>
      <x:c r="D1232" s="274" t="n">
        <x:v>34</x:v>
      </x:c>
      <x:c r="E1232" s="274" t="n">
        <x:v>31</x:v>
      </x:c>
      <x:c r="F1232" s="274" t="s">
        <x:v>133</x:v>
      </x:c>
      <x:c r="G1232" s="274" t="s">
        <x:v>134</x:v>
      </x:c>
      <x:c r="I1232" s="274" t="n">
        <x:v>2.9</x:v>
      </x:c>
      <x:c r="J1232" s="274" t="n">
        <x:v>102</x:v>
      </x:c>
      <x:c r="K1232" s="274" t="n">
        <x:v>372</x:v>
      </x:c>
      <x:c r="M1232" s="274" t="s">
        <x:v>2616</x:v>
      </x:c>
    </x:row>
    <x:row r="1233" spans="1:14">
      <x:c r="A1233" s="274" t="s">
        <x:v>2617</x:v>
      </x:c>
      <x:c r="B1233" s="274" t="n">
        <x:v>1</x:v>
      </x:c>
      <x:c r="C1233" s="274" t="n">
        <x:v>0</x:v>
      </x:c>
      <x:c r="D1233" s="274" t="n">
        <x:v>36</x:v>
      </x:c>
      <x:c r="E1233" s="274" t="n">
        <x:v>33</x:v>
      </x:c>
      <x:c r="F1233" s="274" t="s">
        <x:v>133</x:v>
      </x:c>
      <x:c r="G1233" s="274" t="s">
        <x:v>134</x:v>
      </x:c>
      <x:c r="I1233" s="274" t="n">
        <x:v>2</x:v>
      </x:c>
      <x:c r="J1233" s="274" t="n">
        <x:v>177</x:v>
      </x:c>
      <x:c r="K1233" s="274" t="n">
        <x:v>360</x:v>
      </x:c>
      <x:c r="M1233" s="274" t="s">
        <x:v>1395</x:v>
      </x:c>
      <x:c r="N1233" s="274" t="s">
        <x:v>131</x:v>
      </x:c>
    </x:row>
    <x:row r="1234" spans="1:14">
      <x:c r="A1234" s="274" t="s">
        <x:v>2618</x:v>
      </x:c>
      <x:c r="B1234" s="274" t="n">
        <x:v>0.97</x:v>
      </x:c>
      <x:c r="C1234" s="274" t="n">
        <x:v>0</x:v>
      </x:c>
      <x:c r="D1234" s="274" t="n">
        <x:v>36</x:v>
      </x:c>
      <x:c r="E1234" s="274" t="n">
        <x:v>18</x:v>
      </x:c>
      <x:c r="F1234" s="274" t="s">
        <x:v>333</x:v>
      </x:c>
      <x:c r="G1234" s="274" t="s">
        <x:v>209</x:v>
      </x:c>
      <x:c r="I1234" s="274" t="n">
        <x:v>1.4</x:v>
      </x:c>
      <x:c r="J1234" s="274" t="n">
        <x:v>521</x:v>
      </x:c>
      <x:c r="K1234" s="274" t="n">
        <x:v>170</x:v>
      </x:c>
      <x:c r="M1234" s="274" t="s">
        <x:v>1401</x:v>
      </x:c>
      <x:c r="N1234" s="274" t="s">
        <x:v>131</x:v>
      </x:c>
    </x:row>
    <x:row r="1235" spans="1:14">
      <x:c r="A1235" s="274" t="s">
        <x:v>2619</x:v>
      </x:c>
      <x:c r="B1235" s="274" t="n">
        <x:v>0.18</x:v>
      </x:c>
      <x:c r="C1235" s="274" t="n">
        <x:v>0</x:v>
      </x:c>
      <x:c r="D1235" s="274" t="n">
        <x:v>0</x:v>
      </x:c>
      <x:c r="F1235" s="274" t="s">
        <x:v>333</x:v>
      </x:c>
      <x:c r="G1235" s="274" t="s">
        <x:v>209</x:v>
      </x:c>
      <x:c r="I1235" s="274" t="n">
        <x:v>1</x:v>
      </x:c>
      <x:c r="J1235" s="274" t="n">
        <x:v>150</x:v>
      </x:c>
      <x:c r="K1235" s="274" t="n">
        <x:v>150</x:v>
      </x:c>
      <x:c r="M1235" s="274" t="s">
        <x:v>2620</x:v>
      </x:c>
      <x:c r="N1235" s="274" t="s">
        <x:v>299</x:v>
      </x:c>
    </x:row>
    <x:row r="1236" spans="1:14">
      <x:c r="A1236" s="274" t="s">
        <x:v>2621</x:v>
      </x:c>
      <x:c r="B1236" s="274" t="n">
        <x:v>0.38</x:v>
      </x:c>
      <x:c r="C1236" s="274" t="n">
        <x:v>0</x:v>
      </x:c>
      <x:c r="D1236" s="274" t="n">
        <x:v>0</x:v>
      </x:c>
      <x:c r="F1236" s="274" t="s">
        <x:v>333</x:v>
      </x:c>
      <x:c r="G1236" s="274" t="s">
        <x:v>473</x:v>
      </x:c>
      <x:c r="I1236" s="274" t="n">
        <x:v>0.8</x:v>
      </x:c>
      <x:c r="J1236" s="274" t="n">
        <x:v>114</x:v>
      </x:c>
      <x:c r="K1236" s="274" t="n">
        <x:v>530</x:v>
      </x:c>
      <x:c r="M1236" s="274" t="s">
        <x:v>2622</x:v>
      </x:c>
      <x:c r="N1236" s="274" t="s">
        <x:v>1815</x:v>
      </x:c>
    </x:row>
    <x:row r="1237" spans="1:14">
      <x:c r="A1237" s="274" t="s">
        <x:v>2623</x:v>
      </x:c>
      <x:c r="B1237" s="274" t="n">
        <x:v>2.24</x:v>
      </x:c>
      <x:c r="C1237" s="274" t="n">
        <x:v>19</x:v>
      </x:c>
      <x:c r="D1237" s="274" t="n">
        <x:v>26</x:v>
      </x:c>
      <x:c r="E1237" s="274" t="n">
        <x:v>22</x:v>
      </x:c>
      <x:c r="F1237" s="274" t="s">
        <x:v>123</x:v>
      </x:c>
      <x:c r="G1237" s="274" t="s">
        <x:v>209</x:v>
      </x:c>
      <x:c r="I1237" s="274" t="n">
        <x:v>1.4</x:v>
      </x:c>
      <x:c r="J1237" s="274" t="n">
        <x:v>225</x:v>
      </x:c>
      <x:c r="K1237" s="274" t="n">
        <x:v>905</x:v>
      </x:c>
      <x:c r="M1237" s="274" t="s">
        <x:v>2624</x:v>
      </x:c>
      <x:c r="N1237" s="274" t="s">
        <x:v>421</x:v>
      </x:c>
    </x:row>
    <x:row r="1238" spans="1:14">
      <x:c r="A1238" s="274" t="s">
        <x:v>2625</x:v>
      </x:c>
      <x:c r="B1238" s="274" t="n">
        <x:v>0.3</x:v>
      </x:c>
      <x:c r="C1238" s="274" t="n">
        <x:v>30</x:v>
      </x:c>
      <x:c r="D1238" s="274" t="n">
        <x:v>35</x:v>
      </x:c>
      <x:c r="E1238" s="274" t="n">
        <x:v>33</x:v>
      </x:c>
      <x:c r="F1238" s="274" t="s">
        <x:v>133</x:v>
      </x:c>
      <x:c r="G1238" s="274" t="s">
        <x:v>136</x:v>
      </x:c>
      <x:c r="H1238" s="274" t="n">
        <x:v>45</x:v>
      </x:c>
      <x:c r="I1238" s="274" t="n">
        <x:v>1.4</x:v>
      </x:c>
      <x:c r="J1238" s="274" t="n">
        <x:v>140</x:v>
      </x:c>
      <x:c r="K1238" s="274" t="n">
        <x:v>195</x:v>
      </x:c>
      <x:c r="M1238" s="274" t="s">
        <x:v>172</x:v>
      </x:c>
      <x:c r="N1238" s="274" t="s">
        <x:v>131</x:v>
      </x:c>
    </x:row>
    <x:row r="1239" spans="1:14">
      <x:c r="A1239" s="274" t="s">
        <x:v>2626</x:v>
      </x:c>
      <x:c r="B1239" s="274" t="n">
        <x:v>4.29</x:v>
      </x:c>
      <x:c r="C1239" s="274" t="n">
        <x:v>0</x:v>
      </x:c>
      <x:c r="D1239" s="274" t="n">
        <x:v>0</x:v>
      </x:c>
      <x:c r="F1239" s="274" t="s">
        <x:v>128</x:v>
      </x:c>
      <x:c r="G1239" s="274" t="s">
        <x:v>496</x:v>
      </x:c>
      <x:c r="H1239" s="274" t="n">
        <x:v>45</x:v>
      </x:c>
      <x:c r="I1239" s="274" t="n">
        <x:v>2.3</x:v>
      </x:c>
      <x:c r="J1239" s="274" t="n">
        <x:v>198</x:v>
      </x:c>
      <x:c r="K1239" s="274" t="n">
        <x:v>1195</x:v>
      </x:c>
      <x:c r="M1239" s="274" t="s">
        <x:v>2627</x:v>
      </x:c>
      <x:c r="N1239" s="274" t="s">
        <x:v>299</x:v>
      </x:c>
    </x:row>
    <x:row r="1240" spans="1:14">
      <x:c r="A1240" s="274" t="s">
        <x:v>2628</x:v>
      </x:c>
      <x:c r="B1240" s="274" t="n">
        <x:v>3.71</x:v>
      </x:c>
      <x:c r="C1240" s="274" t="n">
        <x:v>0</x:v>
      </x:c>
      <x:c r="D1240" s="274" t="n">
        <x:v>0</x:v>
      </x:c>
      <x:c r="F1240" s="274" t="s">
        <x:v>128</x:v>
      </x:c>
      <x:c r="G1240" s="274" t="s">
        <x:v>177</x:v>
      </x:c>
      <x:c r="H1240" s="274" t="n">
        <x:v>45</x:v>
      </x:c>
      <x:c r="I1240" s="274" t="n">
        <x:v>2</x:v>
      </x:c>
      <x:c r="J1240" s="274" t="n">
        <x:v>196</x:v>
      </x:c>
      <x:c r="K1240" s="274" t="n">
        <x:v>1200</x:v>
      </x:c>
      <x:c r="M1240" s="274" t="s">
        <x:v>2629</x:v>
      </x:c>
      <x:c r="N1240" s="274" t="s">
        <x:v>299</x:v>
      </x:c>
    </x:row>
    <x:row r="1241" spans="1:14">
      <x:c r="A1241" s="274" t="s">
        <x:v>2630</x:v>
      </x:c>
      <x:c r="B1241" s="274" t="n">
        <x:v>1.28</x:v>
      </x:c>
      <x:c r="C1241" s="274" t="n">
        <x:v>0</x:v>
      </x:c>
      <x:c r="D1241" s="274" t="n">
        <x:v>0</x:v>
      </x:c>
      <x:c r="F1241" s="274" t="s">
        <x:v>133</x:v>
      </x:c>
      <x:c r="G1241" s="274" t="s">
        <x:v>136</x:v>
      </x:c>
      <x:c r="H1241" s="274" t="n">
        <x:v>45</x:v>
      </x:c>
      <x:c r="I1241" s="274" t="n">
        <x:v>1.6</x:v>
      </x:c>
      <x:c r="J1241" s="274" t="n">
        <x:v>84</x:v>
      </x:c>
      <x:c r="K1241" s="274" t="n">
        <x:v>1205</x:v>
      </x:c>
      <x:c r="M1241" s="274" t="s">
        <x:v>2631</x:v>
      </x:c>
      <x:c r="N1241" s="274" t="s">
        <x:v>155</x:v>
      </x:c>
    </x:row>
    <x:row r="1242" spans="1:14">
      <x:c r="A1242" s="274" t="s">
        <x:v>2632</x:v>
      </x:c>
      <x:c r="B1242" s="274" t="n">
        <x:v>0.54</x:v>
      </x:c>
      <x:c r="C1242" s="274" t="n">
        <x:v>0</x:v>
      </x:c>
      <x:c r="D1242" s="274" t="n">
        <x:v>0</x:v>
      </x:c>
      <x:c r="F1242" s="274" t="s">
        <x:v>333</x:v>
      </x:c>
      <x:c r="G1242" s="274" t="s">
        <x:v>209</x:v>
      </x:c>
      <x:c r="I1242" s="274" t="n">
        <x:v>1.2</x:v>
      </x:c>
      <x:c r="J1242" s="274" t="n">
        <x:v>46</x:v>
      </x:c>
      <x:c r="K1242" s="274" t="n">
        <x:v>1240</x:v>
      </x:c>
      <x:c r="M1242" s="274" t="s">
        <x:v>2633</x:v>
      </x:c>
      <x:c r="N1242" s="274" t="s">
        <x:v>155</x:v>
      </x:c>
    </x:row>
    <x:row r="1243" spans="1:14">
      <x:c r="A1243" s="274" t="s">
        <x:v>2634</x:v>
      </x:c>
      <x:c r="B1243" s="274" t="n">
        <x:v>0.79</x:v>
      </x:c>
      <x:c r="C1243" s="274" t="n">
        <x:v>0</x:v>
      </x:c>
      <x:c r="D1243" s="274" t="n">
        <x:v>0</x:v>
      </x:c>
      <x:c r="F1243" s="274" t="s">
        <x:v>333</x:v>
      </x:c>
      <x:c r="G1243" s="274" t="s">
        <x:v>209</x:v>
      </x:c>
      <x:c r="I1243" s="274" t="n">
        <x:v>1.2</x:v>
      </x:c>
      <x:c r="J1243" s="274" t="n">
        <x:v>67</x:v>
      </x:c>
      <x:c r="K1243" s="274" t="n">
        <x:v>1250</x:v>
      </x:c>
      <x:c r="M1243" s="274" t="s">
        <x:v>2635</x:v>
      </x:c>
      <x:c r="N1243" s="274" t="s">
        <x:v>155</x:v>
      </x:c>
    </x:row>
    <x:row r="1244" spans="1:14">
      <x:c r="A1244" s="274" t="s">
        <x:v>2636</x:v>
      </x:c>
      <x:c r="B1244" s="274" t="n">
        <x:v>0.721</x:v>
      </x:c>
      <x:c r="C1244" s="274" t="n">
        <x:v>22</x:v>
      </x:c>
      <x:c r="D1244" s="274" t="n">
        <x:v>25</x:v>
      </x:c>
      <x:c r="E1244" s="274" t="n">
        <x:v>18</x:v>
      </x:c>
      <x:c r="F1244" s="274" t="s">
        <x:v>123</x:v>
      </x:c>
      <x:c r="G1244" s="274" t="s">
        <x:v>2637</x:v>
      </x:c>
      <x:c r="I1244" s="274" t="n">
        <x:v>1.2</x:v>
      </x:c>
      <x:c r="J1244" s="274" t="n">
        <x:v>118</x:v>
      </x:c>
      <x:c r="K1244" s="274" t="n">
        <x:v>648</x:v>
      </x:c>
    </x:row>
    <x:row r="1245" spans="1:14">
      <x:c r="A1245" s="274" t="s">
        <x:v>2638</x:v>
      </x:c>
      <x:c r="B1245" s="274" t="n">
        <x:v>3.054</x:v>
      </x:c>
      <x:c r="C1245" s="274" t="n">
        <x:v>0</x:v>
      </x:c>
      <x:c r="D1245" s="274" t="n">
        <x:v>25</x:v>
      </x:c>
      <x:c r="E1245" s="274" t="n">
        <x:v>18</x:v>
      </x:c>
      <x:c r="F1245" s="274" t="s">
        <x:v>123</x:v>
      </x:c>
      <x:c r="G1245" s="274" t="s">
        <x:v>2637</x:v>
      </x:c>
      <x:c r="I1245" s="274" t="n">
        <x:v>1.5</x:v>
      </x:c>
      <x:c r="J1245" s="274" t="n">
        <x:v>210</x:v>
      </x:c>
      <x:c r="K1245" s="274" t="n">
        <x:v>1250</x:v>
      </x:c>
    </x:row>
    <x:row r="1246" spans="1:14">
      <x:c r="A1246" s="274" t="s">
        <x:v>2639</x:v>
      </x:c>
      <x:c r="B1246" s="274" t="n">
        <x:v>2.17</x:v>
      </x:c>
      <x:c r="C1246" s="274" t="n">
        <x:v>0</x:v>
      </x:c>
      <x:c r="D1246" s="274" t="n">
        <x:v>25</x:v>
      </x:c>
      <x:c r="E1246" s="274" t="n">
        <x:v>18</x:v>
      </x:c>
      <x:c r="F1246" s="274" t="s">
        <x:v>123</x:v>
      </x:c>
      <x:c r="G1246" s="274" t="s">
        <x:v>2637</x:v>
      </x:c>
      <x:c r="I1246" s="274" t="n">
        <x:v>1.5</x:v>
      </x:c>
      <x:c r="J1246" s="274" t="n">
        <x:v>150</x:v>
      </x:c>
      <x:c r="K1246" s="274" t="n">
        <x:v>1200</x:v>
      </x:c>
    </x:row>
    <x:row r="1247" spans="1:14">
      <x:c r="A1247" s="274" t="s">
        <x:v>2640</x:v>
      </x:c>
      <x:c r="B1247" s="274" t="n">
        <x:v>2.66</x:v>
      </x:c>
      <x:c r="C1247" s="274" t="n">
        <x:v>0</x:v>
      </x:c>
      <x:c r="D1247" s="274" t="n">
        <x:v>25</x:v>
      </x:c>
      <x:c r="E1247" s="274" t="n">
        <x:v>18</x:v>
      </x:c>
      <x:c r="F1247" s="274" t="s">
        <x:v>123</x:v>
      </x:c>
      <x:c r="G1247" s="274" t="s">
        <x:v>2637</x:v>
      </x:c>
      <x:c r="I1247" s="274" t="n">
        <x:v>1.5</x:v>
      </x:c>
      <x:c r="J1247" s="274" t="n">
        <x:v>185.6</x:v>
      </x:c>
      <x:c r="K1247" s="274" t="n">
        <x:v>1220</x:v>
      </x:c>
    </x:row>
    <x:row r="1248" spans="1:14">
      <x:c r="A1248" s="274" t="s">
        <x:v>2641</x:v>
      </x:c>
      <x:c r="B1248" s="274" t="n">
        <x:v>1.936</x:v>
      </x:c>
      <x:c r="C1248" s="274" t="n">
        <x:v>0</x:v>
      </x:c>
      <x:c r="D1248" s="274" t="n">
        <x:v>25</x:v>
      </x:c>
      <x:c r="E1248" s="274" t="n">
        <x:v>18</x:v>
      </x:c>
      <x:c r="F1248" s="274" t="s">
        <x:v>123</x:v>
      </x:c>
      <x:c r="G1248" s="274" t="s">
        <x:v>2637</x:v>
      </x:c>
      <x:c r="I1248" s="274" t="n">
        <x:v>1.5</x:v>
      </x:c>
      <x:c r="J1248" s="274" t="n">
        <x:v>133</x:v>
      </x:c>
      <x:c r="K1248" s="274" t="n">
        <x:v>1250</x:v>
      </x:c>
    </x:row>
    <x:row r="1249" spans="1:14">
      <x:c r="A1249" s="274" t="s">
        <x:v>2642</x:v>
      </x:c>
      <x:c r="B1249" s="274" t="n">
        <x:v>1.524</x:v>
      </x:c>
      <x:c r="C1249" s="274" t="n">
        <x:v>0</x:v>
      </x:c>
      <x:c r="D1249" s="274" t="n">
        <x:v>25</x:v>
      </x:c>
      <x:c r="E1249" s="274" t="n">
        <x:v>18</x:v>
      </x:c>
      <x:c r="F1249" s="274" t="s">
        <x:v>123</x:v>
      </x:c>
      <x:c r="G1249" s="274" t="s">
        <x:v>2637</x:v>
      </x:c>
      <x:c r="I1249" s="274" t="n">
        <x:v>1.6</x:v>
      </x:c>
      <x:c r="J1249" s="274" t="n">
        <x:v>104</x:v>
      </x:c>
      <x:c r="K1249" s="274" t="n">
        <x:v>1178</x:v>
      </x:c>
    </x:row>
    <x:row r="1250" spans="1:14">
      <x:c r="A1250" s="274" t="s">
        <x:v>2643</x:v>
      </x:c>
      <x:c r="B1250" s="274" t="n">
        <x:v>1.56</x:v>
      </x:c>
      <x:c r="C1250" s="274" t="n">
        <x:v>0</x:v>
      </x:c>
      <x:c r="D1250" s="274" t="n">
        <x:v>25</x:v>
      </x:c>
      <x:c r="E1250" s="274" t="n">
        <x:v>18</x:v>
      </x:c>
      <x:c r="F1250" s="274" t="s">
        <x:v>123</x:v>
      </x:c>
      <x:c r="G1250" s="274" t="s">
        <x:v>2637</x:v>
      </x:c>
      <x:c r="I1250" s="274" t="n">
        <x:v>1.6</x:v>
      </x:c>
      <x:c r="J1250" s="274" t="n">
        <x:v>100</x:v>
      </x:c>
      <x:c r="K1250" s="274" t="n">
        <x:v>1250</x:v>
      </x:c>
    </x:row>
    <x:row r="1251" spans="1:14">
      <x:c r="A1251" s="274" t="s">
        <x:v>2644</x:v>
      </x:c>
      <x:c r="B1251" s="274" t="n">
        <x:v>1.857</x:v>
      </x:c>
      <x:c r="C1251" s="274" t="n">
        <x:v>0</x:v>
      </x:c>
      <x:c r="D1251" s="274" t="n">
        <x:v>25</x:v>
      </x:c>
      <x:c r="E1251" s="274" t="n">
        <x:v>18</x:v>
      </x:c>
      <x:c r="F1251" s="274" t="s">
        <x:v>123</x:v>
      </x:c>
      <x:c r="G1251" s="274" t="s">
        <x:v>2637</x:v>
      </x:c>
      <x:c r="I1251" s="274" t="n">
        <x:v>1.6</x:v>
      </x:c>
      <x:c r="J1251" s="274" t="n">
        <x:v>120</x:v>
      </x:c>
      <x:c r="K1251" s="274" t="n">
        <x:v>1250</x:v>
      </x:c>
    </x:row>
    <x:row r="1252" spans="1:14">
      <x:c r="A1252" s="274" t="s">
        <x:v>2645</x:v>
      </x:c>
      <x:c r="B1252" s="274" t="n">
        <x:v>3.011</x:v>
      </x:c>
      <x:c r="C1252" s="274" t="n">
        <x:v>0</x:v>
      </x:c>
      <x:c r="D1252" s="274" t="n">
        <x:v>25</x:v>
      </x:c>
      <x:c r="E1252" s="274" t="n">
        <x:v>18</x:v>
      </x:c>
      <x:c r="F1252" s="274" t="s">
        <x:v>123</x:v>
      </x:c>
      <x:c r="G1252" s="274" t="s">
        <x:v>2637</x:v>
      </x:c>
      <x:c r="I1252" s="274" t="n">
        <x:v>1.6</x:v>
      </x:c>
      <x:c r="J1252" s="274" t="n">
        <x:v>194</x:v>
      </x:c>
      <x:c r="K1252" s="274" t="n">
        <x:v>1250</x:v>
      </x:c>
    </x:row>
    <x:row r="1253" spans="1:14">
      <x:c r="A1253" s="274" t="s">
        <x:v>2646</x:v>
      </x:c>
      <x:c r="B1253" s="274" t="n">
        <x:v>0.963</x:v>
      </x:c>
      <x:c r="C1253" s="274" t="n">
        <x:v>0</x:v>
      </x:c>
      <x:c r="D1253" s="274" t="n">
        <x:v>25</x:v>
      </x:c>
      <x:c r="E1253" s="274" t="n">
        <x:v>18</x:v>
      </x:c>
      <x:c r="F1253" s="274" t="s">
        <x:v>123</x:v>
      </x:c>
      <x:c r="G1253" s="274" t="s">
        <x:v>2637</x:v>
      </x:c>
      <x:c r="I1253" s="274" t="n">
        <x:v>1.6</x:v>
      </x:c>
      <x:c r="J1253" s="274" t="n">
        <x:v>62</x:v>
      </x:c>
      <x:c r="K1253" s="274" t="n">
        <x:v>1250</x:v>
      </x:c>
    </x:row>
    <x:row r="1254" spans="1:14">
      <x:c r="A1254" s="274" t="s">
        <x:v>2647</x:v>
      </x:c>
      <x:c r="B1254" s="274" t="n">
        <x:v>1.64</x:v>
      </x:c>
      <x:c r="C1254" s="274" t="n">
        <x:v>0</x:v>
      </x:c>
      <x:c r="D1254" s="274" t="n">
        <x:v>19</x:v>
      </x:c>
      <x:c r="E1254" s="274" t="n">
        <x:v>18</x:v>
      </x:c>
      <x:c r="F1254" s="274" t="s">
        <x:v>123</x:v>
      </x:c>
      <x:c r="G1254" s="274" t="s">
        <x:v>2637</x:v>
      </x:c>
      <x:c r="I1254" s="274" t="n">
        <x:v>1.6</x:v>
      </x:c>
      <x:c r="J1254" s="274" t="n">
        <x:v>102</x:v>
      </x:c>
      <x:c r="K1254" s="274" t="n">
        <x:v>1250</x:v>
      </x:c>
    </x:row>
    <x:row r="1255" spans="1:14">
      <x:c r="A1255" s="274" t="s">
        <x:v>2648</x:v>
      </x:c>
      <x:c r="B1255" s="274" t="n">
        <x:v>1.64</x:v>
      </x:c>
      <x:c r="C1255" s="274" t="n">
        <x:v>0</x:v>
      </x:c>
      <x:c r="D1255" s="274" t="n">
        <x:v>19</x:v>
      </x:c>
      <x:c r="E1255" s="274" t="n">
        <x:v>18</x:v>
      </x:c>
      <x:c r="F1255" s="274" t="s">
        <x:v>123</x:v>
      </x:c>
      <x:c r="G1255" s="274" t="s">
        <x:v>2637</x:v>
      </x:c>
      <x:c r="I1255" s="274" t="n">
        <x:v>1.6</x:v>
      </x:c>
      <x:c r="J1255" s="274" t="n">
        <x:v>102.1</x:v>
      </x:c>
      <x:c r="K1255" s="274" t="n">
        <x:v>1250</x:v>
      </x:c>
    </x:row>
    <x:row r="1256" spans="1:14">
      <x:c r="A1256" s="274" t="s">
        <x:v>2649</x:v>
      </x:c>
      <x:c r="B1256" s="274" t="n">
        <x:v>4.06</x:v>
      </x:c>
      <x:c r="C1256" s="274" t="n">
        <x:v>0</x:v>
      </x:c>
      <x:c r="D1256" s="274" t="n">
        <x:v>19</x:v>
      </x:c>
      <x:c r="E1256" s="274" t="n">
        <x:v>18</x:v>
      </x:c>
      <x:c r="F1256" s="274" t="s">
        <x:v>123</x:v>
      </x:c>
      <x:c r="G1256" s="274" t="s">
        <x:v>2637</x:v>
      </x:c>
      <x:c r="I1256" s="274" t="n">
        <x:v>1.2</x:v>
      </x:c>
      <x:c r="J1256" s="274" t="n">
        <x:v>335</x:v>
      </x:c>
      <x:c r="K1256" s="274" t="n">
        <x:v>1250</x:v>
      </x:c>
    </x:row>
    <x:row r="1257" spans="1:14">
      <x:c r="A1257" s="274" t="s">
        <x:v>2650</x:v>
      </x:c>
      <x:c r="B1257" s="274" t="n">
        <x:v>1.97</x:v>
      </x:c>
      <x:c r="C1257" s="274" t="n">
        <x:v>0</x:v>
      </x:c>
      <x:c r="D1257" s="274" t="n">
        <x:v>20</x:v>
      </x:c>
      <x:c r="E1257" s="274" t="n">
        <x:v>24</x:v>
      </x:c>
      <x:c r="F1257" s="274" t="s">
        <x:v>123</x:v>
      </x:c>
      <x:c r="G1257" s="274" t="s">
        <x:v>2637</x:v>
      </x:c>
      <x:c r="I1257" s="274" t="n">
        <x:v>1.2</x:v>
      </x:c>
      <x:c r="J1257" s="274" t="n">
        <x:v>191</x:v>
      </x:c>
      <x:c r="K1257" s="274" t="n">
        <x:v>1110</x:v>
      </x:c>
    </x:row>
    <x:row r="1258" spans="1:14">
      <x:c r="A1258" s="274" t="s">
        <x:v>2651</x:v>
      </x:c>
      <x:c r="B1258" s="274" t="n">
        <x:v>5.24</x:v>
      </x:c>
      <x:c r="C1258" s="274" t="n">
        <x:v>0</x:v>
      </x:c>
      <x:c r="D1258" s="274" t="n">
        <x:v>19</x:v>
      </x:c>
      <x:c r="E1258" s="274" t="n">
        <x:v>23</x:v>
      </x:c>
      <x:c r="F1258" s="274" t="s">
        <x:v>123</x:v>
      </x:c>
      <x:c r="G1258" s="274" t="s">
        <x:v>2637</x:v>
      </x:c>
      <x:c r="I1258" s="274" t="n">
        <x:v>1.2</x:v>
      </x:c>
      <x:c r="J1258" s="274" t="n">
        <x:v>448</x:v>
      </x:c>
      <x:c r="K1258" s="274" t="n">
        <x:v>1250</x:v>
      </x:c>
    </x:row>
    <x:row r="1259" spans="1:14">
      <x:c r="A1259" s="274" t="s">
        <x:v>2652</x:v>
      </x:c>
      <x:c r="B1259" s="274" t="n">
        <x:v>1.22</x:v>
      </x:c>
      <x:c r="C1259" s="274" t="n">
        <x:v>0</x:v>
      </x:c>
      <x:c r="D1259" s="274" t="n">
        <x:v>19</x:v>
      </x:c>
      <x:c r="E1259" s="274" t="n">
        <x:v>23</x:v>
      </x:c>
      <x:c r="F1259" s="274" t="s">
        <x:v>123</x:v>
      </x:c>
      <x:c r="G1259" s="274" t="s">
        <x:v>2637</x:v>
      </x:c>
      <x:c r="I1259" s="274" t="n">
        <x:v>1.2</x:v>
      </x:c>
      <x:c r="J1259" s="274" t="n">
        <x:v>101</x:v>
      </x:c>
      <x:c r="K1259" s="274" t="n">
        <x:v>1250</x:v>
      </x:c>
    </x:row>
    <x:row r="1260" spans="1:14">
      <x:c r="A1260" s="274" t="s">
        <x:v>2653</x:v>
      </x:c>
      <x:c r="B1260" s="274" t="n">
        <x:v>1.54</x:v>
      </x:c>
      <x:c r="C1260" s="274" t="n">
        <x:v>0</x:v>
      </x:c>
      <x:c r="D1260" s="274" t="n">
        <x:v>19</x:v>
      </x:c>
      <x:c r="E1260" s="274" t="n">
        <x:v>18</x:v>
      </x:c>
      <x:c r="F1260" s="274" t="s">
        <x:v>123</x:v>
      </x:c>
      <x:c r="G1260" s="274" t="s">
        <x:v>2637</x:v>
      </x:c>
      <x:c r="I1260" s="274" t="n">
        <x:v>1.5</x:v>
      </x:c>
      <x:c r="J1260" s="274" t="n">
        <x:v>102</x:v>
      </x:c>
      <x:c r="K1260" s="274" t="n">
        <x:v>1250</x:v>
      </x:c>
    </x:row>
    <x:row r="1261" spans="1:14">
      <x:c r="A1261" s="274" t="s">
        <x:v>2654</x:v>
      </x:c>
      <x:c r="B1261" s="274" t="n">
        <x:v>1.68</x:v>
      </x:c>
      <x:c r="C1261" s="274" t="n">
        <x:v>0</x:v>
      </x:c>
      <x:c r="D1261" s="274" t="n">
        <x:v>19</x:v>
      </x:c>
      <x:c r="E1261" s="274" t="n">
        <x:v>18</x:v>
      </x:c>
      <x:c r="F1261" s="274" t="s">
        <x:v>123</x:v>
      </x:c>
      <x:c r="G1261" s="274" t="s">
        <x:v>2637</x:v>
      </x:c>
      <x:c r="I1261" s="274" t="n">
        <x:v>1.6</x:v>
      </x:c>
      <x:c r="J1261" s="274" t="n">
        <x:v>105</x:v>
      </x:c>
      <x:c r="K1261" s="274" t="n">
        <x:v>1250</x:v>
      </x:c>
    </x:row>
    <x:row r="1262" spans="1:14">
      <x:c r="A1262" s="274" t="s">
        <x:v>2655</x:v>
      </x:c>
      <x:c r="B1262" s="274" t="n">
        <x:v>3.12</x:v>
      </x:c>
      <x:c r="C1262" s="274" t="n">
        <x:v>0</x:v>
      </x:c>
      <x:c r="D1262" s="274" t="n">
        <x:v>19</x:v>
      </x:c>
      <x:c r="E1262" s="274" t="n">
        <x:v>18</x:v>
      </x:c>
      <x:c r="F1262" s="274" t="s">
        <x:v>123</x:v>
      </x:c>
      <x:c r="G1262" s="274" t="s">
        <x:v>2637</x:v>
      </x:c>
      <x:c r="I1262" s="274" t="n">
        <x:v>1.5</x:v>
      </x:c>
      <x:c r="J1262" s="274" t="n">
        <x:v>207</x:v>
      </x:c>
      <x:c r="K1262" s="274" t="n">
        <x:v>1250</x:v>
      </x:c>
    </x:row>
    <x:row r="1263" spans="1:14">
      <x:c r="A1263" s="274" t="s">
        <x:v>2656</x:v>
      </x:c>
      <x:c r="B1263" s="274" t="n">
        <x:v>2.08</x:v>
      </x:c>
      <x:c r="C1263" s="274" t="n">
        <x:v>0</x:v>
      </x:c>
      <x:c r="D1263" s="274" t="n">
        <x:v>19</x:v>
      </x:c>
      <x:c r="E1263" s="274" t="n">
        <x:v>18</x:v>
      </x:c>
      <x:c r="F1263" s="274" t="s">
        <x:v>123</x:v>
      </x:c>
      <x:c r="G1263" s="274" t="s">
        <x:v>2637</x:v>
      </x:c>
      <x:c r="I1263" s="274" t="n">
        <x:v>1.5</x:v>
      </x:c>
      <x:c r="J1263" s="274" t="n">
        <x:v>155</x:v>
      </x:c>
      <x:c r="K1263" s="274" t="n">
        <x:v>1250</x:v>
      </x:c>
    </x:row>
    <x:row r="1264" spans="1:14">
      <x:c r="A1264" s="274" t="s">
        <x:v>2657</x:v>
      </x:c>
      <x:c r="B1264" s="274" t="n">
        <x:v>1.96</x:v>
      </x:c>
      <x:c r="C1264" s="274" t="n">
        <x:v>0</x:v>
      </x:c>
      <x:c r="D1264" s="274" t="n">
        <x:v>19</x:v>
      </x:c>
      <x:c r="E1264" s="274" t="n">
        <x:v>18</x:v>
      </x:c>
      <x:c r="F1264" s="274" t="s">
        <x:v>123</x:v>
      </x:c>
      <x:c r="G1264" s="274" t="s">
        <x:v>2637</x:v>
      </x:c>
      <x:c r="I1264" s="274" t="n">
        <x:v>1.5</x:v>
      </x:c>
      <x:c r="J1264" s="274" t="n">
        <x:v>130</x:v>
      </x:c>
      <x:c r="K1264" s="274" t="n">
        <x:v>1250</x:v>
      </x:c>
    </x:row>
    <x:row r="1265" spans="1:14">
      <x:c r="A1265" s="274" t="s">
        <x:v>2658</x:v>
      </x:c>
      <x:c r="B1265" s="274" t="n">
        <x:v>0.98</x:v>
      </x:c>
      <x:c r="C1265" s="274" t="n">
        <x:v>0</x:v>
      </x:c>
      <x:c r="D1265" s="274" t="n">
        <x:v>19</x:v>
      </x:c>
      <x:c r="E1265" s="274" t="n">
        <x:v>18</x:v>
      </x:c>
      <x:c r="F1265" s="274" t="s">
        <x:v>123</x:v>
      </x:c>
      <x:c r="G1265" s="274" t="s">
        <x:v>2637</x:v>
      </x:c>
      <x:c r="I1265" s="274" t="n">
        <x:v>1.5</x:v>
      </x:c>
      <x:c r="J1265" s="274" t="n">
        <x:v>65</x:v>
      </x:c>
      <x:c r="K1265" s="274" t="n">
        <x:v>1250</x:v>
      </x:c>
    </x:row>
    <x:row r="1266" spans="1:14">
      <x:c r="A1266" s="274" t="s">
        <x:v>2659</x:v>
      </x:c>
      <x:c r="B1266" s="274" t="n">
        <x:v>3.054</x:v>
      </x:c>
      <x:c r="C1266" s="274" t="n">
        <x:v>0</x:v>
      </x:c>
      <x:c r="D1266" s="274" t="n">
        <x:v>0</x:v>
      </x:c>
      <x:c r="F1266" s="274" t="s">
        <x:v>123</x:v>
      </x:c>
      <x:c r="G1266" s="274" t="s">
        <x:v>2637</x:v>
      </x:c>
      <x:c r="I1266" s="274" t="n">
        <x:v>1.5</x:v>
      </x:c>
      <x:c r="J1266" s="274" t="n">
        <x:v>625</x:v>
      </x:c>
      <x:c r="K1266" s="274" t="n">
        <x:v>1250</x:v>
      </x:c>
    </x:row>
    <x:row r="1267" spans="1:14">
      <x:c r="A1267" s="274" t="s">
        <x:v>2660</x:v>
      </x:c>
      <x:c r="B1267" s="274" t="n">
        <x:v>3.054</x:v>
      </x:c>
      <x:c r="C1267" s="274" t="n">
        <x:v>0</x:v>
      </x:c>
      <x:c r="D1267" s="274" t="n">
        <x:v>19</x:v>
      </x:c>
      <x:c r="E1267" s="274" t="n">
        <x:v>18</x:v>
      </x:c>
      <x:c r="F1267" s="274" t="s">
        <x:v>123</x:v>
      </x:c>
      <x:c r="G1267" s="274" t="s">
        <x:v>2637</x:v>
      </x:c>
      <x:c r="I1267" s="274" t="n">
        <x:v>1.5</x:v>
      </x:c>
      <x:c r="J1267" s="274" t="n">
        <x:v>218</x:v>
      </x:c>
      <x:c r="K1267" s="274" t="n">
        <x:v>1250</x:v>
      </x:c>
    </x:row>
    <x:row r="1268" spans="1:14">
      <x:c r="A1268" s="274" t="s">
        <x:v>2661</x:v>
      </x:c>
      <x:c r="B1268" s="274" t="n">
        <x:v>1.1</x:v>
      </x:c>
      <x:c r="C1268" s="274" t="n">
        <x:v>0</x:v>
      </x:c>
      <x:c r="D1268" s="274" t="n">
        <x:v>19</x:v>
      </x:c>
      <x:c r="E1268" s="274" t="n">
        <x:v>18</x:v>
      </x:c>
      <x:c r="F1268" s="274" t="s">
        <x:v>123</x:v>
      </x:c>
      <x:c r="G1268" s="274" t="s">
        <x:v>2637</x:v>
      </x:c>
      <x:c r="I1268" s="274" t="n">
        <x:v>1.5</x:v>
      </x:c>
      <x:c r="J1268" s="274" t="n">
        <x:v>73</x:v>
      </x:c>
      <x:c r="K1268" s="274" t="n">
        <x:v>1250</x:v>
      </x:c>
    </x:row>
    <x:row r="1269" spans="1:14">
      <x:c r="A1269" s="274" t="s">
        <x:v>2662</x:v>
      </x:c>
      <x:c r="B1269" s="274" t="n">
        <x:v>1.24</x:v>
      </x:c>
      <x:c r="C1269" s="274" t="n">
        <x:v>0</x:v>
      </x:c>
      <x:c r="D1269" s="274" t="n">
        <x:v>18</x:v>
      </x:c>
      <x:c r="E1269" s="274" t="n">
        <x:v>18</x:v>
      </x:c>
      <x:c r="F1269" s="274" t="s">
        <x:v>123</x:v>
      </x:c>
      <x:c r="G1269" s="274" t="s">
        <x:v>2637</x:v>
      </x:c>
      <x:c r="I1269" s="274" t="n">
        <x:v>1.5</x:v>
      </x:c>
      <x:c r="J1269" s="274" t="n">
        <x:v>82</x:v>
      </x:c>
      <x:c r="K1269" s="274" t="n">
        <x:v>1250</x:v>
      </x:c>
    </x:row>
    <x:row r="1270" spans="1:14">
      <x:c r="A1270" s="274" t="s">
        <x:v>2663</x:v>
      </x:c>
      <x:c r="B1270" s="274" t="n">
        <x:v>2.67</x:v>
      </x:c>
      <x:c r="C1270" s="274" t="n">
        <x:v>0</x:v>
      </x:c>
      <x:c r="D1270" s="274" t="n">
        <x:v>18</x:v>
      </x:c>
      <x:c r="E1270" s="274" t="n">
        <x:v>18</x:v>
      </x:c>
      <x:c r="F1270" s="274" t="s">
        <x:v>123</x:v>
      </x:c>
      <x:c r="G1270" s="274" t="s">
        <x:v>2637</x:v>
      </x:c>
      <x:c r="I1270" s="274" t="n">
        <x:v>1.5</x:v>
      </x:c>
      <x:c r="J1270" s="274" t="n">
        <x:v>177</x:v>
      </x:c>
      <x:c r="K1270" s="274" t="n">
        <x:v>1250</x:v>
      </x:c>
    </x:row>
    <x:row r="1271" spans="1:14">
      <x:c r="A1271" s="274" t="s">
        <x:v>2664</x:v>
      </x:c>
      <x:c r="B1271" s="274" t="n">
        <x:v>3.054</x:v>
      </x:c>
      <x:c r="C1271" s="274" t="n">
        <x:v>0</x:v>
      </x:c>
      <x:c r="D1271" s="274" t="n">
        <x:v>19</x:v>
      </x:c>
      <x:c r="E1271" s="274" t="n">
        <x:v>18</x:v>
      </x:c>
      <x:c r="F1271" s="274" t="s">
        <x:v>123</x:v>
      </x:c>
      <x:c r="G1271" s="274" t="s">
        <x:v>2637</x:v>
      </x:c>
      <x:c r="I1271" s="274" t="n">
        <x:v>1.5</x:v>
      </x:c>
      <x:c r="J1271" s="274" t="n">
        <x:v>200</x:v>
      </x:c>
      <x:c r="K1271" s="274" t="n">
        <x:v>1250</x:v>
      </x:c>
    </x:row>
    <x:row r="1272" spans="1:14">
      <x:c r="A1272" s="274" t="s">
        <x:v>2665</x:v>
      </x:c>
      <x:c r="B1272" s="274" t="n">
        <x:v>2.73</x:v>
      </x:c>
      <x:c r="C1272" s="274" t="n">
        <x:v>0</x:v>
      </x:c>
      <x:c r="D1272" s="274" t="n">
        <x:v>19</x:v>
      </x:c>
      <x:c r="E1272" s="274" t="n">
        <x:v>18</x:v>
      </x:c>
      <x:c r="F1272" s="274" t="s">
        <x:v>123</x:v>
      </x:c>
      <x:c r="G1272" s="274" t="s">
        <x:v>2637</x:v>
      </x:c>
      <x:c r="I1272" s="274" t="n">
        <x:v>1.6</x:v>
      </x:c>
      <x:c r="J1272" s="274" t="n">
        <x:v>170</x:v>
      </x:c>
      <x:c r="K1272" s="274" t="n">
        <x:v>1250</x:v>
      </x:c>
    </x:row>
    <x:row r="1273" spans="1:14">
      <x:c r="A1273" s="274" t="s">
        <x:v>2666</x:v>
      </x:c>
      <x:c r="B1273" s="274" t="n">
        <x:v>3.054</x:v>
      </x:c>
      <x:c r="C1273" s="274" t="n">
        <x:v>0</x:v>
      </x:c>
      <x:c r="D1273" s="274" t="n">
        <x:v>19</x:v>
      </x:c>
      <x:c r="E1273" s="274" t="n">
        <x:v>18</x:v>
      </x:c>
      <x:c r="F1273" s="274" t="s">
        <x:v>123</x:v>
      </x:c>
      <x:c r="G1273" s="274" t="s">
        <x:v>2637</x:v>
      </x:c>
      <x:c r="I1273" s="274" t="n">
        <x:v>1.5</x:v>
      </x:c>
      <x:c r="J1273" s="274" t="n">
        <x:v>350</x:v>
      </x:c>
      <x:c r="K1273" s="274" t="n">
        <x:v>1250</x:v>
      </x:c>
    </x:row>
    <x:row r="1274" spans="1:14">
      <x:c r="A1274" s="274" t="s">
        <x:v>2667</x:v>
      </x:c>
      <x:c r="B1274" s="274" t="n">
        <x:v>1.41</x:v>
      </x:c>
      <x:c r="C1274" s="274" t="n">
        <x:v>0</x:v>
      </x:c>
      <x:c r="D1274" s="274" t="n">
        <x:v>19</x:v>
      </x:c>
      <x:c r="E1274" s="274" t="n">
        <x:v>18</x:v>
      </x:c>
      <x:c r="F1274" s="274" t="s">
        <x:v>123</x:v>
      </x:c>
      <x:c r="G1274" s="274" t="s">
        <x:v>2637</x:v>
      </x:c>
      <x:c r="I1274" s="274" t="n">
        <x:v>1.6</x:v>
      </x:c>
      <x:c r="J1274" s="274" t="n">
        <x:v>88</x:v>
      </x:c>
      <x:c r="K1274" s="274" t="n">
        <x:v>1250</x:v>
      </x:c>
    </x:row>
    <x:row r="1275" spans="1:14">
      <x:c r="A1275" s="274" t="s">
        <x:v>2668</x:v>
      </x:c>
      <x:c r="B1275" s="274" t="n">
        <x:v>1.88</x:v>
      </x:c>
      <x:c r="C1275" s="274" t="n">
        <x:v>0</x:v>
      </x:c>
      <x:c r="D1275" s="274" t="n">
        <x:v>19</x:v>
      </x:c>
      <x:c r="E1275" s="274" t="n">
        <x:v>18</x:v>
      </x:c>
      <x:c r="F1275" s="274" t="s">
        <x:v>123</x:v>
      </x:c>
      <x:c r="G1275" s="274" t="s">
        <x:v>2637</x:v>
      </x:c>
      <x:c r="I1275" s="274" t="n">
        <x:v>1.5</x:v>
      </x:c>
      <x:c r="J1275" s="274" t="n">
        <x:v>125</x:v>
      </x:c>
      <x:c r="K1275" s="274" t="n">
        <x:v>1250</x:v>
      </x:c>
    </x:row>
    <x:row r="1276" spans="1:14">
      <x:c r="A1276" s="274" t="s">
        <x:v>2669</x:v>
      </x:c>
      <x:c r="B1276" s="274" t="n">
        <x:v>2.79</x:v>
      </x:c>
      <x:c r="C1276" s="274" t="n">
        <x:v>0</x:v>
      </x:c>
      <x:c r="D1276" s="274" t="n">
        <x:v>18</x:v>
      </x:c>
      <x:c r="E1276" s="274" t="n">
        <x:v>18</x:v>
      </x:c>
      <x:c r="F1276" s="274" t="s">
        <x:v>123</x:v>
      </x:c>
      <x:c r="G1276" s="274" t="s">
        <x:v>2637</x:v>
      </x:c>
      <x:c r="I1276" s="274" t="n">
        <x:v>1.5</x:v>
      </x:c>
      <x:c r="J1276" s="274" t="n">
        <x:v>190</x:v>
      </x:c>
      <x:c r="K1276" s="274" t="n">
        <x:v>1217</x:v>
      </x:c>
    </x:row>
    <x:row r="1277" spans="1:14">
      <x:c r="A1277" s="274" t="s">
        <x:v>2670</x:v>
      </x:c>
      <x:c r="B1277" s="274" t="n">
        <x:v>7.24</x:v>
      </x:c>
      <x:c r="C1277" s="274" t="n">
        <x:v>0</x:v>
      </x:c>
      <x:c r="D1277" s="274" t="n">
        <x:v>19</x:v>
      </x:c>
      <x:c r="E1277" s="274" t="n">
        <x:v>18</x:v>
      </x:c>
      <x:c r="F1277" s="274" t="s">
        <x:v>123</x:v>
      </x:c>
      <x:c r="G1277" s="274" t="s">
        <x:v>2637</x:v>
      </x:c>
      <x:c r="I1277" s="274" t="n">
        <x:v>1.6</x:v>
      </x:c>
      <x:c r="J1277" s="274" t="n">
        <x:v>451</x:v>
      </x:c>
      <x:c r="K1277" s="274" t="n">
        <x:v>1250</x:v>
      </x:c>
    </x:row>
    <x:row r="1278" spans="1:14">
      <x:c r="A1278" s="274" t="s">
        <x:v>2671</x:v>
      </x:c>
      <x:c r="B1278" s="274" t="n">
        <x:v>2.64</x:v>
      </x:c>
      <x:c r="C1278" s="274" t="n">
        <x:v>0</x:v>
      </x:c>
      <x:c r="D1278" s="274" t="n">
        <x:v>19</x:v>
      </x:c>
      <x:c r="E1278" s="274" t="n">
        <x:v>18</x:v>
      </x:c>
      <x:c r="F1278" s="274" t="s">
        <x:v>123</x:v>
      </x:c>
      <x:c r="G1278" s="274" t="s">
        <x:v>2637</x:v>
      </x:c>
      <x:c r="I1278" s="274" t="n">
        <x:v>1.5</x:v>
      </x:c>
      <x:c r="J1278" s="274" t="n">
        <x:v>175</x:v>
      </x:c>
      <x:c r="K1278" s="274" t="n">
        <x:v>1250</x:v>
      </x:c>
    </x:row>
    <x:row r="1279" spans="1:14">
      <x:c r="A1279" s="274" t="s">
        <x:v>2672</x:v>
      </x:c>
      <x:c r="B1279" s="274" t="n">
        <x:v>1.98</x:v>
      </x:c>
      <x:c r="C1279" s="274" t="n">
        <x:v>0</x:v>
      </x:c>
      <x:c r="D1279" s="274" t="n">
        <x:v>18</x:v>
      </x:c>
      <x:c r="E1279" s="274" t="n">
        <x:v>18</x:v>
      </x:c>
      <x:c r="F1279" s="274" t="s">
        <x:v>123</x:v>
      </x:c>
      <x:c r="G1279" s="274" t="s">
        <x:v>2637</x:v>
      </x:c>
      <x:c r="I1279" s="274" t="n">
        <x:v>1.6</x:v>
      </x:c>
      <x:c r="J1279" s="274" t="n">
        <x:v>127</x:v>
      </x:c>
      <x:c r="K1279" s="274" t="n">
        <x:v>1250</x:v>
      </x:c>
    </x:row>
    <x:row r="1280" spans="1:14">
      <x:c r="A1280" s="274" t="s">
        <x:v>2673</x:v>
      </x:c>
      <x:c r="B1280" s="274" t="n">
        <x:v>1.13</x:v>
      </x:c>
      <x:c r="C1280" s="274" t="n">
        <x:v>0</x:v>
      </x:c>
      <x:c r="D1280" s="274" t="n">
        <x:v>19</x:v>
      </x:c>
      <x:c r="E1280" s="274" t="n">
        <x:v>18</x:v>
      </x:c>
      <x:c r="F1280" s="274" t="s">
        <x:v>123</x:v>
      </x:c>
      <x:c r="G1280" s="274" t="s">
        <x:v>2637</x:v>
      </x:c>
      <x:c r="I1280" s="274" t="n">
        <x:v>1.5</x:v>
      </x:c>
      <x:c r="J1280" s="274" t="n">
        <x:v>75</x:v>
      </x:c>
      <x:c r="K1280" s="274" t="n">
        <x:v>1250</x:v>
      </x:c>
    </x:row>
    <x:row r="1281" spans="1:14">
      <x:c r="A1281" s="274" t="s">
        <x:v>2674</x:v>
      </x:c>
      <x:c r="B1281" s="274" t="n">
        <x:v>1.61</x:v>
      </x:c>
      <x:c r="C1281" s="274" t="n">
        <x:v>0</x:v>
      </x:c>
      <x:c r="D1281" s="274" t="n">
        <x:v>19</x:v>
      </x:c>
      <x:c r="E1281" s="274" t="n">
        <x:v>18</x:v>
      </x:c>
      <x:c r="F1281" s="274" t="s">
        <x:v>123</x:v>
      </x:c>
      <x:c r="G1281" s="274" t="s">
        <x:v>2637</x:v>
      </x:c>
      <x:c r="I1281" s="274" t="n">
        <x:v>1.5</x:v>
      </x:c>
      <x:c r="J1281" s="274" t="n">
        <x:v>107</x:v>
      </x:c>
      <x:c r="K1281" s="274" t="n">
        <x:v>1250</x:v>
      </x:c>
    </x:row>
    <x:row r="1282" spans="1:14">
      <x:c r="A1282" s="274" t="s">
        <x:v>2675</x:v>
      </x:c>
      <x:c r="B1282" s="274" t="n">
        <x:v>1.12</x:v>
      </x:c>
      <x:c r="C1282" s="274" t="n">
        <x:v>0</x:v>
      </x:c>
      <x:c r="D1282" s="274" t="n">
        <x:v>19</x:v>
      </x:c>
      <x:c r="E1282" s="274" t="n">
        <x:v>18</x:v>
      </x:c>
      <x:c r="F1282" s="274" t="s">
        <x:v>123</x:v>
      </x:c>
      <x:c r="G1282" s="274" t="s">
        <x:v>2637</x:v>
      </x:c>
      <x:c r="I1282" s="274" t="n">
        <x:v>1.6</x:v>
      </x:c>
      <x:c r="J1282" s="274" t="n">
        <x:v>70</x:v>
      </x:c>
      <x:c r="K1282" s="274" t="n">
        <x:v>1250</x:v>
      </x:c>
    </x:row>
    <x:row r="1283" spans="1:14">
      <x:c r="A1283" s="274" t="s">
        <x:v>2676</x:v>
      </x:c>
      <x:c r="B1283" s="274" t="n">
        <x:v>1.46</x:v>
      </x:c>
      <x:c r="C1283" s="274" t="n">
        <x:v>0</x:v>
      </x:c>
      <x:c r="D1283" s="274" t="n">
        <x:v>18</x:v>
      </x:c>
      <x:c r="E1283" s="274" t="n">
        <x:v>18</x:v>
      </x:c>
      <x:c r="F1283" s="274" t="s">
        <x:v>123</x:v>
      </x:c>
      <x:c r="G1283" s="274" t="s">
        <x:v>2637</x:v>
      </x:c>
      <x:c r="I1283" s="274" t="n">
        <x:v>1.6</x:v>
      </x:c>
      <x:c r="J1283" s="274" t="n">
        <x:v>91</x:v>
      </x:c>
      <x:c r="K1283" s="274" t="n">
        <x:v>1250</x:v>
      </x:c>
    </x:row>
    <x:row r="1284" spans="1:14">
      <x:c r="A1284" s="274" t="s">
        <x:v>2677</x:v>
      </x:c>
      <x:c r="B1284" s="274" t="n">
        <x:v>1.2</x:v>
      </x:c>
      <x:c r="C1284" s="274" t="n">
        <x:v>0</x:v>
      </x:c>
      <x:c r="D1284" s="274" t="n">
        <x:v>19</x:v>
      </x:c>
      <x:c r="E1284" s="274" t="n">
        <x:v>18</x:v>
      </x:c>
      <x:c r="F1284" s="274" t="s">
        <x:v>123</x:v>
      </x:c>
      <x:c r="G1284" s="274" t="s">
        <x:v>2637</x:v>
      </x:c>
      <x:c r="I1284" s="274" t="n">
        <x:v>1.6</x:v>
      </x:c>
      <x:c r="J1284" s="274" t="n">
        <x:v>75</x:v>
      </x:c>
      <x:c r="K1284" s="274" t="n">
        <x:v>1250</x:v>
      </x:c>
    </x:row>
    <x:row r="1285" spans="1:14">
      <x:c r="A1285" s="274" t="s">
        <x:v>2678</x:v>
      </x:c>
      <x:c r="B1285" s="274" t="n">
        <x:v>1.13</x:v>
      </x:c>
      <x:c r="C1285" s="274" t="n">
        <x:v>0</x:v>
      </x:c>
      <x:c r="D1285" s="274" t="n">
        <x:v>19</x:v>
      </x:c>
      <x:c r="E1285" s="274" t="n">
        <x:v>18</x:v>
      </x:c>
      <x:c r="F1285" s="274" t="s">
        <x:v>123</x:v>
      </x:c>
      <x:c r="G1285" s="274" t="s">
        <x:v>2637</x:v>
      </x:c>
      <x:c r="I1285" s="274" t="n">
        <x:v>1.6</x:v>
      </x:c>
      <x:c r="J1285" s="274" t="n">
        <x:v>70.7</x:v>
      </x:c>
      <x:c r="K1285" s="274" t="n">
        <x:v>1250</x:v>
      </x:c>
    </x:row>
    <x:row r="1286" spans="1:14">
      <x:c r="A1286" s="274" t="s">
        <x:v>2679</x:v>
      </x:c>
      <x:c r="B1286" s="274" t="n">
        <x:v>20.7</x:v>
      </x:c>
      <x:c r="C1286" s="274" t="n">
        <x:v>0</x:v>
      </x:c>
      <x:c r="D1286" s="274" t="n">
        <x:v>31</x:v>
      </x:c>
      <x:c r="E1286" s="274" t="n">
        <x:v>0</x:v>
      </x:c>
      <x:c r="F1286" s="274" t="s">
        <x:v>123</x:v>
      </x:c>
      <x:c r="G1286" s="274" t="s">
        <x:v>1985</x:v>
      </x:c>
      <x:c r="I1286" s="274" t="n">
        <x:v>0.8</x:v>
      </x:c>
      <x:c r="J1286" s="274" t="n">
        <x:v>1750</x:v>
      </x:c>
      <x:c r="K1286" s="274" t="n">
        <x:v>1910</x:v>
      </x:c>
      <x:c r="M1286" s="274" t="s">
        <x:v>2680</x:v>
      </x:c>
    </x:row>
    <x:row r="1287" spans="1:14">
      <x:c r="A1287" s="274" t="s">
        <x:v>2681</x:v>
      </x:c>
      <x:c r="B1287" s="274" t="n">
        <x:v>0.52</x:v>
      </x:c>
      <x:c r="C1287" s="274" t="n">
        <x:v>0</x:v>
      </x:c>
      <x:c r="D1287" s="274" t="n">
        <x:v>0</x:v>
      </x:c>
      <x:c r="F1287" s="274" t="s">
        <x:v>333</x:v>
      </x:c>
      <x:c r="G1287" s="274" t="s">
        <x:v>2157</x:v>
      </x:c>
      <x:c r="I1287" s="274" t="n">
        <x:v>0.6</x:v>
      </x:c>
      <x:c r="J1287" s="274" t="n">
        <x:v>1120</x:v>
      </x:c>
      <x:c r="K1287" s="274" t="n">
        <x:v>99</x:v>
      </x:c>
      <x:c r="M1287" s="274" t="s">
        <x:v>2682</x:v>
      </x:c>
    </x:row>
    <x:row r="1288" spans="1:14">
      <x:c r="A1288" s="274" t="s">
        <x:v>2683</x:v>
      </x:c>
      <x:c r="B1288" s="274" t="n">
        <x:v>0.5</x:v>
      </x:c>
      <x:c r="C1288" s="274" t="n">
        <x:v>0</x:v>
      </x:c>
      <x:c r="D1288" s="274" t="n">
        <x:v>0</x:v>
      </x:c>
      <x:c r="F1288" s="274" t="s">
        <x:v>333</x:v>
      </x:c>
      <x:c r="G1288" s="274" t="s">
        <x:v>2468</x:v>
      </x:c>
      <x:c r="I1288" s="274" t="n">
        <x:v>0.6</x:v>
      </x:c>
      <x:c r="J1288" s="274" t="n">
        <x:v>1072</x:v>
      </x:c>
      <x:c r="K1288" s="274" t="n">
        <x:v>100</x:v>
      </x:c>
      <x:c r="M1288" s="274" t="s">
        <x:v>2183</x:v>
      </x:c>
    </x:row>
    <x:row r="1289" spans="1:14">
      <x:c r="A1289" s="274" t="s">
        <x:v>2684</x:v>
      </x:c>
      <x:c r="B1289" s="274" t="n">
        <x:v>0.49</x:v>
      </x:c>
      <x:c r="C1289" s="274" t="n">
        <x:v>0</x:v>
      </x:c>
      <x:c r="D1289" s="274" t="n">
        <x:v>0</x:v>
      </x:c>
      <x:c r="F1289" s="274" t="s">
        <x:v>333</x:v>
      </x:c>
      <x:c r="G1289" s="274" t="s">
        <x:v>2468</x:v>
      </x:c>
      <x:c r="I1289" s="274" t="n">
        <x:v>0.6</x:v>
      </x:c>
      <x:c r="J1289" s="274" t="n">
        <x:v>1072</x:v>
      </x:c>
      <x:c r="K1289" s="274" t="n">
        <x:v>98</x:v>
      </x:c>
      <x:c r="M1289" s="274" t="s">
        <x:v>2181</x:v>
      </x:c>
    </x:row>
    <x:row r="1290" spans="1:14">
      <x:c r="A1290" s="274" t="s">
        <x:v>2685</x:v>
      </x:c>
      <x:c r="B1290" s="274" t="n">
        <x:v>0.53</x:v>
      </x:c>
      <x:c r="C1290" s="274" t="n">
        <x:v>0</x:v>
      </x:c>
      <x:c r="D1290" s="274" t="n">
        <x:v>0</x:v>
      </x:c>
      <x:c r="F1290" s="274" t="s">
        <x:v>333</x:v>
      </x:c>
      <x:c r="G1290" s="274" t="s">
        <x:v>2468</x:v>
      </x:c>
      <x:c r="I1290" s="274" t="n">
        <x:v>0.6</x:v>
      </x:c>
      <x:c r="J1290" s="274" t="n">
        <x:v>1081</x:v>
      </x:c>
      <x:c r="K1290" s="274" t="n">
        <x:v>105</x:v>
      </x:c>
      <x:c r="M1290" s="274" t="s">
        <x:v>2179</x:v>
      </x:c>
    </x:row>
    <x:row r="1291" spans="1:14">
      <x:c r="A1291" s="274" t="s">
        <x:v>2686</x:v>
      </x:c>
      <x:c r="B1291" s="274" t="n">
        <x:v>1.47</x:v>
      </x:c>
      <x:c r="C1291" s="274" t="n">
        <x:v>0</x:v>
      </x:c>
      <x:c r="D1291" s="274" t="n">
        <x:v>0</x:v>
      </x:c>
      <x:c r="F1291" s="274" t="s">
        <x:v>333</x:v>
      </x:c>
      <x:c r="G1291" s="274" t="s">
        <x:v>2160</x:v>
      </x:c>
      <x:c r="I1291" s="274" t="n">
        <x:v>1</x:v>
      </x:c>
      <x:c r="J1291" s="274" t="n">
        <x:v>170</x:v>
      </x:c>
      <x:c r="K1291" s="274" t="n">
        <x:v>1100</x:v>
      </x:c>
      <x:c r="M1291" s="274" t="s">
        <x:v>2177</x:v>
      </x:c>
    </x:row>
    <x:row r="1292" spans="1:14">
      <x:c r="A1292" s="274" t="s">
        <x:v>2687</x:v>
      </x:c>
      <x:c r="B1292" s="274" t="n">
        <x:v>1.04</x:v>
      </x:c>
      <x:c r="C1292" s="274" t="n">
        <x:v>0</x:v>
      </x:c>
      <x:c r="D1292" s="274" t="n">
        <x:v>0</x:v>
      </x:c>
      <x:c r="F1292" s="274" t="s">
        <x:v>333</x:v>
      </x:c>
      <x:c r="G1292" s="274" t="s">
        <x:v>2468</x:v>
      </x:c>
      <x:c r="I1292" s="274" t="n">
        <x:v>0.8</x:v>
      </x:c>
      <x:c r="J1292" s="274" t="n">
        <x:v>598</x:v>
      </x:c>
      <x:c r="K1292" s="274" t="n">
        <x:v>276</x:v>
      </x:c>
      <x:c r="M1292" s="274" t="s">
        <x:v>2187</x:v>
      </x:c>
    </x:row>
    <x:row r="1293" spans="1:14">
      <x:c r="A1293" s="274" t="s">
        <x:v>2688</x:v>
      </x:c>
      <x:c r="B1293" s="274" t="n">
        <x:v>1.56</x:v>
      </x:c>
      <x:c r="C1293" s="274" t="n">
        <x:v>0</x:v>
      </x:c>
      <x:c r="D1293" s="274" t="n">
        <x:v>32</x:v>
      </x:c>
      <x:c r="E1293" s="274" t="n">
        <x:v>40</x:v>
      </x:c>
      <x:c r="F1293" s="274" t="s">
        <x:v>333</x:v>
      </x:c>
      <x:c r="G1293" s="274" t="s">
        <x:v>2468</x:v>
      </x:c>
      <x:c r="I1293" s="274" t="n">
        <x:v>0.7</x:v>
      </x:c>
      <x:c r="J1293" s="274" t="n">
        <x:v>884</x:v>
      </x:c>
      <x:c r="K1293" s="274" t="n">
        <x:v>321</x:v>
      </x:c>
      <x:c r="M1293" s="274" t="s">
        <x:v>2154</x:v>
      </x:c>
    </x:row>
    <x:row r="1294" spans="1:14">
      <x:c r="A1294" s="274" t="s">
        <x:v>2689</x:v>
      </x:c>
      <x:c r="B1294" s="274" t="n">
        <x:v>1.96</x:v>
      </x:c>
      <x:c r="C1294" s="274" t="n">
        <x:v>0</x:v>
      </x:c>
      <x:c r="D1294" s="274" t="n">
        <x:v>0</x:v>
      </x:c>
      <x:c r="F1294" s="274" t="s">
        <x:v>333</x:v>
      </x:c>
      <x:c r="G1294" s="274" t="s">
        <x:v>2160</x:v>
      </x:c>
      <x:c r="I1294" s="274" t="n">
        <x:v>0.8</x:v>
      </x:c>
      <x:c r="J1294" s="274" t="n">
        <x:v>250</x:v>
      </x:c>
      <x:c r="K1294" s="274" t="n">
        <x:v>1250</x:v>
      </x:c>
      <x:c r="M1294" s="274" t="s">
        <x:v>2690</x:v>
      </x:c>
      <x:c r="N1294" s="274" t="s">
        <x:v>2691</x:v>
      </x:c>
    </x:row>
    <x:row r="1295" spans="1:14">
      <x:c r="A1295" s="274" t="s">
        <x:v>2692</x:v>
      </x:c>
      <x:c r="B1295" s="274" t="n">
        <x:v>0.34</x:v>
      </x:c>
      <x:c r="C1295" s="274" t="n">
        <x:v>0</x:v>
      </x:c>
      <x:c r="D1295" s="274" t="n">
        <x:v>0</x:v>
      </x:c>
      <x:c r="F1295" s="274" t="s">
        <x:v>333</x:v>
      </x:c>
      <x:c r="G1295" s="274" t="s">
        <x:v>2157</x:v>
      </x:c>
      <x:c r="I1295" s="274" t="n">
        <x:v>0.8</x:v>
      </x:c>
      <x:c r="J1295" s="274" t="n">
        <x:v>403</x:v>
      </x:c>
      <x:c r="K1295" s="274" t="n">
        <x:v>134</x:v>
      </x:c>
      <x:c r="M1295" s="274" t="s">
        <x:v>2693</x:v>
      </x:c>
      <x:c r="N1295" s="274" t="s">
        <x:v>2691</x:v>
      </x:c>
    </x:row>
    <x:row r="1296" spans="1:14">
      <x:c r="A1296" s="274" t="s">
        <x:v>2694</x:v>
      </x:c>
      <x:c r="B1296" s="274" t="n">
        <x:v>3.2</x:v>
      </x:c>
      <x:c r="C1296" s="274" t="n">
        <x:v>0</x:v>
      </x:c>
      <x:c r="D1296" s="274" t="n">
        <x:v>0</x:v>
      </x:c>
      <x:c r="F1296" s="274" t="s">
        <x:v>333</x:v>
      </x:c>
      <x:c r="G1296" s="274" t="s">
        <x:v>2160</x:v>
      </x:c>
      <x:c r="I1296" s="274" t="n">
        <x:v>0.8</x:v>
      </x:c>
      <x:c r="J1296" s="274" t="n">
        <x:v>407</x:v>
      </x:c>
      <x:c r="K1296" s="274" t="n">
        <x:v>1250</x:v>
      </x:c>
      <x:c r="M1296" s="274" t="s">
        <x:v>2695</x:v>
      </x:c>
      <x:c r="N1296" s="274" t="s">
        <x:v>2691</x:v>
      </x:c>
    </x:row>
    <x:row r="1297" spans="1:14">
      <x:c r="A1297" s="274" t="s">
        <x:v>2696</x:v>
      </x:c>
      <x:c r="B1297" s="274" t="n">
        <x:v>3.1</x:v>
      </x:c>
      <x:c r="C1297" s="274" t="n">
        <x:v>0</x:v>
      </x:c>
      <x:c r="D1297" s="274" t="n">
        <x:v>0</x:v>
      </x:c>
      <x:c r="F1297" s="274" t="s">
        <x:v>333</x:v>
      </x:c>
      <x:c r="G1297" s="274" t="s">
        <x:v>2160</x:v>
      </x:c>
      <x:c r="I1297" s="274" t="n">
        <x:v>0.8</x:v>
      </x:c>
      <x:c r="J1297" s="274" t="n">
        <x:v>395</x:v>
      </x:c>
      <x:c r="K1297" s="274" t="n">
        <x:v>1250</x:v>
      </x:c>
      <x:c r="M1297" s="274" t="s">
        <x:v>2697</x:v>
      </x:c>
      <x:c r="N1297" s="274" t="s">
        <x:v>2691</x:v>
      </x:c>
    </x:row>
    <x:row r="1298" spans="1:14">
      <x:c r="A1298" s="274" t="s">
        <x:v>2698</x:v>
      </x:c>
      <x:c r="B1298" s="274" t="n">
        <x:v>3.38</x:v>
      </x:c>
      <x:c r="C1298" s="274" t="n">
        <x:v>0</x:v>
      </x:c>
      <x:c r="D1298" s="274" t="n">
        <x:v>0</x:v>
      </x:c>
      <x:c r="F1298" s="274" t="s">
        <x:v>333</x:v>
      </x:c>
      <x:c r="G1298" s="274" t="s">
        <x:v>2160</x:v>
      </x:c>
      <x:c r="I1298" s="274" t="n">
        <x:v>0.8</x:v>
      </x:c>
      <x:c r="J1298" s="274" t="n">
        <x:v>430</x:v>
      </x:c>
      <x:c r="K1298" s="274" t="n">
        <x:v>1250</x:v>
      </x:c>
      <x:c r="M1298" s="274" t="s">
        <x:v>2699</x:v>
      </x:c>
      <x:c r="N1298" s="274" t="s">
        <x:v>2691</x:v>
      </x:c>
    </x:row>
    <x:row r="1299" spans="1:14">
      <x:c r="A1299" s="274" t="s">
        <x:v>2700</x:v>
      </x:c>
      <x:c r="B1299" s="274" t="n">
        <x:v>0.49</x:v>
      </x:c>
      <x:c r="C1299" s="274" t="n">
        <x:v>0</x:v>
      </x:c>
      <x:c r="D1299" s="274" t="n">
        <x:v>0</x:v>
      </x:c>
      <x:c r="F1299" s="274" t="s">
        <x:v>333</x:v>
      </x:c>
      <x:c r="G1299" s="274" t="s">
        <x:v>2157</x:v>
      </x:c>
      <x:c r="I1299" s="274" t="n">
        <x:v>0.6</x:v>
      </x:c>
      <x:c r="J1299" s="274" t="n">
        <x:v>1090</x:v>
      </x:c>
      <x:c r="K1299" s="274" t="n">
        <x:v>95</x:v>
      </x:c>
      <x:c r="M1299" s="274" t="s">
        <x:v>2701</x:v>
      </x:c>
      <x:c r="N1299" s="274" t="s">
        <x:v>2691</x:v>
      </x:c>
    </x:row>
    <x:row r="1300" spans="1:14">
      <x:c r="A1300" s="274" t="s">
        <x:v>2702</x:v>
      </x:c>
      <x:c r="B1300" s="274" t="n">
        <x:v>0.46</x:v>
      </x:c>
      <x:c r="C1300" s="274" t="n">
        <x:v>0</x:v>
      </x:c>
      <x:c r="D1300" s="274" t="n">
        <x:v>0</x:v>
      </x:c>
      <x:c r="F1300" s="274" t="s">
        <x:v>333</x:v>
      </x:c>
      <x:c r="G1300" s="274" t="s">
        <x:v>2157</x:v>
      </x:c>
      <x:c r="I1300" s="274" t="n">
        <x:v>0.6</x:v>
      </x:c>
      <x:c r="J1300" s="274" t="n">
        <x:v>1020</x:v>
      </x:c>
      <x:c r="K1300" s="274" t="n">
        <x:v>95</x:v>
      </x:c>
      <x:c r="M1300" s="274" t="s">
        <x:v>2703</x:v>
      </x:c>
      <x:c r="N1300" s="274" t="s">
        <x:v>2691</x:v>
      </x:c>
    </x:row>
    <x:row r="1301" spans="1:14">
      <x:c r="A1301" s="274" t="s">
        <x:v>2704</x:v>
      </x:c>
      <x:c r="B1301" s="274" t="n">
        <x:v>0.43</x:v>
      </x:c>
      <x:c r="C1301" s="274" t="n">
        <x:v>0</x:v>
      </x:c>
      <x:c r="D1301" s="274" t="n">
        <x:v>0</x:v>
      </x:c>
      <x:c r="F1301" s="274" t="s">
        <x:v>333</x:v>
      </x:c>
      <x:c r="G1301" s="274" t="s">
        <x:v>2157</x:v>
      </x:c>
      <x:c r="I1301" s="274" t="n">
        <x:v>0.6</x:v>
      </x:c>
      <x:c r="J1301" s="274" t="n">
        <x:v>1020</x:v>
      </x:c>
      <x:c r="K1301" s="274" t="n">
        <x:v>90</x:v>
      </x:c>
      <x:c r="M1301" s="274" t="s">
        <x:v>2705</x:v>
      </x:c>
    </x:row>
    <x:row r="1302" spans="1:14">
      <x:c r="A1302" s="274" t="s">
        <x:v>2706</x:v>
      </x:c>
      <x:c r="B1302" s="274" t="n">
        <x:v>2.185</x:v>
      </x:c>
      <x:c r="C1302" s="274" t="n">
        <x:v>0</x:v>
      </x:c>
      <x:c r="D1302" s="274" t="n">
        <x:v>0</x:v>
      </x:c>
      <x:c r="F1302" s="274" t="s">
        <x:v>333</x:v>
      </x:c>
      <x:c r="G1302" s="274" t="s">
        <x:v>2468</x:v>
      </x:c>
      <x:c r="I1302" s="274" t="n">
        <x:v>0.9</x:v>
      </x:c>
      <x:c r="J1302" s="274" t="n">
        <x:v>980</x:v>
      </x:c>
      <x:c r="K1302" s="274" t="n">
        <x:v>315</x:v>
      </x:c>
      <x:c r="M1302" s="274" t="s">
        <x:v>2707</x:v>
      </x:c>
      <x:c r="N1302" s="274" t="s">
        <x:v>2691</x:v>
      </x:c>
    </x:row>
    <x:row r="1303" spans="1:14">
      <x:c r="A1303" s="274" t="s">
        <x:v>2708</x:v>
      </x:c>
      <x:c r="B1303" s="274" t="n">
        <x:v>1.12</x:v>
      </x:c>
      <x:c r="C1303" s="274" t="n">
        <x:v>0</x:v>
      </x:c>
      <x:c r="D1303" s="274" t="n">
        <x:v>0</x:v>
      </x:c>
      <x:c r="F1303" s="274" t="s">
        <x:v>333</x:v>
      </x:c>
      <x:c r="G1303" s="274" t="s">
        <x:v>2468</x:v>
      </x:c>
      <x:c r="I1303" s="274" t="n">
        <x:v>0.7</x:v>
      </x:c>
      <x:c r="J1303" s="274" t="n">
        <x:v>331</x:v>
      </x:c>
      <x:c r="K1303" s="274" t="n">
        <x:v>616</x:v>
      </x:c>
      <x:c r="M1303" s="274" t="s">
        <x:v>2709</x:v>
      </x:c>
    </x:row>
    <x:row r="1304" spans="1:14">
      <x:c r="A1304" s="274" t="s">
        <x:v>2710</x:v>
      </x:c>
      <x:c r="B1304" s="274" t="n">
        <x:v>1.77</x:v>
      </x:c>
      <x:c r="C1304" s="274" t="n">
        <x:v>0</x:v>
      </x:c>
      <x:c r="D1304" s="274" t="n">
        <x:v>0</x:v>
      </x:c>
      <x:c r="F1304" s="274" t="s">
        <x:v>333</x:v>
      </x:c>
      <x:c r="G1304" s="274" t="s">
        <x:v>2711</x:v>
      </x:c>
      <x:c r="I1304" s="274" t="n">
        <x:v>1</x:v>
      </x:c>
      <x:c r="J1304" s="274" t="n">
        <x:v>215</x:v>
      </x:c>
      <x:c r="K1304" s="274" t="n">
        <x:v>1050</x:v>
      </x:c>
      <x:c r="M1304" s="274" t="s">
        <x:v>2451</x:v>
      </x:c>
      <x:c r="N1304" s="274" t="s">
        <x:v>2691</x:v>
      </x:c>
    </x:row>
    <x:row r="1305" spans="1:14">
      <x:c r="A1305" s="274" t="s">
        <x:v>2712</x:v>
      </x:c>
      <x:c r="B1305" s="274" t="n">
        <x:v>0.84</x:v>
      </x:c>
      <x:c r="C1305" s="274" t="n">
        <x:v>0</x:v>
      </x:c>
      <x:c r="D1305" s="274" t="n">
        <x:v>50</x:v>
      </x:c>
      <x:c r="E1305" s="274" t="n">
        <x:v>0</x:v>
      </x:c>
      <x:c r="F1305" s="274" t="s">
        <x:v>333</x:v>
      </x:c>
      <x:c r="G1305" s="274" t="s">
        <x:v>2711</x:v>
      </x:c>
      <x:c r="I1305" s="274" t="n">
        <x:v>1</x:v>
      </x:c>
      <x:c r="J1305" s="274" t="n">
        <x:v>359</x:v>
      </x:c>
      <x:c r="K1305" s="274" t="n">
        <x:v>298</x:v>
      </x:c>
      <x:c r="L1305" s="274" t="n">
        <x:v>298</x:v>
      </x:c>
      <x:c r="M1305" s="274" t="s">
        <x:v>2713</x:v>
      </x:c>
      <x:c r="N1305" s="274" t="s">
        <x:v>2691</x:v>
      </x:c>
    </x:row>
    <x:row r="1306" spans="1:14">
      <x:c r="A1306" s="274" t="s">
        <x:v>2714</x:v>
      </x:c>
      <x:c r="B1306" s="274" t="n">
        <x:v>1.47</x:v>
      </x:c>
      <x:c r="C1306" s="274" t="n">
        <x:v>0</x:v>
      </x:c>
      <x:c r="D1306" s="274" t="n">
        <x:v>0</x:v>
      </x:c>
      <x:c r="F1306" s="274" t="s">
        <x:v>128</x:v>
      </x:c>
      <x:c r="G1306" s="274" t="s">
        <x:v>496</x:v>
      </x:c>
      <x:c r="H1306" s="274" t="n">
        <x:v>45</x:v>
      </x:c>
      <x:c r="I1306" s="274" t="n">
        <x:v>2.6</x:v>
      </x:c>
      <x:c r="J1306" s="274" t="n">
        <x:v>147</x:v>
      </x:c>
      <x:c r="K1306" s="274" t="n">
        <x:v>487</x:v>
      </x:c>
      <x:c r="M1306" s="274" t="s">
        <x:v>2715</x:v>
      </x:c>
      <x:c r="N1306" s="274" t="s">
        <x:v>2373</x:v>
      </x:c>
    </x:row>
    <x:row r="1307" spans="1:14">
      <x:c r="A1307" s="274" t="s">
        <x:v>2716</x:v>
      </x:c>
      <x:c r="B1307" s="274" t="n">
        <x:v>0.59</x:v>
      </x:c>
      <x:c r="C1307" s="274" t="n">
        <x:v>0</x:v>
      </x:c>
      <x:c r="D1307" s="274" t="n">
        <x:v>0</x:v>
      </x:c>
      <x:c r="F1307" s="274" t="s">
        <x:v>333</x:v>
      </x:c>
      <x:c r="G1307" s="274" t="s">
        <x:v>153</x:v>
      </x:c>
      <x:c r="I1307" s="274" t="n">
        <x:v>1</x:v>
      </x:c>
      <x:c r="J1307" s="274" t="n">
        <x:v>75</x:v>
      </x:c>
      <x:c r="K1307" s="274" t="n">
        <x:v>994</x:v>
      </x:c>
      <x:c r="M1307" s="274" t="s">
        <x:v>2717</x:v>
      </x:c>
      <x:c r="N1307" s="274" t="s">
        <x:v>1220</x:v>
      </x:c>
    </x:row>
    <x:row r="1308" spans="1:14">
      <x:c r="A1308" s="274" t="s">
        <x:v>2718</x:v>
      </x:c>
      <x:c r="B1308" s="274" t="n">
        <x:v>3.34</x:v>
      </x:c>
      <x:c r="C1308" s="274" t="n">
        <x:v>0</x:v>
      </x:c>
      <x:c r="D1308" s="274" t="n">
        <x:v>0</x:v>
      </x:c>
      <x:c r="F1308" s="274" t="s">
        <x:v>133</x:v>
      </x:c>
      <x:c r="G1308" s="274" t="s">
        <x:v>134</x:v>
      </x:c>
      <x:c r="I1308" s="274" t="n">
        <x:v>3.2</x:v>
      </x:c>
      <x:c r="J1308" s="274" t="n">
        <x:v>253</x:v>
      </x:c>
      <x:c r="K1308" s="274" t="n">
        <x:v>525</x:v>
      </x:c>
    </x:row>
    <x:row r="1309" spans="1:14">
      <x:c r="A1309" s="274" t="s">
        <x:v>2719</x:v>
      </x:c>
      <x:c r="B1309" s="274" t="n">
        <x:v>0.16</x:v>
      </x:c>
      <x:c r="C1309" s="274" t="n">
        <x:v>0</x:v>
      </x:c>
      <x:c r="D1309" s="274" t="n">
        <x:v>0</x:v>
      </x:c>
      <x:c r="F1309" s="274" t="s">
        <x:v>333</x:v>
      </x:c>
      <x:c r="G1309" s="274" t="s">
        <x:v>209</x:v>
      </x:c>
      <x:c r="I1309" s="274" t="n">
        <x:v>1</x:v>
      </x:c>
      <x:c r="J1309" s="274" t="n">
        <x:v>142</x:v>
      </x:c>
      <x:c r="K1309" s="274" t="n">
        <x:v>142</x:v>
      </x:c>
      <x:c r="M1309" s="274" t="s">
        <x:v>2720</x:v>
      </x:c>
    </x:row>
    <x:row r="1310" spans="1:14">
      <x:c r="A1310" s="274" t="s">
        <x:v>2721</x:v>
      </x:c>
      <x:c r="B1310" s="274" t="n">
        <x:v>2.09</x:v>
      </x:c>
      <x:c r="C1310" s="274" t="n">
        <x:v>0</x:v>
      </x:c>
      <x:c r="D1310" s="274" t="n">
        <x:v>0</x:v>
      </x:c>
      <x:c r="F1310" s="274" t="s">
        <x:v>133</x:v>
      </x:c>
      <x:c r="G1310" s="274" t="s">
        <x:v>134</x:v>
      </x:c>
      <x:c r="I1310" s="274" t="n">
        <x:v>2</x:v>
      </x:c>
      <x:c r="J1310" s="274" t="n">
        <x:v>250</x:v>
      </x:c>
      <x:c r="K1310" s="274" t="n">
        <x:v>532</x:v>
      </x:c>
      <x:c r="M1310" s="274" t="s">
        <x:v>2722</x:v>
      </x:c>
    </x:row>
    <x:row r="1311" spans="1:14">
      <x:c r="A1311" s="274" t="s">
        <x:v>2723</x:v>
      </x:c>
      <x:c r="B1311" s="274" t="n">
        <x:v>0.54</x:v>
      </x:c>
      <x:c r="C1311" s="274" t="n">
        <x:v>0</x:v>
      </x:c>
      <x:c r="D1311" s="274" t="n">
        <x:v>0</x:v>
      </x:c>
      <x:c r="E1311" s="274" t="n">
        <x:v>0</x:v>
      </x:c>
      <x:c r="F1311" s="274" t="s">
        <x:v>133</x:v>
      </x:c>
      <x:c r="G1311" s="274" t="s">
        <x:v>134</x:v>
      </x:c>
      <x:c r="I1311" s="274" t="n">
        <x:v>2.6</x:v>
      </x:c>
      <x:c r="J1311" s="274" t="n">
        <x:v>65</x:v>
      </x:c>
      <x:c r="K1311" s="274" t="n">
        <x:v>406</x:v>
      </x:c>
      <x:c r="M1311" s="274" t="s">
        <x:v>2724</x:v>
      </x:c>
    </x:row>
    <x:row r="1312" spans="1:14">
      <x:c r="A1312" s="274" t="s">
        <x:v>2725</x:v>
      </x:c>
      <x:c r="B1312" s="274" t="n">
        <x:v>1.29</x:v>
      </x:c>
      <x:c r="C1312" s="274" t="n">
        <x:v>30</x:v>
      </x:c>
      <x:c r="D1312" s="274" t="n">
        <x:v>35</x:v>
      </x:c>
      <x:c r="E1312" s="274" t="n">
        <x:v>18</x:v>
      </x:c>
      <x:c r="F1312" s="274" t="s">
        <x:v>133</x:v>
      </x:c>
      <x:c r="G1312" s="274" t="s">
        <x:v>136</x:v>
      </x:c>
      <x:c r="H1312" s="274" t="n">
        <x:v>45</x:v>
      </x:c>
      <x:c r="I1312" s="274" t="n">
        <x:v>1.6</x:v>
      </x:c>
      <x:c r="J1312" s="274" t="n">
        <x:v>247</x:v>
      </x:c>
      <x:c r="K1312" s="274" t="n">
        <x:v>414</x:v>
      </x:c>
      <x:c r="M1312" s="274" t="s">
        <x:v>2726</x:v>
      </x:c>
    </x:row>
    <x:row r="1313" spans="1:14">
      <x:c r="A1313" s="274" t="s">
        <x:v>2727</x:v>
      </x:c>
      <x:c r="B1313" s="274" t="n">
        <x:v>1.78</x:v>
      </x:c>
      <x:c r="C1313" s="274" t="n">
        <x:v>0</x:v>
      </x:c>
      <x:c r="D1313" s="274" t="n">
        <x:v>0</x:v>
      </x:c>
      <x:c r="F1313" s="274" t="s">
        <x:v>133</x:v>
      </x:c>
      <x:c r="G1313" s="274" t="s">
        <x:v>134</x:v>
      </x:c>
      <x:c r="I1313" s="274" t="n">
        <x:v>3.2</x:v>
      </x:c>
      <x:c r="J1313" s="274" t="n">
        <x:v>175</x:v>
      </x:c>
      <x:c r="K1313" s="274" t="n">
        <x:v>404</x:v>
      </x:c>
      <x:c r="M1313" s="274" t="s">
        <x:v>2728</x:v>
      </x:c>
      <x:c r="N1313" s="274" t="s">
        <x:v>299</x:v>
      </x:c>
    </x:row>
    <x:row r="1314" spans="1:14">
      <x:c r="A1314" s="274" t="s">
        <x:v>2729</x:v>
      </x:c>
      <x:c r="B1314" s="274" t="n">
        <x:v>1.69</x:v>
      </x:c>
      <x:c r="C1314" s="274" t="n">
        <x:v>0</x:v>
      </x:c>
      <x:c r="D1314" s="274" t="n">
        <x:v>32</x:v>
      </x:c>
      <x:c r="E1314" s="274" t="n">
        <x:v>40</x:v>
      </x:c>
      <x:c r="F1314" s="274" t="s">
        <x:v>333</x:v>
      </x:c>
      <x:c r="G1314" s="274" t="s">
        <x:v>2157</x:v>
      </x:c>
      <x:c r="I1314" s="274" t="n">
        <x:v>0.6</x:v>
      </x:c>
      <x:c r="J1314" s="274" t="n">
        <x:v>1120</x:v>
      </x:c>
      <x:c r="K1314" s="274" t="n">
        <x:v>320</x:v>
      </x:c>
      <x:c r="M1314" s="274" t="s">
        <x:v>2730</x:v>
      </x:c>
      <x:c r="N1314" s="274" t="s">
        <x:v>2731</x:v>
      </x:c>
    </x:row>
    <x:row r="1315" spans="1:14">
      <x:c r="A1315" s="274" t="s">
        <x:v>2732</x:v>
      </x:c>
      <x:c r="B1315" s="274" t="n">
        <x:v>2.505</x:v>
      </x:c>
      <x:c r="C1315" s="274" t="n">
        <x:v>0</x:v>
      </x:c>
      <x:c r="D1315" s="274" t="n">
        <x:v>26</x:v>
      </x:c>
      <x:c r="E1315" s="274" t="n">
        <x:v>19</x:v>
      </x:c>
      <x:c r="F1315" s="274" t="s">
        <x:v>123</x:v>
      </x:c>
      <x:c r="G1315" s="274" t="s">
        <x:v>2637</x:v>
      </x:c>
      <x:c r="I1315" s="274" t="n">
        <x:v>1.4</x:v>
      </x:c>
      <x:c r="J1315" s="274" t="n">
        <x:v>197</x:v>
      </x:c>
      <x:c r="K1315" s="274" t="n">
        <x:v>1165</x:v>
      </x:c>
    </x:row>
    <x:row r="1316" spans="1:14">
      <x:c r="A1316" s="274" t="s">
        <x:v>2733</x:v>
      </x:c>
      <x:c r="B1316" s="274" t="n">
        <x:v>0.4</x:v>
      </x:c>
      <x:c r="C1316" s="274" t="n">
        <x:v>35</x:v>
      </x:c>
      <x:c r="D1316" s="274" t="n">
        <x:v>35</x:v>
      </x:c>
      <x:c r="E1316" s="274" t="n">
        <x:v>33</x:v>
      </x:c>
      <x:c r="F1316" s="274" t="s">
        <x:v>133</x:v>
      </x:c>
      <x:c r="G1316" s="274" t="s">
        <x:v>144</x:v>
      </x:c>
      <x:c r="H1316" s="274" t="n">
        <x:v>45</x:v>
      </x:c>
      <x:c r="I1316" s="274" t="n">
        <x:v>1.4</x:v>
      </x:c>
      <x:c r="J1316" s="274" t="n">
        <x:v>290</x:v>
      </x:c>
      <x:c r="K1316" s="274" t="n">
        <x:v>125</x:v>
      </x:c>
      <x:c r="M1316" s="274" t="s">
        <x:v>170</x:v>
      </x:c>
      <x:c r="N1316" s="274" t="s">
        <x:v>155</x:v>
      </x:c>
    </x:row>
    <x:row r="1317" spans="1:14">
      <x:c r="A1317" s="274" t="s">
        <x:v>2734</x:v>
      </x:c>
      <x:c r="B1317" s="274" t="n">
        <x:v>1.33</x:v>
      </x:c>
      <x:c r="C1317" s="274" t="n">
        <x:v>0</x:v>
      </x:c>
      <x:c r="D1317" s="274" t="n">
        <x:v>0</x:v>
      </x:c>
      <x:c r="F1317" s="274" t="s">
        <x:v>133</x:v>
      </x:c>
      <x:c r="G1317" s="274" t="s">
        <x:v>144</x:v>
      </x:c>
      <x:c r="H1317" s="274" t="n">
        <x:v>45</x:v>
      </x:c>
      <x:c r="I1317" s="274" t="n">
        <x:v>1.4</x:v>
      </x:c>
      <x:c r="J1317" s="274" t="n">
        <x:v>890</x:v>
      </x:c>
      <x:c r="K1317" s="274" t="n">
        <x:v>135</x:v>
      </x:c>
      <x:c r="M1317" s="274" t="s">
        <x:v>1466</x:v>
      </x:c>
      <x:c r="N1317" s="274" t="s">
        <x:v>2235</x:v>
      </x:c>
    </x:row>
    <x:row r="1318" spans="1:14">
      <x:c r="A1318" s="274" t="s">
        <x:v>2735</x:v>
      </x:c>
      <x:c r="B1318" s="274" t="n">
        <x:v>0.59</x:v>
      </x:c>
      <x:c r="C1318" s="274" t="n">
        <x:v>35</x:v>
      </x:c>
      <x:c r="D1318" s="274" t="n">
        <x:v>35</x:v>
      </x:c>
      <x:c r="E1318" s="274" t="n">
        <x:v>33</x:v>
      </x:c>
      <x:c r="F1318" s="274" t="s">
        <x:v>333</x:v>
      </x:c>
      <x:c r="G1318" s="274" t="s">
        <x:v>153</x:v>
      </x:c>
      <x:c r="I1318" s="274" t="n">
        <x:v>1.2</x:v>
      </x:c>
      <x:c r="J1318" s="274" t="n">
        <x:v>296</x:v>
      </x:c>
      <x:c r="K1318" s="274" t="n">
        <x:v>212</x:v>
      </x:c>
      <x:c r="M1318" s="274" t="s">
        <x:v>2736</x:v>
      </x:c>
    </x:row>
    <x:row r="1319" spans="1:14">
      <x:c r="A1319" s="274" t="s">
        <x:v>2737</x:v>
      </x:c>
      <x:c r="B1319" s="274" t="n">
        <x:v>0.7</x:v>
      </x:c>
      <x:c r="C1319" s="274" t="n">
        <x:v>28</x:v>
      </x:c>
      <x:c r="D1319" s="274" t="n">
        <x:v>36</x:v>
      </x:c>
      <x:c r="E1319" s="274" t="n">
        <x:v>33</x:v>
      </x:c>
      <x:c r="F1319" s="274" t="s">
        <x:v>133</x:v>
      </x:c>
      <x:c r="G1319" s="274" t="s">
        <x:v>136</x:v>
      </x:c>
      <x:c r="H1319" s="274" t="n">
        <x:v>45</x:v>
      </x:c>
      <x:c r="I1319" s="274" t="n">
        <x:v>1.2</x:v>
      </x:c>
      <x:c r="J1319" s="274" t="n">
        <x:v>390</x:v>
      </x:c>
      <x:c r="K1319" s="274" t="n">
        <x:v>190</x:v>
      </x:c>
      <x:c r="M1319" s="274" t="s">
        <x:v>2738</x:v>
      </x:c>
    </x:row>
    <x:row r="1320" spans="1:14">
      <x:c r="A1320" s="274" t="s">
        <x:v>2739</x:v>
      </x:c>
      <x:c r="B1320" s="274" t="n">
        <x:v>1.79</x:v>
      </x:c>
      <x:c r="C1320" s="274" t="n">
        <x:v>0</x:v>
      </x:c>
      <x:c r="D1320" s="274" t="n">
        <x:v>0</x:v>
      </x:c>
      <x:c r="F1320" s="274" t="s">
        <x:v>333</x:v>
      </x:c>
      <x:c r="G1320" s="274" t="s">
        <x:v>124</x:v>
      </x:c>
      <x:c r="I1320" s="274" t="n">
        <x:v>1.4</x:v>
      </x:c>
      <x:c r="J1320" s="274" t="n">
        <x:v>145</x:v>
      </x:c>
      <x:c r="K1320" s="274" t="n">
        <x:v>1125</x:v>
      </x:c>
      <x:c r="M1320" s="274" t="s">
        <x:v>2740</x:v>
      </x:c>
      <x:c r="N1320" s="274" t="s">
        <x:v>299</x:v>
      </x:c>
    </x:row>
    <x:row r="1321" spans="1:14">
      <x:c r="A1321" s="274" t="s">
        <x:v>2741</x:v>
      </x:c>
      <x:c r="B1321" s="274" t="n">
        <x:v>0.42</x:v>
      </x:c>
      <x:c r="C1321" s="274" t="n">
        <x:v>0</x:v>
      </x:c>
      <x:c r="D1321" s="274" t="n">
        <x:v>0</x:v>
      </x:c>
      <x:c r="F1321" s="274" t="s">
        <x:v>333</x:v>
      </x:c>
      <x:c r="G1321" s="274" t="s">
        <x:v>124</x:v>
      </x:c>
      <x:c r="I1321" s="274" t="n">
        <x:v>1.4</x:v>
      </x:c>
      <x:c r="J1321" s="274" t="n">
        <x:v>165</x:v>
      </x:c>
      <x:c r="K1321" s="274" t="n">
        <x:v>230</x:v>
      </x:c>
      <x:c r="M1321" s="274" t="s">
        <x:v>2742</x:v>
      </x:c>
      <x:c r="N1321" s="274" t="s">
        <x:v>299</x:v>
      </x:c>
    </x:row>
    <x:row r="1322" spans="1:14">
      <x:c r="A1322" s="274" t="s">
        <x:v>2743</x:v>
      </x:c>
      <x:c r="B1322" s="274" t="n">
        <x:v>0.75</x:v>
      </x:c>
      <x:c r="C1322" s="274" t="n">
        <x:v>0</x:v>
      </x:c>
      <x:c r="D1322" s="274" t="n">
        <x:v>0</x:v>
      </x:c>
      <x:c r="F1322" s="274" t="s">
        <x:v>133</x:v>
      </x:c>
      <x:c r="G1322" s="274" t="s">
        <x:v>209</x:v>
      </x:c>
      <x:c r="I1322" s="274" t="n">
        <x:v>1.2</x:v>
      </x:c>
      <x:c r="J1322" s="274" t="n">
        <x:v>142</x:v>
      </x:c>
      <x:c r="K1322" s="274" t="n">
        <x:v>559</x:v>
      </x:c>
      <x:c r="M1322" s="274" t="s">
        <x:v>2744</x:v>
      </x:c>
      <x:c r="N1322" s="274" t="s">
        <x:v>2745</x:v>
      </x:c>
    </x:row>
    <x:row r="1323" spans="1:14">
      <x:c r="A1323" s="274" t="s">
        <x:v>2746</x:v>
      </x:c>
      <x:c r="B1323" s="274" t="n">
        <x:v>1.88</x:v>
      </x:c>
      <x:c r="C1323" s="274" t="n">
        <x:v>0</x:v>
      </x:c>
      <x:c r="D1323" s="274" t="n">
        <x:v>0</x:v>
      </x:c>
      <x:c r="F1323" s="274" t="s">
        <x:v>333</x:v>
      </x:c>
      <x:c r="G1323" s="274" t="s">
        <x:v>2157</x:v>
      </x:c>
      <x:c r="I1323" s="274" t="n">
        <x:v>0.6</x:v>
      </x:c>
      <x:c r="J1323" s="274" t="n">
        <x:v>1000</x:v>
      </x:c>
      <x:c r="K1323" s="274" t="n">
        <x:v>400</x:v>
      </x:c>
      <x:c r="M1323" s="274" t="s">
        <x:v>2481</x:v>
      </x:c>
      <x:c r="N1323" s="274" t="s">
        <x:v>2747</x:v>
      </x:c>
    </x:row>
    <x:row r="1324" spans="1:14">
      <x:c r="A1324" s="274" t="s">
        <x:v>2748</x:v>
      </x:c>
      <x:c r="B1324" s="274" t="n">
        <x:v>0.82</x:v>
      </x:c>
      <x:c r="C1324" s="274" t="n">
        <x:v>0</x:v>
      </x:c>
      <x:c r="D1324" s="274" t="n">
        <x:v>25</x:v>
      </x:c>
      <x:c r="E1324" s="274" t="n">
        <x:v>18</x:v>
      </x:c>
      <x:c r="F1324" s="274" t="s">
        <x:v>123</x:v>
      </x:c>
      <x:c r="G1324" s="274" t="s">
        <x:v>2637</x:v>
      </x:c>
      <x:c r="I1324" s="274" t="n">
        <x:v>1.4</x:v>
      </x:c>
      <x:c r="J1324" s="274" t="n">
        <x:v>58</x:v>
      </x:c>
      <x:c r="K1324" s="274" t="n">
        <x:v>1250</x:v>
      </x:c>
    </x:row>
    <x:row r="1325" spans="1:14">
      <x:c r="A1325" s="274" t="s">
        <x:v>2749</x:v>
      </x:c>
      <x:c r="B1325" s="274" t="n">
        <x:v>0.95</x:v>
      </x:c>
      <x:c r="C1325" s="274" t="n">
        <x:v>0</x:v>
      </x:c>
      <x:c r="D1325" s="274" t="n">
        <x:v>0</x:v>
      </x:c>
      <x:c r="F1325" s="274" t="s">
        <x:v>133</x:v>
      </x:c>
      <x:c r="G1325" s="274" t="s">
        <x:v>134</x:v>
      </x:c>
      <x:c r="I1325" s="274" t="n">
        <x:v>2.9</x:v>
      </x:c>
      <x:c r="J1325" s="274" t="n">
        <x:v>106</x:v>
      </x:c>
      <x:c r="K1325" s="274" t="n">
        <x:v>394</x:v>
      </x:c>
      <x:c r="M1325" s="274" t="s">
        <x:v>2750</x:v>
      </x:c>
      <x:c r="N1325" s="274" t="s">
        <x:v>2751</x:v>
      </x:c>
    </x:row>
    <x:row r="1326" spans="1:14">
      <x:c r="A1326" s="274" t="s">
        <x:v>2752</x:v>
      </x:c>
      <x:c r="B1326" s="274" t="n">
        <x:v>4.49</x:v>
      </x:c>
      <x:c r="C1326" s="274" t="n">
        <x:v>0</x:v>
      </x:c>
      <x:c r="D1326" s="274" t="n">
        <x:v>0</x:v>
      </x:c>
      <x:c r="F1326" s="274" t="s">
        <x:v>123</x:v>
      </x:c>
      <x:c r="G1326" s="274" t="s">
        <x:v>209</x:v>
      </x:c>
      <x:c r="I1326" s="274" t="n">
        <x:v>2</x:v>
      </x:c>
      <x:c r="J1326" s="274" t="n">
        <x:v>400</x:v>
      </x:c>
      <x:c r="K1326" s="274" t="n">
        <x:v>715</x:v>
      </x:c>
      <x:c r="M1326" s="274" t="s">
        <x:v>2753</x:v>
      </x:c>
    </x:row>
    <x:row r="1327" spans="1:14">
      <x:c r="A1327" s="274" t="s">
        <x:v>2754</x:v>
      </x:c>
      <x:c r="B1327" s="274" t="n">
        <x:v>1.57</x:v>
      </x:c>
      <x:c r="C1327" s="274" t="n">
        <x:v>26</x:v>
      </x:c>
      <x:c r="D1327" s="274" t="n">
        <x:v>36</x:v>
      </x:c>
      <x:c r="E1327" s="274" t="n">
        <x:v>33</x:v>
      </x:c>
      <x:c r="F1327" s="274" t="s">
        <x:v>133</x:v>
      </x:c>
      <x:c r="G1327" s="274" t="s">
        <x:v>136</x:v>
      </x:c>
      <x:c r="H1327" s="274" t="n">
        <x:v>45</x:v>
      </x:c>
      <x:c r="I1327" s="274" t="n">
        <x:v>1.2</x:v>
      </x:c>
      <x:c r="J1327" s="274" t="n">
        <x:v>355</x:v>
      </x:c>
      <x:c r="K1327" s="274" t="n">
        <x:v>465</x:v>
      </x:c>
      <x:c r="M1327" s="274" t="s">
        <x:v>2253</x:v>
      </x:c>
      <x:c r="N1327" s="274" t="s">
        <x:v>2755</x:v>
      </x:c>
    </x:row>
    <x:row r="1328" spans="1:14">
      <x:c r="A1328" s="274" t="s">
        <x:v>2756</x:v>
      </x:c>
      <x:c r="B1328" s="274" t="n">
        <x:v>1.45</x:v>
      </x:c>
      <x:c r="C1328" s="274" t="n">
        <x:v>26</x:v>
      </x:c>
      <x:c r="D1328" s="274" t="n">
        <x:v>35</x:v>
      </x:c>
      <x:c r="E1328" s="274" t="n">
        <x:v>33</x:v>
      </x:c>
      <x:c r="F1328" s="274" t="s">
        <x:v>133</x:v>
      </x:c>
      <x:c r="G1328" s="274" t="s">
        <x:v>136</x:v>
      </x:c>
      <x:c r="H1328" s="274" t="n">
        <x:v>45</x:v>
      </x:c>
      <x:c r="I1328" s="274" t="n">
        <x:v>1.2</x:v>
      </x:c>
      <x:c r="J1328" s="274" t="n">
        <x:v>320</x:v>
      </x:c>
      <x:c r="K1328" s="274" t="n">
        <x:v>475</x:v>
      </x:c>
      <x:c r="M1328" s="274" t="s">
        <x:v>2757</x:v>
      </x:c>
      <x:c r="N1328" s="274" t="s">
        <x:v>2755</x:v>
      </x:c>
    </x:row>
    <x:row r="1329" spans="1:14">
      <x:c r="A1329" s="274" t="s">
        <x:v>2758</x:v>
      </x:c>
      <x:c r="B1329" s="274" t="n">
        <x:v>0.93</x:v>
      </x:c>
      <x:c r="C1329" s="274" t="n">
        <x:v>20</x:v>
      </x:c>
      <x:c r="D1329" s="274" t="n">
        <x:v>35</x:v>
      </x:c>
      <x:c r="E1329" s="274" t="n">
        <x:v>24</x:v>
      </x:c>
      <x:c r="F1329" s="274" t="s">
        <x:v>123</x:v>
      </x:c>
      <x:c r="G1329" s="274" t="s">
        <x:v>209</x:v>
      </x:c>
      <x:c r="I1329" s="274" t="n">
        <x:v>1.2</x:v>
      </x:c>
      <x:c r="J1329" s="274" t="n">
        <x:v>143</x:v>
      </x:c>
      <x:c r="K1329" s="274" t="n">
        <x:v>687</x:v>
      </x:c>
      <x:c r="M1329" s="274" t="s">
        <x:v>2759</x:v>
      </x:c>
      <x:c r="N1329" s="274" t="s">
        <x:v>155</x:v>
      </x:c>
    </x:row>
    <x:row r="1330" spans="1:14">
      <x:c r="A1330" s="274" t="s">
        <x:v>2760</x:v>
      </x:c>
      <x:c r="B1330" s="274" t="n">
        <x:v>0.26</x:v>
      </x:c>
      <x:c r="C1330" s="274" t="n">
        <x:v>35</x:v>
      </x:c>
      <x:c r="D1330" s="274" t="n">
        <x:v>35</x:v>
      </x:c>
      <x:c r="E1330" s="274" t="n">
        <x:v>36</x:v>
      </x:c>
      <x:c r="F1330" s="274" t="s">
        <x:v>333</x:v>
      </x:c>
      <x:c r="G1330" s="274" t="s">
        <x:v>209</x:v>
      </x:c>
      <x:c r="I1330" s="274" t="n">
        <x:v>1.2</x:v>
      </x:c>
      <x:c r="J1330" s="274" t="n">
        <x:v>145</x:v>
      </x:c>
      <x:c r="K1330" s="274" t="n">
        <x:v>190</x:v>
      </x:c>
      <x:c r="M1330" s="274" t="s">
        <x:v>1292</x:v>
      </x:c>
      <x:c r="N1330" s="274" t="s">
        <x:v>155</x:v>
      </x:c>
    </x:row>
    <x:row r="1331" spans="1:14">
      <x:c r="A1331" s="274" t="s">
        <x:v>2761</x:v>
      </x:c>
      <x:c r="B1331" s="274" t="n">
        <x:v>2.29</x:v>
      </x:c>
      <x:c r="C1331" s="274" t="n">
        <x:v>0</x:v>
      </x:c>
      <x:c r="D1331" s="274" t="n">
        <x:v>35</x:v>
      </x:c>
      <x:c r="E1331" s="274" t="n">
        <x:v>29</x:v>
      </x:c>
      <x:c r="F1331" s="274" t="s">
        <x:v>133</x:v>
      </x:c>
      <x:c r="G1331" s="274" t="s">
        <x:v>148</x:v>
      </x:c>
      <x:c r="I1331" s="274" t="n">
        <x:v>2.3</x:v>
      </x:c>
      <x:c r="J1331" s="274" t="n">
        <x:v>180</x:v>
      </x:c>
      <x:c r="K1331" s="274" t="n">
        <x:v>705</x:v>
      </x:c>
      <x:c r="M1331" s="274" t="s">
        <x:v>2559</x:v>
      </x:c>
      <x:c r="N1331" s="274" t="s">
        <x:v>2762</x:v>
      </x:c>
    </x:row>
    <x:row r="1332" spans="1:14">
      <x:c r="A1332" s="274" t="s">
        <x:v>2763</x:v>
      </x:c>
      <x:c r="B1332" s="274" t="n">
        <x:v>1.55</x:v>
      </x:c>
      <x:c r="C1332" s="274" t="n">
        <x:v>0</x:v>
      </x:c>
      <x:c r="D1332" s="274" t="n">
        <x:v>0</x:v>
      </x:c>
      <x:c r="F1332" s="274" t="s">
        <x:v>311</x:v>
      </x:c>
      <x:c r="G1332" s="274" t="s">
        <x:v>1728</x:v>
      </x:c>
      <x:c r="H1332" s="274" t="s">
        <x:v>1732</x:v>
      </x:c>
      <x:c r="I1332" s="274" t="n">
        <x:v>0.7</x:v>
      </x:c>
      <x:c r="J1332" s="274" t="n">
        <x:v>510</x:v>
      </x:c>
      <x:c r="K1332" s="274" t="n">
        <x:v>545</x:v>
      </x:c>
      <x:c r="M1332" s="274" t="s">
        <x:v>2764</x:v>
      </x:c>
      <x:c r="N1332" s="274" t="s">
        <x:v>299</x:v>
      </x:c>
    </x:row>
    <x:row r="1333" spans="1:14">
      <x:c r="A1333" s="274" t="s">
        <x:v>2765</x:v>
      </x:c>
      <x:c r="B1333" s="274" t="n">
        <x:v>1.13</x:v>
      </x:c>
      <x:c r="C1333" s="274" t="n">
        <x:v>0</x:v>
      </x:c>
      <x:c r="D1333" s="274" t="n">
        <x:v>0</x:v>
      </x:c>
      <x:c r="E1333" s="274" t="n">
        <x:v>25</x:v>
      </x:c>
      <x:c r="F1333" s="274" t="s">
        <x:v>333</x:v>
      </x:c>
      <x:c r="G1333" s="274" t="s">
        <x:v>124</x:v>
      </x:c>
      <x:c r="I1333" s="274" t="n">
        <x:v>1.6</x:v>
      </x:c>
      <x:c r="J1333" s="274" t="n">
        <x:v>107</x:v>
      </x:c>
      <x:c r="K1333" s="274" t="n">
        <x:v>842</x:v>
      </x:c>
      <x:c r="M1333" s="274" t="s">
        <x:v>2766</x:v>
      </x:c>
      <x:c r="N1333" s="274" t="s">
        <x:v>2755</x:v>
      </x:c>
    </x:row>
    <x:row r="1334" spans="1:14">
      <x:c r="A1334" s="274" t="s">
        <x:v>2767</x:v>
      </x:c>
      <x:c r="B1334" s="274" t="n">
        <x:v>1.55</x:v>
      </x:c>
      <x:c r="C1334" s="274" t="n">
        <x:v>0</x:v>
      </x:c>
      <x:c r="D1334" s="274" t="n">
        <x:v>0</x:v>
      </x:c>
      <x:c r="F1334" s="274" t="s">
        <x:v>311</x:v>
      </x:c>
      <x:c r="G1334" s="274" t="s">
        <x:v>1728</x:v>
      </x:c>
      <x:c r="H1334" s="274" t="s">
        <x:v>1729</x:v>
      </x:c>
      <x:c r="I1334" s="274" t="n">
        <x:v>0.7</x:v>
      </x:c>
      <x:c r="J1334" s="274" t="n">
        <x:v>510</x:v>
      </x:c>
      <x:c r="K1334" s="274" t="n">
        <x:v>545</x:v>
      </x:c>
      <x:c r="M1334" s="274" t="s">
        <x:v>2768</x:v>
      </x:c>
      <x:c r="N1334" s="274" t="s">
        <x:v>299</x:v>
      </x:c>
    </x:row>
    <x:row r="1335" spans="1:14">
      <x:c r="A1335" s="274" t="s">
        <x:v>2769</x:v>
      </x:c>
      <x:c r="B1335" s="274" t="n">
        <x:v>6.78</x:v>
      </x:c>
      <x:c r="C1335" s="274" t="n">
        <x:v>0</x:v>
      </x:c>
      <x:c r="D1335" s="274" t="n">
        <x:v>0</x:v>
      </x:c>
      <x:c r="F1335" s="274" t="s">
        <x:v>333</x:v>
      </x:c>
      <x:c r="G1335" s="274" t="s">
        <x:v>124</x:v>
      </x:c>
      <x:c r="I1335" s="274" t="n">
        <x:v>1.6</x:v>
      </x:c>
      <x:c r="J1335" s="274" t="n">
        <x:v>490.5</x:v>
      </x:c>
      <x:c r="K1335" s="274" t="n">
        <x:v>1100</x:v>
      </x:c>
      <x:c r="M1335" s="274" t="s">
        <x:v>2770</x:v>
      </x:c>
      <x:c r="N1335" s="274" t="s">
        <x:v>162</x:v>
      </x:c>
    </x:row>
    <x:row r="1336" spans="1:14">
      <x:c r="A1336" s="274" t="s">
        <x:v>2771</x:v>
      </x:c>
      <x:c r="B1336" s="274" t="n">
        <x:v>0.69</x:v>
      </x:c>
      <x:c r="C1336" s="274" t="n">
        <x:v>0</x:v>
      </x:c>
      <x:c r="D1336" s="274" t="n">
        <x:v>0</x:v>
      </x:c>
      <x:c r="F1336" s="274" t="s">
        <x:v>333</x:v>
      </x:c>
      <x:c r="G1336" s="274" t="s">
        <x:v>124</x:v>
      </x:c>
      <x:c r="I1336" s="274" t="n">
        <x:v>1.6</x:v>
      </x:c>
      <x:c r="J1336" s="274" t="n">
        <x:v>240</x:v>
      </x:c>
      <x:c r="K1336" s="274" t="n">
        <x:v>230</x:v>
      </x:c>
      <x:c r="M1336" s="274" t="s">
        <x:v>2772</x:v>
      </x:c>
      <x:c r="N1336" s="274" t="s">
        <x:v>787</x:v>
      </x:c>
    </x:row>
    <x:row r="1337" spans="1:14">
      <x:c r="A1337" s="274" t="s">
        <x:v>2773</x:v>
      </x:c>
      <x:c r="B1337" s="274" t="n">
        <x:v>2.97</x:v>
      </x:c>
      <x:c r="C1337" s="274" t="n">
        <x:v>0</x:v>
      </x:c>
      <x:c r="D1337" s="274" t="n">
        <x:v>0</x:v>
      </x:c>
      <x:c r="F1337" s="274" t="s">
        <x:v>333</x:v>
      </x:c>
      <x:c r="G1337" s="274" t="s">
        <x:v>124</x:v>
      </x:c>
      <x:c r="I1337" s="274" t="n">
        <x:v>1.6</x:v>
      </x:c>
      <x:c r="J1337" s="274" t="n">
        <x:v>194.5</x:v>
      </x:c>
      <x:c r="K1337" s="274" t="n">
        <x:v>1215</x:v>
      </x:c>
      <x:c r="M1337" s="274" t="s">
        <x:v>2774</x:v>
      </x:c>
      <x:c r="N1337" s="274" t="s">
        <x:v>748</x:v>
      </x:c>
    </x:row>
    <x:row r="1338" spans="1:14">
      <x:c r="A1338" s="274" t="s">
        <x:v>2775</x:v>
      </x:c>
      <x:c r="B1338" s="274" t="n">
        <x:v>1.02</x:v>
      </x:c>
      <x:c r="C1338" s="274" t="n">
        <x:v>0</x:v>
      </x:c>
      <x:c r="D1338" s="274" t="n">
        <x:v>0</x:v>
      </x:c>
      <x:c r="F1338" s="274" t="s">
        <x:v>333</x:v>
      </x:c>
      <x:c r="G1338" s="274" t="s">
        <x:v>124</x:v>
      </x:c>
      <x:c r="I1338" s="274" t="n">
        <x:v>1.6</x:v>
      </x:c>
      <x:c r="J1338" s="274" t="n">
        <x:v>233</x:v>
      </x:c>
      <x:c r="K1338" s="274" t="n">
        <x:v>349</x:v>
      </x:c>
      <x:c r="M1338" s="274" t="s">
        <x:v>2776</x:v>
      </x:c>
      <x:c r="N1338" s="274" t="s">
        <x:v>299</x:v>
      </x:c>
    </x:row>
    <x:row r="1339" spans="1:14">
      <x:c r="A1339" s="274" t="s">
        <x:v>2777</x:v>
      </x:c>
      <x:c r="B1339" s="274" t="n">
        <x:v>11.57</x:v>
      </x:c>
      <x:c r="C1339" s="274" t="n">
        <x:v>0</x:v>
      </x:c>
      <x:c r="D1339" s="274" t="n">
        <x:v>30</x:v>
      </x:c>
      <x:c r="E1339" s="274" t="n">
        <x:v>37</x:v>
      </x:c>
      <x:c r="F1339" s="274" t="s">
        <x:v>333</x:v>
      </x:c>
      <x:c r="G1339" s="274" t="s">
        <x:v>124</x:v>
      </x:c>
      <x:c r="I1339" s="274" t="n">
        <x:v>1.6</x:v>
      </x:c>
      <x:c r="J1339" s="274" t="n">
        <x:v>890</x:v>
      </x:c>
      <x:c r="K1339" s="274" t="n">
        <x:v>1035</x:v>
      </x:c>
      <x:c r="M1339" s="274" t="s">
        <x:v>2778</x:v>
      </x:c>
    </x:row>
    <x:row r="1340" spans="1:14">
      <x:c r="A1340" s="274" t="s">
        <x:v>2779</x:v>
      </x:c>
      <x:c r="B1340" s="274" t="n">
        <x:v>0.86</x:v>
      </x:c>
      <x:c r="C1340" s="274" t="n">
        <x:v>0</x:v>
      </x:c>
      <x:c r="D1340" s="274" t="n">
        <x:v>0</x:v>
      </x:c>
      <x:c r="F1340" s="274" t="s">
        <x:v>333</x:v>
      </x:c>
      <x:c r="G1340" s="274" t="s">
        <x:v>124</x:v>
      </x:c>
      <x:c r="I1340" s="274" t="n">
        <x:v>1.6</x:v>
      </x:c>
      <x:c r="J1340" s="274" t="n">
        <x:v>57</x:v>
      </x:c>
      <x:c r="K1340" s="274" t="n">
        <x:v>1200</x:v>
      </x:c>
      <x:c r="M1340" s="274" t="s">
        <x:v>2780</x:v>
      </x:c>
      <x:c r="N1340" s="274" t="s">
        <x:v>787</x:v>
      </x:c>
    </x:row>
    <x:row r="1341" spans="1:14">
      <x:c r="A1341" s="274" t="s">
        <x:v>2781</x:v>
      </x:c>
      <x:c r="B1341" s="274" t="n">
        <x:v>1.43</x:v>
      </x:c>
      <x:c r="C1341" s="274" t="n">
        <x:v>0</x:v>
      </x:c>
      <x:c r="D1341" s="274" t="n">
        <x:v>0</x:v>
      </x:c>
      <x:c r="F1341" s="274" t="s">
        <x:v>133</x:v>
      </x:c>
      <x:c r="G1341" s="274" t="s">
        <x:v>148</x:v>
      </x:c>
      <x:c r="I1341" s="274" t="n">
        <x:v>2.9</x:v>
      </x:c>
      <x:c r="J1341" s="274" t="n">
        <x:v>125</x:v>
      </x:c>
      <x:c r="K1341" s="274" t="n">
        <x:v>502</x:v>
      </x:c>
      <x:c r="M1341" s="274" t="s">
        <x:v>2782</x:v>
      </x:c>
      <x:c r="N1341" s="274" t="s">
        <x:v>155</x:v>
      </x:c>
    </x:row>
    <x:row r="1342" spans="1:14">
      <x:c r="A1342" s="274" t="s">
        <x:v>2783</x:v>
      </x:c>
      <x:c r="B1342" s="274" t="n">
        <x:v>1.97</x:v>
      </x:c>
      <x:c r="C1342" s="274" t="n">
        <x:v>0</x:v>
      </x:c>
      <x:c r="D1342" s="274" t="n">
        <x:v>0</x:v>
      </x:c>
      <x:c r="F1342" s="274" t="s">
        <x:v>133</x:v>
      </x:c>
      <x:c r="G1342" s="274" t="s">
        <x:v>134</x:v>
      </x:c>
      <x:c r="I1342" s="274" t="n">
        <x:v>3.6</x:v>
      </x:c>
      <x:c r="J1342" s="274" t="n">
        <x:v>190</x:v>
      </x:c>
      <x:c r="K1342" s="274" t="n">
        <x:v>367</x:v>
      </x:c>
      <x:c r="M1342" s="274" t="s">
        <x:v>2784</x:v>
      </x:c>
      <x:c r="N1342" s="274" t="s">
        <x:v>131</x:v>
      </x:c>
    </x:row>
    <x:row r="1343" spans="1:14">
      <x:c r="A1343" s="274" t="s">
        <x:v>2785</x:v>
      </x:c>
      <x:c r="B1343" s="274" t="n">
        <x:v>4.87</x:v>
      </x:c>
      <x:c r="C1343" s="274" t="n">
        <x:v>0</x:v>
      </x:c>
      <x:c r="D1343" s="274" t="n">
        <x:v>0</x:v>
      </x:c>
      <x:c r="F1343" s="274" t="s">
        <x:v>133</x:v>
      </x:c>
      <x:c r="G1343" s="274" t="s">
        <x:v>134</x:v>
      </x:c>
      <x:c r="I1343" s="274" t="n">
        <x:v>4.5</x:v>
      </x:c>
      <x:c r="J1343" s="274" t="n">
        <x:v>245</x:v>
      </x:c>
      <x:c r="K1343" s="274" t="n">
        <x:v>563</x:v>
      </x:c>
      <x:c r="M1343" s="274" t="s">
        <x:v>2786</x:v>
      </x:c>
      <x:c r="N1343" s="274" t="s">
        <x:v>155</x:v>
      </x:c>
    </x:row>
    <x:row r="1344" spans="1:14">
      <x:c r="A1344" s="274" t="s">
        <x:v>2787</x:v>
      </x:c>
      <x:c r="B1344" s="274" t="n">
        <x:v>4.94</x:v>
      </x:c>
      <x:c r="C1344" s="274" t="n">
        <x:v>0</x:v>
      </x:c>
      <x:c r="D1344" s="274" t="n">
        <x:v>32</x:v>
      </x:c>
      <x:c r="E1344" s="274" t="n">
        <x:v>37</x:v>
      </x:c>
      <x:c r="F1344" s="274" t="s">
        <x:v>333</x:v>
      </x:c>
      <x:c r="G1344" s="274" t="s">
        <x:v>209</x:v>
      </x:c>
      <x:c r="I1344" s="274" t="n">
        <x:v>0.6</x:v>
      </x:c>
      <x:c r="J1344" s="274" t="n">
        <x:v>976</x:v>
      </x:c>
      <x:c r="K1344" s="274" t="n">
        <x:v>1075</x:v>
      </x:c>
      <x:c r="M1344" s="274" t="s">
        <x:v>2788</x:v>
      </x:c>
      <x:c r="N1344" s="274" t="s">
        <x:v>155</x:v>
      </x:c>
    </x:row>
    <x:row r="1345" spans="1:14">
      <x:c r="A1345" s="274" t="s">
        <x:v>2789</x:v>
      </x:c>
      <x:c r="B1345" s="274" t="n">
        <x:v>6.3</x:v>
      </x:c>
      <x:c r="C1345" s="274" t="n">
        <x:v>0</x:v>
      </x:c>
      <x:c r="D1345" s="274" t="n">
        <x:v>35</x:v>
      </x:c>
      <x:c r="E1345" s="274" t="n">
        <x:v>30</x:v>
      </x:c>
      <x:c r="F1345" s="274" t="s">
        <x:v>133</x:v>
      </x:c>
      <x:c r="G1345" s="274" t="s">
        <x:v>134</x:v>
      </x:c>
      <x:c r="I1345" s="274" t="n">
        <x:v>2.6</x:v>
      </x:c>
      <x:c r="J1345" s="274" t="n">
        <x:v>435</x:v>
      </x:c>
      <x:c r="K1345" s="274" t="n">
        <x:v>710</x:v>
      </x:c>
      <x:c r="M1345" s="274" t="s">
        <x:v>2790</x:v>
      </x:c>
      <x:c r="N1345" s="274" t="s">
        <x:v>299</x:v>
      </x:c>
    </x:row>
    <x:row r="1346" spans="1:14">
      <x:c r="A1346" s="274" t="s">
        <x:v>2791</x:v>
      </x:c>
      <x:c r="B1346" s="274" t="n">
        <x:v>5.61</x:v>
      </x:c>
      <x:c r="C1346" s="274" t="n">
        <x:v>0</x:v>
      </x:c>
      <x:c r="D1346" s="274" t="n">
        <x:v>32</x:v>
      </x:c>
      <x:c r="E1346" s="274" t="n">
        <x:v>40</x:v>
      </x:c>
      <x:c r="F1346" s="274" t="s">
        <x:v>333</x:v>
      </x:c>
      <x:c r="G1346" s="274" t="s">
        <x:v>124</x:v>
      </x:c>
      <x:c r="I1346" s="274" t="n">
        <x:v>1</x:v>
      </x:c>
      <x:c r="J1346" s="274" t="n">
        <x:v>926</x:v>
      </x:c>
      <x:c r="K1346" s="274" t="n">
        <x:v>772</x:v>
      </x:c>
      <x:c r="M1346" s="274" t="s">
        <x:v>2792</x:v>
      </x:c>
      <x:c r="N1346" s="274" t="s">
        <x:v>299</x:v>
      </x:c>
    </x:row>
    <x:row r="1347" spans="1:14">
      <x:c r="A1347" s="274" t="s">
        <x:v>2793</x:v>
      </x:c>
      <x:c r="B1347" s="274" t="n">
        <x:v>0.88</x:v>
      </x:c>
      <x:c r="C1347" s="274" t="n">
        <x:v>0</x:v>
      </x:c>
      <x:c r="D1347" s="274" t="n">
        <x:v>0</x:v>
      </x:c>
      <x:c r="F1347" s="274" t="s">
        <x:v>133</x:v>
      </x:c>
      <x:c r="G1347" s="274" t="s">
        <x:v>136</x:v>
      </x:c>
      <x:c r="H1347" s="274" t="n">
        <x:v>45</x:v>
      </x:c>
      <x:c r="I1347" s="274" t="n">
        <x:v>0.8</x:v>
      </x:c>
      <x:c r="J1347" s="274" t="n">
        <x:v>294</x:v>
      </x:c>
      <x:c r="K1347" s="274" t="n">
        <x:v>470</x:v>
      </x:c>
      <x:c r="M1347" s="274" t="s">
        <x:v>2794</x:v>
      </x:c>
      <x:c r="N1347" s="274" t="s">
        <x:v>299</x:v>
      </x:c>
    </x:row>
    <x:row r="1348" spans="1:14">
      <x:c r="A1348" s="274" t="s">
        <x:v>2795</x:v>
      </x:c>
      <x:c r="B1348" s="274" t="n">
        <x:v>3.97</x:v>
      </x:c>
      <x:c r="C1348" s="274" t="n">
        <x:v>16</x:v>
      </x:c>
      <x:c r="D1348" s="274" t="n">
        <x:v>25</x:v>
      </x:c>
      <x:c r="E1348" s="274" t="n">
        <x:v>18</x:v>
      </x:c>
      <x:c r="F1348" s="274" t="s">
        <x:v>123</x:v>
      </x:c>
      <x:c r="G1348" s="274" t="s">
        <x:v>2796</x:v>
      </x:c>
      <x:c r="I1348" s="274" t="n">
        <x:v>1.6</x:v>
      </x:c>
      <x:c r="J1348" s="274" t="n">
        <x:v>378</x:v>
      </x:c>
      <x:c r="K1348" s="274" t="n">
        <x:v>825</x:v>
      </x:c>
    </x:row>
    <x:row r="1349" spans="1:14">
      <x:c r="A1349" s="274" t="s">
        <x:v>2797</x:v>
      </x:c>
      <x:c r="B1349" s="274" t="n">
        <x:v>7.77</x:v>
      </x:c>
      <x:c r="C1349" s="274" t="n">
        <x:v>0</x:v>
      </x:c>
      <x:c r="D1349" s="274" t="n">
        <x:v>18</x:v>
      </x:c>
      <x:c r="E1349" s="274" t="n">
        <x:v>18</x:v>
      </x:c>
      <x:c r="F1349" s="274" t="s">
        <x:v>123</x:v>
      </x:c>
      <x:c r="G1349" s="274" t="s">
        <x:v>2796</x:v>
      </x:c>
      <x:c r="I1349" s="274" t="n">
        <x:v>1.6</x:v>
      </x:c>
      <x:c r="J1349" s="274" t="n">
        <x:v>488</x:v>
      </x:c>
      <x:c r="K1349" s="274" t="n">
        <x:v>1250</x:v>
      </x:c>
    </x:row>
    <x:row r="1350" spans="1:14">
      <x:c r="A1350" s="274" t="s">
        <x:v>2798</x:v>
      </x:c>
      <x:c r="B1350" s="274" t="n">
        <x:v>1.056</x:v>
      </x:c>
      <x:c r="C1350" s="274" t="n">
        <x:v>0</x:v>
      </x:c>
      <x:c r="D1350" s="274" t="n">
        <x:v>0</x:v>
      </x:c>
      <x:c r="E1350" s="274" t="n">
        <x:v>18</x:v>
      </x:c>
      <x:c r="F1350" s="274" t="s">
        <x:v>123</x:v>
      </x:c>
      <x:c r="G1350" s="274" t="s">
        <x:v>2796</x:v>
      </x:c>
      <x:c r="I1350" s="274" t="n">
        <x:v>1.6</x:v>
      </x:c>
      <x:c r="J1350" s="274" t="n">
        <x:v>68</x:v>
      </x:c>
      <x:c r="K1350" s="274" t="n">
        <x:v>1250</x:v>
      </x:c>
    </x:row>
    <x:row r="1351" spans="1:14">
      <x:c r="A1351" s="274" t="s">
        <x:v>2799</x:v>
      </x:c>
      <x:c r="B1351" s="274" t="n">
        <x:v>1.21</x:v>
      </x:c>
      <x:c r="C1351" s="274" t="n">
        <x:v>28</x:v>
      </x:c>
      <x:c r="D1351" s="274" t="n">
        <x:v>35</x:v>
      </x:c>
      <x:c r="E1351" s="274" t="n">
        <x:v>33</x:v>
      </x:c>
      <x:c r="F1351" s="274" t="s">
        <x:v>333</x:v>
      </x:c>
      <x:c r="G1351" s="274" t="s">
        <x:v>124</x:v>
      </x:c>
      <x:c r="I1351" s="274" t="n">
        <x:v>1.4</x:v>
      </x:c>
      <x:c r="J1351" s="274" t="n">
        <x:v>325</x:v>
      </x:c>
      <x:c r="K1351" s="274" t="n">
        <x:v>340</x:v>
      </x:c>
      <x:c r="M1351" s="274" t="s">
        <x:v>767</x:v>
      </x:c>
      <x:c r="N1351" s="274" t="s">
        <x:v>162</x:v>
      </x:c>
    </x:row>
    <x:row r="1352" spans="1:14">
      <x:c r="A1352" s="274" t="s">
        <x:v>2800</x:v>
      </x:c>
      <x:c r="B1352" s="274" t="n">
        <x:v>0.55</x:v>
      </x:c>
      <x:c r="C1352" s="274" t="n">
        <x:v>0</x:v>
      </x:c>
      <x:c r="D1352" s="274" t="n">
        <x:v>0</x:v>
      </x:c>
      <x:c r="F1352" s="274" t="s">
        <x:v>333</x:v>
      </x:c>
      <x:c r="G1352" s="274" t="s">
        <x:v>209</x:v>
      </x:c>
      <x:c r="I1352" s="274" t="n">
        <x:v>1.2</x:v>
      </x:c>
      <x:c r="J1352" s="274" t="n">
        <x:v>172</x:v>
      </x:c>
      <x:c r="K1352" s="274" t="n">
        <x:v>342</x:v>
      </x:c>
      <x:c r="M1352" s="274" t="s">
        <x:v>2801</x:v>
      </x:c>
      <x:c r="N1352" s="274" t="s">
        <x:v>2802</x:v>
      </x:c>
    </x:row>
    <x:row r="1353" spans="1:14">
      <x:c r="A1353" s="274" t="s">
        <x:v>2803</x:v>
      </x:c>
      <x:c r="B1353" s="274" t="n">
        <x:v>0.58</x:v>
      </x:c>
      <x:c r="C1353" s="274" t="n">
        <x:v>0</x:v>
      </x:c>
      <x:c r="D1353" s="274" t="n">
        <x:v>0</x:v>
      </x:c>
      <x:c r="F1353" s="274" t="s">
        <x:v>333</x:v>
      </x:c>
      <x:c r="G1353" s="274" t="s">
        <x:v>209</x:v>
      </x:c>
      <x:c r="I1353" s="274" t="n">
        <x:v>0.8</x:v>
      </x:c>
      <x:c r="J1353" s="274" t="n">
        <x:v>288</x:v>
      </x:c>
      <x:c r="K1353" s="274" t="n">
        <x:v>319</x:v>
      </x:c>
      <x:c r="M1353" s="274" t="s">
        <x:v>2804</x:v>
      </x:c>
      <x:c r="N1353" s="274" t="s">
        <x:v>2805</x:v>
      </x:c>
    </x:row>
    <x:row r="1354" spans="1:14">
      <x:c r="A1354" s="274" t="s">
        <x:v>2806</x:v>
      </x:c>
      <x:c r="B1354" s="274" t="n">
        <x:v>1.57</x:v>
      </x:c>
      <x:c r="C1354" s="274" t="n">
        <x:v>0</x:v>
      </x:c>
      <x:c r="D1354" s="274" t="n">
        <x:v>0</x:v>
      </x:c>
      <x:c r="F1354" s="274" t="s">
        <x:v>333</x:v>
      </x:c>
      <x:c r="G1354" s="274" t="s">
        <x:v>2157</x:v>
      </x:c>
      <x:c r="I1354" s="274" t="n">
        <x:v>1</x:v>
      </x:c>
      <x:c r="J1354" s="274" t="n">
        <x:v>350</x:v>
      </x:c>
      <x:c r="K1354" s="274" t="n">
        <x:v>570</x:v>
      </x:c>
      <x:c r="M1354" s="274" t="s">
        <x:v>2479</x:v>
      </x:c>
      <x:c r="N1354" s="274" t="s">
        <x:v>2807</x:v>
      </x:c>
    </x:row>
    <x:row r="1355" spans="1:14">
      <x:c r="A1355" s="274" t="s">
        <x:v>2808</x:v>
      </x:c>
      <x:c r="B1355" s="274" t="n">
        <x:v>1.33</x:v>
      </x:c>
      <x:c r="C1355" s="274" t="n">
        <x:v>0</x:v>
      </x:c>
      <x:c r="D1355" s="274" t="n">
        <x:v>0</x:v>
      </x:c>
      <x:c r="F1355" s="274" t="s">
        <x:v>333</x:v>
      </x:c>
      <x:c r="G1355" s="274" t="s">
        <x:v>2157</x:v>
      </x:c>
      <x:c r="I1355" s="274" t="n">
        <x:v>1</x:v>
      </x:c>
      <x:c r="J1355" s="274" t="n">
        <x:v>340</x:v>
      </x:c>
      <x:c r="K1355" s="274" t="n">
        <x:v>500</x:v>
      </x:c>
      <x:c r="M1355" s="274" t="s">
        <x:v>2483</x:v>
      </x:c>
      <x:c r="N1355" s="274" t="s">
        <x:v>2807</x:v>
      </x:c>
    </x:row>
    <x:row r="1356" spans="1:14">
      <x:c r="A1356" s="274" t="s">
        <x:v>2809</x:v>
      </x:c>
      <x:c r="B1356" s="274" t="n">
        <x:v>4.12</x:v>
      </x:c>
      <x:c r="C1356" s="274" t="n">
        <x:v>0</x:v>
      </x:c>
      <x:c r="D1356" s="274" t="n">
        <x:v>0</x:v>
      </x:c>
      <x:c r="F1356" s="274" t="s">
        <x:v>333</x:v>
      </x:c>
      <x:c r="G1356" s="274" t="s">
        <x:v>153</x:v>
      </x:c>
      <x:c r="I1356" s="274" t="n">
        <x:v>1.6</x:v>
      </x:c>
      <x:c r="J1356" s="274" t="n">
        <x:v>1065</x:v>
      </x:c>
      <x:c r="K1356" s="274" t="n">
        <x:v>308</x:v>
      </x:c>
      <x:c r="M1356" s="274" t="s">
        <x:v>2810</x:v>
      </x:c>
      <x:c r="N1356" s="274" t="s">
        <x:v>1220</x:v>
      </x:c>
    </x:row>
    <x:row r="1357" spans="1:14">
      <x:c r="A1357" s="274" t="s">
        <x:v>2811</x:v>
      </x:c>
      <x:c r="B1357" s="274" t="n">
        <x:v>0.73</x:v>
      </x:c>
      <x:c r="C1357" s="274" t="n">
        <x:v>19</x:v>
      </x:c>
      <x:c r="D1357" s="274" t="n">
        <x:v>35</x:v>
      </x:c>
      <x:c r="E1357" s="274" t="n">
        <x:v>24</x:v>
      </x:c>
      <x:c r="F1357" s="274" t="s">
        <x:v>133</x:v>
      </x:c>
      <x:c r="G1357" s="274" t="s">
        <x:v>136</x:v>
      </x:c>
      <x:c r="H1357" s="274" t="n">
        <x:v>45</x:v>
      </x:c>
      <x:c r="I1357" s="274" t="n">
        <x:v>0.6</x:v>
      </x:c>
      <x:c r="J1357" s="274" t="n">
        <x:v>210</x:v>
      </x:c>
      <x:c r="K1357" s="274" t="n">
        <x:v>725</x:v>
      </x:c>
      <x:c r="M1357" s="274" t="s">
        <x:v>2812</x:v>
      </x:c>
      <x:c r="N1357" s="274" t="s">
        <x:v>1274</x:v>
      </x:c>
    </x:row>
    <x:row r="1358" spans="1:14">
      <x:c r="A1358" s="274" t="s">
        <x:v>2813</x:v>
      </x:c>
      <x:c r="B1358" s="274" t="n">
        <x:v>3.32</x:v>
      </x:c>
      <x:c r="C1358" s="274" t="n">
        <x:v>0</x:v>
      </x:c>
      <x:c r="D1358" s="274" t="n">
        <x:v>0</x:v>
      </x:c>
      <x:c r="F1358" s="274" t="s">
        <x:v>333</x:v>
      </x:c>
      <x:c r="G1358" s="274" t="s">
        <x:v>124</x:v>
      </x:c>
      <x:c r="I1358" s="274" t="n">
        <x:v>2</x:v>
      </x:c>
      <x:c r="J1358" s="274" t="n">
        <x:v>184</x:v>
      </x:c>
      <x:c r="K1358" s="274" t="n">
        <x:v>1149</x:v>
      </x:c>
      <x:c r="M1358" s="274" t="s">
        <x:v>2814</x:v>
      </x:c>
      <x:c r="N1358" s="274" t="s">
        <x:v>870</x:v>
      </x:c>
    </x:row>
    <x:row r="1359" spans="1:14">
      <x:c r="A1359" s="274" t="s">
        <x:v>2815</x:v>
      </x:c>
      <x:c r="B1359" s="274" t="n">
        <x:v>1.33</x:v>
      </x:c>
      <x:c r="C1359" s="274" t="n">
        <x:v>0</x:v>
      </x:c>
      <x:c r="D1359" s="274" t="n">
        <x:v>0</x:v>
      </x:c>
      <x:c r="F1359" s="274" t="s">
        <x:v>123</x:v>
      </x:c>
      <x:c r="G1359" s="274" t="s">
        <x:v>124</x:v>
      </x:c>
      <x:c r="I1359" s="274" t="n">
        <x:v>1.2</x:v>
      </x:c>
      <x:c r="J1359" s="274" t="n">
        <x:v>120</x:v>
      </x:c>
      <x:c r="K1359" s="274" t="n">
        <x:v>1175</x:v>
      </x:c>
      <x:c r="M1359" s="274" t="s">
        <x:v>2816</x:v>
      </x:c>
      <x:c r="N1359" s="274" t="s">
        <x:v>870</x:v>
      </x:c>
    </x:row>
    <x:row r="1360" spans="1:14">
      <x:c r="A1360" s="274" t="s">
        <x:v>2817</x:v>
      </x:c>
      <x:c r="B1360" s="274" t="n">
        <x:v>3.75</x:v>
      </x:c>
      <x:c r="C1360" s="274" t="n">
        <x:v>0</x:v>
      </x:c>
      <x:c r="D1360" s="274" t="n">
        <x:v>0</x:v>
      </x:c>
      <x:c r="F1360" s="274" t="s">
        <x:v>133</x:v>
      </x:c>
      <x:c r="G1360" s="274" t="s">
        <x:v>144</x:v>
      </x:c>
      <x:c r="H1360" s="274" t="n">
        <x:v>45</x:v>
      </x:c>
      <x:c r="I1360" s="274" t="n">
        <x:v>1.8</x:v>
      </x:c>
      <x:c r="J1360" s="274" t="n">
        <x:v>218</x:v>
      </x:c>
      <x:c r="K1360" s="274" t="n">
        <x:v>1209</x:v>
      </x:c>
      <x:c r="M1360" s="274" t="s">
        <x:v>2818</x:v>
      </x:c>
      <x:c r="N1360" s="274" t="s">
        <x:v>870</x:v>
      </x:c>
    </x:row>
    <x:row r="1361" spans="1:14">
      <x:c r="A1361" s="274" t="s">
        <x:v>2819</x:v>
      </x:c>
      <x:c r="B1361" s="274" t="n">
        <x:v>1.62</x:v>
      </x:c>
      <x:c r="C1361" s="274" t="n">
        <x:v>0</x:v>
      </x:c>
      <x:c r="D1361" s="274" t="n">
        <x:v>0</x:v>
      </x:c>
      <x:c r="F1361" s="274" t="s">
        <x:v>184</x:v>
      </x:c>
      <x:c r="G1361" s="274" t="s">
        <x:v>129</x:v>
      </x:c>
      <x:c r="H1361" s="274" t="n">
        <x:v>45</x:v>
      </x:c>
      <x:c r="I1361" s="274" t="n">
        <x:v>1</x:v>
      </x:c>
      <x:c r="J1361" s="274" t="n">
        <x:v>168</x:v>
      </x:c>
      <x:c r="K1361" s="274" t="n">
        <x:v>1214</x:v>
      </x:c>
      <x:c r="M1361" s="274" t="s">
        <x:v>2820</x:v>
      </x:c>
      <x:c r="N1361" s="274" t="s">
        <x:v>870</x:v>
      </x:c>
    </x:row>
    <x:row r="1362" spans="1:14">
      <x:c r="A1362" s="274" t="s">
        <x:v>2821</x:v>
      </x:c>
      <x:c r="B1362" s="274" t="n">
        <x:v>2.36</x:v>
      </x:c>
      <x:c r="C1362" s="274" t="n">
        <x:v>0</x:v>
      </x:c>
      <x:c r="D1362" s="274" t="n">
        <x:v>0</x:v>
      </x:c>
      <x:c r="F1362" s="274" t="s">
        <x:v>133</x:v>
      </x:c>
      <x:c r="G1362" s="274" t="s">
        <x:v>144</x:v>
      </x:c>
      <x:c r="H1362" s="274" t="n">
        <x:v>45</x:v>
      </x:c>
      <x:c r="I1362" s="274" t="n">
        <x:v>1.2</x:v>
      </x:c>
      <x:c r="J1362" s="274" t="n">
        <x:v>160</x:v>
      </x:c>
      <x:c r="K1362" s="274" t="n">
        <x:v>1550</x:v>
      </x:c>
      <x:c r="M1362" s="274" t="s">
        <x:v>2822</x:v>
      </x:c>
      <x:c r="N1362" s="274" t="s">
        <x:v>870</x:v>
      </x:c>
    </x:row>
    <x:row r="1363" spans="1:14">
      <x:c r="A1363" s="274" t="s">
        <x:v>2823</x:v>
      </x:c>
      <x:c r="B1363" s="274" t="n">
        <x:v>4.14</x:v>
      </x:c>
      <x:c r="C1363" s="274" t="n">
        <x:v>0</x:v>
      </x:c>
      <x:c r="D1363" s="274" t="n">
        <x:v>0</x:v>
      </x:c>
      <x:c r="F1363" s="274" t="s">
        <x:v>123</x:v>
      </x:c>
      <x:c r="G1363" s="274" t="s">
        <x:v>139</x:v>
      </x:c>
      <x:c r="I1363" s="274" t="n">
        <x:v>3.2</x:v>
      </x:c>
      <x:c r="J1363" s="274" t="n">
        <x:v>132</x:v>
      </x:c>
      <x:c r="K1363" s="274" t="n">
        <x:v>1250</x:v>
      </x:c>
      <x:c r="M1363" s="274" t="s">
        <x:v>2824</x:v>
      </x:c>
      <x:c r="N1363" s="274" t="s">
        <x:v>1233</x:v>
      </x:c>
    </x:row>
    <x:row r="1364" spans="1:14">
      <x:c r="A1364" s="274" t="s">
        <x:v>2825</x:v>
      </x:c>
      <x:c r="B1364" s="274" t="n">
        <x:v>7.51</x:v>
      </x:c>
      <x:c r="C1364" s="274" t="n">
        <x:v>0</x:v>
      </x:c>
      <x:c r="D1364" s="274" t="n">
        <x:v>50</x:v>
      </x:c>
      <x:c r="E1364" s="274" t="n">
        <x:v>0</x:v>
      </x:c>
      <x:c r="F1364" s="274" t="s">
        <x:v>133</x:v>
      </x:c>
      <x:c r="G1364" s="274" t="s">
        <x:v>2826</x:v>
      </x:c>
      <x:c r="I1364" s="274" t="n">
        <x:v>2.9</x:v>
      </x:c>
      <x:c r="J1364" s="274" t="n">
        <x:v>550</x:v>
      </x:c>
      <x:c r="K1364" s="274" t="n">
        <x:v>600</x:v>
      </x:c>
      <x:c r="N1364" s="274" t="s">
        <x:v>2827</x:v>
      </x:c>
    </x:row>
    <x:row r="1365" spans="1:14">
      <x:c r="A1365" s="274" t="s">
        <x:v>2828</x:v>
      </x:c>
      <x:c r="B1365" s="274" t="n">
        <x:v>2.63</x:v>
      </x:c>
      <x:c r="C1365" s="274" t="n">
        <x:v>0</x:v>
      </x:c>
      <x:c r="D1365" s="274" t="n">
        <x:v>0</x:v>
      </x:c>
      <x:c r="F1365" s="274" t="s">
        <x:v>133</x:v>
      </x:c>
      <x:c r="G1365" s="274" t="s">
        <x:v>148</x:v>
      </x:c>
      <x:c r="I1365" s="274" t="n">
        <x:v>3.2</x:v>
      </x:c>
      <x:c r="J1365" s="274" t="n">
        <x:v>88</x:v>
      </x:c>
      <x:c r="K1365" s="274" t="n">
        <x:v>1190</x:v>
      </x:c>
      <x:c r="M1365" s="274" t="s">
        <x:v>2598</x:v>
      </x:c>
      <x:c r="N1365" s="274" t="s">
        <x:v>299</x:v>
      </x:c>
    </x:row>
    <x:row r="1366" spans="1:14">
      <x:c r="A1366" s="274" t="s">
        <x:v>2829</x:v>
      </x:c>
      <x:c r="B1366" s="274" t="n">
        <x:v>2.68</x:v>
      </x:c>
      <x:c r="C1366" s="274" t="n">
        <x:v>0</x:v>
      </x:c>
      <x:c r="D1366" s="274" t="n">
        <x:v>0</x:v>
      </x:c>
      <x:c r="F1366" s="274" t="s">
        <x:v>123</x:v>
      </x:c>
      <x:c r="G1366" s="274" t="s">
        <x:v>209</x:v>
      </x:c>
      <x:c r="I1366" s="274" t="n">
        <x:v>1</x:v>
      </x:c>
      <x:c r="J1366" s="274" t="n">
        <x:v>287</x:v>
      </x:c>
      <x:c r="K1366" s="274" t="n">
        <x:v>1189</x:v>
      </x:c>
      <x:c r="M1366" s="274" t="s">
        <x:v>1314</x:v>
      </x:c>
      <x:c r="N1366" s="274" t="s">
        <x:v>870</x:v>
      </x:c>
    </x:row>
    <x:row r="1367" spans="1:14">
      <x:c r="A1367" s="274" t="s">
        <x:v>2830</x:v>
      </x:c>
      <x:c r="B1367" s="274" t="n">
        <x:v>2.06</x:v>
      </x:c>
      <x:c r="C1367" s="274" t="n">
        <x:v>0</x:v>
      </x:c>
      <x:c r="D1367" s="274" t="n">
        <x:v>22</x:v>
      </x:c>
      <x:c r="E1367" s="274" t="n">
        <x:v>20</x:v>
      </x:c>
      <x:c r="F1367" s="274" t="s">
        <x:v>133</x:v>
      </x:c>
      <x:c r="G1367" s="274" t="s">
        <x:v>136</x:v>
      </x:c>
      <x:c r="H1367" s="274" t="n">
        <x:v>45</x:v>
      </x:c>
      <x:c r="I1367" s="274" t="n">
        <x:v>1.4</x:v>
      </x:c>
      <x:c r="J1367" s="274" t="n">
        <x:v>165</x:v>
      </x:c>
      <x:c r="K1367" s="274" t="n">
        <x:v>1125</x:v>
      </x:c>
      <x:c r="M1367" s="274" t="s">
        <x:v>247</x:v>
      </x:c>
    </x:row>
    <x:row r="1368" spans="1:14">
      <x:c r="A1368" s="274" t="s">
        <x:v>2831</x:v>
      </x:c>
      <x:c r="B1368" s="274" t="n">
        <x:v>2.63</x:v>
      </x:c>
      <x:c r="C1368" s="274" t="n">
        <x:v>0</x:v>
      </x:c>
      <x:c r="D1368" s="274" t="n">
        <x:v>21</x:v>
      </x:c>
      <x:c r="E1368" s="274" t="n">
        <x:v>19</x:v>
      </x:c>
      <x:c r="F1368" s="274" t="s">
        <x:v>133</x:v>
      </x:c>
      <x:c r="G1368" s="274" t="s">
        <x:v>136</x:v>
      </x:c>
      <x:c r="H1368" s="274" t="n">
        <x:v>45</x:v>
      </x:c>
      <x:c r="I1368" s="274" t="n">
        <x:v>2</x:v>
      </x:c>
      <x:c r="J1368" s="274" t="n">
        <x:v>147</x:v>
      </x:c>
      <x:c r="K1368" s="274" t="n">
        <x:v>1135</x:v>
      </x:c>
      <x:c r="M1368" s="274" t="s">
        <x:v>2832</x:v>
      </x:c>
      <x:c r="N1368" s="274" t="s">
        <x:v>131</x:v>
      </x:c>
    </x:row>
    <x:row r="1369" spans="1:14">
      <x:c r="A1369" s="274" t="s">
        <x:v>2833</x:v>
      </x:c>
      <x:c r="B1369" s="274" t="n">
        <x:v>2.24</x:v>
      </x:c>
      <x:c r="C1369" s="274" t="n">
        <x:v>27</x:v>
      </x:c>
      <x:c r="D1369" s="274" t="n">
        <x:v>35</x:v>
      </x:c>
      <x:c r="E1369" s="274" t="n">
        <x:v>33</x:v>
      </x:c>
      <x:c r="F1369" s="274" t="s">
        <x:v>133</x:v>
      </x:c>
      <x:c r="G1369" s="274" t="s">
        <x:v>136</x:v>
      </x:c>
      <x:c r="H1369" s="274" t="n">
        <x:v>45</x:v>
      </x:c>
      <x:c r="I1369" s="274" t="n">
        <x:v>1</x:v>
      </x:c>
      <x:c r="J1369" s="274" t="n">
        <x:v>508</x:v>
      </x:c>
      <x:c r="K1369" s="274" t="n">
        <x:v>556</x:v>
      </x:c>
      <x:c r="M1369" s="274" t="s">
        <x:v>1696</x:v>
      </x:c>
      <x:c r="N1369" s="274" t="s">
        <x:v>131</x:v>
      </x:c>
    </x:row>
    <x:row r="1370" spans="1:14">
      <x:c r="A1370" s="274" t="s">
        <x:v>2834</x:v>
      </x:c>
      <x:c r="B1370" s="274" t="n">
        <x:v>0.25</x:v>
      </x:c>
      <x:c r="C1370" s="274" t="n">
        <x:v>30</x:v>
      </x:c>
      <x:c r="D1370" s="274" t="n">
        <x:v>36</x:v>
      </x:c>
      <x:c r="E1370" s="274" t="n">
        <x:v>33</x:v>
      </x:c>
      <x:c r="F1370" s="274" t="s">
        <x:v>333</x:v>
      </x:c>
      <x:c r="G1370" s="274" t="s">
        <x:v>209</x:v>
      </x:c>
      <x:c r="I1370" s="274" t="n">
        <x:v>1.2</x:v>
      </x:c>
      <x:c r="J1370" s="274" t="n">
        <x:v>120</x:v>
      </x:c>
      <x:c r="K1370" s="274" t="n">
        <x:v>220</x:v>
      </x:c>
      <x:c r="M1370" s="274" t="s">
        <x:v>745</x:v>
      </x:c>
      <x:c r="N1370" s="274" t="s">
        <x:v>131</x:v>
      </x:c>
    </x:row>
    <x:row r="1371" spans="1:14">
      <x:c r="A1371" s="274" t="s">
        <x:v>2835</x:v>
      </x:c>
      <x:c r="B1371" s="274" t="n">
        <x:v>5.16</x:v>
      </x:c>
      <x:c r="C1371" s="274" t="n">
        <x:v>0</x:v>
      </x:c>
      <x:c r="D1371" s="274" t="n">
        <x:v>21</x:v>
      </x:c>
      <x:c r="E1371" s="274" t="n">
        <x:v>19</x:v>
      </x:c>
      <x:c r="F1371" s="274" t="s">
        <x:v>133</x:v>
      </x:c>
      <x:c r="G1371" s="274" t="s">
        <x:v>134</x:v>
      </x:c>
      <x:c r="I1371" s="274" t="n">
        <x:v>2.3</x:v>
      </x:c>
      <x:c r="J1371" s="274" t="n">
        <x:v>238</x:v>
      </x:c>
      <x:c r="K1371" s="274" t="n">
        <x:v>1200</x:v>
      </x:c>
      <x:c r="M1371" s="274" t="s">
        <x:v>2836</x:v>
      </x:c>
      <x:c r="N1371" s="274" t="s">
        <x:v>131</x:v>
      </x:c>
    </x:row>
    <x:row r="1372" spans="1:14">
      <x:c r="A1372" s="274" t="s">
        <x:v>2837</x:v>
      </x:c>
      <x:c r="B1372" s="274" t="n">
        <x:v>6.57</x:v>
      </x:c>
      <x:c r="C1372" s="274" t="n">
        <x:v>0</x:v>
      </x:c>
      <x:c r="D1372" s="274" t="n">
        <x:v>21</x:v>
      </x:c>
      <x:c r="E1372" s="274" t="n">
        <x:v>19</x:v>
      </x:c>
      <x:c r="F1372" s="274" t="s">
        <x:v>133</x:v>
      </x:c>
      <x:c r="G1372" s="274" t="s">
        <x:v>134</x:v>
      </x:c>
      <x:c r="I1372" s="274" t="n">
        <x:v>2.6</x:v>
      </x:c>
      <x:c r="J1372" s="274" t="n">
        <x:v>280</x:v>
      </x:c>
      <x:c r="K1372" s="274" t="n">
        <x:v>1150</x:v>
      </x:c>
      <x:c r="M1372" s="274" t="s">
        <x:v>433</x:v>
      </x:c>
      <x:c r="N1372" s="274" t="s">
        <x:v>155</x:v>
      </x:c>
    </x:row>
    <x:row r="1373" spans="1:14">
      <x:c r="A1373" s="274" t="s">
        <x:v>2838</x:v>
      </x:c>
      <x:c r="B1373" s="274" t="n">
        <x:v>0</x:v>
      </x:c>
      <x:c r="C1373" s="274" t="n">
        <x:v>0</x:v>
      </x:c>
      <x:c r="D1373" s="274" t="n">
        <x:v>0</x:v>
      </x:c>
      <x:c r="F1373" s="274" t="s">
        <x:v>311</x:v>
      </x:c>
      <x:c r="G1373" s="274" t="s">
        <x:v>1728</x:v>
      </x:c>
      <x:c r="H1373" s="274" t="s">
        <x:v>1732</x:v>
      </x:c>
      <x:c r="I1373" s="274" t="n">
        <x:v>0.65</x:v>
      </x:c>
      <x:c r="J1373" s="274" t="n">
        <x:v>250</x:v>
      </x:c>
      <x:c r="K1373" s="274" t="n">
        <x:v>565</x:v>
      </x:c>
      <x:c r="M1373" s="274" t="s">
        <x:v>2839</x:v>
      </x:c>
      <x:c r="N1373" s="274" t="s">
        <x:v>870</x:v>
      </x:c>
    </x:row>
    <x:row r="1374" spans="1:14">
      <x:c r="A1374" s="274" t="s">
        <x:v>2840</x:v>
      </x:c>
      <x:c r="B1374" s="274" t="n">
        <x:v>0</x:v>
      </x:c>
      <x:c r="C1374" s="274" t="n">
        <x:v>0</x:v>
      </x:c>
      <x:c r="D1374" s="274" t="n">
        <x:v>0</x:v>
      </x:c>
      <x:c r="F1374" s="274" t="s">
        <x:v>311</x:v>
      </x:c>
      <x:c r="G1374" s="274" t="s">
        <x:v>1728</x:v>
      </x:c>
      <x:c r="H1374" s="274" t="s">
        <x:v>1729</x:v>
      </x:c>
      <x:c r="I1374" s="274" t="n">
        <x:v>0.65</x:v>
      </x:c>
      <x:c r="J1374" s="274" t="n">
        <x:v>250</x:v>
      </x:c>
      <x:c r="K1374" s="274" t="n">
        <x:v>565</x:v>
      </x:c>
      <x:c r="M1374" s="274" t="s">
        <x:v>2841</x:v>
      </x:c>
      <x:c r="N1374" s="274" t="s">
        <x:v>870</x:v>
      </x:c>
    </x:row>
    <x:row r="1375" spans="1:14">
      <x:c r="A1375" s="274" t="s">
        <x:v>2842</x:v>
      </x:c>
      <x:c r="B1375" s="274" t="n">
        <x:v>0.46</x:v>
      </x:c>
      <x:c r="C1375" s="274" t="n">
        <x:v>0</x:v>
      </x:c>
      <x:c r="D1375" s="274" t="n">
        <x:v>0</x:v>
      </x:c>
      <x:c r="F1375" s="274" t="s">
        <x:v>133</x:v>
      </x:c>
      <x:c r="G1375" s="274" t="s">
        <x:v>136</x:v>
      </x:c>
      <x:c r="H1375" s="274" t="n">
        <x:v>45</x:v>
      </x:c>
      <x:c r="I1375" s="274" t="n">
        <x:v>0.65</x:v>
      </x:c>
      <x:c r="J1375" s="274" t="n">
        <x:v>310</x:v>
      </x:c>
      <x:c r="K1375" s="274" t="n">
        <x:v>285</x:v>
      </x:c>
      <x:c r="M1375" s="274" t="s">
        <x:v>2843</x:v>
      </x:c>
      <x:c r="N1375" s="274" t="s">
        <x:v>787</x:v>
      </x:c>
    </x:row>
    <x:row r="1376" spans="1:14">
      <x:c r="A1376" s="274" t="s">
        <x:v>2844</x:v>
      </x:c>
      <x:c r="B1376" s="274" t="n">
        <x:v>1.02</x:v>
      </x:c>
      <x:c r="C1376" s="274" t="n">
        <x:v>0</x:v>
      </x:c>
      <x:c r="D1376" s="274" t="n">
        <x:v>0</x:v>
      </x:c>
      <x:c r="F1376" s="274" t="s">
        <x:v>133</x:v>
      </x:c>
      <x:c r="G1376" s="274" t="s">
        <x:v>124</x:v>
      </x:c>
      <x:c r="I1376" s="274" t="n">
        <x:v>1.2</x:v>
      </x:c>
      <x:c r="J1376" s="274" t="n">
        <x:v>425</x:v>
      </x:c>
      <x:c r="K1376" s="274" t="n">
        <x:v>254</x:v>
      </x:c>
      <x:c r="M1376" s="274" t="s">
        <x:v>754</x:v>
      </x:c>
      <x:c r="N1376" s="274" t="s">
        <x:v>162</x:v>
      </x:c>
    </x:row>
    <x:row r="1377" spans="1:14">
      <x:c r="A1377" s="274" t="s">
        <x:v>2845</x:v>
      </x:c>
      <x:c r="B1377" s="274" t="n">
        <x:v>6.74</x:v>
      </x:c>
      <x:c r="C1377" s="274" t="n">
        <x:v>0</x:v>
      </x:c>
      <x:c r="D1377" s="274" t="n">
        <x:v>50</x:v>
      </x:c>
      <x:c r="E1377" s="274" t="n">
        <x:v>0</x:v>
      </x:c>
      <x:c r="F1377" s="274" t="s">
        <x:v>133</x:v>
      </x:c>
      <x:c r="G1377" s="274" t="s">
        <x:v>2826</x:v>
      </x:c>
      <x:c r="I1377" s="274" t="n">
        <x:v>2.6</x:v>
      </x:c>
      <x:c r="J1377" s="274" t="n">
        <x:v>550</x:v>
      </x:c>
      <x:c r="K1377" s="274" t="n">
        <x:v>600</x:v>
      </x:c>
    </x:row>
    <x:row r="1378" spans="1:14">
      <x:c r="A1378" s="274" t="s">
        <x:v>2846</x:v>
      </x:c>
      <x:c r="B1378" s="274" t="n">
        <x:v>0.34</x:v>
      </x:c>
      <x:c r="C1378" s="274" t="n">
        <x:v>0</x:v>
      </x:c>
      <x:c r="D1378" s="274" t="n">
        <x:v>0</x:v>
      </x:c>
      <x:c r="F1378" s="274" t="s">
        <x:v>333</x:v>
      </x:c>
      <x:c r="G1378" s="274" t="s">
        <x:v>209</x:v>
      </x:c>
      <x:c r="I1378" s="274" t="n">
        <x:v>0.8</x:v>
      </x:c>
      <x:c r="J1378" s="274" t="n">
        <x:v>120</x:v>
      </x:c>
      <x:c r="K1378" s="274" t="n">
        <x:v>452</x:v>
      </x:c>
      <x:c r="M1378" s="274" t="s">
        <x:v>2847</x:v>
      </x:c>
      <x:c r="N1378" s="274" t="s">
        <x:v>2848</x:v>
      </x:c>
    </x:row>
    <x:row r="1379" spans="1:14">
      <x:c r="A1379" s="274" t="s">
        <x:v>2849</x:v>
      </x:c>
      <x:c r="B1379" s="274" t="n">
        <x:v>1.13</x:v>
      </x:c>
      <x:c r="C1379" s="274" t="n">
        <x:v>0</x:v>
      </x:c>
      <x:c r="D1379" s="274" t="n">
        <x:v>0</x:v>
      </x:c>
      <x:c r="F1379" s="274" t="s">
        <x:v>133</x:v>
      </x:c>
      <x:c r="G1379" s="274" t="s">
        <x:v>134</x:v>
      </x:c>
      <x:c r="I1379" s="274" t="n">
        <x:v>2.9</x:v>
      </x:c>
      <x:c r="J1379" s="274" t="n">
        <x:v>123</x:v>
      </x:c>
      <x:c r="K1379" s="274" t="n">
        <x:v>404</x:v>
      </x:c>
      <x:c r="M1379" s="274" t="s">
        <x:v>2850</x:v>
      </x:c>
      <x:c r="N1379" s="274" t="s">
        <x:v>2851</x:v>
      </x:c>
    </x:row>
    <x:row r="1380" spans="1:14">
      <x:c r="A1380" s="274" t="s">
        <x:v>2852</x:v>
      </x:c>
      <x:c r="B1380" s="274" t="n">
        <x:v>0.45</x:v>
      </x:c>
      <x:c r="C1380" s="274" t="n">
        <x:v>0</x:v>
      </x:c>
      <x:c r="D1380" s="274" t="n">
        <x:v>0</x:v>
      </x:c>
      <x:c r="F1380" s="274" t="s">
        <x:v>133</x:v>
      </x:c>
      <x:c r="G1380" s="274" t="s">
        <x:v>134</x:v>
      </x:c>
      <x:c r="I1380" s="274" t="n">
        <x:v>3.8</x:v>
      </x:c>
      <x:c r="J1380" s="274" t="n">
        <x:v>76</x:v>
      </x:c>
      <x:c r="K1380" s="274" t="n">
        <x:v>200</x:v>
      </x:c>
      <x:c r="M1380" s="274" t="s">
        <x:v>2853</x:v>
      </x:c>
      <x:c r="N1380" s="274" t="s">
        <x:v>2848</x:v>
      </x:c>
    </x:row>
    <x:row r="1381" spans="1:14">
      <x:c r="A1381" s="274" t="s">
        <x:v>2854</x:v>
      </x:c>
      <x:c r="B1381" s="274" t="n">
        <x:v>3.13</x:v>
      </x:c>
      <x:c r="C1381" s="274" t="n">
        <x:v>0</x:v>
      </x:c>
      <x:c r="D1381" s="274" t="n">
        <x:v>20</x:v>
      </x:c>
      <x:c r="E1381" s="274" t="n">
        <x:v>18</x:v>
      </x:c>
      <x:c r="F1381" s="274" t="s">
        <x:v>133</x:v>
      </x:c>
      <x:c r="G1381" s="274" t="s">
        <x:v>209</x:v>
      </x:c>
      <x:c r="I1381" s="274" t="n">
        <x:v>1.2</x:v>
      </x:c>
      <x:c r="J1381" s="274" t="n">
        <x:v>277</x:v>
      </x:c>
      <x:c r="K1381" s="274" t="n">
        <x:v>1200</x:v>
      </x:c>
      <x:c r="M1381" s="274" t="s">
        <x:v>2855</x:v>
      </x:c>
      <x:c r="N1381" s="274" t="s">
        <x:v>131</x:v>
      </x:c>
    </x:row>
    <x:row r="1382" spans="1:14">
      <x:c r="A1382" s="274" t="s">
        <x:v>2856</x:v>
      </x:c>
      <x:c r="B1382" s="274" t="n">
        <x:v>0.68</x:v>
      </x:c>
      <x:c r="C1382" s="274" t="n">
        <x:v>0</x:v>
      </x:c>
      <x:c r="D1382" s="274" t="n">
        <x:v>0</x:v>
      </x:c>
      <x:c r="F1382" s="274" t="s">
        <x:v>333</x:v>
      </x:c>
      <x:c r="G1382" s="274" t="s">
        <x:v>209</x:v>
      </x:c>
      <x:c r="I1382" s="274" t="n">
        <x:v>0.8</x:v>
      </x:c>
      <x:c r="J1382" s="274" t="n">
        <x:v>275</x:v>
      </x:c>
      <x:c r="K1382" s="274" t="n">
        <x:v>393</x:v>
      </x:c>
      <x:c r="M1382" s="274" t="s">
        <x:v>2857</x:v>
      </x:c>
      <x:c r="N1382" s="274" t="s">
        <x:v>126</x:v>
      </x:c>
    </x:row>
    <x:row r="1383" spans="1:14">
      <x:c r="A1383" s="274" t="s">
        <x:v>2858</x:v>
      </x:c>
      <x:c r="B1383" s="274" t="n">
        <x:v>0.67</x:v>
      </x:c>
      <x:c r="C1383" s="274" t="n">
        <x:v>0</x:v>
      </x:c>
      <x:c r="D1383" s="274" t="n">
        <x:v>35</x:v>
      </x:c>
      <x:c r="E1383" s="274" t="n">
        <x:v>33</x:v>
      </x:c>
      <x:c r="F1383" s="274" t="s">
        <x:v>133</x:v>
      </x:c>
      <x:c r="G1383" s="274" t="s">
        <x:v>134</x:v>
      </x:c>
      <x:c r="I1383" s="274" t="n">
        <x:v>2</x:v>
      </x:c>
      <x:c r="J1383" s="274" t="n">
        <x:v>152</x:v>
      </x:c>
      <x:c r="K1383" s="274" t="n">
        <x:v>280</x:v>
      </x:c>
      <x:c r="M1383" s="274" t="s">
        <x:v>2859</x:v>
      </x:c>
      <x:c r="N1383" s="274" t="s">
        <x:v>131</x:v>
      </x:c>
    </x:row>
    <x:row r="1384" spans="1:14">
      <x:c r="A1384" s="274" t="s">
        <x:v>2860</x:v>
      </x:c>
      <x:c r="B1384" s="274" t="n">
        <x:v>9.49</x:v>
      </x:c>
      <x:c r="C1384" s="274" t="n">
        <x:v>0</x:v>
      </x:c>
      <x:c r="D1384" s="274" t="n">
        <x:v>32</x:v>
      </x:c>
      <x:c r="E1384" s="274" t="n">
        <x:v>27</x:v>
      </x:c>
      <x:c r="F1384" s="274" t="s">
        <x:v>184</x:v>
      </x:c>
      <x:c r="G1384" s="274" t="s">
        <x:v>284</x:v>
      </x:c>
      <x:c r="H1384" s="274" t="n">
        <x:v>45</x:v>
      </x:c>
      <x:c r="I1384" s="274" t="n">
        <x:v>0.65</x:v>
      </x:c>
      <x:c r="J1384" s="274" t="n">
        <x:v>1128</x:v>
      </x:c>
      <x:c r="K1384" s="274" t="n">
        <x:v>1620</x:v>
      </x:c>
      <x:c r="M1384" s="274" t="s">
        <x:v>2861</x:v>
      </x:c>
      <x:c r="N1384" s="274" t="s">
        <x:v>155</x:v>
      </x:c>
    </x:row>
    <x:row r="1385" spans="1:14">
      <x:c r="A1385" s="274" t="s">
        <x:v>2862</x:v>
      </x:c>
      <x:c r="B1385" s="274" t="n">
        <x:v>3.52</x:v>
      </x:c>
      <x:c r="C1385" s="274" t="n">
        <x:v>0</x:v>
      </x:c>
      <x:c r="D1385" s="274" t="n">
        <x:v>32</x:v>
      </x:c>
      <x:c r="E1385" s="274" t="n">
        <x:v>40</x:v>
      </x:c>
      <x:c r="F1385" s="274" t="s">
        <x:v>333</x:v>
      </x:c>
      <x:c r="G1385" s="274" t="s">
        <x:v>124</x:v>
      </x:c>
      <x:c r="I1385" s="274" t="n">
        <x:v>1</x:v>
      </x:c>
      <x:c r="J1385" s="274" t="n">
        <x:v>700</x:v>
      </x:c>
      <x:c r="K1385" s="274" t="n">
        <x:v>640</x:v>
      </x:c>
      <x:c r="M1385" s="274" t="s">
        <x:v>2863</x:v>
      </x:c>
      <x:c r="N1385" s="274" t="s">
        <x:v>155</x:v>
      </x:c>
    </x:row>
    <x:row r="1386" spans="1:14">
      <x:c r="A1386" s="274" t="s">
        <x:v>2864</x:v>
      </x:c>
      <x:c r="B1386" s="274" t="n">
        <x:v>11.91</x:v>
      </x:c>
      <x:c r="C1386" s="274" t="n">
        <x:v>38</x:v>
      </x:c>
      <x:c r="D1386" s="274" t="n">
        <x:v>38</x:v>
      </x:c>
      <x:c r="E1386" s="274" t="n">
        <x:v>0</x:v>
      </x:c>
      <x:c r="F1386" s="274" t="s">
        <x:v>184</x:v>
      </x:c>
      <x:c r="G1386" s="274" t="s">
        <x:v>284</x:v>
      </x:c>
      <x:c r="H1386" s="274" t="n">
        <x:v>45</x:v>
      </x:c>
      <x:c r="I1386" s="274" t="n">
        <x:v>0.65</x:v>
      </x:c>
      <x:c r="J1386" s="274" t="n">
        <x:v>1560</x:v>
      </x:c>
      <x:c r="K1386" s="274" t="n">
        <x:v>1470</x:v>
      </x:c>
      <x:c r="M1386" s="274" t="s">
        <x:v>2865</x:v>
      </x:c>
      <x:c r="N1386" s="274" t="s">
        <x:v>155</x:v>
      </x:c>
    </x:row>
    <x:row r="1387" spans="1:14">
      <x:c r="A1387" s="274" t="s">
        <x:v>2866</x:v>
      </x:c>
      <x:c r="B1387" s="274" t="n">
        <x:v>0.9</x:v>
      </x:c>
      <x:c r="C1387" s="274" t="n">
        <x:v>0</x:v>
      </x:c>
      <x:c r="D1387" s="274" t="n">
        <x:v>0</x:v>
      </x:c>
      <x:c r="F1387" s="274" t="s">
        <x:v>123</x:v>
      </x:c>
      <x:c r="G1387" s="274" t="s">
        <x:v>153</x:v>
      </x:c>
      <x:c r="I1387" s="274" t="n">
        <x:v>0.75</x:v>
      </x:c>
      <x:c r="J1387" s="274" t="n">
        <x:v>512</x:v>
      </x:c>
      <x:c r="K1387" s="274" t="n">
        <x:v>300</x:v>
      </x:c>
      <x:c r="M1387" s="274" t="s">
        <x:v>2867</x:v>
      </x:c>
      <x:c r="N1387" s="274" t="s">
        <x:v>155</x:v>
      </x:c>
    </x:row>
    <x:row r="1388" spans="1:14">
      <x:c r="A1388" s="274" t="s">
        <x:v>2868</x:v>
      </x:c>
      <x:c r="B1388" s="274" t="n">
        <x:v>1.25</x:v>
      </x:c>
      <x:c r="C1388" s="274" t="n">
        <x:v>0</x:v>
      </x:c>
      <x:c r="D1388" s="274" t="n">
        <x:v>36</x:v>
      </x:c>
      <x:c r="E1388" s="274" t="n">
        <x:v>0</x:v>
      </x:c>
      <x:c r="F1388" s="274" t="s">
        <x:v>133</x:v>
      </x:c>
      <x:c r="G1388" s="274" t="s">
        <x:v>136</x:v>
      </x:c>
      <x:c r="H1388" s="274" t="n">
        <x:v>45</x:v>
      </x:c>
      <x:c r="I1388" s="274" t="n">
        <x:v>0.6</x:v>
      </x:c>
      <x:c r="J1388" s="274" t="n">
        <x:v>432</x:v>
      </x:c>
      <x:c r="K1388" s="274" t="n">
        <x:v>752</x:v>
      </x:c>
      <x:c r="L1388" s="274" t="n">
        <x:v>450</x:v>
      </x:c>
      <x:c r="M1388" s="274" t="s">
        <x:v>628</x:v>
      </x:c>
      <x:c r="N1388" s="274" t="s">
        <x:v>299</x:v>
      </x:c>
    </x:row>
    <x:row r="1389" spans="1:14">
      <x:c r="A1389" s="274" t="s">
        <x:v>2869</x:v>
      </x:c>
      <x:c r="B1389" s="274" t="n">
        <x:v>2.38</x:v>
      </x:c>
      <x:c r="C1389" s="274" t="n">
        <x:v>50</x:v>
      </x:c>
      <x:c r="D1389" s="274" t="n">
        <x:v>45</x:v>
      </x:c>
      <x:c r="E1389" s="274" t="n">
        <x:v>0</x:v>
      </x:c>
      <x:c r="F1389" s="274" t="s">
        <x:v>333</x:v>
      </x:c>
      <x:c r="G1389" s="274" t="s">
        <x:v>153</x:v>
      </x:c>
      <x:c r="I1389" s="274" t="n">
        <x:v>0.9</x:v>
      </x:c>
      <x:c r="J1389" s="274" t="n">
        <x:v>990</x:v>
      </x:c>
      <x:c r="K1389" s="274" t="n">
        <x:v>340</x:v>
      </x:c>
      <x:c r="M1389" s="274" t="s">
        <x:v>2870</x:v>
      </x:c>
      <x:c r="N1389" s="274" t="s">
        <x:v>155</x:v>
      </x:c>
    </x:row>
    <x:row r="1390" spans="1:14">
      <x:c r="A1390" s="274" t="s">
        <x:v>2871</x:v>
      </x:c>
      <x:c r="B1390" s="274" t="n">
        <x:v>9.76</x:v>
      </x:c>
      <x:c r="C1390" s="274" t="n">
        <x:v>0</x:v>
      </x:c>
      <x:c r="D1390" s="274" t="n">
        <x:v>0</x:v>
      </x:c>
      <x:c r="E1390" s="274" t="n">
        <x:v>0</x:v>
      </x:c>
      <x:c r="F1390" s="274" t="s">
        <x:v>184</x:v>
      </x:c>
      <x:c r="G1390" s="274" t="s">
        <x:v>878</x:v>
      </x:c>
      <x:c r="H1390" s="274" t="s">
        <x:v>285</x:v>
      </x:c>
      <x:c r="I1390" s="274" t="n">
        <x:v>0.65</x:v>
      </x:c>
      <x:c r="J1390" s="274" t="n">
        <x:v>1085</x:v>
      </x:c>
      <x:c r="K1390" s="274" t="n">
        <x:v>1924.3</x:v>
      </x:c>
      <x:c r="L1390" s="274" t="n">
        <x:v>1541.7</x:v>
      </x:c>
      <x:c r="M1390" s="274" t="s">
        <x:v>2872</x:v>
      </x:c>
      <x:c r="N1390" s="274" t="s">
        <x:v>155</x:v>
      </x:c>
    </x:row>
    <x:row r="1391" spans="1:14">
      <x:c r="A1391" s="274" t="s">
        <x:v>2873</x:v>
      </x:c>
      <x:c r="B1391" s="274" t="n">
        <x:v>4.21</x:v>
      </x:c>
      <x:c r="C1391" s="274" t="n">
        <x:v>0</x:v>
      </x:c>
      <x:c r="D1391" s="274" t="n">
        <x:v>36</x:v>
      </x:c>
      <x:c r="E1391" s="274" t="n">
        <x:v>0</x:v>
      </x:c>
      <x:c r="F1391" s="274" t="s">
        <x:v>333</x:v>
      </x:c>
      <x:c r="G1391" s="274" t="s">
        <x:v>153</x:v>
      </x:c>
      <x:c r="I1391" s="274" t="n">
        <x:v>0.7</x:v>
      </x:c>
      <x:c r="J1391" s="274" t="n">
        <x:v>855</x:v>
      </x:c>
      <x:c r="K1391" s="274" t="n">
        <x:v>1032.4</x:v>
      </x:c>
      <x:c r="L1391" s="274" t="n">
        <x:v>761.6</x:v>
      </x:c>
      <x:c r="M1391" s="274" t="s">
        <x:v>2874</x:v>
      </x:c>
      <x:c r="N1391" s="274" t="s">
        <x:v>155</x:v>
      </x:c>
    </x:row>
    <x:row r="1392" spans="1:14">
      <x:c r="A1392" s="274" t="s">
        <x:v>2875</x:v>
      </x:c>
      <x:c r="B1392" s="274" t="n">
        <x:v>9.65</x:v>
      </x:c>
      <x:c r="C1392" s="274" t="n">
        <x:v>22</x:v>
      </x:c>
      <x:c r="D1392" s="274" t="n">
        <x:v>35</x:v>
      </x:c>
      <x:c r="E1392" s="274" t="n">
        <x:v>0</x:v>
      </x:c>
      <x:c r="F1392" s="274" t="s">
        <x:v>123</x:v>
      </x:c>
      <x:c r="G1392" s="274" t="s">
        <x:v>906</x:v>
      </x:c>
      <x:c r="H1392" s="274" t="s">
        <x:v>907</x:v>
      </x:c>
      <x:c r="I1392" s="274" t="n">
        <x:v>0.65</x:v>
      </x:c>
      <x:c r="J1392" s="274" t="n">
        <x:v>956</x:v>
      </x:c>
      <x:c r="K1392" s="274" t="n">
        <x:v>2028.7</x:v>
      </x:c>
      <x:c r="L1392" s="274" t="n">
        <x:v>1861.4</x:v>
      </x:c>
      <x:c r="M1392" s="274" t="s">
        <x:v>2876</x:v>
      </x:c>
      <x:c r="N1392" s="274" t="s">
        <x:v>155</x:v>
      </x:c>
    </x:row>
    <x:row r="1393" spans="1:14">
      <x:c r="A1393" s="274" t="s">
        <x:v>2877</x:v>
      </x:c>
      <x:c r="B1393" s="274" t="n">
        <x:v>7.95</x:v>
      </x:c>
      <x:c r="C1393" s="274" t="n">
        <x:v>0</x:v>
      </x:c>
      <x:c r="D1393" s="274" t="n">
        <x:v>32</x:v>
      </x:c>
      <x:c r="E1393" s="274" t="n">
        <x:v>28</x:v>
      </x:c>
      <x:c r="F1393" s="274" t="s">
        <x:v>133</x:v>
      </x:c>
      <x:c r="G1393" s="274" t="s">
        <x:v>136</x:v>
      </x:c>
      <x:c r="H1393" s="274" t="n">
        <x:v>45</x:v>
      </x:c>
      <x:c r="I1393" s="274" t="n">
        <x:v>0.7</x:v>
      </x:c>
      <x:c r="J1393" s="274" t="n">
        <x:v>907</x:v>
      </x:c>
      <x:c r="K1393" s="274" t="n">
        <x:v>1570</x:v>
      </x:c>
      <x:c r="M1393" s="274" t="s">
        <x:v>2878</x:v>
      </x:c>
      <x:c r="N1393" s="274" t="s">
        <x:v>131</x:v>
      </x:c>
    </x:row>
    <x:row r="1394" spans="1:14">
      <x:c r="A1394" s="274" t="s">
        <x:v>2879</x:v>
      </x:c>
      <x:c r="B1394" s="274" t="n">
        <x:v>11.01</x:v>
      </x:c>
      <x:c r="C1394" s="274" t="n">
        <x:v>34</x:v>
      </x:c>
      <x:c r="D1394" s="274" t="n">
        <x:v>34</x:v>
      </x:c>
      <x:c r="E1394" s="274" t="n">
        <x:v>0</x:v>
      </x:c>
      <x:c r="F1394" s="274" t="s">
        <x:v>123</x:v>
      </x:c>
      <x:c r="G1394" s="274" t="s">
        <x:v>284</x:v>
      </x:c>
      <x:c r="H1394" s="274" t="s">
        <x:v>907</x:v>
      </x:c>
      <x:c r="I1394" s="274" t="n">
        <x:v>0.65</x:v>
      </x:c>
      <x:c r="J1394" s="274" t="n">
        <x:v>1305</x:v>
      </x:c>
      <x:c r="K1394" s="274" t="n">
        <x:v>1625</x:v>
      </x:c>
      <x:c r="M1394" s="274" t="s">
        <x:v>2880</x:v>
      </x:c>
      <x:c r="N1394" s="274" t="s">
        <x:v>155</x:v>
      </x:c>
    </x:row>
    <x:row r="1395" spans="1:14">
      <x:c r="A1395" s="274" t="s">
        <x:v>2881</x:v>
      </x:c>
      <x:c r="B1395" s="274" t="n">
        <x:v>9.73</x:v>
      </x:c>
      <x:c r="C1395" s="274" t="n">
        <x:v>25</x:v>
      </x:c>
      <x:c r="D1395" s="274" t="n">
        <x:v>30</x:v>
      </x:c>
      <x:c r="E1395" s="274" t="n">
        <x:v>0</x:v>
      </x:c>
      <x:c r="F1395" s="274" t="s">
        <x:v>123</x:v>
      </x:c>
      <x:c r="G1395" s="274" t="s">
        <x:v>906</x:v>
      </x:c>
      <x:c r="H1395" s="274" t="s">
        <x:v>907</x:v>
      </x:c>
      <x:c r="I1395" s="274" t="n">
        <x:v>0.65</x:v>
      </x:c>
      <x:c r="J1395" s="274" t="n">
        <x:v>1335</x:v>
      </x:c>
      <x:c r="K1395" s="274" t="n">
        <x:v>1654.5</x:v>
      </x:c>
      <x:c r="L1395" s="274" t="n">
        <x:v>1153.6</x:v>
      </x:c>
      <x:c r="M1395" s="274" t="s">
        <x:v>2882</x:v>
      </x:c>
      <x:c r="N1395" s="274" t="s">
        <x:v>299</x:v>
      </x:c>
    </x:row>
    <x:row r="1396" spans="1:14">
      <x:c r="A1396" s="274" t="s">
        <x:v>2883</x:v>
      </x:c>
      <x:c r="B1396" s="274" t="n">
        <x:v>9.73</x:v>
      </x:c>
      <x:c r="C1396" s="274" t="n">
        <x:v>25</x:v>
      </x:c>
      <x:c r="D1396" s="274" t="n">
        <x:v>30</x:v>
      </x:c>
      <x:c r="E1396" s="274" t="n">
        <x:v>0</x:v>
      </x:c>
      <x:c r="F1396" s="274" t="s">
        <x:v>123</x:v>
      </x:c>
      <x:c r="G1396" s="274" t="s">
        <x:v>906</x:v>
      </x:c>
      <x:c r="H1396" s="274" t="s">
        <x:v>907</x:v>
      </x:c>
      <x:c r="I1396" s="274" t="n">
        <x:v>0.65</x:v>
      </x:c>
      <x:c r="J1396" s="274" t="n">
        <x:v>1335</x:v>
      </x:c>
      <x:c r="K1396" s="274" t="n">
        <x:v>1654.5</x:v>
      </x:c>
      <x:c r="L1396" s="274" t="n">
        <x:v>1153.6</x:v>
      </x:c>
      <x:c r="M1396" s="274" t="s">
        <x:v>2884</x:v>
      </x:c>
    </x:row>
    <x:row r="1397" spans="1:14">
      <x:c r="A1397" s="274" t="s">
        <x:v>2885</x:v>
      </x:c>
      <x:c r="B1397" s="274" t="n">
        <x:v>0.63</x:v>
      </x:c>
      <x:c r="C1397" s="274" t="n">
        <x:v>0</x:v>
      </x:c>
      <x:c r="D1397" s="274" t="n">
        <x:v>0</x:v>
      </x:c>
      <x:c r="F1397" s="274" t="s">
        <x:v>333</x:v>
      </x:c>
      <x:c r="G1397" s="274" t="s">
        <x:v>153</x:v>
      </x:c>
      <x:c r="I1397" s="274" t="n">
        <x:v>1</x:v>
      </x:c>
      <x:c r="J1397" s="274" t="n">
        <x:v>64</x:v>
      </x:c>
      <x:c r="K1397" s="274" t="n">
        <x:v>1250</x:v>
      </x:c>
      <x:c r="M1397" s="274" t="s">
        <x:v>2886</x:v>
      </x:c>
      <x:c r="N1397" s="274" t="s">
        <x:v>2887</x:v>
      </x:c>
    </x:row>
    <x:row r="1398" spans="1:14">
      <x:c r="A1398" s="274" t="s">
        <x:v>2888</x:v>
      </x:c>
      <x:c r="B1398" s="274" t="n">
        <x:v>3.47</x:v>
      </x:c>
      <x:c r="C1398" s="274" t="n">
        <x:v>0</x:v>
      </x:c>
      <x:c r="D1398" s="274" t="n">
        <x:v>35</x:v>
      </x:c>
      <x:c r="E1398" s="274" t="n">
        <x:v>33</x:v>
      </x:c>
      <x:c r="F1398" s="274" t="s">
        <x:v>133</x:v>
      </x:c>
      <x:c r="G1398" s="274" t="s">
        <x:v>144</x:v>
      </x:c>
      <x:c r="H1398" s="274" t="n">
        <x:v>45</x:v>
      </x:c>
      <x:c r="I1398" s="274" t="n">
        <x:v>2</x:v>
      </x:c>
      <x:c r="J1398" s="274" t="n">
        <x:v>558</x:v>
      </x:c>
      <x:c r="K1398" s="274" t="n">
        <x:v>394</x:v>
      </x:c>
      <x:c r="M1398" s="274" t="s">
        <x:v>1928</x:v>
      </x:c>
      <x:c r="N1398" s="274" t="s">
        <x:v>870</x:v>
      </x:c>
    </x:row>
    <x:row r="1399" spans="1:14">
      <x:c r="A1399" s="274" t="s">
        <x:v>2889</x:v>
      </x:c>
      <x:c r="B1399" s="274" t="n">
        <x:v>0.83</x:v>
      </x:c>
      <x:c r="C1399" s="274" t="n">
        <x:v>0</x:v>
      </x:c>
      <x:c r="D1399" s="274" t="n">
        <x:v>0</x:v>
      </x:c>
      <x:c r="F1399" s="274" t="s">
        <x:v>184</x:v>
      </x:c>
      <x:c r="G1399" s="274" t="s">
        <x:v>129</x:v>
      </x:c>
      <x:c r="H1399" s="274" t="n">
        <x:v>45</x:v>
      </x:c>
      <x:c r="I1399" s="274" t="n">
        <x:v>1.6</x:v>
      </x:c>
      <x:c r="J1399" s="274" t="n">
        <x:v>150</x:v>
      </x:c>
      <x:c r="K1399" s="274" t="n">
        <x:v>440</x:v>
      </x:c>
      <x:c r="M1399" s="274" t="s">
        <x:v>2138</x:v>
      </x:c>
      <x:c r="N1399" s="274" t="s">
        <x:v>870</x:v>
      </x:c>
    </x:row>
    <x:row r="1400" spans="1:14">
      <x:c r="A1400" s="274" t="s">
        <x:v>2890</x:v>
      </x:c>
      <x:c r="B1400" s="274" t="n">
        <x:v>2.4</x:v>
      </x:c>
      <x:c r="C1400" s="274" t="n">
        <x:v>0</x:v>
      </x:c>
      <x:c r="D1400" s="274" t="n">
        <x:v>42</x:v>
      </x:c>
      <x:c r="E1400" s="274" t="n">
        <x:v>0</x:v>
      </x:c>
      <x:c r="F1400" s="274" t="s">
        <x:v>133</x:v>
      </x:c>
      <x:c r="G1400" s="274" t="s">
        <x:v>2475</x:v>
      </x:c>
      <x:c r="I1400" s="274" t="n">
        <x:v>0.8</x:v>
      </x:c>
      <x:c r="J1400" s="274" t="n">
        <x:v>740</x:v>
      </x:c>
      <x:c r="K1400" s="274" t="n">
        <x:v>668</x:v>
      </x:c>
      <x:c r="L1400" s="274" t="n">
        <x:v>375</x:v>
      </x:c>
      <x:c r="M1400" s="274" t="s">
        <x:v>2891</x:v>
      </x:c>
      <x:c r="N1400" s="274" t="s">
        <x:v>2892</x:v>
      </x:c>
    </x:row>
    <x:row r="1401" spans="1:14">
      <x:c r="A1401" s="274" t="s">
        <x:v>2893</x:v>
      </x:c>
      <x:c r="B1401" s="274" t="n">
        <x:v>9.29</x:v>
      </x:c>
      <x:c r="C1401" s="274" t="n">
        <x:v>0</x:v>
      </x:c>
      <x:c r="D1401" s="274" t="n">
        <x:v>0</x:v>
      </x:c>
      <x:c r="E1401" s="274" t="n">
        <x:v>0</x:v>
      </x:c>
      <x:c r="F1401" s="274" t="s">
        <x:v>184</x:v>
      </x:c>
      <x:c r="G1401" s="274" t="s">
        <x:v>284</x:v>
      </x:c>
      <x:c r="H1401" s="274" t="s">
        <x:v>285</x:v>
      </x:c>
      <x:c r="I1401" s="274" t="n">
        <x:v>0.75</x:v>
      </x:c>
      <x:c r="J1401" s="274" t="n">
        <x:v>1205</x:v>
      </x:c>
      <x:c r="K1401" s="274" t="n">
        <x:v>1457</x:v>
      </x:c>
      <x:c r="L1401" s="274" t="n">
        <x:v>1123</x:v>
      </x:c>
      <x:c r="M1401" s="274" t="s">
        <x:v>2894</x:v>
      </x:c>
      <x:c r="N1401" s="274" t="s">
        <x:v>299</x:v>
      </x:c>
    </x:row>
    <x:row r="1402" spans="1:14">
      <x:c r="A1402" s="274" t="s">
        <x:v>2895</x:v>
      </x:c>
      <x:c r="B1402" s="274" t="n">
        <x:v>9.29</x:v>
      </x:c>
      <x:c r="C1402" s="274" t="n">
        <x:v>0</x:v>
      </x:c>
      <x:c r="D1402" s="274" t="n">
        <x:v>0</x:v>
      </x:c>
      <x:c r="E1402" s="274" t="n">
        <x:v>0</x:v>
      </x:c>
      <x:c r="F1402" s="274" t="s">
        <x:v>184</x:v>
      </x:c>
      <x:c r="G1402" s="274" t="s">
        <x:v>284</x:v>
      </x:c>
      <x:c r="H1402" s="274" t="s">
        <x:v>285</x:v>
      </x:c>
      <x:c r="I1402" s="274" t="n">
        <x:v>0.75</x:v>
      </x:c>
      <x:c r="J1402" s="274" t="n">
        <x:v>1205</x:v>
      </x:c>
      <x:c r="K1402" s="274" t="n">
        <x:v>1457</x:v>
      </x:c>
      <x:c r="L1402" s="274" t="n">
        <x:v>1123</x:v>
      </x:c>
      <x:c r="M1402" s="274" t="s">
        <x:v>2896</x:v>
      </x:c>
      <x:c r="N1402" s="274" t="s">
        <x:v>299</x:v>
      </x:c>
    </x:row>
    <x:row r="1403" spans="1:14">
      <x:c r="A1403" s="274" t="s">
        <x:v>2897</x:v>
      </x:c>
      <x:c r="B1403" s="274" t="n">
        <x:v>8.88</x:v>
      </x:c>
      <x:c r="C1403" s="274" t="n">
        <x:v>25</x:v>
      </x:c>
      <x:c r="D1403" s="274" t="n">
        <x:v>30</x:v>
      </x:c>
      <x:c r="E1403" s="274" t="n">
        <x:v>0</x:v>
      </x:c>
      <x:c r="F1403" s="274" t="s">
        <x:v>133</x:v>
      </x:c>
      <x:c r="G1403" s="274" t="s">
        <x:v>136</x:v>
      </x:c>
      <x:c r="H1403" s="274" t="n">
        <x:v>45</x:v>
      </x:c>
      <x:c r="I1403" s="274" t="n">
        <x:v>0.6</x:v>
      </x:c>
      <x:c r="J1403" s="274" t="n">
        <x:v>1085</x:v>
      </x:c>
      <x:c r="K1403" s="274" t="n">
        <x:v>1996.7</x:v>
      </x:c>
      <x:c r="L1403" s="274" t="n">
        <x:v>1415.3</x:v>
      </x:c>
      <x:c r="M1403" s="274" t="s">
        <x:v>2898</x:v>
      </x:c>
      <x:c r="N1403" s="274" t="s">
        <x:v>155</x:v>
      </x:c>
    </x:row>
    <x:row r="1404" spans="1:14">
      <x:c r="A1404" s="274" t="s">
        <x:v>2899</x:v>
      </x:c>
      <x:c r="B1404" s="274" t="n">
        <x:v>9.9</x:v>
      </x:c>
      <x:c r="C1404" s="274" t="n">
        <x:v>22</x:v>
      </x:c>
      <x:c r="D1404" s="274" t="n">
        <x:v>22</x:v>
      </x:c>
      <x:c r="E1404" s="274" t="n">
        <x:v>0</x:v>
      </x:c>
      <x:c r="F1404" s="274" t="s">
        <x:v>123</x:v>
      </x:c>
      <x:c r="G1404" s="274" t="s">
        <x:v>906</x:v>
      </x:c>
      <x:c r="H1404" s="274" t="s">
        <x:v>907</x:v>
      </x:c>
      <x:c r="I1404" s="274" t="n">
        <x:v>0.65</x:v>
      </x:c>
      <x:c r="J1404" s="274" t="n">
        <x:v>1020</x:v>
      </x:c>
      <x:c r="K1404" s="274" t="n">
        <x:v>2458.8</x:v>
      </x:c>
      <x:c r="L1404" s="274" t="n">
        <x:v>1281.1</x:v>
      </x:c>
      <x:c r="M1404" s="274" t="s">
        <x:v>2900</x:v>
      </x:c>
      <x:c r="N1404" s="274" t="s">
        <x:v>155</x:v>
      </x:c>
    </x:row>
    <x:row r="1405" spans="1:14">
      <x:c r="A1405" s="274" t="s">
        <x:v>2901</x:v>
      </x:c>
      <x:c r="B1405" s="274" t="n">
        <x:v>1.04</x:v>
      </x:c>
      <x:c r="C1405" s="274" t="n">
        <x:v>0</x:v>
      </x:c>
      <x:c r="D1405" s="274" t="n">
        <x:v>35</x:v>
      </x:c>
      <x:c r="E1405" s="274" t="n">
        <x:v>33</x:v>
      </x:c>
      <x:c r="F1405" s="274" t="s">
        <x:v>333</x:v>
      </x:c>
      <x:c r="G1405" s="274" t="s">
        <x:v>2468</x:v>
      </x:c>
      <x:c r="I1405" s="274" t="n">
        <x:v>0.8</x:v>
      </x:c>
      <x:c r="J1405" s="274" t="n">
        <x:v>598</x:v>
      </x:c>
      <x:c r="K1405" s="274" t="n">
        <x:v>276</x:v>
      </x:c>
      <x:c r="M1405" s="274" t="s">
        <x:v>2187</x:v>
      </x:c>
      <x:c r="N1405" s="274" t="s">
        <x:v>2902</x:v>
      </x:c>
    </x:row>
    <x:row r="1406" spans="1:14">
      <x:c r="A1406" s="274" t="s">
        <x:v>2903</x:v>
      </x:c>
      <x:c r="B1406" s="274" t="n">
        <x:v>2.38</x:v>
      </x:c>
      <x:c r="C1406" s="274" t="n">
        <x:v>0</x:v>
      </x:c>
      <x:c r="D1406" s="274" t="n">
        <x:v>42</x:v>
      </x:c>
      <x:c r="E1406" s="274" t="n">
        <x:v>0</x:v>
      </x:c>
      <x:c r="F1406" s="274" t="s">
        <x:v>133</x:v>
      </x:c>
      <x:c r="G1406" s="274" t="s">
        <x:v>2475</x:v>
      </x:c>
      <x:c r="I1406" s="274" t="n">
        <x:v>0.8</x:v>
      </x:c>
      <x:c r="J1406" s="274" t="n">
        <x:v>740</x:v>
      </x:c>
      <x:c r="K1406" s="274" t="n">
        <x:v>668</x:v>
      </x:c>
      <x:c r="L1406" s="274" t="n">
        <x:v>375</x:v>
      </x:c>
      <x:c r="M1406" s="274" t="s">
        <x:v>2891</x:v>
      </x:c>
      <x:c r="N1406" s="274" t="s">
        <x:v>2892</x:v>
      </x:c>
    </x:row>
    <x:row r="1407" spans="1:14">
      <x:c r="A1407" s="274" t="s">
        <x:v>2904</x:v>
      </x:c>
      <x:c r="B1407" s="274" t="n">
        <x:v>4.69</x:v>
      </x:c>
      <x:c r="C1407" s="274" t="n">
        <x:v>0</x:v>
      </x:c>
      <x:c r="D1407" s="274" t="n">
        <x:v>0</x:v>
      </x:c>
      <x:c r="F1407" s="274" t="s">
        <x:v>123</x:v>
      </x:c>
      <x:c r="G1407" s="274" t="s">
        <x:v>124</x:v>
      </x:c>
      <x:c r="I1407" s="274" t="n">
        <x:v>1.2</x:v>
      </x:c>
      <x:c r="J1407" s="274" t="n">
        <x:v>405</x:v>
      </x:c>
      <x:c r="K1407" s="274" t="n">
        <x:v>1230</x:v>
      </x:c>
      <x:c r="M1407" s="274" t="s">
        <x:v>2905</x:v>
      </x:c>
      <x:c r="N1407" s="274" t="s">
        <x:v>870</x:v>
      </x:c>
    </x:row>
    <x:row r="1408" spans="1:14">
      <x:c r="A1408" s="274" t="s">
        <x:v>2906</x:v>
      </x:c>
      <x:c r="B1408" s="274" t="n">
        <x:v>3.6</x:v>
      </x:c>
      <x:c r="C1408" s="274" t="n">
        <x:v>0</x:v>
      </x:c>
      <x:c r="D1408" s="274" t="n">
        <x:v>0</x:v>
      </x:c>
      <x:c r="F1408" s="274" t="s">
        <x:v>123</x:v>
      </x:c>
      <x:c r="G1408" s="274" t="s">
        <x:v>153</x:v>
      </x:c>
      <x:c r="I1408" s="274" t="n">
        <x:v>1.2</x:v>
      </x:c>
      <x:c r="J1408" s="274" t="n">
        <x:v>500</x:v>
      </x:c>
      <x:c r="K1408" s="274" t="n">
        <x:v>765</x:v>
      </x:c>
      <x:c r="M1408" s="274" t="s">
        <x:v>2907</x:v>
      </x:c>
      <x:c r="N1408" s="274" t="s">
        <x:v>372</x:v>
      </x:c>
    </x:row>
    <x:row r="1409" spans="1:14">
      <x:c r="A1409" s="274" t="s">
        <x:v>2908</x:v>
      </x:c>
      <x:c r="B1409" s="274" t="n">
        <x:v>3.18</x:v>
      </x:c>
      <x:c r="C1409" s="274" t="n">
        <x:v>0</x:v>
      </x:c>
      <x:c r="D1409" s="274" t="n">
        <x:v>0</x:v>
      </x:c>
      <x:c r="F1409" s="274" t="s">
        <x:v>123</x:v>
      </x:c>
      <x:c r="G1409" s="274" t="s">
        <x:v>153</x:v>
      </x:c>
      <x:c r="I1409" s="274" t="n">
        <x:v>1.2</x:v>
      </x:c>
      <x:c r="J1409" s="274" t="n">
        <x:v>500</x:v>
      </x:c>
      <x:c r="K1409" s="274" t="n">
        <x:v>675</x:v>
      </x:c>
      <x:c r="M1409" s="274" t="s">
        <x:v>2909</x:v>
      </x:c>
      <x:c r="N1409" s="274" t="s">
        <x:v>787</x:v>
      </x:c>
    </x:row>
    <x:row r="1410" spans="1:14">
      <x:c r="A1410" s="274" t="s">
        <x:v>2910</x:v>
      </x:c>
      <x:c r="B1410" s="274" t="n">
        <x:v>1.58</x:v>
      </x:c>
      <x:c r="C1410" s="274" t="n">
        <x:v>0</x:v>
      </x:c>
      <x:c r="D1410" s="274" t="n">
        <x:v>0</x:v>
      </x:c>
      <x:c r="F1410" s="274" t="s">
        <x:v>123</x:v>
      </x:c>
      <x:c r="G1410" s="274" t="s">
        <x:v>153</x:v>
      </x:c>
      <x:c r="I1410" s="274" t="n">
        <x:v>1.6</x:v>
      </x:c>
      <x:c r="J1410" s="274" t="n">
        <x:v>270</x:v>
      </x:c>
      <x:c r="K1410" s="274" t="n">
        <x:v>465</x:v>
      </x:c>
      <x:c r="M1410" s="274" t="s">
        <x:v>2911</x:v>
      </x:c>
      <x:c r="N1410" s="274" t="s">
        <x:v>1274</x:v>
      </x:c>
    </x:row>
    <x:row r="1411" spans="1:14">
      <x:c r="A1411" s="274" t="s">
        <x:v>2912</x:v>
      </x:c>
      <x:c r="B1411" s="274" t="n">
        <x:v>0.7</x:v>
      </x:c>
      <x:c r="C1411" s="274" t="n">
        <x:v>0</x:v>
      </x:c>
      <x:c r="D1411" s="274" t="n">
        <x:v>0</x:v>
      </x:c>
      <x:c r="F1411" s="274" t="s">
        <x:v>123</x:v>
      </x:c>
      <x:c r="G1411" s="274" t="s">
        <x:v>153</x:v>
      </x:c>
      <x:c r="I1411" s="274" t="n">
        <x:v>1</x:v>
      </x:c>
      <x:c r="J1411" s="274" t="n">
        <x:v>180</x:v>
      </x:c>
      <x:c r="K1411" s="274" t="n">
        <x:v>498</x:v>
      </x:c>
      <x:c r="M1411" s="274" t="s">
        <x:v>2524</x:v>
      </x:c>
      <x:c r="N1411" s="274" t="s">
        <x:v>1274</x:v>
      </x:c>
    </x:row>
    <x:row r="1412" spans="1:14">
      <x:c r="A1412" s="274" t="s">
        <x:v>2913</x:v>
      </x:c>
      <x:c r="B1412" s="274" t="n">
        <x:v>1.72</x:v>
      </x:c>
      <x:c r="C1412" s="274" t="n">
        <x:v>0</x:v>
      </x:c>
      <x:c r="D1412" s="274" t="n">
        <x:v>0</x:v>
      </x:c>
      <x:c r="F1412" s="274" t="s">
        <x:v>123</x:v>
      </x:c>
      <x:c r="G1412" s="274" t="s">
        <x:v>124</x:v>
      </x:c>
      <x:c r="I1412" s="274" t="n">
        <x:v>0.7</x:v>
      </x:c>
      <x:c r="J1412" s="274" t="n">
        <x:v>295</x:v>
      </x:c>
      <x:c r="K1412" s="274" t="n">
        <x:v>1060</x:v>
      </x:c>
      <x:c r="M1412" s="274" t="s">
        <x:v>2914</x:v>
      </x:c>
      <x:c r="N1412" s="274" t="s">
        <x:v>787</x:v>
      </x:c>
    </x:row>
    <x:row r="1413" spans="1:14">
      <x:c r="A1413" s="274" t="s">
        <x:v>2915</x:v>
      </x:c>
      <x:c r="B1413" s="274" t="n">
        <x:v>3.07</x:v>
      </x:c>
      <x:c r="C1413" s="274" t="n">
        <x:v>0</x:v>
      </x:c>
      <x:c r="D1413" s="274" t="n">
        <x:v>0</x:v>
      </x:c>
      <x:c r="F1413" s="274" t="s">
        <x:v>184</x:v>
      </x:c>
      <x:c r="G1413" s="274" t="s">
        <x:v>144</x:v>
      </x:c>
      <x:c r="H1413" s="274" t="n">
        <x:v>45</x:v>
      </x:c>
      <x:c r="I1413" s="274" t="n">
        <x:v>2.3</x:v>
      </x:c>
      <x:c r="J1413" s="274" t="n">
        <x:v>345</x:v>
      </x:c>
      <x:c r="K1413" s="274" t="n">
        <x:v>490</x:v>
      </x:c>
      <x:c r="M1413" s="274" t="s">
        <x:v>2916</x:v>
      </x:c>
      <x:c r="N1413" s="274" t="s">
        <x:v>870</x:v>
      </x:c>
    </x:row>
    <x:row r="1414" spans="1:14">
      <x:c r="A1414" s="274" t="s">
        <x:v>2917</x:v>
      </x:c>
      <x:c r="B1414" s="274" t="n">
        <x:v>0.96</x:v>
      </x:c>
      <x:c r="C1414" s="274" t="n">
        <x:v>0</x:v>
      </x:c>
      <x:c r="D1414" s="274" t="n">
        <x:v>0</x:v>
      </x:c>
      <x:c r="F1414" s="274" t="s">
        <x:v>184</x:v>
      </x:c>
      <x:c r="G1414" s="274" t="s">
        <x:v>129</x:v>
      </x:c>
      <x:c r="H1414" s="274" t="n">
        <x:v>45</x:v>
      </x:c>
      <x:c r="I1414" s="274" t="n">
        <x:v>1.2</x:v>
      </x:c>
      <x:c r="J1414" s="274" t="n">
        <x:v>188</x:v>
      </x:c>
      <x:c r="K1414" s="274" t="n">
        <x:v>535</x:v>
      </x:c>
      <x:c r="M1414" s="274" t="s">
        <x:v>2918</x:v>
      </x:c>
      <x:c r="N1414" s="274" t="s">
        <x:v>1220</x:v>
      </x:c>
    </x:row>
    <x:row r="1415" spans="1:14">
      <x:c r="A1415" s="274" t="s">
        <x:v>2919</x:v>
      </x:c>
      <x:c r="B1415" s="274" t="n">
        <x:v>3.76</x:v>
      </x:c>
      <x:c r="C1415" s="274" t="n">
        <x:v>0</x:v>
      </x:c>
      <x:c r="D1415" s="274" t="n">
        <x:v>20</x:v>
      </x:c>
      <x:c r="E1415" s="274" t="n">
        <x:v>18</x:v>
      </x:c>
      <x:c r="F1415" s="274" t="s">
        <x:v>133</x:v>
      </x:c>
      <x:c r="G1415" s="274" t="s">
        <x:v>136</x:v>
      </x:c>
      <x:c r="H1415" s="274" t="n">
        <x:v>45</x:v>
      </x:c>
      <x:c r="I1415" s="274" t="n">
        <x:v>1.8</x:v>
      </x:c>
      <x:c r="J1415" s="274" t="n">
        <x:v>214</x:v>
      </x:c>
      <x:c r="K1415" s="274" t="n">
        <x:v>1235</x:v>
      </x:c>
      <x:c r="M1415" s="274" t="s">
        <x:v>2920</x:v>
      </x:c>
      <x:c r="N1415" s="274" t="s">
        <x:v>155</x:v>
      </x:c>
    </x:row>
    <x:row r="1416" spans="1:14">
      <x:c r="A1416" s="274" t="s">
        <x:v>2921</x:v>
      </x:c>
      <x:c r="B1416" s="274" t="n">
        <x:v>10.84</x:v>
      </x:c>
      <x:c r="C1416" s="274" t="n">
        <x:v>38</x:v>
      </x:c>
      <x:c r="D1416" s="274" t="n">
        <x:v>38</x:v>
      </x:c>
      <x:c r="E1416" s="274" t="n">
        <x:v>0</x:v>
      </x:c>
      <x:c r="F1416" s="274" t="s">
        <x:v>184</x:v>
      </x:c>
      <x:c r="G1416" s="274" t="s">
        <x:v>136</x:v>
      </x:c>
      <x:c r="H1416" s="274" t="n">
        <x:v>45</x:v>
      </x:c>
      <x:c r="I1416" s="274" t="n">
        <x:v>0.65</x:v>
      </x:c>
      <x:c r="J1416" s="274" t="n">
        <x:v>1425</x:v>
      </x:c>
      <x:c r="K1416" s="274" t="n">
        <x:v>1436.5</x:v>
      </x:c>
      <x:c r="L1416" s="274" t="n">
        <x:v>1492.5</x:v>
      </x:c>
      <x:c r="M1416" s="274" t="s">
        <x:v>2922</x:v>
      </x:c>
      <x:c r="N1416" s="274" t="s">
        <x:v>480</x:v>
      </x:c>
    </x:row>
    <x:row r="1417" spans="1:14">
      <x:c r="A1417" s="274" t="s">
        <x:v>2923</x:v>
      </x:c>
      <x:c r="B1417" s="274" t="n">
        <x:v>1.84</x:v>
      </x:c>
      <x:c r="C1417" s="274" t="n">
        <x:v>0</x:v>
      </x:c>
      <x:c r="D1417" s="274" t="n">
        <x:v>0</x:v>
      </x:c>
      <x:c r="F1417" s="274" t="s">
        <x:v>123</x:v>
      </x:c>
      <x:c r="G1417" s="274" t="s">
        <x:v>153</x:v>
      </x:c>
      <x:c r="I1417" s="274" t="n">
        <x:v>0.75</x:v>
      </x:c>
      <x:c r="J1417" s="274" t="n">
        <x:v>315</x:v>
      </x:c>
      <x:c r="K1417" s="274" t="n">
        <x:v>990</x:v>
      </x:c>
      <x:c r="M1417" s="274" t="s">
        <x:v>2924</x:v>
      </x:c>
      <x:c r="N1417" s="274" t="s">
        <x:v>162</x:v>
      </x:c>
    </x:row>
    <x:row r="1418" spans="1:14">
      <x:c r="A1418" s="274" t="s">
        <x:v>2925</x:v>
      </x:c>
      <x:c r="B1418" s="274" t="n">
        <x:v>0.98</x:v>
      </x:c>
      <x:c r="C1418" s="274" t="n">
        <x:v>0</x:v>
      </x:c>
      <x:c r="D1418" s="274" t="n">
        <x:v>0</x:v>
      </x:c>
      <x:c r="F1418" s="274" t="s">
        <x:v>123</x:v>
      </x:c>
      <x:c r="G1418" s="274" t="s">
        <x:v>153</x:v>
      </x:c>
      <x:c r="I1418" s="274" t="n">
        <x:v>1</x:v>
      </x:c>
      <x:c r="J1418" s="274" t="n">
        <x:v>260</x:v>
      </x:c>
      <x:c r="K1418" s="274" t="n">
        <x:v>480</x:v>
      </x:c>
      <x:c r="M1418" s="274" t="s">
        <x:v>2926</x:v>
      </x:c>
    </x:row>
    <x:row r="1419" spans="1:14">
      <x:c r="A1419" s="274" t="s">
        <x:v>2927</x:v>
      </x:c>
      <x:c r="B1419" s="274" t="n">
        <x:v>0.22</x:v>
      </x:c>
      <x:c r="C1419" s="274" t="n">
        <x:v>0</x:v>
      </x:c>
      <x:c r="D1419" s="274" t="n">
        <x:v>0</x:v>
      </x:c>
      <x:c r="F1419" s="274" t="s">
        <x:v>133</x:v>
      </x:c>
      <x:c r="G1419" s="274" t="s">
        <x:v>136</x:v>
      </x:c>
      <x:c r="H1419" s="274" t="n">
        <x:v>45</x:v>
      </x:c>
      <x:c r="I1419" s="274" t="n">
        <x:v>1.6</x:v>
      </x:c>
      <x:c r="J1419" s="274" t="n">
        <x:v>90</x:v>
      </x:c>
      <x:c r="K1419" s="274" t="n">
        <x:v>195</x:v>
      </x:c>
      <x:c r="M1419" s="274" t="s">
        <x:v>2928</x:v>
      </x:c>
      <x:c r="N1419" s="274" t="s">
        <x:v>2929</x:v>
      </x:c>
    </x:row>
    <x:row r="1420" spans="1:14">
      <x:c r="A1420" s="274" t="s">
        <x:v>2930</x:v>
      </x:c>
      <x:c r="B1420" s="274" t="n">
        <x:v>0.5</x:v>
      </x:c>
      <x:c r="C1420" s="274" t="n">
        <x:v>0</x:v>
      </x:c>
      <x:c r="D1420" s="274" t="n">
        <x:v>0</x:v>
      </x:c>
      <x:c r="F1420" s="274" t="s">
        <x:v>123</x:v>
      </x:c>
      <x:c r="G1420" s="274" t="s">
        <x:v>124</x:v>
      </x:c>
      <x:c r="I1420" s="274" t="n">
        <x:v>0.8</x:v>
      </x:c>
      <x:c r="J1420" s="274" t="n">
        <x:v>268</x:v>
      </x:c>
      <x:c r="K1420" s="274" t="n">
        <x:v>300</x:v>
      </x:c>
      <x:c r="M1420" s="274" t="s">
        <x:v>1142</x:v>
      </x:c>
      <x:c r="N1420" s="274" t="s">
        <x:v>1274</x:v>
      </x:c>
    </x:row>
    <x:row r="1421" spans="1:14">
      <x:c r="A1421" s="274" t="s">
        <x:v>2931</x:v>
      </x:c>
      <x:c r="B1421" s="274" t="n">
        <x:v>1.07</x:v>
      </x:c>
      <x:c r="C1421" s="274" t="n">
        <x:v>0</x:v>
      </x:c>
      <x:c r="D1421" s="274" t="n">
        <x:v>0</x:v>
      </x:c>
      <x:c r="F1421" s="274" t="s">
        <x:v>123</x:v>
      </x:c>
      <x:c r="G1421" s="274" t="s">
        <x:v>153</x:v>
      </x:c>
      <x:c r="I1421" s="274" t="n">
        <x:v>1</x:v>
      </x:c>
      <x:c r="J1421" s="274" t="n">
        <x:v>355</x:v>
      </x:c>
      <x:c r="K1421" s="274" t="n">
        <x:v>385</x:v>
      </x:c>
      <x:c r="M1421" s="274" t="s">
        <x:v>2561</x:v>
      </x:c>
      <x:c r="N1421" s="274" t="s">
        <x:v>1274</x:v>
      </x:c>
    </x:row>
    <x:row r="1422" spans="1:14">
      <x:c r="A1422" s="274" t="s">
        <x:v>2932</x:v>
      </x:c>
      <x:c r="B1422" s="274" t="n">
        <x:v>0.73</x:v>
      </x:c>
      <x:c r="C1422" s="274" t="n">
        <x:v>0</x:v>
      </x:c>
      <x:c r="D1422" s="274" t="n">
        <x:v>0</x:v>
      </x:c>
      <x:c r="F1422" s="274" t="s">
        <x:v>133</x:v>
      </x:c>
      <x:c r="G1422" s="274" t="s">
        <x:v>136</x:v>
      </x:c>
      <x:c r="H1422" s="274" t="n">
        <x:v>45</x:v>
      </x:c>
      <x:c r="I1422" s="274" t="n">
        <x:v>0.6</x:v>
      </x:c>
      <x:c r="J1422" s="274" t="n">
        <x:v>210</x:v>
      </x:c>
      <x:c r="K1422" s="274" t="n">
        <x:v>725</x:v>
      </x:c>
      <x:c r="M1422" s="274" t="s">
        <x:v>2933</x:v>
      </x:c>
      <x:c r="N1422" s="274" t="s">
        <x:v>1274</x:v>
      </x:c>
    </x:row>
    <x:row r="1423" spans="1:14">
      <x:c r="A1423" s="274" t="s">
        <x:v>2934</x:v>
      </x:c>
      <x:c r="B1423" s="274" t="n">
        <x:v>27.84</x:v>
      </x:c>
      <x:c r="C1423" s="274" t="n">
        <x:v>0</x:v>
      </x:c>
      <x:c r="D1423" s="274" t="n">
        <x:v>0</x:v>
      </x:c>
      <x:c r="F1423" s="274" t="s">
        <x:v>133</x:v>
      </x:c>
      <x:c r="G1423" s="274" t="s">
        <x:v>148</x:v>
      </x:c>
      <x:c r="I1423" s="274" t="n">
        <x:v>4.5</x:v>
      </x:c>
      <x:c r="J1423" s="274" t="n">
        <x:v>1180</x:v>
      </x:c>
      <x:c r="K1423" s="274" t="n">
        <x:v>668</x:v>
      </x:c>
    </x:row>
    <x:row r="1424" spans="1:14">
      <x:c r="A1424" s="274" t="s">
        <x:v>2935</x:v>
      </x:c>
      <x:c r="B1424" s="274" t="n">
        <x:v>0.39</x:v>
      </x:c>
      <x:c r="C1424" s="274" t="n">
        <x:v>0</x:v>
      </x:c>
      <x:c r="D1424" s="274" t="n">
        <x:v>0</x:v>
      </x:c>
      <x:c r="F1424" s="274" t="s">
        <x:v>333</x:v>
      </x:c>
      <x:c r="G1424" s="274" t="s">
        <x:v>153</x:v>
      </x:c>
      <x:c r="I1424" s="274" t="n">
        <x:v>1.6</x:v>
      </x:c>
      <x:c r="J1424" s="274" t="n">
        <x:v>285</x:v>
      </x:c>
      <x:c r="K1424" s="274" t="n">
        <x:v>110</x:v>
      </x:c>
      <x:c r="M1424" s="274" t="s">
        <x:v>2239</x:v>
      </x:c>
      <x:c r="N1424" s="274" t="s">
        <x:v>131</x:v>
      </x:c>
    </x:row>
    <x:row r="1425" spans="1:14">
      <x:c r="A1425" s="274" t="s">
        <x:v>2936</x:v>
      </x:c>
      <x:c r="B1425" s="274" t="n">
        <x:v>3.2</x:v>
      </x:c>
      <x:c r="C1425" s="274" t="n">
        <x:v>0</x:v>
      </x:c>
      <x:c r="D1425" s="274" t="n">
        <x:v>0</x:v>
      </x:c>
      <x:c r="F1425" s="274" t="s">
        <x:v>133</x:v>
      </x:c>
      <x:c r="G1425" s="274" t="s">
        <x:v>134</x:v>
      </x:c>
      <x:c r="I1425" s="274" t="n">
        <x:v>2</x:v>
      </x:c>
      <x:c r="J1425" s="274" t="n">
        <x:v>181</x:v>
      </x:c>
      <x:c r="K1425" s="274" t="n">
        <x:v>1125</x:v>
      </x:c>
      <x:c r="M1425" s="274" t="s">
        <x:v>1958</x:v>
      </x:c>
      <x:c r="N1425" s="274" t="s">
        <x:v>229</x:v>
      </x:c>
    </x:row>
    <x:row r="1426" spans="1:14">
      <x:c r="A1426" s="274" t="s">
        <x:v>2937</x:v>
      </x:c>
      <x:c r="B1426" s="274" t="n">
        <x:v>2.19</x:v>
      </x:c>
      <x:c r="C1426" s="274" t="n">
        <x:v>0</x:v>
      </x:c>
      <x:c r="D1426" s="274" t="n">
        <x:v>0</x:v>
      </x:c>
      <x:c r="F1426" s="274" t="s">
        <x:v>133</x:v>
      </x:c>
      <x:c r="G1426" s="274" t="s">
        <x:v>136</x:v>
      </x:c>
      <x:c r="H1426" s="274" t="n">
        <x:v>45</x:v>
      </x:c>
      <x:c r="I1426" s="274" t="n">
        <x:v>1.6</x:v>
      </x:c>
      <x:c r="J1426" s="274" t="n">
        <x:v>276</x:v>
      </x:c>
      <x:c r="K1426" s="274" t="n">
        <x:v>626</x:v>
      </x:c>
      <x:c r="M1426" s="274" t="s">
        <x:v>2325</x:v>
      </x:c>
      <x:c r="N1426" s="274" t="s">
        <x:v>131</x:v>
      </x:c>
    </x:row>
    <x:row r="1427" spans="1:14">
      <x:c r="A1427" s="274" t="s">
        <x:v>2938</x:v>
      </x:c>
      <x:c r="B1427" s="274" t="n">
        <x:v>0.67</x:v>
      </x:c>
      <x:c r="C1427" s="274" t="n">
        <x:v>0</x:v>
      </x:c>
      <x:c r="D1427" s="274" t="n">
        <x:v>0</x:v>
      </x:c>
      <x:c r="F1427" s="274" t="s">
        <x:v>123</x:v>
      </x:c>
      <x:c r="G1427" s="274" t="s">
        <x:v>209</x:v>
      </x:c>
      <x:c r="I1427" s="274" t="n">
        <x:v>1.2</x:v>
      </x:c>
      <x:c r="J1427" s="274" t="n">
        <x:v>199</x:v>
      </x:c>
      <x:c r="K1427" s="274" t="n">
        <x:v>360</x:v>
      </x:c>
      <x:c r="M1427" s="274" t="s">
        <x:v>2939</x:v>
      </x:c>
      <x:c r="N1427" s="274" t="s">
        <x:v>162</x:v>
      </x:c>
    </x:row>
    <x:row r="1428" spans="1:14">
      <x:c r="A1428" s="274" t="s">
        <x:v>2940</x:v>
      </x:c>
      <x:c r="B1428" s="274" t="n">
        <x:v>12.87</x:v>
      </x:c>
      <x:c r="C1428" s="274" t="n">
        <x:v>0</x:v>
      </x:c>
      <x:c r="D1428" s="274" t="n">
        <x:v>0</x:v>
      </x:c>
      <x:c r="E1428" s="274" t="n">
        <x:v>0</x:v>
      </x:c>
      <x:c r="F1428" s="274" t="s">
        <x:v>184</x:v>
      </x:c>
      <x:c r="G1428" s="274" t="s">
        <x:v>284</x:v>
      </x:c>
      <x:c r="H1428" s="274" t="s">
        <x:v>285</x:v>
      </x:c>
      <x:c r="I1428" s="274" t="n">
        <x:v>0.7</x:v>
      </x:c>
      <x:c r="J1428" s="274" t="n">
        <x:v>1423</x:v>
      </x:c>
      <x:c r="K1428" s="274" t="n">
        <x:v>1694.5</x:v>
      </x:c>
      <x:c r="L1428" s="274" t="n">
        <x:v>1545.6</x:v>
      </x:c>
      <x:c r="M1428" s="274" t="s">
        <x:v>2941</x:v>
      </x:c>
      <x:c r="N1428" s="274" t="s">
        <x:v>155</x:v>
      </x:c>
    </x:row>
    <x:row r="1429" spans="1:14">
      <x:c r="A1429" s="274" t="s">
        <x:v>2942</x:v>
      </x:c>
      <x:c r="B1429" s="274" t="n">
        <x:v>10.97</x:v>
      </x:c>
      <x:c r="C1429" s="274" t="n">
        <x:v>0</x:v>
      </x:c>
      <x:c r="D1429" s="274" t="n">
        <x:v>0</x:v>
      </x:c>
      <x:c r="E1429" s="274" t="n">
        <x:v>0</x:v>
      </x:c>
      <x:c r="F1429" s="274" t="s">
        <x:v>184</x:v>
      </x:c>
      <x:c r="G1429" s="274" t="s">
        <x:v>284</x:v>
      </x:c>
      <x:c r="H1429" s="274" t="n">
        <x:v>45</x:v>
      </x:c>
      <x:c r="I1429" s="274" t="n">
        <x:v>0.6</x:v>
      </x:c>
      <x:c r="J1429" s="274" t="n">
        <x:v>1360</x:v>
      </x:c>
      <x:c r="K1429" s="274" t="n">
        <x:v>1800</x:v>
      </x:c>
      <x:c r="L1429" s="274" t="n">
        <x:v>1562.1</x:v>
      </x:c>
      <x:c r="M1429" s="274" t="s">
        <x:v>2943</x:v>
      </x:c>
      <x:c r="N1429" s="274" t="s">
        <x:v>299</x:v>
      </x:c>
    </x:row>
    <x:row r="1430" spans="1:14">
      <x:c r="A1430" s="274" t="s">
        <x:v>2944</x:v>
      </x:c>
      <x:c r="B1430" s="274" t="n">
        <x:v>0.34</x:v>
      </x:c>
      <x:c r="C1430" s="274" t="n">
        <x:v>0</x:v>
      </x:c>
      <x:c r="D1430" s="274" t="n">
        <x:v>0</x:v>
      </x:c>
      <x:c r="F1430" s="274" t="s">
        <x:v>123</x:v>
      </x:c>
      <x:c r="G1430" s="274" t="s">
        <x:v>209</x:v>
      </x:c>
      <x:c r="I1430" s="274" t="n">
        <x:v>1.2</x:v>
      </x:c>
      <x:c r="J1430" s="274" t="n">
        <x:v>250</x:v>
      </x:c>
      <x:c r="K1430" s="274" t="n">
        <x:v>145</x:v>
      </x:c>
      <x:c r="M1430" s="274" t="s">
        <x:v>2945</x:v>
      </x:c>
      <x:c r="N1430" s="274" t="s">
        <x:v>162</x:v>
      </x:c>
    </x:row>
    <x:row r="1431" spans="1:14">
      <x:c r="A1431" s="274" t="s">
        <x:v>2946</x:v>
      </x:c>
      <x:c r="B1431" s="274" t="n">
        <x:v>0.99</x:v>
      </x:c>
      <x:c r="C1431" s="274" t="n">
        <x:v>0</x:v>
      </x:c>
      <x:c r="D1431" s="274" t="n">
        <x:v>0</x:v>
      </x:c>
      <x:c r="F1431" s="274" t="s">
        <x:v>128</x:v>
      </x:c>
      <x:c r="G1431" s="274" t="s">
        <x:v>496</x:v>
      </x:c>
      <x:c r="H1431" s="274" t="n">
        <x:v>45</x:v>
      </x:c>
      <x:c r="I1431" s="274" t="n">
        <x:v>2.6</x:v>
      </x:c>
      <x:c r="J1431" s="274" t="n">
        <x:v>130</x:v>
      </x:c>
      <x:c r="K1431" s="274" t="n">
        <x:v>370</x:v>
      </x:c>
      <x:c r="M1431" s="274" t="s">
        <x:v>2947</x:v>
      </x:c>
      <x:c r="N1431" s="274" t="s">
        <x:v>162</x:v>
      </x:c>
    </x:row>
    <x:row r="1432" spans="1:14">
      <x:c r="A1432" s="274" t="s">
        <x:v>2948</x:v>
      </x:c>
      <x:c r="B1432" s="274" t="n">
        <x:v>0.23</x:v>
      </x:c>
      <x:c r="C1432" s="274" t="n">
        <x:v>0</x:v>
      </x:c>
      <x:c r="D1432" s="274" t="n">
        <x:v>0</x:v>
      </x:c>
      <x:c r="F1432" s="274" t="s">
        <x:v>133</x:v>
      </x:c>
      <x:c r="G1432" s="274" t="s">
        <x:v>136</x:v>
      </x:c>
      <x:c r="H1432" s="274" t="n">
        <x:v>45</x:v>
      </x:c>
      <x:c r="I1432" s="274" t="n">
        <x:v>1.2</x:v>
      </x:c>
      <x:c r="J1432" s="274" t="n">
        <x:v>115</x:v>
      </x:c>
      <x:c r="K1432" s="274" t="n">
        <x:v>210</x:v>
      </x:c>
      <x:c r="M1432" s="274" t="s">
        <x:v>2949</x:v>
      </x:c>
      <x:c r="N1432" s="274" t="s">
        <x:v>162</x:v>
      </x:c>
    </x:row>
    <x:row r="1433" spans="1:14">
      <x:c r="A1433" s="274" t="s">
        <x:v>2950</x:v>
      </x:c>
      <x:c r="B1433" s="274" t="n">
        <x:v>0.74</x:v>
      </x:c>
      <x:c r="C1433" s="274" t="n">
        <x:v>0</x:v>
      </x:c>
      <x:c r="D1433" s="274" t="n">
        <x:v>0</x:v>
      </x:c>
      <x:c r="F1433" s="274" t="s">
        <x:v>133</x:v>
      </x:c>
      <x:c r="G1433" s="274" t="s">
        <x:v>148</x:v>
      </x:c>
      <x:c r="I1433" s="274" t="n">
        <x:v>2.3</x:v>
      </x:c>
      <x:c r="J1433" s="274" t="n">
        <x:v>110</x:v>
      </x:c>
      <x:c r="K1433" s="274" t="n">
        <x:v>375</x:v>
      </x:c>
      <x:c r="M1433" s="274" t="s">
        <x:v>2951</x:v>
      </x:c>
      <x:c r="N1433" s="274" t="s">
        <x:v>162</x:v>
      </x:c>
    </x:row>
    <x:row r="1434" spans="1:14">
      <x:c r="A1434" s="274" t="s">
        <x:v>2952</x:v>
      </x:c>
      <x:c r="B1434" s="274" t="n">
        <x:v>0.33</x:v>
      </x:c>
      <x:c r="C1434" s="274" t="n">
        <x:v>0</x:v>
      </x:c>
      <x:c r="D1434" s="274" t="n">
        <x:v>0</x:v>
      </x:c>
      <x:c r="F1434" s="274" t="s">
        <x:v>133</x:v>
      </x:c>
      <x:c r="G1434" s="274" t="s">
        <x:v>134</x:v>
      </x:c>
      <x:c r="I1434" s="274" t="n">
        <x:v>2.3</x:v>
      </x:c>
      <x:c r="J1434" s="274" t="n">
        <x:v>130</x:v>
      </x:c>
      <x:c r="K1434" s="274" t="n">
        <x:v>140</x:v>
      </x:c>
      <x:c r="M1434" s="274" t="s">
        <x:v>254</x:v>
      </x:c>
      <x:c r="N1434" s="274" t="s">
        <x:v>162</x:v>
      </x:c>
    </x:row>
    <x:row r="1435" spans="1:14">
      <x:c r="A1435" s="274" t="s">
        <x:v>2953</x:v>
      </x:c>
      <x:c r="B1435" s="274" t="n">
        <x:v>2.2</x:v>
      </x:c>
      <x:c r="C1435" s="274" t="n">
        <x:v>0</x:v>
      </x:c>
      <x:c r="D1435" s="274" t="n">
        <x:v>0</x:v>
      </x:c>
      <x:c r="F1435" s="274" t="s">
        <x:v>133</x:v>
      </x:c>
      <x:c r="G1435" s="274" t="s">
        <x:v>148</x:v>
      </x:c>
      <x:c r="I1435" s="274" t="n">
        <x:v>2.3</x:v>
      </x:c>
      <x:c r="J1435" s="274" t="n">
        <x:v>170</x:v>
      </x:c>
      <x:c r="K1435" s="274" t="n">
        <x:v>715</x:v>
      </x:c>
      <x:c r="M1435" s="274" t="s">
        <x:v>2551</x:v>
      </x:c>
      <x:c r="N1435" s="274" t="s">
        <x:v>162</x:v>
      </x:c>
    </x:row>
    <x:row r="1436" spans="1:14">
      <x:c r="A1436" s="274" t="s">
        <x:v>2954</x:v>
      </x:c>
      <x:c r="B1436" s="274" t="n">
        <x:v>2.29</x:v>
      </x:c>
      <x:c r="C1436" s="274" t="n">
        <x:v>0</x:v>
      </x:c>
      <x:c r="D1436" s="274" t="n">
        <x:v>0</x:v>
      </x:c>
      <x:c r="F1436" s="274" t="s">
        <x:v>133</x:v>
      </x:c>
      <x:c r="G1436" s="274" t="s">
        <x:v>148</x:v>
      </x:c>
      <x:c r="I1436" s="274" t="n">
        <x:v>2.3</x:v>
      </x:c>
      <x:c r="J1436" s="274" t="n">
        <x:v>180</x:v>
      </x:c>
      <x:c r="K1436" s="274" t="n">
        <x:v>705</x:v>
      </x:c>
      <x:c r="M1436" s="274" t="s">
        <x:v>2559</x:v>
      </x:c>
      <x:c r="N1436" s="274" t="s">
        <x:v>162</x:v>
      </x:c>
    </x:row>
    <x:row r="1437" spans="1:14">
      <x:c r="A1437" s="274" t="s">
        <x:v>2955</x:v>
      </x:c>
      <x:c r="B1437" s="274" t="n">
        <x:v>0.24</x:v>
      </x:c>
      <x:c r="C1437" s="274" t="n">
        <x:v>0</x:v>
      </x:c>
      <x:c r="D1437" s="274" t="n">
        <x:v>0</x:v>
      </x:c>
      <x:c r="F1437" s="274" t="s">
        <x:v>133</x:v>
      </x:c>
      <x:c r="G1437" s="274" t="s">
        <x:v>136</x:v>
      </x:c>
      <x:c r="H1437" s="274" t="n">
        <x:v>45</x:v>
      </x:c>
      <x:c r="I1437" s="274" t="n">
        <x:v>1</x:v>
      </x:c>
      <x:c r="J1437" s="274" t="n">
        <x:v>195</x:v>
      </x:c>
      <x:c r="K1437" s="274" t="n">
        <x:v>157</x:v>
      </x:c>
      <x:c r="M1437" s="274" t="s">
        <x:v>2485</x:v>
      </x:c>
      <x:c r="N1437" s="274" t="s">
        <x:v>162</x:v>
      </x:c>
    </x:row>
    <x:row r="1438" spans="1:14">
      <x:c r="A1438" s="274" t="s">
        <x:v>2956</x:v>
      </x:c>
      <x:c r="B1438" s="274" t="n">
        <x:v>0.24</x:v>
      </x:c>
      <x:c r="C1438" s="274" t="n">
        <x:v>35</x:v>
      </x:c>
      <x:c r="D1438" s="274" t="n">
        <x:v>35</x:v>
      </x:c>
      <x:c r="E1438" s="274" t="n">
        <x:v>33</x:v>
      </x:c>
      <x:c r="F1438" s="274" t="s">
        <x:v>123</x:v>
      </x:c>
      <x:c r="G1438" s="274" t="s">
        <x:v>153</x:v>
      </x:c>
      <x:c r="I1438" s="274" t="n">
        <x:v>1</x:v>
      </x:c>
      <x:c r="J1438" s="274" t="n">
        <x:v>170</x:v>
      </x:c>
      <x:c r="K1438" s="274" t="n">
        <x:v>180</x:v>
      </x:c>
      <x:c r="M1438" s="274" t="s">
        <x:v>2957</x:v>
      </x:c>
      <x:c r="N1438" s="274" t="s">
        <x:v>202</x:v>
      </x:c>
    </x:row>
    <x:row r="1439" spans="1:14">
      <x:c r="A1439" s="274" t="s">
        <x:v>2958</x:v>
      </x:c>
      <x:c r="B1439" s="274" t="n">
        <x:v>0.29</x:v>
      </x:c>
      <x:c r="C1439" s="274" t="n">
        <x:v>0</x:v>
      </x:c>
      <x:c r="D1439" s="274" t="n">
        <x:v>0</x:v>
      </x:c>
      <x:c r="F1439" s="274" t="s">
        <x:v>123</x:v>
      </x:c>
      <x:c r="G1439" s="274" t="s">
        <x:v>209</x:v>
      </x:c>
      <x:c r="I1439" s="274" t="n">
        <x:v>1</x:v>
      </x:c>
      <x:c r="J1439" s="274" t="n">
        <x:v>138</x:v>
      </x:c>
      <x:c r="K1439" s="274" t="n">
        <x:v>270</x:v>
      </x:c>
      <x:c r="M1439" s="274" t="s">
        <x:v>2521</x:v>
      </x:c>
      <x:c r="N1439" s="274" t="s">
        <x:v>1233</x:v>
      </x:c>
    </x:row>
    <x:row r="1440" spans="1:14">
      <x:c r="A1440" s="274" t="s">
        <x:v>2959</x:v>
      </x:c>
      <x:c r="B1440" s="274" t="n">
        <x:v>0.13</x:v>
      </x:c>
      <x:c r="C1440" s="274" t="n">
        <x:v>0</x:v>
      </x:c>
      <x:c r="D1440" s="274" t="n">
        <x:v>0</x:v>
      </x:c>
      <x:c r="F1440" s="274" t="s">
        <x:v>123</x:v>
      </x:c>
      <x:c r="G1440" s="274" t="s">
        <x:v>209</x:v>
      </x:c>
      <x:c r="I1440" s="274" t="n">
        <x:v>1</x:v>
      </x:c>
      <x:c r="J1440" s="274" t="n">
        <x:v>120</x:v>
      </x:c>
      <x:c r="K1440" s="274" t="n">
        <x:v>137</x:v>
      </x:c>
      <x:c r="M1440" s="274" t="s">
        <x:v>2960</x:v>
      </x:c>
      <x:c r="N1440" s="274" t="s">
        <x:v>162</x:v>
      </x:c>
    </x:row>
    <x:row r="1441" spans="1:14">
      <x:c r="A1441" s="274" t="s">
        <x:v>2961</x:v>
      </x:c>
      <x:c r="B1441" s="274" t="n">
        <x:v>0.12</x:v>
      </x:c>
      <x:c r="C1441" s="274" t="n">
        <x:v>0</x:v>
      </x:c>
      <x:c r="D1441" s="274" t="n">
        <x:v>0</x:v>
      </x:c>
      <x:c r="F1441" s="274" t="s">
        <x:v>123</x:v>
      </x:c>
      <x:c r="G1441" s="274" t="s">
        <x:v>209</x:v>
      </x:c>
      <x:c r="I1441" s="274" t="n">
        <x:v>1</x:v>
      </x:c>
      <x:c r="J1441" s="274" t="n">
        <x:v>94</x:v>
      </x:c>
      <x:c r="K1441" s="274" t="n">
        <x:v>166</x:v>
      </x:c>
      <x:c r="M1441" s="274" t="s">
        <x:v>1232</x:v>
      </x:c>
      <x:c r="N1441" s="274" t="s">
        <x:v>1233</x:v>
      </x:c>
    </x:row>
    <x:row r="1442" spans="1:14">
      <x:c r="A1442" s="274" t="s">
        <x:v>2962</x:v>
      </x:c>
      <x:c r="B1442" s="274" t="n">
        <x:v>0.44</x:v>
      </x:c>
      <x:c r="C1442" s="274" t="n">
        <x:v>0</x:v>
      </x:c>
      <x:c r="D1442" s="274" t="n">
        <x:v>36</x:v>
      </x:c>
      <x:c r="E1442" s="274" t="n">
        <x:v>33</x:v>
      </x:c>
      <x:c r="F1442" s="274" t="s">
        <x:v>133</x:v>
      </x:c>
      <x:c r="G1442" s="274" t="s">
        <x:v>134</x:v>
      </x:c>
      <x:c r="I1442" s="274" t="n">
        <x:v>2.3</x:v>
      </x:c>
      <x:c r="J1442" s="274" t="n">
        <x:v>157</x:v>
      </x:c>
      <x:c r="K1442" s="274" t="n">
        <x:v>154</x:v>
      </x:c>
      <x:c r="M1442" s="274" t="s">
        <x:v>2543</x:v>
      </x:c>
      <x:c r="N1442" s="274" t="s">
        <x:v>787</x:v>
      </x:c>
    </x:row>
    <x:row r="1443" spans="1:14">
      <x:c r="A1443" s="274" t="s">
        <x:v>2963</x:v>
      </x:c>
      <x:c r="B1443" s="274" t="n">
        <x:v>0.23</x:v>
      </x:c>
      <x:c r="C1443" s="274" t="n">
        <x:v>0</x:v>
      </x:c>
      <x:c r="D1443" s="274" t="n">
        <x:v>0</x:v>
      </x:c>
      <x:c r="F1443" s="274" t="s">
        <x:v>133</x:v>
      </x:c>
      <x:c r="G1443" s="274" t="s">
        <x:v>136</x:v>
      </x:c>
      <x:c r="H1443" s="274" t="n">
        <x:v>45</x:v>
      </x:c>
      <x:c r="I1443" s="274" t="n">
        <x:v>1.6</x:v>
      </x:c>
      <x:c r="J1443" s="274" t="n">
        <x:v>118</x:v>
      </x:c>
      <x:c r="K1443" s="274" t="n">
        <x:v>155</x:v>
      </x:c>
      <x:c r="M1443" s="274" t="s">
        <x:v>2964</x:v>
      </x:c>
      <x:c r="N1443" s="274" t="s">
        <x:v>787</x:v>
      </x:c>
    </x:row>
    <x:row r="1444" spans="1:14">
      <x:c r="A1444" s="274" t="s">
        <x:v>2965</x:v>
      </x:c>
      <x:c r="B1444" s="274" t="n">
        <x:v>0.89</x:v>
      </x:c>
      <x:c r="C1444" s="274" t="n">
        <x:v>0</x:v>
      </x:c>
      <x:c r="D1444" s="274" t="n">
        <x:v>0</x:v>
      </x:c>
      <x:c r="F1444" s="274" t="s">
        <x:v>133</x:v>
      </x:c>
      <x:c r="G1444" s="274" t="s">
        <x:v>136</x:v>
      </x:c>
      <x:c r="H1444" s="274" t="n">
        <x:v>45</x:v>
      </x:c>
      <x:c r="I1444" s="274" t="n">
        <x:v>1.4</x:v>
      </x:c>
      <x:c r="J1444" s="274" t="n">
        <x:v>235</x:v>
      </x:c>
      <x:c r="K1444" s="274" t="n">
        <x:v>340</x:v>
      </x:c>
      <x:c r="M1444" s="274" t="s">
        <x:v>383</x:v>
      </x:c>
      <x:c r="N1444" s="274" t="s">
        <x:v>162</x:v>
      </x:c>
    </x:row>
    <x:row r="1445" spans="1:14">
      <x:c r="A1445" s="274" t="s">
        <x:v>2966</x:v>
      </x:c>
      <x:c r="B1445" s="274" t="n">
        <x:v>0.21</x:v>
      </x:c>
      <x:c r="C1445" s="274" t="n">
        <x:v>0</x:v>
      </x:c>
      <x:c r="D1445" s="274" t="n">
        <x:v>0</x:v>
      </x:c>
      <x:c r="F1445" s="274" t="s">
        <x:v>133</x:v>
      </x:c>
      <x:c r="G1445" s="274" t="s">
        <x:v>136</x:v>
      </x:c>
      <x:c r="H1445" s="274" t="n">
        <x:v>45</x:v>
      </x:c>
      <x:c r="I1445" s="274" t="n">
        <x:v>1</x:v>
      </x:c>
      <x:c r="J1445" s="274" t="n">
        <x:v>180</x:v>
      </x:c>
      <x:c r="K1445" s="274" t="n">
        <x:v>150</x:v>
      </x:c>
      <x:c r="M1445" s="274" t="s">
        <x:v>2454</x:v>
      </x:c>
      <x:c r="N1445" s="274" t="s">
        <x:v>162</x:v>
      </x:c>
    </x:row>
    <x:row r="1446" spans="1:14">
      <x:c r="A1446" s="274" t="s">
        <x:v>2967</x:v>
      </x:c>
      <x:c r="B1446" s="274" t="n">
        <x:v>1.09</x:v>
      </x:c>
      <x:c r="C1446" s="274" t="n">
        <x:v>0</x:v>
      </x:c>
      <x:c r="D1446" s="274" t="n">
        <x:v>0</x:v>
      </x:c>
      <x:c r="F1446" s="274" t="s">
        <x:v>333</x:v>
      </x:c>
      <x:c r="G1446" s="274" t="s">
        <x:v>2468</x:v>
      </x:c>
      <x:c r="I1446" s="274" t="n">
        <x:v>0.8</x:v>
      </x:c>
      <x:c r="J1446" s="274" t="n">
        <x:v>598</x:v>
      </x:c>
      <x:c r="K1446" s="274" t="n">
        <x:v>290</x:v>
      </x:c>
      <x:c r="M1446" s="274" t="s">
        <x:v>2187</x:v>
      </x:c>
      <x:c r="N1446" s="274" t="s">
        <x:v>2968</x:v>
      </x:c>
    </x:row>
    <x:row r="1447" spans="1:14">
      <x:c r="A1447" s="274" t="s">
        <x:v>2969</x:v>
      </x:c>
      <x:c r="B1447" s="274" t="n">
        <x:v>11.57</x:v>
      </x:c>
      <x:c r="C1447" s="274" t="n">
        <x:v>0</x:v>
      </x:c>
      <x:c r="D1447" s="274" t="n">
        <x:v>0</x:v>
      </x:c>
      <x:c r="F1447" s="274" t="s">
        <x:v>333</x:v>
      </x:c>
      <x:c r="G1447" s="274" t="s">
        <x:v>124</x:v>
      </x:c>
      <x:c r="I1447" s="274" t="n">
        <x:v>1.6</x:v>
      </x:c>
      <x:c r="J1447" s="274" t="n">
        <x:v>890</x:v>
      </x:c>
      <x:c r="K1447" s="274" t="n">
        <x:v>1035</x:v>
      </x:c>
      <x:c r="M1447" s="274" t="s">
        <x:v>2970</x:v>
      </x:c>
      <x:c r="N1447" s="274" t="s">
        <x:v>1233</x:v>
      </x:c>
    </x:row>
    <x:row r="1448" spans="1:14">
      <x:c r="A1448" s="274" t="s">
        <x:v>2971</x:v>
      </x:c>
      <x:c r="B1448" s="274" t="n">
        <x:v>3.4</x:v>
      </x:c>
      <x:c r="C1448" s="274" t="n">
        <x:v>0</x:v>
      </x:c>
      <x:c r="D1448" s="274" t="n">
        <x:v>20</x:v>
      </x:c>
      <x:c r="E1448" s="274" t="n">
        <x:v>20</x:v>
      </x:c>
      <x:c r="F1448" s="274" t="s">
        <x:v>123</x:v>
      </x:c>
      <x:c r="G1448" s="274" t="s">
        <x:v>2796</x:v>
      </x:c>
      <x:c r="I1448" s="274" t="n">
        <x:v>1.6</x:v>
      </x:c>
      <x:c r="J1448" s="274" t="n">
        <x:v>325</x:v>
      </x:c>
      <x:c r="K1448" s="274" t="n">
        <x:v>841</x:v>
      </x:c>
    </x:row>
    <x:row r="1449" spans="1:14">
      <x:c r="A1449" s="274" t="s">
        <x:v>2972</x:v>
      </x:c>
      <x:c r="B1449" s="274" t="n">
        <x:v>2.654</x:v>
      </x:c>
      <x:c r="C1449" s="274" t="n">
        <x:v>0</x:v>
      </x:c>
      <x:c r="D1449" s="274" t="n">
        <x:v>19</x:v>
      </x:c>
      <x:c r="E1449" s="274" t="n">
        <x:v>19</x:v>
      </x:c>
      <x:c r="F1449" s="274" t="s">
        <x:v>123</x:v>
      </x:c>
      <x:c r="G1449" s="274" t="s">
        <x:v>2796</x:v>
      </x:c>
      <x:c r="I1449" s="274" t="n">
        <x:v>1.6</x:v>
      </x:c>
      <x:c r="J1449" s="274" t="n">
        <x:v>206</x:v>
      </x:c>
      <x:c r="K1449" s="274" t="n">
        <x:v>1050</x:v>
      </x:c>
    </x:row>
    <x:row r="1450" spans="1:14">
      <x:c r="A1450" s="274" t="s">
        <x:v>2973</x:v>
      </x:c>
      <x:c r="B1450" s="274" t="n">
        <x:v>4.743</x:v>
      </x:c>
      <x:c r="C1450" s="274" t="n">
        <x:v>0</x:v>
      </x:c>
      <x:c r="D1450" s="274" t="n">
        <x:v>18</x:v>
      </x:c>
      <x:c r="E1450" s="274" t="n">
        <x:v>18</x:v>
      </x:c>
      <x:c r="F1450" s="274" t="s">
        <x:v>123</x:v>
      </x:c>
      <x:c r="G1450" s="274" t="s">
        <x:v>2796</x:v>
      </x:c>
      <x:c r="I1450" s="274" t="n">
        <x:v>1.6</x:v>
      </x:c>
      <x:c r="J1450" s="274" t="n">
        <x:v>313</x:v>
      </x:c>
      <x:c r="K1450" s="274" t="n">
        <x:v>1210</x:v>
      </x:c>
    </x:row>
    <x:row r="1451" spans="1:14">
      <x:c r="A1451" s="274" t="s">
        <x:v>2974</x:v>
      </x:c>
      <x:c r="B1451" s="274" t="n">
        <x:v>6.923</x:v>
      </x:c>
      <x:c r="C1451" s="274" t="n">
        <x:v>0</x:v>
      </x:c>
      <x:c r="D1451" s="274" t="n">
        <x:v>18</x:v>
      </x:c>
      <x:c r="E1451" s="274" t="n">
        <x:v>18</x:v>
      </x:c>
      <x:c r="F1451" s="274" t="s">
        <x:v>123</x:v>
      </x:c>
      <x:c r="G1451" s="274" t="s">
        <x:v>2796</x:v>
      </x:c>
      <x:c r="I1451" s="274" t="n">
        <x:v>1.6</x:v>
      </x:c>
      <x:c r="J1451" s="274" t="n">
        <x:v>456</x:v>
      </x:c>
      <x:c r="K1451" s="274" t="n">
        <x:v>1245</x:v>
      </x:c>
    </x:row>
    <x:row r="1452" spans="1:14">
      <x:c r="A1452" s="274" t="s">
        <x:v>2975</x:v>
      </x:c>
      <x:c r="B1452" s="274" t="n">
        <x:v>1.046</x:v>
      </x:c>
      <x:c r="C1452" s="274" t="n">
        <x:v>0</x:v>
      </x:c>
      <x:c r="D1452" s="274" t="n">
        <x:v>0</x:v>
      </x:c>
      <x:c r="E1452" s="274" t="n">
        <x:v>18</x:v>
      </x:c>
      <x:c r="F1452" s="274" t="s">
        <x:v>123</x:v>
      </x:c>
      <x:c r="G1452" s="274" t="s">
        <x:v>2796</x:v>
      </x:c>
      <x:c r="I1452" s="274" t="n">
        <x:v>1.6</x:v>
      </x:c>
      <x:c r="J1452" s="274" t="n">
        <x:v>68</x:v>
      </x:c>
      <x:c r="K1452" s="274" t="n">
        <x:v>1250</x:v>
      </x:c>
    </x:row>
    <x:row r="1453" spans="1:14">
      <x:c r="A1453" s="274" t="s">
        <x:v>2976</x:v>
      </x:c>
      <x:c r="B1453" s="274" t="n">
        <x:v>1.868</x:v>
      </x:c>
      <x:c r="C1453" s="274" t="n">
        <x:v>0</x:v>
      </x:c>
      <x:c r="D1453" s="274" t="n">
        <x:v>25</x:v>
      </x:c>
      <x:c r="E1453" s="274" t="n">
        <x:v>18</x:v>
      </x:c>
      <x:c r="F1453" s="274" t="s">
        <x:v>123</x:v>
      </x:c>
      <x:c r="G1453" s="274" t="s">
        <x:v>2637</x:v>
      </x:c>
      <x:c r="I1453" s="274" t="n">
        <x:v>1.6</x:v>
      </x:c>
      <x:c r="J1453" s="274" t="n">
        <x:v>120</x:v>
      </x:c>
      <x:c r="K1453" s="274" t="n">
        <x:v>1250</x:v>
      </x:c>
    </x:row>
    <x:row r="1454" spans="1:14">
      <x:c r="A1454" s="274" t="s">
        <x:v>2977</x:v>
      </x:c>
      <x:c r="B1454" s="274" t="n">
        <x:v>6.206</x:v>
      </x:c>
      <x:c r="C1454" s="274" t="n">
        <x:v>0</x:v>
      </x:c>
      <x:c r="D1454" s="274" t="n">
        <x:v>18</x:v>
      </x:c>
      <x:c r="E1454" s="274" t="n">
        <x:v>18</x:v>
      </x:c>
      <x:c r="F1454" s="274" t="s">
        <x:v>123</x:v>
      </x:c>
      <x:c r="G1454" s="274" t="s">
        <x:v>2796</x:v>
      </x:c>
      <x:c r="I1454" s="274" t="n">
        <x:v>1.6</x:v>
      </x:c>
      <x:c r="J1454" s="274" t="n">
        <x:v>394</x:v>
      </x:c>
      <x:c r="K1454" s="274" t="n">
        <x:v>1250</x:v>
      </x:c>
    </x:row>
    <x:row r="1455" spans="1:14">
      <x:c r="A1455" s="274" t="s">
        <x:v>2978</x:v>
      </x:c>
      <x:c r="B1455" s="274" t="n">
        <x:v>1.979</x:v>
      </x:c>
      <x:c r="C1455" s="274" t="n">
        <x:v>0</x:v>
      </x:c>
      <x:c r="D1455" s="274" t="n">
        <x:v>18</x:v>
      </x:c>
      <x:c r="E1455" s="274" t="n">
        <x:v>18</x:v>
      </x:c>
      <x:c r="F1455" s="274" t="s">
        <x:v>123</x:v>
      </x:c>
      <x:c r="G1455" s="274" t="s">
        <x:v>2637</x:v>
      </x:c>
      <x:c r="I1455" s="274" t="n">
        <x:v>1.6</x:v>
      </x:c>
      <x:c r="J1455" s="274" t="n">
        <x:v>127</x:v>
      </x:c>
      <x:c r="K1455" s="274" t="n">
        <x:v>1250</x:v>
      </x:c>
    </x:row>
    <x:row r="1456" spans="1:14">
      <x:c r="A1456" s="274" t="s">
        <x:v>2979</x:v>
      </x:c>
      <x:c r="B1456" s="274" t="n">
        <x:v>0.71</x:v>
      </x:c>
      <x:c r="C1456" s="274" t="n">
        <x:v>0</x:v>
      </x:c>
      <x:c r="D1456" s="274" t="n">
        <x:v>19</x:v>
      </x:c>
      <x:c r="E1456" s="274" t="n">
        <x:v>18</x:v>
      </x:c>
      <x:c r="F1456" s="274" t="s">
        <x:v>123</x:v>
      </x:c>
      <x:c r="G1456" s="274" t="s">
        <x:v>2796</x:v>
      </x:c>
      <x:c r="I1456" s="274" t="n">
        <x:v>1.6</x:v>
      </x:c>
      <x:c r="J1456" s="274" t="n">
        <x:v>45</x:v>
      </x:c>
      <x:c r="K1456" s="274" t="n">
        <x:v>1250</x:v>
      </x:c>
    </x:row>
    <x:row r="1457" spans="1:14">
      <x:c r="A1457" s="274" t="s">
        <x:v>2980</x:v>
      </x:c>
      <x:c r="B1457" s="274" t="n">
        <x:v>2.791</x:v>
      </x:c>
      <x:c r="C1457" s="274" t="n">
        <x:v>0</x:v>
      </x:c>
      <x:c r="D1457" s="274" t="n">
        <x:v>17</x:v>
      </x:c>
      <x:c r="E1457" s="274" t="n">
        <x:v>17</x:v>
      </x:c>
      <x:c r="F1457" s="274" t="s">
        <x:v>123</x:v>
      </x:c>
      <x:c r="G1457" s="274" t="s">
        <x:v>2637</x:v>
      </x:c>
      <x:c r="I1457" s="274" t="n">
        <x:v>1.6</x:v>
      </x:c>
      <x:c r="J1457" s="274" t="n">
        <x:v>173</x:v>
      </x:c>
      <x:c r="K1457" s="274" t="n">
        <x:v>1300</x:v>
      </x:c>
    </x:row>
    <x:row r="1458" spans="1:14">
      <x:c r="A1458" s="274" t="s">
        <x:v>2981</x:v>
      </x:c>
      <x:c r="B1458" s="274" t="n">
        <x:v>1.46</x:v>
      </x:c>
      <x:c r="C1458" s="274" t="n">
        <x:v>0</x:v>
      </x:c>
      <x:c r="D1458" s="274" t="n">
        <x:v>18</x:v>
      </x:c>
      <x:c r="E1458" s="274" t="n">
        <x:v>18</x:v>
      </x:c>
      <x:c r="F1458" s="274" t="s">
        <x:v>123</x:v>
      </x:c>
      <x:c r="G1458" s="274" t="s">
        <x:v>2637</x:v>
      </x:c>
      <x:c r="I1458" s="274" t="n">
        <x:v>1.6</x:v>
      </x:c>
      <x:c r="J1458" s="274" t="n">
        <x:v>91</x:v>
      </x:c>
      <x:c r="K1458" s="274" t="n">
        <x:v>1250</x:v>
      </x:c>
    </x:row>
    <x:row r="1459" spans="1:14">
      <x:c r="A1459" s="274" t="s">
        <x:v>2982</x:v>
      </x:c>
      <x:c r="B1459" s="274" t="n">
        <x:v>3.066</x:v>
      </x:c>
      <x:c r="C1459" s="274" t="n">
        <x:v>0</x:v>
      </x:c>
      <x:c r="D1459" s="274" t="n">
        <x:v>25</x:v>
      </x:c>
      <x:c r="E1459" s="274" t="n">
        <x:v>18</x:v>
      </x:c>
      <x:c r="F1459" s="274" t="s">
        <x:v>123</x:v>
      </x:c>
      <x:c r="G1459" s="274" t="s">
        <x:v>2637</x:v>
      </x:c>
      <x:c r="I1459" s="274" t="n">
        <x:v>1.5</x:v>
      </x:c>
      <x:c r="J1459" s="274" t="n">
        <x:v>210</x:v>
      </x:c>
      <x:c r="K1459" s="274" t="n">
        <x:v>1250</x:v>
      </x:c>
    </x:row>
    <x:row r="1460" spans="1:14">
      <x:c r="A1460" s="274" t="s">
        <x:v>2983</x:v>
      </x:c>
      <x:c r="B1460" s="274" t="n">
        <x:v>1.963</x:v>
      </x:c>
      <x:c r="C1460" s="274" t="n">
        <x:v>0</x:v>
      </x:c>
      <x:c r="D1460" s="274" t="n">
        <x:v>25</x:v>
      </x:c>
      <x:c r="E1460" s="274" t="n">
        <x:v>18</x:v>
      </x:c>
      <x:c r="F1460" s="274" t="s">
        <x:v>123</x:v>
      </x:c>
      <x:c r="G1460" s="274" t="s">
        <x:v>2637</x:v>
      </x:c>
      <x:c r="I1460" s="274" t="n">
        <x:v>1.5</x:v>
      </x:c>
      <x:c r="J1460" s="274" t="n">
        <x:v>133</x:v>
      </x:c>
      <x:c r="K1460" s="274" t="n">
        <x:v>1250</x:v>
      </x:c>
    </x:row>
    <x:row r="1461" spans="1:14">
      <x:c r="A1461" s="274" t="s">
        <x:v>2984</x:v>
      </x:c>
      <x:c r="B1461" s="274" t="n">
        <x:v>4.51</x:v>
      </x:c>
      <x:c r="C1461" s="274" t="n">
        <x:v>0</x:v>
      </x:c>
      <x:c r="D1461" s="274" t="n">
        <x:v>0</x:v>
      </x:c>
      <x:c r="F1461" s="274" t="s">
        <x:v>2985</x:v>
      </x:c>
      <x:c r="G1461" s="274" t="s">
        <x:v>124</x:v>
      </x:c>
      <x:c r="I1461" s="274" t="n">
        <x:v>1</x:v>
      </x:c>
      <x:c r="J1461" s="274" t="n">
        <x:v>460</x:v>
      </x:c>
      <x:c r="K1461" s="274" t="n">
        <x:v>1250</x:v>
      </x:c>
      <x:c r="M1461" s="274" t="s">
        <x:v>2986</x:v>
      </x:c>
      <x:c r="N1461" s="274" t="s">
        <x:v>870</x:v>
      </x:c>
    </x:row>
    <x:row r="1462" spans="1:14">
      <x:c r="A1462" s="274" t="s">
        <x:v>2987</x:v>
      </x:c>
      <x:c r="B1462" s="274" t="n">
        <x:v>2.34</x:v>
      </x:c>
      <x:c r="C1462" s="274" t="n">
        <x:v>0</x:v>
      </x:c>
      <x:c r="D1462" s="274" t="n">
        <x:v>0</x:v>
      </x:c>
      <x:c r="F1462" s="274" t="s">
        <x:v>2985</x:v>
      </x:c>
      <x:c r="G1462" s="274" t="s">
        <x:v>209</x:v>
      </x:c>
      <x:c r="I1462" s="274" t="n">
        <x:v>1</x:v>
      </x:c>
      <x:c r="J1462" s="274" t="n">
        <x:v>242</x:v>
      </x:c>
      <x:c r="K1462" s="274" t="n">
        <x:v>1230</x:v>
      </x:c>
      <x:c r="M1462" s="274" t="s">
        <x:v>2988</x:v>
      </x:c>
      <x:c r="N1462" s="274" t="s">
        <x:v>299</x:v>
      </x:c>
    </x:row>
    <x:row r="1463" spans="1:14">
      <x:c r="A1463" s="274" t="s">
        <x:v>2989</x:v>
      </x:c>
      <x:c r="B1463" s="274" t="n">
        <x:v>0.94</x:v>
      </x:c>
      <x:c r="C1463" s="274" t="n">
        <x:v>0</x:v>
      </x:c>
      <x:c r="D1463" s="274" t="n">
        <x:v>0</x:v>
      </x:c>
      <x:c r="F1463" s="274" t="s">
        <x:v>2985</x:v>
      </x:c>
      <x:c r="G1463" s="274" t="s">
        <x:v>209</x:v>
      </x:c>
      <x:c r="I1463" s="274" t="n">
        <x:v>1.2</x:v>
      </x:c>
      <x:c r="J1463" s="274" t="n">
        <x:v>80</x:v>
      </x:c>
      <x:c r="K1463" s="274" t="n">
        <x:v>1250</x:v>
      </x:c>
      <x:c r="M1463" s="274" t="s">
        <x:v>2990</x:v>
      </x:c>
      <x:c r="N1463" s="274" t="s">
        <x:v>131</x:v>
      </x:c>
    </x:row>
    <x:row r="1464" spans="1:14">
      <x:c r="A1464" s="274" t="s">
        <x:v>2991</x:v>
      </x:c>
      <x:c r="B1464" s="274" t="n">
        <x:v>0.93</x:v>
      </x:c>
      <x:c r="C1464" s="274" t="n">
        <x:v>0</x:v>
      </x:c>
      <x:c r="D1464" s="274" t="n">
        <x:v>0</x:v>
      </x:c>
      <x:c r="F1464" s="274" t="s">
        <x:v>2985</x:v>
      </x:c>
      <x:c r="G1464" s="274" t="s">
        <x:v>209</x:v>
      </x:c>
      <x:c r="I1464" s="274" t="n">
        <x:v>1.2</x:v>
      </x:c>
      <x:c r="J1464" s="274" t="n">
        <x:v>143</x:v>
      </x:c>
      <x:c r="K1464" s="274" t="n">
        <x:v>687</x:v>
      </x:c>
      <x:c r="M1464" s="274" t="s">
        <x:v>2759</x:v>
      </x:c>
      <x:c r="N1464" s="274" t="s">
        <x:v>131</x:v>
      </x:c>
    </x:row>
    <x:row r="1465" spans="1:14">
      <x:c r="A1465" s="274" t="s">
        <x:v>2992</x:v>
      </x:c>
      <x:c r="B1465" s="274" t="n">
        <x:v>1.42</x:v>
      </x:c>
      <x:c r="C1465" s="274" t="n">
        <x:v>0</x:v>
      </x:c>
      <x:c r="D1465" s="274" t="n">
        <x:v>0</x:v>
      </x:c>
      <x:c r="F1465" s="274" t="s">
        <x:v>2985</x:v>
      </x:c>
      <x:c r="G1465" s="274" t="s">
        <x:v>209</x:v>
      </x:c>
      <x:c r="I1465" s="274" t="n">
        <x:v>1.2</x:v>
      </x:c>
      <x:c r="J1465" s="274" t="n">
        <x:v>128</x:v>
      </x:c>
      <x:c r="K1465" s="274" t="n">
        <x:v>1180</x:v>
      </x:c>
      <x:c r="M1465" s="274" t="s">
        <x:v>2993</x:v>
      </x:c>
      <x:c r="N1465" s="274" t="s">
        <x:v>155</x:v>
      </x:c>
    </x:row>
    <x:row r="1466" spans="1:14">
      <x:c r="A1466" s="274" t="s">
        <x:v>2994</x:v>
      </x:c>
      <x:c r="B1466" s="274" t="n">
        <x:v>1.73</x:v>
      </x:c>
      <x:c r="C1466" s="274" t="n">
        <x:v>0</x:v>
      </x:c>
      <x:c r="D1466" s="274" t="n">
        <x:v>0</x:v>
      </x:c>
      <x:c r="F1466" s="274" t="s">
        <x:v>2985</x:v>
      </x:c>
      <x:c r="G1466" s="274" t="s">
        <x:v>209</x:v>
      </x:c>
      <x:c r="I1466" s="274" t="n">
        <x:v>1.2</x:v>
      </x:c>
      <x:c r="J1466" s="274" t="n">
        <x:v>160</x:v>
      </x:c>
      <x:c r="K1466" s="274" t="n">
        <x:v>1150</x:v>
      </x:c>
      <x:c r="M1466" s="274" t="s">
        <x:v>2995</x:v>
      </x:c>
      <x:c r="N1466" s="274" t="s">
        <x:v>155</x:v>
      </x:c>
    </x:row>
    <x:row r="1467" spans="1:14">
      <x:c r="A1467" s="274" t="s">
        <x:v>2996</x:v>
      </x:c>
      <x:c r="B1467" s="274" t="n">
        <x:v>1.64</x:v>
      </x:c>
      <x:c r="C1467" s="274" t="n">
        <x:v>0</x:v>
      </x:c>
      <x:c r="D1467" s="274" t="n">
        <x:v>0</x:v>
      </x:c>
      <x:c r="F1467" s="274" t="s">
        <x:v>2985</x:v>
      </x:c>
      <x:c r="G1467" s="274" t="s">
        <x:v>209</x:v>
      </x:c>
      <x:c r="I1467" s="274" t="n">
        <x:v>1.2</x:v>
      </x:c>
      <x:c r="J1467" s="274" t="n">
        <x:v>183</x:v>
      </x:c>
      <x:c r="K1467" s="274" t="n">
        <x:v>950</x:v>
      </x:c>
      <x:c r="M1467" s="274" t="s">
        <x:v>1190</x:v>
      </x:c>
      <x:c r="N1467" s="274" t="s">
        <x:v>2997</x:v>
      </x:c>
    </x:row>
    <x:row r="1468" spans="1:14">
      <x:c r="A1468" s="274" t="s">
        <x:v>2998</x:v>
      </x:c>
      <x:c r="B1468" s="274" t="n">
        <x:v>0.63</x:v>
      </x:c>
      <x:c r="C1468" s="274" t="n">
        <x:v>0</x:v>
      </x:c>
      <x:c r="D1468" s="274" t="n">
        <x:v>0</x:v>
      </x:c>
      <x:c r="F1468" s="274" t="s">
        <x:v>133</x:v>
      </x:c>
      <x:c r="G1468" s="274" t="s">
        <x:v>136</x:v>
      </x:c>
      <x:c r="H1468" s="274" t="n">
        <x:v>45</x:v>
      </x:c>
      <x:c r="I1468" s="274" t="n">
        <x:v>1</x:v>
      </x:c>
      <x:c r="J1468" s="274" t="n">
        <x:v>396</x:v>
      </x:c>
      <x:c r="K1468" s="274" t="n">
        <x:v>200</x:v>
      </x:c>
      <x:c r="M1468" s="274" t="s">
        <x:v>814</x:v>
      </x:c>
      <x:c r="N1468" s="274" t="s">
        <x:v>299</x:v>
      </x:c>
    </x:row>
    <x:row r="1469" spans="1:14">
      <x:c r="A1469" s="274" t="s">
        <x:v>2999</x:v>
      </x:c>
      <x:c r="B1469" s="274" t="n">
        <x:v>1.2</x:v>
      </x:c>
      <x:c r="C1469" s="274" t="n">
        <x:v>0</x:v>
      </x:c>
      <x:c r="D1469" s="274" t="n">
        <x:v>0</x:v>
      </x:c>
      <x:c r="F1469" s="274" t="s">
        <x:v>128</x:v>
      </x:c>
      <x:c r="G1469" s="274" t="s">
        <x:v>177</x:v>
      </x:c>
      <x:c r="H1469" s="274" t="n">
        <x:v>45</x:v>
      </x:c>
      <x:c r="I1469" s="274" t="n">
        <x:v>2</x:v>
      </x:c>
      <x:c r="J1469" s="274" t="n">
        <x:v>155</x:v>
      </x:c>
      <x:c r="K1469" s="274" t="n">
        <x:v>490</x:v>
      </x:c>
      <x:c r="M1469" s="274" t="s">
        <x:v>178</x:v>
      </x:c>
      <x:c r="N1469" s="274" t="s">
        <x:v>131</x:v>
      </x:c>
    </x:row>
    <x:row r="1470" spans="1:14">
      <x:c r="A1470" s="274" t="s">
        <x:v>3000</x:v>
      </x:c>
      <x:c r="B1470" s="274" t="n">
        <x:v>0.19</x:v>
      </x:c>
      <x:c r="C1470" s="274" t="n">
        <x:v>0</x:v>
      </x:c>
      <x:c r="D1470" s="274" t="n">
        <x:v>0</x:v>
      </x:c>
      <x:c r="F1470" s="274" t="s">
        <x:v>133</x:v>
      </x:c>
      <x:c r="G1470" s="274" t="s">
        <x:v>136</x:v>
      </x:c>
      <x:c r="H1470" s="274" t="n">
        <x:v>45</x:v>
      </x:c>
      <x:c r="I1470" s="274" t="n">
        <x:v>1.4</x:v>
      </x:c>
      <x:c r="J1470" s="274" t="n">
        <x:v>132</x:v>
      </x:c>
      <x:c r="K1470" s="274" t="n">
        <x:v>132</x:v>
      </x:c>
      <x:c r="M1470" s="274" t="s">
        <x:v>1198</x:v>
      </x:c>
      <x:c r="N1470" s="274" t="s">
        <x:v>162</x:v>
      </x:c>
    </x:row>
    <x:row r="1471" spans="1:14">
      <x:c r="A1471" s="274" t="s">
        <x:v>3001</x:v>
      </x:c>
      <x:c r="B1471" s="274" t="n">
        <x:v>0.42</x:v>
      </x:c>
      <x:c r="C1471" s="274" t="n">
        <x:v>0</x:v>
      </x:c>
      <x:c r="D1471" s="274" t="n">
        <x:v>0</x:v>
      </x:c>
      <x:c r="F1471" s="274" t="s">
        <x:v>133</x:v>
      </x:c>
      <x:c r="G1471" s="274" t="s">
        <x:v>136</x:v>
      </x:c>
      <x:c r="H1471" s="274" t="n">
        <x:v>45</x:v>
      </x:c>
      <x:c r="I1471" s="274" t="n">
        <x:v>0.65</x:v>
      </x:c>
      <x:c r="J1471" s="274" t="n">
        <x:v>240</x:v>
      </x:c>
      <x:c r="K1471" s="274" t="n">
        <x:v>335</x:v>
      </x:c>
      <x:c r="M1471" s="274" t="s">
        <x:v>519</x:v>
      </x:c>
      <x:c r="N1471" s="274" t="s">
        <x:v>162</x:v>
      </x:c>
    </x:row>
    <x:row r="1472" spans="1:14">
      <x:c r="A1472" s="274" t="s">
        <x:v>3002</x:v>
      </x:c>
      <x:c r="B1472" s="274" t="n">
        <x:v>0.36</x:v>
      </x:c>
      <x:c r="C1472" s="274" t="n">
        <x:v>0</x:v>
      </x:c>
      <x:c r="D1472" s="274" t="n">
        <x:v>0</x:v>
      </x:c>
      <x:c r="F1472" s="274" t="s">
        <x:v>2985</x:v>
      </x:c>
      <x:c r="G1472" s="274" t="s">
        <x:v>124</x:v>
      </x:c>
      <x:c r="I1472" s="274" t="n">
        <x:v>1</x:v>
      </x:c>
      <x:c r="J1472" s="274" t="n">
        <x:v>190</x:v>
      </x:c>
      <x:c r="K1472" s="274" t="n">
        <x:v>240</x:v>
      </x:c>
      <x:c r="M1472" s="274" t="s">
        <x:v>3003</x:v>
      </x:c>
      <x:c r="N1472" s="274" t="s">
        <x:v>870</x:v>
      </x:c>
    </x:row>
    <x:row r="1473" spans="1:14">
      <x:c r="A1473" s="274" t="s">
        <x:v>3004</x:v>
      </x:c>
      <x:c r="B1473" s="274" t="n">
        <x:v>1.73</x:v>
      </x:c>
      <x:c r="C1473" s="274" t="n">
        <x:v>0</x:v>
      </x:c>
      <x:c r="D1473" s="274" t="n">
        <x:v>0</x:v>
      </x:c>
      <x:c r="F1473" s="274" t="s">
        <x:v>2985</x:v>
      </x:c>
      <x:c r="G1473" s="274" t="s">
        <x:v>209</x:v>
      </x:c>
      <x:c r="I1473" s="274" t="n">
        <x:v>1</x:v>
      </x:c>
      <x:c r="J1473" s="274" t="n">
        <x:v>175</x:v>
      </x:c>
      <x:c r="K1473" s="274" t="n">
        <x:v>1260</x:v>
      </x:c>
      <x:c r="M1473" s="274" t="s">
        <x:v>1750</x:v>
      </x:c>
      <x:c r="N1473" s="274" t="s">
        <x:v>870</x:v>
      </x:c>
    </x:row>
    <x:row r="1474" spans="1:14">
      <x:c r="A1474" s="274" t="s">
        <x:v>3005</x:v>
      </x:c>
      <x:c r="B1474" s="274" t="n">
        <x:v>0.59</x:v>
      </x:c>
      <x:c r="C1474" s="274" t="n">
        <x:v>0</x:v>
      </x:c>
      <x:c r="D1474" s="274" t="n">
        <x:v>0</x:v>
      </x:c>
      <x:c r="F1474" s="274" t="s">
        <x:v>2985</x:v>
      </x:c>
      <x:c r="G1474" s="274" t="s">
        <x:v>209</x:v>
      </x:c>
      <x:c r="I1474" s="274" t="n">
        <x:v>1</x:v>
      </x:c>
      <x:c r="J1474" s="274" t="n">
        <x:v>255</x:v>
      </x:c>
      <x:c r="K1474" s="274" t="n">
        <x:v>295</x:v>
      </x:c>
      <x:c r="M1474" s="274" t="s">
        <x:v>1154</x:v>
      </x:c>
      <x:c r="N1474" s="274" t="s">
        <x:v>870</x:v>
      </x:c>
    </x:row>
    <x:row r="1475" spans="1:14">
      <x:c r="A1475" s="274" t="s">
        <x:v>3006</x:v>
      </x:c>
      <x:c r="B1475" s="274" t="n">
        <x:v>1.49</x:v>
      </x:c>
      <x:c r="C1475" s="274" t="n">
        <x:v>0</x:v>
      </x:c>
      <x:c r="D1475" s="274" t="n">
        <x:v>0</x:v>
      </x:c>
      <x:c r="F1475" s="274" t="s">
        <x:v>2985</x:v>
      </x:c>
      <x:c r="G1475" s="274" t="s">
        <x:v>209</x:v>
      </x:c>
      <x:c r="I1475" s="274" t="n">
        <x:v>1</x:v>
      </x:c>
      <x:c r="J1475" s="274" t="n">
        <x:v>159</x:v>
      </x:c>
      <x:c r="K1475" s="274" t="n">
        <x:v>1193</x:v>
      </x:c>
      <x:c r="M1475" s="274" t="s">
        <x:v>3007</x:v>
      </x:c>
      <x:c r="N1475" s="274" t="s">
        <x:v>870</x:v>
      </x:c>
    </x:row>
    <x:row r="1476" spans="1:14">
      <x:c r="A1476" s="274" t="s">
        <x:v>3008</x:v>
      </x:c>
      <x:c r="B1476" s="274" t="n">
        <x:v>3.8</x:v>
      </x:c>
      <x:c r="C1476" s="274" t="n">
        <x:v>0</x:v>
      </x:c>
      <x:c r="D1476" s="274" t="n">
        <x:v>0</x:v>
      </x:c>
      <x:c r="F1476" s="274" t="s">
        <x:v>2985</x:v>
      </x:c>
      <x:c r="G1476" s="274" t="s">
        <x:v>209</x:v>
      </x:c>
      <x:c r="I1476" s="274" t="n">
        <x:v>1</x:v>
      </x:c>
      <x:c r="J1476" s="274" t="n">
        <x:v>387</x:v>
      </x:c>
      <x:c r="K1476" s="274" t="n">
        <x:v>1250</x:v>
      </x:c>
      <x:c r="M1476" s="274" t="s">
        <x:v>1425</x:v>
      </x:c>
      <x:c r="N1476" s="274" t="s">
        <x:v>870</x:v>
      </x:c>
    </x:row>
    <x:row r="1477" spans="1:14">
      <x:c r="A1477" s="274" t="s">
        <x:v>3009</x:v>
      </x:c>
      <x:c r="B1477" s="274" t="n">
        <x:v>1.69</x:v>
      </x:c>
      <x:c r="C1477" s="274" t="n">
        <x:v>0</x:v>
      </x:c>
      <x:c r="D1477" s="274" t="n">
        <x:v>0</x:v>
      </x:c>
      <x:c r="F1477" s="274" t="s">
        <x:v>2985</x:v>
      </x:c>
      <x:c r="G1477" s="274" t="s">
        <x:v>209</x:v>
      </x:c>
      <x:c r="I1477" s="274" t="n">
        <x:v>1</x:v>
      </x:c>
      <x:c r="J1477" s="274" t="n">
        <x:v>182</x:v>
      </x:c>
      <x:c r="K1477" s="274" t="n">
        <x:v>1180</x:v>
      </x:c>
      <x:c r="M1477" s="274" t="s">
        <x:v>3010</x:v>
      </x:c>
      <x:c r="N1477" s="274" t="s">
        <x:v>870</x:v>
      </x:c>
    </x:row>
    <x:row r="1478" spans="1:14">
      <x:c r="A1478" s="274" t="s">
        <x:v>3011</x:v>
      </x:c>
      <x:c r="B1478" s="274" t="n">
        <x:v>0.48</x:v>
      </x:c>
      <x:c r="C1478" s="274" t="n">
        <x:v>0</x:v>
      </x:c>
      <x:c r="D1478" s="274" t="n">
        <x:v>0</x:v>
      </x:c>
      <x:c r="F1478" s="274" t="s">
        <x:v>2985</x:v>
      </x:c>
      <x:c r="G1478" s="274" t="s">
        <x:v>209</x:v>
      </x:c>
      <x:c r="I1478" s="274" t="n">
        <x:v>1</x:v>
      </x:c>
      <x:c r="J1478" s="274" t="n">
        <x:v>50</x:v>
      </x:c>
      <x:c r="K1478" s="274" t="n">
        <x:v>1219</x:v>
      </x:c>
      <x:c r="M1478" s="274" t="s">
        <x:v>523</x:v>
      </x:c>
      <x:c r="N1478" s="274" t="s">
        <x:v>870</x:v>
      </x:c>
    </x:row>
    <x:row r="1479" spans="1:14">
      <x:c r="A1479" s="274" t="s">
        <x:v>3012</x:v>
      </x:c>
      <x:c r="B1479" s="274" t="n">
        <x:v>0.49</x:v>
      </x:c>
      <x:c r="C1479" s="274" t="n">
        <x:v>0</x:v>
      </x:c>
      <x:c r="D1479" s="274" t="n">
        <x:v>0</x:v>
      </x:c>
      <x:c r="F1479" s="274" t="s">
        <x:v>2985</x:v>
      </x:c>
      <x:c r="G1479" s="274" t="s">
        <x:v>124</x:v>
      </x:c>
      <x:c r="I1479" s="274" t="n">
        <x:v>0.8</x:v>
      </x:c>
      <x:c r="J1479" s="274" t="n">
        <x:v>64</x:v>
      </x:c>
      <x:c r="K1479" s="274" t="n">
        <x:v>1219</x:v>
      </x:c>
      <x:c r="M1479" s="274" t="s">
        <x:v>3013</x:v>
      </x:c>
      <x:c r="N1479" s="274" t="s">
        <x:v>870</x:v>
      </x:c>
    </x:row>
    <x:row r="1480" spans="1:14">
      <x:c r="A1480" s="274" t="s">
        <x:v>3014</x:v>
      </x:c>
      <x:c r="B1480" s="274" t="n">
        <x:v>2.75</x:v>
      </x:c>
      <x:c r="C1480" s="274" t="n">
        <x:v>0</x:v>
      </x:c>
      <x:c r="D1480" s="274" t="n">
        <x:v>0</x:v>
      </x:c>
      <x:c r="F1480" s="274" t="s">
        <x:v>2985</x:v>
      </x:c>
      <x:c r="G1480" s="274" t="s">
        <x:v>209</x:v>
      </x:c>
      <x:c r="I1480" s="274" t="n">
        <x:v>1</x:v>
      </x:c>
      <x:c r="J1480" s="274" t="n">
        <x:v>287</x:v>
      </x:c>
      <x:c r="K1480" s="274" t="n">
        <x:v>1219</x:v>
      </x:c>
      <x:c r="M1480" s="274" t="s">
        <x:v>1314</x:v>
      </x:c>
      <x:c r="N1480" s="274" t="s">
        <x:v>870</x:v>
      </x:c>
    </x:row>
    <x:row r="1481" spans="1:14">
      <x:c r="A1481" s="274" t="s">
        <x:v>3015</x:v>
      </x:c>
      <x:c r="B1481" s="274" t="n">
        <x:v>0.45</x:v>
      </x:c>
      <x:c r="C1481" s="274" t="n">
        <x:v>0</x:v>
      </x:c>
      <x:c r="D1481" s="274" t="n">
        <x:v>0</x:v>
      </x:c>
      <x:c r="F1481" s="274" t="s">
        <x:v>2985</x:v>
      </x:c>
      <x:c r="G1481" s="274" t="s">
        <x:v>209</x:v>
      </x:c>
      <x:c r="I1481" s="274" t="n">
        <x:v>1</x:v>
      </x:c>
      <x:c r="J1481" s="274" t="n">
        <x:v>46</x:v>
      </x:c>
      <x:c r="K1481" s="274" t="n">
        <x:v>1250</x:v>
      </x:c>
      <x:c r="M1481" s="274" t="s">
        <x:v>3016</x:v>
      </x:c>
      <x:c r="N1481" s="274" t="s">
        <x:v>299</x:v>
      </x:c>
    </x:row>
    <x:row r="1482" spans="1:14">
      <x:c r="A1482" s="274" t="s">
        <x:v>3017</x:v>
      </x:c>
      <x:c r="B1482" s="274" t="n">
        <x:v>1.22</x:v>
      </x:c>
      <x:c r="C1482" s="274" t="n">
        <x:v>0</x:v>
      </x:c>
      <x:c r="D1482" s="274" t="n">
        <x:v>0</x:v>
      </x:c>
      <x:c r="F1482" s="274" t="s">
        <x:v>2985</x:v>
      </x:c>
      <x:c r="G1482" s="274" t="s">
        <x:v>209</x:v>
      </x:c>
      <x:c r="I1482" s="274" t="n">
        <x:v>1</x:v>
      </x:c>
      <x:c r="J1482" s="274" t="n">
        <x:v>124</x:v>
      </x:c>
      <x:c r="K1482" s="274" t="n">
        <x:v>1250</x:v>
      </x:c>
      <x:c r="M1482" s="274" t="s">
        <x:v>3018</x:v>
      </x:c>
      <x:c r="N1482" s="274" t="s">
        <x:v>155</x:v>
      </x:c>
    </x:row>
    <x:row r="1483" spans="1:14">
      <x:c r="A1483" s="274" t="s">
        <x:v>3019</x:v>
      </x:c>
      <x:c r="B1483" s="274" t="n">
        <x:v>0.77</x:v>
      </x:c>
      <x:c r="C1483" s="274" t="n">
        <x:v>0</x:v>
      </x:c>
      <x:c r="D1483" s="274" t="n">
        <x:v>0</x:v>
      </x:c>
      <x:c r="F1483" s="274" t="s">
        <x:v>2985</x:v>
      </x:c>
      <x:c r="G1483" s="274" t="s">
        <x:v>209</x:v>
      </x:c>
      <x:c r="I1483" s="274" t="n">
        <x:v>1</x:v>
      </x:c>
      <x:c r="J1483" s="274" t="n">
        <x:v>82</x:v>
      </x:c>
      <x:c r="K1483" s="274" t="n">
        <x:v>1200</x:v>
      </x:c>
      <x:c r="M1483" s="274" t="s">
        <x:v>3020</x:v>
      </x:c>
      <x:c r="N1483" s="274" t="s">
        <x:v>155</x:v>
      </x:c>
    </x:row>
    <x:row r="1484" spans="1:14">
      <x:c r="A1484" s="274" t="s">
        <x:v>3021</x:v>
      </x:c>
      <x:c r="B1484" s="274" t="n">
        <x:v>0.76</x:v>
      </x:c>
      <x:c r="C1484" s="274" t="n">
        <x:v>0</x:v>
      </x:c>
      <x:c r="D1484" s="274" t="n">
        <x:v>0</x:v>
      </x:c>
      <x:c r="F1484" s="274" t="s">
        <x:v>2985</x:v>
      </x:c>
      <x:c r="G1484" s="274" t="s">
        <x:v>209</x:v>
      </x:c>
      <x:c r="I1484" s="274" t="n">
        <x:v>1</x:v>
      </x:c>
      <x:c r="J1484" s="274" t="n">
        <x:v>79</x:v>
      </x:c>
      <x:c r="K1484" s="274" t="n">
        <x:v>1230</x:v>
      </x:c>
      <x:c r="M1484" s="274" t="s">
        <x:v>3022</x:v>
      </x:c>
      <x:c r="N1484" s="274" t="s">
        <x:v>155</x:v>
      </x:c>
    </x:row>
    <x:row r="1485" spans="1:14">
      <x:c r="A1485" s="274" t="s">
        <x:v>3023</x:v>
      </x:c>
      <x:c r="B1485" s="274" t="n">
        <x:v>0.96</x:v>
      </x:c>
      <x:c r="C1485" s="274" t="n">
        <x:v>0</x:v>
      </x:c>
      <x:c r="D1485" s="274" t="n">
        <x:v>0</x:v>
      </x:c>
      <x:c r="F1485" s="274" t="s">
        <x:v>2985</x:v>
      </x:c>
      <x:c r="G1485" s="274" t="s">
        <x:v>209</x:v>
      </x:c>
      <x:c r="I1485" s="274" t="n">
        <x:v>1</x:v>
      </x:c>
      <x:c r="J1485" s="274" t="n">
        <x:v>102</x:v>
      </x:c>
      <x:c r="K1485" s="274" t="n">
        <x:v>1200</x:v>
      </x:c>
      <x:c r="M1485" s="274" t="s">
        <x:v>3024</x:v>
      </x:c>
      <x:c r="N1485" s="274" t="s">
        <x:v>155</x:v>
      </x:c>
    </x:row>
    <x:row r="1486" spans="1:14">
      <x:c r="A1486" s="274" t="s">
        <x:v>3025</x:v>
      </x:c>
      <x:c r="B1486" s="274" t="n">
        <x:v>1.34</x:v>
      </x:c>
      <x:c r="C1486" s="274" t="n">
        <x:v>0</x:v>
      </x:c>
      <x:c r="D1486" s="274" t="n">
        <x:v>0</x:v>
      </x:c>
      <x:c r="F1486" s="274" t="s">
        <x:v>2985</x:v>
      </x:c>
      <x:c r="G1486" s="274" t="s">
        <x:v>209</x:v>
      </x:c>
      <x:c r="I1486" s="274" t="n">
        <x:v>1</x:v>
      </x:c>
      <x:c r="J1486" s="274" t="n">
        <x:v>155</x:v>
      </x:c>
      <x:c r="K1486" s="274" t="n">
        <x:v>1100</x:v>
      </x:c>
      <x:c r="M1486" s="274" t="s">
        <x:v>3026</x:v>
      </x:c>
      <x:c r="N1486" s="274" t="s">
        <x:v>155</x:v>
      </x:c>
    </x:row>
    <x:row r="1487" spans="1:14">
      <x:c r="A1487" s="274" t="s">
        <x:v>3027</x:v>
      </x:c>
      <x:c r="B1487" s="274" t="n">
        <x:v>0.58</x:v>
      </x:c>
      <x:c r="C1487" s="274" t="n">
        <x:v>0</x:v>
      </x:c>
      <x:c r="D1487" s="274" t="n">
        <x:v>0</x:v>
      </x:c>
      <x:c r="F1487" s="274" t="s">
        <x:v>2985</x:v>
      </x:c>
      <x:c r="G1487" s="274" t="s">
        <x:v>209</x:v>
      </x:c>
      <x:c r="I1487" s="274" t="n">
        <x:v>0.9</x:v>
      </x:c>
      <x:c r="J1487" s="274" t="n">
        <x:v>69.5</x:v>
      </x:c>
      <x:c r="K1487" s="274" t="n">
        <x:v>1191</x:v>
      </x:c>
      <x:c r="M1487" s="274" t="s">
        <x:v>1224</x:v>
      </x:c>
      <x:c r="N1487" s="274" t="s">
        <x:v>870</x:v>
      </x:c>
    </x:row>
    <x:row r="1488" spans="1:14">
      <x:c r="A1488" s="274" t="s">
        <x:v>3028</x:v>
      </x:c>
      <x:c r="B1488" s="274" t="n">
        <x:v>9.88</x:v>
      </x:c>
      <x:c r="C1488" s="274" t="n">
        <x:v>25</x:v>
      </x:c>
      <x:c r="D1488" s="274" t="n">
        <x:v>30</x:v>
      </x:c>
      <x:c r="E1488" s="274" t="n">
        <x:v>0</x:v>
      </x:c>
      <x:c r="F1488" s="274" t="s">
        <x:v>123</x:v>
      </x:c>
      <x:c r="G1488" s="274" t="s">
        <x:v>906</x:v>
      </x:c>
      <x:c r="H1488" s="274" t="s">
        <x:v>907</x:v>
      </x:c>
      <x:c r="I1488" s="274" t="n">
        <x:v>0.65</x:v>
      </x:c>
      <x:c r="J1488" s="274" t="n">
        <x:v>1355</x:v>
      </x:c>
      <x:c r="K1488" s="274" t="n">
        <x:v>1658.3</x:v>
      </x:c>
      <x:c r="L1488" s="274" t="n">
        <x:v>1149.8</x:v>
      </x:c>
      <x:c r="M1488" s="274" t="s">
        <x:v>3029</x:v>
      </x:c>
      <x:c r="N1488" s="274" t="s">
        <x:v>299</x:v>
      </x:c>
    </x:row>
    <x:row r="1489" spans="1:14">
      <x:c r="A1489" s="274" t="s">
        <x:v>3030</x:v>
      </x:c>
      <x:c r="B1489" s="274" t="n">
        <x:v>9.88</x:v>
      </x:c>
      <x:c r="C1489" s="274" t="n">
        <x:v>25</x:v>
      </x:c>
      <x:c r="D1489" s="274" t="n">
        <x:v>30</x:v>
      </x:c>
      <x:c r="E1489" s="274" t="n">
        <x:v>0</x:v>
      </x:c>
      <x:c r="F1489" s="274" t="s">
        <x:v>123</x:v>
      </x:c>
      <x:c r="G1489" s="274" t="s">
        <x:v>906</x:v>
      </x:c>
      <x:c r="H1489" s="274" t="s">
        <x:v>907</x:v>
      </x:c>
      <x:c r="I1489" s="274" t="n">
        <x:v>0.65</x:v>
      </x:c>
      <x:c r="J1489" s="274" t="n">
        <x:v>1355</x:v>
      </x:c>
      <x:c r="K1489" s="274" t="n">
        <x:v>1658.3</x:v>
      </x:c>
      <x:c r="L1489" s="274" t="n">
        <x:v>1149.8</x:v>
      </x:c>
      <x:c r="M1489" s="274" t="s">
        <x:v>3031</x:v>
      </x:c>
      <x:c r="N1489" s="274" t="s">
        <x:v>299</x:v>
      </x:c>
    </x:row>
    <x:row r="1490" spans="1:14">
      <x:c r="A1490" s="274" t="s">
        <x:v>3032</x:v>
      </x:c>
      <x:c r="B1490" s="274" t="n">
        <x:v>0.75</x:v>
      </x:c>
      <x:c r="C1490" s="274" t="n">
        <x:v>0</x:v>
      </x:c>
      <x:c r="D1490" s="274" t="n">
        <x:v>0</x:v>
      </x:c>
      <x:c r="F1490" s="274" t="s">
        <x:v>2985</x:v>
      </x:c>
      <x:c r="G1490" s="274" t="s">
        <x:v>209</x:v>
      </x:c>
      <x:c r="I1490" s="274" t="n">
        <x:v>0.9</x:v>
      </x:c>
      <x:c r="J1490" s="274" t="n">
        <x:v>280</x:v>
      </x:c>
      <x:c r="K1490" s="274" t="n">
        <x:v>380</x:v>
      </x:c>
      <x:c r="M1490" s="274" t="s">
        <x:v>3033</x:v>
      </x:c>
      <x:c r="N1490" s="274" t="s">
        <x:v>870</x:v>
      </x:c>
    </x:row>
    <x:row r="1491" spans="1:14">
      <x:c r="A1491" s="274" t="s">
        <x:v>3034</x:v>
      </x:c>
      <x:c r="B1491" s="274" t="n">
        <x:v>6.33</x:v>
      </x:c>
      <x:c r="C1491" s="274" t="n">
        <x:v>0</x:v>
      </x:c>
      <x:c r="D1491" s="274" t="n">
        <x:v>32</x:v>
      </x:c>
      <x:c r="E1491" s="274" t="n">
        <x:v>37</x:v>
      </x:c>
      <x:c r="F1491" s="274" t="s">
        <x:v>2985</x:v>
      </x:c>
      <x:c r="G1491" s="274" t="s">
        <x:v>209</x:v>
      </x:c>
      <x:c r="I1491" s="274" t="n">
        <x:v>0.9</x:v>
      </x:c>
      <x:c r="J1491" s="274" t="n">
        <x:v>828</x:v>
      </x:c>
      <x:c r="K1491" s="274" t="n">
        <x:v>1082</x:v>
      </x:c>
      <x:c r="M1491" s="274" t="s">
        <x:v>1316</x:v>
      </x:c>
      <x:c r="N1491" s="274" t="s">
        <x:v>870</x:v>
      </x:c>
    </x:row>
    <x:row r="1492" spans="1:14">
      <x:c r="A1492" s="274" t="s">
        <x:v>3035</x:v>
      </x:c>
      <x:c r="B1492" s="274" t="n">
        <x:v>0.78</x:v>
      </x:c>
      <x:c r="C1492" s="274" t="n">
        <x:v>0</x:v>
      </x:c>
      <x:c r="D1492" s="274" t="n">
        <x:v>0</x:v>
      </x:c>
      <x:c r="F1492" s="274" t="s">
        <x:v>2985</x:v>
      </x:c>
      <x:c r="G1492" s="274" t="s">
        <x:v>124</x:v>
      </x:c>
      <x:c r="I1492" s="274" t="n">
        <x:v>0.8</x:v>
      </x:c>
      <x:c r="J1492" s="274" t="n">
        <x:v>325</x:v>
      </x:c>
      <x:c r="K1492" s="274" t="n">
        <x:v>380</x:v>
      </x:c>
      <x:c r="M1492" s="274" t="s">
        <x:v>1773</x:v>
      </x:c>
      <x:c r="N1492" s="274" t="s">
        <x:v>870</x:v>
      </x:c>
    </x:row>
    <x:row r="1493" spans="1:14">
      <x:c r="A1493" s="274" t="s">
        <x:v>3036</x:v>
      </x:c>
      <x:c r="B1493" s="274" t="n">
        <x:v>0.19</x:v>
      </x:c>
      <x:c r="C1493" s="274" t="n">
        <x:v>0</x:v>
      </x:c>
      <x:c r="D1493" s="274" t="n">
        <x:v>0</x:v>
      </x:c>
      <x:c r="F1493" s="274" t="s">
        <x:v>2985</x:v>
      </x:c>
      <x:c r="G1493" s="274" t="s">
        <x:v>209</x:v>
      </x:c>
      <x:c r="I1493" s="274" t="n">
        <x:v>0.6</x:v>
      </x:c>
      <x:c r="J1493" s="274" t="n">
        <x:v>241</x:v>
      </x:c>
      <x:c r="K1493" s="274" t="n">
        <x:v>170</x:v>
      </x:c>
      <x:c r="M1493" s="274" t="s">
        <x:v>1577</x:v>
      </x:c>
      <x:c r="N1493" s="274" t="s">
        <x:v>870</x:v>
      </x:c>
    </x:row>
    <x:row r="1494" spans="1:14">
      <x:c r="A1494" s="274" t="s">
        <x:v>3037</x:v>
      </x:c>
      <x:c r="B1494" s="274" t="n">
        <x:v>2.66</x:v>
      </x:c>
      <x:c r="C1494" s="274" t="n">
        <x:v>0</x:v>
      </x:c>
      <x:c r="D1494" s="274" t="n">
        <x:v>0</x:v>
      </x:c>
      <x:c r="F1494" s="274" t="s">
        <x:v>2985</x:v>
      </x:c>
      <x:c r="G1494" s="274" t="s">
        <x:v>153</x:v>
      </x:c>
      <x:c r="I1494" s="274" t="n">
        <x:v>0.8</x:v>
      </x:c>
      <x:c r="J1494" s="274" t="n">
        <x:v>280</x:v>
      </x:c>
      <x:c r="K1494" s="274" t="n">
        <x:v>1510</x:v>
      </x:c>
      <x:c r="M1494" s="274" t="s">
        <x:v>1310</x:v>
      </x:c>
      <x:c r="N1494" s="274" t="s">
        <x:v>870</x:v>
      </x:c>
    </x:row>
    <x:row r="1495" spans="1:14">
      <x:c r="A1495" s="274" t="s">
        <x:v>3038</x:v>
      </x:c>
      <x:c r="B1495" s="274" t="n">
        <x:v>0.56</x:v>
      </x:c>
      <x:c r="C1495" s="274" t="n">
        <x:v>0</x:v>
      </x:c>
      <x:c r="D1495" s="274" t="n">
        <x:v>0</x:v>
      </x:c>
      <x:c r="F1495" s="274" t="s">
        <x:v>2985</x:v>
      </x:c>
      <x:c r="G1495" s="274" t="s">
        <x:v>124</x:v>
      </x:c>
      <x:c r="I1495" s="274" t="n">
        <x:v>0.8</x:v>
      </x:c>
      <x:c r="J1495" s="274" t="n">
        <x:v>250</x:v>
      </x:c>
      <x:c r="K1495" s="274" t="n">
        <x:v>355</x:v>
      </x:c>
      <x:c r="M1495" s="274" t="s">
        <x:v>1786</x:v>
      </x:c>
      <x:c r="N1495" s="274" t="s">
        <x:v>870</x:v>
      </x:c>
    </x:row>
    <x:row r="1496" spans="1:14">
      <x:c r="A1496" s="274" t="s">
        <x:v>3039</x:v>
      </x:c>
      <x:c r="B1496" s="274" t="n">
        <x:v>0.81</x:v>
      </x:c>
      <x:c r="C1496" s="274" t="n">
        <x:v>0</x:v>
      </x:c>
      <x:c r="D1496" s="274" t="n">
        <x:v>0</x:v>
      </x:c>
      <x:c r="F1496" s="274" t="s">
        <x:v>2985</x:v>
      </x:c>
      <x:c r="G1496" s="274" t="s">
        <x:v>209</x:v>
      </x:c>
      <x:c r="I1496" s="274" t="n">
        <x:v>0.6</x:v>
      </x:c>
      <x:c r="J1496" s="274" t="n">
        <x:v>150</x:v>
      </x:c>
      <x:c r="K1496" s="274" t="n">
        <x:v>1140</x:v>
      </x:c>
      <x:c r="M1496" s="274" t="s">
        <x:v>305</x:v>
      </x:c>
      <x:c r="N1496" s="274" t="s">
        <x:v>299</x:v>
      </x:c>
    </x:row>
    <x:row r="1497" spans="1:14">
      <x:c r="A1497" s="274" t="s">
        <x:v>3040</x:v>
      </x:c>
      <x:c r="B1497" s="274" t="n">
        <x:v>1.3</x:v>
      </x:c>
      <x:c r="C1497" s="274" t="n">
        <x:v>0</x:v>
      </x:c>
      <x:c r="D1497" s="274" t="n">
        <x:v>0</x:v>
      </x:c>
      <x:c r="F1497" s="274" t="s">
        <x:v>2985</x:v>
      </x:c>
      <x:c r="G1497" s="274" t="s">
        <x:v>209</x:v>
      </x:c>
      <x:c r="I1497" s="274" t="n">
        <x:v>0.6</x:v>
      </x:c>
      <x:c r="J1497" s="274" t="n">
        <x:v>265</x:v>
      </x:c>
      <x:c r="K1497" s="274" t="n">
        <x:v>1045</x:v>
      </x:c>
      <x:c r="M1497" s="274" t="s">
        <x:v>1804</x:v>
      </x:c>
      <x:c r="N1497" s="274" t="s">
        <x:v>870</x:v>
      </x:c>
    </x:row>
    <x:row r="1498" spans="1:14">
      <x:c r="A1498" s="274" t="s">
        <x:v>3041</x:v>
      </x:c>
      <x:c r="B1498" s="274" t="n">
        <x:v>1.67</x:v>
      </x:c>
      <x:c r="C1498" s="274" t="n">
        <x:v>0</x:v>
      </x:c>
      <x:c r="D1498" s="274" t="n">
        <x:v>0</x:v>
      </x:c>
      <x:c r="F1498" s="274" t="s">
        <x:v>2985</x:v>
      </x:c>
      <x:c r="G1498" s="274" t="s">
        <x:v>209</x:v>
      </x:c>
      <x:c r="I1498" s="274" t="n">
        <x:v>0.6</x:v>
      </x:c>
      <x:c r="J1498" s="274" t="n">
        <x:v>280</x:v>
      </x:c>
      <x:c r="K1498" s="274" t="n">
        <x:v>1265</x:v>
      </x:c>
      <x:c r="M1498" s="274" t="s">
        <x:v>3042</x:v>
      </x:c>
      <x:c r="N1498" s="274" t="s">
        <x:v>299</x:v>
      </x:c>
    </x:row>
    <x:row r="1499" spans="1:14">
      <x:c r="A1499" s="274" t="s">
        <x:v>3043</x:v>
      </x:c>
      <x:c r="B1499" s="274" t="n">
        <x:v>0.4</x:v>
      </x:c>
      <x:c r="C1499" s="274" t="n">
        <x:v>0</x:v>
      </x:c>
      <x:c r="D1499" s="274" t="n">
        <x:v>0</x:v>
      </x:c>
      <x:c r="F1499" s="274" t="s">
        <x:v>2985</x:v>
      </x:c>
      <x:c r="G1499" s="274" t="s">
        <x:v>209</x:v>
      </x:c>
      <x:c r="I1499" s="274" t="n">
        <x:v>0.55</x:v>
      </x:c>
      <x:c r="J1499" s="274" t="n">
        <x:v>984</x:v>
      </x:c>
      <x:c r="K1499" s="274" t="n">
        <x:v>95</x:v>
      </x:c>
      <x:c r="M1499" s="274" t="s">
        <x:v>3044</x:v>
      </x:c>
      <x:c r="N1499" s="274" t="s">
        <x:v>870</x:v>
      </x:c>
    </x:row>
    <x:row r="1500" spans="1:14">
      <x:c r="A1500" s="274" t="s">
        <x:v>3045</x:v>
      </x:c>
      <x:c r="B1500" s="274" t="n">
        <x:v>0.44</x:v>
      </x:c>
      <x:c r="C1500" s="274" t="n">
        <x:v>0</x:v>
      </x:c>
      <x:c r="D1500" s="274" t="n">
        <x:v>0</x:v>
      </x:c>
      <x:c r="F1500" s="274" t="s">
        <x:v>2985</x:v>
      </x:c>
      <x:c r="G1500" s="274" t="s">
        <x:v>209</x:v>
      </x:c>
      <x:c r="I1500" s="274" t="n">
        <x:v>0.55</x:v>
      </x:c>
      <x:c r="J1500" s="274" t="n">
        <x:v>1068</x:v>
      </x:c>
      <x:c r="K1500" s="274" t="n">
        <x:v>96</x:v>
      </x:c>
      <x:c r="M1500" s="274" t="s">
        <x:v>3046</x:v>
      </x:c>
      <x:c r="N1500" s="274" t="s">
        <x:v>870</x:v>
      </x:c>
    </x:row>
    <x:row r="1501" spans="1:14">
      <x:c r="A1501" s="274" t="s">
        <x:v>3047</x:v>
      </x:c>
      <x:c r="B1501" s="274" t="n">
        <x:v>0.3</x:v>
      </x:c>
      <x:c r="C1501" s="274" t="n">
        <x:v>0</x:v>
      </x:c>
      <x:c r="D1501" s="274" t="n">
        <x:v>0</x:v>
      </x:c>
      <x:c r="F1501" s="274" t="s">
        <x:v>2985</x:v>
      </x:c>
      <x:c r="G1501" s="274" t="s">
        <x:v>209</x:v>
      </x:c>
      <x:c r="I1501" s="274" t="n">
        <x:v>0.75</x:v>
      </x:c>
      <x:c r="J1501" s="274" t="n">
        <x:v>197</x:v>
      </x:c>
      <x:c r="K1501" s="274" t="n">
        <x:v>260</x:v>
      </x:c>
      <x:c r="M1501" s="274" t="s">
        <x:v>3048</x:v>
      </x:c>
      <x:c r="N1501" s="274" t="s">
        <x:v>299</x:v>
      </x:c>
    </x:row>
    <x:row r="1502" spans="1:14">
      <x:c r="A1502" s="274" t="s">
        <x:v>3049</x:v>
      </x:c>
      <x:c r="B1502" s="274" t="n">
        <x:v>0.64</x:v>
      </x:c>
      <x:c r="C1502" s="274" t="n">
        <x:v>0</x:v>
      </x:c>
      <x:c r="D1502" s="274" t="n">
        <x:v>0</x:v>
      </x:c>
      <x:c r="F1502" s="274" t="s">
        <x:v>2985</x:v>
      </x:c>
      <x:c r="G1502" s="274" t="s">
        <x:v>209</x:v>
      </x:c>
      <x:c r="I1502" s="274" t="n">
        <x:v>1</x:v>
      </x:c>
      <x:c r="J1502" s="274" t="n">
        <x:v>65</x:v>
      </x:c>
      <x:c r="K1502" s="274" t="n">
        <x:v>1250</x:v>
      </x:c>
      <x:c r="M1502" s="274" t="s">
        <x:v>3050</x:v>
      </x:c>
      <x:c r="N1502" s="274" t="s">
        <x:v>870</x:v>
      </x:c>
    </x:row>
    <x:row r="1503" spans="1:14">
      <x:c r="A1503" s="274" t="s">
        <x:v>3051</x:v>
      </x:c>
      <x:c r="B1503" s="274" t="n">
        <x:v>1.37</x:v>
      </x:c>
      <x:c r="C1503" s="274" t="n">
        <x:v>0</x:v>
      </x:c>
      <x:c r="D1503" s="274" t="n">
        <x:v>0</x:v>
      </x:c>
      <x:c r="F1503" s="274" t="s">
        <x:v>2985</x:v>
      </x:c>
      <x:c r="G1503" s="274" t="s">
        <x:v>209</x:v>
      </x:c>
      <x:c r="I1503" s="274" t="n">
        <x:v>2.3</x:v>
      </x:c>
      <x:c r="J1503" s="274" t="n">
        <x:v>142</x:v>
      </x:c>
      <x:c r="K1503" s="274" t="n">
        <x:v>533</x:v>
      </x:c>
      <x:c r="M1503" s="274" t="s">
        <x:v>923</x:v>
      </x:c>
      <x:c r="N1503" s="274" t="s">
        <x:v>870</x:v>
      </x:c>
    </x:row>
    <x:row r="1504" spans="1:14">
      <x:c r="A1504" s="274" t="s">
        <x:v>3052</x:v>
      </x:c>
      <x:c r="B1504" s="274" t="n">
        <x:v>1.54</x:v>
      </x:c>
      <x:c r="C1504" s="274" t="n">
        <x:v>0</x:v>
      </x:c>
      <x:c r="D1504" s="274" t="n">
        <x:v>0</x:v>
      </x:c>
      <x:c r="F1504" s="274" t="s">
        <x:v>2985</x:v>
      </x:c>
      <x:c r="G1504" s="274" t="s">
        <x:v>209</x:v>
      </x:c>
      <x:c r="I1504" s="274" t="n">
        <x:v>2.3</x:v>
      </x:c>
      <x:c r="J1504" s="274" t="n">
        <x:v>70</x:v>
      </x:c>
      <x:c r="K1504" s="274" t="n">
        <x:v>1220</x:v>
      </x:c>
      <x:c r="M1504" s="274" t="s">
        <x:v>3053</x:v>
      </x:c>
      <x:c r="N1504" s="274" t="s">
        <x:v>870</x:v>
      </x:c>
    </x:row>
    <x:row r="1505" spans="1:14">
      <x:c r="A1505" s="274" t="s">
        <x:v>3054</x:v>
      </x:c>
      <x:c r="B1505" s="274" t="n">
        <x:v>1.63</x:v>
      </x:c>
      <x:c r="C1505" s="274" t="n">
        <x:v>0</x:v>
      </x:c>
      <x:c r="D1505" s="274" t="n">
        <x:v>0</x:v>
      </x:c>
      <x:c r="F1505" s="274" t="s">
        <x:v>2985</x:v>
      </x:c>
      <x:c r="G1505" s="274" t="s">
        <x:v>153</x:v>
      </x:c>
      <x:c r="I1505" s="274" t="n">
        <x:v>2</x:v>
      </x:c>
      <x:c r="J1505" s="274" t="n">
        <x:v>85</x:v>
      </x:c>
      <x:c r="K1505" s="274" t="n">
        <x:v>1219</x:v>
      </x:c>
      <x:c r="M1505" s="274" t="s">
        <x:v>2146</x:v>
      </x:c>
      <x:c r="N1505" s="274" t="s">
        <x:v>870</x:v>
      </x:c>
    </x:row>
    <x:row r="1506" spans="1:14">
      <x:c r="A1506" s="274" t="s">
        <x:v>3055</x:v>
      </x:c>
      <x:c r="B1506" s="274" t="n">
        <x:v>5.18</x:v>
      </x:c>
      <x:c r="C1506" s="274" t="n">
        <x:v>0</x:v>
      </x:c>
      <x:c r="D1506" s="274" t="n">
        <x:v>0</x:v>
      </x:c>
      <x:c r="F1506" s="274" t="s">
        <x:v>2985</x:v>
      </x:c>
      <x:c r="G1506" s="274" t="s">
        <x:v>153</x:v>
      </x:c>
      <x:c r="I1506" s="274" t="n">
        <x:v>2</x:v>
      </x:c>
      <x:c r="J1506" s="274" t="n">
        <x:v>550</x:v>
      </x:c>
      <x:c r="K1506" s="274" t="n">
        <x:v>600</x:v>
      </x:c>
      <x:c r="M1506" s="274" t="s">
        <x:v>1403</x:v>
      </x:c>
      <x:c r="N1506" s="274" t="s">
        <x:v>870</x:v>
      </x:c>
    </x:row>
    <x:row r="1507" spans="1:14">
      <x:c r="A1507" s="274" t="s">
        <x:v>3056</x:v>
      </x:c>
      <x:c r="B1507" s="274" t="n">
        <x:v>0.53</x:v>
      </x:c>
      <x:c r="C1507" s="274" t="n">
        <x:v>0</x:v>
      </x:c>
      <x:c r="D1507" s="274" t="n">
        <x:v>0</x:v>
      </x:c>
      <x:c r="F1507" s="274" t="s">
        <x:v>2985</x:v>
      </x:c>
      <x:c r="G1507" s="274" t="s">
        <x:v>153</x:v>
      </x:c>
      <x:c r="I1507" s="274" t="n">
        <x:v>2</x:v>
      </x:c>
      <x:c r="J1507" s="274" t="n">
        <x:v>240</x:v>
      </x:c>
      <x:c r="K1507" s="274" t="n">
        <x:v>140</x:v>
      </x:c>
      <x:c r="M1507" s="274" t="s">
        <x:v>3057</x:v>
      </x:c>
      <x:c r="N1507" s="274" t="s">
        <x:v>870</x:v>
      </x:c>
    </x:row>
    <x:row r="1508" spans="1:14">
      <x:c r="A1508" s="274" t="s">
        <x:v>3058</x:v>
      </x:c>
      <x:c r="B1508" s="274" t="n">
        <x:v>0.76</x:v>
      </x:c>
      <x:c r="C1508" s="274" t="n">
        <x:v>0</x:v>
      </x:c>
      <x:c r="D1508" s="274" t="n">
        <x:v>0</x:v>
      </x:c>
      <x:c r="F1508" s="274" t="s">
        <x:v>2985</x:v>
      </x:c>
      <x:c r="G1508" s="274" t="s">
        <x:v>153</x:v>
      </x:c>
      <x:c r="I1508" s="274" t="n">
        <x:v>2</x:v>
      </x:c>
      <x:c r="J1508" s="274" t="n">
        <x:v>210</x:v>
      </x:c>
      <x:c r="K1508" s="274" t="n">
        <x:v>230</x:v>
      </x:c>
      <x:c r="M1508" s="274" t="s">
        <x:v>3059</x:v>
      </x:c>
      <x:c r="N1508" s="274" t="s">
        <x:v>155</x:v>
      </x:c>
    </x:row>
    <x:row r="1509" spans="1:14">
      <x:c r="A1509" s="274" t="s">
        <x:v>3060</x:v>
      </x:c>
      <x:c r="B1509" s="274" t="n">
        <x:v>1.23</x:v>
      </x:c>
      <x:c r="C1509" s="274" t="n">
        <x:v>0</x:v>
      </x:c>
      <x:c r="D1509" s="274" t="n">
        <x:v>0</x:v>
      </x:c>
      <x:c r="F1509" s="274" t="s">
        <x:v>2985</x:v>
      </x:c>
      <x:c r="G1509" s="274" t="s">
        <x:v>209</x:v>
      </x:c>
      <x:c r="I1509" s="274" t="n">
        <x:v>2</x:v>
      </x:c>
      <x:c r="J1509" s="274" t="n">
        <x:v>64</x:v>
      </x:c>
      <x:c r="K1509" s="274" t="n">
        <x:v>1225</x:v>
      </x:c>
      <x:c r="M1509" s="274" t="s">
        <x:v>3061</x:v>
      </x:c>
      <x:c r="N1509" s="274" t="s">
        <x:v>131</x:v>
      </x:c>
    </x:row>
    <x:row r="1510" spans="1:14">
      <x:c r="A1510" s="274" t="s">
        <x:v>3062</x:v>
      </x:c>
      <x:c r="B1510" s="274" t="n">
        <x:v>0.81</x:v>
      </x:c>
      <x:c r="C1510" s="274" t="n">
        <x:v>0</x:v>
      </x:c>
      <x:c r="D1510" s="274" t="n">
        <x:v>35</x:v>
      </x:c>
      <x:c r="E1510" s="274" t="n">
        <x:v>33</x:v>
      </x:c>
      <x:c r="F1510" s="274" t="s">
        <x:v>2985</x:v>
      </x:c>
      <x:c r="G1510" s="274" t="s">
        <x:v>209</x:v>
      </x:c>
      <x:c r="I1510" s="274" t="n">
        <x:v>2</x:v>
      </x:c>
      <x:c r="J1510" s="274" t="n">
        <x:v>310</x:v>
      </x:c>
      <x:c r="K1510" s="274" t="n">
        <x:v>167</x:v>
      </x:c>
      <x:c r="M1510" s="274" t="s">
        <x:v>3063</x:v>
      </x:c>
      <x:c r="N1510" s="274" t="s">
        <x:v>131</x:v>
      </x:c>
    </x:row>
    <x:row r="1511" spans="1:14">
      <x:c r="A1511" s="274" t="s">
        <x:v>3064</x:v>
      </x:c>
      <x:c r="B1511" s="274" t="n">
        <x:v>0.37</x:v>
      </x:c>
      <x:c r="C1511" s="274" t="n">
        <x:v>0</x:v>
      </x:c>
      <x:c r="D1511" s="274" t="n">
        <x:v>0</x:v>
      </x:c>
      <x:c r="F1511" s="274" t="s">
        <x:v>2985</x:v>
      </x:c>
      <x:c r="G1511" s="274" t="s">
        <x:v>209</x:v>
      </x:c>
      <x:c r="I1511" s="274" t="n">
        <x:v>1.8</x:v>
      </x:c>
      <x:c r="J1511" s="274" t="n">
        <x:v>175</x:v>
      </x:c>
      <x:c r="K1511" s="274" t="n">
        <x:v>150</x:v>
      </x:c>
      <x:c r="M1511" s="274" t="s">
        <x:v>3065</x:v>
      </x:c>
      <x:c r="N1511" s="274" t="s">
        <x:v>299</x:v>
      </x:c>
    </x:row>
    <x:row r="1512" spans="1:14">
      <x:c r="A1512" s="274" t="s">
        <x:v>3066</x:v>
      </x:c>
      <x:c r="B1512" s="274" t="n">
        <x:v>1.77</x:v>
      </x:c>
      <x:c r="C1512" s="274" t="n">
        <x:v>0</x:v>
      </x:c>
      <x:c r="D1512" s="274" t="n">
        <x:v>0</x:v>
      </x:c>
      <x:c r="F1512" s="274" t="s">
        <x:v>2985</x:v>
      </x:c>
      <x:c r="G1512" s="274" t="s">
        <x:v>209</x:v>
      </x:c>
      <x:c r="I1512" s="274" t="n">
        <x:v>1.6</x:v>
      </x:c>
      <x:c r="J1512" s="274" t="n">
        <x:v>113</x:v>
      </x:c>
      <x:c r="K1512" s="274" t="n">
        <x:v>1250</x:v>
      </x:c>
      <x:c r="M1512" s="274" t="s">
        <x:v>3067</x:v>
      </x:c>
      <x:c r="N1512" s="274" t="s">
        <x:v>870</x:v>
      </x:c>
    </x:row>
    <x:row r="1513" spans="1:14">
      <x:c r="A1513" s="274" t="s">
        <x:v>3068</x:v>
      </x:c>
      <x:c r="B1513" s="274" t="n">
        <x:v>0.57</x:v>
      </x:c>
      <x:c r="C1513" s="274" t="n">
        <x:v>30</x:v>
      </x:c>
      <x:c r="D1513" s="274" t="n">
        <x:v>35</x:v>
      </x:c>
      <x:c r="E1513" s="274" t="n">
        <x:v>33</x:v>
      </x:c>
      <x:c r="F1513" s="274" t="s">
        <x:v>133</x:v>
      </x:c>
      <x:c r="G1513" s="274" t="s">
        <x:v>136</x:v>
      </x:c>
      <x:c r="H1513" s="274" t="n">
        <x:v>45</x:v>
      </x:c>
      <x:c r="I1513" s="274" t="n">
        <x:v>1.2</x:v>
      </x:c>
      <x:c r="J1513" s="274" t="n">
        <x:v>140</x:v>
      </x:c>
      <x:c r="K1513" s="274" t="n">
        <x:v>431</x:v>
      </x:c>
      <x:c r="M1513" s="274" t="s">
        <x:v>3069</x:v>
      </x:c>
      <x:c r="N1513" s="274" t="s">
        <x:v>131</x:v>
      </x:c>
    </x:row>
    <x:row r="1514" spans="1:14">
      <x:c r="A1514" s="274" t="s">
        <x:v>3070</x:v>
      </x:c>
      <x:c r="B1514" s="274" t="n">
        <x:v>6.93</x:v>
      </x:c>
      <x:c r="C1514" s="274" t="n">
        <x:v>0</x:v>
      </x:c>
      <x:c r="D1514" s="274" t="n">
        <x:v>32</x:v>
      </x:c>
      <x:c r="E1514" s="274" t="n">
        <x:v>18</x:v>
      </x:c>
      <x:c r="F1514" s="274" t="s">
        <x:v>333</x:v>
      </x:c>
      <x:c r="G1514" s="274" t="s">
        <x:v>153</x:v>
      </x:c>
      <x:c r="I1514" s="274" t="n">
        <x:v>0.7</x:v>
      </x:c>
      <x:c r="J1514" s="274" t="n">
        <x:v>595</x:v>
      </x:c>
      <x:c r="K1514" s="274" t="n">
        <x:v>2122</x:v>
      </x:c>
      <x:c r="M1514" s="274" t="s">
        <x:v>3071</x:v>
      </x:c>
      <x:c r="N1514" s="274" t="s">
        <x:v>299</x:v>
      </x:c>
    </x:row>
    <x:row r="1515" spans="1:14">
      <x:c r="A1515" s="274" t="s">
        <x:v>3072</x:v>
      </x:c>
      <x:c r="B1515" s="274" t="n">
        <x:v>0.31</x:v>
      </x:c>
      <x:c r="C1515" s="274" t="n">
        <x:v>0</x:v>
      </x:c>
      <x:c r="D1515" s="274" t="n">
        <x:v>0</x:v>
      </x:c>
      <x:c r="F1515" s="274" t="s">
        <x:v>2985</x:v>
      </x:c>
      <x:c r="G1515" s="274" t="s">
        <x:v>209</x:v>
      </x:c>
      <x:c r="I1515" s="274" t="n">
        <x:v>1.2</x:v>
      </x:c>
      <x:c r="J1515" s="274" t="n">
        <x:v>82</x:v>
      </x:c>
      <x:c r="K1515" s="274" t="n">
        <x:v>396</x:v>
      </x:c>
      <x:c r="M1515" s="274" t="s">
        <x:v>3073</x:v>
      </x:c>
      <x:c r="N1515" s="274" t="s">
        <x:v>299</x:v>
      </x:c>
    </x:row>
    <x:row r="1516" spans="1:14">
      <x:c r="A1516" s="274" t="s">
        <x:v>3074</x:v>
      </x:c>
      <x:c r="B1516" s="274" t="n">
        <x:v>1.15</x:v>
      </x:c>
      <x:c r="C1516" s="274" t="n">
        <x:v>0</x:v>
      </x:c>
      <x:c r="D1516" s="274" t="n">
        <x:v>0</x:v>
      </x:c>
      <x:c r="F1516" s="274" t="s">
        <x:v>2985</x:v>
      </x:c>
      <x:c r="G1516" s="274" t="s">
        <x:v>209</x:v>
      </x:c>
      <x:c r="I1516" s="274" t="n">
        <x:v>1.2</x:v>
      </x:c>
      <x:c r="J1516" s="274" t="n">
        <x:v>105</x:v>
      </x:c>
      <x:c r="K1516" s="274" t="n">
        <x:v>1162</x:v>
      </x:c>
      <x:c r="M1516" s="274" t="s">
        <x:v>3075</x:v>
      </x:c>
      <x:c r="N1516" s="274" t="s">
        <x:v>870</x:v>
      </x:c>
    </x:row>
    <x:row r="1517" spans="1:14">
      <x:c r="A1517" s="274" t="s">
        <x:v>3076</x:v>
      </x:c>
      <x:c r="B1517" s="274" t="n">
        <x:v>1.47</x:v>
      </x:c>
      <x:c r="C1517" s="274" t="n">
        <x:v>0</x:v>
      </x:c>
      <x:c r="D1517" s="274" t="n">
        <x:v>0</x:v>
      </x:c>
      <x:c r="F1517" s="274" t="s">
        <x:v>2985</x:v>
      </x:c>
      <x:c r="G1517" s="274" t="s">
        <x:v>209</x:v>
      </x:c>
      <x:c r="I1517" s="274" t="n">
        <x:v>1.2</x:v>
      </x:c>
      <x:c r="J1517" s="274" t="n">
        <x:v>126</x:v>
      </x:c>
      <x:c r="K1517" s="274" t="n">
        <x:v>1235</x:v>
      </x:c>
      <x:c r="M1517" s="274" t="s">
        <x:v>3077</x:v>
      </x:c>
      <x:c r="N1517" s="274" t="s">
        <x:v>870</x:v>
      </x:c>
    </x:row>
    <x:row r="1518" spans="1:14">
      <x:c r="A1518" s="274" t="s">
        <x:v>3078</x:v>
      </x:c>
      <x:c r="B1518" s="274" t="n">
        <x:v>3.924</x:v>
      </x:c>
      <x:c r="C1518" s="274" t="n">
        <x:v>16</x:v>
      </x:c>
      <x:c r="D1518" s="274" t="n">
        <x:v>25</x:v>
      </x:c>
      <x:c r="E1518" s="274" t="n">
        <x:v>18</x:v>
      </x:c>
      <x:c r="F1518" s="274" t="s">
        <x:v>123</x:v>
      </x:c>
      <x:c r="G1518" s="274" t="s">
        <x:v>2796</x:v>
      </x:c>
      <x:c r="I1518" s="274" t="n">
        <x:v>1.6</x:v>
      </x:c>
      <x:c r="J1518" s="274" t="n">
        <x:v>378</x:v>
      </x:c>
      <x:c r="K1518" s="274" t="n">
        <x:v>825</x:v>
      </x:c>
    </x:row>
    <x:row r="1519" spans="1:14">
      <x:c r="A1519" s="274" t="s">
        <x:v>3079</x:v>
      </x:c>
      <x:c r="B1519" s="274" t="n">
        <x:v>1.186</x:v>
      </x:c>
      <x:c r="C1519" s="274" t="n">
        <x:v>0</x:v>
      </x:c>
      <x:c r="D1519" s="274" t="n">
        <x:v>18</x:v>
      </x:c>
      <x:c r="E1519" s="274" t="n">
        <x:v>18</x:v>
      </x:c>
      <x:c r="F1519" s="274" t="s">
        <x:v>123</x:v>
      </x:c>
      <x:c r="G1519" s="274" t="s">
        <x:v>2637</x:v>
      </x:c>
      <x:c r="I1519" s="274" t="n">
        <x:v>1.5</x:v>
      </x:c>
      <x:c r="J1519" s="274" t="n">
        <x:v>82</x:v>
      </x:c>
      <x:c r="K1519" s="274" t="n">
        <x:v>1250</x:v>
      </x:c>
    </x:row>
    <x:row r="1520" spans="1:14">
      <x:c r="A1520" s="274" t="s">
        <x:v>3080</x:v>
      </x:c>
      <x:c r="B1520" s="274" t="n">
        <x:v>2.563</x:v>
      </x:c>
      <x:c r="C1520" s="274" t="n">
        <x:v>0</x:v>
      </x:c>
      <x:c r="D1520" s="274" t="n">
        <x:v>18</x:v>
      </x:c>
      <x:c r="E1520" s="274" t="n">
        <x:v>18</x:v>
      </x:c>
      <x:c r="F1520" s="274" t="s">
        <x:v>123</x:v>
      </x:c>
      <x:c r="G1520" s="274" t="s">
        <x:v>2637</x:v>
      </x:c>
      <x:c r="I1520" s="274" t="n">
        <x:v>1.5</x:v>
      </x:c>
      <x:c r="J1520" s="274" t="n">
        <x:v>177</x:v>
      </x:c>
      <x:c r="K1520" s="274" t="n">
        <x:v>1250</x:v>
      </x:c>
    </x:row>
    <x:row r="1521" spans="1:14">
      <x:c r="A1521" s="274" t="s">
        <x:v>3081</x:v>
      </x:c>
      <x:c r="B1521" s="274" t="n">
        <x:v>2.679</x:v>
      </x:c>
      <x:c r="C1521" s="274" t="n">
        <x:v>0</x:v>
      </x:c>
      <x:c r="D1521" s="274" t="n">
        <x:v>18</x:v>
      </x:c>
      <x:c r="E1521" s="274" t="n">
        <x:v>18</x:v>
      </x:c>
      <x:c r="F1521" s="274" t="s">
        <x:v>123</x:v>
      </x:c>
      <x:c r="G1521" s="274" t="s">
        <x:v>2637</x:v>
      </x:c>
      <x:c r="I1521" s="274" t="n">
        <x:v>1.5</x:v>
      </x:c>
      <x:c r="J1521" s="274" t="n">
        <x:v>190</x:v>
      </x:c>
      <x:c r="K1521" s="274" t="n">
        <x:v>1217</x:v>
      </x:c>
    </x:row>
    <x:row r="1522" spans="1:14">
      <x:c r="A1522" s="274" t="s">
        <x:v>3082</x:v>
      </x:c>
      <x:c r="B1522" s="274" t="n">
        <x:v>0.914</x:v>
      </x:c>
      <x:c r="C1522" s="274" t="n">
        <x:v>0</x:v>
      </x:c>
      <x:c r="D1522" s="274" t="n">
        <x:v>18</x:v>
      </x:c>
      <x:c r="E1522" s="274" t="n">
        <x:v>18</x:v>
      </x:c>
      <x:c r="F1522" s="274" t="s">
        <x:v>123</x:v>
      </x:c>
      <x:c r="G1522" s="274" t="s">
        <x:v>2637</x:v>
      </x:c>
      <x:c r="I1522" s="274" t="n">
        <x:v>1.5</x:v>
      </x:c>
      <x:c r="J1522" s="274" t="n">
        <x:v>62</x:v>
      </x:c>
      <x:c r="K1522" s="274" t="n">
        <x:v>1250</x:v>
      </x:c>
    </x:row>
    <x:row r="1523" spans="1:14">
      <x:c r="A1523" s="274" t="s">
        <x:v>3083</x:v>
      </x:c>
      <x:c r="B1523" s="274" t="n">
        <x:v>5.97</x:v>
      </x:c>
      <x:c r="C1523" s="274" t="n">
        <x:v>0</x:v>
      </x:c>
      <x:c r="D1523" s="274" t="n">
        <x:v>32</x:v>
      </x:c>
      <x:c r="E1523" s="274" t="n">
        <x:v>40</x:v>
      </x:c>
      <x:c r="F1523" s="274" t="s">
        <x:v>2985</x:v>
      </x:c>
      <x:c r="G1523" s="274" t="s">
        <x:v>124</x:v>
      </x:c>
      <x:c r="I1523" s="274" t="n">
        <x:v>1.2</x:v>
      </x:c>
      <x:c r="J1523" s="274" t="n">
        <x:v>1440</x:v>
      </x:c>
      <x:c r="K1523" s="274" t="n">
        <x:v>440</x:v>
      </x:c>
      <x:c r="M1523" s="274" t="s">
        <x:v>3084</x:v>
      </x:c>
      <x:c r="N1523" s="274" t="s">
        <x:v>299</x:v>
      </x:c>
    </x:row>
    <x:row r="1524" spans="1:14">
      <x:c r="A1524" s="274" t="s">
        <x:v>3085</x:v>
      </x:c>
      <x:c r="B1524" s="274" t="n">
        <x:v>0.37</x:v>
      </x:c>
      <x:c r="C1524" s="274" t="n">
        <x:v>0</x:v>
      </x:c>
      <x:c r="D1524" s="274" t="n">
        <x:v>0</x:v>
      </x:c>
      <x:c r="F1524" s="274" t="s">
        <x:v>2985</x:v>
      </x:c>
      <x:c r="G1524" s="274" t="s">
        <x:v>124</x:v>
      </x:c>
      <x:c r="I1524" s="274" t="n">
        <x:v>1.2</x:v>
      </x:c>
      <x:c r="J1524" s="274" t="n">
        <x:v>275</x:v>
      </x:c>
      <x:c r="K1524" s="274" t="n">
        <x:v>142</x:v>
      </x:c>
      <x:c r="M1524" s="274" t="s">
        <x:v>3086</x:v>
      </x:c>
      <x:c r="N1524" s="274" t="s">
        <x:v>870</x:v>
      </x:c>
    </x:row>
    <x:row r="1525" spans="1:14">
      <x:c r="A1525" s="274" t="s">
        <x:v>3087</x:v>
      </x:c>
      <x:c r="B1525" s="274" t="n">
        <x:v>0.35</x:v>
      </x:c>
      <x:c r="C1525" s="274" t="n">
        <x:v>0</x:v>
      </x:c>
      <x:c r="D1525" s="274" t="n">
        <x:v>0</x:v>
      </x:c>
      <x:c r="F1525" s="274" t="s">
        <x:v>2985</x:v>
      </x:c>
      <x:c r="G1525" s="274" t="s">
        <x:v>124</x:v>
      </x:c>
      <x:c r="I1525" s="274" t="n">
        <x:v>1.2</x:v>
      </x:c>
      <x:c r="J1525" s="274" t="n">
        <x:v>265</x:v>
      </x:c>
      <x:c r="K1525" s="274" t="n">
        <x:v>140</x:v>
      </x:c>
      <x:c r="M1525" s="274" t="s">
        <x:v>3088</x:v>
      </x:c>
      <x:c r="N1525" s="274" t="s">
        <x:v>870</x:v>
      </x:c>
    </x:row>
    <x:row r="1526" spans="1:14">
      <x:c r="A1526" s="274" t="s">
        <x:v>3089</x:v>
      </x:c>
      <x:c r="B1526" s="274" t="n">
        <x:v>1.38</x:v>
      </x:c>
      <x:c r="C1526" s="274" t="n">
        <x:v>0</x:v>
      </x:c>
      <x:c r="D1526" s="274" t="n">
        <x:v>0</x:v>
      </x:c>
      <x:c r="F1526" s="274" t="s">
        <x:v>2985</x:v>
      </x:c>
      <x:c r="G1526" s="274" t="s">
        <x:v>124</x:v>
      </x:c>
      <x:c r="I1526" s="274" t="n">
        <x:v>1.2</x:v>
      </x:c>
      <x:c r="J1526" s="274" t="n">
        <x:v>120</x:v>
      </x:c>
      <x:c r="K1526" s="274" t="n">
        <x:v>1219</x:v>
      </x:c>
      <x:c r="M1526" s="274" t="s">
        <x:v>2816</x:v>
      </x:c>
      <x:c r="N1526" s="274" t="s">
        <x:v>870</x:v>
      </x:c>
    </x:row>
    <x:row r="1527" spans="1:14">
      <x:c r="A1527" s="274" t="s">
        <x:v>3090</x:v>
      </x:c>
      <x:c r="B1527" s="274" t="n">
        <x:v>2.16</x:v>
      </x:c>
      <x:c r="C1527" s="274" t="n">
        <x:v>0</x:v>
      </x:c>
      <x:c r="D1527" s="274" t="n">
        <x:v>0</x:v>
      </x:c>
      <x:c r="F1527" s="274" t="s">
        <x:v>2985</x:v>
      </x:c>
      <x:c r="G1527" s="274" t="s">
        <x:v>124</x:v>
      </x:c>
      <x:c r="I1527" s="274" t="n">
        <x:v>1.2</x:v>
      </x:c>
      <x:c r="J1527" s="274" t="n">
        <x:v>215</x:v>
      </x:c>
      <x:c r="K1527" s="274" t="n">
        <x:v>1065</x:v>
      </x:c>
      <x:c r="M1527" s="274" t="s">
        <x:v>2140</x:v>
      </x:c>
      <x:c r="N1527" s="274" t="s">
        <x:v>870</x:v>
      </x:c>
    </x:row>
    <x:row r="1528" spans="1:14">
      <x:c r="A1528" s="274" t="s">
        <x:v>3091</x:v>
      </x:c>
      <x:c r="B1528" s="274" t="n">
        <x:v>4.77</x:v>
      </x:c>
      <x:c r="C1528" s="274" t="n">
        <x:v>0</x:v>
      </x:c>
      <x:c r="D1528" s="274" t="n">
        <x:v>0</x:v>
      </x:c>
      <x:c r="F1528" s="274" t="s">
        <x:v>2985</x:v>
      </x:c>
      <x:c r="G1528" s="274" t="s">
        <x:v>124</x:v>
      </x:c>
      <x:c r="I1528" s="274" t="n">
        <x:v>1.2</x:v>
      </x:c>
      <x:c r="J1528" s="274" t="n">
        <x:v>405</x:v>
      </x:c>
      <x:c r="K1528" s="274" t="n">
        <x:v>1250</x:v>
      </x:c>
      <x:c r="M1528" s="274" t="s">
        <x:v>3092</x:v>
      </x:c>
      <x:c r="N1528" s="274" t="s">
        <x:v>870</x:v>
      </x:c>
    </x:row>
    <x:row r="1529" spans="1:14">
      <x:c r="A1529" s="274" t="s">
        <x:v>3093</x:v>
      </x:c>
      <x:c r="B1529" s="274" t="n">
        <x:v>4.19</x:v>
      </x:c>
      <x:c r="C1529" s="274" t="n">
        <x:v>0</x:v>
      </x:c>
      <x:c r="D1529" s="274" t="n">
        <x:v>0</x:v>
      </x:c>
      <x:c r="F1529" s="274" t="s">
        <x:v>2985</x:v>
      </x:c>
      <x:c r="G1529" s="274" t="s">
        <x:v>153</x:v>
      </x:c>
      <x:c r="I1529" s="274" t="n">
        <x:v>2</x:v>
      </x:c>
      <x:c r="J1529" s="274" t="n">
        <x:v>290</x:v>
      </x:c>
      <x:c r="K1529" s="274" t="n">
        <x:v>920</x:v>
      </x:c>
      <x:c r="M1529" s="274" t="s">
        <x:v>3094</x:v>
      </x:c>
      <x:c r="N1529" s="274" t="s">
        <x:v>299</x:v>
      </x:c>
    </x:row>
    <x:row r="1530" spans="1:14">
      <x:c r="A1530" s="274" t="s">
        <x:v>3095</x:v>
      </x:c>
      <x:c r="B1530" s="274" t="n">
        <x:v>1.69</x:v>
      </x:c>
      <x:c r="C1530" s="274" t="n">
        <x:v>0</x:v>
      </x:c>
      <x:c r="D1530" s="274" t="n">
        <x:v>0</x:v>
      </x:c>
      <x:c r="F1530" s="274" t="s">
        <x:v>2985</x:v>
      </x:c>
      <x:c r="G1530" s="274" t="s">
        <x:v>124</x:v>
      </x:c>
      <x:c r="I1530" s="274" t="n">
        <x:v>1.2</x:v>
      </x:c>
      <x:c r="J1530" s="274" t="n">
        <x:v>1045</x:v>
      </x:c>
      <x:c r="K1530" s="274" t="n">
        <x:v>172</x:v>
      </x:c>
      <x:c r="M1530" s="274" t="s">
        <x:v>3096</x:v>
      </x:c>
      <x:c r="N1530" s="274" t="s">
        <x:v>870</x:v>
      </x:c>
    </x:row>
    <x:row r="1531" spans="1:14">
      <x:c r="A1531" s="274" t="s">
        <x:v>3097</x:v>
      </x:c>
      <x:c r="B1531" s="274" t="n">
        <x:v>1.99</x:v>
      </x:c>
      <x:c r="C1531" s="274" t="n">
        <x:v>0</x:v>
      </x:c>
      <x:c r="D1531" s="274" t="n">
        <x:v>0</x:v>
      </x:c>
      <x:c r="F1531" s="274" t="s">
        <x:v>2985</x:v>
      </x:c>
      <x:c r="G1531" s="274" t="s">
        <x:v>124</x:v>
      </x:c>
      <x:c r="I1531" s="274" t="n">
        <x:v>1.2</x:v>
      </x:c>
      <x:c r="J1531" s="274" t="n">
        <x:v>172</x:v>
      </x:c>
      <x:c r="K1531" s="274" t="n">
        <x:v>1230</x:v>
      </x:c>
      <x:c r="M1531" s="274" t="s">
        <x:v>3098</x:v>
      </x:c>
      <x:c r="N1531" s="274" t="s">
        <x:v>870</x:v>
      </x:c>
    </x:row>
    <x:row r="1532" spans="1:14">
      <x:c r="A1532" s="274" t="s">
        <x:v>3099</x:v>
      </x:c>
      <x:c r="B1532" s="274" t="n">
        <x:v>2.14</x:v>
      </x:c>
      <x:c r="C1532" s="274" t="n">
        <x:v>0</x:v>
      </x:c>
      <x:c r="D1532" s="274" t="n">
        <x:v>0</x:v>
      </x:c>
      <x:c r="F1532" s="274" t="s">
        <x:v>2985</x:v>
      </x:c>
      <x:c r="G1532" s="274" t="s">
        <x:v>124</x:v>
      </x:c>
      <x:c r="I1532" s="274" t="n">
        <x:v>1.2</x:v>
      </x:c>
      <x:c r="J1532" s="274" t="n">
        <x:v>191</x:v>
      </x:c>
      <x:c r="K1532" s="274" t="n">
        <x:v>1189</x:v>
      </x:c>
      <x:c r="M1532" s="274" t="s">
        <x:v>1561</x:v>
      </x:c>
      <x:c r="N1532" s="274" t="s">
        <x:v>870</x:v>
      </x:c>
    </x:row>
    <x:row r="1533" spans="1:14">
      <x:c r="A1533" s="274" t="s">
        <x:v>3100</x:v>
      </x:c>
      <x:c r="B1533" s="274" t="n">
        <x:v>0.55</x:v>
      </x:c>
      <x:c r="C1533" s="274" t="n">
        <x:v>0</x:v>
      </x:c>
      <x:c r="D1533" s="274" t="n">
        <x:v>0</x:v>
      </x:c>
      <x:c r="F1533" s="274" t="s">
        <x:v>2985</x:v>
      </x:c>
      <x:c r="G1533" s="274" t="s">
        <x:v>209</x:v>
      </x:c>
      <x:c r="I1533" s="274" t="n">
        <x:v>1.6</x:v>
      </x:c>
      <x:c r="J1533" s="274" t="n">
        <x:v>40</x:v>
      </x:c>
      <x:c r="K1533" s="274" t="n">
        <x:v>1085</x:v>
      </x:c>
      <x:c r="M1533" s="274" t="s">
        <x:v>3101</x:v>
      </x:c>
      <x:c r="N1533" s="274" t="s">
        <x:v>3102</x:v>
      </x:c>
    </x:row>
    <x:row r="1534" spans="1:14">
      <x:c r="A1534" s="274" t="s">
        <x:v>3103</x:v>
      </x:c>
      <x:c r="B1534" s="274" t="n">
        <x:v>3.75</x:v>
      </x:c>
      <x:c r="C1534" s="274" t="n">
        <x:v>0</x:v>
      </x:c>
      <x:c r="D1534" s="274" t="n">
        <x:v>0</x:v>
      </x:c>
      <x:c r="F1534" s="274" t="s">
        <x:v>2985</x:v>
      </x:c>
      <x:c r="G1534" s="274" t="s">
        <x:v>124</x:v>
      </x:c>
      <x:c r="I1534" s="274" t="n">
        <x:v>1.4</x:v>
      </x:c>
      <x:c r="J1534" s="274" t="n">
        <x:v>1171</x:v>
      </x:c>
      <x:c r="K1534" s="274" t="n">
        <x:v>291</x:v>
      </x:c>
      <x:c r="M1534" s="274" t="s">
        <x:v>3104</x:v>
      </x:c>
      <x:c r="N1534" s="274" t="s">
        <x:v>870</x:v>
      </x:c>
    </x:row>
    <x:row r="1535" spans="1:14">
      <x:c r="A1535" s="274" t="s">
        <x:v>3105</x:v>
      </x:c>
      <x:c r="B1535" s="274" t="n">
        <x:v>2.36</x:v>
      </x:c>
      <x:c r="C1535" s="274" t="n">
        <x:v>0</x:v>
      </x:c>
      <x:c r="D1535" s="274" t="n">
        <x:v>0</x:v>
      </x:c>
      <x:c r="F1535" s="274" t="s">
        <x:v>2985</x:v>
      </x:c>
      <x:c r="G1535" s="274" t="s">
        <x:v>124</x:v>
      </x:c>
      <x:c r="I1535" s="274" t="n">
        <x:v>1.2</x:v>
      </x:c>
      <x:c r="J1535" s="274" t="n">
        <x:v>200</x:v>
      </x:c>
      <x:c r="K1535" s="274" t="n">
        <x:v>1250</x:v>
      </x:c>
      <x:c r="M1535" s="274" t="s">
        <x:v>1377</x:v>
      </x:c>
      <x:c r="N1535" s="274" t="s">
        <x:v>3106</x:v>
      </x:c>
    </x:row>
    <x:row r="1536" spans="1:14">
      <x:c r="A1536" s="274" t="s">
        <x:v>3107</x:v>
      </x:c>
      <x:c r="B1536" s="274" t="n">
        <x:v>0.11</x:v>
      </x:c>
      <x:c r="C1536" s="274" t="n">
        <x:v>0</x:v>
      </x:c>
      <x:c r="D1536" s="274" t="n">
        <x:v>0</x:v>
      </x:c>
      <x:c r="F1536" s="274" t="s">
        <x:v>2985</x:v>
      </x:c>
      <x:c r="G1536" s="274" t="s">
        <x:v>153</x:v>
      </x:c>
      <x:c r="I1536" s="274" t="n">
        <x:v>1.4</x:v>
      </x:c>
      <x:c r="J1536" s="274" t="n">
        <x:v>92</x:v>
      </x:c>
      <x:c r="K1536" s="274" t="n">
        <x:v>105</x:v>
      </x:c>
      <x:c r="M1536" s="274" t="s">
        <x:v>1526</x:v>
      </x:c>
      <x:c r="N1536" s="274" t="s">
        <x:v>1157</x:v>
      </x:c>
    </x:row>
    <x:row r="1537" spans="1:14">
      <x:c r="A1537" s="274" t="s">
        <x:v>3108</x:v>
      </x:c>
      <x:c r="B1537" s="274" t="n">
        <x:v>2.04</x:v>
      </x:c>
      <x:c r="C1537" s="274" t="n">
        <x:v>0</x:v>
      </x:c>
      <x:c r="D1537" s="274" t="n">
        <x:v>0</x:v>
      </x:c>
      <x:c r="F1537" s="274" t="s">
        <x:v>2985</x:v>
      </x:c>
      <x:c r="G1537" s="274" t="s">
        <x:v>153</x:v>
      </x:c>
      <x:c r="I1537" s="274" t="n">
        <x:v>1.4</x:v>
      </x:c>
      <x:c r="J1537" s="274" t="n">
        <x:v>340</x:v>
      </x:c>
      <x:c r="K1537" s="274" t="n">
        <x:v>546</x:v>
      </x:c>
      <x:c r="M1537" s="274" t="s">
        <x:v>3109</x:v>
      </x:c>
      <x:c r="N1537" s="274" t="s">
        <x:v>870</x:v>
      </x:c>
    </x:row>
    <x:row r="1538" spans="1:14">
      <x:c r="A1538" s="274" t="s">
        <x:v>3110</x:v>
      </x:c>
      <x:c r="B1538" s="274" t="n">
        <x:v>4.12</x:v>
      </x:c>
      <x:c r="C1538" s="274" t="n">
        <x:v>0</x:v>
      </x:c>
      <x:c r="D1538" s="274" t="n">
        <x:v>0</x:v>
      </x:c>
      <x:c r="F1538" s="274" t="s">
        <x:v>2985</x:v>
      </x:c>
      <x:c r="G1538" s="274" t="s">
        <x:v>153</x:v>
      </x:c>
      <x:c r="I1538" s="274" t="n">
        <x:v>1.4</x:v>
      </x:c>
      <x:c r="J1538" s="274" t="n">
        <x:v>218</x:v>
      </x:c>
      <x:c r="K1538" s="274" t="n">
        <x:v>1720</x:v>
      </x:c>
      <x:c r="M1538" s="274" t="s">
        <x:v>3111</x:v>
      </x:c>
      <x:c r="N1538" s="274" t="s">
        <x:v>870</x:v>
      </x:c>
    </x:row>
    <x:row r="1539" spans="1:14">
      <x:c r="A1539" s="274" t="s">
        <x:v>3112</x:v>
      </x:c>
      <x:c r="B1539" s="274" t="n">
        <x:v>1.48</x:v>
      </x:c>
      <x:c r="C1539" s="274" t="n">
        <x:v>0</x:v>
      </x:c>
      <x:c r="D1539" s="274" t="n">
        <x:v>0</x:v>
      </x:c>
      <x:c r="F1539" s="274" t="s">
        <x:v>2985</x:v>
      </x:c>
      <x:c r="G1539" s="274" t="s">
        <x:v>153</x:v>
      </x:c>
      <x:c r="I1539" s="274" t="n">
        <x:v>1.4</x:v>
      </x:c>
      <x:c r="J1539" s="274" t="n">
        <x:v>112</x:v>
      </x:c>
      <x:c r="K1539" s="274" t="n">
        <x:v>1200</x:v>
      </x:c>
      <x:c r="M1539" s="274" t="s">
        <x:v>3113</x:v>
      </x:c>
      <x:c r="N1539" s="274" t="s">
        <x:v>870</x:v>
      </x:c>
    </x:row>
    <x:row r="1540" spans="1:14">
      <x:c r="A1540" s="274" t="s">
        <x:v>3114</x:v>
      </x:c>
      <x:c r="B1540" s="274" t="n">
        <x:v>1.36</x:v>
      </x:c>
      <x:c r="C1540" s="274" t="n">
        <x:v>0</x:v>
      </x:c>
      <x:c r="D1540" s="274" t="n">
        <x:v>0</x:v>
      </x:c>
      <x:c r="F1540" s="274" t="s">
        <x:v>2985</x:v>
      </x:c>
      <x:c r="G1540" s="274" t="s">
        <x:v>209</x:v>
      </x:c>
      <x:c r="I1540" s="274" t="n">
        <x:v>1.2</x:v>
      </x:c>
      <x:c r="J1540" s="274" t="n">
        <x:v>122</x:v>
      </x:c>
      <x:c r="K1540" s="274" t="n">
        <x:v>1184</x:v>
      </x:c>
      <x:c r="M1540" s="274" t="s">
        <x:v>1674</x:v>
      </x:c>
      <x:c r="N1540" s="274" t="s">
        <x:v>870</x:v>
      </x:c>
    </x:row>
    <x:row r="1541" spans="1:14">
      <x:c r="A1541" s="274" t="s">
        <x:v>3115</x:v>
      </x:c>
      <x:c r="B1541" s="274" t="n">
        <x:v>0.94</x:v>
      </x:c>
      <x:c r="C1541" s="274" t="n">
        <x:v>0</x:v>
      </x:c>
      <x:c r="D1541" s="274" t="n">
        <x:v>0</x:v>
      </x:c>
      <x:c r="F1541" s="274" t="s">
        <x:v>2985</x:v>
      </x:c>
      <x:c r="G1541" s="274" t="s">
        <x:v>209</x:v>
      </x:c>
      <x:c r="I1541" s="274" t="n">
        <x:v>1.2</x:v>
      </x:c>
      <x:c r="J1541" s="274" t="n">
        <x:v>86.5</x:v>
      </x:c>
      <x:c r="K1541" s="274" t="n">
        <x:v>1157</x:v>
      </x:c>
      <x:c r="M1541" s="274" t="s">
        <x:v>1682</x:v>
      </x:c>
      <x:c r="N1541" s="274" t="s">
        <x:v>870</x:v>
      </x:c>
    </x:row>
    <x:row r="1542" spans="1:14">
      <x:c r="A1542" s="274" t="s">
        <x:v>3116</x:v>
      </x:c>
      <x:c r="B1542" s="274" t="n">
        <x:v>1.01</x:v>
      </x:c>
      <x:c r="C1542" s="274" t="n">
        <x:v>0</x:v>
      </x:c>
      <x:c r="D1542" s="274" t="n">
        <x:v>0</x:v>
      </x:c>
      <x:c r="F1542" s="274" t="s">
        <x:v>2985</x:v>
      </x:c>
      <x:c r="G1542" s="274" t="s">
        <x:v>209</x:v>
      </x:c>
      <x:c r="I1542" s="274" t="n">
        <x:v>1.2</x:v>
      </x:c>
      <x:c r="J1542" s="274" t="n">
        <x:v>95</x:v>
      </x:c>
      <x:c r="K1542" s="274" t="n">
        <x:v>1130</x:v>
      </x:c>
      <x:c r="M1542" s="274" t="s">
        <x:v>1381</x:v>
      </x:c>
      <x:c r="N1542" s="274" t="s">
        <x:v>870</x:v>
      </x:c>
    </x:row>
    <x:row r="1543" spans="1:14">
      <x:c r="A1543" s="274" t="s">
        <x:v>3117</x:v>
      </x:c>
      <x:c r="B1543" s="274" t="n">
        <x:v>1.35</x:v>
      </x:c>
      <x:c r="C1543" s="274" t="n">
        <x:v>0</x:v>
      </x:c>
      <x:c r="D1543" s="274" t="n">
        <x:v>0</x:v>
      </x:c>
      <x:c r="F1543" s="274" t="s">
        <x:v>2985</x:v>
      </x:c>
      <x:c r="G1543" s="274" t="s">
        <x:v>209</x:v>
      </x:c>
      <x:c r="I1543" s="274" t="n">
        <x:v>1.2</x:v>
      </x:c>
      <x:c r="J1543" s="274" t="n">
        <x:v>120.5</x:v>
      </x:c>
      <x:c r="K1543" s="274" t="n">
        <x:v>1193</x:v>
      </x:c>
      <x:c r="M1543" s="274" t="s">
        <x:v>1383</x:v>
      </x:c>
      <x:c r="N1543" s="274" t="s">
        <x:v>870</x:v>
      </x:c>
    </x:row>
    <x:row r="1544" spans="1:14">
      <x:c r="A1544" s="274" t="s">
        <x:v>3118</x:v>
      </x:c>
      <x:c r="B1544" s="274" t="n">
        <x:v>1.88</x:v>
      </x:c>
      <x:c r="C1544" s="274" t="n">
        <x:v>0</x:v>
      </x:c>
      <x:c r="D1544" s="274" t="n">
        <x:v>0</x:v>
      </x:c>
      <x:c r="F1544" s="274" t="s">
        <x:v>2985</x:v>
      </x:c>
      <x:c r="G1544" s="274" t="s">
        <x:v>209</x:v>
      </x:c>
      <x:c r="I1544" s="274" t="n">
        <x:v>1.2</x:v>
      </x:c>
      <x:c r="J1544" s="274" t="n">
        <x:v>167</x:v>
      </x:c>
      <x:c r="K1544" s="274" t="n">
        <x:v>1195</x:v>
      </x:c>
      <x:c r="M1544" s="274" t="s">
        <x:v>1678</x:v>
      </x:c>
      <x:c r="N1544" s="274" t="s">
        <x:v>870</x:v>
      </x:c>
    </x:row>
    <x:row r="1545" spans="1:14">
      <x:c r="A1545" s="274" t="s">
        <x:v>3119</x:v>
      </x:c>
      <x:c r="B1545" s="274" t="n">
        <x:v>0.62</x:v>
      </x:c>
      <x:c r="C1545" s="274" t="n">
        <x:v>0</x:v>
      </x:c>
      <x:c r="D1545" s="274" t="n">
        <x:v>0</x:v>
      </x:c>
      <x:c r="F1545" s="274" t="s">
        <x:v>2985</x:v>
      </x:c>
      <x:c r="G1545" s="274" t="s">
        <x:v>209</x:v>
      </x:c>
      <x:c r="I1545" s="274" t="n">
        <x:v>1.2</x:v>
      </x:c>
      <x:c r="J1545" s="274" t="n">
        <x:v>56</x:v>
      </x:c>
      <x:c r="K1545" s="274" t="n">
        <x:v>1180</x:v>
      </x:c>
      <x:c r="M1545" s="274" t="s">
        <x:v>1680</x:v>
      </x:c>
      <x:c r="N1545" s="274" t="s">
        <x:v>870</x:v>
      </x:c>
    </x:row>
    <x:row r="1546" spans="1:14">
      <x:c r="A1546" s="274" t="s">
        <x:v>3120</x:v>
      </x:c>
      <x:c r="B1546" s="274" t="n">
        <x:v>0.95</x:v>
      </x:c>
      <x:c r="C1546" s="274" t="n">
        <x:v>0</x:v>
      </x:c>
      <x:c r="D1546" s="274" t="n">
        <x:v>0</x:v>
      </x:c>
      <x:c r="F1546" s="274" t="s">
        <x:v>2985</x:v>
      </x:c>
      <x:c r="G1546" s="274" t="s">
        <x:v>209</x:v>
      </x:c>
      <x:c r="I1546" s="274" t="n">
        <x:v>1.2</x:v>
      </x:c>
      <x:c r="J1546" s="274" t="n">
        <x:v>85</x:v>
      </x:c>
      <x:c r="K1546" s="274" t="n">
        <x:v>1182</x:v>
      </x:c>
      <x:c r="M1546" s="274" t="s">
        <x:v>1672</x:v>
      </x:c>
      <x:c r="N1546" s="274" t="s">
        <x:v>870</x:v>
      </x:c>
    </x:row>
    <x:row r="1547" spans="1:14">
      <x:c r="A1547" s="274" t="s">
        <x:v>3121</x:v>
      </x:c>
      <x:c r="B1547" s="274" t="n">
        <x:v>1.34</x:v>
      </x:c>
      <x:c r="C1547" s="274" t="n">
        <x:v>0</x:v>
      </x:c>
      <x:c r="D1547" s="274" t="n">
        <x:v>0</x:v>
      </x:c>
      <x:c r="F1547" s="274" t="s">
        <x:v>2985</x:v>
      </x:c>
      <x:c r="G1547" s="274" t="s">
        <x:v>209</x:v>
      </x:c>
      <x:c r="I1547" s="274" t="n">
        <x:v>1.2</x:v>
      </x:c>
      <x:c r="J1547" s="274" t="n">
        <x:v>114</x:v>
      </x:c>
      <x:c r="K1547" s="274" t="n">
        <x:v>1250</x:v>
      </x:c>
      <x:c r="M1547" s="274" t="s">
        <x:v>3122</x:v>
      </x:c>
      <x:c r="N1547" s="274" t="s">
        <x:v>870</x:v>
      </x:c>
    </x:row>
    <x:row r="1548" spans="1:14">
      <x:c r="A1548" s="274" t="s">
        <x:v>3123</x:v>
      </x:c>
      <x:c r="B1548" s="274" t="n">
        <x:v>2.03</x:v>
      </x:c>
      <x:c r="C1548" s="274" t="n">
        <x:v>0</x:v>
      </x:c>
      <x:c r="D1548" s="274" t="n">
        <x:v>0</x:v>
      </x:c>
      <x:c r="F1548" s="274" t="s">
        <x:v>2985</x:v>
      </x:c>
      <x:c r="G1548" s="274" t="s">
        <x:v>209</x:v>
      </x:c>
      <x:c r="I1548" s="274" t="n">
        <x:v>1.2</x:v>
      </x:c>
      <x:c r="J1548" s="274" t="n">
        <x:v>178</x:v>
      </x:c>
      <x:c r="K1548" s="274" t="n">
        <x:v>1210</x:v>
      </x:c>
      <x:c r="M1548" s="274" t="s">
        <x:v>1448</x:v>
      </x:c>
      <x:c r="N1548" s="274" t="s">
        <x:v>870</x:v>
      </x:c>
    </x:row>
    <x:row r="1549" spans="1:14">
      <x:c r="A1549" s="274" t="s">
        <x:v>3124</x:v>
      </x:c>
      <x:c r="B1549" s="274" t="n">
        <x:v>0.68</x:v>
      </x:c>
      <x:c r="C1549" s="274" t="n">
        <x:v>0</x:v>
      </x:c>
      <x:c r="D1549" s="274" t="n">
        <x:v>0</x:v>
      </x:c>
      <x:c r="F1549" s="274" t="s">
        <x:v>2985</x:v>
      </x:c>
      <x:c r="G1549" s="274" t="s">
        <x:v>209</x:v>
      </x:c>
      <x:c r="I1549" s="274" t="n">
        <x:v>1.2</x:v>
      </x:c>
      <x:c r="J1549" s="274" t="n">
        <x:v>58</x:v>
      </x:c>
      <x:c r="K1549" s="274" t="n">
        <x:v>1240</x:v>
      </x:c>
      <x:c r="M1549" s="274" t="s">
        <x:v>3125</x:v>
      </x:c>
      <x:c r="N1549" s="274" t="s">
        <x:v>870</x:v>
      </x:c>
    </x:row>
    <x:row r="1550" spans="1:14">
      <x:c r="A1550" s="274" t="s">
        <x:v>3126</x:v>
      </x:c>
      <x:c r="B1550" s="274" t="n">
        <x:v>2.03</x:v>
      </x:c>
      <x:c r="C1550" s="274" t="n">
        <x:v>0</x:v>
      </x:c>
      <x:c r="D1550" s="274" t="n">
        <x:v>0</x:v>
      </x:c>
      <x:c r="F1550" s="274" t="s">
        <x:v>2985</x:v>
      </x:c>
      <x:c r="G1550" s="274" t="s">
        <x:v>209</x:v>
      </x:c>
      <x:c r="I1550" s="274" t="n">
        <x:v>1.2</x:v>
      </x:c>
      <x:c r="J1550" s="274" t="n">
        <x:v>176</x:v>
      </x:c>
      <x:c r="K1550" s="274" t="n">
        <x:v>1223</x:v>
      </x:c>
      <x:c r="M1550" s="274" t="s">
        <x:v>3127</x:v>
      </x:c>
      <x:c r="N1550" s="274" t="s">
        <x:v>870</x:v>
      </x:c>
    </x:row>
    <x:row r="1551" spans="1:14">
      <x:c r="A1551" s="274" t="s">
        <x:v>3128</x:v>
      </x:c>
      <x:c r="B1551" s="274" t="n">
        <x:v>1.41</x:v>
      </x:c>
      <x:c r="C1551" s="274" t="n">
        <x:v>0</x:v>
      </x:c>
      <x:c r="D1551" s="274" t="n">
        <x:v>0</x:v>
      </x:c>
      <x:c r="F1551" s="274" t="s">
        <x:v>2985</x:v>
      </x:c>
      <x:c r="G1551" s="274" t="s">
        <x:v>209</x:v>
      </x:c>
      <x:c r="I1551" s="274" t="n">
        <x:v>1.2</x:v>
      </x:c>
      <x:c r="J1551" s="274" t="n">
        <x:v>128</x:v>
      </x:c>
      <x:c r="K1551" s="274" t="n">
        <x:v>1167</x:v>
      </x:c>
      <x:c r="M1551" s="274" t="s">
        <x:v>1371</x:v>
      </x:c>
      <x:c r="N1551" s="274" t="s">
        <x:v>870</x:v>
      </x:c>
    </x:row>
    <x:row r="1552" spans="1:14">
      <x:c r="A1552" s="274" t="s">
        <x:v>3129</x:v>
      </x:c>
      <x:c r="B1552" s="274" t="n">
        <x:v>1.01</x:v>
      </x:c>
      <x:c r="C1552" s="274" t="n">
        <x:v>0</x:v>
      </x:c>
      <x:c r="D1552" s="274" t="n">
        <x:v>0</x:v>
      </x:c>
      <x:c r="F1552" s="274" t="s">
        <x:v>2985</x:v>
      </x:c>
      <x:c r="G1552" s="274" t="s">
        <x:v>209</x:v>
      </x:c>
      <x:c r="I1552" s="274" t="n">
        <x:v>1.2</x:v>
      </x:c>
      <x:c r="J1552" s="274" t="n">
        <x:v>86</x:v>
      </x:c>
      <x:c r="K1552" s="274" t="n">
        <x:v>1243</x:v>
      </x:c>
      <x:c r="M1552" s="274" t="s">
        <x:v>1684</x:v>
      </x:c>
      <x:c r="N1552" s="274" t="s">
        <x:v>870</x:v>
      </x:c>
    </x:row>
    <x:row r="1553" spans="1:14">
      <x:c r="A1553" s="274" t="s">
        <x:v>3130</x:v>
      </x:c>
      <x:c r="B1553" s="274" t="n">
        <x:v>0.53</x:v>
      </x:c>
      <x:c r="C1553" s="274" t="n">
        <x:v>0</x:v>
      </x:c>
      <x:c r="D1553" s="274" t="n">
        <x:v>0</x:v>
      </x:c>
      <x:c r="F1553" s="274" t="s">
        <x:v>2985</x:v>
      </x:c>
      <x:c r="G1553" s="274" t="s">
        <x:v>209</x:v>
      </x:c>
      <x:c r="I1553" s="274" t="n">
        <x:v>1.2</x:v>
      </x:c>
      <x:c r="J1553" s="274" t="n">
        <x:v>128</x:v>
      </x:c>
      <x:c r="K1553" s="274" t="n">
        <x:v>442</x:v>
      </x:c>
      <x:c r="M1553" s="274" t="s">
        <x:v>925</x:v>
      </x:c>
      <x:c r="N1553" s="274" t="s">
        <x:v>870</x:v>
      </x:c>
    </x:row>
    <x:row r="1554" spans="1:14">
      <x:c r="A1554" s="274" t="s">
        <x:v>3131</x:v>
      </x:c>
      <x:c r="B1554" s="274" t="n">
        <x:v>1.2</x:v>
      </x:c>
      <x:c r="C1554" s="274" t="n">
        <x:v>0</x:v>
      </x:c>
      <x:c r="D1554" s="274" t="n">
        <x:v>0</x:v>
      </x:c>
      <x:c r="F1554" s="274" t="s">
        <x:v>2985</x:v>
      </x:c>
      <x:c r="G1554" s="274" t="s">
        <x:v>209</x:v>
      </x:c>
      <x:c r="I1554" s="274" t="n">
        <x:v>1.2</x:v>
      </x:c>
      <x:c r="J1554" s="274" t="n">
        <x:v>264</x:v>
      </x:c>
      <x:c r="K1554" s="274" t="n">
        <x:v>482</x:v>
      </x:c>
      <x:c r="M1554" s="274" t="s">
        <x:v>1373</x:v>
      </x:c>
      <x:c r="N1554" s="274" t="s">
        <x:v>870</x:v>
      </x:c>
    </x:row>
    <x:row r="1555" spans="1:14">
      <x:c r="A1555" s="274" t="s">
        <x:v>3132</x:v>
      </x:c>
      <x:c r="B1555" s="274" t="n">
        <x:v>0.42</x:v>
      </x:c>
      <x:c r="C1555" s="274" t="n">
        <x:v>0</x:v>
      </x:c>
      <x:c r="D1555" s="274" t="n">
        <x:v>0</x:v>
      </x:c>
      <x:c r="F1555" s="274" t="s">
        <x:v>2985</x:v>
      </x:c>
      <x:c r="G1555" s="274" t="s">
        <x:v>209</x:v>
      </x:c>
      <x:c r="I1555" s="274" t="n">
        <x:v>1.2</x:v>
      </x:c>
      <x:c r="J1555" s="274" t="n">
        <x:v>90</x:v>
      </x:c>
      <x:c r="K1555" s="274" t="n">
        <x:v>500</x:v>
      </x:c>
      <x:c r="M1555" s="274" t="s">
        <x:v>3133</x:v>
      </x:c>
      <x:c r="N1555" s="274" t="s">
        <x:v>870</x:v>
      </x:c>
    </x:row>
    <x:row r="1556" spans="1:14">
      <x:c r="A1556" s="274" t="s">
        <x:v>3134</x:v>
      </x:c>
      <x:c r="B1556" s="274" t="n">
        <x:v>1.16</x:v>
      </x:c>
      <x:c r="C1556" s="274" t="n">
        <x:v>0</x:v>
      </x:c>
      <x:c r="D1556" s="274" t="n">
        <x:v>0</x:v>
      </x:c>
      <x:c r="F1556" s="274" t="s">
        <x:v>2985</x:v>
      </x:c>
      <x:c r="G1556" s="274" t="s">
        <x:v>209</x:v>
      </x:c>
      <x:c r="I1556" s="274" t="n">
        <x:v>1.2</x:v>
      </x:c>
      <x:c r="J1556" s="274" t="n">
        <x:v>103</x:v>
      </x:c>
      <x:c r="K1556" s="274" t="n">
        <x:v>1197</x:v>
      </x:c>
      <x:c r="M1556" s="274" t="s">
        <x:v>1676</x:v>
      </x:c>
      <x:c r="N1556" s="274" t="s">
        <x:v>870</x:v>
      </x:c>
    </x:row>
    <x:row r="1557" spans="1:14">
      <x:c r="A1557" s="274" t="s">
        <x:v>3135</x:v>
      </x:c>
      <x:c r="B1557" s="274" t="n">
        <x:v>1.3</x:v>
      </x:c>
      <x:c r="C1557" s="274" t="n">
        <x:v>0</x:v>
      </x:c>
      <x:c r="D1557" s="274" t="n">
        <x:v>0</x:v>
      </x:c>
      <x:c r="F1557" s="274" t="s">
        <x:v>2985</x:v>
      </x:c>
      <x:c r="G1557" s="274" t="s">
        <x:v>209</x:v>
      </x:c>
      <x:c r="I1557" s="274" t="n">
        <x:v>1.2</x:v>
      </x:c>
      <x:c r="J1557" s="274" t="n">
        <x:v>110</x:v>
      </x:c>
      <x:c r="K1557" s="274" t="n">
        <x:v>1250</x:v>
      </x:c>
      <x:c r="M1557" s="274" t="s">
        <x:v>3136</x:v>
      </x:c>
      <x:c r="N1557" s="274" t="s">
        <x:v>870</x:v>
      </x:c>
    </x:row>
    <x:row r="1558" spans="1:14">
      <x:c r="A1558" s="274" t="s">
        <x:v>3137</x:v>
      </x:c>
      <x:c r="B1558" s="274" t="n">
        <x:v>0.87</x:v>
      </x:c>
      <x:c r="C1558" s="274" t="n">
        <x:v>0</x:v>
      </x:c>
      <x:c r="D1558" s="274" t="n">
        <x:v>0</x:v>
      </x:c>
      <x:c r="F1558" s="274" t="s">
        <x:v>2985</x:v>
      </x:c>
      <x:c r="G1558" s="274" t="s">
        <x:v>209</x:v>
      </x:c>
      <x:c r="I1558" s="274" t="n">
        <x:v>1.2</x:v>
      </x:c>
      <x:c r="J1558" s="274" t="n">
        <x:v>77</x:v>
      </x:c>
      <x:c r="K1558" s="274" t="n">
        <x:v>1200</x:v>
      </x:c>
      <x:c r="M1558" s="274" t="s">
        <x:v>3138</x:v>
      </x:c>
      <x:c r="N1558" s="274" t="s">
        <x:v>870</x:v>
      </x:c>
    </x:row>
    <x:row r="1559" spans="1:14">
      <x:c r="A1559" s="274" t="s">
        <x:v>3139</x:v>
      </x:c>
      <x:c r="B1559" s="274" t="n">
        <x:v>4.62</x:v>
      </x:c>
      <x:c r="C1559" s="274" t="n">
        <x:v>0</x:v>
      </x:c>
      <x:c r="D1559" s="274" t="n">
        <x:v>0</x:v>
      </x:c>
      <x:c r="F1559" s="274" t="s">
        <x:v>2985</x:v>
      </x:c>
      <x:c r="G1559" s="274" t="s">
        <x:v>209</x:v>
      </x:c>
      <x:c r="I1559" s="274" t="n">
        <x:v>1.6</x:v>
      </x:c>
      <x:c r="J1559" s="274" t="n">
        <x:v>336</x:v>
      </x:c>
      <x:c r="K1559" s="274" t="n">
        <x:v>1095</x:v>
      </x:c>
      <x:c r="M1559" s="274" t="s">
        <x:v>1379</x:v>
      </x:c>
      <x:c r="N1559" s="274" t="s">
        <x:v>870</x:v>
      </x:c>
    </x:row>
    <x:row r="1560" spans="1:14">
      <x:c r="A1560" s="274" t="s">
        <x:v>3140</x:v>
      </x:c>
      <x:c r="B1560" s="274" t="n">
        <x:v>1.91</x:v>
      </x:c>
      <x:c r="C1560" s="274" t="n">
        <x:v>0</x:v>
      </x:c>
      <x:c r="D1560" s="274" t="n">
        <x:v>0</x:v>
      </x:c>
      <x:c r="F1560" s="274" t="s">
        <x:v>2985</x:v>
      </x:c>
      <x:c r="G1560" s="274" t="s">
        <x:v>209</x:v>
      </x:c>
      <x:c r="I1560" s="274" t="n">
        <x:v>1.2</x:v>
      </x:c>
      <x:c r="J1560" s="274" t="n">
        <x:v>162</x:v>
      </x:c>
      <x:c r="K1560" s="274" t="n">
        <x:v>1250</x:v>
      </x:c>
      <x:c r="M1560" s="274" t="s">
        <x:v>3141</x:v>
      </x:c>
      <x:c r="N1560" s="274" t="s">
        <x:v>3142</x:v>
      </x:c>
    </x:row>
    <x:row r="1561" spans="1:14">
      <x:c r="A1561" s="274" t="s">
        <x:v>3143</x:v>
      </x:c>
      <x:c r="B1561" s="274" t="n">
        <x:v>3.076</x:v>
      </x:c>
      <x:c r="C1561" s="274" t="n">
        <x:v>0</x:v>
      </x:c>
      <x:c r="D1561" s="274" t="n">
        <x:v>18</x:v>
      </x:c>
      <x:c r="E1561" s="274" t="n">
        <x:v>18</x:v>
      </x:c>
      <x:c r="F1561" s="274" t="s">
        <x:v>123</x:v>
      </x:c>
      <x:c r="G1561" s="274" t="s">
        <x:v>2796</x:v>
      </x:c>
      <x:c r="I1561" s="274" t="n">
        <x:v>1.6</x:v>
      </x:c>
      <x:c r="J1561" s="274" t="n">
        <x:v>378</x:v>
      </x:c>
      <x:c r="K1561" s="274" t="n">
        <x:v>650</x:v>
      </x:c>
    </x:row>
    <x:row r="1562" spans="1:14">
      <x:c r="A1562" s="274" t="s">
        <x:v>3144</x:v>
      </x:c>
      <x:c r="B1562" s="274" t="n">
        <x:v>2.8</x:v>
      </x:c>
      <x:c r="C1562" s="274" t="n">
        <x:v>0</x:v>
      </x:c>
      <x:c r="D1562" s="274" t="n">
        <x:v>0</x:v>
      </x:c>
      <x:c r="F1562" s="274" t="s">
        <x:v>2985</x:v>
      </x:c>
      <x:c r="G1562" s="274" t="s">
        <x:v>209</x:v>
      </x:c>
      <x:c r="I1562" s="274" t="n">
        <x:v>1.6</x:v>
      </x:c>
      <x:c r="J1562" s="274" t="n">
        <x:v>182</x:v>
      </x:c>
      <x:c r="K1562" s="274" t="n">
        <x:v>1224</x:v>
      </x:c>
      <x:c r="M1562" s="274" t="s">
        <x:v>1714</x:v>
      </x:c>
      <x:c r="N1562" s="274" t="s">
        <x:v>870</x:v>
      </x:c>
    </x:row>
    <x:row r="1563" spans="1:14">
      <x:c r="A1563" s="274" t="s">
        <x:v>3145</x:v>
      </x:c>
      <x:c r="B1563" s="274" t="n">
        <x:v>1.17</x:v>
      </x:c>
      <x:c r="C1563" s="274" t="n">
        <x:v>0</x:v>
      </x:c>
      <x:c r="D1563" s="274" t="n">
        <x:v>0</x:v>
      </x:c>
      <x:c r="F1563" s="274" t="s">
        <x:v>333</x:v>
      </x:c>
      <x:c r="G1563" s="274" t="s">
        <x:v>153</x:v>
      </x:c>
      <x:c r="I1563" s="274" t="n">
        <x:v>1.8</x:v>
      </x:c>
      <x:c r="J1563" s="274" t="n">
        <x:v>360</x:v>
      </x:c>
      <x:c r="K1563" s="274" t="n">
        <x:v>230</x:v>
      </x:c>
      <x:c r="M1563" s="274" t="s">
        <x:v>3146</x:v>
      </x:c>
      <x:c r="N1563" s="274" t="s">
        <x:v>131</x:v>
      </x:c>
    </x:row>
    <x:row r="1564" spans="1:14">
      <x:c r="A1564" s="274" t="s">
        <x:v>3147</x:v>
      </x:c>
      <x:c r="B1564" s="274" t="n">
        <x:v>0.61</x:v>
      </x:c>
      <x:c r="C1564" s="274" t="n">
        <x:v>30</x:v>
      </x:c>
      <x:c r="D1564" s="274" t="n">
        <x:v>35</x:v>
      </x:c>
      <x:c r="E1564" s="274" t="n">
        <x:v>33</x:v>
      </x:c>
      <x:c r="F1564" s="274" t="s">
        <x:v>333</x:v>
      </x:c>
      <x:c r="G1564" s="274" t="s">
        <x:v>209</x:v>
      </x:c>
      <x:c r="I1564" s="274" t="n">
        <x:v>1</x:v>
      </x:c>
      <x:c r="J1564" s="274" t="n">
        <x:v>260</x:v>
      </x:c>
      <x:c r="K1564" s="274" t="n">
        <x:v>300</x:v>
      </x:c>
      <x:c r="M1564" s="274" t="s">
        <x:v>3148</x:v>
      </x:c>
      <x:c r="N1564" s="274" t="s">
        <x:v>131</x:v>
      </x:c>
    </x:row>
    <x:row r="1565" spans="1:14">
      <x:c r="A1565" s="274" t="s">
        <x:v>3149</x:v>
      </x:c>
      <x:c r="B1565" s="274" t="n">
        <x:v>1.44</x:v>
      </x:c>
      <x:c r="C1565" s="274" t="n">
        <x:v>0</x:v>
      </x:c>
      <x:c r="D1565" s="274" t="n">
        <x:v>0</x:v>
      </x:c>
      <x:c r="F1565" s="274" t="s">
        <x:v>133</x:v>
      </x:c>
      <x:c r="G1565" s="274" t="s">
        <x:v>134</x:v>
      </x:c>
      <x:c r="I1565" s="274" t="n">
        <x:v>1.6</x:v>
      </x:c>
      <x:c r="J1565" s="274" t="n">
        <x:v>92</x:v>
      </x:c>
      <x:c r="K1565" s="274" t="n">
        <x:v>1250</x:v>
      </x:c>
      <x:c r="M1565" s="274" t="s">
        <x:v>3150</x:v>
      </x:c>
      <x:c r="N1565" s="274" t="s">
        <x:v>155</x:v>
      </x:c>
    </x:row>
    <x:row r="1566" spans="1:14">
      <x:c r="A1566" s="274" t="s">
        <x:v>3151</x:v>
      </x:c>
      <x:c r="B1566" s="274" t="n">
        <x:v>0.42</x:v>
      </x:c>
      <x:c r="C1566" s="274" t="n">
        <x:v>0</x:v>
      </x:c>
      <x:c r="D1566" s="274" t="n">
        <x:v>0</x:v>
      </x:c>
      <x:c r="F1566" s="274" t="s">
        <x:v>333</x:v>
      </x:c>
      <x:c r="G1566" s="274" t="s">
        <x:v>124</x:v>
      </x:c>
      <x:c r="I1566" s="274" t="n">
        <x:v>1.4</x:v>
      </x:c>
      <x:c r="J1566" s="274" t="n">
        <x:v>165</x:v>
      </x:c>
      <x:c r="K1566" s="274" t="n">
        <x:v>230</x:v>
      </x:c>
      <x:c r="M1566" s="274" t="s">
        <x:v>2742</x:v>
      </x:c>
      <x:c r="N1566" s="274" t="s">
        <x:v>299</x:v>
      </x:c>
    </x:row>
    <x:row r="1567" spans="1:14">
      <x:c r="A1567" s="274" t="s">
        <x:v>3152</x:v>
      </x:c>
      <x:c r="B1567" s="274" t="n">
        <x:v>0.29</x:v>
      </x:c>
      <x:c r="C1567" s="274" t="n">
        <x:v>0</x:v>
      </x:c>
      <x:c r="D1567" s="274" t="n">
        <x:v>0</x:v>
      </x:c>
      <x:c r="F1567" s="274" t="s">
        <x:v>333</x:v>
      </x:c>
      <x:c r="G1567" s="274" t="s">
        <x:v>2468</x:v>
      </x:c>
      <x:c r="I1567" s="274" t="n">
        <x:v>0.8</x:v>
      </x:c>
      <x:c r="J1567" s="274" t="n">
        <x:v>210</x:v>
      </x:c>
      <x:c r="K1567" s="274" t="n">
        <x:v>220</x:v>
      </x:c>
      <x:c r="M1567" s="274" t="s">
        <x:v>2473</x:v>
      </x:c>
      <x:c r="N1567" s="274" t="s">
        <x:v>3153</x:v>
      </x:c>
    </x:row>
    <x:row r="1568" spans="1:14">
      <x:c r="A1568" s="274" t="s">
        <x:v>3154</x:v>
      </x:c>
      <x:c r="B1568" s="274" t="n">
        <x:v>11.93</x:v>
      </x:c>
      <x:c r="C1568" s="274" t="n">
        <x:v>0</x:v>
      </x:c>
      <x:c r="D1568" s="274" t="n">
        <x:v>0</x:v>
      </x:c>
      <x:c r="E1568" s="274" t="n">
        <x:v>0</x:v>
      </x:c>
      <x:c r="F1568" s="274" t="s">
        <x:v>133</x:v>
      </x:c>
      <x:c r="G1568" s="274" t="s">
        <x:v>136</x:v>
      </x:c>
      <x:c r="H1568" s="274" t="n">
        <x:v>45</x:v>
      </x:c>
      <x:c r="I1568" s="274" t="n">
        <x:v>0.75</x:v>
      </x:c>
      <x:c r="J1568" s="274" t="n">
        <x:v>890</x:v>
      </x:c>
      <x:c r="K1568" s="274" t="n">
        <x:v>2243</x:v>
      </x:c>
      <x:c r="M1568" s="274" t="s">
        <x:v>3155</x:v>
      </x:c>
      <x:c r="N1568" s="274" t="s">
        <x:v>1557</x:v>
      </x:c>
    </x:row>
    <x:row r="1569" spans="1:14">
      <x:c r="A1569" s="274" t="s">
        <x:v>3156</x:v>
      </x:c>
      <x:c r="B1569" s="274" t="n">
        <x:v>13.01</x:v>
      </x:c>
      <x:c r="C1569" s="274" t="n">
        <x:v>0</x:v>
      </x:c>
      <x:c r="D1569" s="274" t="n">
        <x:v>0</x:v>
      </x:c>
      <x:c r="E1569" s="274" t="n">
        <x:v>0</x:v>
      </x:c>
      <x:c r="F1569" s="274" t="s">
        <x:v>133</x:v>
      </x:c>
      <x:c r="G1569" s="274" t="s">
        <x:v>136</x:v>
      </x:c>
      <x:c r="H1569" s="274" t="n">
        <x:v>45</x:v>
      </x:c>
      <x:c r="I1569" s="274" t="n">
        <x:v>0.75</x:v>
      </x:c>
      <x:c r="J1569" s="274" t="n">
        <x:v>955</x:v>
      </x:c>
      <x:c r="K1569" s="274" t="n">
        <x:v>2112</x:v>
      </x:c>
      <x:c r="L1569" s="274" t="n">
        <x:v>2447</x:v>
      </x:c>
      <x:c r="M1569" s="274" t="s">
        <x:v>3157</x:v>
      </x:c>
      <x:c r="N1569" s="274" t="s">
        <x:v>1365</x:v>
      </x:c>
    </x:row>
    <x:row r="1570" spans="1:14">
      <x:c r="A1570" s="274" t="s">
        <x:v>3158</x:v>
      </x:c>
      <x:c r="B1570" s="274" t="n">
        <x:v>1.526</x:v>
      </x:c>
      <x:c r="C1570" s="274" t="n">
        <x:v>0</x:v>
      </x:c>
      <x:c r="D1570" s="274" t="n">
        <x:v>0</x:v>
      </x:c>
      <x:c r="E1570" s="274" t="n">
        <x:v>40</x:v>
      </x:c>
      <x:c r="F1570" s="274" t="s">
        <x:v>333</x:v>
      </x:c>
      <x:c r="G1570" s="274" t="s">
        <x:v>2157</x:v>
      </x:c>
      <x:c r="I1570" s="274" t="n">
        <x:v>0.6</x:v>
      </x:c>
      <x:c r="J1570" s="274" t="n">
        <x:v>940</x:v>
      </x:c>
      <x:c r="K1570" s="274" t="n">
        <x:v>339</x:v>
      </x:c>
      <x:c r="M1570" s="274" t="s">
        <x:v>3159</x:v>
      </x:c>
      <x:c r="N1570" s="274" t="s">
        <x:v>3160</x:v>
      </x:c>
    </x:row>
    <x:row r="1571" spans="1:14">
      <x:c r="A1571" s="274" t="s">
        <x:v>3161</x:v>
      </x:c>
      <x:c r="B1571" s="274" t="n">
        <x:v>1.27</x:v>
      </x:c>
      <x:c r="C1571" s="274" t="n">
        <x:v>0</x:v>
      </x:c>
      <x:c r="D1571" s="274" t="n">
        <x:v>0</x:v>
      </x:c>
      <x:c r="F1571" s="274" t="s">
        <x:v>133</x:v>
      </x:c>
      <x:c r="G1571" s="274" t="s">
        <x:v>1636</x:v>
      </x:c>
      <x:c r="I1571" s="274" t="n">
        <x:v>10</x:v>
      </x:c>
      <x:c r="J1571" s="274" t="n">
        <x:v>162</x:v>
      </x:c>
      <x:c r="K1571" s="274" t="n">
        <x:v>100</x:v>
      </x:c>
      <x:c r="M1571" s="274" t="s">
        <x:v>3162</x:v>
      </x:c>
      <x:c r="N1571" s="274" t="s">
        <x:v>3163</x:v>
      </x:c>
    </x:row>
    <x:row r="1572" spans="1:14">
      <x:c r="A1572" s="274" t="s">
        <x:v>3164</x:v>
      </x:c>
      <x:c r="B1572" s="274" t="n">
        <x:v>2.19</x:v>
      </x:c>
      <x:c r="C1572" s="274" t="n">
        <x:v>0</x:v>
      </x:c>
      <x:c r="D1572" s="274" t="n">
        <x:v>60</x:v>
      </x:c>
      <x:c r="F1572" s="274" t="s">
        <x:v>2985</x:v>
      </x:c>
      <x:c r="G1572" s="274" t="s">
        <x:v>124</x:v>
      </x:c>
      <x:c r="I1572" s="274" t="n">
        <x:v>0.8</x:v>
      </x:c>
      <x:c r="J1572" s="274" t="n">
        <x:v>600</x:v>
      </x:c>
      <x:c r="K1572" s="274" t="n">
        <x:v>540</x:v>
      </x:c>
      <x:c r="L1572" s="274" t="n">
        <x:v>620</x:v>
      </x:c>
      <x:c r="M1572" s="274" t="s">
        <x:v>1812</x:v>
      </x:c>
      <x:c r="N1572" s="274" t="s">
        <x:v>870</x:v>
      </x:c>
    </x:row>
    <x:row r="1573" spans="1:14">
      <x:c r="A1573" s="274" t="s">
        <x:v>3165</x:v>
      </x:c>
      <x:c r="B1573" s="274" t="n">
        <x:v>3.1</x:v>
      </x:c>
      <x:c r="C1573" s="274" t="n">
        <x:v>0</x:v>
      </x:c>
      <x:c r="D1573" s="274" t="n">
        <x:v>33</x:v>
      </x:c>
      <x:c r="F1573" s="274" t="s">
        <x:v>311</x:v>
      </x:c>
      <x:c r="G1573" s="274" t="s">
        <x:v>828</x:v>
      </x:c>
      <x:c r="H1573" s="274" t="s">
        <x:v>837</x:v>
      </x:c>
      <x:c r="I1573" s="274" t="n">
        <x:v>0.8</x:v>
      </x:c>
      <x:c r="J1573" s="274" t="n">
        <x:v>600</x:v>
      </x:c>
      <x:c r="K1573" s="274" t="n">
        <x:v>820</x:v>
      </x:c>
      <x:c r="M1573" s="274" t="s">
        <x:v>3166</x:v>
      </x:c>
      <x:c r="N1573" s="274" t="s">
        <x:v>3167</x:v>
      </x:c>
    </x:row>
    <x:row r="1574" spans="1:14">
      <x:c r="A1574" s="274" t="s">
        <x:v>3168</x:v>
      </x:c>
      <x:c r="B1574" s="274" t="n">
        <x:v>7.08</x:v>
      </x:c>
      <x:c r="C1574" s="274" t="n">
        <x:v>0</x:v>
      </x:c>
      <x:c r="D1574" s="274" t="n">
        <x:v>0</x:v>
      </x:c>
      <x:c r="F1574" s="274" t="s">
        <x:v>133</x:v>
      </x:c>
      <x:c r="G1574" s="274" t="s">
        <x:v>148</x:v>
      </x:c>
      <x:c r="I1574" s="274" t="n">
        <x:v>2.9</x:v>
      </x:c>
      <x:c r="J1574" s="274" t="n">
        <x:v>258</x:v>
      </x:c>
      <x:c r="K1574" s="274" t="n">
        <x:v>1205</x:v>
      </x:c>
      <x:c r="M1574" s="274" t="s">
        <x:v>3169</x:v>
      </x:c>
      <x:c r="N1574" s="274" t="s">
        <x:v>2373</x:v>
      </x:c>
    </x:row>
    <x:row r="1575" spans="1:14">
      <x:c r="A1575" s="274" t="s">
        <x:v>3170</x:v>
      </x:c>
      <x:c r="B1575" s="274" t="n">
        <x:v>1.73</x:v>
      </x:c>
      <x:c r="C1575" s="274" t="n">
        <x:v>0</x:v>
      </x:c>
      <x:c r="D1575" s="274" t="n">
        <x:v>0</x:v>
      </x:c>
      <x:c r="F1575" s="274" t="s">
        <x:v>133</x:v>
      </x:c>
      <x:c r="G1575" s="274" t="s">
        <x:v>148</x:v>
      </x:c>
      <x:c r="I1575" s="274" t="n">
        <x:v>2.9</x:v>
      </x:c>
      <x:c r="J1575" s="274" t="n">
        <x:v>200</x:v>
      </x:c>
      <x:c r="K1575" s="274" t="n">
        <x:v>380</x:v>
      </x:c>
      <x:c r="M1575" s="274" t="s">
        <x:v>3171</x:v>
      </x:c>
      <x:c r="N1575" s="274" t="s">
        <x:v>1279</x:v>
      </x:c>
    </x:row>
    <x:row r="1576" spans="1:14">
      <x:c r="A1576" s="274" t="s">
        <x:v>3172</x:v>
      </x:c>
      <x:c r="B1576" s="274" t="n">
        <x:v>2.95</x:v>
      </x:c>
      <x:c r="C1576" s="274" t="n">
        <x:v>0</x:v>
      </x:c>
      <x:c r="D1576" s="274" t="n">
        <x:v>0</x:v>
      </x:c>
      <x:c r="F1576" s="274" t="s">
        <x:v>133</x:v>
      </x:c>
      <x:c r="G1576" s="274" t="s">
        <x:v>148</x:v>
      </x:c>
      <x:c r="I1576" s="274" t="n">
        <x:v>2</x:v>
      </x:c>
      <x:c r="J1576" s="274" t="n">
        <x:v>354</x:v>
      </x:c>
      <x:c r="K1576" s="274" t="n">
        <x:v>530</x:v>
      </x:c>
      <x:c r="M1576" s="274" t="s">
        <x:v>3173</x:v>
      </x:c>
      <x:c r="N1576" s="274" t="s">
        <x:v>1279</x:v>
      </x:c>
    </x:row>
    <x:row r="1577" spans="1:14">
      <x:c r="A1577" s="274" t="s">
        <x:v>3174</x:v>
      </x:c>
      <x:c r="B1577" s="274" t="n">
        <x:v>1.79</x:v>
      </x:c>
      <x:c r="C1577" s="274" t="n">
        <x:v>0</x:v>
      </x:c>
      <x:c r="D1577" s="274" t="n">
        <x:v>0</x:v>
      </x:c>
      <x:c r="F1577" s="274" t="s">
        <x:v>2985</x:v>
      </x:c>
      <x:c r="G1577" s="274" t="s">
        <x:v>209</x:v>
      </x:c>
      <x:c r="I1577" s="274" t="n">
        <x:v>1.6</x:v>
      </x:c>
      <x:c r="J1577" s="274" t="n">
        <x:v>114</x:v>
      </x:c>
      <x:c r="K1577" s="274" t="n">
        <x:v>1250</x:v>
      </x:c>
      <x:c r="M1577" s="274" t="s">
        <x:v>3175</x:v>
      </x:c>
      <x:c r="N1577" s="274" t="s">
        <x:v>155</x:v>
      </x:c>
    </x:row>
    <x:row r="1578" spans="1:14">
      <x:c r="A1578" s="274" t="s">
        <x:v>3176</x:v>
      </x:c>
      <x:c r="B1578" s="274" t="n">
        <x:v>0.32</x:v>
      </x:c>
      <x:c r="C1578" s="274" t="n">
        <x:v>0</x:v>
      </x:c>
      <x:c r="D1578" s="274" t="n">
        <x:v>0</x:v>
      </x:c>
      <x:c r="F1578" s="274" t="s">
        <x:v>184</x:v>
      </x:c>
      <x:c r="G1578" s="274" t="s">
        <x:v>878</x:v>
      </x:c>
      <x:c r="H1578" s="274" t="s">
        <x:v>285</x:v>
      </x:c>
      <x:c r="I1578" s="274" t="n">
        <x:v>0.65</x:v>
      </x:c>
      <x:c r="J1578" s="274" t="n">
        <x:v>210</x:v>
      </x:c>
      <x:c r="K1578" s="274" t="n">
        <x:v>297</x:v>
      </x:c>
      <x:c r="M1578" s="274" t="s">
        <x:v>3177</x:v>
      </x:c>
      <x:c r="N1578" s="274" t="s">
        <x:v>3178</x:v>
      </x:c>
    </x:row>
    <x:row r="1579" spans="1:14">
      <x:c r="A1579" s="274" t="s">
        <x:v>3179</x:v>
      </x:c>
      <x:c r="B1579" s="274" t="n">
        <x:v>2.05</x:v>
      </x:c>
      <x:c r="C1579" s="274" t="n">
        <x:v>0</x:v>
      </x:c>
      <x:c r="D1579" s="274" t="n">
        <x:v>0</x:v>
      </x:c>
      <x:c r="F1579" s="274" t="s">
        <x:v>333</x:v>
      </x:c>
      <x:c r="G1579" s="274" t="s">
        <x:v>153</x:v>
      </x:c>
      <x:c r="I1579" s="274" t="n">
        <x:v>1.8</x:v>
      </x:c>
      <x:c r="J1579" s="274" t="n">
        <x:v>577.5</x:v>
      </x:c>
      <x:c r="K1579" s="274" t="n">
        <x:v>342</x:v>
      </x:c>
      <x:c r="L1579" s="274" t="n">
        <x:v>160</x:v>
      </x:c>
      <x:c r="M1579" s="274" t="s">
        <x:v>3180</x:v>
      </x:c>
      <x:c r="N1579" s="274" t="s">
        <x:v>3181</x:v>
      </x:c>
    </x:row>
    <x:row r="1580" spans="1:14">
      <x:c r="A1580" s="274" t="s">
        <x:v>3182</x:v>
      </x:c>
      <x:c r="B1580" s="274" t="n">
        <x:v>5.622</x:v>
      </x:c>
      <x:c r="C1580" s="274" t="n">
        <x:v>0</x:v>
      </x:c>
      <x:c r="D1580" s="274" t="n">
        <x:v>19</x:v>
      </x:c>
      <x:c r="E1580" s="274" t="n">
        <x:v>19</x:v>
      </x:c>
      <x:c r="F1580" s="274" t="s">
        <x:v>123</x:v>
      </x:c>
      <x:c r="G1580" s="274" t="s">
        <x:v>2796</x:v>
      </x:c>
      <x:c r="I1580" s="274" t="n">
        <x:v>2</x:v>
      </x:c>
      <x:c r="J1580" s="274" t="n">
        <x:v>335</x:v>
      </x:c>
      <x:c r="K1580" s="274" t="n">
        <x:v>1080</x:v>
      </x:c>
    </x:row>
    <x:row r="1581" spans="1:14">
      <x:c r="A1581" s="274" t="s">
        <x:v>3183</x:v>
      </x:c>
      <x:c r="B1581" s="274" t="n">
        <x:v>9.934</x:v>
      </x:c>
      <x:c r="C1581" s="274" t="n">
        <x:v>0</x:v>
      </x:c>
      <x:c r="D1581" s="274" t="n">
        <x:v>20</x:v>
      </x:c>
      <x:c r="E1581" s="274" t="n">
        <x:v>18</x:v>
      </x:c>
      <x:c r="F1581" s="274" t="s">
        <x:v>123</x:v>
      </x:c>
      <x:c r="G1581" s="274" t="s">
        <x:v>2796</x:v>
      </x:c>
      <x:c r="I1581" s="274" t="n">
        <x:v>2</x:v>
      </x:c>
      <x:c r="J1581" s="274" t="n">
        <x:v>507</x:v>
      </x:c>
      <x:c r="K1581" s="274" t="n">
        <x:v>1250</x:v>
      </x:c>
    </x:row>
    <x:row r="1582" spans="1:14">
      <x:c r="A1582" s="274" t="s">
        <x:v>3184</x:v>
      </x:c>
      <x:c r="B1582" s="274" t="n">
        <x:v>4.768</x:v>
      </x:c>
      <x:c r="C1582" s="274" t="n">
        <x:v>0</x:v>
      </x:c>
      <x:c r="D1582" s="274" t="n">
        <x:v>19</x:v>
      </x:c>
      <x:c r="E1582" s="274" t="n">
        <x:v>19</x:v>
      </x:c>
      <x:c r="F1582" s="274" t="s">
        <x:v>123</x:v>
      </x:c>
      <x:c r="G1582" s="274" t="s">
        <x:v>2796</x:v>
      </x:c>
      <x:c r="I1582" s="274" t="n">
        <x:v>1.6</x:v>
      </x:c>
      <x:c r="J1582" s="274" t="n">
        <x:v>313</x:v>
      </x:c>
      <x:c r="K1582" s="274" t="n">
        <x:v>1210</x:v>
      </x:c>
    </x:row>
    <x:row r="1583" spans="1:14">
      <x:c r="A1583" s="274" t="s">
        <x:v>3185</x:v>
      </x:c>
      <x:c r="B1583" s="274" t="n">
        <x:v>3.114</x:v>
      </x:c>
      <x:c r="C1583" s="274" t="n">
        <x:v>0</x:v>
      </x:c>
      <x:c r="D1583" s="274" t="n">
        <x:v>18</x:v>
      </x:c>
      <x:c r="E1583" s="274" t="n">
        <x:v>18</x:v>
      </x:c>
      <x:c r="F1583" s="274" t="s">
        <x:v>123</x:v>
      </x:c>
      <x:c r="G1583" s="274" t="s">
        <x:v>2637</x:v>
      </x:c>
      <x:c r="I1583" s="274" t="n">
        <x:v>1.5</x:v>
      </x:c>
      <x:c r="J1583" s="274" t="n">
        <x:v>207</x:v>
      </x:c>
      <x:c r="K1583" s="274" t="n">
        <x:v>1250</x:v>
      </x:c>
    </x:row>
    <x:row r="1584" spans="1:14">
      <x:c r="A1584" s="274" t="s">
        <x:v>3186</x:v>
      </x:c>
      <x:c r="B1584" s="274" t="n">
        <x:v>0.25</x:v>
      </x:c>
      <x:c r="C1584" s="274" t="n">
        <x:v>0</x:v>
      </x:c>
      <x:c r="D1584" s="274" t="n">
        <x:v>0</x:v>
      </x:c>
      <x:c r="F1584" s="274" t="s">
        <x:v>133</x:v>
      </x:c>
      <x:c r="G1584" s="274" t="s">
        <x:v>136</x:v>
      </x:c>
      <x:c r="H1584" s="274" t="n">
        <x:v>45</x:v>
      </x:c>
      <x:c r="I1584" s="274" t="n">
        <x:v>2</x:v>
      </x:c>
      <x:c r="J1584" s="274" t="n">
        <x:v>120</x:v>
      </x:c>
      <x:c r="K1584" s="274" t="n">
        <x:v>130</x:v>
      </x:c>
      <x:c r="M1584" s="274" t="s">
        <x:v>3187</x:v>
      </x:c>
      <x:c r="N1584" s="274" t="s">
        <x:v>3188</x:v>
      </x:c>
    </x:row>
    <x:row r="1585" spans="1:14">
      <x:c r="A1585" s="274" t="s">
        <x:v>3189</x:v>
      </x:c>
      <x:c r="B1585" s="274" t="n">
        <x:v>1.85</x:v>
      </x:c>
      <x:c r="C1585" s="274" t="n">
        <x:v>0</x:v>
      </x:c>
      <x:c r="D1585" s="274" t="n">
        <x:v>0</x:v>
      </x:c>
      <x:c r="F1585" s="274" t="s">
        <x:v>123</x:v>
      </x:c>
      <x:c r="G1585" s="274" t="s">
        <x:v>153</x:v>
      </x:c>
      <x:c r="I1585" s="274" t="n">
        <x:v>2.6</x:v>
      </x:c>
      <x:c r="J1585" s="274" t="n">
        <x:v>307</x:v>
      </x:c>
      <x:c r="K1585" s="274" t="n">
        <x:v>295</x:v>
      </x:c>
      <x:c r="M1585" s="274" t="s">
        <x:v>3190</x:v>
      </x:c>
      <x:c r="N1585" s="274" t="s">
        <x:v>1274</x:v>
      </x:c>
    </x:row>
    <x:row r="1586" spans="1:14">
      <x:c r="A1586" s="274" t="s">
        <x:v>3191</x:v>
      </x:c>
      <x:c r="B1586" s="274" t="n">
        <x:v>1.02</x:v>
      </x:c>
      <x:c r="C1586" s="274" t="n">
        <x:v>0</x:v>
      </x:c>
      <x:c r="D1586" s="274" t="n">
        <x:v>0</x:v>
      </x:c>
      <x:c r="F1586" s="274" t="s">
        <x:v>333</x:v>
      </x:c>
      <x:c r="G1586" s="274" t="s">
        <x:v>124</x:v>
      </x:c>
      <x:c r="I1586" s="274" t="n">
        <x:v>1.6</x:v>
      </x:c>
      <x:c r="J1586" s="274" t="n">
        <x:v>233</x:v>
      </x:c>
      <x:c r="K1586" s="274" t="n">
        <x:v>349</x:v>
      </x:c>
      <x:c r="M1586" s="274" t="s">
        <x:v>2776</x:v>
      </x:c>
      <x:c r="N1586" s="274" t="s">
        <x:v>299</x:v>
      </x:c>
    </x:row>
    <x:row r="1587" spans="1:14">
      <x:c r="A1587" s="274" t="s">
        <x:v>3192</x:v>
      </x:c>
      <x:c r="B1587" s="274" t="n">
        <x:v>1.69</x:v>
      </x:c>
      <x:c r="C1587" s="274" t="n">
        <x:v>0</x:v>
      </x:c>
      <x:c r="D1587" s="274" t="n">
        <x:v>26</x:v>
      </x:c>
      <x:c r="E1587" s="274" t="n">
        <x:v>14</x:v>
      </x:c>
      <x:c r="F1587" s="274" t="s">
        <x:v>333</x:v>
      </x:c>
      <x:c r="G1587" s="274" t="s">
        <x:v>124</x:v>
      </x:c>
      <x:c r="I1587" s="274" t="n">
        <x:v>1</x:v>
      </x:c>
      <x:c r="J1587" s="274" t="n">
        <x:v>190</x:v>
      </x:c>
      <x:c r="K1587" s="274" t="n">
        <x:v>1130</x:v>
      </x:c>
      <x:c r="M1587" s="274" t="s">
        <x:v>2191</x:v>
      </x:c>
      <x:c r="N1587" s="274" t="s">
        <x:v>299</x:v>
      </x:c>
    </x:row>
    <x:row r="1588" spans="1:14">
      <x:c r="A1588" s="274" t="s">
        <x:v>3193</x:v>
      </x:c>
      <x:c r="B1588" s="274" t="n">
        <x:v>0.34</x:v>
      </x:c>
      <x:c r="C1588" s="274" t="n">
        <x:v>34</x:v>
      </x:c>
      <x:c r="D1588" s="274" t="n">
        <x:v>35</x:v>
      </x:c>
      <x:c r="E1588" s="274" t="n">
        <x:v>33</x:v>
      </x:c>
      <x:c r="F1588" s="274" t="s">
        <x:v>333</x:v>
      </x:c>
      <x:c r="G1588" s="274" t="s">
        <x:v>124</x:v>
      </x:c>
      <x:c r="I1588" s="274" t="n">
        <x:v>1</x:v>
      </x:c>
      <x:c r="J1588" s="274" t="n">
        <x:v>262</x:v>
      </x:c>
      <x:c r="K1588" s="274" t="n">
        <x:v>165</x:v>
      </x:c>
      <x:c r="M1588" s="274" t="s">
        <x:v>3194</x:v>
      </x:c>
      <x:c r="N1588" s="274" t="s">
        <x:v>155</x:v>
      </x:c>
    </x:row>
    <x:row r="1589" spans="1:14">
      <x:c r="A1589" s="274" t="s">
        <x:v>3195</x:v>
      </x:c>
      <x:c r="B1589" s="274" t="n">
        <x:v>2.28</x:v>
      </x:c>
      <x:c r="C1589" s="274" t="n">
        <x:v>0</x:v>
      </x:c>
      <x:c r="D1589" s="274" t="n">
        <x:v>62</x:v>
      </x:c>
      <x:c r="E1589" s="274" t="n">
        <x:v>0</x:v>
      </x:c>
      <x:c r="F1589" s="274" t="s">
        <x:v>133</x:v>
      </x:c>
      <x:c r="G1589" s="274" t="s">
        <x:v>2475</x:v>
      </x:c>
      <x:c r="I1589" s="274" t="n">
        <x:v>0.75</x:v>
      </x:c>
      <x:c r="J1589" s="274" t="n">
        <x:v>740</x:v>
      </x:c>
      <x:c r="K1589" s="274" t="n">
        <x:v>668</x:v>
      </x:c>
      <x:c r="L1589" s="274" t="n">
        <x:v>380</x:v>
      </x:c>
      <x:c r="M1589" s="274" t="s">
        <x:v>3196</x:v>
      </x:c>
      <x:c r="N1589" s="274" t="s">
        <x:v>2892</x:v>
      </x:c>
    </x:row>
    <x:row r="1590" spans="1:14">
      <x:c r="A1590" s="274" t="s">
        <x:v>3197</x:v>
      </x:c>
      <x:c r="B1590" s="274" t="n">
        <x:v>0.17</x:v>
      </x:c>
      <x:c r="C1590" s="274" t="n">
        <x:v>0</x:v>
      </x:c>
      <x:c r="D1590" s="274" t="n">
        <x:v>0</x:v>
      </x:c>
      <x:c r="F1590" s="274" t="s">
        <x:v>333</x:v>
      </x:c>
      <x:c r="G1590" s="274" t="s">
        <x:v>124</x:v>
      </x:c>
      <x:c r="I1590" s="274" t="n">
        <x:v>1.6</x:v>
      </x:c>
      <x:c r="J1590" s="274" t="n">
        <x:v>150</x:v>
      </x:c>
      <x:c r="K1590" s="274" t="n">
        <x:v>90</x:v>
      </x:c>
      <x:c r="M1590" s="274" t="s">
        <x:v>1630</x:v>
      </x:c>
      <x:c r="N1590" s="274" t="s">
        <x:v>155</x:v>
      </x:c>
    </x:row>
    <x:row r="1591" spans="1:14">
      <x:c r="A1591" s="274" t="s">
        <x:v>3198</x:v>
      </x:c>
      <x:c r="B1591" s="274" t="n">
        <x:v>36.81</x:v>
      </x:c>
      <x:c r="C1591" s="274" t="n">
        <x:v>0</x:v>
      </x:c>
      <x:c r="D1591" s="274" t="n">
        <x:v>0</x:v>
      </x:c>
      <x:c r="E1591" s="274" t="n">
        <x:v>0</x:v>
      </x:c>
      <x:c r="F1591" s="274" t="s">
        <x:v>311</x:v>
      </x:c>
      <x:c r="G1591" s="274" t="s">
        <x:v>1728</x:v>
      </x:c>
      <x:c r="H1591" s="274" t="s">
        <x:v>1732</x:v>
      </x:c>
      <x:c r="I1591" s="274" t="n">
        <x:v>0.75</x:v>
      </x:c>
      <x:c r="J1591" s="274" t="n">
        <x:v>1687</x:v>
      </x:c>
      <x:c r="K1591" s="274" t="n">
        <x:v>3650</x:v>
      </x:c>
      <x:c r="M1591" s="274" t="s">
        <x:v>3199</x:v>
      </x:c>
      <x:c r="N1591" s="274" t="s">
        <x:v>155</x:v>
      </x:c>
    </x:row>
    <x:row r="1592" spans="1:14">
      <x:c r="A1592" s="274" t="s">
        <x:v>3200</x:v>
      </x:c>
      <x:c r="B1592" s="274" t="n">
        <x:v>36.81</x:v>
      </x:c>
      <x:c r="C1592" s="274" t="n">
        <x:v>0</x:v>
      </x:c>
      <x:c r="D1592" s="274" t="n">
        <x:v>0</x:v>
      </x:c>
      <x:c r="E1592" s="274" t="n">
        <x:v>0</x:v>
      </x:c>
      <x:c r="F1592" s="274" t="s">
        <x:v>311</x:v>
      </x:c>
      <x:c r="G1592" s="274" t="s">
        <x:v>1728</x:v>
      </x:c>
      <x:c r="H1592" s="274" t="s">
        <x:v>1729</x:v>
      </x:c>
      <x:c r="I1592" s="274" t="n">
        <x:v>0.75</x:v>
      </x:c>
      <x:c r="J1592" s="274" t="n">
        <x:v>1687</x:v>
      </x:c>
      <x:c r="K1592" s="274" t="n">
        <x:v>3650</x:v>
      </x:c>
      <x:c r="M1592" s="274" t="s">
        <x:v>3201</x:v>
      </x:c>
      <x:c r="N1592" s="274" t="s">
        <x:v>155</x:v>
      </x:c>
    </x:row>
    <x:row r="1593" spans="1:14">
      <x:c r="A1593" s="274" t="s">
        <x:v>3202</x:v>
      </x:c>
      <x:c r="B1593" s="274" t="n">
        <x:v>0</x:v>
      </x:c>
      <x:c r="C1593" s="274" t="n">
        <x:v>0</x:v>
      </x:c>
      <x:c r="D1593" s="274" t="n">
        <x:v>0</x:v>
      </x:c>
      <x:c r="F1593" s="274" t="s">
        <x:v>311</x:v>
      </x:c>
      <x:c r="G1593" s="274" t="s">
        <x:v>1728</x:v>
      </x:c>
      <x:c r="H1593" s="274" t="s">
        <x:v>1729</x:v>
      </x:c>
      <x:c r="I1593" s="274" t="n">
        <x:v>0.75</x:v>
      </x:c>
      <x:c r="J1593" s="274" t="n">
        <x:v>960</x:v>
      </x:c>
      <x:c r="K1593" s="274" t="n">
        <x:v>390</x:v>
      </x:c>
      <x:c r="M1593" s="274" t="s">
        <x:v>3203</x:v>
      </x:c>
      <x:c r="N1593" s="274" t="s">
        <x:v>155</x:v>
      </x:c>
    </x:row>
    <x:row r="1594" spans="1:14">
      <x:c r="A1594" s="274" t="s">
        <x:v>3204</x:v>
      </x:c>
      <x:c r="B1594" s="274" t="n">
        <x:v>0</x:v>
      </x:c>
      <x:c r="C1594" s="274" t="n">
        <x:v>0</x:v>
      </x:c>
      <x:c r="D1594" s="274" t="n">
        <x:v>0</x:v>
      </x:c>
      <x:c r="F1594" s="274" t="s">
        <x:v>311</x:v>
      </x:c>
      <x:c r="G1594" s="274" t="s">
        <x:v>1728</x:v>
      </x:c>
      <x:c r="H1594" s="274" t="s">
        <x:v>1732</x:v>
      </x:c>
      <x:c r="I1594" s="274" t="n">
        <x:v>0.75</x:v>
      </x:c>
      <x:c r="J1594" s="274" t="n">
        <x:v>960</x:v>
      </x:c>
      <x:c r="K1594" s="274" t="n">
        <x:v>390</x:v>
      </x:c>
      <x:c r="M1594" s="274" t="s">
        <x:v>3205</x:v>
      </x:c>
      <x:c r="N1594" s="274" t="s">
        <x:v>155</x:v>
      </x:c>
    </x:row>
    <x:row r="1595" spans="1:14">
      <x:c r="A1595" s="274" t="s">
        <x:v>3206</x:v>
      </x:c>
      <x:c r="B1595" s="274" t="n">
        <x:v>0</x:v>
      </x:c>
      <x:c r="C1595" s="274" t="n">
        <x:v>0</x:v>
      </x:c>
      <x:c r="D1595" s="274" t="n">
        <x:v>0</x:v>
      </x:c>
      <x:c r="F1595" s="274" t="s">
        <x:v>311</x:v>
      </x:c>
      <x:c r="G1595" s="274" t="s">
        <x:v>1728</x:v>
      </x:c>
      <x:c r="H1595" s="274" t="s">
        <x:v>1729</x:v>
      </x:c>
      <x:c r="I1595" s="274" t="n">
        <x:v>0.75</x:v>
      </x:c>
      <x:c r="J1595" s="274" t="n">
        <x:v>845</x:v>
      </x:c>
      <x:c r="K1595" s="274" t="n">
        <x:v>559</x:v>
      </x:c>
      <x:c r="M1595" s="274" t="s">
        <x:v>3207</x:v>
      </x:c>
      <x:c r="N1595" s="274" t="s">
        <x:v>155</x:v>
      </x:c>
    </x:row>
    <x:row r="1596" spans="1:14">
      <x:c r="A1596" s="274" t="s">
        <x:v>3208</x:v>
      </x:c>
      <x:c r="B1596" s="274" t="n">
        <x:v>0</x:v>
      </x:c>
      <x:c r="C1596" s="274" t="n">
        <x:v>0</x:v>
      </x:c>
      <x:c r="D1596" s="274" t="n">
        <x:v>0</x:v>
      </x:c>
      <x:c r="F1596" s="274" t="s">
        <x:v>311</x:v>
      </x:c>
      <x:c r="G1596" s="274" t="s">
        <x:v>1728</x:v>
      </x:c>
      <x:c r="H1596" s="274" t="s">
        <x:v>1732</x:v>
      </x:c>
      <x:c r="I1596" s="274" t="n">
        <x:v>0.75</x:v>
      </x:c>
      <x:c r="J1596" s="274" t="n">
        <x:v>845</x:v>
      </x:c>
      <x:c r="K1596" s="274" t="n">
        <x:v>559</x:v>
      </x:c>
      <x:c r="M1596" s="274" t="s">
        <x:v>3209</x:v>
      </x:c>
      <x:c r="N1596" s="274" t="s">
        <x:v>155</x:v>
      </x:c>
    </x:row>
    <x:row r="1597" spans="1:14">
      <x:c r="A1597" s="274" t="s">
        <x:v>3210</x:v>
      </x:c>
      <x:c r="B1597" s="274" t="n">
        <x:v>8.7</x:v>
      </x:c>
      <x:c r="C1597" s="274" t="n">
        <x:v>0</x:v>
      </x:c>
      <x:c r="D1597" s="274" t="n">
        <x:v>32</x:v>
      </x:c>
      <x:c r="E1597" s="274" t="n">
        <x:v>30</x:v>
      </x:c>
      <x:c r="F1597" s="274" t="s">
        <x:v>1980</x:v>
      </x:c>
      <x:c r="G1597" s="274" t="s">
        <x:v>2277</x:v>
      </x:c>
      <x:c r="I1597" s="274" t="n">
        <x:v>0.8</x:v>
      </x:c>
      <x:c r="J1597" s="274" t="n">
        <x:v>1030</x:v>
      </x:c>
      <x:c r="K1597" s="274" t="n">
        <x:v>1345</x:v>
      </x:c>
      <x:c r="M1597" s="274" t="s">
        <x:v>2278</x:v>
      </x:c>
    </x:row>
    <x:row r="1598" spans="1:14">
      <x:c r="A1598" s="274" t="s">
        <x:v>3211</x:v>
      </x:c>
      <x:c r="B1598" s="274" t="n">
        <x:v>3.301</x:v>
      </x:c>
      <x:c r="C1598" s="274" t="n">
        <x:v>0</x:v>
      </x:c>
      <x:c r="D1598" s="274" t="n">
        <x:v>19</x:v>
      </x:c>
      <x:c r="E1598" s="274" t="n">
        <x:v>19</x:v>
      </x:c>
      <x:c r="F1598" s="274" t="s">
        <x:v>123</x:v>
      </x:c>
      <x:c r="G1598" s="274" t="s">
        <x:v>2637</x:v>
      </x:c>
      <x:c r="I1598" s="274" t="n">
        <x:v>1.6</x:v>
      </x:c>
      <x:c r="J1598" s="274" t="n">
        <x:v>213</x:v>
      </x:c>
      <x:c r="K1598" s="274" t="n">
        <x:v>1250</x:v>
      </x:c>
    </x:row>
    <x:row r="1599" spans="1:14">
      <x:c r="A1599" s="274" t="s">
        <x:v>3212</x:v>
      </x:c>
      <x:c r="B1599" s="274" t="n">
        <x:v>1.104</x:v>
      </x:c>
      <x:c r="C1599" s="274" t="n">
        <x:v>0</x:v>
      </x:c>
      <x:c r="D1599" s="274" t="n">
        <x:v>19</x:v>
      </x:c>
      <x:c r="E1599" s="274" t="n">
        <x:v>19</x:v>
      </x:c>
      <x:c r="F1599" s="274" t="s">
        <x:v>123</x:v>
      </x:c>
      <x:c r="G1599" s="274" t="s">
        <x:v>2637</x:v>
      </x:c>
      <x:c r="I1599" s="274" t="n">
        <x:v>1.6</x:v>
      </x:c>
      <x:c r="J1599" s="274" t="n">
        <x:v>71</x:v>
      </x:c>
      <x:c r="K1599" s="274" t="n">
        <x:v>1250</x:v>
      </x:c>
    </x:row>
    <x:row r="1600" spans="1:14">
      <x:c r="A1600" s="274" t="s">
        <x:v>3213</x:v>
      </x:c>
      <x:c r="B1600" s="274" t="n">
        <x:v>1.894</x:v>
      </x:c>
      <x:c r="C1600" s="274" t="n">
        <x:v>0</x:v>
      </x:c>
      <x:c r="D1600" s="274" t="n">
        <x:v>19</x:v>
      </x:c>
      <x:c r="E1600" s="274" t="n">
        <x:v>19</x:v>
      </x:c>
      <x:c r="F1600" s="274" t="s">
        <x:v>123</x:v>
      </x:c>
      <x:c r="G1600" s="274" t="s">
        <x:v>2637</x:v>
      </x:c>
      <x:c r="I1600" s="274" t="n">
        <x:v>1.6</x:v>
      </x:c>
      <x:c r="J1600" s="274" t="n">
        <x:v>121</x:v>
      </x:c>
      <x:c r="K1600" s="274" t="n">
        <x:v>1250</x:v>
      </x:c>
    </x:row>
    <x:row r="1601" spans="1:14">
      <x:c r="A1601" s="274" t="s">
        <x:v>3214</x:v>
      </x:c>
      <x:c r="B1601" s="274" t="n">
        <x:v>1.47</x:v>
      </x:c>
      <x:c r="C1601" s="274" t="n">
        <x:v>0</x:v>
      </x:c>
      <x:c r="D1601" s="274" t="n">
        <x:v>19</x:v>
      </x:c>
      <x:c r="E1601" s="274" t="n">
        <x:v>19</x:v>
      </x:c>
      <x:c r="F1601" s="274" t="s">
        <x:v>123</x:v>
      </x:c>
      <x:c r="G1601" s="274" t="s">
        <x:v>2637</x:v>
      </x:c>
      <x:c r="I1601" s="274" t="n">
        <x:v>1.6</x:v>
      </x:c>
      <x:c r="J1601" s="274" t="n">
        <x:v>104</x:v>
      </x:c>
      <x:c r="K1601" s="274" t="n">
        <x:v>1178</x:v>
      </x:c>
    </x:row>
    <x:row r="1602" spans="1:14">
      <x:c r="A1602" s="274" t="s">
        <x:v>3215</x:v>
      </x:c>
      <x:c r="B1602" s="274" t="n">
        <x:v>1.555</x:v>
      </x:c>
      <x:c r="C1602" s="274" t="n">
        <x:v>0</x:v>
      </x:c>
      <x:c r="D1602" s="274" t="n">
        <x:v>19</x:v>
      </x:c>
      <x:c r="E1602" s="274" t="n">
        <x:v>19</x:v>
      </x:c>
      <x:c r="F1602" s="274" t="s">
        <x:v>123</x:v>
      </x:c>
      <x:c r="G1602" s="274" t="s">
        <x:v>2637</x:v>
      </x:c>
      <x:c r="I1602" s="274" t="n">
        <x:v>1.6</x:v>
      </x:c>
      <x:c r="J1602" s="274" t="n">
        <x:v>100</x:v>
      </x:c>
      <x:c r="K1602" s="274" t="n">
        <x:v>1250</x:v>
      </x:c>
    </x:row>
    <x:row r="1603" spans="1:14">
      <x:c r="A1603" s="274" t="s">
        <x:v>3216</x:v>
      </x:c>
      <x:c r="B1603" s="274" t="n">
        <x:v>1.377</x:v>
      </x:c>
      <x:c r="C1603" s="274" t="n">
        <x:v>0</x:v>
      </x:c>
      <x:c r="D1603" s="274" t="n">
        <x:v>19</x:v>
      </x:c>
      <x:c r="E1603" s="274" t="n">
        <x:v>19</x:v>
      </x:c>
      <x:c r="F1603" s="274" t="s">
        <x:v>123</x:v>
      </x:c>
      <x:c r="G1603" s="274" t="s">
        <x:v>2796</x:v>
      </x:c>
      <x:c r="I1603" s="274" t="n">
        <x:v>2</x:v>
      </x:c>
      <x:c r="J1603" s="274" t="n">
        <x:v>70</x:v>
      </x:c>
      <x:c r="K1603" s="274" t="n">
        <x:v>1250</x:v>
      </x:c>
    </x:row>
    <x:row r="1604" spans="1:14">
      <x:c r="A1604" s="274" t="s">
        <x:v>3217</x:v>
      </x:c>
      <x:c r="B1604" s="274" t="n">
        <x:v>6.103</x:v>
      </x:c>
      <x:c r="C1604" s="274" t="n">
        <x:v>0</x:v>
      </x:c>
      <x:c r="D1604" s="274" t="n">
        <x:v>19</x:v>
      </x:c>
      <x:c r="E1604" s="274" t="n">
        <x:v>19</x:v>
      </x:c>
      <x:c r="F1604" s="274" t="s">
        <x:v>123</x:v>
      </x:c>
      <x:c r="G1604" s="274" t="s">
        <x:v>2796</x:v>
      </x:c>
      <x:c r="I1604" s="274" t="n">
        <x:v>2</x:v>
      </x:c>
      <x:c r="J1604" s="274" t="n">
        <x:v>311</x:v>
      </x:c>
      <x:c r="K1604" s="274" t="n">
        <x:v>1240</x:v>
      </x:c>
    </x:row>
    <x:row r="1605" spans="1:14">
      <x:c r="A1605" s="274" t="s">
        <x:v>3218</x:v>
      </x:c>
      <x:c r="B1605" s="274" t="n">
        <x:v>0.56</x:v>
      </x:c>
      <x:c r="C1605" s="274" t="n">
        <x:v>0</x:v>
      </x:c>
      <x:c r="D1605" s="274" t="n">
        <x:v>0</x:v>
      </x:c>
      <x:c r="F1605" s="274" t="s">
        <x:v>133</x:v>
      </x:c>
      <x:c r="G1605" s="274" t="s">
        <x:v>136</x:v>
      </x:c>
      <x:c r="H1605" s="274" t="n">
        <x:v>45</x:v>
      </x:c>
      <x:c r="I1605" s="274" t="n">
        <x:v>1</x:v>
      </x:c>
      <x:c r="J1605" s="274" t="n">
        <x:v>141</x:v>
      </x:c>
      <x:c r="K1605" s="274" t="n">
        <x:v>500</x:v>
      </x:c>
      <x:c r="M1605" s="274" t="s">
        <x:v>3219</x:v>
      </x:c>
      <x:c r="N1605" s="274" t="s">
        <x:v>2373</x:v>
      </x:c>
    </x:row>
    <x:row r="1606" spans="1:14">
      <x:c r="A1606" s="274" t="s">
        <x:v>3220</x:v>
      </x:c>
      <x:c r="B1606" s="274" t="n">
        <x:v>15.01</x:v>
      </x:c>
      <x:c r="C1606" s="274" t="n">
        <x:v>0</x:v>
      </x:c>
      <x:c r="D1606" s="274" t="n">
        <x:v>0</x:v>
      </x:c>
      <x:c r="F1606" s="274" t="s">
        <x:v>133</x:v>
      </x:c>
      <x:c r="G1606" s="274" t="s">
        <x:v>1636</x:v>
      </x:c>
      <x:c r="I1606" s="274" t="n">
        <x:v>10</x:v>
      </x:c>
      <x:c r="J1606" s="274" t="n">
        <x:v>153</x:v>
      </x:c>
      <x:c r="K1606" s="274" t="n">
        <x:v>1250</x:v>
      </x:c>
      <x:c r="M1606" s="274" t="s">
        <x:v>3221</x:v>
      </x:c>
      <x:c r="N1606" s="274" t="s">
        <x:v>748</x:v>
      </x:c>
    </x:row>
    <x:row r="1607" spans="1:14">
      <x:c r="A1607" s="274" t="s">
        <x:v>3222</x:v>
      </x:c>
      <x:c r="B1607" s="274" t="n">
        <x:v>0.38</x:v>
      </x:c>
      <x:c r="C1607" s="274" t="n">
        <x:v>0</x:v>
      </x:c>
      <x:c r="D1607" s="274" t="n">
        <x:v>0</x:v>
      </x:c>
      <x:c r="F1607" s="274" t="s">
        <x:v>133</x:v>
      </x:c>
      <x:c r="G1607" s="274" t="s">
        <x:v>136</x:v>
      </x:c>
      <x:c r="H1607" s="274" t="n">
        <x:v>45</x:v>
      </x:c>
      <x:c r="I1607" s="274" t="n">
        <x:v>1.6</x:v>
      </x:c>
      <x:c r="J1607" s="274" t="n">
        <x:v>140</x:v>
      </x:c>
      <x:c r="K1607" s="274" t="n">
        <x:v>215</x:v>
      </x:c>
      <x:c r="M1607" s="274" t="s">
        <x:v>3223</x:v>
      </x:c>
      <x:c r="N1607" s="274" t="s">
        <x:v>2373</x:v>
      </x:c>
    </x:row>
    <x:row r="1608" spans="1:14">
      <x:c r="A1608" s="274" t="s">
        <x:v>3224</x:v>
      </x:c>
      <x:c r="B1608" s="274" t="n">
        <x:v>0.92</x:v>
      </x:c>
      <x:c r="C1608" s="274" t="n">
        <x:v>0</x:v>
      </x:c>
      <x:c r="D1608" s="274" t="n">
        <x:v>0</x:v>
      </x:c>
      <x:c r="F1608" s="274" t="s">
        <x:v>133</x:v>
      </x:c>
      <x:c r="G1608" s="274" t="s">
        <x:v>136</x:v>
      </x:c>
      <x:c r="H1608" s="274" t="n">
        <x:v>45</x:v>
      </x:c>
      <x:c r="I1608" s="274" t="n">
        <x:v>1.6</x:v>
      </x:c>
      <x:c r="J1608" s="274" t="n">
        <x:v>280</x:v>
      </x:c>
      <x:c r="K1608" s="274" t="n">
        <x:v>260</x:v>
      </x:c>
      <x:c r="M1608" s="274" t="s">
        <x:v>3219</x:v>
      </x:c>
      <x:c r="N1608" s="274" t="s">
        <x:v>2373</x:v>
      </x:c>
    </x:row>
    <x:row r="1609" spans="1:14">
      <x:c r="A1609" s="274" t="s">
        <x:v>3225</x:v>
      </x:c>
      <x:c r="B1609" s="274" t="n">
        <x:v>2.7</x:v>
      </x:c>
      <x:c r="C1609" s="274" t="n">
        <x:v>0</x:v>
      </x:c>
      <x:c r="D1609" s="274" t="n">
        <x:v>0</x:v>
      </x:c>
      <x:c r="F1609" s="274" t="s">
        <x:v>133</x:v>
      </x:c>
      <x:c r="G1609" s="274" t="s">
        <x:v>134</x:v>
      </x:c>
      <x:c r="I1609" s="274" t="n">
        <x:v>2.9</x:v>
      </x:c>
      <x:c r="J1609" s="274" t="n">
        <x:v>300</x:v>
      </x:c>
      <x:c r="K1609" s="274" t="n">
        <x:v>395</x:v>
      </x:c>
      <x:c r="M1609" s="274" t="s">
        <x:v>3226</x:v>
      </x:c>
      <x:c r="N1609" s="274" t="s">
        <x:v>3227</x:v>
      </x:c>
    </x:row>
    <x:row r="1610" spans="1:14">
      <x:c r="A1610" s="274" t="s">
        <x:v>3228</x:v>
      </x:c>
      <x:c r="B1610" s="274" t="n">
        <x:v>8.39</x:v>
      </x:c>
      <x:c r="C1610" s="274" t="n">
        <x:v>0</x:v>
      </x:c>
      <x:c r="D1610" s="274" t="n">
        <x:v>0</x:v>
      </x:c>
      <x:c r="F1610" s="274" t="s">
        <x:v>133</x:v>
      </x:c>
      <x:c r="G1610" s="274" t="s">
        <x:v>134</x:v>
      </x:c>
      <x:c r="I1610" s="274" t="n">
        <x:v>3.2</x:v>
      </x:c>
      <x:c r="J1610" s="274" t="n">
        <x:v>583</x:v>
      </x:c>
      <x:c r="K1610" s="274" t="n">
        <x:v>573</x:v>
      </x:c>
      <x:c r="M1610" s="274" t="s">
        <x:v>3229</x:v>
      </x:c>
      <x:c r="N1610" s="274" t="s">
        <x:v>3227</x:v>
      </x:c>
    </x:row>
    <x:row r="1611" spans="1:14">
      <x:c r="A1611" s="274" t="s">
        <x:v>3230</x:v>
      </x:c>
      <x:c r="B1611" s="274" t="n">
        <x:v>2.24</x:v>
      </x:c>
      <x:c r="C1611" s="274" t="n">
        <x:v>0</x:v>
      </x:c>
      <x:c r="D1611" s="274" t="n">
        <x:v>0</x:v>
      </x:c>
      <x:c r="F1611" s="274" t="s">
        <x:v>184</x:v>
      </x:c>
      <x:c r="G1611" s="274" t="s">
        <x:v>129</x:v>
      </x:c>
      <x:c r="H1611" s="274" t="n">
        <x:v>45</x:v>
      </x:c>
      <x:c r="I1611" s="274" t="n">
        <x:v>1</x:v>
      </x:c>
      <x:c r="J1611" s="274" t="n">
        <x:v>360</x:v>
      </x:c>
      <x:c r="K1611" s="274" t="n">
        <x:v>785</x:v>
      </x:c>
      <x:c r="M1611" s="274" t="s">
        <x:v>3231</x:v>
      </x:c>
      <x:c r="N1611" s="274" t="s">
        <x:v>3227</x:v>
      </x:c>
    </x:row>
    <x:row r="1612" spans="1:14">
      <x:c r="A1612" s="274" t="s">
        <x:v>3232</x:v>
      </x:c>
      <x:c r="B1612" s="274" t="n">
        <x:v>1.86</x:v>
      </x:c>
      <x:c r="C1612" s="274" t="n">
        <x:v>0</x:v>
      </x:c>
      <x:c r="D1612" s="274" t="n">
        <x:v>0</x:v>
      </x:c>
      <x:c r="F1612" s="274" t="s">
        <x:v>128</x:v>
      </x:c>
      <x:c r="G1612" s="274" t="s">
        <x:v>177</x:v>
      </x:c>
      <x:c r="H1612" s="274" t="n">
        <x:v>45</x:v>
      </x:c>
      <x:c r="I1612" s="274" t="n">
        <x:v>2</x:v>
      </x:c>
      <x:c r="J1612" s="274" t="n">
        <x:v>95</x:v>
      </x:c>
      <x:c r="K1612" s="274" t="n">
        <x:v>1240</x:v>
      </x:c>
      <x:c r="M1612" s="274" t="s">
        <x:v>3233</x:v>
      </x:c>
      <x:c r="N1612" s="274" t="s">
        <x:v>3227</x:v>
      </x:c>
    </x:row>
    <x:row r="1613" spans="1:14">
      <x:c r="A1613" s="274" t="s">
        <x:v>3234</x:v>
      </x:c>
      <x:c r="B1613" s="274" t="n">
        <x:v>5.77</x:v>
      </x:c>
      <x:c r="C1613" s="274" t="n">
        <x:v>0</x:v>
      </x:c>
      <x:c r="D1613" s="274" t="n">
        <x:v>0</x:v>
      </x:c>
      <x:c r="F1613" s="274" t="s">
        <x:v>123</x:v>
      </x:c>
      <x:c r="G1613" s="274" t="s">
        <x:v>139</x:v>
      </x:c>
      <x:c r="I1613" s="274" t="n">
        <x:v>2.6</x:v>
      </x:c>
      <x:c r="J1613" s="274" t="n">
        <x:v>360</x:v>
      </x:c>
      <x:c r="K1613" s="274" t="n">
        <x:v>785</x:v>
      </x:c>
      <x:c r="M1613" s="274" t="s">
        <x:v>3235</x:v>
      </x:c>
      <x:c r="N1613" s="274" t="s">
        <x:v>3227</x:v>
      </x:c>
    </x:row>
    <x:row r="1614" spans="1:14">
      <x:c r="A1614" s="274" t="s">
        <x:v>3236</x:v>
      </x:c>
      <x:c r="B1614" s="274" t="n">
        <x:v>11.88</x:v>
      </x:c>
      <x:c r="C1614" s="274" t="n">
        <x:v>0</x:v>
      </x:c>
      <x:c r="D1614" s="274" t="n">
        <x:v>30</x:v>
      </x:c>
      <x:c r="E1614" s="274" t="n">
        <x:v>16</x:v>
      </x:c>
      <x:c r="F1614" s="274" t="s">
        <x:v>1980</x:v>
      </x:c>
      <x:c r="G1614" s="274" t="s">
        <x:v>1985</x:v>
      </x:c>
      <x:c r="I1614" s="274" t="n">
        <x:v>1</x:v>
      </x:c>
      <x:c r="J1614" s="274" t="n">
        <x:v>620</x:v>
      </x:c>
      <x:c r="K1614" s="274" t="n">
        <x:v>2440</x:v>
      </x:c>
      <x:c r="M1614" s="274" t="s">
        <x:v>3237</x:v>
      </x:c>
      <x:c r="N1614" s="274" t="s">
        <x:v>3238</x:v>
      </x:c>
    </x:row>
    <x:row r="1615" spans="1:14">
      <x:c r="A1615" s="274" t="s">
        <x:v>3239</x:v>
      </x:c>
      <x:c r="B1615" s="274" t="n">
        <x:v>13.05</x:v>
      </x:c>
      <x:c r="C1615" s="274" t="n">
        <x:v>0</x:v>
      </x:c>
      <x:c r="D1615" s="274" t="n">
        <x:v>25</x:v>
      </x:c>
      <x:c r="E1615" s="274" t="n">
        <x:v>18</x:v>
      </x:c>
      <x:c r="F1615" s="274" t="s">
        <x:v>1980</x:v>
      </x:c>
      <x:c r="G1615" s="274" t="s">
        <x:v>1981</x:v>
      </x:c>
      <x:c r="I1615" s="274" t="n">
        <x:v>1</x:v>
      </x:c>
      <x:c r="J1615" s="274" t="n">
        <x:v>770</x:v>
      </x:c>
      <x:c r="K1615" s="274" t="n">
        <x:v>2160</x:v>
      </x:c>
      <x:c r="M1615" s="274" t="s">
        <x:v>3240</x:v>
      </x:c>
      <x:c r="N1615" s="274" t="s">
        <x:v>3241</x:v>
      </x:c>
    </x:row>
    <x:row r="1616" spans="1:14">
      <x:c r="A1616" s="274" t="s">
        <x:v>3242</x:v>
      </x:c>
      <x:c r="B1616" s="274" t="n">
        <x:v>3.71</x:v>
      </x:c>
      <x:c r="C1616" s="274" t="n">
        <x:v>0</x:v>
      </x:c>
      <x:c r="D1616" s="274" t="n">
        <x:v>0</x:v>
      </x:c>
      <x:c r="F1616" s="274" t="s">
        <x:v>333</x:v>
      </x:c>
      <x:c r="G1616" s="274" t="s">
        <x:v>124</x:v>
      </x:c>
      <x:c r="I1616" s="274" t="n">
        <x:v>2</x:v>
      </x:c>
      <x:c r="J1616" s="274" t="n">
        <x:v>195</x:v>
      </x:c>
      <x:c r="K1616" s="274" t="n">
        <x:v>1210</x:v>
      </x:c>
      <x:c r="M1616" s="274" t="s">
        <x:v>301</x:v>
      </x:c>
      <x:c r="N1616" s="274" t="s">
        <x:v>299</x:v>
      </x:c>
    </x:row>
    <x:row r="1617" spans="1:14">
      <x:c r="A1617" s="274" t="s">
        <x:v>3243</x:v>
      </x:c>
      <x:c r="B1617" s="274" t="n">
        <x:v>1.91</x:v>
      </x:c>
      <x:c r="C1617" s="274" t="n">
        <x:v>0</x:v>
      </x:c>
      <x:c r="D1617" s="274" t="n">
        <x:v>0</x:v>
      </x:c>
      <x:c r="F1617" s="274" t="s">
        <x:v>133</x:v>
      </x:c>
      <x:c r="G1617" s="274" t="s">
        <x:v>136</x:v>
      </x:c>
      <x:c r="H1617" s="274" t="n">
        <x:v>45</x:v>
      </x:c>
      <x:c r="I1617" s="274" t="n">
        <x:v>0.7</x:v>
      </x:c>
      <x:c r="J1617" s="274" t="n">
        <x:v>690</x:v>
      </x:c>
      <x:c r="K1617" s="274" t="n">
        <x:v>495</x:v>
      </x:c>
      <x:c r="M1617" s="274" t="s">
        <x:v>1748</x:v>
      </x:c>
      <x:c r="N1617" s="274" t="s">
        <x:v>870</x:v>
      </x:c>
    </x:row>
    <x:row r="1618" spans="1:14">
      <x:c r="A1618" s="274" t="s">
        <x:v>3244</x:v>
      </x:c>
      <x:c r="B1618" s="274" t="n">
        <x:v>0.3</x:v>
      </x:c>
      <x:c r="C1618" s="274" t="n">
        <x:v>30</x:v>
      </x:c>
      <x:c r="D1618" s="274" t="n">
        <x:v>35</x:v>
      </x:c>
      <x:c r="E1618" s="274" t="n">
        <x:v>33</x:v>
      </x:c>
      <x:c r="F1618" s="274" t="s">
        <x:v>133</x:v>
      </x:c>
      <x:c r="G1618" s="274" t="s">
        <x:v>136</x:v>
      </x:c>
      <x:c r="H1618" s="274" t="n">
        <x:v>45</x:v>
      </x:c>
      <x:c r="I1618" s="274" t="n">
        <x:v>1.4</x:v>
      </x:c>
      <x:c r="J1618" s="274" t="n">
        <x:v>140</x:v>
      </x:c>
      <x:c r="K1618" s="274" t="n">
        <x:v>195</x:v>
      </x:c>
      <x:c r="M1618" s="274" t="s">
        <x:v>172</x:v>
      </x:c>
      <x:c r="N1618" s="274" t="s">
        <x:v>1236</x:v>
      </x:c>
    </x:row>
    <x:row r="1619" spans="1:14">
      <x:c r="A1619" s="274" t="s">
        <x:v>3245</x:v>
      </x:c>
      <x:c r="B1619" s="274" t="n">
        <x:v>0.28</x:v>
      </x:c>
      <x:c r="C1619" s="274" t="n">
        <x:v>0</x:v>
      </x:c>
      <x:c r="D1619" s="274" t="n">
        <x:v>0</x:v>
      </x:c>
      <x:c r="F1619" s="274" t="s">
        <x:v>333</x:v>
      </x:c>
      <x:c r="G1619" s="274" t="s">
        <x:v>209</x:v>
      </x:c>
      <x:c r="I1619" s="274" t="n">
        <x:v>1</x:v>
      </x:c>
      <x:c r="J1619" s="274" t="n">
        <x:v>206</x:v>
      </x:c>
      <x:c r="K1619" s="274" t="n">
        <x:v>174</x:v>
      </x:c>
      <x:c r="M1619" s="274" t="s">
        <x:v>2590</x:v>
      </x:c>
      <x:c r="N1619" s="274" t="s">
        <x:v>2755</x:v>
      </x:c>
    </x:row>
    <x:row r="1620" spans="1:14">
      <x:c r="A1620" s="274" t="s">
        <x:v>3246</x:v>
      </x:c>
      <x:c r="B1620" s="274" t="n">
        <x:v>0.17</x:v>
      </x:c>
      <x:c r="C1620" s="274" t="n">
        <x:v>0</x:v>
      </x:c>
      <x:c r="D1620" s="274" t="n">
        <x:v>0</x:v>
      </x:c>
      <x:c r="F1620" s="274" t="s">
        <x:v>333</x:v>
      </x:c>
      <x:c r="G1620" s="274" t="s">
        <x:v>124</x:v>
      </x:c>
      <x:c r="I1620" s="274" t="n">
        <x:v>1.6</x:v>
      </x:c>
      <x:c r="J1620" s="274" t="n">
        <x:v>150</x:v>
      </x:c>
      <x:c r="K1620" s="274" t="n">
        <x:v>90</x:v>
      </x:c>
      <x:c r="M1620" s="274" t="s">
        <x:v>1630</x:v>
      </x:c>
      <x:c r="N1620" s="274" t="s">
        <x:v>155</x:v>
      </x:c>
    </x:row>
    <x:row r="1621" spans="1:14">
      <x:c r="A1621" s="274" t="s">
        <x:v>3247</x:v>
      </x:c>
      <x:c r="B1621" s="274" t="n">
        <x:v>0.31</x:v>
      </x:c>
      <x:c r="C1621" s="274" t="n">
        <x:v>0</x:v>
      </x:c>
      <x:c r="D1621" s="274" t="n">
        <x:v>0</x:v>
      </x:c>
      <x:c r="F1621" s="274" t="s">
        <x:v>333</x:v>
      </x:c>
      <x:c r="G1621" s="274" t="s">
        <x:v>209</x:v>
      </x:c>
      <x:c r="I1621" s="274" t="n">
        <x:v>1</x:v>
      </x:c>
      <x:c r="J1621" s="274" t="n">
        <x:v>180</x:v>
      </x:c>
      <x:c r="K1621" s="274" t="n">
        <x:v>221</x:v>
      </x:c>
      <x:c r="M1621" s="274" t="s">
        <x:v>695</x:v>
      </x:c>
      <x:c r="N1621" s="274" t="s">
        <x:v>155</x:v>
      </x:c>
    </x:row>
    <x:row r="1622" spans="1:14">
      <x:c r="A1622" s="274" t="s">
        <x:v>3248</x:v>
      </x:c>
      <x:c r="B1622" s="274" t="n">
        <x:v>11.2</x:v>
      </x:c>
      <x:c r="C1622" s="274" t="n">
        <x:v>0</x:v>
      </x:c>
      <x:c r="D1622" s="274" t="n">
        <x:v>42</x:v>
      </x:c>
      <x:c r="E1622" s="274" t="n">
        <x:v>20</x:v>
      </x:c>
      <x:c r="F1622" s="274" t="s">
        <x:v>123</x:v>
      </x:c>
      <x:c r="G1622" s="274" t="s">
        <x:v>906</x:v>
      </x:c>
      <x:c r="H1622" s="274" t="s">
        <x:v>907</x:v>
      </x:c>
      <x:c r="I1622" s="274" t="n">
        <x:v>0.65</x:v>
      </x:c>
      <x:c r="J1622" s="274" t="n">
        <x:v>1320</x:v>
      </x:c>
      <x:c r="K1622" s="274" t="n">
        <x:v>1635</x:v>
      </x:c>
      <x:c r="M1622" s="274" t="s">
        <x:v>3249</x:v>
      </x:c>
      <x:c r="N1622" s="274" t="s">
        <x:v>299</x:v>
      </x:c>
    </x:row>
    <x:row r="1623" spans="1:14">
      <x:c r="A1623" s="274" t="s">
        <x:v>3250</x:v>
      </x:c>
      <x:c r="B1623" s="274" t="n">
        <x:v>0.46</x:v>
      </x:c>
      <x:c r="C1623" s="274" t="n">
        <x:v>0</x:v>
      </x:c>
      <x:c r="D1623" s="274" t="n">
        <x:v>0</x:v>
      </x:c>
      <x:c r="F1623" s="274" t="s">
        <x:v>133</x:v>
      </x:c>
      <x:c r="G1623" s="274" t="s">
        <x:v>134</x:v>
      </x:c>
      <x:c r="I1623" s="274" t="n">
        <x:v>2.6</x:v>
      </x:c>
      <x:c r="J1623" s="274" t="n">
        <x:v>68</x:v>
      </x:c>
      <x:c r="K1623" s="274" t="n">
        <x:v>335</x:v>
      </x:c>
      <x:c r="M1623" s="274" t="s">
        <x:v>3251</x:v>
      </x:c>
      <x:c r="N1623" s="274" t="s">
        <x:v>1279</x:v>
      </x:c>
    </x:row>
    <x:row r="1624" spans="1:14">
      <x:c r="A1624" s="274" t="s">
        <x:v>3252</x:v>
      </x:c>
      <x:c r="B1624" s="274" t="n">
        <x:v>1.09</x:v>
      </x:c>
      <x:c r="C1624" s="274" t="n">
        <x:v>0</x:v>
      </x:c>
      <x:c r="D1624" s="274" t="n">
        <x:v>0</x:v>
      </x:c>
      <x:c r="F1624" s="274" t="s">
        <x:v>133</x:v>
      </x:c>
      <x:c r="G1624" s="274" t="s">
        <x:v>134</x:v>
      </x:c>
      <x:c r="I1624" s="274" t="n">
        <x:v>3.8</x:v>
      </x:c>
      <x:c r="J1624" s="274" t="n">
        <x:v>236</x:v>
      </x:c>
      <x:c r="K1624" s="274" t="n">
        <x:v>155</x:v>
      </x:c>
      <x:c r="M1624" s="274" t="s">
        <x:v>3253</x:v>
      </x:c>
      <x:c r="N1624" s="274" t="s">
        <x:v>155</x:v>
      </x:c>
    </x:row>
    <x:row r="1625" spans="1:14">
      <x:c r="A1625" s="274" t="s">
        <x:v>3254</x:v>
      </x:c>
      <x:c r="B1625" s="274" t="n">
        <x:v>0.39</x:v>
      </x:c>
      <x:c r="C1625" s="274" t="n">
        <x:v>30</x:v>
      </x:c>
      <x:c r="D1625" s="274" t="n">
        <x:v>35</x:v>
      </x:c>
      <x:c r="E1625" s="274" t="n">
        <x:v>33</x:v>
      </x:c>
      <x:c r="F1625" s="274" t="s">
        <x:v>333</x:v>
      </x:c>
      <x:c r="G1625" s="274" t="s">
        <x:v>153</x:v>
      </x:c>
      <x:c r="I1625" s="274" t="n">
        <x:v>1.6</x:v>
      </x:c>
      <x:c r="J1625" s="274" t="n">
        <x:v>285</x:v>
      </x:c>
      <x:c r="K1625" s="274" t="n">
        <x:v>110</x:v>
      </x:c>
      <x:c r="M1625" s="274" t="s">
        <x:v>2239</x:v>
      </x:c>
      <x:c r="N1625" s="274" t="s">
        <x:v>131</x:v>
      </x:c>
    </x:row>
    <x:row r="1626" spans="1:14">
      <x:c r="A1626" s="274" t="s">
        <x:v>3255</x:v>
      </x:c>
      <x:c r="B1626" s="274" t="n">
        <x:v>0.25</x:v>
      </x:c>
      <x:c r="C1626" s="274" t="n">
        <x:v>0</x:v>
      </x:c>
      <x:c r="D1626" s="274" t="n">
        <x:v>35</x:v>
      </x:c>
      <x:c r="E1626" s="274" t="n">
        <x:v>33</x:v>
      </x:c>
      <x:c r="F1626" s="274" t="s">
        <x:v>333</x:v>
      </x:c>
      <x:c r="G1626" s="274" t="s">
        <x:v>153</x:v>
      </x:c>
      <x:c r="I1626" s="274" t="n">
        <x:v>0.6</x:v>
      </x:c>
      <x:c r="J1626" s="274" t="n">
        <x:v>455</x:v>
      </x:c>
      <x:c r="K1626" s="274" t="n">
        <x:v>116</x:v>
      </x:c>
      <x:c r="M1626" s="274" t="s">
        <x:v>3256</x:v>
      </x:c>
      <x:c r="N1626" s="274" t="s">
        <x:v>131</x:v>
      </x:c>
    </x:row>
    <x:row r="1627" spans="1:14">
      <x:c r="A1627" s="274" t="s">
        <x:v>3257</x:v>
      </x:c>
      <x:c r="B1627" s="274" t="n">
        <x:v>0.83</x:v>
      </x:c>
      <x:c r="C1627" s="274" t="n">
        <x:v>0</x:v>
      </x:c>
      <x:c r="D1627" s="274" t="n">
        <x:v>0</x:v>
      </x:c>
      <x:c r="F1627" s="274" t="s">
        <x:v>133</x:v>
      </x:c>
      <x:c r="G1627" s="274" t="s">
        <x:v>136</x:v>
      </x:c>
      <x:c r="H1627" s="274" t="n">
        <x:v>45</x:v>
      </x:c>
      <x:c r="I1627" s="274" t="n">
        <x:v>0.7</x:v>
      </x:c>
      <x:c r="J1627" s="274" t="n">
        <x:v>340</x:v>
      </x:c>
      <x:c r="K1627" s="274" t="n">
        <x:v>435</x:v>
      </x:c>
      <x:c r="M1627" s="274" t="s">
        <x:v>137</x:v>
      </x:c>
      <x:c r="N1627" s="274" t="s">
        <x:v>131</x:v>
      </x:c>
    </x:row>
    <x:row r="1628" spans="1:14">
      <x:c r="A1628" s="274" t="s">
        <x:v>3258</x:v>
      </x:c>
      <x:c r="B1628" s="274" t="n">
        <x:v>1</x:v>
      </x:c>
      <x:c r="C1628" s="274" t="n">
        <x:v>0</x:v>
      </x:c>
      <x:c r="D1628" s="274" t="n">
        <x:v>0</x:v>
      </x:c>
      <x:c r="F1628" s="274" t="s">
        <x:v>133</x:v>
      </x:c>
      <x:c r="G1628" s="274" t="s">
        <x:v>134</x:v>
      </x:c>
      <x:c r="I1628" s="274" t="n">
        <x:v>2</x:v>
      </x:c>
      <x:c r="J1628" s="274" t="n">
        <x:v>177</x:v>
      </x:c>
      <x:c r="K1628" s="274" t="n">
        <x:v>360</x:v>
      </x:c>
      <x:c r="M1628" s="274" t="s">
        <x:v>1395</x:v>
      </x:c>
      <x:c r="N1628" s="274" t="s">
        <x:v>131</x:v>
      </x:c>
    </x:row>
    <x:row r="1629" spans="1:14">
      <x:c r="A1629" s="274" t="s">
        <x:v>3259</x:v>
      </x:c>
      <x:c r="B1629" s="274" t="n">
        <x:v>0.36</x:v>
      </x:c>
      <x:c r="C1629" s="274" t="n">
        <x:v>0</x:v>
      </x:c>
      <x:c r="D1629" s="274" t="n">
        <x:v>0</x:v>
      </x:c>
      <x:c r="F1629" s="274" t="s">
        <x:v>333</x:v>
      </x:c>
      <x:c r="G1629" s="274" t="s">
        <x:v>209</x:v>
      </x:c>
      <x:c r="I1629" s="274" t="n">
        <x:v>1.4</x:v>
      </x:c>
      <x:c r="J1629" s="274" t="n">
        <x:v>232</x:v>
      </x:c>
      <x:c r="K1629" s="274" t="n">
        <x:v>143</x:v>
      </x:c>
      <x:c r="M1629" s="274" t="s">
        <x:v>3260</x:v>
      </x:c>
      <x:c r="N1629" s="274" t="s">
        <x:v>299</x:v>
      </x:c>
    </x:row>
    <x:row r="1630" spans="1:14">
      <x:c r="A1630" s="274" t="s">
        <x:v>3261</x:v>
      </x:c>
      <x:c r="B1630" s="274" t="n">
        <x:v>1.94</x:v>
      </x:c>
      <x:c r="C1630" s="274" t="n">
        <x:v>0</x:v>
      </x:c>
      <x:c r="D1630" s="274" t="n">
        <x:v>0</x:v>
      </x:c>
      <x:c r="F1630" s="274" t="s">
        <x:v>133</x:v>
      </x:c>
      <x:c r="G1630" s="274" t="s">
        <x:v>148</x:v>
      </x:c>
      <x:c r="I1630" s="274" t="n">
        <x:v>3.2</x:v>
      </x:c>
      <x:c r="J1630" s="274" t="n">
        <x:v>172</x:v>
      </x:c>
      <x:c r="K1630" s="274" t="n">
        <x:v>448</x:v>
      </x:c>
      <x:c r="M1630" s="274" t="s">
        <x:v>3262</x:v>
      </x:c>
      <x:c r="N1630" s="274" t="s">
        <x:v>299</x:v>
      </x:c>
    </x:row>
    <x:row r="1631" spans="1:14">
      <x:c r="A1631" s="274" t="s">
        <x:v>3263</x:v>
      </x:c>
      <x:c r="B1631" s="274" t="n">
        <x:v>0.14</x:v>
      </x:c>
      <x:c r="C1631" s="274" t="n">
        <x:v>0</x:v>
      </x:c>
      <x:c r="D1631" s="274" t="n">
        <x:v>0</x:v>
      </x:c>
      <x:c r="F1631" s="274" t="s">
        <x:v>184</x:v>
      </x:c>
      <x:c r="G1631" s="274" t="s">
        <x:v>129</x:v>
      </x:c>
      <x:c r="H1631" s="274" t="n">
        <x:v>45</x:v>
      </x:c>
      <x:c r="I1631" s="274" t="n">
        <x:v>1</x:v>
      </x:c>
      <x:c r="J1631" s="274" t="n">
        <x:v>110</x:v>
      </x:c>
      <x:c r="K1631" s="274" t="n">
        <x:v>163</x:v>
      </x:c>
      <x:c r="M1631" s="274" t="s">
        <x:v>641</x:v>
      </x:c>
      <x:c r="N1631" s="274" t="s">
        <x:v>299</x:v>
      </x:c>
    </x:row>
    <x:row r="1632" spans="1:14">
      <x:c r="A1632" s="274" t="s">
        <x:v>3264</x:v>
      </x:c>
      <x:c r="B1632" s="274" t="n">
        <x:v>6.42</x:v>
      </x:c>
      <x:c r="C1632" s="274" t="n">
        <x:v>0</x:v>
      </x:c>
      <x:c r="D1632" s="274" t="n">
        <x:v>0</x:v>
      </x:c>
      <x:c r="F1632" s="274" t="s">
        <x:v>133</x:v>
      </x:c>
      <x:c r="G1632" s="274" t="s">
        <x:v>148</x:v>
      </x:c>
      <x:c r="I1632" s="274" t="n">
        <x:v>2</x:v>
      </x:c>
      <x:c r="J1632" s="274" t="n">
        <x:v>372</x:v>
      </x:c>
      <x:c r="K1632" s="274" t="n">
        <x:v>1100</x:v>
      </x:c>
      <x:c r="M1632" s="274" t="s">
        <x:v>596</x:v>
      </x:c>
      <x:c r="N1632" s="274" t="s">
        <x:v>299</x:v>
      </x:c>
    </x:row>
    <x:row r="1633" spans="1:14">
      <x:c r="A1633" s="274" t="s">
        <x:v>3265</x:v>
      </x:c>
      <x:c r="B1633" s="274" t="n">
        <x:v>2.21</x:v>
      </x:c>
      <x:c r="C1633" s="274" t="n">
        <x:v>0</x:v>
      </x:c>
      <x:c r="D1633" s="274" t="n">
        <x:v>40</x:v>
      </x:c>
      <x:c r="E1633" s="274" t="n">
        <x:v>40</x:v>
      </x:c>
      <x:c r="F1633" s="274" t="s">
        <x:v>333</x:v>
      </x:c>
      <x:c r="G1633" s="274" t="s">
        <x:v>209</x:v>
      </x:c>
      <x:c r="I1633" s="274" t="n">
        <x:v>1.2</x:v>
      </x:c>
      <x:c r="J1633" s="274" t="n">
        <x:v>610</x:v>
      </x:c>
      <x:c r="K1633" s="274" t="n">
        <x:v>385</x:v>
      </x:c>
      <x:c r="M1633" s="274" t="s">
        <x:v>3266</x:v>
      </x:c>
      <x:c r="N1633" s="274" t="s">
        <x:v>155</x:v>
      </x:c>
    </x:row>
    <x:row r="1634" spans="1:14">
      <x:c r="A1634" s="274" t="s">
        <x:v>3267</x:v>
      </x:c>
      <x:c r="B1634" s="274" t="n">
        <x:v>3.98</x:v>
      </x:c>
      <x:c r="C1634" s="274" t="n">
        <x:v>0</x:v>
      </x:c>
      <x:c r="D1634" s="274" t="n">
        <x:v>40</x:v>
      </x:c>
      <x:c r="E1634" s="274" t="n">
        <x:v>40</x:v>
      </x:c>
      <x:c r="F1634" s="274" t="s">
        <x:v>333</x:v>
      </x:c>
      <x:c r="G1634" s="274" t="s">
        <x:v>124</x:v>
      </x:c>
      <x:c r="I1634" s="274" t="n">
        <x:v>1</x:v>
      </x:c>
      <x:c r="J1634" s="274" t="n">
        <x:v>905</x:v>
      </x:c>
      <x:c r="K1634" s="274" t="n">
        <x:v>560</x:v>
      </x:c>
      <x:c r="M1634" s="274" t="s">
        <x:v>3268</x:v>
      </x:c>
      <x:c r="N1634" s="274" t="s">
        <x:v>299</x:v>
      </x:c>
    </x:row>
    <x:row r="1635" spans="1:14">
      <x:c r="A1635" s="274" t="s">
        <x:v>3269</x:v>
      </x:c>
      <x:c r="B1635" s="274" t="n">
        <x:v>2.46</x:v>
      </x:c>
      <x:c r="C1635" s="274" t="n">
        <x:v>0</x:v>
      </x:c>
      <x:c r="D1635" s="274" t="n">
        <x:v>0</x:v>
      </x:c>
      <x:c r="F1635" s="274" t="s">
        <x:v>133</x:v>
      </x:c>
      <x:c r="G1635" s="274" t="s">
        <x:v>136</x:v>
      </x:c>
      <x:c r="H1635" s="274" t="n">
        <x:v>45</x:v>
      </x:c>
      <x:c r="I1635" s="274" t="n">
        <x:v>1.4</x:v>
      </x:c>
      <x:c r="J1635" s="274" t="n">
        <x:v>178</x:v>
      </x:c>
      <x:c r="K1635" s="274" t="n">
        <x:v>1248</x:v>
      </x:c>
      <x:c r="M1635" s="274" t="s">
        <x:v>3270</x:v>
      </x:c>
      <x:c r="N1635" s="274" t="s">
        <x:v>131</x:v>
      </x:c>
    </x:row>
    <x:row r="1636" spans="1:14">
      <x:c r="A1636" s="274" t="s">
        <x:v>3271</x:v>
      </x:c>
      <x:c r="B1636" s="274" t="n">
        <x:v>0.76</x:v>
      </x:c>
      <x:c r="C1636" s="274" t="n">
        <x:v>0</x:v>
      </x:c>
      <x:c r="D1636" s="274" t="n">
        <x:v>0</x:v>
      </x:c>
      <x:c r="F1636" s="274" t="s">
        <x:v>333</x:v>
      </x:c>
      <x:c r="G1636" s="274" t="s">
        <x:v>209</x:v>
      </x:c>
      <x:c r="I1636" s="274" t="n">
        <x:v>1.2</x:v>
      </x:c>
      <x:c r="J1636" s="274" t="n">
        <x:v>130</x:v>
      </x:c>
      <x:c r="K1636" s="274" t="n">
        <x:v>620</x:v>
      </x:c>
      <x:c r="M1636" s="274" t="s">
        <x:v>743</x:v>
      </x:c>
      <x:c r="N1636" s="274" t="s">
        <x:v>1236</x:v>
      </x:c>
    </x:row>
    <x:row r="1637" spans="1:14">
      <x:c r="A1637" s="274" t="s">
        <x:v>3272</x:v>
      </x:c>
      <x:c r="B1637" s="274" t="n">
        <x:v>0.14</x:v>
      </x:c>
      <x:c r="C1637" s="274" t="n">
        <x:v>0</x:v>
      </x:c>
      <x:c r="D1637" s="274" t="n">
        <x:v>0</x:v>
      </x:c>
      <x:c r="F1637" s="274" t="s">
        <x:v>133</x:v>
      </x:c>
      <x:c r="G1637" s="274" t="s">
        <x:v>136</x:v>
      </x:c>
      <x:c r="H1637" s="274" t="n">
        <x:v>45</x:v>
      </x:c>
      <x:c r="I1637" s="274" t="n">
        <x:v>0.8</x:v>
      </x:c>
      <x:c r="J1637" s="274" t="n">
        <x:v>142</x:v>
      </x:c>
      <x:c r="K1637" s="274" t="n">
        <x:v>160</x:v>
      </x:c>
      <x:c r="M1637" s="274" t="s">
        <x:v>3273</x:v>
      </x:c>
      <x:c r="N1637" s="274" t="s">
        <x:v>155</x:v>
      </x:c>
    </x:row>
    <x:row r="1638" spans="1:14">
      <x:c r="A1638" s="274" t="s">
        <x:v>3274</x:v>
      </x:c>
      <x:c r="B1638" s="274" t="n">
        <x:v>4.87</x:v>
      </x:c>
      <x:c r="C1638" s="274" t="n">
        <x:v>0</x:v>
      </x:c>
      <x:c r="D1638" s="274" t="n">
        <x:v>0</x:v>
      </x:c>
      <x:c r="F1638" s="274" t="s">
        <x:v>128</x:v>
      </x:c>
      <x:c r="G1638" s="274" t="s">
        <x:v>177</x:v>
      </x:c>
      <x:c r="H1638" s="274" t="n">
        <x:v>45</x:v>
      </x:c>
      <x:c r="I1638" s="274" t="n">
        <x:v>2</x:v>
      </x:c>
      <x:c r="J1638" s="274" t="n">
        <x:v>252</x:v>
      </x:c>
      <x:c r="K1638" s="274" t="n">
        <x:v>1225</x:v>
      </x:c>
      <x:c r="M1638" s="274" t="s">
        <x:v>3275</x:v>
      </x:c>
      <x:c r="N1638" s="274" t="s">
        <x:v>299</x:v>
      </x:c>
    </x:row>
    <x:row r="1639" spans="1:14">
      <x:c r="A1639" s="274" t="s">
        <x:v>3276</x:v>
      </x:c>
      <x:c r="B1639" s="274" t="n">
        <x:v>1.3</x:v>
      </x:c>
      <x:c r="C1639" s="274" t="n">
        <x:v>0</x:v>
      </x:c>
      <x:c r="D1639" s="274" t="n">
        <x:v>0</x:v>
      </x:c>
      <x:c r="F1639" s="274" t="s">
        <x:v>333</x:v>
      </x:c>
      <x:c r="G1639" s="274" t="s">
        <x:v>153</x:v>
      </x:c>
      <x:c r="I1639" s="274" t="n">
        <x:v>1</x:v>
      </x:c>
      <x:c r="J1639" s="274" t="n">
        <x:v>360</x:v>
      </x:c>
      <x:c r="K1639" s="274" t="n">
        <x:v>460</x:v>
      </x:c>
      <x:c r="M1639" s="274" t="s">
        <x:v>3277</x:v>
      </x:c>
      <x:c r="N1639" s="274" t="s">
        <x:v>155</x:v>
      </x:c>
    </x:row>
    <x:row r="1640" spans="1:14">
      <x:c r="A1640" s="274" t="s">
        <x:v>3278</x:v>
      </x:c>
      <x:c r="B1640" s="274" t="n">
        <x:v>2.8</x:v>
      </x:c>
      <x:c r="C1640" s="274" t="n">
        <x:v>0</x:v>
      </x:c>
      <x:c r="D1640" s="274" t="n">
        <x:v>0</x:v>
      </x:c>
      <x:c r="F1640" s="274" t="s">
        <x:v>128</x:v>
      </x:c>
      <x:c r="G1640" s="274" t="s">
        <x:v>496</x:v>
      </x:c>
      <x:c r="H1640" s="274" t="n">
        <x:v>45</x:v>
      </x:c>
      <x:c r="I1640" s="274" t="n">
        <x:v>2.6</x:v>
      </x:c>
      <x:c r="J1640" s="274" t="n">
        <x:v>110</x:v>
      </x:c>
      <x:c r="K1640" s="274" t="n">
        <x:v>1240</x:v>
      </x:c>
      <x:c r="M1640" s="274" t="s">
        <x:v>3279</x:v>
      </x:c>
      <x:c r="N1640" s="274" t="s">
        <x:v>131</x:v>
      </x:c>
    </x:row>
    <x:row r="1641" spans="1:14">
      <x:c r="A1641" s="274" t="s">
        <x:v>3280</x:v>
      </x:c>
      <x:c r="B1641" s="274" t="n">
        <x:v>3.08</x:v>
      </x:c>
      <x:c r="C1641" s="274" t="n">
        <x:v>0</x:v>
      </x:c>
      <x:c r="D1641" s="274" t="n">
        <x:v>0</x:v>
      </x:c>
      <x:c r="F1641" s="274" t="s">
        <x:v>133</x:v>
      </x:c>
      <x:c r="G1641" s="274" t="s">
        <x:v>134</x:v>
      </x:c>
      <x:c r="I1641" s="274" t="n">
        <x:v>1.6</x:v>
      </x:c>
      <x:c r="J1641" s="274" t="n">
        <x:v>196</x:v>
      </x:c>
      <x:c r="K1641" s="274" t="n">
        <x:v>1250</x:v>
      </x:c>
      <x:c r="M1641" s="274" t="s">
        <x:v>3281</x:v>
      </x:c>
      <x:c r="N1641" s="274" t="s">
        <x:v>155</x:v>
      </x:c>
    </x:row>
    <x:row r="1642" spans="1:14">
      <x:c r="A1642" s="274" t="s">
        <x:v>3282</x:v>
      </x:c>
      <x:c r="B1642" s="274" t="n">
        <x:v>0.68</x:v>
      </x:c>
      <x:c r="C1642" s="274" t="n">
        <x:v>0</x:v>
      </x:c>
      <x:c r="D1642" s="274" t="n">
        <x:v>0</x:v>
      </x:c>
      <x:c r="F1642" s="274" t="s">
        <x:v>184</x:v>
      </x:c>
      <x:c r="G1642" s="274" t="s">
        <x:v>129</x:v>
      </x:c>
      <x:c r="H1642" s="274" t="n">
        <x:v>45</x:v>
      </x:c>
      <x:c r="I1642" s="274" t="n">
        <x:v>1.2</x:v>
      </x:c>
      <x:c r="J1642" s="274" t="n">
        <x:v>58</x:v>
      </x:c>
      <x:c r="K1642" s="274" t="n">
        <x:v>1235</x:v>
      </x:c>
      <x:c r="M1642" s="274" t="s">
        <x:v>3283</x:v>
      </x:c>
      <x:c r="N1642" s="274" t="s">
        <x:v>299</x:v>
      </x:c>
    </x:row>
    <x:row r="1643" spans="1:14">
      <x:c r="A1643" s="274" t="s">
        <x:v>3284</x:v>
      </x:c>
      <x:c r="B1643" s="274" t="n">
        <x:v>1.63</x:v>
      </x:c>
      <x:c r="C1643" s="274" t="n">
        <x:v>0</x:v>
      </x:c>
      <x:c r="D1643" s="274" t="n">
        <x:v>0</x:v>
      </x:c>
      <x:c r="F1643" s="274" t="s">
        <x:v>184</x:v>
      </x:c>
      <x:c r="G1643" s="274" t="s">
        <x:v>129</x:v>
      </x:c>
      <x:c r="H1643" s="274" t="n">
        <x:v>45</x:v>
      </x:c>
      <x:c r="I1643" s="274" t="n">
        <x:v>1.2</x:v>
      </x:c>
      <x:c r="J1643" s="274" t="n">
        <x:v>143</x:v>
      </x:c>
      <x:c r="K1643" s="274" t="n">
        <x:v>1200</x:v>
      </x:c>
      <x:c r="M1643" s="274" t="s">
        <x:v>3285</x:v>
      </x:c>
      <x:c r="N1643" s="274" t="s">
        <x:v>131</x:v>
      </x:c>
    </x:row>
    <x:row r="1644" spans="1:14">
      <x:c r="A1644" s="274" t="s">
        <x:v>3286</x:v>
      </x:c>
      <x:c r="B1644" s="274" t="n">
        <x:v>2.85</x:v>
      </x:c>
      <x:c r="C1644" s="274" t="n">
        <x:v>0</x:v>
      </x:c>
      <x:c r="D1644" s="274" t="n">
        <x:v>0</x:v>
      </x:c>
      <x:c r="F1644" s="274" t="s">
        <x:v>133</x:v>
      </x:c>
      <x:c r="G1644" s="274" t="s">
        <x:v>134</x:v>
      </x:c>
      <x:c r="I1644" s="274" t="n">
        <x:v>1.6</x:v>
      </x:c>
      <x:c r="J1644" s="274" t="n">
        <x:v>194</x:v>
      </x:c>
      <x:c r="K1644" s="274" t="n">
        <x:v>1170</x:v>
      </x:c>
      <x:c r="M1644" s="274" t="s">
        <x:v>3287</x:v>
      </x:c>
      <x:c r="N1644" s="274" t="s">
        <x:v>299</x:v>
      </x:c>
    </x:row>
    <x:row r="1645" spans="1:14">
      <x:c r="A1645" s="274" t="s">
        <x:v>3288</x:v>
      </x:c>
      <x:c r="B1645" s="274" t="n">
        <x:v>2.57</x:v>
      </x:c>
      <x:c r="C1645" s="274" t="n">
        <x:v>0</x:v>
      </x:c>
      <x:c r="D1645" s="274" t="n">
        <x:v>0</x:v>
      </x:c>
      <x:c r="F1645" s="274" t="s">
        <x:v>133</x:v>
      </x:c>
      <x:c r="G1645" s="274" t="s">
        <x:v>148</x:v>
      </x:c>
      <x:c r="I1645" s="274" t="n">
        <x:v>2</x:v>
      </x:c>
      <x:c r="J1645" s="274" t="n">
        <x:v>137</x:v>
      </x:c>
      <x:c r="K1645" s="274" t="n">
        <x:v>1195</x:v>
      </x:c>
      <x:c r="M1645" s="274" t="s">
        <x:v>3289</x:v>
      </x:c>
      <x:c r="N1645" s="274" t="s">
        <x:v>155</x:v>
      </x:c>
    </x:row>
    <x:row r="1646" spans="1:14">
      <x:c r="A1646" s="274" t="s">
        <x:v>3290</x:v>
      </x:c>
      <x:c r="B1646" s="274" t="n">
        <x:v>3.13</x:v>
      </x:c>
      <x:c r="C1646" s="274" t="n">
        <x:v>0</x:v>
      </x:c>
      <x:c r="D1646" s="274" t="n">
        <x:v>0</x:v>
      </x:c>
      <x:c r="F1646" s="274" t="s">
        <x:v>133</x:v>
      </x:c>
      <x:c r="G1646" s="274" t="s">
        <x:v>134</x:v>
      </x:c>
      <x:c r="I1646" s="274" t="n">
        <x:v>2.9</x:v>
      </x:c>
      <x:c r="J1646" s="274" t="n">
        <x:v>114</x:v>
      </x:c>
      <x:c r="K1646" s="274" t="n">
        <x:v>1205</x:v>
      </x:c>
      <x:c r="M1646" s="274" t="s">
        <x:v>3291</x:v>
      </x:c>
      <x:c r="N1646" s="274" t="s">
        <x:v>299</x:v>
      </x:c>
    </x:row>
    <x:row r="1647" spans="1:14">
      <x:c r="A1647" s="274" t="s">
        <x:v>3292</x:v>
      </x:c>
      <x:c r="B1647" s="274" t="n">
        <x:v>7.03</x:v>
      </x:c>
      <x:c r="C1647" s="274" t="n">
        <x:v>0</x:v>
      </x:c>
      <x:c r="D1647" s="274" t="n">
        <x:v>0</x:v>
      </x:c>
      <x:c r="F1647" s="274" t="s">
        <x:v>133</x:v>
      </x:c>
      <x:c r="G1647" s="274" t="s">
        <x:v>134</x:v>
      </x:c>
      <x:c r="I1647" s="274" t="n">
        <x:v>2.9</x:v>
      </x:c>
      <x:c r="J1647" s="274" t="n">
        <x:v>252</x:v>
      </x:c>
      <x:c r="K1647" s="274" t="n">
        <x:v>1225</x:v>
      </x:c>
      <x:c r="M1647" s="274" t="s">
        <x:v>3293</x:v>
      </x:c>
      <x:c r="N1647" s="274" t="s">
        <x:v>131</x:v>
      </x:c>
    </x:row>
    <x:row r="1648" spans="1:14">
      <x:c r="A1648" s="274" t="s">
        <x:v>3294</x:v>
      </x:c>
      <x:c r="B1648" s="274" t="n">
        <x:v>13.8</x:v>
      </x:c>
      <x:c r="C1648" s="274" t="n">
        <x:v>0</x:v>
      </x:c>
      <x:c r="D1648" s="274" t="n">
        <x:v>0</x:v>
      </x:c>
      <x:c r="F1648" s="274" t="s">
        <x:v>133</x:v>
      </x:c>
      <x:c r="G1648" s="274" t="s">
        <x:v>148</x:v>
      </x:c>
      <x:c r="I1648" s="274" t="n">
        <x:v>2.6</x:v>
      </x:c>
      <x:c r="J1648" s="274" t="n">
        <x:v>1087</x:v>
      </x:c>
      <x:c r="K1648" s="274" t="n">
        <x:v>622</x:v>
      </x:c>
      <x:c r="M1648" s="274" t="s">
        <x:v>3295</x:v>
      </x:c>
      <x:c r="N1648" s="274" t="s">
        <x:v>3296</x:v>
      </x:c>
    </x:row>
    <x:row r="1649" spans="1:14">
      <x:c r="A1649" s="274" t="s">
        <x:v>3297</x:v>
      </x:c>
      <x:c r="B1649" s="274" t="n">
        <x:v>4.47</x:v>
      </x:c>
      <x:c r="C1649" s="274" t="n">
        <x:v>0</x:v>
      </x:c>
      <x:c r="D1649" s="274" t="n">
        <x:v>18</x:v>
      </x:c>
      <x:c r="E1649" s="274" t="n">
        <x:v>20</x:v>
      </x:c>
      <x:c r="F1649" s="274" t="s">
        <x:v>133</x:v>
      </x:c>
      <x:c r="G1649" s="274" t="s">
        <x:v>148</x:v>
      </x:c>
      <x:c r="I1649" s="274" t="n">
        <x:v>2.9</x:v>
      </x:c>
      <x:c r="J1649" s="274" t="n">
        <x:v>190</x:v>
      </x:c>
      <x:c r="K1649" s="274" t="n">
        <x:v>1035</x:v>
      </x:c>
      <x:c r="M1649" s="274" t="s">
        <x:v>1708</x:v>
      </x:c>
    </x:row>
    <x:row r="1650" spans="1:14">
      <x:c r="A1650" s="274" t="s">
        <x:v>3298</x:v>
      </x:c>
      <x:c r="B1650" s="274" t="n">
        <x:v>9.49</x:v>
      </x:c>
      <x:c r="C1650" s="274" t="n">
        <x:v>0</x:v>
      </x:c>
      <x:c r="D1650" s="274" t="n">
        <x:v>40</x:v>
      </x:c>
      <x:c r="E1650" s="274" t="n">
        <x:v>27</x:v>
      </x:c>
      <x:c r="F1650" s="274" t="s">
        <x:v>123</x:v>
      </x:c>
      <x:c r="G1650" s="274" t="s">
        <x:v>284</x:v>
      </x:c>
      <x:c r="H1650" s="274" t="n">
        <x:v>45</x:v>
      </x:c>
      <x:c r="I1650" s="274" t="n">
        <x:v>0.65</x:v>
      </x:c>
      <x:c r="J1650" s="274" t="n">
        <x:v>1128</x:v>
      </x:c>
      <x:c r="K1650" s="274" t="n">
        <x:v>1620</x:v>
      </x:c>
      <x:c r="M1650" s="274" t="s">
        <x:v>3299</x:v>
      </x:c>
      <x:c r="N1650" s="274" t="s">
        <x:v>131</x:v>
      </x:c>
    </x:row>
    <x:row r="1651" spans="1:14">
      <x:c r="A1651" s="274" t="s">
        <x:v>3300</x:v>
      </x:c>
      <x:c r="B1651" s="274" t="n">
        <x:v>3.94</x:v>
      </x:c>
      <x:c r="C1651" s="274" t="n">
        <x:v>0</x:v>
      </x:c>
      <x:c r="D1651" s="274" t="n">
        <x:v>57</x:v>
      </x:c>
      <x:c r="E1651" s="274" t="n">
        <x:v>40</x:v>
      </x:c>
      <x:c r="F1651" s="274" t="s">
        <x:v>133</x:v>
      </x:c>
      <x:c r="G1651" s="274" t="s">
        <x:v>2475</x:v>
      </x:c>
      <x:c r="I1651" s="274" t="n">
        <x:v>0.8</x:v>
      </x:c>
      <x:c r="J1651" s="274" t="n">
        <x:v>750</x:v>
      </x:c>
      <x:c r="K1651" s="274" t="n">
        <x:v>850</x:v>
      </x:c>
      <x:c r="M1651" s="274" t="s">
        <x:v>3301</x:v>
      </x:c>
      <x:c r="N1651" s="274" t="s">
        <x:v>3302</x:v>
      </x:c>
    </x:row>
    <x:row r="1652" spans="1:14">
      <x:c r="A1652" s="274" t="s">
        <x:v>3303</x:v>
      </x:c>
      <x:c r="B1652" s="274" t="n">
        <x:v>2.2</x:v>
      </x:c>
      <x:c r="C1652" s="274" t="n">
        <x:v>0</x:v>
      </x:c>
      <x:c r="D1652" s="274" t="n">
        <x:v>42</x:v>
      </x:c>
      <x:c r="E1652" s="274" t="n">
        <x:v>0</x:v>
      </x:c>
      <x:c r="F1652" s="274" t="s">
        <x:v>133</x:v>
      </x:c>
      <x:c r="G1652" s="274" t="s">
        <x:v>3304</x:v>
      </x:c>
      <x:c r="I1652" s="274" t="n">
        <x:v>0.75</x:v>
      </x:c>
      <x:c r="J1652" s="274" t="n">
        <x:v>720</x:v>
      </x:c>
      <x:c r="K1652" s="274" t="n">
        <x:v>660</x:v>
      </x:c>
      <x:c r="L1652" s="274" t="n">
        <x:v>380</x:v>
      </x:c>
      <x:c r="M1652" s="274" t="s">
        <x:v>3305</x:v>
      </x:c>
    </x:row>
    <x:row r="1653" spans="1:14">
      <x:c r="A1653" s="274" t="s">
        <x:v>3306</x:v>
      </x:c>
      <x:c r="B1653" s="274" t="n">
        <x:v>5.05</x:v>
      </x:c>
      <x:c r="C1653" s="274" t="n">
        <x:v>0</x:v>
      </x:c>
      <x:c r="D1653" s="274" t="n">
        <x:v>40</x:v>
      </x:c>
      <x:c r="E1653" s="274" t="n">
        <x:v>40</x:v>
      </x:c>
      <x:c r="F1653" s="274" t="s">
        <x:v>333</x:v>
      </x:c>
      <x:c r="G1653" s="274" t="s">
        <x:v>124</x:v>
      </x:c>
      <x:c r="I1653" s="274" t="n">
        <x:v>1</x:v>
      </x:c>
      <x:c r="J1653" s="274" t="n">
        <x:v>1090</x:v>
      </x:c>
      <x:c r="K1653" s="274" t="n">
        <x:v>590</x:v>
      </x:c>
      <x:c r="M1653" s="274" t="s">
        <x:v>1090</x:v>
      </x:c>
      <x:c r="N1653" s="274" t="s">
        <x:v>299</x:v>
      </x:c>
    </x:row>
    <x:row r="1654" spans="1:14">
      <x:c r="A1654" s="274" t="s">
        <x:v>3307</x:v>
      </x:c>
      <x:c r="B1654" s="274" t="n">
        <x:v>0.58</x:v>
      </x:c>
      <x:c r="C1654" s="274" t="n">
        <x:v>0</x:v>
      </x:c>
      <x:c r="D1654" s="274" t="n">
        <x:v>0</x:v>
      </x:c>
      <x:c r="F1654" s="274" t="s">
        <x:v>123</x:v>
      </x:c>
      <x:c r="G1654" s="274" t="s">
        <x:v>153</x:v>
      </x:c>
      <x:c r="I1654" s="274" t="n">
        <x:v>0.9</x:v>
      </x:c>
      <x:c r="J1654" s="274" t="n">
        <x:v>145</x:v>
      </x:c>
      <x:c r="K1654" s="274" t="n">
        <x:v>570</x:v>
      </x:c>
      <x:c r="M1654" s="274" t="s">
        <x:v>3308</x:v>
      </x:c>
      <x:c r="N1654" s="274" t="s">
        <x:v>229</x:v>
      </x:c>
    </x:row>
    <x:row r="1655" spans="1:14">
      <x:c r="A1655" s="274" t="s">
        <x:v>3309</x:v>
      </x:c>
      <x:c r="B1655" s="274" t="n">
        <x:v>0.58</x:v>
      </x:c>
      <x:c r="C1655" s="274" t="n">
        <x:v>0</x:v>
      </x:c>
      <x:c r="D1655" s="274" t="n">
        <x:v>0</x:v>
      </x:c>
      <x:c r="F1655" s="274" t="s">
        <x:v>123</x:v>
      </x:c>
      <x:c r="G1655" s="274" t="s">
        <x:v>209</x:v>
      </x:c>
      <x:c r="I1655" s="274" t="n">
        <x:v>1.8</x:v>
      </x:c>
      <x:c r="J1655" s="274" t="n">
        <x:v>205</x:v>
      </x:c>
      <x:c r="K1655" s="274" t="n">
        <x:v>199</x:v>
      </x:c>
      <x:c r="M1655" s="274" t="s">
        <x:v>3310</x:v>
      </x:c>
      <x:c r="N1655" s="274" t="s">
        <x:v>1274</x:v>
      </x:c>
    </x:row>
    <x:row r="1656" spans="1:14">
      <x:c r="A1656" s="274" t="s">
        <x:v>3311</x:v>
      </x:c>
      <x:c r="B1656" s="274" t="n">
        <x:v>0.25</x:v>
      </x:c>
      <x:c r="C1656" s="274" t="n">
        <x:v>0</x:v>
      </x:c>
      <x:c r="D1656" s="274" t="n">
        <x:v>0</x:v>
      </x:c>
      <x:c r="F1656" s="274" t="s">
        <x:v>333</x:v>
      </x:c>
      <x:c r="G1656" s="274" t="s">
        <x:v>153</x:v>
      </x:c>
      <x:c r="I1656" s="274" t="n">
        <x:v>0.6</x:v>
      </x:c>
      <x:c r="J1656" s="274" t="n">
        <x:v>455</x:v>
      </x:c>
      <x:c r="K1656" s="274" t="n">
        <x:v>116</x:v>
      </x:c>
      <x:c r="M1656" s="274" t="s">
        <x:v>3256</x:v>
      </x:c>
      <x:c r="N1656" s="274" t="s">
        <x:v>131</x:v>
      </x:c>
    </x:row>
    <x:row r="1657" spans="1:14">
      <x:c r="A1657" s="274" t="s">
        <x:v>3312</x:v>
      </x:c>
      <x:c r="B1657" s="274" t="n">
        <x:v>0.3</x:v>
      </x:c>
      <x:c r="C1657" s="274" t="n">
        <x:v>0</x:v>
      </x:c>
      <x:c r="D1657" s="274" t="n">
        <x:v>0</x:v>
      </x:c>
      <x:c r="F1657" s="274" t="s">
        <x:v>123</x:v>
      </x:c>
      <x:c r="G1657" s="274" t="s">
        <x:v>153</x:v>
      </x:c>
      <x:c r="I1657" s="274" t="n">
        <x:v>1</x:v>
      </x:c>
      <x:c r="J1657" s="274" t="n">
        <x:v>200</x:v>
      </x:c>
      <x:c r="K1657" s="274" t="n">
        <x:v>190</x:v>
      </x:c>
      <x:c r="M1657" s="274" t="s">
        <x:v>1194</x:v>
      </x:c>
      <x:c r="N1657" s="274" t="s">
        <x:v>1274</x:v>
      </x:c>
    </x:row>
    <x:row r="1658" spans="1:14">
      <x:c r="A1658" s="274" t="s">
        <x:v>3313</x:v>
      </x:c>
      <x:c r="B1658" s="274" t="n">
        <x:v>2.2</x:v>
      </x:c>
      <x:c r="C1658" s="274" t="n">
        <x:v>0</x:v>
      </x:c>
      <x:c r="D1658" s="274" t="n">
        <x:v>0</x:v>
      </x:c>
      <x:c r="F1658" s="274" t="s">
        <x:v>128</x:v>
      </x:c>
      <x:c r="G1658" s="274" t="s">
        <x:v>3314</x:v>
      </x:c>
      <x:c r="H1658" s="274" t="n">
        <x:v>45</x:v>
      </x:c>
      <x:c r="I1658" s="274" t="n">
        <x:v>2</x:v>
      </x:c>
      <x:c r="J1658" s="274" t="n">
        <x:v>394</x:v>
      </x:c>
      <x:c r="K1658" s="274" t="n">
        <x:v>354</x:v>
      </x:c>
      <x:c r="M1658" s="274" t="s">
        <x:v>3315</x:v>
      </x:c>
      <x:c r="N1658" s="274" t="s">
        <x:v>1274</x:v>
      </x:c>
    </x:row>
    <x:row r="1659" spans="1:14">
      <x:c r="A1659" s="274" t="s">
        <x:v>3316</x:v>
      </x:c>
      <x:c r="B1659" s="274" t="n">
        <x:v>0.08</x:v>
      </x:c>
      <x:c r="C1659" s="274" t="n">
        <x:v>0</x:v>
      </x:c>
      <x:c r="D1659" s="274" t="n">
        <x:v>0</x:v>
      </x:c>
      <x:c r="F1659" s="274" t="s">
        <x:v>123</x:v>
      </x:c>
      <x:c r="G1659" s="274" t="s">
        <x:v>209</x:v>
      </x:c>
      <x:c r="I1659" s="274" t="n">
        <x:v>1</x:v>
      </x:c>
      <x:c r="J1659" s="274" t="n">
        <x:v>120</x:v>
      </x:c>
      <x:c r="K1659" s="274" t="n">
        <x:v>87</x:v>
      </x:c>
      <x:c r="M1659" s="274" t="s">
        <x:v>3317</x:v>
      </x:c>
      <x:c r="N1659" s="274" t="s">
        <x:v>1274</x:v>
      </x:c>
    </x:row>
    <x:row r="1660" spans="1:14">
      <x:c r="A1660" s="274" t="s">
        <x:v>3318</x:v>
      </x:c>
      <x:c r="B1660" s="274" t="n">
        <x:v>0.31</x:v>
      </x:c>
      <x:c r="C1660" s="274" t="n">
        <x:v>0</x:v>
      </x:c>
      <x:c r="D1660" s="274" t="n">
        <x:v>0</x:v>
      </x:c>
      <x:c r="F1660" s="274" t="s">
        <x:v>123</x:v>
      </x:c>
      <x:c r="G1660" s="274" t="s">
        <x:v>209</x:v>
      </x:c>
      <x:c r="I1660" s="274" t="n">
        <x:v>1.8</x:v>
      </x:c>
      <x:c r="J1660" s="274" t="n">
        <x:v>115</x:v>
      </x:c>
      <x:c r="K1660" s="274" t="n">
        <x:v>190</x:v>
      </x:c>
      <x:c r="M1660" s="274" t="s">
        <x:v>3319</x:v>
      </x:c>
      <x:c r="N1660" s="274" t="s">
        <x:v>1274</x:v>
      </x:c>
    </x:row>
    <x:row r="1661" spans="1:14">
      <x:c r="A1661" s="274" t="s">
        <x:v>3320</x:v>
      </x:c>
      <x:c r="B1661" s="274" t="n">
        <x:v>0.63</x:v>
      </x:c>
      <x:c r="C1661" s="274" t="n">
        <x:v>0</x:v>
      </x:c>
      <x:c r="D1661" s="274" t="n">
        <x:v>0</x:v>
      </x:c>
      <x:c r="F1661" s="274" t="s">
        <x:v>333</x:v>
      </x:c>
      <x:c r="G1661" s="274" t="s">
        <x:v>124</x:v>
      </x:c>
      <x:c r="I1661" s="274" t="n">
        <x:v>1.4</x:v>
      </x:c>
      <x:c r="J1661" s="274" t="n">
        <x:v>230</x:v>
      </x:c>
      <x:c r="K1661" s="274" t="n">
        <x:v>250</x:v>
      </x:c>
      <x:c r="M1661" s="274" t="s">
        <x:v>3321</x:v>
      </x:c>
      <x:c r="N1661" s="274" t="s">
        <x:v>870</x:v>
      </x:c>
    </x:row>
    <x:row r="1662" spans="1:14">
      <x:c r="A1662" s="274" t="s">
        <x:v>3322</x:v>
      </x:c>
      <x:c r="B1662" s="274" t="n">
        <x:v>0.34</x:v>
      </x:c>
      <x:c r="C1662" s="274" t="n">
        <x:v>0</x:v>
      </x:c>
      <x:c r="D1662" s="274" t="n">
        <x:v>0</x:v>
      </x:c>
      <x:c r="F1662" s="274" t="s">
        <x:v>333</x:v>
      </x:c>
      <x:c r="G1662" s="274" t="s">
        <x:v>124</x:v>
      </x:c>
      <x:c r="I1662" s="274" t="n">
        <x:v>1.4</x:v>
      </x:c>
      <x:c r="J1662" s="274" t="n">
        <x:v>165</x:v>
      </x:c>
      <x:c r="K1662" s="274" t="n">
        <x:v>190</x:v>
      </x:c>
      <x:c r="M1662" s="274" t="s">
        <x:v>3323</x:v>
      </x:c>
      <x:c r="N1662" s="274" t="s">
        <x:v>870</x:v>
      </x:c>
    </x:row>
    <x:row r="1663" spans="1:14">
      <x:c r="A1663" s="274" t="s">
        <x:v>3324</x:v>
      </x:c>
      <x:c r="B1663" s="274" t="n">
        <x:v>1.65</x:v>
      </x:c>
      <x:c r="C1663" s="274" t="n">
        <x:v>0</x:v>
      </x:c>
      <x:c r="D1663" s="274" t="n">
        <x:v>0</x:v>
      </x:c>
      <x:c r="F1663" s="274" t="s">
        <x:v>333</x:v>
      </x:c>
      <x:c r="G1663" s="274" t="s">
        <x:v>2157</x:v>
      </x:c>
      <x:c r="I1663" s="274" t="n">
        <x:v>1</x:v>
      </x:c>
      <x:c r="J1663" s="274" t="n">
        <x:v>350</x:v>
      </x:c>
      <x:c r="K1663" s="274" t="n">
        <x:v>600</x:v>
      </x:c>
      <x:c r="M1663" s="274" t="s">
        <x:v>2479</x:v>
      </x:c>
      <x:c r="N1663" s="274" t="s">
        <x:v>3325</x:v>
      </x:c>
    </x:row>
    <x:row r="1664" spans="1:14">
      <x:c r="A1664" s="274" t="s">
        <x:v>3326</x:v>
      </x:c>
      <x:c r="B1664" s="274" t="n">
        <x:v>1.43</x:v>
      </x:c>
      <x:c r="C1664" s="274" t="n">
        <x:v>0</x:v>
      </x:c>
      <x:c r="D1664" s="274" t="n">
        <x:v>0</x:v>
      </x:c>
      <x:c r="F1664" s="274" t="s">
        <x:v>333</x:v>
      </x:c>
      <x:c r="G1664" s="274" t="s">
        <x:v>2157</x:v>
      </x:c>
      <x:c r="I1664" s="274" t="n">
        <x:v>1</x:v>
      </x:c>
      <x:c r="J1664" s="274" t="n">
        <x:v>350</x:v>
      </x:c>
      <x:c r="K1664" s="274" t="n">
        <x:v>520</x:v>
      </x:c>
      <x:c r="M1664" s="274" t="s">
        <x:v>2483</x:v>
      </x:c>
      <x:c r="N1664" s="274" t="s">
        <x:v>3327</x:v>
      </x:c>
    </x:row>
    <x:row r="1665" spans="1:14">
      <x:c r="A1665" s="274" t="s">
        <x:v>3328</x:v>
      </x:c>
      <x:c r="B1665" s="274" t="n">
        <x:v>2.28</x:v>
      </x:c>
      <x:c r="C1665" s="274" t="n">
        <x:v>0</x:v>
      </x:c>
      <x:c r="D1665" s="274" t="n">
        <x:v>0</x:v>
      </x:c>
      <x:c r="F1665" s="274" t="s">
        <x:v>133</x:v>
      </x:c>
      <x:c r="G1665" s="274" t="s">
        <x:v>134</x:v>
      </x:c>
      <x:c r="I1665" s="274" t="n">
        <x:v>2.3</x:v>
      </x:c>
      <x:c r="J1665" s="274" t="n">
        <x:v>180</x:v>
      </x:c>
      <x:c r="K1665" s="274" t="n">
        <x:v>700</x:v>
      </x:c>
      <x:c r="M1665" s="274" t="s">
        <x:v>3329</x:v>
      </x:c>
    </x:row>
    <x:row r="1666" spans="1:14">
      <x:c r="A1666" s="274" t="s">
        <x:v>3330</x:v>
      </x:c>
      <x:c r="B1666" s="274" t="n">
        <x:v>12.17</x:v>
      </x:c>
      <x:c r="C1666" s="274" t="n">
        <x:v>0</x:v>
      </x:c>
      <x:c r="D1666" s="274" t="n">
        <x:v>0</x:v>
      </x:c>
      <x:c r="F1666" s="274" t="s">
        <x:v>333</x:v>
      </x:c>
      <x:c r="G1666" s="274" t="s">
        <x:v>209</x:v>
      </x:c>
      <x:c r="I1666" s="274" t="n">
        <x:v>1</x:v>
      </x:c>
      <x:c r="J1666" s="274" t="n">
        <x:v>1140</x:v>
      </x:c>
      <x:c r="K1666" s="274" t="n">
        <x:v>1360</x:v>
      </x:c>
      <x:c r="M1666" s="274" t="s">
        <x:v>3331</x:v>
      </x:c>
      <x:c r="N1666" s="274" t="s">
        <x:v>2751</x:v>
      </x:c>
    </x:row>
    <x:row r="1667" spans="1:14">
      <x:c r="A1667" s="274" t="s">
        <x:v>3332</x:v>
      </x:c>
      <x:c r="B1667" s="274" t="n">
        <x:v>1.66</x:v>
      </x:c>
      <x:c r="C1667" s="274" t="n">
        <x:v>0</x:v>
      </x:c>
      <x:c r="D1667" s="274" t="n">
        <x:v>0</x:v>
      </x:c>
      <x:c r="F1667" s="274" t="s">
        <x:v>123</x:v>
      </x:c>
      <x:c r="G1667" s="274" t="s">
        <x:v>153</x:v>
      </x:c>
      <x:c r="I1667" s="274" t="n">
        <x:v>2.6</x:v>
      </x:c>
      <x:c r="J1667" s="274" t="n">
        <x:v>307</x:v>
      </x:c>
      <x:c r="K1667" s="274" t="n">
        <x:v>265</x:v>
      </x:c>
      <x:c r="M1667" s="274" t="s">
        <x:v>3333</x:v>
      </x:c>
      <x:c r="N1667" s="274" t="s">
        <x:v>1274</x:v>
      </x:c>
    </x:row>
    <x:row r="1668" spans="1:14">
      <x:c r="A1668" s="274" t="s">
        <x:v>3334</x:v>
      </x:c>
      <x:c r="B1668" s="274" t="n">
        <x:v>0.9</x:v>
      </x:c>
      <x:c r="C1668" s="274" t="n">
        <x:v>0</x:v>
      </x:c>
      <x:c r="D1668" s="274" t="n">
        <x:v>0</x:v>
      </x:c>
      <x:c r="F1668" s="274" t="s">
        <x:v>133</x:v>
      </x:c>
      <x:c r="G1668" s="274" t="s">
        <x:v>144</x:v>
      </x:c>
      <x:c r="H1668" s="274" t="n">
        <x:v>45</x:v>
      </x:c>
      <x:c r="I1668" s="274" t="n">
        <x:v>1.2</x:v>
      </x:c>
      <x:c r="J1668" s="274" t="n">
        <x:v>401</x:v>
      </x:c>
      <x:c r="K1668" s="274" t="n">
        <x:v>236</x:v>
      </x:c>
      <x:c r="M1668" s="274" t="s">
        <x:v>360</x:v>
      </x:c>
      <x:c r="N1668" s="274" t="s">
        <x:v>3335</x:v>
      </x:c>
    </x:row>
    <x:row r="1669" spans="1:14">
      <x:c r="A1669" s="274" t="s">
        <x:v>3336</x:v>
      </x:c>
      <x:c r="B1669" s="274" t="n">
        <x:v>3.43</x:v>
      </x:c>
      <x:c r="C1669" s="274" t="n">
        <x:v>0</x:v>
      </x:c>
      <x:c r="D1669" s="274" t="n">
        <x:v>0</x:v>
      </x:c>
      <x:c r="F1669" s="274" t="s">
        <x:v>133</x:v>
      </x:c>
      <x:c r="G1669" s="274" t="s">
        <x:v>134</x:v>
      </x:c>
      <x:c r="I1669" s="274" t="n">
        <x:v>3.2</x:v>
      </x:c>
      <x:c r="J1669" s="274" t="n">
        <x:v>301</x:v>
      </x:c>
      <x:c r="K1669" s="274" t="n">
        <x:v>453</x:v>
      </x:c>
      <x:c r="M1669" s="274" t="s">
        <x:v>3337</x:v>
      </x:c>
      <x:c r="N1669" s="274" t="s">
        <x:v>155</x:v>
      </x:c>
    </x:row>
    <x:row r="1670" spans="1:14">
      <x:c r="A1670" s="274" t="s">
        <x:v>3338</x:v>
      </x:c>
      <x:c r="B1670" s="274" t="n">
        <x:v>1.26</x:v>
      </x:c>
      <x:c r="C1670" s="274" t="n">
        <x:v>0</x:v>
      </x:c>
      <x:c r="D1670" s="274" t="n">
        <x:v>35</x:v>
      </x:c>
      <x:c r="E1670" s="274" t="n">
        <x:v>33</x:v>
      </x:c>
      <x:c r="F1670" s="274" t="s">
        <x:v>184</x:v>
      </x:c>
      <x:c r="G1670" s="274" t="s">
        <x:v>1718</x:v>
      </x:c>
      <x:c r="H1670" s="274" t="n">
        <x:v>45</x:v>
      </x:c>
      <x:c r="I1670" s="274" t="n">
        <x:v>1.4</x:v>
      </x:c>
      <x:c r="J1670" s="274" t="n">
        <x:v>564</x:v>
      </x:c>
      <x:c r="K1670" s="274" t="n">
        <x:v>202</x:v>
      </x:c>
      <x:c r="M1670" s="274" t="s">
        <x:v>3339</x:v>
      </x:c>
      <x:c r="N1670" s="274" t="s">
        <x:v>870</x:v>
      </x:c>
    </x:row>
    <x:row r="1671" spans="1:14">
      <x:c r="A1671" s="274" t="s">
        <x:v>3340</x:v>
      </x:c>
      <x:c r="B1671" s="274" t="n">
        <x:v>0.23</x:v>
      </x:c>
      <x:c r="C1671" s="274" t="n">
        <x:v>0</x:v>
      </x:c>
      <x:c r="D1671" s="274" t="n">
        <x:v>0</x:v>
      </x:c>
      <x:c r="F1671" s="274" t="s">
        <x:v>133</x:v>
      </x:c>
      <x:c r="G1671" s="274" t="s">
        <x:v>148</x:v>
      </x:c>
      <x:c r="I1671" s="274" t="n">
        <x:v>4.5</x:v>
      </x:c>
      <x:c r="J1671" s="274" t="n">
        <x:v>80</x:v>
      </x:c>
      <x:c r="K1671" s="274" t="n">
        <x:v>80</x:v>
      </x:c>
      <x:c r="M1671" s="274" t="s">
        <x:v>3341</x:v>
      </x:c>
      <x:c r="N1671" s="274" t="s">
        <x:v>2531</x:v>
      </x:c>
    </x:row>
    <x:row r="1672" spans="1:14">
      <x:c r="A1672" s="274" t="s">
        <x:v>3342</x:v>
      </x:c>
      <x:c r="B1672" s="274" t="n">
        <x:v>0.35</x:v>
      </x:c>
      <x:c r="C1672" s="274" t="n">
        <x:v>0</x:v>
      </x:c>
      <x:c r="D1672" s="274" t="n">
        <x:v>0</x:v>
      </x:c>
      <x:c r="F1672" s="274" t="s">
        <x:v>133</x:v>
      </x:c>
      <x:c r="G1672" s="274" t="s">
        <x:v>148</x:v>
      </x:c>
      <x:c r="I1672" s="274" t="n">
        <x:v>4.5</x:v>
      </x:c>
      <x:c r="J1672" s="274" t="n">
        <x:v>100</x:v>
      </x:c>
      <x:c r="K1672" s="274" t="n">
        <x:v>100</x:v>
      </x:c>
      <x:c r="M1672" s="274" t="s">
        <x:v>3343</x:v>
      </x:c>
      <x:c r="N1672" s="274" t="s">
        <x:v>2531</x:v>
      </x:c>
    </x:row>
    <x:row r="1673" spans="1:14">
      <x:c r="A1673" s="274" t="s">
        <x:v>3344</x:v>
      </x:c>
      <x:c r="B1673" s="274" t="n">
        <x:v>0.26</x:v>
      </x:c>
      <x:c r="C1673" s="274" t="n">
        <x:v>0</x:v>
      </x:c>
      <x:c r="D1673" s="274" t="n">
        <x:v>0</x:v>
      </x:c>
      <x:c r="F1673" s="274" t="s">
        <x:v>133</x:v>
      </x:c>
      <x:c r="G1673" s="274" t="s">
        <x:v>148</x:v>
      </x:c>
      <x:c r="I1673" s="274" t="n">
        <x:v>4.5</x:v>
      </x:c>
      <x:c r="J1673" s="274" t="n">
        <x:v>50</x:v>
      </x:c>
      <x:c r="K1673" s="274" t="n">
        <x:v>150</x:v>
      </x:c>
      <x:c r="M1673" s="274" t="s">
        <x:v>3345</x:v>
      </x:c>
      <x:c r="N1673" s="274" t="s">
        <x:v>3346</x:v>
      </x:c>
    </x:row>
    <x:row r="1674" spans="1:14">
      <x:c r="A1674" s="274" t="s">
        <x:v>3347</x:v>
      </x:c>
      <x:c r="B1674" s="274" t="n">
        <x:v>0.08</x:v>
      </x:c>
      <x:c r="C1674" s="274" t="n">
        <x:v>0</x:v>
      </x:c>
      <x:c r="D1674" s="274" t="n">
        <x:v>0</x:v>
      </x:c>
      <x:c r="F1674" s="274" t="s">
        <x:v>128</x:v>
      </x:c>
      <x:c r="G1674" s="274" t="s">
        <x:v>136</x:v>
      </x:c>
      <x:c r="H1674" s="274" t="s">
        <x:v>397</x:v>
      </x:c>
      <x:c r="I1674" s="274" t="n">
        <x:v>0.75</x:v>
      </x:c>
      <x:c r="J1674" s="274" t="n">
        <x:v>95</x:v>
      </x:c>
      <x:c r="K1674" s="274" t="n">
        <x:v>136</x:v>
      </x:c>
      <x:c r="M1674" s="274" t="s">
        <x:v>3348</x:v>
      </x:c>
      <x:c r="N1674" s="274" t="s">
        <x:v>915</x:v>
      </x:c>
    </x:row>
    <x:row r="1675" spans="1:14">
      <x:c r="A1675" s="274" t="s">
        <x:v>3349</x:v>
      </x:c>
      <x:c r="B1675" s="274" t="n">
        <x:v>0.14</x:v>
      </x:c>
      <x:c r="C1675" s="274" t="n">
        <x:v>0</x:v>
      </x:c>
      <x:c r="D1675" s="274" t="n">
        <x:v>0</x:v>
      </x:c>
      <x:c r="F1675" s="274" t="s">
        <x:v>133</x:v>
      </x:c>
      <x:c r="G1675" s="274" t="s">
        <x:v>148</x:v>
      </x:c>
      <x:c r="I1675" s="274" t="n">
        <x:v>2.3</x:v>
      </x:c>
      <x:c r="J1675" s="274" t="n">
        <x:v>150</x:v>
      </x:c>
      <x:c r="K1675" s="274" t="n">
        <x:v>50</x:v>
      </x:c>
      <x:c r="M1675" s="274" t="s">
        <x:v>3350</x:v>
      </x:c>
      <x:c r="N1675" s="274" t="s">
        <x:v>2531</x:v>
      </x:c>
    </x:row>
    <x:row r="1676" spans="1:14">
      <x:c r="A1676" s="274" t="s">
        <x:v>3351</x:v>
      </x:c>
      <x:c r="B1676" s="274" t="n">
        <x:v>2.06</x:v>
      </x:c>
      <x:c r="C1676" s="274" t="n">
        <x:v>0</x:v>
      </x:c>
      <x:c r="D1676" s="274" t="n">
        <x:v>0</x:v>
      </x:c>
      <x:c r="F1676" s="274" t="s">
        <x:v>133</x:v>
      </x:c>
      <x:c r="G1676" s="274" t="s">
        <x:v>148</x:v>
      </x:c>
      <x:c r="I1676" s="274" t="n">
        <x:v>3.6</x:v>
      </x:c>
      <x:c r="J1676" s="274" t="n">
        <x:v>178</x:v>
      </x:c>
      <x:c r="K1676" s="274" t="n">
        <x:v>410</x:v>
      </x:c>
      <x:c r="M1676" s="274" t="s">
        <x:v>3352</x:v>
      </x:c>
      <x:c r="N1676" s="274" t="s">
        <x:v>299</x:v>
      </x:c>
    </x:row>
    <x:row r="1677" spans="1:14">
      <x:c r="A1677" s="274" t="s">
        <x:v>3353</x:v>
      </x:c>
      <x:c r="B1677" s="274" t="n">
        <x:v>0.64</x:v>
      </x:c>
      <x:c r="C1677" s="274" t="n">
        <x:v>0</x:v>
      </x:c>
      <x:c r="D1677" s="274" t="n">
        <x:v>35</x:v>
      </x:c>
      <x:c r="E1677" s="274" t="n">
        <x:v>33</x:v>
      </x:c>
      <x:c r="F1677" s="274" t="s">
        <x:v>333</x:v>
      </x:c>
      <x:c r="G1677" s="274" t="s">
        <x:v>124</x:v>
      </x:c>
      <x:c r="I1677" s="274" t="n">
        <x:v>2</x:v>
      </x:c>
      <x:c r="J1677" s="274" t="n">
        <x:v>225</x:v>
      </x:c>
      <x:c r="K1677" s="274" t="n">
        <x:v>182</x:v>
      </x:c>
      <x:c r="M1677" s="274" t="s">
        <x:v>1254</x:v>
      </x:c>
      <x:c r="N1677" s="274" t="s">
        <x:v>870</x:v>
      </x:c>
    </x:row>
    <x:row r="1678" spans="1:14">
      <x:c r="A1678" s="274" t="s">
        <x:v>3354</x:v>
      </x:c>
      <x:c r="B1678" s="274" t="n">
        <x:v>1.43</x:v>
      </x:c>
      <x:c r="C1678" s="274" t="n">
        <x:v>0</x:v>
      </x:c>
      <x:c r="D1678" s="274" t="n">
        <x:v>0</x:v>
      </x:c>
      <x:c r="F1678" s="274" t="s">
        <x:v>333</x:v>
      </x:c>
      <x:c r="G1678" s="274" t="s">
        <x:v>2157</x:v>
      </x:c>
      <x:c r="I1678" s="274" t="n">
        <x:v>0.6</x:v>
      </x:c>
      <x:c r="J1678" s="274" t="n">
        <x:v>1058</x:v>
      </x:c>
      <x:c r="K1678" s="274" t="n">
        <x:v>287</x:v>
      </x:c>
      <x:c r="M1678" s="274" t="s">
        <x:v>3355</x:v>
      </x:c>
      <x:c r="N1678" s="274" t="s">
        <x:v>3325</x:v>
      </x:c>
    </x:row>
    <x:row r="1679" spans="1:14">
      <x:c r="A1679" s="274" t="s">
        <x:v>3356</x:v>
      </x:c>
      <x:c r="B1679" s="274" t="n">
        <x:v>1.526</x:v>
      </x:c>
      <x:c r="C1679" s="274" t="n">
        <x:v>0</x:v>
      </x:c>
      <x:c r="D1679" s="274" t="n">
        <x:v>40</x:v>
      </x:c>
      <x:c r="E1679" s="274" t="n">
        <x:v>40</x:v>
      </x:c>
      <x:c r="F1679" s="274" t="s">
        <x:v>333</x:v>
      </x:c>
      <x:c r="G1679" s="274" t="s">
        <x:v>2157</x:v>
      </x:c>
      <x:c r="I1679" s="274" t="n">
        <x:v>0.6</x:v>
      </x:c>
      <x:c r="J1679" s="274" t="n">
        <x:v>940</x:v>
      </x:c>
      <x:c r="K1679" s="274" t="n">
        <x:v>339</x:v>
      </x:c>
      <x:c r="M1679" s="274" t="s">
        <x:v>3357</x:v>
      </x:c>
      <x:c r="N1679" s="274" t="s">
        <x:v>3325</x:v>
      </x:c>
    </x:row>
    <x:row r="1680" spans="1:14">
      <x:c r="A1680" s="274" t="s">
        <x:v>3358</x:v>
      </x:c>
      <x:c r="B1680" s="274" t="n">
        <x:v>1.43</x:v>
      </x:c>
      <x:c r="C1680" s="274" t="n">
        <x:v>27</x:v>
      </x:c>
      <x:c r="D1680" s="274" t="n">
        <x:v>35</x:v>
      </x:c>
      <x:c r="E1680" s="274" t="n">
        <x:v>33</x:v>
      </x:c>
      <x:c r="F1680" s="274" t="s">
        <x:v>333</x:v>
      </x:c>
      <x:c r="G1680" s="274" t="s">
        <x:v>2157</x:v>
      </x:c>
      <x:c r="I1680" s="274" t="n">
        <x:v>1</x:v>
      </x:c>
      <x:c r="J1680" s="274" t="n">
        <x:v>350</x:v>
      </x:c>
      <x:c r="K1680" s="274" t="n">
        <x:v>520</x:v>
      </x:c>
      <x:c r="M1680" s="274" t="s">
        <x:v>3359</x:v>
      </x:c>
      <x:c r="N1680" s="274" t="s">
        <x:v>3325</x:v>
      </x:c>
    </x:row>
    <x:row r="1681" spans="1:14">
      <x:c r="A1681" s="274" t="s">
        <x:v>3360</x:v>
      </x:c>
      <x:c r="B1681" s="274" t="n">
        <x:v>1.65</x:v>
      </x:c>
      <x:c r="C1681" s="274" t="n">
        <x:v>27</x:v>
      </x:c>
      <x:c r="D1681" s="274" t="n">
        <x:v>35</x:v>
      </x:c>
      <x:c r="E1681" s="274" t="n">
        <x:v>33</x:v>
      </x:c>
      <x:c r="F1681" s="274" t="s">
        <x:v>333</x:v>
      </x:c>
      <x:c r="G1681" s="274" t="s">
        <x:v>2157</x:v>
      </x:c>
      <x:c r="I1681" s="274" t="n">
        <x:v>1</x:v>
      </x:c>
      <x:c r="J1681" s="274" t="n">
        <x:v>350</x:v>
      </x:c>
      <x:c r="K1681" s="274" t="n">
        <x:v>600</x:v>
      </x:c>
      <x:c r="M1681" s="274" t="s">
        <x:v>3361</x:v>
      </x:c>
      <x:c r="N1681" s="274" t="s">
        <x:v>3325</x:v>
      </x:c>
    </x:row>
    <x:row r="1682" spans="1:14">
      <x:c r="A1682" s="274" t="s">
        <x:v>3362</x:v>
      </x:c>
      <x:c r="B1682" s="274" t="n">
        <x:v>0.91</x:v>
      </x:c>
      <x:c r="C1682" s="274" t="n">
        <x:v>0</x:v>
      </x:c>
      <x:c r="D1682" s="274" t="n">
        <x:v>0</x:v>
      </x:c>
      <x:c r="F1682" s="274" t="s">
        <x:v>123</x:v>
      </x:c>
      <x:c r="G1682" s="274" t="s">
        <x:v>148</x:v>
      </x:c>
      <x:c r="I1682" s="274" t="n">
        <x:v>1.6</x:v>
      </x:c>
      <x:c r="J1682" s="274" t="n">
        <x:v>91</x:v>
      </x:c>
      <x:c r="K1682" s="274" t="n">
        <x:v>800</x:v>
      </x:c>
      <x:c r="M1682" s="274" t="s">
        <x:v>3363</x:v>
      </x:c>
      <x:c r="N1682" s="274" t="s">
        <x:v>155</x:v>
      </x:c>
    </x:row>
    <x:row r="1683" spans="1:14">
      <x:c r="A1683" s="274" t="s">
        <x:v>3364</x:v>
      </x:c>
      <x:c r="B1683" s="274" t="n">
        <x:v>3.32</x:v>
      </x:c>
      <x:c r="C1683" s="274" t="n">
        <x:v>0</x:v>
      </x:c>
      <x:c r="D1683" s="274" t="n">
        <x:v>0</x:v>
      </x:c>
      <x:c r="F1683" s="274" t="s">
        <x:v>333</x:v>
      </x:c>
      <x:c r="G1683" s="274" t="s">
        <x:v>124</x:v>
      </x:c>
      <x:c r="I1683" s="274" t="n">
        <x:v>2</x:v>
      </x:c>
      <x:c r="J1683" s="274" t="n">
        <x:v>184</x:v>
      </x:c>
      <x:c r="K1683" s="274" t="n">
        <x:v>1149</x:v>
      </x:c>
      <x:c r="M1683" s="274" t="s">
        <x:v>2814</x:v>
      </x:c>
      <x:c r="N1683" s="274" t="s">
        <x:v>870</x:v>
      </x:c>
    </x:row>
    <x:row r="1684" spans="1:14">
      <x:c r="A1684" s="274" t="s">
        <x:v>3365</x:v>
      </x:c>
      <x:c r="B1684" s="274" t="n">
        <x:v>1.62</x:v>
      </x:c>
      <x:c r="C1684" s="274" t="n">
        <x:v>0</x:v>
      </x:c>
      <x:c r="D1684" s="274" t="n">
        <x:v>0</x:v>
      </x:c>
      <x:c r="F1684" s="274" t="s">
        <x:v>184</x:v>
      </x:c>
      <x:c r="G1684" s="274" t="s">
        <x:v>129</x:v>
      </x:c>
      <x:c r="H1684" s="274" t="n">
        <x:v>45</x:v>
      </x:c>
      <x:c r="I1684" s="274" t="n">
        <x:v>1</x:v>
      </x:c>
      <x:c r="J1684" s="274" t="n">
        <x:v>168</x:v>
      </x:c>
      <x:c r="K1684" s="274" t="n">
        <x:v>1214</x:v>
      </x:c>
      <x:c r="M1684" s="274" t="s">
        <x:v>2820</x:v>
      </x:c>
      <x:c r="N1684" s="274" t="s">
        <x:v>870</x:v>
      </x:c>
    </x:row>
    <x:row r="1685" spans="1:14">
      <x:c r="A1685" s="274" t="s">
        <x:v>3366</x:v>
      </x:c>
      <x:c r="B1685" s="274" t="n">
        <x:v>1</x:v>
      </x:c>
      <x:c r="C1685" s="274" t="n">
        <x:v>0</x:v>
      </x:c>
      <x:c r="D1685" s="274" t="n">
        <x:v>35</x:v>
      </x:c>
      <x:c r="E1685" s="274" t="n">
        <x:v>33</x:v>
      </x:c>
      <x:c r="F1685" s="274" t="s">
        <x:v>333</x:v>
      </x:c>
      <x:c r="G1685" s="274" t="s">
        <x:v>2468</x:v>
      </x:c>
      <x:c r="I1685" s="274" t="n">
        <x:v>0.8</x:v>
      </x:c>
      <x:c r="J1685" s="274" t="n">
        <x:v>596</x:v>
      </x:c>
      <x:c r="K1685" s="274" t="n">
        <x:v>268</x:v>
      </x:c>
      <x:c r="M1685" s="274" t="s">
        <x:v>2187</x:v>
      </x:c>
      <x:c r="N1685" s="274" t="s">
        <x:v>2902</x:v>
      </x:c>
    </x:row>
    <x:row r="1686" spans="1:14">
      <x:c r="A1686" s="274" t="s">
        <x:v>3367</x:v>
      </x:c>
      <x:c r="B1686" s="274" t="n">
        <x:v>14.37</x:v>
      </x:c>
      <x:c r="C1686" s="274" t="n">
        <x:v>0</x:v>
      </x:c>
      <x:c r="D1686" s="274" t="n">
        <x:v>0</x:v>
      </x:c>
      <x:c r="F1686" s="274" t="s">
        <x:v>133</x:v>
      </x:c>
      <x:c r="G1686" s="274" t="s">
        <x:v>1170</x:v>
      </x:c>
      <x:c r="I1686" s="274" t="n">
        <x:v>8</x:v>
      </x:c>
      <x:c r="J1686" s="274" t="n">
        <x:v>398</x:v>
      </x:c>
      <x:c r="K1686" s="274" t="n">
        <x:v>575</x:v>
      </x:c>
      <x:c r="M1686" s="274" t="s">
        <x:v>3368</x:v>
      </x:c>
      <x:c r="N1686" s="274" t="s">
        <x:v>1274</x:v>
      </x:c>
    </x:row>
    <x:row r="1687" spans="1:14">
      <x:c r="A1687" s="274" t="s">
        <x:v>3369</x:v>
      </x:c>
      <x:c r="B1687" s="274" t="n">
        <x:v>0.44</x:v>
      </x:c>
      <x:c r="C1687" s="274" t="n">
        <x:v>0</x:v>
      </x:c>
      <x:c r="D1687" s="274" t="n">
        <x:v>0</x:v>
      </x:c>
      <x:c r="F1687" s="274" t="s">
        <x:v>333</x:v>
      </x:c>
      <x:c r="G1687" s="274" t="s">
        <x:v>2468</x:v>
      </x:c>
      <x:c r="I1687" s="274" t="n">
        <x:v>0.6</x:v>
      </x:c>
      <x:c r="J1687" s="274" t="n">
        <x:v>1072</x:v>
      </x:c>
      <x:c r="K1687" s="274" t="n">
        <x:v>88</x:v>
      </x:c>
      <x:c r="M1687" s="274" t="s">
        <x:v>3370</x:v>
      </x:c>
      <x:c r="N1687" s="274" t="s">
        <x:v>2902</x:v>
      </x:c>
    </x:row>
    <x:row r="1688" spans="1:14">
      <x:c r="A1688" s="274" t="s">
        <x:v>3371</x:v>
      </x:c>
      <x:c r="B1688" s="274" t="n">
        <x:v>0.46</x:v>
      </x:c>
      <x:c r="C1688" s="274" t="n">
        <x:v>0</x:v>
      </x:c>
      <x:c r="D1688" s="274" t="n">
        <x:v>0</x:v>
      </x:c>
      <x:c r="F1688" s="274" t="s">
        <x:v>333</x:v>
      </x:c>
      <x:c r="G1688" s="274" t="s">
        <x:v>2468</x:v>
      </x:c>
      <x:c r="I1688" s="274" t="n">
        <x:v>0.6</x:v>
      </x:c>
      <x:c r="J1688" s="274" t="n">
        <x:v>1072</x:v>
      </x:c>
      <x:c r="K1688" s="274" t="n">
        <x:v>92</x:v>
      </x:c>
      <x:c r="M1688" s="274" t="s">
        <x:v>3372</x:v>
      </x:c>
      <x:c r="N1688" s="274" t="s">
        <x:v>2902</x:v>
      </x:c>
    </x:row>
    <x:row r="1689" spans="1:14">
      <x:c r="A1689" s="274" t="s">
        <x:v>3373</x:v>
      </x:c>
      <x:c r="B1689" s="274" t="n">
        <x:v>1.4</x:v>
      </x:c>
      <x:c r="C1689" s="274" t="n">
        <x:v>0</x:v>
      </x:c>
      <x:c r="D1689" s="274" t="n">
        <x:v>0</x:v>
      </x:c>
      <x:c r="F1689" s="274" t="s">
        <x:v>333</x:v>
      </x:c>
      <x:c r="G1689" s="274" t="s">
        <x:v>2160</x:v>
      </x:c>
      <x:c r="I1689" s="274" t="n">
        <x:v>1</x:v>
      </x:c>
      <x:c r="J1689" s="274" t="n">
        <x:v>162</x:v>
      </x:c>
      <x:c r="K1689" s="274" t="n">
        <x:v>1100</x:v>
      </x:c>
      <x:c r="M1689" s="274" t="s">
        <x:v>2177</x:v>
      </x:c>
      <x:c r="N1689" s="274" t="s">
        <x:v>2968</x:v>
      </x:c>
    </x:row>
    <x:row r="1690" spans="1:14">
      <x:c r="A1690" s="274" t="s">
        <x:v>3374</x:v>
      </x:c>
      <x:c r="B1690" s="274" t="n">
        <x:v>0.46</x:v>
      </x:c>
      <x:c r="C1690" s="274" t="n">
        <x:v>0</x:v>
      </x:c>
      <x:c r="D1690" s="274" t="n">
        <x:v>0</x:v>
      </x:c>
      <x:c r="F1690" s="274" t="s">
        <x:v>333</x:v>
      </x:c>
      <x:c r="G1690" s="274" t="s">
        <x:v>2157</x:v>
      </x:c>
      <x:c r="I1690" s="274" t="n">
        <x:v>0.6</x:v>
      </x:c>
      <x:c r="J1690" s="274" t="n">
        <x:v>1120</x:v>
      </x:c>
      <x:c r="K1690" s="274" t="n">
        <x:v>88</x:v>
      </x:c>
      <x:c r="M1690" s="274" t="s">
        <x:v>2682</x:v>
      </x:c>
      <x:c r="N1690" s="274" t="s">
        <x:v>2902</x:v>
      </x:c>
    </x:row>
    <x:row r="1691" spans="1:14">
      <x:c r="A1691" s="274" t="s">
        <x:v>3375</x:v>
      </x:c>
      <x:c r="B1691" s="274" t="n">
        <x:v>0.46</x:v>
      </x:c>
      <x:c r="C1691" s="274" t="n">
        <x:v>0</x:v>
      </x:c>
      <x:c r="D1691" s="274" t="n">
        <x:v>0</x:v>
      </x:c>
      <x:c r="F1691" s="274" t="s">
        <x:v>333</x:v>
      </x:c>
      <x:c r="G1691" s="274" t="s">
        <x:v>2468</x:v>
      </x:c>
      <x:c r="I1691" s="274" t="n">
        <x:v>0.6</x:v>
      </x:c>
      <x:c r="J1691" s="274" t="n">
        <x:v>1072</x:v>
      </x:c>
      <x:c r="K1691" s="274" t="n">
        <x:v>92</x:v>
      </x:c>
      <x:c r="M1691" s="274" t="s">
        <x:v>3372</x:v>
      </x:c>
      <x:c r="N1691" s="274" t="s">
        <x:v>2902</x:v>
      </x:c>
    </x:row>
    <x:row r="1692" spans="1:14">
      <x:c r="A1692" s="274" t="s">
        <x:v>3376</x:v>
      </x:c>
      <x:c r="B1692" s="274" t="n">
        <x:v>2.58</x:v>
      </x:c>
      <x:c r="C1692" s="274" t="n">
        <x:v>0</x:v>
      </x:c>
      <x:c r="D1692" s="274" t="n">
        <x:v>0</x:v>
      </x:c>
      <x:c r="F1692" s="274" t="s">
        <x:v>133</x:v>
      </x:c>
      <x:c r="G1692" s="274" t="s">
        <x:v>148</x:v>
      </x:c>
      <x:c r="I1692" s="274" t="n">
        <x:v>3.6</x:v>
      </x:c>
      <x:c r="J1692" s="274" t="n">
        <x:v>247</x:v>
      </x:c>
      <x:c r="K1692" s="274" t="n">
        <x:v>370</x:v>
      </x:c>
      <x:c r="M1692" s="274" t="s">
        <x:v>3377</x:v>
      </x:c>
      <x:c r="N1692" s="274" t="s">
        <x:v>155</x:v>
      </x:c>
    </x:row>
    <x:row r="1693" spans="1:14">
      <x:c r="A1693" s="274" t="s">
        <x:v>3378</x:v>
      </x:c>
      <x:c r="B1693" s="274" t="n">
        <x:v>2.31</x:v>
      </x:c>
      <x:c r="C1693" s="274" t="n">
        <x:v>0</x:v>
      </x:c>
      <x:c r="D1693" s="274" t="n">
        <x:v>0</x:v>
      </x:c>
      <x:c r="F1693" s="274" t="s">
        <x:v>133</x:v>
      </x:c>
      <x:c r="G1693" s="274" t="s">
        <x:v>148</x:v>
      </x:c>
      <x:c r="I1693" s="274" t="n">
        <x:v>3.6</x:v>
      </x:c>
      <x:c r="J1693" s="274" t="n">
        <x:v>162</x:v>
      </x:c>
      <x:c r="K1693" s="274" t="n">
        <x:v>505</x:v>
      </x:c>
      <x:c r="M1693" s="274" t="s">
        <x:v>3379</x:v>
      </x:c>
      <x:c r="N1693" s="274" t="s">
        <x:v>155</x:v>
      </x:c>
    </x:row>
    <x:row r="1694" spans="1:14">
      <x:c r="A1694" s="274" t="s">
        <x:v>3380</x:v>
      </x:c>
      <x:c r="B1694" s="274" t="n">
        <x:v>0.58</x:v>
      </x:c>
      <x:c r="C1694" s="274" t="n">
        <x:v>0</x:v>
      </x:c>
      <x:c r="D1694" s="274" t="n">
        <x:v>0</x:v>
      </x:c>
      <x:c r="F1694" s="274" t="s">
        <x:v>333</x:v>
      </x:c>
      <x:c r="G1694" s="274" t="s">
        <x:v>209</x:v>
      </x:c>
      <x:c r="I1694" s="274" t="n">
        <x:v>1.2</x:v>
      </x:c>
      <x:c r="J1694" s="274" t="n">
        <x:v>165</x:v>
      </x:c>
      <x:c r="K1694" s="274" t="n">
        <x:v>370</x:v>
      </x:c>
      <x:c r="M1694" s="274" t="s">
        <x:v>3381</x:v>
      </x:c>
      <x:c r="N1694" s="274" t="s">
        <x:v>299</x:v>
      </x:c>
    </x:row>
    <x:row r="1695" spans="1:14">
      <x:c r="A1695" s="274" t="s">
        <x:v>3382</x:v>
      </x:c>
      <x:c r="B1695" s="274" t="n">
        <x:v>0.48</x:v>
      </x:c>
      <x:c r="C1695" s="274" t="n">
        <x:v>0</x:v>
      </x:c>
      <x:c r="D1695" s="274" t="n">
        <x:v>0</x:v>
      </x:c>
      <x:c r="F1695" s="274" t="s">
        <x:v>333</x:v>
      </x:c>
      <x:c r="G1695" s="274" t="s">
        <x:v>209</x:v>
      </x:c>
      <x:c r="I1695" s="274" t="n">
        <x:v>1.2</x:v>
      </x:c>
      <x:c r="J1695" s="274" t="n">
        <x:v>153</x:v>
      </x:c>
      <x:c r="K1695" s="274" t="n">
        <x:v>333</x:v>
      </x:c>
      <x:c r="M1695" s="274" t="s">
        <x:v>3383</x:v>
      </x:c>
      <x:c r="N1695" s="274" t="s">
        <x:v>299</x:v>
      </x:c>
    </x:row>
    <x:row r="1696" spans="1:14">
      <x:c r="A1696" s="274" t="s">
        <x:v>3384</x:v>
      </x:c>
      <x:c r="B1696" s="274" t="n">
        <x:v>1</x:v>
      </x:c>
      <x:c r="C1696" s="274" t="n">
        <x:v>0</x:v>
      </x:c>
      <x:c r="D1696" s="274" t="n">
        <x:v>35</x:v>
      </x:c>
      <x:c r="E1696" s="274" t="n">
        <x:v>33</x:v>
      </x:c>
      <x:c r="F1696" s="274" t="s">
        <x:v>333</x:v>
      </x:c>
      <x:c r="G1696" s="274" t="s">
        <x:v>2468</x:v>
      </x:c>
      <x:c r="I1696" s="274" t="n">
        <x:v>0.8</x:v>
      </x:c>
      <x:c r="J1696" s="274" t="n">
        <x:v>596</x:v>
      </x:c>
      <x:c r="K1696" s="274" t="n">
        <x:v>268</x:v>
      </x:c>
      <x:c r="M1696" s="274" t="s">
        <x:v>3385</x:v>
      </x:c>
      <x:c r="N1696" s="274" t="s">
        <x:v>2902</x:v>
      </x:c>
    </x:row>
    <x:row r="1697" spans="1:14">
      <x:c r="A1697" s="274" t="s">
        <x:v>3386</x:v>
      </x:c>
      <x:c r="B1697" s="274" t="n">
        <x:v>1.96</x:v>
      </x:c>
      <x:c r="C1697" s="274" t="n">
        <x:v>0</x:v>
      </x:c>
      <x:c r="D1697" s="274" t="n">
        <x:v>0</x:v>
      </x:c>
      <x:c r="F1697" s="274" t="s">
        <x:v>133</x:v>
      </x:c>
      <x:c r="G1697" s="274" t="s">
        <x:v>134</x:v>
      </x:c>
      <x:c r="I1697" s="274" t="n">
        <x:v>2.9</x:v>
      </x:c>
      <x:c r="J1697" s="274" t="n">
        <x:v>215</x:v>
      </x:c>
      <x:c r="K1697" s="274" t="n">
        <x:v>400</x:v>
      </x:c>
      <x:c r="M1697" s="274" t="s">
        <x:v>3387</x:v>
      </x:c>
      <x:c r="N1697" s="274" t="s">
        <x:v>131</x:v>
      </x:c>
    </x:row>
    <x:row r="1698" spans="1:14">
      <x:c r="A1698" s="274" t="s">
        <x:v>3388</x:v>
      </x:c>
      <x:c r="B1698" s="274" t="n">
        <x:v>1.29</x:v>
      </x:c>
      <x:c r="C1698" s="274" t="n">
        <x:v>0</x:v>
      </x:c>
      <x:c r="D1698" s="274" t="n">
        <x:v>0</x:v>
      </x:c>
      <x:c r="F1698" s="274" t="s">
        <x:v>333</x:v>
      </x:c>
      <x:c r="G1698" s="274" t="s">
        <x:v>2468</x:v>
      </x:c>
      <x:c r="I1698" s="274" t="n">
        <x:v>0.7</x:v>
      </x:c>
      <x:c r="J1698" s="274" t="n">
        <x:v>335</x:v>
      </x:c>
      <x:c r="K1698" s="274" t="n">
        <x:v>700</x:v>
      </x:c>
      <x:c r="M1698" s="274" t="s">
        <x:v>2498</x:v>
      </x:c>
      <x:c r="N1698" s="274" t="s">
        <x:v>3153</x:v>
      </x:c>
    </x:row>
    <x:row r="1699" spans="1:14">
      <x:c r="A1699" s="274" t="s">
        <x:v>3389</x:v>
      </x:c>
      <x:c r="B1699" s="274" t="n">
        <x:v>12.94</x:v>
      </x:c>
      <x:c r="C1699" s="274" t="n">
        <x:v>0</x:v>
      </x:c>
      <x:c r="D1699" s="274" t="n">
        <x:v>0</x:v>
      </x:c>
      <x:c r="E1699" s="274" t="n">
        <x:v>0</x:v>
      </x:c>
      <x:c r="F1699" s="274" t="s">
        <x:v>123</x:v>
      </x:c>
      <x:c r="G1699" s="274" t="s">
        <x:v>284</x:v>
      </x:c>
      <x:c r="H1699" s="274" t="s">
        <x:v>285</x:v>
      </x:c>
      <x:c r="I1699" s="274" t="n">
        <x:v>0.7</x:v>
      </x:c>
      <x:c r="J1699" s="274" t="n">
        <x:v>1430</x:v>
      </x:c>
      <x:c r="K1699" s="274" t="n">
        <x:v>1695</x:v>
      </x:c>
      <x:c r="L1699" s="274" t="n">
        <x:v>1545.1</x:v>
      </x:c>
      <x:c r="M1699" s="274" t="s">
        <x:v>1976</x:v>
      </x:c>
      <x:c r="N1699" s="274" t="s">
        <x:v>155</x:v>
      </x:c>
    </x:row>
    <x:row r="1700" spans="1:14">
      <x:c r="A1700" s="274" t="s">
        <x:v>3390</x:v>
      </x:c>
      <x:c r="B1700" s="274" t="n">
        <x:v>1.69</x:v>
      </x:c>
      <x:c r="C1700" s="274" t="n">
        <x:v>0</x:v>
      </x:c>
      <x:c r="D1700" s="274" t="n">
        <x:v>40</x:v>
      </x:c>
      <x:c r="E1700" s="274" t="n">
        <x:v>40</x:v>
      </x:c>
      <x:c r="F1700" s="274" t="s">
        <x:v>333</x:v>
      </x:c>
      <x:c r="G1700" s="274" t="s">
        <x:v>2157</x:v>
      </x:c>
      <x:c r="I1700" s="274" t="n">
        <x:v>0.6</x:v>
      </x:c>
      <x:c r="J1700" s="274" t="n">
        <x:v>1036</x:v>
      </x:c>
      <x:c r="K1700" s="274" t="n">
        <x:v>346</x:v>
      </x:c>
      <x:c r="M1700" s="274" t="s">
        <x:v>3391</x:v>
      </x:c>
      <x:c r="N1700" s="274" t="s">
        <x:v>3392</x:v>
      </x:c>
    </x:row>
    <x:row r="1701" spans="1:14">
      <x:c r="A1701" s="274" t="s">
        <x:v>3393</x:v>
      </x:c>
      <x:c r="B1701" s="274" t="n">
        <x:v>1.77</x:v>
      </x:c>
      <x:c r="C1701" s="274" t="n">
        <x:v>0</x:v>
      </x:c>
      <x:c r="D1701" s="274" t="n">
        <x:v>0</x:v>
      </x:c>
      <x:c r="F1701" s="274" t="s">
        <x:v>333</x:v>
      </x:c>
      <x:c r="G1701" s="274" t="s">
        <x:v>2711</x:v>
      </x:c>
      <x:c r="I1701" s="274" t="n">
        <x:v>1</x:v>
      </x:c>
      <x:c r="J1701" s="274" t="n">
        <x:v>215</x:v>
      </x:c>
      <x:c r="K1701" s="274" t="n">
        <x:v>1050</x:v>
      </x:c>
      <x:c r="M1701" s="274" t="s">
        <x:v>3394</x:v>
      </x:c>
      <x:c r="N1701" s="274" t="s">
        <x:v>3395</x:v>
      </x:c>
    </x:row>
    <x:row r="1702" spans="1:14">
      <x:c r="A1702" s="274" t="s">
        <x:v>3396</x:v>
      </x:c>
      <x:c r="B1702" s="274" t="n">
        <x:v>0.34</x:v>
      </x:c>
      <x:c r="C1702" s="274" t="n">
        <x:v>0</x:v>
      </x:c>
      <x:c r="D1702" s="274" t="n">
        <x:v>0</x:v>
      </x:c>
      <x:c r="F1702" s="274" t="s">
        <x:v>333</x:v>
      </x:c>
      <x:c r="G1702" s="274" t="s">
        <x:v>2157</x:v>
      </x:c>
      <x:c r="I1702" s="274" t="n">
        <x:v>0.8</x:v>
      </x:c>
      <x:c r="J1702" s="274" t="n">
        <x:v>403</x:v>
      </x:c>
      <x:c r="K1702" s="274" t="n">
        <x:v>134</x:v>
      </x:c>
      <x:c r="M1702" s="274" t="s">
        <x:v>2693</x:v>
      </x:c>
      <x:c r="N1702" s="274" t="s">
        <x:v>3395</x:v>
      </x:c>
    </x:row>
    <x:row r="1703" spans="1:14">
      <x:c r="A1703" s="274" t="s">
        <x:v>3397</x:v>
      </x:c>
      <x:c r="B1703" s="274" t="n">
        <x:v>0.29</x:v>
      </x:c>
      <x:c r="C1703" s="274" t="n">
        <x:v>0</x:v>
      </x:c>
      <x:c r="D1703" s="274" t="n">
        <x:v>0</x:v>
      </x:c>
      <x:c r="F1703" s="274" t="s">
        <x:v>333</x:v>
      </x:c>
      <x:c r="G1703" s="274" t="s">
        <x:v>2468</x:v>
      </x:c>
      <x:c r="I1703" s="274" t="n">
        <x:v>0.8</x:v>
      </x:c>
      <x:c r="J1703" s="274" t="n">
        <x:v>210</x:v>
      </x:c>
      <x:c r="K1703" s="274" t="n">
        <x:v>220</x:v>
      </x:c>
      <x:c r="M1703" s="274" t="s">
        <x:v>2473</x:v>
      </x:c>
      <x:c r="N1703" s="274" t="s">
        <x:v>3153</x:v>
      </x:c>
    </x:row>
    <x:row r="1704" spans="1:14">
      <x:c r="A1704" s="274" t="s">
        <x:v>3398</x:v>
      </x:c>
      <x:c r="B1704" s="274" t="n">
        <x:v>2.06</x:v>
      </x:c>
      <x:c r="C1704" s="274" t="n">
        <x:v>0</x:v>
      </x:c>
      <x:c r="D1704" s="274" t="n">
        <x:v>0</x:v>
      </x:c>
      <x:c r="F1704" s="274" t="s">
        <x:v>333</x:v>
      </x:c>
      <x:c r="G1704" s="274" t="s">
        <x:v>2160</x:v>
      </x:c>
      <x:c r="I1704" s="274" t="n">
        <x:v>1.4</x:v>
      </x:c>
      <x:c r="J1704" s="274" t="n">
        <x:v>375</x:v>
      </x:c>
      <x:c r="K1704" s="274" t="n">
        <x:v>500</x:v>
      </x:c>
      <x:c r="M1704" s="274" t="s">
        <x:v>3399</x:v>
      </x:c>
      <x:c r="N1704" s="274" t="s">
        <x:v>3392</x:v>
      </x:c>
    </x:row>
    <x:row r="1705" spans="1:14">
      <x:c r="A1705" s="274" t="s">
        <x:v>3400</x:v>
      </x:c>
      <x:c r="B1705" s="274" t="n">
        <x:v>1.27</x:v>
      </x:c>
      <x:c r="C1705" s="274" t="n">
        <x:v>0</x:v>
      </x:c>
      <x:c r="D1705" s="274" t="n">
        <x:v>33</x:v>
      </x:c>
      <x:c r="E1705" s="274" t="n">
        <x:v>31</x:v>
      </x:c>
      <x:c r="F1705" s="274" t="s">
        <x:v>133</x:v>
      </x:c>
      <x:c r="G1705" s="274" t="s">
        <x:v>136</x:v>
      </x:c>
      <x:c r="H1705" s="274" t="n">
        <x:v>45</x:v>
      </x:c>
      <x:c r="I1705" s="274" t="n">
        <x:v>0.65</x:v>
      </x:c>
      <x:c r="J1705" s="274" t="n">
        <x:v>488</x:v>
      </x:c>
      <x:c r="K1705" s="274" t="n">
        <x:v>500</x:v>
      </x:c>
      <x:c r="M1705" s="274" t="s">
        <x:v>1700</x:v>
      </x:c>
    </x:row>
    <x:row r="1706" spans="1:14">
      <x:c r="A1706" s="274" t="s">
        <x:v>3401</x:v>
      </x:c>
      <x:c r="B1706" s="274" t="n">
        <x:v>2.08</x:v>
      </x:c>
      <x:c r="C1706" s="274" t="n">
        <x:v>30</x:v>
      </x:c>
      <x:c r="D1706" s="274" t="n">
        <x:v>62</x:v>
      </x:c>
      <x:c r="E1706" s="274" t="n">
        <x:v>0</x:v>
      </x:c>
      <x:c r="F1706" s="274" t="s">
        <x:v>133</x:v>
      </x:c>
      <x:c r="G1706" s="274" t="s">
        <x:v>3402</x:v>
      </x:c>
      <x:c r="I1706" s="274" t="n">
        <x:v>0.8</x:v>
      </x:c>
      <x:c r="J1706" s="274" t="n">
        <x:v>550</x:v>
      </x:c>
      <x:c r="K1706" s="274" t="n">
        <x:v>660</x:v>
      </x:c>
      <x:c r="L1706" s="274" t="n">
        <x:v>560</x:v>
      </x:c>
      <x:c r="M1706" s="274" t="s">
        <x:v>3403</x:v>
      </x:c>
      <x:c r="N1706" s="274" t="s">
        <x:v>3302</x:v>
      </x:c>
    </x:row>
    <x:row r="1707" spans="1:14">
      <x:c r="A1707" s="274" t="s">
        <x:v>3404</x:v>
      </x:c>
      <x:c r="B1707" s="274" t="n">
        <x:v>1.33</x:v>
      </x:c>
      <x:c r="C1707" s="274" t="n">
        <x:v>0</x:v>
      </x:c>
      <x:c r="D1707" s="274" t="n">
        <x:v>0</x:v>
      </x:c>
      <x:c r="F1707" s="274" t="s">
        <x:v>123</x:v>
      </x:c>
      <x:c r="G1707" s="274" t="s">
        <x:v>124</x:v>
      </x:c>
      <x:c r="I1707" s="274" t="n">
        <x:v>1.2</x:v>
      </x:c>
      <x:c r="J1707" s="274" t="n">
        <x:v>120</x:v>
      </x:c>
      <x:c r="K1707" s="274" t="n">
        <x:v>1175</x:v>
      </x:c>
      <x:c r="M1707" s="274" t="s">
        <x:v>2816</x:v>
      </x:c>
      <x:c r="N1707" s="274" t="s">
        <x:v>870</x:v>
      </x:c>
    </x:row>
    <x:row r="1708" spans="1:14">
      <x:c r="A1708" s="274" t="s">
        <x:v>3405</x:v>
      </x:c>
      <x:c r="B1708" s="274" t="n">
        <x:v>1.66</x:v>
      </x:c>
      <x:c r="C1708" s="274" t="n">
        <x:v>0</x:v>
      </x:c>
      <x:c r="D1708" s="274" t="n">
        <x:v>0</x:v>
      </x:c>
      <x:c r="F1708" s="274" t="s">
        <x:v>133</x:v>
      </x:c>
      <x:c r="G1708" s="274" t="s">
        <x:v>134</x:v>
      </x:c>
      <x:c r="I1708" s="274" t="n">
        <x:v>2.6</x:v>
      </x:c>
      <x:c r="J1708" s="274" t="n">
        <x:v>285</x:v>
      </x:c>
      <x:c r="K1708" s="274" t="n">
        <x:v>285</x:v>
      </x:c>
      <x:c r="M1708" s="274" t="s">
        <x:v>3406</x:v>
      </x:c>
      <x:c r="N1708" s="274" t="s">
        <x:v>1279</x:v>
      </x:c>
    </x:row>
    <x:row r="1709" spans="1:14">
      <x:c r="A1709" s="274" t="s">
        <x:v>3407</x:v>
      </x:c>
      <x:c r="B1709" s="274" t="n">
        <x:v>0.51</x:v>
      </x:c>
      <x:c r="C1709" s="274" t="n">
        <x:v>0</x:v>
      </x:c>
      <x:c r="D1709" s="274" t="n">
        <x:v>0</x:v>
      </x:c>
      <x:c r="F1709" s="274" t="s">
        <x:v>133</x:v>
      </x:c>
      <x:c r="G1709" s="274" t="s">
        <x:v>144</x:v>
      </x:c>
      <x:c r="H1709" s="274" t="n">
        <x:v>45</x:v>
      </x:c>
      <x:c r="I1709" s="274" t="n">
        <x:v>1.6</x:v>
      </x:c>
      <x:c r="J1709" s="274" t="n">
        <x:v>281</x:v>
      </x:c>
      <x:c r="K1709" s="274" t="n">
        <x:v>144</x:v>
      </x:c>
      <x:c r="M1709" s="274" t="s">
        <x:v>3408</x:v>
      </x:c>
      <x:c r="N1709" s="274" t="s">
        <x:v>2575</x:v>
      </x:c>
    </x:row>
    <x:row r="1710" spans="1:14">
      <x:c r="A1710" s="274" t="s">
        <x:v>3409</x:v>
      </x:c>
      <x:c r="B1710" s="274" t="n">
        <x:v>1.51</x:v>
      </x:c>
      <x:c r="C1710" s="274" t="n">
        <x:v>0</x:v>
      </x:c>
      <x:c r="D1710" s="274" t="n">
        <x:v>0</x:v>
      </x:c>
      <x:c r="F1710" s="274" t="s">
        <x:v>128</x:v>
      </x:c>
      <x:c r="G1710" s="274" t="s">
        <x:v>3410</x:v>
      </x:c>
      <x:c r="I1710" s="274" t="n">
        <x:v>2</x:v>
      </x:c>
      <x:c r="J1710" s="274" t="n">
        <x:v>310</x:v>
      </x:c>
      <x:c r="K1710" s="274" t="n">
        <x:v>310</x:v>
      </x:c>
    </x:row>
    <x:row r="1711" spans="1:14">
      <x:c r="A1711" s="274" t="s">
        <x:v>3411</x:v>
      </x:c>
      <x:c r="B1711" s="274" t="n">
        <x:v>1.52</x:v>
      </x:c>
      <x:c r="C1711" s="274" t="n">
        <x:v>0</x:v>
      </x:c>
      <x:c r="D1711" s="274" t="n">
        <x:v>0</x:v>
      </x:c>
      <x:c r="F1711" s="274" t="s">
        <x:v>3412</x:v>
      </x:c>
      <x:c r="G1711" s="274" t="s">
        <x:v>3413</x:v>
      </x:c>
      <x:c r="H1711" s="274" t="n">
        <x:v>45</x:v>
      </x:c>
      <x:c r="I1711" s="274" t="n">
        <x:v>2</x:v>
      </x:c>
      <x:c r="J1711" s="274" t="n">
        <x:v>310</x:v>
      </x:c>
      <x:c r="K1711" s="274" t="n">
        <x:v>310</x:v>
      </x:c>
    </x:row>
    <x:row r="1712" spans="1:14">
      <x:c r="A1712" s="274" t="s">
        <x:v>3414</x:v>
      </x:c>
      <x:c r="B1712" s="274" t="n">
        <x:v>0.67</x:v>
      </x:c>
      <x:c r="C1712" s="274" t="n">
        <x:v>0</x:v>
      </x:c>
      <x:c r="D1712" s="274" t="n">
        <x:v>0</x:v>
      </x:c>
      <x:c r="F1712" s="274" t="s">
        <x:v>133</x:v>
      </x:c>
      <x:c r="G1712" s="274" t="s">
        <x:v>136</x:v>
      </x:c>
      <x:c r="H1712" s="274" t="n">
        <x:v>45</x:v>
      </x:c>
      <x:c r="I1712" s="274" t="n">
        <x:v>1.6</x:v>
      </x:c>
      <x:c r="J1712" s="274" t="n">
        <x:v>230</x:v>
      </x:c>
      <x:c r="K1712" s="274" t="n">
        <x:v>230</x:v>
      </x:c>
      <x:c r="M1712" s="274" t="s">
        <x:v>3415</x:v>
      </x:c>
      <x:c r="N1712" s="274" t="s">
        <x:v>2929</x:v>
      </x:c>
    </x:row>
    <x:row r="1713" spans="1:14">
      <x:c r="A1713" s="274" t="s">
        <x:v>3416</x:v>
      </x:c>
      <x:c r="B1713" s="274" t="n">
        <x:v>0.61</x:v>
      </x:c>
      <x:c r="C1713" s="274" t="n">
        <x:v>0</x:v>
      </x:c>
      <x:c r="D1713" s="274" t="n">
        <x:v>0</x:v>
      </x:c>
      <x:c r="F1713" s="274" t="s">
        <x:v>133</x:v>
      </x:c>
      <x:c r="G1713" s="274" t="s">
        <x:v>148</x:v>
      </x:c>
      <x:c r="I1713" s="274" t="n">
        <x:v>2.9</x:v>
      </x:c>
      <x:c r="J1713" s="274" t="n">
        <x:v>135</x:v>
      </x:c>
      <x:c r="K1713" s="274" t="n">
        <x:v>200</x:v>
      </x:c>
      <x:c r="M1713" s="274" t="s">
        <x:v>1440</x:v>
      </x:c>
      <x:c r="N1713" s="274" t="s">
        <x:v>2929</x:v>
      </x:c>
    </x:row>
    <x:row r="1714" spans="1:14">
      <x:c r="A1714" s="274" t="s">
        <x:v>3417</x:v>
      </x:c>
      <x:c r="B1714" s="274" t="n">
        <x:v>1.62</x:v>
      </x:c>
      <x:c r="C1714" s="274" t="n">
        <x:v>0</x:v>
      </x:c>
      <x:c r="D1714" s="274" t="n">
        <x:v>0</x:v>
      </x:c>
      <x:c r="F1714" s="274" t="s">
        <x:v>128</x:v>
      </x:c>
      <x:c r="G1714" s="274" t="s">
        <x:v>3418</x:v>
      </x:c>
      <x:c r="H1714" s="274" t="n">
        <x:v>45</x:v>
      </x:c>
      <x:c r="I1714" s="274" t="n">
        <x:v>2</x:v>
      </x:c>
      <x:c r="J1714" s="274" t="n">
        <x:v>320</x:v>
      </x:c>
      <x:c r="K1714" s="274" t="n">
        <x:v>320</x:v>
      </x:c>
    </x:row>
    <x:row r="1715" spans="1:14">
      <x:c r="A1715" s="274" t="s">
        <x:v>3419</x:v>
      </x:c>
      <x:c r="B1715" s="274" t="n">
        <x:v>1.72</x:v>
      </x:c>
      <x:c r="C1715" s="274" t="n">
        <x:v>0</x:v>
      </x:c>
      <x:c r="D1715" s="274" t="n">
        <x:v>0</x:v>
      </x:c>
      <x:c r="F1715" s="274" t="s">
        <x:v>128</x:v>
      </x:c>
      <x:c r="G1715" s="274" t="s">
        <x:v>3420</x:v>
      </x:c>
      <x:c r="H1715" s="274" t="n">
        <x:v>45</x:v>
      </x:c>
      <x:c r="I1715" s="274" t="n">
        <x:v>2</x:v>
      </x:c>
      <x:c r="J1715" s="274" t="n">
        <x:v>330</x:v>
      </x:c>
      <x:c r="K1715" s="274" t="n">
        <x:v>330</x:v>
      </x:c>
    </x:row>
    <x:row r="1716" spans="1:14">
      <x:c r="A1716" s="274" t="s">
        <x:v>3421</x:v>
      </x:c>
      <x:c r="B1716" s="274" t="n">
        <x:v>10.43</x:v>
      </x:c>
      <x:c r="C1716" s="274" t="n">
        <x:v>0</x:v>
      </x:c>
      <x:c r="D1716" s="274" t="n">
        <x:v>38</x:v>
      </x:c>
      <x:c r="E1716" s="274" t="n">
        <x:v>27</x:v>
      </x:c>
      <x:c r="F1716" s="274" t="s">
        <x:v>1980</x:v>
      </x:c>
      <x:c r="G1716" s="274" t="s">
        <x:v>1985</x:v>
      </x:c>
      <x:c r="I1716" s="274" t="n">
        <x:v>0.75</x:v>
      </x:c>
      <x:c r="J1716" s="274" t="n">
        <x:v>1125</x:v>
      </x:c>
      <x:c r="K1716" s="274" t="n">
        <x:v>1575</x:v>
      </x:c>
      <x:c r="M1716" s="274" t="s">
        <x:v>1986</x:v>
      </x:c>
      <x:c r="N1716" s="274" t="s">
        <x:v>1983</x:v>
      </x:c>
    </x:row>
    <x:row r="1717" spans="1:14">
      <x:c r="A1717" s="274" t="s">
        <x:v>3422</x:v>
      </x:c>
      <x:c r="B1717" s="274" t="n">
        <x:v>1.34</x:v>
      </x:c>
      <x:c r="C1717" s="274" t="n">
        <x:v>0</x:v>
      </x:c>
      <x:c r="D1717" s="274" t="n">
        <x:v>20</x:v>
      </x:c>
      <x:c r="E1717" s="274" t="n">
        <x:v>20</x:v>
      </x:c>
      <x:c r="F1717" s="274" t="s">
        <x:v>1980</x:v>
      </x:c>
      <x:c r="G1717" s="274" t="s">
        <x:v>1985</x:v>
      </x:c>
      <x:c r="I1717" s="274" t="n">
        <x:v>0.75</x:v>
      </x:c>
      <x:c r="J1717" s="274" t="n">
        <x:v>190</x:v>
      </x:c>
      <x:c r="K1717" s="274" t="n">
        <x:v>1200</x:v>
      </x:c>
      <x:c r="M1717" s="274" t="s">
        <x:v>1986</x:v>
      </x:c>
    </x:row>
    <x:row r="1718" spans="1:14">
      <x:c r="A1718" s="274" t="s">
        <x:v>3423</x:v>
      </x:c>
      <x:c r="B1718" s="274" t="n">
        <x:v>0.41</x:v>
      </x:c>
      <x:c r="C1718" s="274" t="n">
        <x:v>0</x:v>
      </x:c>
      <x:c r="D1718" s="274" t="n">
        <x:v>0</x:v>
      </x:c>
      <x:c r="F1718" s="274" t="s">
        <x:v>133</x:v>
      </x:c>
      <x:c r="G1718" s="274" t="s">
        <x:v>3424</x:v>
      </x:c>
      <x:c r="I1718" s="274" t="n">
        <x:v>0.8</x:v>
      </x:c>
      <x:c r="J1718" s="274" t="n">
        <x:v>254</x:v>
      </x:c>
      <x:c r="K1718" s="274" t="n">
        <x:v>254</x:v>
      </x:c>
      <x:c r="M1718" s="274" t="s">
        <x:v>3425</x:v>
      </x:c>
      <x:c r="N1718" s="274" t="s">
        <x:v>3392</x:v>
      </x:c>
    </x:row>
    <x:row r="1719" spans="1:14">
      <x:c r="A1719" s="274" t="s">
        <x:v>3426</x:v>
      </x:c>
      <x:c r="B1719" s="274" t="n">
        <x:v>1.15</x:v>
      </x:c>
      <x:c r="C1719" s="274" t="n">
        <x:v>0</x:v>
      </x:c>
      <x:c r="D1719" s="274" t="n">
        <x:v>0</x:v>
      </x:c>
      <x:c r="F1719" s="274" t="s">
        <x:v>333</x:v>
      </x:c>
      <x:c r="G1719" s="274" t="s">
        <x:v>209</x:v>
      </x:c>
      <x:c r="I1719" s="274" t="n">
        <x:v>1</x:v>
      </x:c>
      <x:c r="J1719" s="274" t="n">
        <x:v>280</x:v>
      </x:c>
      <x:c r="K1719" s="274" t="n">
        <x:v>525</x:v>
      </x:c>
      <x:c r="M1719" s="274" t="s">
        <x:v>3406</x:v>
      </x:c>
      <x:c r="N1719" s="274" t="s">
        <x:v>1279</x:v>
      </x:c>
    </x:row>
    <x:row r="1720" spans="1:14">
      <x:c r="A1720" s="274" t="s">
        <x:v>3427</x:v>
      </x:c>
      <x:c r="B1720" s="274" t="n">
        <x:v>2.68</x:v>
      </x:c>
      <x:c r="C1720" s="274" t="n">
        <x:v>0</x:v>
      </x:c>
      <x:c r="D1720" s="274" t="n">
        <x:v>0</x:v>
      </x:c>
      <x:c r="F1720" s="274" t="s">
        <x:v>133</x:v>
      </x:c>
      <x:c r="G1720" s="274" t="s">
        <x:v>134</x:v>
      </x:c>
      <x:c r="I1720" s="274" t="n">
        <x:v>2.6</x:v>
      </x:c>
      <x:c r="J1720" s="274" t="n">
        <x:v>175</x:v>
      </x:c>
      <x:c r="K1720" s="274" t="n">
        <x:v>750</x:v>
      </x:c>
      <x:c r="M1720" s="274" t="s">
        <x:v>3428</x:v>
      </x:c>
      <x:c r="N1720" s="274" t="s">
        <x:v>3429</x:v>
      </x:c>
    </x:row>
    <x:row r="1721" spans="1:14">
      <x:c r="A1721" s="274" t="s">
        <x:v>3430</x:v>
      </x:c>
      <x:c r="B1721" s="274" t="n">
        <x:v>1.92</x:v>
      </x:c>
      <x:c r="C1721" s="274" t="n">
        <x:v>0</x:v>
      </x:c>
      <x:c r="D1721" s="274" t="n">
        <x:v>35</x:v>
      </x:c>
      <x:c r="E1721" s="274" t="n">
        <x:v>33</x:v>
      </x:c>
      <x:c r="F1721" s="274" t="s">
        <x:v>128</x:v>
      </x:c>
      <x:c r="G1721" s="274" t="s">
        <x:v>496</x:v>
      </x:c>
      <x:c r="H1721" s="274" t="n">
        <x:v>45</x:v>
      </x:c>
      <x:c r="I1721" s="274" t="n">
        <x:v>2.9</x:v>
      </x:c>
      <x:c r="J1721" s="274" t="n">
        <x:v>140</x:v>
      </x:c>
      <x:c r="K1721" s="274" t="n">
        <x:v>600</x:v>
      </x:c>
      <x:c r="M1721" s="274" t="s">
        <x:v>1258</x:v>
      </x:c>
    </x:row>
    <x:row r="1722" spans="1:14">
      <x:c r="A1722" s="274" t="s">
        <x:v>3431</x:v>
      </x:c>
      <x:c r="B1722" s="274" t="n">
        <x:v>18.65</x:v>
      </x:c>
      <x:c r="C1722" s="274" t="n">
        <x:v>0</x:v>
      </x:c>
      <x:c r="D1722" s="274" t="n">
        <x:v>0</x:v>
      </x:c>
      <x:c r="E1722" s="274" t="n">
        <x:v>0</x:v>
      </x:c>
      <x:c r="F1722" s="274" t="s">
        <x:v>333</x:v>
      </x:c>
      <x:c r="G1722" s="274" t="s">
        <x:v>473</x:v>
      </x:c>
      <x:c r="I1722" s="274" t="n">
        <x:v>0.75</x:v>
      </x:c>
      <x:c r="J1722" s="274" t="n">
        <x:v>1230</x:v>
      </x:c>
      <x:c r="K1722" s="274" t="n">
        <x:v>2575</x:v>
      </x:c>
      <x:c r="M1722" s="274" t="s">
        <x:v>2280</x:v>
      </x:c>
      <x:c r="N1722" s="274" t="s">
        <x:v>2281</x:v>
      </x:c>
    </x:row>
    <x:row r="1723" spans="1:14">
      <x:c r="A1723" s="274" t="s">
        <x:v>3432</x:v>
      </x:c>
      <x:c r="B1723" s="274" t="n">
        <x:v>7.19</x:v>
      </x:c>
      <x:c r="C1723" s="274" t="n">
        <x:v>0</x:v>
      </x:c>
      <x:c r="D1723" s="274" t="n">
        <x:v>0</x:v>
      </x:c>
      <x:c r="F1723" s="274" t="s">
        <x:v>184</x:v>
      </x:c>
      <x:c r="G1723" s="274" t="s">
        <x:v>881</x:v>
      </x:c>
      <x:c r="H1723" s="274" t="n">
        <x:v>45</x:v>
      </x:c>
      <x:c r="I1723" s="274" t="n">
        <x:v>1.4</x:v>
      </x:c>
      <x:c r="J1723" s="274" t="n">
        <x:v>1364</x:v>
      </x:c>
      <x:c r="K1723" s="274" t="n">
        <x:v>476</x:v>
      </x:c>
      <x:c r="M1723" s="274" t="s">
        <x:v>1896</x:v>
      </x:c>
      <x:c r="N1723" s="274" t="s">
        <x:v>870</x:v>
      </x:c>
    </x:row>
    <x:row r="1724" spans="1:14">
      <x:c r="A1724" s="274" t="s">
        <x:v>3433</x:v>
      </x:c>
      <x:c r="B1724" s="274" t="n">
        <x:v>0.52</x:v>
      </x:c>
      <x:c r="C1724" s="274" t="n">
        <x:v>0</x:v>
      </x:c>
      <x:c r="D1724" s="274" t="n">
        <x:v>0</x:v>
      </x:c>
      <x:c r="F1724" s="274" t="s">
        <x:v>333</x:v>
      </x:c>
      <x:c r="G1724" s="274" t="s">
        <x:v>2157</x:v>
      </x:c>
      <x:c r="I1724" s="274" t="n">
        <x:v>0.6</x:v>
      </x:c>
      <x:c r="J1724" s="274" t="n">
        <x:v>890</x:v>
      </x:c>
      <x:c r="K1724" s="274" t="n">
        <x:v>125</x:v>
      </x:c>
      <x:c r="M1724" s="274" t="s">
        <x:v>3434</x:v>
      </x:c>
      <x:c r="N1724" s="274" t="s">
        <x:v>3435</x:v>
      </x:c>
    </x:row>
    <x:row r="1725" spans="1:14">
      <x:c r="A1725" s="274" t="s">
        <x:v>3436</x:v>
      </x:c>
      <x:c r="B1725" s="274" t="n">
        <x:v>2.61</x:v>
      </x:c>
      <x:c r="C1725" s="274" t="n">
        <x:v>0</x:v>
      </x:c>
      <x:c r="D1725" s="274" t="n">
        <x:v>37</x:v>
      </x:c>
      <x:c r="E1725" s="274" t="n">
        <x:v>0</x:v>
      </x:c>
      <x:c r="F1725" s="274" t="s">
        <x:v>133</x:v>
      </x:c>
      <x:c r="G1725" s="274" t="s">
        <x:v>3304</x:v>
      </x:c>
      <x:c r="I1725" s="274" t="n">
        <x:v>0.75</x:v>
      </x:c>
      <x:c r="J1725" s="274" t="n">
        <x:v>745</x:v>
      </x:c>
      <x:c r="K1725" s="274" t="n">
        <x:v>750</x:v>
      </x:c>
      <x:c r="L1725" s="274" t="n">
        <x:v>440</x:v>
      </x:c>
      <x:c r="M1725" s="274" t="s">
        <x:v>3437</x:v>
      </x:c>
      <x:c r="N1725" s="274" t="s">
        <x:v>3438</x:v>
      </x:c>
    </x:row>
    <x:row r="1726" spans="1:14">
      <x:c r="A1726" s="274" t="s">
        <x:v>3439</x:v>
      </x:c>
      <x:c r="B1726" s="274" t="n">
        <x:v>5.67</x:v>
      </x:c>
      <x:c r="C1726" s="274" t="n">
        <x:v>0</x:v>
      </x:c>
      <x:c r="D1726" s="274" t="n">
        <x:v>40</x:v>
      </x:c>
      <x:c r="E1726" s="274" t="n">
        <x:v>40</x:v>
      </x:c>
      <x:c r="F1726" s="274" t="s">
        <x:v>133</x:v>
      </x:c>
      <x:c r="G1726" s="274" t="s">
        <x:v>136</x:v>
      </x:c>
      <x:c r="H1726" s="274" t="n">
        <x:v>45</x:v>
      </x:c>
      <x:c r="I1726" s="274" t="n">
        <x:v>1.2</x:v>
      </x:c>
      <x:c r="J1726" s="274" t="n">
        <x:v>925</x:v>
      </x:c>
      <x:c r="K1726" s="274" t="n">
        <x:v>645</x:v>
      </x:c>
      <x:c r="M1726" s="274" t="s">
        <x:v>3440</x:v>
      </x:c>
      <x:c r="N1726" s="274" t="s">
        <x:v>155</x:v>
      </x:c>
    </x:row>
    <x:row r="1727" spans="1:14">
      <x:c r="A1727" s="274" t="s">
        <x:v>3441</x:v>
      </x:c>
      <x:c r="B1727" s="274" t="n">
        <x:v>0.38</x:v>
      </x:c>
      <x:c r="C1727" s="274" t="n">
        <x:v>0</x:v>
      </x:c>
      <x:c r="D1727" s="274" t="n">
        <x:v>0</x:v>
      </x:c>
      <x:c r="F1727" s="274" t="s">
        <x:v>184</x:v>
      </x:c>
      <x:c r="G1727" s="274" t="s">
        <x:v>129</x:v>
      </x:c>
      <x:c r="H1727" s="274" t="n">
        <x:v>45</x:v>
      </x:c>
      <x:c r="I1727" s="274" t="n">
        <x:v>2</x:v>
      </x:c>
      <x:c r="J1727" s="274" t="n">
        <x:v>40</x:v>
      </x:c>
      <x:c r="K1727" s="274" t="n">
        <x:v>603</x:v>
      </x:c>
      <x:c r="M1727" s="274" t="s">
        <x:v>577</x:v>
      </x:c>
      <x:c r="N1727" s="274" t="s">
        <x:v>299</x:v>
      </x:c>
    </x:row>
    <x:row r="1728" spans="1:14">
      <x:c r="A1728" s="274" t="s">
        <x:v>3442</x:v>
      </x:c>
      <x:c r="B1728" s="274" t="n">
        <x:v>3.1</x:v>
      </x:c>
      <x:c r="C1728" s="274" t="n">
        <x:v>0</x:v>
      </x:c>
      <x:c r="D1728" s="274" t="n">
        <x:v>33</x:v>
      </x:c>
      <x:c r="E1728" s="274" t="n">
        <x:v>40</x:v>
      </x:c>
      <x:c r="F1728" s="274" t="s">
        <x:v>311</x:v>
      </x:c>
      <x:c r="G1728" s="274" t="s">
        <x:v>828</x:v>
      </x:c>
      <x:c r="H1728" s="274" t="s">
        <x:v>837</x:v>
      </x:c>
      <x:c r="I1728" s="274" t="n">
        <x:v>0.8</x:v>
      </x:c>
      <x:c r="J1728" s="274" t="n">
        <x:v>600</x:v>
      </x:c>
      <x:c r="K1728" s="274" t="n">
        <x:v>820</x:v>
      </x:c>
      <x:c r="M1728" s="274" t="s">
        <x:v>3166</x:v>
      </x:c>
      <x:c r="N1728" s="274" t="s">
        <x:v>3167</x:v>
      </x:c>
    </x:row>
    <x:row r="1729" spans="1:14">
      <x:c r="A1729" s="274" t="s">
        <x:v>3443</x:v>
      </x:c>
      <x:c r="B1729" s="274" t="n">
        <x:v>0.29</x:v>
      </x:c>
      <x:c r="C1729" s="274" t="n">
        <x:v>0</x:v>
      </x:c>
      <x:c r="D1729" s="274" t="n">
        <x:v>0</x:v>
      </x:c>
      <x:c r="F1729" s="274" t="s">
        <x:v>333</x:v>
      </x:c>
      <x:c r="G1729" s="274" t="s">
        <x:v>209</x:v>
      </x:c>
      <x:c r="I1729" s="274" t="n">
        <x:v>1</x:v>
      </x:c>
      <x:c r="J1729" s="274" t="n">
        <x:v>104</x:v>
      </x:c>
      <x:c r="K1729" s="274" t="n">
        <x:v>356</x:v>
      </x:c>
      <x:c r="M1729" s="274" t="s">
        <x:v>3444</x:v>
      </x:c>
      <x:c r="N1729" s="274" t="s">
        <x:v>847</x:v>
      </x:c>
    </x:row>
    <x:row r="1730" spans="1:14">
      <x:c r="A1730" s="274" t="s">
        <x:v>3445</x:v>
      </x:c>
      <x:c r="B1730" s="274" t="n">
        <x:v>4.11</x:v>
      </x:c>
      <x:c r="C1730" s="274" t="n">
        <x:v>30</x:v>
      </x:c>
      <x:c r="D1730" s="274" t="n">
        <x:v>62</x:v>
      </x:c>
      <x:c r="E1730" s="274" t="n">
        <x:v>0</x:v>
      </x:c>
      <x:c r="F1730" s="274" t="s">
        <x:v>133</x:v>
      </x:c>
      <x:c r="G1730" s="274" t="s">
        <x:v>3402</x:v>
      </x:c>
      <x:c r="I1730" s="274" t="n">
        <x:v>0.8</x:v>
      </x:c>
      <x:c r="J1730" s="274" t="n">
        <x:v>765</x:v>
      </x:c>
      <x:c r="K1730" s="274" t="n">
        <x:v>830</x:v>
      </x:c>
      <x:c r="L1730" s="274" t="n">
        <x:v>880</x:v>
      </x:c>
      <x:c r="M1730" s="274" t="s">
        <x:v>3446</x:v>
      </x:c>
    </x:row>
    <x:row r="1731" spans="1:14">
      <x:c r="A1731" s="274" t="s">
        <x:v>3447</x:v>
      </x:c>
      <x:c r="B1731" s="274" t="n">
        <x:v>2.24</x:v>
      </x:c>
      <x:c r="C1731" s="274" t="n">
        <x:v>20</x:v>
      </x:c>
      <x:c r="D1731" s="274" t="n">
        <x:v>35</x:v>
      </x:c>
      <x:c r="E1731" s="274" t="n">
        <x:v>24</x:v>
      </x:c>
      <x:c r="F1731" s="274" t="s">
        <x:v>184</x:v>
      </x:c>
      <x:c r="G1731" s="274" t="s">
        <x:v>129</x:v>
      </x:c>
      <x:c r="H1731" s="274" t="n">
        <x:v>45</x:v>
      </x:c>
      <x:c r="I1731" s="274" t="n">
        <x:v>1</x:v>
      </x:c>
      <x:c r="J1731" s="274" t="n">
        <x:v>360</x:v>
      </x:c>
      <x:c r="K1731" s="274" t="n">
        <x:v>785</x:v>
      </x:c>
      <x:c r="M1731" s="274" t="s">
        <x:v>3231</x:v>
      </x:c>
      <x:c r="N1731" s="274" t="s">
        <x:v>299</x:v>
      </x:c>
    </x:row>
    <x:row r="1732" spans="1:14">
      <x:c r="A1732" s="274" t="s">
        <x:v>3448</x:v>
      </x:c>
      <x:c r="B1732" s="274" t="n">
        <x:v>9.58</x:v>
      </x:c>
      <x:c r="C1732" s="274" t="n">
        <x:v>22</x:v>
      </x:c>
      <x:c r="D1732" s="274" t="n">
        <x:v>30</x:v>
      </x:c>
      <x:c r="E1732" s="274" t="n">
        <x:v>0</x:v>
      </x:c>
      <x:c r="F1732" s="274" t="s">
        <x:v>123</x:v>
      </x:c>
      <x:c r="G1732" s="274" t="s">
        <x:v>906</x:v>
      </x:c>
      <x:c r="H1732" s="274" t="s">
        <x:v>907</x:v>
      </x:c>
      <x:c r="I1732" s="274" t="n">
        <x:v>0.65</x:v>
      </x:c>
      <x:c r="J1732" s="274" t="n">
        <x:v>887</x:v>
      </x:c>
      <x:c r="K1732" s="274" t="n">
        <x:v>1987.7</x:v>
      </x:c>
      <x:c r="L1732" s="274" t="n">
        <x:v>2174.2</x:v>
      </x:c>
      <x:c r="M1732" s="274" t="s">
        <x:v>908</x:v>
      </x:c>
      <x:c r="N1732" s="274" t="s">
        <x:v>870</x:v>
      </x:c>
    </x:row>
    <x:row r="1733" spans="1:14">
      <x:c r="A1733" s="274" t="s">
        <x:v>3449</x:v>
      </x:c>
      <x:c r="B1733" s="274" t="n">
        <x:v>2.53</x:v>
      </x:c>
      <x:c r="C1733" s="274" t="n">
        <x:v>0</x:v>
      </x:c>
      <x:c r="D1733" s="274" t="n">
        <x:v>0</x:v>
      </x:c>
      <x:c r="F1733" s="274" t="s">
        <x:v>333</x:v>
      </x:c>
      <x:c r="G1733" s="274" t="s">
        <x:v>334</x:v>
      </x:c>
      <x:c r="I1733" s="274" t="n">
        <x:v>1.4</x:v>
      </x:c>
      <x:c r="J1733" s="274" t="n">
        <x:v>230</x:v>
      </x:c>
      <x:c r="K1733" s="274" t="n">
        <x:v>1000</x:v>
      </x:c>
      <x:c r="M1733" s="274" t="s">
        <x:v>3450</x:v>
      </x:c>
      <x:c r="N1733" s="274" t="s">
        <x:v>299</x:v>
      </x:c>
    </x:row>
    <x:row r="1734" spans="1:14">
      <x:c r="A1734" s="274" t="s">
        <x:v>3451</x:v>
      </x:c>
      <x:c r="B1734" s="274" t="n">
        <x:v>4.44</x:v>
      </x:c>
      <x:c r="C1734" s="274" t="n">
        <x:v>0</x:v>
      </x:c>
      <x:c r="D1734" s="274" t="n">
        <x:v>0</x:v>
      </x:c>
      <x:c r="F1734" s="274" t="s">
        <x:v>133</x:v>
      </x:c>
      <x:c r="G1734" s="274" t="s">
        <x:v>136</x:v>
      </x:c>
      <x:c r="H1734" s="274" t="n">
        <x:v>45</x:v>
      </x:c>
      <x:c r="I1734" s="274" t="n">
        <x:v>1.6</x:v>
      </x:c>
      <x:c r="J1734" s="274" t="n">
        <x:v>233.4</x:v>
      </x:c>
      <x:c r="K1734" s="274" t="n">
        <x:v>1500</x:v>
      </x:c>
      <x:c r="M1734" s="274" t="s">
        <x:v>3452</x:v>
      </x:c>
      <x:c r="N1734" s="274" t="s">
        <x:v>155</x:v>
      </x:c>
    </x:row>
    <x:row r="1735" spans="1:14">
      <x:c r="A1735" s="274" t="s">
        <x:v>3453</x:v>
      </x:c>
      <x:c r="B1735" s="274" t="n">
        <x:v>0.75</x:v>
      </x:c>
      <x:c r="C1735" s="274" t="n">
        <x:v>30</x:v>
      </x:c>
      <x:c r="D1735" s="274" t="n">
        <x:v>35</x:v>
      </x:c>
      <x:c r="E1735" s="274" t="n">
        <x:v>33</x:v>
      </x:c>
      <x:c r="F1735" s="274" t="s">
        <x:v>133</x:v>
      </x:c>
      <x:c r="G1735" s="274" t="s">
        <x:v>124</x:v>
      </x:c>
      <x:c r="I1735" s="274" t="n">
        <x:v>1.2</x:v>
      </x:c>
      <x:c r="J1735" s="274" t="n">
        <x:v>145</x:v>
      </x:c>
      <x:c r="K1735" s="274" t="n">
        <x:v>549</x:v>
      </x:c>
      <x:c r="M1735" s="274" t="s">
        <x:v>756</x:v>
      </x:c>
      <x:c r="N1735" s="274" t="s">
        <x:v>155</x:v>
      </x:c>
    </x:row>
    <x:row r="1736" spans="1:14">
      <x:c r="A1736" s="274" t="s">
        <x:v>3454</x:v>
      </x:c>
      <x:c r="B1736" s="274" t="n">
        <x:v>2.25</x:v>
      </x:c>
      <x:c r="C1736" s="274" t="n">
        <x:v>0</x:v>
      </x:c>
      <x:c r="D1736" s="274" t="n">
        <x:v>24</x:v>
      </x:c>
      <x:c r="E1736" s="274" t="n">
        <x:v>21</x:v>
      </x:c>
      <x:c r="F1736" s="274" t="s">
        <x:v>133</x:v>
      </x:c>
      <x:c r="G1736" s="274" t="s">
        <x:v>209</x:v>
      </x:c>
      <x:c r="I1736" s="274" t="n">
        <x:v>0.8</x:v>
      </x:c>
      <x:c r="J1736" s="274" t="n">
        <x:v>416</x:v>
      </x:c>
      <x:c r="K1736" s="274" t="n">
        <x:v>860</x:v>
      </x:c>
      <x:c r="M1736" s="274" t="s">
        <x:v>3455</x:v>
      </x:c>
      <x:c r="N1736" s="274" t="s">
        <x:v>131</x:v>
      </x:c>
    </x:row>
    <x:row r="1737" spans="1:14">
      <x:c r="A1737" s="274" t="s">
        <x:v>3456</x:v>
      </x:c>
      <x:c r="B1737" s="274" t="n">
        <x:v>8.6</x:v>
      </x:c>
      <x:c r="C1737" s="274" t="n">
        <x:v>25</x:v>
      </x:c>
      <x:c r="D1737" s="274" t="n">
        <x:v>30</x:v>
      </x:c>
      <x:c r="E1737" s="274" t="n">
        <x:v>0</x:v>
      </x:c>
      <x:c r="F1737" s="274" t="s">
        <x:v>133</x:v>
      </x:c>
      <x:c r="G1737" s="274" t="s">
        <x:v>136</x:v>
      </x:c>
      <x:c r="H1737" s="274" t="n">
        <x:v>45</x:v>
      </x:c>
      <x:c r="I1737" s="274" t="n">
        <x:v>0.6</x:v>
      </x:c>
      <x:c r="J1737" s="274" t="n">
        <x:v>1050</x:v>
      </x:c>
      <x:c r="K1737" s="274" t="n">
        <x:v>1996.7</x:v>
      </x:c>
      <x:c r="L1737" s="274" t="n">
        <x:v>1415.3</x:v>
      </x:c>
      <x:c r="M1737" s="274" t="s">
        <x:v>3457</x:v>
      </x:c>
      <x:c r="N1737" s="274" t="s">
        <x:v>155</x:v>
      </x:c>
    </x:row>
    <x:row r="1738" spans="1:14">
      <x:c r="A1738" s="274" t="s">
        <x:v>3458</x:v>
      </x:c>
      <x:c r="B1738" s="274" t="n">
        <x:v>1.3</x:v>
      </x:c>
      <x:c r="C1738" s="274" t="n">
        <x:v>26</x:v>
      </x:c>
      <x:c r="D1738" s="274" t="n">
        <x:v>36</x:v>
      </x:c>
      <x:c r="E1738" s="274" t="n">
        <x:v>33</x:v>
      </x:c>
      <x:c r="F1738" s="274" t="s">
        <x:v>333</x:v>
      </x:c>
      <x:c r="G1738" s="274" t="s">
        <x:v>153</x:v>
      </x:c>
      <x:c r="I1738" s="274" t="n">
        <x:v>1</x:v>
      </x:c>
      <x:c r="J1738" s="274" t="n">
        <x:v>360</x:v>
      </x:c>
      <x:c r="K1738" s="274" t="n">
        <x:v>460</x:v>
      </x:c>
      <x:c r="M1738" s="274" t="s">
        <x:v>2372</x:v>
      </x:c>
      <x:c r="N1738" s="274" t="s">
        <x:v>155</x:v>
      </x:c>
    </x:row>
    <x:row r="1739" spans="1:14">
      <x:c r="A1739" s="274" t="s">
        <x:v>3459</x:v>
      </x:c>
      <x:c r="B1739" s="274" t="n">
        <x:v>1.29</x:v>
      </x:c>
      <x:c r="C1739" s="274" t="n">
        <x:v>0</x:v>
      </x:c>
      <x:c r="D1739" s="274" t="n">
        <x:v>0</x:v>
      </x:c>
      <x:c r="F1739" s="274" t="s">
        <x:v>133</x:v>
      </x:c>
      <x:c r="G1739" s="274" t="s">
        <x:v>136</x:v>
      </x:c>
      <x:c r="H1739" s="274" t="n">
        <x:v>45</x:v>
      </x:c>
      <x:c r="I1739" s="274" t="n">
        <x:v>1.2</x:v>
      </x:c>
      <x:c r="J1739" s="274" t="n">
        <x:v>900</x:v>
      </x:c>
      <x:c r="K1739" s="274" t="n">
        <x:v>151</x:v>
      </x:c>
      <x:c r="M1739" s="274" t="s">
        <x:v>3460</x:v>
      </x:c>
      <x:c r="N1739" s="274" t="s">
        <x:v>131</x:v>
      </x:c>
    </x:row>
    <x:row r="1740" spans="1:14">
      <x:c r="A1740" s="274" t="s">
        <x:v>3461</x:v>
      </x:c>
      <x:c r="B1740" s="274" t="n">
        <x:v>4.25</x:v>
      </x:c>
      <x:c r="C1740" s="274" t="n">
        <x:v>0</x:v>
      </x:c>
      <x:c r="D1740" s="274" t="n">
        <x:v>36</x:v>
      </x:c>
      <x:c r="E1740" s="274" t="n">
        <x:v>33</x:v>
      </x:c>
      <x:c r="F1740" s="274" t="s">
        <x:v>133</x:v>
      </x:c>
      <x:c r="G1740" s="274" t="s">
        <x:v>134</x:v>
      </x:c>
      <x:c r="I1740" s="274" t="n">
        <x:v>3.2</x:v>
      </x:c>
      <x:c r="J1740" s="274" t="n">
        <x:v>512</x:v>
      </x:c>
      <x:c r="K1740" s="274" t="n">
        <x:v>330</x:v>
      </x:c>
      <x:c r="M1740" s="274" t="s">
        <x:v>3462</x:v>
      </x:c>
      <x:c r="N1740" s="274" t="s">
        <x:v>155</x:v>
      </x:c>
    </x:row>
    <x:row r="1741" spans="1:14">
      <x:c r="A1741" s="274" t="s">
        <x:v>3463</x:v>
      </x:c>
      <x:c r="B1741" s="274" t="n">
        <x:v>1.33</x:v>
      </x:c>
      <x:c r="C1741" s="274" t="n">
        <x:v>0</x:v>
      </x:c>
      <x:c r="D1741" s="274" t="n">
        <x:v>35</x:v>
      </x:c>
      <x:c r="E1741" s="274" t="n">
        <x:v>33</x:v>
      </x:c>
      <x:c r="F1741" s="274" t="s">
        <x:v>133</x:v>
      </x:c>
      <x:c r="G1741" s="274" t="s">
        <x:v>148</x:v>
      </x:c>
      <x:c r="I1741" s="274" t="n">
        <x:v>3.2</x:v>
      </x:c>
      <x:c r="J1741" s="274" t="n">
        <x:v>88</x:v>
      </x:c>
      <x:c r="K1741" s="274" t="n">
        <x:v>603</x:v>
      </x:c>
      <x:c r="M1741" s="274" t="s">
        <x:v>199</x:v>
      </x:c>
      <x:c r="N1741" s="274" t="s">
        <x:v>155</x:v>
      </x:c>
    </x:row>
    <x:row r="1742" spans="1:14">
      <x:c r="A1742" s="274" t="s">
        <x:v>3464</x:v>
      </x:c>
      <x:c r="B1742" s="274" t="n">
        <x:v>1.93</x:v>
      </x:c>
      <x:c r="C1742" s="274" t="n">
        <x:v>19</x:v>
      </x:c>
      <x:c r="D1742" s="274" t="n">
        <x:v>28</x:v>
      </x:c>
      <x:c r="E1742" s="274" t="n">
        <x:v>26</x:v>
      </x:c>
      <x:c r="F1742" s="274" t="s">
        <x:v>123</x:v>
      </x:c>
      <x:c r="G1742" s="274" t="s">
        <x:v>148</x:v>
      </x:c>
      <x:c r="I1742" s="274" t="n">
        <x:v>1.6</x:v>
      </x:c>
      <x:c r="J1742" s="274" t="n">
        <x:v>193</x:v>
      </x:c>
      <x:c r="K1742" s="274" t="n">
        <x:v>795</x:v>
      </x:c>
      <x:c r="M1742" s="274" t="s">
        <x:v>3465</x:v>
      </x:c>
      <x:c r="N1742" s="274" t="s">
        <x:v>155</x:v>
      </x:c>
    </x:row>
    <x:row r="1743" spans="1:14">
      <x:c r="A1743" s="274" t="s">
        <x:v>3466</x:v>
      </x:c>
      <x:c r="B1743" s="274" t="n">
        <x:v>2.7</x:v>
      </x:c>
      <x:c r="C1743" s="274" t="n">
        <x:v>0</x:v>
      </x:c>
      <x:c r="D1743" s="274" t="n">
        <x:v>36</x:v>
      </x:c>
      <x:c r="E1743" s="274" t="n">
        <x:v>33</x:v>
      </x:c>
      <x:c r="F1743" s="274" t="s">
        <x:v>133</x:v>
      </x:c>
      <x:c r="G1743" s="274" t="s">
        <x:v>134</x:v>
      </x:c>
      <x:c r="I1743" s="274" t="n">
        <x:v>2.9</x:v>
      </x:c>
      <x:c r="J1743" s="274" t="n">
        <x:v>300</x:v>
      </x:c>
      <x:c r="K1743" s="274" t="n">
        <x:v>395</x:v>
      </x:c>
      <x:c r="M1743" s="274" t="s">
        <x:v>3226</x:v>
      </x:c>
      <x:c r="N1743" s="274" t="s">
        <x:v>155</x:v>
      </x:c>
    </x:row>
    <x:row r="1744" spans="1:14">
      <x:c r="A1744" s="274" t="s">
        <x:v>3467</x:v>
      </x:c>
      <x:c r="B1744" s="274" t="n">
        <x:v>8.39</x:v>
      </x:c>
      <x:c r="C1744" s="274" t="n">
        <x:v>0</x:v>
      </x:c>
      <x:c r="D1744" s="274" t="n">
        <x:v>35</x:v>
      </x:c>
      <x:c r="E1744" s="274" t="n">
        <x:v>33</x:v>
      </x:c>
      <x:c r="F1744" s="274" t="s">
        <x:v>133</x:v>
      </x:c>
      <x:c r="G1744" s="274" t="s">
        <x:v>134</x:v>
      </x:c>
      <x:c r="I1744" s="274" t="n">
        <x:v>3.2</x:v>
      </x:c>
      <x:c r="J1744" s="274" t="n">
        <x:v>583</x:v>
      </x:c>
      <x:c r="K1744" s="274" t="n">
        <x:v>573</x:v>
      </x:c>
      <x:c r="M1744" s="274" t="s">
        <x:v>3229</x:v>
      </x:c>
      <x:c r="N1744" s="274" t="s">
        <x:v>155</x:v>
      </x:c>
    </x:row>
    <x:row r="1745" spans="1:14">
      <x:c r="A1745" s="274" t="s">
        <x:v>3468</x:v>
      </x:c>
      <x:c r="B1745" s="274" t="n">
        <x:v>0.67</x:v>
      </x:c>
      <x:c r="C1745" s="274" t="n">
        <x:v>0</x:v>
      </x:c>
      <x:c r="D1745" s="274" t="n">
        <x:v>0</x:v>
      </x:c>
      <x:c r="F1745" s="274" t="s">
        <x:v>333</x:v>
      </x:c>
      <x:c r="G1745" s="274" t="s">
        <x:v>209</x:v>
      </x:c>
      <x:c r="I1745" s="274" t="n">
        <x:v>1.4</x:v>
      </x:c>
      <x:c r="J1745" s="274" t="n">
        <x:v>61</x:v>
      </x:c>
      <x:c r="K1745" s="274" t="n">
        <x:v>1000</x:v>
      </x:c>
      <x:c r="M1745" s="274" t="s">
        <x:v>3469</x:v>
      </x:c>
      <x:c r="N1745" s="274" t="s">
        <x:v>870</x:v>
      </x:c>
    </x:row>
    <x:row r="1746" spans="1:14">
      <x:c r="A1746" s="274" t="s">
        <x:v>3470</x:v>
      </x:c>
      <x:c r="B1746" s="274" t="n">
        <x:v>4.28</x:v>
      </x:c>
      <x:c r="C1746" s="274" t="n">
        <x:v>0</x:v>
      </x:c>
      <x:c r="D1746" s="274" t="n">
        <x:v>32</x:v>
      </x:c>
      <x:c r="E1746" s="274" t="n">
        <x:v>31</x:v>
      </x:c>
      <x:c r="F1746" s="274" t="s">
        <x:v>1980</x:v>
      </x:c>
      <x:c r="G1746" s="274" t="s">
        <x:v>1981</x:v>
      </x:c>
      <x:c r="I1746" s="274" t="n">
        <x:v>0.8</x:v>
      </x:c>
      <x:c r="J1746" s="274" t="n">
        <x:v>695</x:v>
      </x:c>
      <x:c r="K1746" s="274" t="n">
        <x:v>980</x:v>
      </x:c>
      <x:c r="M1746" s="274" t="s">
        <x:v>3471</x:v>
      </x:c>
    </x:row>
    <x:row r="1747" spans="1:14">
      <x:c r="A1747" s="274" t="s">
        <x:v>3472</x:v>
      </x:c>
      <x:c r="B1747" s="274" t="n">
        <x:v>0.27</x:v>
      </x:c>
      <x:c r="C1747" s="274" t="n">
        <x:v>0</x:v>
      </x:c>
      <x:c r="D1747" s="274" t="n">
        <x:v>25</x:v>
      </x:c>
      <x:c r="E1747" s="274" t="n">
        <x:v>22</x:v>
      </x:c>
      <x:c r="F1747" s="274" t="s">
        <x:v>1980</x:v>
      </x:c>
      <x:c r="G1747" s="274" t="s">
        <x:v>1981</x:v>
      </x:c>
      <x:c r="I1747" s="274" t="n">
        <x:v>0.8</x:v>
      </x:c>
      <x:c r="J1747" s="274" t="n">
        <x:v>54</x:v>
      </x:c>
      <x:c r="K1747" s="274" t="n">
        <x:v>800</x:v>
      </x:c>
      <x:c r="M1747" s="274" t="s">
        <x:v>3471</x:v>
      </x:c>
    </x:row>
    <x:row r="1748" spans="1:14">
      <x:c r="A1748" s="274" t="s">
        <x:v>3473</x:v>
      </x:c>
      <x:c r="B1748" s="274" t="n">
        <x:v>1.31</x:v>
      </x:c>
      <x:c r="C1748" s="274" t="n">
        <x:v>28</x:v>
      </x:c>
      <x:c r="D1748" s="274" t="n">
        <x:v>35</x:v>
      </x:c>
      <x:c r="E1748" s="274" t="n">
        <x:v>33</x:v>
      </x:c>
      <x:c r="F1748" s="274" t="s">
        <x:v>333</x:v>
      </x:c>
      <x:c r="G1748" s="274" t="s">
        <x:v>209</x:v>
      </x:c>
      <x:c r="I1748" s="274" t="n">
        <x:v>1</x:v>
      </x:c>
      <x:c r="J1748" s="274" t="n">
        <x:v>556</x:v>
      </x:c>
      <x:c r="K1748" s="274" t="n">
        <x:v>300</x:v>
      </x:c>
      <x:c r="M1748" s="274" t="s">
        <x:v>1073</x:v>
      </x:c>
      <x:c r="N1748" s="274" t="s">
        <x:v>299</x:v>
      </x:c>
    </x:row>
    <x:row r="1749" spans="1:14">
      <x:c r="A1749" s="274" t="s">
        <x:v>3474</x:v>
      </x:c>
      <x:c r="B1749" s="274" t="n">
        <x:v>1.18</x:v>
      </x:c>
      <x:c r="C1749" s="274" t="n">
        <x:v>0</x:v>
      </x:c>
      <x:c r="D1749" s="274" t="n">
        <x:v>0</x:v>
      </x:c>
      <x:c r="F1749" s="274" t="s">
        <x:v>333</x:v>
      </x:c>
      <x:c r="G1749" s="274" t="s">
        <x:v>209</x:v>
      </x:c>
      <x:c r="I1749" s="274" t="n">
        <x:v>0.6</x:v>
      </x:c>
      <x:c r="J1749" s="274" t="n">
        <x:v>200</x:v>
      </x:c>
      <x:c r="K1749" s="274" t="n">
        <x:v>1250</x:v>
      </x:c>
      <x:c r="M1749" s="274" t="s">
        <x:v>3475</x:v>
      </x:c>
      <x:c r="N1749" s="274" t="s">
        <x:v>3476</x:v>
      </x:c>
    </x:row>
    <x:row r="1750" spans="1:14">
      <x:c r="A1750" s="274" t="s">
        <x:v>3477</x:v>
      </x:c>
      <x:c r="B1750" s="274" t="n">
        <x:v>1.63</x:v>
      </x:c>
      <x:c r="C1750" s="274" t="n">
        <x:v>0</x:v>
      </x:c>
      <x:c r="D1750" s="274" t="n">
        <x:v>0</x:v>
      </x:c>
      <x:c r="F1750" s="274" t="s">
        <x:v>2985</x:v>
      </x:c>
      <x:c r="G1750" s="274" t="s">
        <x:v>209</x:v>
      </x:c>
      <x:c r="I1750" s="274" t="n">
        <x:v>2.3</x:v>
      </x:c>
      <x:c r="J1750" s="274" t="n">
        <x:v>72</x:v>
      </x:c>
      <x:c r="K1750" s="274" t="n">
        <x:v>1250</x:v>
      </x:c>
      <x:c r="M1750" s="274" t="s">
        <x:v>3475</x:v>
      </x:c>
      <x:c r="N1750" s="274" t="s">
        <x:v>3476</x:v>
      </x:c>
    </x:row>
    <x:row r="1751" spans="1:14">
      <x:c r="A1751" s="274" t="s">
        <x:v>3478</x:v>
      </x:c>
      <x:c r="B1751" s="274" t="n">
        <x:v>0.21</x:v>
      </x:c>
      <x:c r="C1751" s="274" t="n">
        <x:v>28</x:v>
      </x:c>
      <x:c r="D1751" s="274" t="n">
        <x:v>36</x:v>
      </x:c>
      <x:c r="E1751" s="274" t="n">
        <x:v>33</x:v>
      </x:c>
      <x:c r="F1751" s="274" t="s">
        <x:v>333</x:v>
      </x:c>
      <x:c r="G1751" s="274" t="s">
        <x:v>153</x:v>
      </x:c>
      <x:c r="I1751" s="274" t="n">
        <x:v>0.7</x:v>
      </x:c>
      <x:c r="J1751" s="274" t="n">
        <x:v>210</x:v>
      </x:c>
      <x:c r="K1751" s="274" t="n">
        <x:v>185</x:v>
      </x:c>
      <x:c r="M1751" s="274" t="s">
        <x:v>344</x:v>
      </x:c>
      <x:c r="N1751" s="274" t="s">
        <x:v>299</x:v>
      </x:c>
    </x:row>
    <x:row r="1752" spans="1:14">
      <x:c r="A1752" s="274" t="s">
        <x:v>3479</x:v>
      </x:c>
      <x:c r="B1752" s="274" t="n">
        <x:v>2.89</x:v>
      </x:c>
      <x:c r="C1752" s="274" t="n">
        <x:v>0</x:v>
      </x:c>
      <x:c r="D1752" s="274" t="n">
        <x:v>18</x:v>
      </x:c>
      <x:c r="E1752" s="274" t="n">
        <x:v>17</x:v>
      </x:c>
      <x:c r="F1752" s="274" t="s">
        <x:v>133</x:v>
      </x:c>
      <x:c r="G1752" s="274" t="s">
        <x:v>136</x:v>
      </x:c>
      <x:c r="H1752" s="274" t="n">
        <x:v>45</x:v>
      </x:c>
      <x:c r="I1752" s="274" t="n">
        <x:v>1.2</x:v>
      </x:c>
      <x:c r="J1752" s="274" t="n">
        <x:v>220</x:v>
      </x:c>
      <x:c r="K1752" s="274" t="n">
        <x:v>1380</x:v>
      </x:c>
      <x:c r="M1752" s="274" t="s">
        <x:v>3480</x:v>
      </x:c>
      <x:c r="N1752" s="274" t="s">
        <x:v>131</x:v>
      </x:c>
    </x:row>
    <x:row r="1753" spans="1:14">
      <x:c r="A1753" s="274" t="s">
        <x:v>3481</x:v>
      </x:c>
      <x:c r="B1753" s="274" t="n">
        <x:v>2.57</x:v>
      </x:c>
      <x:c r="C1753" s="274" t="n">
        <x:v>0</x:v>
      </x:c>
      <x:c r="D1753" s="274" t="n">
        <x:v>0</x:v>
      </x:c>
      <x:c r="F1753" s="274" t="s">
        <x:v>133</x:v>
      </x:c>
      <x:c r="G1753" s="274" t="s">
        <x:v>136</x:v>
      </x:c>
      <x:c r="H1753" s="274" t="n">
        <x:v>45</x:v>
      </x:c>
      <x:c r="I1753" s="274" t="n">
        <x:v>1.2</x:v>
      </x:c>
      <x:c r="J1753" s="274" t="n">
        <x:v>226</x:v>
      </x:c>
      <x:c r="K1753" s="274" t="n">
        <x:v>1195</x:v>
      </x:c>
      <x:c r="M1753" s="274" t="s">
        <x:v>507</x:v>
      </x:c>
      <x:c r="N1753" s="274" t="s">
        <x:v>421</x:v>
      </x:c>
    </x:row>
    <x:row r="1754" spans="1:14">
      <x:c r="A1754" s="274" t="s">
        <x:v>3482</x:v>
      </x:c>
      <x:c r="B1754" s="274" t="n">
        <x:v>1.26</x:v>
      </x:c>
      <x:c r="C1754" s="274" t="n">
        <x:v>0</x:v>
      </x:c>
      <x:c r="D1754" s="274" t="n">
        <x:v>0</x:v>
      </x:c>
      <x:c r="F1754" s="274" t="s">
        <x:v>133</x:v>
      </x:c>
      <x:c r="G1754" s="274" t="s">
        <x:v>144</x:v>
      </x:c>
      <x:c r="H1754" s="274" t="n">
        <x:v>45</x:v>
      </x:c>
      <x:c r="I1754" s="274" t="n">
        <x:v>1.4</x:v>
      </x:c>
      <x:c r="J1754" s="274" t="n">
        <x:v>615</x:v>
      </x:c>
      <x:c r="K1754" s="274" t="n">
        <x:v>185</x:v>
      </x:c>
      <x:c r="M1754" s="274" t="s">
        <x:v>1882</x:v>
      </x:c>
      <x:c r="N1754" s="274" t="s">
        <x:v>870</x:v>
      </x:c>
    </x:row>
    <x:row r="1755" spans="1:14">
      <x:c r="A1755" s="274" t="s">
        <x:v>3483</x:v>
      </x:c>
      <x:c r="B1755" s="274" t="n">
        <x:v>0.9</x:v>
      </x:c>
      <x:c r="C1755" s="274" t="n">
        <x:v>28</x:v>
      </x:c>
      <x:c r="D1755" s="274" t="n">
        <x:v>35</x:v>
      </x:c>
      <x:c r="E1755" s="274" t="n">
        <x:v>33</x:v>
      </x:c>
      <x:c r="F1755" s="274" t="s">
        <x:v>333</x:v>
      </x:c>
      <x:c r="G1755" s="274" t="s">
        <x:v>153</x:v>
      </x:c>
      <x:c r="I1755" s="274" t="n">
        <x:v>1.6</x:v>
      </x:c>
      <x:c r="J1755" s="274" t="n">
        <x:v>340</x:v>
      </x:c>
      <x:c r="K1755" s="274" t="n">
        <x:v>210</x:v>
      </x:c>
      <x:c r="M1755" s="274" t="s">
        <x:v>901</x:v>
      </x:c>
    </x:row>
    <x:row r="1756" spans="1:14">
      <x:c r="A1756" s="274" t="s">
        <x:v>3484</x:v>
      </x:c>
      <x:c r="B1756" s="274" t="n">
        <x:v>0.75</x:v>
      </x:c>
      <x:c r="C1756" s="274" t="n">
        <x:v>30</x:v>
      </x:c>
      <x:c r="D1756" s="274" t="n">
        <x:v>35</x:v>
      </x:c>
      <x:c r="E1756" s="274" t="n">
        <x:v>33</x:v>
      </x:c>
      <x:c r="F1756" s="274" t="s">
        <x:v>333</x:v>
      </x:c>
      <x:c r="G1756" s="274" t="s">
        <x:v>124</x:v>
      </x:c>
      <x:c r="I1756" s="274" t="n">
        <x:v>1.2</x:v>
      </x:c>
      <x:c r="J1756" s="274" t="n">
        <x:v>145</x:v>
      </x:c>
      <x:c r="K1756" s="274" t="n">
        <x:v>549</x:v>
      </x:c>
      <x:c r="M1756" s="274" t="s">
        <x:v>756</x:v>
      </x:c>
      <x:c r="N1756" s="274" t="s">
        <x:v>155</x:v>
      </x:c>
    </x:row>
    <x:row r="1757" spans="1:14">
      <x:c r="A1757" s="274" t="s">
        <x:v>3485</x:v>
      </x:c>
      <x:c r="B1757" s="274" t="n">
        <x:v>1.22</x:v>
      </x:c>
      <x:c r="C1757" s="274" t="n">
        <x:v>22</x:v>
      </x:c>
      <x:c r="D1757" s="274" t="n">
        <x:v>35</x:v>
      </x:c>
      <x:c r="E1757" s="274" t="n">
        <x:v>33</x:v>
      </x:c>
      <x:c r="F1757" s="274" t="s">
        <x:v>333</x:v>
      </x:c>
      <x:c r="G1757" s="274" t="s">
        <x:v>124</x:v>
      </x:c>
      <x:c r="I1757" s="274" t="n">
        <x:v>1.2</x:v>
      </x:c>
      <x:c r="J1757" s="274" t="n">
        <x:v>223</x:v>
      </x:c>
      <x:c r="K1757" s="274" t="n">
        <x:v>580</x:v>
      </x:c>
      <x:c r="M1757" s="274" t="s">
        <x:v>639</x:v>
      </x:c>
    </x:row>
    <x:row r="1758" spans="1:14">
      <x:c r="A1758" s="274" t="s">
        <x:v>3486</x:v>
      </x:c>
      <x:c r="B1758" s="274" t="n">
        <x:v>0.25</x:v>
      </x:c>
      <x:c r="C1758" s="274" t="n">
        <x:v>0</x:v>
      </x:c>
      <x:c r="D1758" s="274" t="n">
        <x:v>0</x:v>
      </x:c>
      <x:c r="F1758" s="274" t="s">
        <x:v>133</x:v>
      </x:c>
      <x:c r="G1758" s="274" t="s">
        <x:v>136</x:v>
      </x:c>
      <x:c r="H1758" s="274" t="n">
        <x:v>45</x:v>
      </x:c>
      <x:c r="I1758" s="274" t="n">
        <x:v>1.6</x:v>
      </x:c>
      <x:c r="J1758" s="274" t="n">
        <x:v>190</x:v>
      </x:c>
      <x:c r="K1758" s="274" t="n">
        <x:v>106</x:v>
      </x:c>
      <x:c r="M1758" s="274" t="s">
        <x:v>3487</x:v>
      </x:c>
    </x:row>
    <x:row r="1759" spans="1:14">
      <x:c r="A1759" s="274" t="s">
        <x:v>3488</x:v>
      </x:c>
      <x:c r="B1759" s="274" t="n">
        <x:v>2.12</x:v>
      </x:c>
      <x:c r="C1759" s="274" t="n">
        <x:v>0</x:v>
      </x:c>
      <x:c r="D1759" s="274" t="n">
        <x:v>0</x:v>
      </x:c>
      <x:c r="F1759" s="274" t="s">
        <x:v>123</x:v>
      </x:c>
      <x:c r="G1759" s="274" t="s">
        <x:v>153</x:v>
      </x:c>
      <x:c r="I1759" s="274" t="n">
        <x:v>1.2</x:v>
      </x:c>
      <x:c r="J1759" s="274" t="n">
        <x:v>900</x:v>
      </x:c>
      <x:c r="K1759" s="274" t="n">
        <x:v>250</x:v>
      </x:c>
      <x:c r="M1759" s="274" t="s">
        <x:v>3489</x:v>
      </x:c>
      <x:c r="N1759" s="274" t="s">
        <x:v>372</x:v>
      </x:c>
    </x:row>
    <x:row r="1760" spans="1:14">
      <x:c r="A1760" s="274" t="s">
        <x:v>3490</x:v>
      </x:c>
      <x:c r="B1760" s="274" t="n">
        <x:v>0.08</x:v>
      </x:c>
      <x:c r="C1760" s="274" t="n">
        <x:v>0</x:v>
      </x:c>
      <x:c r="D1760" s="274" t="n">
        <x:v>0</x:v>
      </x:c>
      <x:c r="F1760" s="274" t="s">
        <x:v>123</x:v>
      </x:c>
      <x:c r="G1760" s="274" t="s">
        <x:v>153</x:v>
      </x:c>
      <x:c r="I1760" s="274" t="n">
        <x:v>1</x:v>
      </x:c>
      <x:c r="J1760" s="274" t="n">
        <x:v>90</x:v>
      </x:c>
      <x:c r="K1760" s="274" t="n">
        <x:v>108</x:v>
      </x:c>
      <x:c r="M1760" s="274" t="s">
        <x:v>3491</x:v>
      </x:c>
      <x:c r="N1760" s="274" t="s">
        <x:v>787</x:v>
      </x:c>
    </x:row>
    <x:row r="1761" spans="1:14">
      <x:c r="A1761" s="274" t="s">
        <x:v>3492</x:v>
      </x:c>
      <x:c r="B1761" s="274" t="n">
        <x:v>0.62</x:v>
      </x:c>
      <x:c r="C1761" s="274" t="n">
        <x:v>0</x:v>
      </x:c>
      <x:c r="D1761" s="274" t="n">
        <x:v>0</x:v>
      </x:c>
      <x:c r="F1761" s="274" t="s">
        <x:v>184</x:v>
      </x:c>
      <x:c r="G1761" s="274" t="s">
        <x:v>129</x:v>
      </x:c>
      <x:c r="H1761" s="274" t="n">
        <x:v>45</x:v>
      </x:c>
      <x:c r="I1761" s="274" t="n">
        <x:v>1.2</x:v>
      </x:c>
      <x:c r="J1761" s="274" t="n">
        <x:v>52</x:v>
      </x:c>
      <x:c r="K1761" s="274" t="n">
        <x:v>1250</x:v>
      </x:c>
      <x:c r="M1761" s="274" t="s">
        <x:v>3493</x:v>
      </x:c>
      <x:c r="N1761" s="274" t="s">
        <x:v>155</x:v>
      </x:c>
    </x:row>
    <x:row r="1762" spans="1:14">
      <x:c r="A1762" s="274" t="s">
        <x:v>3494</x:v>
      </x:c>
      <x:c r="B1762" s="274" t="n">
        <x:v>10.71</x:v>
      </x:c>
      <x:c r="C1762" s="274" t="n">
        <x:v>0</x:v>
      </x:c>
      <x:c r="D1762" s="274" t="n">
        <x:v>0</x:v>
      </x:c>
      <x:c r="E1762" s="274" t="n">
        <x:v>0</x:v>
      </x:c>
      <x:c r="F1762" s="274" t="s">
        <x:v>184</x:v>
      </x:c>
      <x:c r="G1762" s="274" t="s">
        <x:v>878</x:v>
      </x:c>
      <x:c r="H1762" s="274" t="s">
        <x:v>285</x:v>
      </x:c>
      <x:c r="I1762" s="274" t="n">
        <x:v>0.65</x:v>
      </x:c>
      <x:c r="J1762" s="274" t="n">
        <x:v>850</x:v>
      </x:c>
      <x:c r="K1762" s="274" t="n">
        <x:v>2379.5</x:v>
      </x:c>
      <x:c r="L1762" s="274" t="n">
        <x:v>2474.5</x:v>
      </x:c>
      <x:c r="M1762" s="274" t="s">
        <x:v>1393</x:v>
      </x:c>
      <x:c r="N1762" s="274" t="s">
        <x:v>870</x:v>
      </x:c>
    </x:row>
    <x:row r="1763" spans="1:14">
      <x:c r="A1763" s="274" t="s">
        <x:v>3495</x:v>
      </x:c>
      <x:c r="B1763" s="274" t="n">
        <x:v>9.24</x:v>
      </x:c>
      <x:c r="C1763" s="274" t="n">
        <x:v>0</x:v>
      </x:c>
      <x:c r="D1763" s="274" t="n">
        <x:v>0</x:v>
      </x:c>
      <x:c r="E1763" s="274" t="n">
        <x:v>0</x:v>
      </x:c>
      <x:c r="F1763" s="274" t="s">
        <x:v>184</x:v>
      </x:c>
      <x:c r="G1763" s="274" t="s">
        <x:v>878</x:v>
      </x:c>
      <x:c r="H1763" s="274" t="s">
        <x:v>285</x:v>
      </x:c>
      <x:c r="I1763" s="274" t="n">
        <x:v>0.65</x:v>
      </x:c>
      <x:c r="J1763" s="274" t="n">
        <x:v>885</x:v>
      </x:c>
      <x:c r="K1763" s="274" t="n">
        <x:v>1499.1</x:v>
      </x:c>
      <x:c r="L1763" s="274" t="n">
        <x:v>2521</x:v>
      </x:c>
      <x:c r="M1763" s="274" t="s">
        <x:v>1744</x:v>
      </x:c>
      <x:c r="N1763" s="274" t="s">
        <x:v>870</x:v>
      </x:c>
    </x:row>
    <x:row r="1764" spans="1:14">
      <x:c r="A1764" s="274" t="s">
        <x:v>3496</x:v>
      </x:c>
      <x:c r="B1764" s="274" t="n">
        <x:v>0.15</x:v>
      </x:c>
      <x:c r="C1764" s="274" t="n">
        <x:v>0</x:v>
      </x:c>
      <x:c r="D1764" s="274" t="n">
        <x:v>0</x:v>
      </x:c>
      <x:c r="F1764" s="274" t="s">
        <x:v>133</x:v>
      </x:c>
      <x:c r="G1764" s="274" t="s">
        <x:v>134</x:v>
      </x:c>
      <x:c r="I1764" s="274" t="n">
        <x:v>3.2</x:v>
      </x:c>
      <x:c r="J1764" s="274" t="n">
        <x:v>40</x:v>
      </x:c>
      <x:c r="K1764" s="274" t="n">
        <x:v>150</x:v>
      </x:c>
      <x:c r="M1764" s="274" t="s">
        <x:v>3497</x:v>
      </x:c>
      <x:c r="N1764" s="274" t="s">
        <x:v>3498</x:v>
      </x:c>
    </x:row>
    <x:row r="1765" spans="1:14">
      <x:c r="A1765" s="274" t="s">
        <x:v>3499</x:v>
      </x:c>
      <x:c r="B1765" s="274" t="n">
        <x:v>0.15</x:v>
      </x:c>
      <x:c r="C1765" s="274" t="n">
        <x:v>0</x:v>
      </x:c>
      <x:c r="D1765" s="274" t="n">
        <x:v>0</x:v>
      </x:c>
      <x:c r="F1765" s="274" t="s">
        <x:v>133</x:v>
      </x:c>
      <x:c r="G1765" s="274" t="s">
        <x:v>134</x:v>
      </x:c>
      <x:c r="I1765" s="274" t="n">
        <x:v>1.6</x:v>
      </x:c>
      <x:c r="J1765" s="274" t="n">
        <x:v>80</x:v>
      </x:c>
      <x:c r="K1765" s="274" t="n">
        <x:v>150</x:v>
      </x:c>
      <x:c r="M1765" s="274" t="s">
        <x:v>2533</x:v>
      </x:c>
      <x:c r="N1765" s="274" t="s">
        <x:v>3498</x:v>
      </x:c>
    </x:row>
    <x:row r="1766" spans="1:14">
      <x:c r="A1766" s="274" t="s">
        <x:v>3500</x:v>
      </x:c>
      <x:c r="B1766" s="274" t="n">
        <x:v>0.08</x:v>
      </x:c>
      <x:c r="C1766" s="274" t="n">
        <x:v>0</x:v>
      </x:c>
      <x:c r="D1766" s="274" t="n">
        <x:v>0</x:v>
      </x:c>
      <x:c r="F1766" s="274" t="s">
        <x:v>133</x:v>
      </x:c>
      <x:c r="G1766" s="274" t="s">
        <x:v>134</x:v>
      </x:c>
      <x:c r="I1766" s="274" t="n">
        <x:v>1.6</x:v>
      </x:c>
      <x:c r="J1766" s="274" t="n">
        <x:v>40</x:v>
      </x:c>
      <x:c r="K1766" s="274" t="n">
        <x:v>150</x:v>
      </x:c>
      <x:c r="M1766" s="274" t="s">
        <x:v>2530</x:v>
      </x:c>
      <x:c r="N1766" s="274" t="s">
        <x:v>3501</x:v>
      </x:c>
    </x:row>
    <x:row r="1767" spans="1:14">
      <x:c r="A1767" s="274" t="s">
        <x:v>3502</x:v>
      </x:c>
      <x:c r="B1767" s="274" t="n">
        <x:v>0.94</x:v>
      </x:c>
      <x:c r="C1767" s="274" t="n">
        <x:v>0</x:v>
      </x:c>
      <x:c r="D1767" s="274" t="n">
        <x:v>0</x:v>
      </x:c>
      <x:c r="F1767" s="274" t="s">
        <x:v>333</x:v>
      </x:c>
      <x:c r="G1767" s="274" t="s">
        <x:v>153</x:v>
      </x:c>
      <x:c r="I1767" s="274" t="n">
        <x:v>1.6</x:v>
      </x:c>
      <x:c r="J1767" s="274" t="n">
        <x:v>75</x:v>
      </x:c>
      <x:c r="K1767" s="274" t="n">
        <x:v>1000</x:v>
      </x:c>
      <x:c r="M1767" s="274" t="s">
        <x:v>3503</x:v>
      </x:c>
      <x:c r="N1767" s="274" t="s">
        <x:v>2805</x:v>
      </x:c>
    </x:row>
    <x:row r="1768" spans="1:14">
      <x:c r="A1768" s="274" t="s">
        <x:v>3504</x:v>
      </x:c>
      <x:c r="B1768" s="274" t="n">
        <x:v>5.13</x:v>
      </x:c>
      <x:c r="C1768" s="274" t="n">
        <x:v>0</x:v>
      </x:c>
      <x:c r="D1768" s="274" t="n">
        <x:v>0</x:v>
      </x:c>
      <x:c r="F1768" s="274" t="s">
        <x:v>333</x:v>
      </x:c>
      <x:c r="G1768" s="274" t="s">
        <x:v>124</x:v>
      </x:c>
      <x:c r="I1768" s="274" t="n">
        <x:v>1.2</x:v>
      </x:c>
      <x:c r="J1768" s="274" t="n">
        <x:v>450</x:v>
      </x:c>
      <x:c r="K1768" s="274" t="n">
        <x:v>1210</x:v>
      </x:c>
      <x:c r="M1768" s="274" t="s">
        <x:v>3505</x:v>
      </x:c>
      <x:c r="N1768" s="274" t="s">
        <x:v>2805</x:v>
      </x:c>
    </x:row>
    <x:row r="1769" spans="1:14">
      <x:c r="A1769" s="274" t="s">
        <x:v>3506</x:v>
      </x:c>
      <x:c r="B1769" s="274" t="n">
        <x:v>3.43</x:v>
      </x:c>
      <x:c r="C1769" s="274" t="n">
        <x:v>0</x:v>
      </x:c>
      <x:c r="D1769" s="274" t="n">
        <x:v>36</x:v>
      </x:c>
      <x:c r="E1769" s="274" t="n">
        <x:v>33</x:v>
      </x:c>
      <x:c r="F1769" s="274" t="s">
        <x:v>133</x:v>
      </x:c>
      <x:c r="G1769" s="274" t="s">
        <x:v>134</x:v>
      </x:c>
      <x:c r="I1769" s="274" t="n">
        <x:v>3.2</x:v>
      </x:c>
      <x:c r="J1769" s="274" t="n">
        <x:v>301</x:v>
      </x:c>
      <x:c r="K1769" s="274" t="n">
        <x:v>453</x:v>
      </x:c>
      <x:c r="M1769" s="274" t="s">
        <x:v>3337</x:v>
      </x:c>
    </x:row>
    <x:row r="1770" spans="1:14">
      <x:c r="A1770" s="274" t="s">
        <x:v>3507</x:v>
      </x:c>
      <x:c r="B1770" s="274" t="n">
        <x:v>1.83</x:v>
      </x:c>
      <x:c r="C1770" s="274" t="n">
        <x:v>0</x:v>
      </x:c>
      <x:c r="D1770" s="274" t="n">
        <x:v>0</x:v>
      </x:c>
      <x:c r="F1770" s="274" t="s">
        <x:v>133</x:v>
      </x:c>
      <x:c r="G1770" s="274" t="s">
        <x:v>134</x:v>
      </x:c>
      <x:c r="I1770" s="274" t="n">
        <x:v>1.6</x:v>
      </x:c>
      <x:c r="J1770" s="274" t="n">
        <x:v>146</x:v>
      </x:c>
      <x:c r="K1770" s="274" t="n">
        <x:v>1000</x:v>
      </x:c>
      <x:c r="M1770" s="274" t="s">
        <x:v>3508</x:v>
      </x:c>
      <x:c r="N1770" s="274" t="s">
        <x:v>2805</x:v>
      </x:c>
    </x:row>
    <x:row r="1771" spans="1:14">
      <x:c r="A1771" s="274" t="s">
        <x:v>3509</x:v>
      </x:c>
      <x:c r="B1771" s="274" t="n">
        <x:v>0.73</x:v>
      </x:c>
      <x:c r="C1771" s="274" t="n">
        <x:v>0</x:v>
      </x:c>
      <x:c r="D1771" s="274" t="n">
        <x:v>0</x:v>
      </x:c>
      <x:c r="F1771" s="274" t="s">
        <x:v>133</x:v>
      </x:c>
      <x:c r="G1771" s="274" t="s">
        <x:v>136</x:v>
      </x:c>
      <x:c r="H1771" s="274" t="n">
        <x:v>45</x:v>
      </x:c>
      <x:c r="I1771" s="274" t="n">
        <x:v>0.6</x:v>
      </x:c>
      <x:c r="J1771" s="274" t="n">
        <x:v>210</x:v>
      </x:c>
      <x:c r="K1771" s="274" t="n">
        <x:v>725</x:v>
      </x:c>
      <x:c r="M1771" s="274" t="s">
        <x:v>2812</x:v>
      </x:c>
      <x:c r="N1771" s="274" t="s">
        <x:v>1274</x:v>
      </x:c>
    </x:row>
    <x:row r="1772" spans="1:14">
      <x:c r="A1772" s="274" t="s">
        <x:v>3510</x:v>
      </x:c>
      <x:c r="B1772" s="274" t="n">
        <x:v>0.54</x:v>
      </x:c>
      <x:c r="C1772" s="274" t="n">
        <x:v>0</x:v>
      </x:c>
      <x:c r="D1772" s="274" t="n">
        <x:v>0</x:v>
      </x:c>
      <x:c r="F1772" s="274" t="s">
        <x:v>133</x:v>
      </x:c>
      <x:c r="G1772" s="274" t="s">
        <x:v>136</x:v>
      </x:c>
      <x:c r="H1772" s="274" t="n">
        <x:v>45</x:v>
      </x:c>
      <x:c r="I1772" s="274" t="n">
        <x:v>0.6</x:v>
      </x:c>
      <x:c r="J1772" s="274" t="n">
        <x:v>360</x:v>
      </x:c>
      <x:c r="K1772" s="274" t="n">
        <x:v>310</x:v>
      </x:c>
      <x:c r="M1772" s="274" t="s">
        <x:v>3511</x:v>
      </x:c>
      <x:c r="N1772" s="274" t="s">
        <x:v>131</x:v>
      </x:c>
    </x:row>
    <x:row r="1773" spans="1:14">
      <x:c r="A1773" s="274" t="s">
        <x:v>3512</x:v>
      </x:c>
      <x:c r="B1773" s="274" t="n">
        <x:v>0.41</x:v>
      </x:c>
      <x:c r="C1773" s="274" t="n">
        <x:v>0</x:v>
      </x:c>
      <x:c r="D1773" s="274" t="n">
        <x:v>0</x:v>
      </x:c>
      <x:c r="F1773" s="274" t="s">
        <x:v>133</x:v>
      </x:c>
      <x:c r="G1773" s="274" t="s">
        <x:v>136</x:v>
      </x:c>
      <x:c r="H1773" s="274" t="n">
        <x:v>45</x:v>
      </x:c>
      <x:c r="I1773" s="274" t="n">
        <x:v>1.2</x:v>
      </x:c>
      <x:c r="J1773" s="274" t="n">
        <x:v>70</x:v>
      </x:c>
      <x:c r="K1773" s="274" t="n">
        <x:v>610</x:v>
      </x:c>
      <x:c r="M1773" s="274" t="s">
        <x:v>329</x:v>
      </x:c>
      <x:c r="N1773" s="274" t="s">
        <x:v>421</x:v>
      </x:c>
    </x:row>
    <x:row r="1774" spans="1:14">
      <x:c r="A1774" s="274" t="s">
        <x:v>3513</x:v>
      </x:c>
      <x:c r="B1774" s="274" t="n">
        <x:v>0.23</x:v>
      </x:c>
      <x:c r="C1774" s="274" t="n">
        <x:v>0</x:v>
      </x:c>
      <x:c r="D1774" s="274" t="n">
        <x:v>0</x:v>
      </x:c>
      <x:c r="F1774" s="274" t="s">
        <x:v>133</x:v>
      </x:c>
      <x:c r="G1774" s="274" t="s">
        <x:v>136</x:v>
      </x:c>
      <x:c r="H1774" s="274" t="n">
        <x:v>45</x:v>
      </x:c>
      <x:c r="I1774" s="274" t="n">
        <x:v>1.2</x:v>
      </x:c>
      <x:c r="J1774" s="274" t="n">
        <x:v>115</x:v>
      </x:c>
      <x:c r="K1774" s="274" t="n">
        <x:v>210</x:v>
      </x:c>
      <x:c r="M1774" s="274" t="s">
        <x:v>2949</x:v>
      </x:c>
      <x:c r="N1774" s="274" t="s">
        <x:v>1274</x:v>
      </x:c>
    </x:row>
    <x:row r="1775" spans="1:14">
      <x:c r="A1775" s="274" t="s">
        <x:v>3514</x:v>
      </x:c>
      <x:c r="B1775" s="274" t="n">
        <x:v>2.43</x:v>
      </x:c>
      <x:c r="C1775" s="274" t="n">
        <x:v>0</x:v>
      </x:c>
      <x:c r="D1775" s="274" t="n">
        <x:v>0</x:v>
      </x:c>
      <x:c r="F1775" s="274" t="s">
        <x:v>133</x:v>
      </x:c>
      <x:c r="G1775" s="274" t="s">
        <x:v>144</x:v>
      </x:c>
      <x:c r="H1775" s="274" t="n">
        <x:v>45</x:v>
      </x:c>
      <x:c r="I1775" s="274" t="n">
        <x:v>2</x:v>
      </x:c>
      <x:c r="J1775" s="274" t="n">
        <x:v>880</x:v>
      </x:c>
      <x:c r="K1775" s="274" t="n">
        <x:v>175</x:v>
      </x:c>
      <x:c r="M1775" s="274" t="s">
        <x:v>358</x:v>
      </x:c>
      <x:c r="N1775" s="274" t="s">
        <x:v>1274</x:v>
      </x:c>
    </x:row>
    <x:row r="1776" spans="1:14">
      <x:c r="A1776" s="274" t="s">
        <x:v>3515</x:v>
      </x:c>
      <x:c r="B1776" s="274" t="n">
        <x:v>3.07</x:v>
      </x:c>
      <x:c r="C1776" s="274" t="n">
        <x:v>0</x:v>
      </x:c>
      <x:c r="D1776" s="274" t="n">
        <x:v>35</x:v>
      </x:c>
      <x:c r="E1776" s="274" t="n">
        <x:v>33</x:v>
      </x:c>
      <x:c r="F1776" s="274" t="s">
        <x:v>184</x:v>
      </x:c>
      <x:c r="G1776" s="274" t="s">
        <x:v>144</x:v>
      </x:c>
      <x:c r="H1776" s="274" t="n">
        <x:v>45</x:v>
      </x:c>
      <x:c r="I1776" s="274" t="n">
        <x:v>2.3</x:v>
      </x:c>
      <x:c r="J1776" s="274" t="n">
        <x:v>345</x:v>
      </x:c>
      <x:c r="K1776" s="274" t="n">
        <x:v>490</x:v>
      </x:c>
      <x:c r="M1776" s="274" t="s">
        <x:v>2916</x:v>
      </x:c>
      <x:c r="N1776" s="274" t="s">
        <x:v>870</x:v>
      </x:c>
    </x:row>
    <x:row r="1777" spans="1:14">
      <x:c r="A1777" s="274" t="s">
        <x:v>3516</x:v>
      </x:c>
      <x:c r="B1777" s="274" t="n">
        <x:v>0.42</x:v>
      </x:c>
      <x:c r="C1777" s="274" t="n">
        <x:v>0</x:v>
      </x:c>
      <x:c r="D1777" s="274" t="n">
        <x:v>0</x:v>
      </x:c>
      <x:c r="F1777" s="274" t="s">
        <x:v>333</x:v>
      </x:c>
      <x:c r="G1777" s="274" t="s">
        <x:v>124</x:v>
      </x:c>
      <x:c r="I1777" s="274" t="n">
        <x:v>1.4</x:v>
      </x:c>
      <x:c r="J1777" s="274" t="n">
        <x:v>165</x:v>
      </x:c>
      <x:c r="K1777" s="274" t="n">
        <x:v>230</x:v>
      </x:c>
      <x:c r="M1777" s="274" t="s">
        <x:v>2742</x:v>
      </x:c>
      <x:c r="N1777" s="274" t="s">
        <x:v>299</x:v>
      </x:c>
    </x:row>
    <x:row r="1778" spans="1:14">
      <x:c r="A1778" s="274" t="s">
        <x:v>3517</x:v>
      </x:c>
      <x:c r="B1778" s="274" t="n">
        <x:v>9.9</x:v>
      </x:c>
      <x:c r="C1778" s="274" t="n">
        <x:v>22</x:v>
      </x:c>
      <x:c r="D1778" s="274" t="n">
        <x:v>22</x:v>
      </x:c>
      <x:c r="E1778" s="274" t="n">
        <x:v>0</x:v>
      </x:c>
      <x:c r="F1778" s="274" t="s">
        <x:v>123</x:v>
      </x:c>
      <x:c r="G1778" s="274" t="s">
        <x:v>906</x:v>
      </x:c>
      <x:c r="H1778" s="274" t="s">
        <x:v>907</x:v>
      </x:c>
      <x:c r="I1778" s="274" t="n">
        <x:v>0.65</x:v>
      </x:c>
      <x:c r="J1778" s="274" t="n">
        <x:v>1020</x:v>
      </x:c>
      <x:c r="K1778" s="274" t="n">
        <x:v>2458.8</x:v>
      </x:c>
      <x:c r="L1778" s="274" t="n">
        <x:v>1281.1</x:v>
      </x:c>
      <x:c r="M1778" s="274" t="s">
        <x:v>2900</x:v>
      </x:c>
      <x:c r="N1778" s="274" t="s">
        <x:v>155</x:v>
      </x:c>
    </x:row>
    <x:row r="1779" spans="1:14">
      <x:c r="A1779" s="274" t="s">
        <x:v>3518</x:v>
      </x:c>
      <x:c r="B1779" s="274" t="n">
        <x:v>31.98</x:v>
      </x:c>
      <x:c r="C1779" s="274" t="n">
        <x:v>0</x:v>
      </x:c>
      <x:c r="D1779" s="274" t="n">
        <x:v>30</x:v>
      </x:c>
      <x:c r="E1779" s="274" t="n">
        <x:v>26</x:v>
      </x:c>
      <x:c r="F1779" s="274" t="s">
        <x:v>133</x:v>
      </x:c>
      <x:c r="G1779" s="274" t="s">
        <x:v>148</x:v>
      </x:c>
      <x:c r="I1779" s="274" t="n">
        <x:v>3.2</x:v>
      </x:c>
      <x:c r="J1779" s="274" t="n">
        <x:v>1070</x:v>
      </x:c>
      <x:c r="K1779" s="274" t="n">
        <x:v>1190</x:v>
      </x:c>
      <x:c r="M1779" s="274" t="s">
        <x:v>559</x:v>
      </x:c>
      <x:c r="N1779" s="274" t="s">
        <x:v>847</x:v>
      </x:c>
    </x:row>
    <x:row r="1780" spans="1:14">
      <x:c r="A1780" s="274" t="s">
        <x:v>3519</x:v>
      </x:c>
      <x:c r="B1780" s="274" t="n">
        <x:v>1.59</x:v>
      </x:c>
      <x:c r="C1780" s="274" t="n">
        <x:v>0</x:v>
      </x:c>
      <x:c r="D1780" s="274" t="n">
        <x:v>0</x:v>
      </x:c>
      <x:c r="F1780" s="274" t="s">
        <x:v>133</x:v>
      </x:c>
      <x:c r="G1780" s="274" t="s">
        <x:v>148</x:v>
      </x:c>
      <x:c r="I1780" s="274" t="n">
        <x:v>2.9</x:v>
      </x:c>
      <x:c r="J1780" s="274" t="n">
        <x:v>200</x:v>
      </x:c>
      <x:c r="K1780" s="274" t="n">
        <x:v>350</x:v>
      </x:c>
      <x:c r="M1780" s="274" t="s">
        <x:v>3171</x:v>
      </x:c>
      <x:c r="N1780" s="274" t="s">
        <x:v>1557</x:v>
      </x:c>
    </x:row>
    <x:row r="1781" spans="1:14">
      <x:c r="A1781" s="274" t="s">
        <x:v>3520</x:v>
      </x:c>
      <x:c r="B1781" s="274" t="n">
        <x:v>0.06</x:v>
      </x:c>
      <x:c r="C1781" s="274" t="n">
        <x:v>0</x:v>
      </x:c>
      <x:c r="D1781" s="274" t="n">
        <x:v>0</x:v>
      </x:c>
      <x:c r="F1781" s="274" t="s">
        <x:v>128</x:v>
      </x:c>
      <x:c r="G1781" s="274" t="s">
        <x:v>136</x:v>
      </x:c>
      <x:c r="H1781" s="274" t="s">
        <x:v>397</x:v>
      </x:c>
      <x:c r="I1781" s="274" t="n">
        <x:v>0.75</x:v>
      </x:c>
      <x:c r="J1781" s="274" t="n">
        <x:v>70</x:v>
      </x:c>
      <x:c r="K1781" s="274" t="n">
        <x:v>150</x:v>
      </x:c>
      <x:c r="M1781" s="274" t="s">
        <x:v>3521</x:v>
      </x:c>
      <x:c r="N1781" s="274" t="s">
        <x:v>1557</x:v>
      </x:c>
    </x:row>
    <x:row r="1782" spans="1:14">
      <x:c r="A1782" s="274" t="s">
        <x:v>3522</x:v>
      </x:c>
      <x:c r="B1782" s="274" t="n">
        <x:v>0.43</x:v>
      </x:c>
      <x:c r="C1782" s="274" t="n">
        <x:v>0</x:v>
      </x:c>
      <x:c r="D1782" s="274" t="n">
        <x:v>0</x:v>
      </x:c>
      <x:c r="F1782" s="274" t="s">
        <x:v>333</x:v>
      </x:c>
      <x:c r="G1782" s="274" t="s">
        <x:v>153</x:v>
      </x:c>
      <x:c r="I1782" s="274" t="n">
        <x:v>0.7</x:v>
      </x:c>
      <x:c r="J1782" s="274" t="n">
        <x:v>128</x:v>
      </x:c>
      <x:c r="K1782" s="274" t="n">
        <x:v>605</x:v>
      </x:c>
      <x:c r="M1782" s="274" t="s">
        <x:v>3523</x:v>
      </x:c>
      <x:c r="N1782" s="274" t="s">
        <x:v>3181</x:v>
      </x:c>
    </x:row>
    <x:row r="1783" spans="1:14">
      <x:c r="A1783" s="274" t="s">
        <x:v>3524</x:v>
      </x:c>
      <x:c r="B1783" s="274" t="n">
        <x:v>2.49</x:v>
      </x:c>
      <x:c r="C1783" s="274" t="n">
        <x:v>0</x:v>
      </x:c>
      <x:c r="D1783" s="274" t="n">
        <x:v>0</x:v>
      </x:c>
      <x:c r="F1783" s="274" t="s">
        <x:v>133</x:v>
      </x:c>
      <x:c r="G1783" s="274" t="s">
        <x:v>134</x:v>
      </x:c>
      <x:c r="I1783" s="274" t="n">
        <x:v>2.3</x:v>
      </x:c>
      <x:c r="J1783" s="274" t="n">
        <x:v>345</x:v>
      </x:c>
      <x:c r="K1783" s="274" t="n">
        <x:v>400</x:v>
      </x:c>
      <x:c r="M1783" s="274" t="s">
        <x:v>3525</x:v>
      </x:c>
      <x:c r="N1783" s="274" t="s">
        <x:v>3181</x:v>
      </x:c>
    </x:row>
    <x:row r="1784" spans="1:14">
      <x:c r="A1784" s="274" t="s">
        <x:v>3526</x:v>
      </x:c>
      <x:c r="B1784" s="274" t="n">
        <x:v>0.64</x:v>
      </x:c>
      <x:c r="C1784" s="274" t="n">
        <x:v>0</x:v>
      </x:c>
      <x:c r="D1784" s="274" t="n">
        <x:v>0</x:v>
      </x:c>
      <x:c r="F1784" s="274" t="s">
        <x:v>333</x:v>
      </x:c>
      <x:c r="G1784" s="274" t="s">
        <x:v>153</x:v>
      </x:c>
      <x:c r="I1784" s="274" t="n">
        <x:v>0.9</x:v>
      </x:c>
      <x:c r="J1784" s="274" t="n">
        <x:v>205</x:v>
      </x:c>
      <x:c r="K1784" s="274" t="n">
        <x:v>440</x:v>
      </x:c>
      <x:c r="M1784" s="274" t="s">
        <x:v>3527</x:v>
      </x:c>
      <x:c r="N1784" s="274" t="s">
        <x:v>3181</x:v>
      </x:c>
    </x:row>
    <x:row r="1785" spans="1:14">
      <x:c r="A1785" s="274" t="s">
        <x:v>3528</x:v>
      </x:c>
      <x:c r="B1785" s="274" t="n">
        <x:v>1.25</x:v>
      </x:c>
      <x:c r="C1785" s="274" t="n">
        <x:v>0</x:v>
      </x:c>
      <x:c r="D1785" s="274" t="n">
        <x:v>0</x:v>
      </x:c>
      <x:c r="F1785" s="274" t="s">
        <x:v>133</x:v>
      </x:c>
      <x:c r="G1785" s="274" t="s">
        <x:v>134</x:v>
      </x:c>
      <x:c r="I1785" s="274" t="n">
        <x:v>2.9</x:v>
      </x:c>
      <x:c r="J1785" s="274" t="n">
        <x:v>442.5</x:v>
      </x:c>
      <x:c r="K1785" s="274" t="n">
        <x:v>124</x:v>
      </x:c>
      <x:c r="M1785" s="274" t="s">
        <x:v>3529</x:v>
      </x:c>
      <x:c r="N1785" s="274" t="s">
        <x:v>3181</x:v>
      </x:c>
    </x:row>
    <x:row r="1786" spans="1:14">
      <x:c r="A1786" s="274" t="s">
        <x:v>3530</x:v>
      </x:c>
      <x:c r="B1786" s="274" t="n">
        <x:v>1.25</x:v>
      </x:c>
      <x:c r="C1786" s="274" t="n">
        <x:v>0</x:v>
      </x:c>
      <x:c r="D1786" s="274" t="n">
        <x:v>0</x:v>
      </x:c>
      <x:c r="F1786" s="274" t="s">
        <x:v>133</x:v>
      </x:c>
      <x:c r="G1786" s="274" t="s">
        <x:v>134</x:v>
      </x:c>
      <x:c r="I1786" s="274" t="n">
        <x:v>3.2</x:v>
      </x:c>
      <x:c r="J1786" s="274" t="n">
        <x:v>170</x:v>
      </x:c>
      <x:c r="K1786" s="274" t="n">
        <x:v>292.5</x:v>
      </x:c>
      <x:c r="M1786" s="274" t="s">
        <x:v>3531</x:v>
      </x:c>
      <x:c r="N1786" s="274" t="s">
        <x:v>3181</x:v>
      </x:c>
    </x:row>
    <x:row r="1787" spans="1:14">
      <x:c r="A1787" s="274" t="s">
        <x:v>3532</x:v>
      </x:c>
      <x:c r="B1787" s="274" t="n">
        <x:v>2.68</x:v>
      </x:c>
      <x:c r="C1787" s="274" t="n">
        <x:v>0</x:v>
      </x:c>
      <x:c r="D1787" s="274" t="n">
        <x:v>0</x:v>
      </x:c>
      <x:c r="F1787" s="274" t="s">
        <x:v>333</x:v>
      </x:c>
      <x:c r="G1787" s="274" t="s">
        <x:v>153</x:v>
      </x:c>
      <x:c r="I1787" s="274" t="n">
        <x:v>1.2</x:v>
      </x:c>
      <x:c r="J1787" s="274" t="n">
        <x:v>370</x:v>
      </x:c>
      <x:c r="K1787" s="274" t="n">
        <x:v>770</x:v>
      </x:c>
      <x:c r="M1787" s="274" t="s">
        <x:v>3533</x:v>
      </x:c>
      <x:c r="N1787" s="274" t="s">
        <x:v>299</x:v>
      </x:c>
    </x:row>
    <x:row r="1788" spans="1:14">
      <x:c r="A1788" s="274" t="s">
        <x:v>3534</x:v>
      </x:c>
      <x:c r="B1788" s="274" t="n">
        <x:v>0.31</x:v>
      </x:c>
      <x:c r="C1788" s="274" t="n">
        <x:v>0</x:v>
      </x:c>
      <x:c r="D1788" s="274" t="n">
        <x:v>36</x:v>
      </x:c>
      <x:c r="E1788" s="274" t="n">
        <x:v>33</x:v>
      </x:c>
      <x:c r="F1788" s="274" t="s">
        <x:v>133</x:v>
      </x:c>
      <x:c r="G1788" s="274" t="s">
        <x:v>134</x:v>
      </x:c>
      <x:c r="I1788" s="274" t="n">
        <x:v>3.2</x:v>
      </x:c>
      <x:c r="J1788" s="274" t="n">
        <x:v>111</x:v>
      </x:c>
      <x:c r="K1788" s="274" t="n">
        <x:v>111</x:v>
      </x:c>
      <x:c r="M1788" s="274" t="s">
        <x:v>3535</x:v>
      </x:c>
      <x:c r="N1788" s="274" t="s">
        <x:v>299</x:v>
      </x:c>
    </x:row>
    <x:row r="1789" spans="1:14">
      <x:c r="A1789" s="274" t="s">
        <x:v>3536</x:v>
      </x:c>
      <x:c r="B1789" s="274" t="n">
        <x:v>0.54</x:v>
      </x:c>
      <x:c r="C1789" s="274" t="n">
        <x:v>28</x:v>
      </x:c>
      <x:c r="D1789" s="274" t="n">
        <x:v>35</x:v>
      </x:c>
      <x:c r="E1789" s="274" t="n">
        <x:v>33</x:v>
      </x:c>
      <x:c r="F1789" s="274" t="s">
        <x:v>133</x:v>
      </x:c>
      <x:c r="G1789" s="274" t="s">
        <x:v>136</x:v>
      </x:c>
      <x:c r="H1789" s="274" t="n">
        <x:v>45</x:v>
      </x:c>
      <x:c r="I1789" s="274" t="n">
        <x:v>0.6</x:v>
      </x:c>
      <x:c r="J1789" s="274" t="n">
        <x:v>360</x:v>
      </x:c>
      <x:c r="K1789" s="274" t="n">
        <x:v>310</x:v>
      </x:c>
      <x:c r="M1789" s="274" t="s">
        <x:v>3537</x:v>
      </x:c>
      <x:c r="N1789" s="274" t="s">
        <x:v>131</x:v>
      </x:c>
    </x:row>
    <x:row r="1790" spans="1:14">
      <x:c r="A1790" s="274" t="s">
        <x:v>3538</x:v>
      </x:c>
      <x:c r="B1790" s="274" t="n">
        <x:v>2.03</x:v>
      </x:c>
      <x:c r="C1790" s="274" t="n">
        <x:v>0</x:v>
      </x:c>
      <x:c r="D1790" s="274" t="n">
        <x:v>22</x:v>
      </x:c>
      <x:c r="E1790" s="274" t="n">
        <x:v>20</x:v>
      </x:c>
      <x:c r="F1790" s="274" t="s">
        <x:v>133</x:v>
      </x:c>
      <x:c r="G1790" s="274" t="s">
        <x:v>134</x:v>
      </x:c>
      <x:c r="I1790" s="274" t="n">
        <x:v>2</x:v>
      </x:c>
      <x:c r="J1790" s="274" t="n">
        <x:v>119</x:v>
      </x:c>
      <x:c r="K1790" s="274" t="n">
        <x:v>1085</x:v>
      </x:c>
      <x:c r="M1790" s="274" t="s">
        <x:v>3539</x:v>
      </x:c>
      <x:c r="N1790" s="274" t="s">
        <x:v>155</x:v>
      </x:c>
    </x:row>
    <x:row r="1791" spans="1:14">
      <x:c r="A1791" s="274" t="s">
        <x:v>3540</x:v>
      </x:c>
      <x:c r="B1791" s="274" t="n">
        <x:v>1.67</x:v>
      </x:c>
      <x:c r="C1791" s="274" t="n">
        <x:v>0</x:v>
      </x:c>
      <x:c r="D1791" s="274" t="n">
        <x:v>36</x:v>
      </x:c>
      <x:c r="E1791" s="274" t="n">
        <x:v>33</x:v>
      </x:c>
      <x:c r="F1791" s="274" t="s">
        <x:v>133</x:v>
      </x:c>
      <x:c r="G1791" s="274" t="s">
        <x:v>134</x:v>
      </x:c>
      <x:c r="I1791" s="274" t="n">
        <x:v>3.2</x:v>
      </x:c>
      <x:c r="J1791" s="274" t="n">
        <x:v>295</x:v>
      </x:c>
      <x:c r="K1791" s="274" t="n">
        <x:v>226</x:v>
      </x:c>
      <x:c r="M1791" s="274" t="s">
        <x:v>3541</x:v>
      </x:c>
      <x:c r="N1791" s="274" t="s">
        <x:v>299</x:v>
      </x:c>
    </x:row>
    <x:row r="1792" spans="1:14">
      <x:c r="A1792" s="274" t="s">
        <x:v>3542</x:v>
      </x:c>
      <x:c r="B1792" s="274" t="n">
        <x:v>3.85</x:v>
      </x:c>
      <x:c r="C1792" s="274" t="n">
        <x:v>0</x:v>
      </x:c>
      <x:c r="D1792" s="274" t="n">
        <x:v>21</x:v>
      </x:c>
      <x:c r="E1792" s="274" t="n">
        <x:v>19</x:v>
      </x:c>
      <x:c r="F1792" s="274" t="s">
        <x:v>133</x:v>
      </x:c>
      <x:c r="G1792" s="274" t="s">
        <x:v>134</x:v>
      </x:c>
      <x:c r="I1792" s="274" t="n">
        <x:v>2.3</x:v>
      </x:c>
      <x:c r="J1792" s="274" t="n">
        <x:v>183</x:v>
      </x:c>
      <x:c r="K1792" s="274" t="n">
        <x:v>1164</x:v>
      </x:c>
      <x:c r="M1792" s="274" t="s">
        <x:v>1662</x:v>
      </x:c>
      <x:c r="N1792" s="274" t="s">
        <x:v>3543</x:v>
      </x:c>
    </x:row>
    <x:row r="1793" spans="1:14">
      <x:c r="A1793" s="274" t="s">
        <x:v>3544</x:v>
      </x:c>
      <x:c r="B1793" s="274" t="n">
        <x:v>6.42</x:v>
      </x:c>
      <x:c r="C1793" s="274" t="n">
        <x:v>0</x:v>
      </x:c>
      <x:c r="D1793" s="274" t="n">
        <x:v>24</x:v>
      </x:c>
      <x:c r="E1793" s="274" t="n">
        <x:v>22</x:v>
      </x:c>
      <x:c r="F1793" s="274" t="s">
        <x:v>133</x:v>
      </x:c>
      <x:c r="G1793" s="274" t="s">
        <x:v>148</x:v>
      </x:c>
      <x:c r="I1793" s="274" t="n">
        <x:v>2</x:v>
      </x:c>
      <x:c r="J1793" s="274" t="n">
        <x:v>372</x:v>
      </x:c>
      <x:c r="K1793" s="274" t="n">
        <x:v>1100</x:v>
      </x:c>
      <x:c r="M1793" s="274" t="s">
        <x:v>596</x:v>
      </x:c>
      <x:c r="N1793" s="274" t="s">
        <x:v>299</x:v>
      </x:c>
    </x:row>
    <x:row r="1794" spans="1:14">
      <x:c r="A1794" s="274" t="s">
        <x:v>3545</x:v>
      </x:c>
      <x:c r="B1794" s="274" t="n">
        <x:v>0.36</x:v>
      </x:c>
      <x:c r="C1794" s="274" t="n">
        <x:v>0</x:v>
      </x:c>
      <x:c r="D1794" s="274" t="n">
        <x:v>35</x:v>
      </x:c>
      <x:c r="E1794" s="274" t="n">
        <x:v>33</x:v>
      </x:c>
      <x:c r="F1794" s="274" t="s">
        <x:v>133</x:v>
      </x:c>
      <x:c r="G1794" s="274" t="s">
        <x:v>134</x:v>
      </x:c>
      <x:c r="I1794" s="274" t="n">
        <x:v>2.3</x:v>
      </x:c>
      <x:c r="J1794" s="274" t="n">
        <x:v>100</x:v>
      </x:c>
      <x:c r="K1794" s="274" t="n">
        <x:v>200</x:v>
      </x:c>
      <x:c r="M1794" s="274" t="s">
        <x:v>2392</x:v>
      </x:c>
      <x:c r="N1794" s="274" t="s">
        <x:v>131</x:v>
      </x:c>
    </x:row>
    <x:row r="1795" spans="1:14">
      <x:c r="A1795" s="274" t="s">
        <x:v>3546</x:v>
      </x:c>
      <x:c r="B1795" s="274" t="n">
        <x:v>2.7</x:v>
      </x:c>
      <x:c r="C1795" s="274" t="n">
        <x:v>0</x:v>
      </x:c>
      <x:c r="D1795" s="274" t="n">
        <x:v>36</x:v>
      </x:c>
      <x:c r="E1795" s="274" t="n">
        <x:v>0</x:v>
      </x:c>
      <x:c r="F1795" s="274" t="s">
        <x:v>133</x:v>
      </x:c>
      <x:c r="G1795" s="274" t="s">
        <x:v>3304</x:v>
      </x:c>
      <x:c r="I1795" s="274" t="n">
        <x:v>1</x:v>
      </x:c>
      <x:c r="J1795" s="274" t="n">
        <x:v>650</x:v>
      </x:c>
      <x:c r="K1795" s="274" t="n">
        <x:v>690</x:v>
      </x:c>
      <x:c r="L1795" s="274" t="n">
        <x:v>370</x:v>
      </x:c>
      <x:c r="M1795" s="274" t="s">
        <x:v>3547</x:v>
      </x:c>
      <x:c r="N1795" s="274" t="s">
        <x:v>3548</x:v>
      </x:c>
    </x:row>
    <x:row r="1796" spans="1:14">
      <x:c r="A1796" s="274" t="s">
        <x:v>3549</x:v>
      </x:c>
      <x:c r="B1796" s="274" t="n">
        <x:v>5.5</x:v>
      </x:c>
      <x:c r="C1796" s="274" t="n">
        <x:v>0</x:v>
      </x:c>
      <x:c r="D1796" s="274" t="n">
        <x:v>35</x:v>
      </x:c>
      <x:c r="E1796" s="274" t="n">
        <x:v>0</x:v>
      </x:c>
      <x:c r="F1796" s="274" t="s">
        <x:v>333</x:v>
      </x:c>
      <x:c r="G1796" s="274" t="s">
        <x:v>153</x:v>
      </x:c>
      <x:c r="I1796" s="274" t="n">
        <x:v>0.6</x:v>
      </x:c>
      <x:c r="J1796" s="274" t="n">
        <x:v>730</x:v>
      </x:c>
      <x:c r="K1796" s="274" t="n">
        <x:v>1860</x:v>
      </x:c>
      <x:c r="L1796" s="274" t="n">
        <x:v>1340</x:v>
      </x:c>
      <x:c r="M1796" s="274" t="s">
        <x:v>3550</x:v>
      </x:c>
      <x:c r="N1796" s="274" t="s">
        <x:v>3551</x:v>
      </x:c>
    </x:row>
    <x:row r="1797" spans="1:14">
      <x:c r="A1797" s="274" t="s">
        <x:v>3552</x:v>
      </x:c>
      <x:c r="B1797" s="274" t="n">
        <x:v>0.87</x:v>
      </x:c>
      <x:c r="C1797" s="274" t="n">
        <x:v>28</x:v>
      </x:c>
      <x:c r="D1797" s="274" t="n">
        <x:v>35</x:v>
      </x:c>
      <x:c r="E1797" s="274" t="n">
        <x:v>33</x:v>
      </x:c>
      <x:c r="F1797" s="274" t="s">
        <x:v>123</x:v>
      </x:c>
      <x:c r="G1797" s="274" t="s">
        <x:v>148</x:v>
      </x:c>
      <x:c r="I1797" s="274" t="n">
        <x:v>1.6</x:v>
      </x:c>
      <x:c r="J1797" s="274" t="n">
        <x:v>340</x:v>
      </x:c>
      <x:c r="K1797" s="274" t="n">
        <x:v>203</x:v>
      </x:c>
      <x:c r="M1797" s="274" t="s">
        <x:v>2539</x:v>
      </x:c>
      <x:c r="N1797" s="274" t="s">
        <x:v>155</x:v>
      </x:c>
    </x:row>
    <x:row r="1798" spans="1:14">
      <x:c r="A1798" s="274" t="s">
        <x:v>3553</x:v>
      </x:c>
      <x:c r="B1798" s="274" t="n">
        <x:v>1.93</x:v>
      </x:c>
      <x:c r="C1798" s="274" t="n">
        <x:v>19</x:v>
      </x:c>
      <x:c r="D1798" s="274" t="n">
        <x:v>28</x:v>
      </x:c>
      <x:c r="E1798" s="274" t="n">
        <x:v>26</x:v>
      </x:c>
      <x:c r="F1798" s="274" t="s">
        <x:v>123</x:v>
      </x:c>
      <x:c r="G1798" s="274" t="s">
        <x:v>148</x:v>
      </x:c>
      <x:c r="I1798" s="274" t="n">
        <x:v>1.6</x:v>
      </x:c>
      <x:c r="J1798" s="274" t="n">
        <x:v>193</x:v>
      </x:c>
      <x:c r="K1798" s="274" t="n">
        <x:v>795</x:v>
      </x:c>
      <x:c r="M1798" s="274" t="s">
        <x:v>2537</x:v>
      </x:c>
      <x:c r="N1798" s="274" t="s">
        <x:v>131</x:v>
      </x:c>
    </x:row>
    <x:row r="1799" spans="1:14">
      <x:c r="A1799" s="274" t="s">
        <x:v>3554</x:v>
      </x:c>
      <x:c r="B1799" s="274" t="n">
        <x:v>1.38</x:v>
      </x:c>
      <x:c r="C1799" s="274" t="n">
        <x:v>0</x:v>
      </x:c>
      <x:c r="D1799" s="274" t="n">
        <x:v>0</x:v>
      </x:c>
      <x:c r="F1799" s="274" t="s">
        <x:v>333</x:v>
      </x:c>
      <x:c r="G1799" s="274" t="s">
        <x:v>153</x:v>
      </x:c>
      <x:c r="I1799" s="274" t="n">
        <x:v>1.2</x:v>
      </x:c>
      <x:c r="J1799" s="274" t="n">
        <x:v>179</x:v>
      </x:c>
      <x:c r="K1799" s="274" t="n">
        <x:v>820</x:v>
      </x:c>
      <x:c r="M1799" s="274" t="s">
        <x:v>978</x:v>
      </x:c>
      <x:c r="N1799" s="274" t="s">
        <x:v>870</x:v>
      </x:c>
    </x:row>
    <x:row r="1800" spans="1:14">
      <x:c r="A1800" s="274" t="s">
        <x:v>3555</x:v>
      </x:c>
      <x:c r="B1800" s="274" t="n">
        <x:v>2.52</x:v>
      </x:c>
      <x:c r="C1800" s="274" t="n">
        <x:v>0</x:v>
      </x:c>
      <x:c r="D1800" s="274" t="n">
        <x:v>37</x:v>
      </x:c>
      <x:c r="E1800" s="274" t="n">
        <x:v>0</x:v>
      </x:c>
      <x:c r="F1800" s="274" t="s">
        <x:v>133</x:v>
      </x:c>
      <x:c r="G1800" s="274" t="s">
        <x:v>3304</x:v>
      </x:c>
      <x:c r="I1800" s="274" t="n">
        <x:v>0.75</x:v>
      </x:c>
      <x:c r="J1800" s="274" t="n">
        <x:v>720</x:v>
      </x:c>
      <x:c r="K1800" s="274" t="n">
        <x:v>750</x:v>
      </x:c>
      <x:c r="L1800" s="274" t="n">
        <x:v>440</x:v>
      </x:c>
      <x:c r="M1800" s="274" t="s">
        <x:v>3556</x:v>
      </x:c>
      <x:c r="N1800" s="274" t="s">
        <x:v>3438</x:v>
      </x:c>
    </x:row>
    <x:row r="1801" spans="1:14">
      <x:c r="A1801" s="274" t="s">
        <x:v>3557</x:v>
      </x:c>
      <x:c r="B1801" s="274" t="n">
        <x:v>0.25</x:v>
      </x:c>
      <x:c r="C1801" s="274" t="n">
        <x:v>32</x:v>
      </x:c>
      <x:c r="D1801" s="274" t="n">
        <x:v>36</x:v>
      </x:c>
      <x:c r="E1801" s="274" t="n">
        <x:v>33</x:v>
      </x:c>
      <x:c r="F1801" s="274" t="s">
        <x:v>123</x:v>
      </x:c>
      <x:c r="G1801" s="274" t="s">
        <x:v>129</x:v>
      </x:c>
      <x:c r="H1801" s="274" t="n">
        <x:v>45</x:v>
      </x:c>
      <x:c r="I1801" s="274" t="n">
        <x:v>0.7</x:v>
      </x:c>
      <x:c r="J1801" s="274" t="n">
        <x:v>281</x:v>
      </x:c>
      <x:c r="K1801" s="274" t="n">
        <x:v>160</x:v>
      </x:c>
      <x:c r="M1801" s="274" t="s">
        <x:v>3558</x:v>
      </x:c>
      <x:c r="N1801" s="274" t="s">
        <x:v>131</x:v>
      </x:c>
    </x:row>
    <x:row r="1802" spans="1:14">
      <x:c r="A1802" s="274" t="s">
        <x:v>3559</x:v>
      </x:c>
      <x:c r="B1802" s="274" t="n">
        <x:v>0.46</x:v>
      </x:c>
      <x:c r="C1802" s="274" t="n">
        <x:v>20</x:v>
      </x:c>
      <x:c r="D1802" s="274" t="n">
        <x:v>35</x:v>
      </x:c>
      <x:c r="E1802" s="274" t="n">
        <x:v>30</x:v>
      </x:c>
      <x:c r="F1802" s="274" t="s">
        <x:v>123</x:v>
      </x:c>
      <x:c r="G1802" s="274" t="s">
        <x:v>129</x:v>
      </x:c>
      <x:c r="H1802" s="274" t="n">
        <x:v>45</x:v>
      </x:c>
      <x:c r="I1802" s="274" t="n">
        <x:v>0.7</x:v>
      </x:c>
      <x:c r="J1802" s="274" t="n">
        <x:v>127</x:v>
      </x:c>
      <x:c r="K1802" s="274" t="n">
        <x:v>650</x:v>
      </x:c>
      <x:c r="M1802" s="274" t="s">
        <x:v>130</x:v>
      </x:c>
      <x:c r="N1802" s="274" t="s">
        <x:v>131</x:v>
      </x:c>
    </x:row>
    <x:row r="1803" spans="1:14">
      <x:c r="A1803" s="274" t="s">
        <x:v>3560</x:v>
      </x:c>
      <x:c r="B1803" s="274" t="n">
        <x:v>1.73</x:v>
      </x:c>
      <x:c r="C1803" s="274" t="n">
        <x:v>0</x:v>
      </x:c>
      <x:c r="D1803" s="274" t="n">
        <x:v>0</x:v>
      </x:c>
      <x:c r="F1803" s="274" t="s">
        <x:v>333</x:v>
      </x:c>
      <x:c r="G1803" s="274" t="s">
        <x:v>2711</x:v>
      </x:c>
      <x:c r="I1803" s="274" t="n">
        <x:v>1</x:v>
      </x:c>
      <x:c r="J1803" s="274" t="n">
        <x:v>1050</x:v>
      </x:c>
      <x:c r="K1803" s="274" t="n">
        <x:v>210</x:v>
      </x:c>
      <x:c r="M1803" s="274" t="s">
        <x:v>3394</x:v>
      </x:c>
      <x:c r="N1803" s="274" t="s">
        <x:v>3561</x:v>
      </x:c>
    </x:row>
    <x:row r="1804" spans="1:14">
      <x:c r="A1804" s="274" t="s">
        <x:v>3562</x:v>
      </x:c>
      <x:c r="B1804" s="274" t="n">
        <x:v>0.41</x:v>
      </x:c>
      <x:c r="C1804" s="274" t="n">
        <x:v>0</x:v>
      </x:c>
      <x:c r="D1804" s="274" t="n">
        <x:v>0</x:v>
      </x:c>
      <x:c r="F1804" s="274" t="s">
        <x:v>333</x:v>
      </x:c>
      <x:c r="G1804" s="274" t="s">
        <x:v>2157</x:v>
      </x:c>
      <x:c r="I1804" s="274" t="n">
        <x:v>0.8</x:v>
      </x:c>
      <x:c r="J1804" s="274" t="n">
        <x:v>423</x:v>
      </x:c>
      <x:c r="K1804" s="274" t="n">
        <x:v>154</x:v>
      </x:c>
      <x:c r="M1804" s="274" t="s">
        <x:v>2693</x:v>
      </x:c>
      <x:c r="N1804" s="274" t="s">
        <x:v>3561</x:v>
      </x:c>
    </x:row>
    <x:row r="1805" spans="1:14">
      <x:c r="A1805" s="274" t="s">
        <x:v>3563</x:v>
      </x:c>
      <x:c r="B1805" s="274" t="n">
        <x:v>1.36</x:v>
      </x:c>
      <x:c r="C1805" s="274" t="n">
        <x:v>0</x:v>
      </x:c>
      <x:c r="D1805" s="274" t="n">
        <x:v>0</x:v>
      </x:c>
      <x:c r="F1805" s="274" t="s">
        <x:v>333</x:v>
      </x:c>
      <x:c r="G1805" s="274" t="s">
        <x:v>2160</x:v>
      </x:c>
      <x:c r="I1805" s="274" t="n">
        <x:v>1</x:v>
      </x:c>
      <x:c r="J1805" s="274" t="n">
        <x:v>160</x:v>
      </x:c>
      <x:c r="K1805" s="274" t="n">
        <x:v>1080</x:v>
      </x:c>
      <x:c r="M1805" s="274" t="s">
        <x:v>2451</x:v>
      </x:c>
      <x:c r="N1805" s="274" t="s">
        <x:v>3564</x:v>
      </x:c>
    </x:row>
    <x:row r="1806" spans="1:14">
      <x:c r="A1806" s="274" t="s">
        <x:v>3565</x:v>
      </x:c>
      <x:c r="B1806" s="274" t="n">
        <x:v>0.45</x:v>
      </x:c>
      <x:c r="C1806" s="274" t="n">
        <x:v>27</x:v>
      </x:c>
      <x:c r="D1806" s="274" t="n">
        <x:v>35</x:v>
      </x:c>
      <x:c r="E1806" s="274" t="n">
        <x:v>33</x:v>
      </x:c>
      <x:c r="F1806" s="274" t="s">
        <x:v>333</x:v>
      </x:c>
      <x:c r="G1806" s="274" t="s">
        <x:v>2157</x:v>
      </x:c>
      <x:c r="I1806" s="274" t="n">
        <x:v>0.8</x:v>
      </x:c>
      <x:c r="J1806" s="274" t="n">
        <x:v>148</x:v>
      </x:c>
      <x:c r="K1806" s="274" t="n">
        <x:v>483</x:v>
      </x:c>
      <x:c r="M1806" s="274" t="s">
        <x:v>3566</x:v>
      </x:c>
      <x:c r="N1806" s="274" t="s">
        <x:v>3564</x:v>
      </x:c>
    </x:row>
    <x:row r="1807" spans="1:14">
      <x:c r="A1807" s="274" t="s">
        <x:v>3567</x:v>
      </x:c>
      <x:c r="B1807" s="274" t="n">
        <x:v>19.33</x:v>
      </x:c>
      <x:c r="C1807" s="274" t="n">
        <x:v>0</x:v>
      </x:c>
      <x:c r="D1807" s="274" t="n">
        <x:v>30</x:v>
      </x:c>
      <x:c r="F1807" s="274" t="s">
        <x:v>123</x:v>
      </x:c>
      <x:c r="G1807" s="274" t="s">
        <x:v>1985</x:v>
      </x:c>
      <x:c r="I1807" s="274" t="n">
        <x:v>0.8</x:v>
      </x:c>
      <x:c r="J1807" s="274" t="n">
        <x:v>1710</x:v>
      </x:c>
      <x:c r="K1807" s="274" t="n">
        <x:v>1800</x:v>
      </x:c>
      <x:c r="M1807" s="274" t="s">
        <x:v>3568</x:v>
      </x:c>
    </x:row>
    <x:row r="1808" spans="1:14">
      <x:c r="A1808" s="274" t="s">
        <x:v>3569</x:v>
      </x:c>
      <x:c r="B1808" s="274" t="n">
        <x:v>1.29</x:v>
      </x:c>
      <x:c r="C1808" s="274" t="n">
        <x:v>0</x:v>
      </x:c>
      <x:c r="D1808" s="274" t="n">
        <x:v>0</x:v>
      </x:c>
      <x:c r="F1808" s="274" t="s">
        <x:v>133</x:v>
      </x:c>
      <x:c r="G1808" s="274" t="s">
        <x:v>136</x:v>
      </x:c>
      <x:c r="H1808" s="274" t="n">
        <x:v>45</x:v>
      </x:c>
      <x:c r="I1808" s="274" t="n">
        <x:v>1.6</x:v>
      </x:c>
      <x:c r="J1808" s="274" t="n">
        <x:v>247</x:v>
      </x:c>
      <x:c r="K1808" s="274" t="n">
        <x:v>414</x:v>
      </x:c>
      <x:c r="M1808" s="274" t="s">
        <x:v>2726</x:v>
      </x:c>
      <x:c r="N1808" s="274" t="s">
        <x:v>299</x:v>
      </x:c>
    </x:row>
    <x:row r="1809" spans="1:14">
      <x:c r="A1809" s="274" t="s">
        <x:v>3570</x:v>
      </x:c>
      <x:c r="B1809" s="274" t="n">
        <x:v>1.36</x:v>
      </x:c>
      <x:c r="C1809" s="274" t="n">
        <x:v>0</x:v>
      </x:c>
      <x:c r="D1809" s="274" t="n">
        <x:v>36</x:v>
      </x:c>
      <x:c r="E1809" s="274" t="n">
        <x:v>33</x:v>
      </x:c>
      <x:c r="F1809" s="274" t="s">
        <x:v>133</x:v>
      </x:c>
      <x:c r="G1809" s="274" t="s">
        <x:v>136</x:v>
      </x:c>
      <x:c r="H1809" s="274" t="n">
        <x:v>45</x:v>
      </x:c>
      <x:c r="I1809" s="274" t="n">
        <x:v>2</x:v>
      </x:c>
      <x:c r="J1809" s="274" t="n">
        <x:v>210</x:v>
      </x:c>
      <x:c r="K1809" s="274" t="n">
        <x:v>410</x:v>
      </x:c>
      <x:c r="M1809" s="274" t="s">
        <x:v>3571</x:v>
      </x:c>
      <x:c r="N1809" s="274" t="s">
        <x:v>131</x:v>
      </x:c>
    </x:row>
    <x:row r="1810" spans="1:14">
      <x:c r="A1810" s="274" t="s">
        <x:v>3572</x:v>
      </x:c>
      <x:c r="B1810" s="274" t="n">
        <x:v>0.18</x:v>
      </x:c>
      <x:c r="C1810" s="274" t="n">
        <x:v>0</x:v>
      </x:c>
      <x:c r="D1810" s="274" t="n">
        <x:v>0</x:v>
      </x:c>
      <x:c r="F1810" s="274" t="s">
        <x:v>333</x:v>
      </x:c>
      <x:c r="G1810" s="274" t="s">
        <x:v>209</x:v>
      </x:c>
      <x:c r="I1810" s="274" t="n">
        <x:v>1</x:v>
      </x:c>
      <x:c r="J1810" s="274" t="n">
        <x:v>152</x:v>
      </x:c>
      <x:c r="K1810" s="274" t="n">
        <x:v>152</x:v>
      </x:c>
      <x:c r="M1810" s="274" t="s">
        <x:v>780</x:v>
      </x:c>
      <x:c r="N1810" s="274" t="s">
        <x:v>155</x:v>
      </x:c>
    </x:row>
    <x:row r="1811" spans="1:14">
      <x:c r="A1811" s="274" t="s">
        <x:v>3573</x:v>
      </x:c>
      <x:c r="B1811" s="274" t="n">
        <x:v>1.38</x:v>
      </x:c>
      <x:c r="C1811" s="274" t="n">
        <x:v>0</x:v>
      </x:c>
      <x:c r="D1811" s="274" t="n">
        <x:v>0</x:v>
      </x:c>
      <x:c r="F1811" s="274" t="s">
        <x:v>333</x:v>
      </x:c>
      <x:c r="G1811" s="274" t="s">
        <x:v>209</x:v>
      </x:c>
      <x:c r="I1811" s="274" t="n">
        <x:v>1</x:v>
      </x:c>
      <x:c r="J1811" s="274" t="n">
        <x:v>297</x:v>
      </x:c>
      <x:c r="K1811" s="274" t="n">
        <x:v>590</x:v>
      </x:c>
      <x:c r="M1811" s="274" t="s">
        <x:v>1350</x:v>
      </x:c>
      <x:c r="N1811" s="274" t="s">
        <x:v>155</x:v>
      </x:c>
    </x:row>
    <x:row r="1812" spans="1:14">
      <x:c r="A1812" s="274" t="s">
        <x:v>3574</x:v>
      </x:c>
      <x:c r="B1812" s="274" t="n">
        <x:v>3.13</x:v>
      </x:c>
      <x:c r="C1812" s="274" t="n">
        <x:v>0</x:v>
      </x:c>
      <x:c r="D1812" s="274" t="n">
        <x:v>0</x:v>
      </x:c>
      <x:c r="F1812" s="274" t="s">
        <x:v>133</x:v>
      </x:c>
      <x:c r="G1812" s="274" t="s">
        <x:v>148</x:v>
      </x:c>
      <x:c r="I1812" s="274" t="n">
        <x:v>3.2</x:v>
      </x:c>
      <x:c r="J1812" s="274" t="n">
        <x:v>297</x:v>
      </x:c>
      <x:c r="K1812" s="274" t="n">
        <x:v>420</x:v>
      </x:c>
      <x:c r="N1812" s="274" t="s">
        <x:v>3575</x:v>
      </x:c>
    </x:row>
    <x:row r="1813" spans="1:14">
      <x:c r="A1813" s="274" t="s">
        <x:v>3576</x:v>
      </x:c>
      <x:c r="B1813" s="274" t="n">
        <x:v>0.44</x:v>
      </x:c>
      <x:c r="C1813" s="274" t="n">
        <x:v>0</x:v>
      </x:c>
      <x:c r="D1813" s="274" t="n">
        <x:v>0</x:v>
      </x:c>
      <x:c r="F1813" s="274" t="s">
        <x:v>333</x:v>
      </x:c>
      <x:c r="G1813" s="274" t="s">
        <x:v>209</x:v>
      </x:c>
      <x:c r="I1813" s="274" t="n">
        <x:v>1.2</x:v>
      </x:c>
      <x:c r="J1813" s="274" t="n">
        <x:v>206</x:v>
      </x:c>
      <x:c r="K1813" s="274" t="n">
        <x:v>225</x:v>
      </x:c>
      <x:c r="M1813" s="274" t="s">
        <x:v>3577</x:v>
      </x:c>
      <x:c r="N1813" s="274" t="s">
        <x:v>2114</x:v>
      </x:c>
    </x:row>
    <x:row r="1814" spans="1:14">
      <x:c r="A1814" s="274" t="s">
        <x:v>3578</x:v>
      </x:c>
      <x:c r="B1814" s="274" t="n">
        <x:v>0.48</x:v>
      </x:c>
      <x:c r="C1814" s="274" t="n">
        <x:v>0</x:v>
      </x:c>
      <x:c r="D1814" s="274" t="n">
        <x:v>0</x:v>
      </x:c>
      <x:c r="F1814" s="274" t="s">
        <x:v>333</x:v>
      </x:c>
      <x:c r="G1814" s="274" t="s">
        <x:v>209</x:v>
      </x:c>
      <x:c r="I1814" s="274" t="n">
        <x:v>1.2</x:v>
      </x:c>
      <x:c r="J1814" s="274" t="n">
        <x:v>220</x:v>
      </x:c>
      <x:c r="K1814" s="274" t="n">
        <x:v>230</x:v>
      </x:c>
      <x:c r="M1814" s="274" t="s">
        <x:v>3579</x:v>
      </x:c>
      <x:c r="N1814" s="274" t="s">
        <x:v>2114</x:v>
      </x:c>
    </x:row>
    <x:row r="1815" spans="1:14">
      <x:c r="A1815" s="274" t="s">
        <x:v>3580</x:v>
      </x:c>
      <x:c r="B1815" s="274" t="n">
        <x:v>1.31</x:v>
      </x:c>
      <x:c r="C1815" s="274" t="n">
        <x:v>0</x:v>
      </x:c>
      <x:c r="D1815" s="274" t="n">
        <x:v>0</x:v>
      </x:c>
      <x:c r="F1815" s="274" t="s">
        <x:v>333</x:v>
      </x:c>
      <x:c r="G1815" s="274" t="s">
        <x:v>2160</x:v>
      </x:c>
      <x:c r="I1815" s="274" t="n">
        <x:v>1.4</x:v>
      </x:c>
      <x:c r="J1815" s="274" t="n">
        <x:v>374</x:v>
      </x:c>
      <x:c r="K1815" s="274" t="n">
        <x:v>318</x:v>
      </x:c>
      <x:c r="M1815" s="274" t="s">
        <x:v>3581</x:v>
      </x:c>
      <x:c r="N1815" s="274" t="s">
        <x:v>3582</x:v>
      </x:c>
    </x:row>
    <x:row r="1816" spans="1:14">
      <x:c r="A1816" s="274" t="s">
        <x:v>3583</x:v>
      </x:c>
      <x:c r="B1816" s="274" t="n">
        <x:v>0.95</x:v>
      </x:c>
      <x:c r="C1816" s="274" t="n">
        <x:v>0</x:v>
      </x:c>
      <x:c r="D1816" s="274" t="n">
        <x:v>0</x:v>
      </x:c>
      <x:c r="F1816" s="274" t="s">
        <x:v>333</x:v>
      </x:c>
      <x:c r="G1816" s="274" t="s">
        <x:v>2160</x:v>
      </x:c>
      <x:c r="I1816" s="274" t="n">
        <x:v>1</x:v>
      </x:c>
      <x:c r="J1816" s="274" t="n">
        <x:v>379</x:v>
      </x:c>
      <x:c r="K1816" s="274" t="n">
        <x:v>318</x:v>
      </x:c>
      <x:c r="M1816" s="274" t="s">
        <x:v>3584</x:v>
      </x:c>
      <x:c r="N1816" s="274" t="s">
        <x:v>3582</x:v>
      </x:c>
    </x:row>
    <x:row r="1817" spans="1:14">
      <x:c r="A1817" s="274" t="s">
        <x:v>3585</x:v>
      </x:c>
      <x:c r="B1817" s="274" t="n">
        <x:v>0.99</x:v>
      </x:c>
      <x:c r="C1817" s="274" t="n">
        <x:v>0</x:v>
      </x:c>
      <x:c r="D1817" s="274" t="n">
        <x:v>0</x:v>
      </x:c>
      <x:c r="F1817" s="274" t="s">
        <x:v>333</x:v>
      </x:c>
      <x:c r="G1817" s="274" t="s">
        <x:v>2468</x:v>
      </x:c>
      <x:c r="I1817" s="274" t="n">
        <x:v>0.7</x:v>
      </x:c>
      <x:c r="J1817" s="274" t="n">
        <x:v>341</x:v>
      </x:c>
      <x:c r="K1817" s="274" t="n">
        <x:v>530</x:v>
      </x:c>
      <x:c r="M1817" s="274" t="s">
        <x:v>2709</x:v>
      </x:c>
      <x:c r="N1817" s="274" t="s">
        <x:v>3586</x:v>
      </x:c>
    </x:row>
    <x:row r="1818" spans="1:14">
      <x:c r="A1818" s="274" t="s">
        <x:v>3587</x:v>
      </x:c>
      <x:c r="B1818" s="274" t="n">
        <x:v>0.53</x:v>
      </x:c>
      <x:c r="C1818" s="274" t="n">
        <x:v>0</x:v>
      </x:c>
      <x:c r="D1818" s="274" t="n">
        <x:v>0</x:v>
      </x:c>
      <x:c r="F1818" s="274" t="s">
        <x:v>333</x:v>
      </x:c>
      <x:c r="G1818" s="274" t="s">
        <x:v>2157</x:v>
      </x:c>
      <x:c r="I1818" s="274" t="n">
        <x:v>0.6</x:v>
      </x:c>
      <x:c r="J1818" s="274" t="n">
        <x:v>1090</x:v>
      </x:c>
      <x:c r="K1818" s="274" t="n">
        <x:v>104</x:v>
      </x:c>
      <x:c r="M1818" s="274" t="s">
        <x:v>2701</x:v>
      </x:c>
      <x:c r="N1818" s="274" t="s">
        <x:v>3586</x:v>
      </x:c>
    </x:row>
    <x:row r="1819" spans="1:14">
      <x:c r="A1819" s="274" t="s">
        <x:v>3588</x:v>
      </x:c>
      <x:c r="B1819" s="274" t="n">
        <x:v>0.48</x:v>
      </x:c>
      <x:c r="C1819" s="274" t="n">
        <x:v>0</x:v>
      </x:c>
      <x:c r="D1819" s="274" t="n">
        <x:v>0</x:v>
      </x:c>
      <x:c r="F1819" s="274" t="s">
        <x:v>333</x:v>
      </x:c>
      <x:c r="G1819" s="274" t="s">
        <x:v>2157</x:v>
      </x:c>
      <x:c r="I1819" s="274" t="n">
        <x:v>0.6</x:v>
      </x:c>
      <x:c r="J1819" s="274" t="n">
        <x:v>1020</x:v>
      </x:c>
      <x:c r="K1819" s="274" t="n">
        <x:v>100</x:v>
      </x:c>
      <x:c r="M1819" s="274" t="s">
        <x:v>3589</x:v>
      </x:c>
      <x:c r="N1819" s="274" t="s">
        <x:v>3586</x:v>
      </x:c>
    </x:row>
    <x:row r="1820" spans="1:14">
      <x:c r="A1820" s="274" t="s">
        <x:v>3590</x:v>
      </x:c>
      <x:c r="B1820" s="274" t="n">
        <x:v>2.185</x:v>
      </x:c>
      <x:c r="C1820" s="274" t="n">
        <x:v>0</x:v>
      </x:c>
      <x:c r="D1820" s="274" t="n">
        <x:v>0</x:v>
      </x:c>
      <x:c r="F1820" s="274" t="s">
        <x:v>333</x:v>
      </x:c>
      <x:c r="G1820" s="274" t="s">
        <x:v>2468</x:v>
      </x:c>
      <x:c r="I1820" s="274" t="n">
        <x:v>0.9</x:v>
      </x:c>
      <x:c r="J1820" s="274" t="n">
        <x:v>980</x:v>
      </x:c>
      <x:c r="K1820" s="274" t="n">
        <x:v>315</x:v>
      </x:c>
      <x:c r="M1820" s="274" t="s">
        <x:v>3591</x:v>
      </x:c>
      <x:c r="N1820" s="274" t="s">
        <x:v>3586</x:v>
      </x:c>
    </x:row>
    <x:row r="1821" spans="1:14">
      <x:c r="A1821" s="274" t="s">
        <x:v>3592</x:v>
      </x:c>
      <x:c r="B1821" s="274" t="n">
        <x:v>0.25</x:v>
      </x:c>
      <x:c r="C1821" s="274" t="n">
        <x:v>0</x:v>
      </x:c>
      <x:c r="D1821" s="274" t="n">
        <x:v>0</x:v>
      </x:c>
      <x:c r="F1821" s="274" t="s">
        <x:v>333</x:v>
      </x:c>
      <x:c r="G1821" s="274" t="s">
        <x:v>153</x:v>
      </x:c>
      <x:c r="I1821" s="274" t="n">
        <x:v>1</x:v>
      </x:c>
      <x:c r="J1821" s="274" t="n">
        <x:v>92</x:v>
      </x:c>
      <x:c r="K1821" s="274" t="n">
        <x:v>352</x:v>
      </x:c>
      <x:c r="M1821" s="274" t="s">
        <x:v>3593</x:v>
      </x:c>
      <x:c r="N1821" s="274" t="s">
        <x:v>915</x:v>
      </x:c>
    </x:row>
    <x:row r="1822" spans="1:14">
      <x:c r="A1822" s="274" t="s">
        <x:v>3594</x:v>
      </x:c>
      <x:c r="B1822" s="274" t="n">
        <x:v>3.8</x:v>
      </x:c>
      <x:c r="C1822" s="274" t="n">
        <x:v>0</x:v>
      </x:c>
      <x:c r="D1822" s="274" t="n">
        <x:v>21</x:v>
      </x:c>
      <x:c r="E1822" s="274" t="n">
        <x:v>19</x:v>
      </x:c>
      <x:c r="F1822" s="274" t="s">
        <x:v>128</x:v>
      </x:c>
      <x:c r="G1822" s="274" t="s">
        <x:v>136</x:v>
      </x:c>
      <x:c r="H1822" s="274" t="n">
        <x:v>45</x:v>
      </x:c>
      <x:c r="I1822" s="274" t="n">
        <x:v>2.3</x:v>
      </x:c>
      <x:c r="J1822" s="274" t="n">
        <x:v>176</x:v>
      </x:c>
      <x:c r="K1822" s="274" t="n">
        <x:v>1190</x:v>
      </x:c>
      <x:c r="M1822" s="274" t="s">
        <x:v>1658</x:v>
      </x:c>
      <x:c r="N1822" s="274" t="s">
        <x:v>870</x:v>
      </x:c>
    </x:row>
    <x:row r="1823" spans="1:14">
      <x:c r="A1823" s="274" t="s">
        <x:v>3595</x:v>
      </x:c>
      <x:c r="B1823" s="274" t="n">
        <x:v>4.83</x:v>
      </x:c>
      <x:c r="C1823" s="274" t="n">
        <x:v>0</x:v>
      </x:c>
      <x:c r="D1823" s="274" t="n">
        <x:v>28</x:v>
      </x:c>
      <x:c r="E1823" s="274" t="n">
        <x:v>24</x:v>
      </x:c>
      <x:c r="F1823" s="274" t="s">
        <x:v>133</x:v>
      </x:c>
      <x:c r="G1823" s="274" t="s">
        <x:v>148</x:v>
      </x:c>
      <x:c r="I1823" s="274" t="n">
        <x:v>2</x:v>
      </x:c>
      <x:c r="J1823" s="274" t="n">
        <x:v>362</x:v>
      </x:c>
      <x:c r="K1823" s="274" t="n">
        <x:v>850</x:v>
      </x:c>
      <x:c r="M1823" s="274" t="s">
        <x:v>592</x:v>
      </x:c>
      <x:c r="N1823" s="274" t="s">
        <x:v>3188</x:v>
      </x:c>
    </x:row>
    <x:row r="1824" spans="1:14">
      <x:c r="A1824" s="274" t="s">
        <x:v>3596</x:v>
      </x:c>
      <x:c r="B1824" s="274" t="n">
        <x:v>2.7</x:v>
      </x:c>
      <x:c r="C1824" s="274" t="n">
        <x:v>0</x:v>
      </x:c>
      <x:c r="D1824" s="274" t="n">
        <x:v>35</x:v>
      </x:c>
      <x:c r="E1824" s="274" t="n">
        <x:v>33</x:v>
      </x:c>
      <x:c r="F1824" s="274" t="s">
        <x:v>133</x:v>
      </x:c>
      <x:c r="G1824" s="274" t="s">
        <x:v>148</x:v>
      </x:c>
      <x:c r="I1824" s="274" t="n">
        <x:v>3.2</x:v>
      </x:c>
      <x:c r="J1824" s="274" t="n">
        <x:v>262</x:v>
      </x:c>
      <x:c r="K1824" s="274" t="n">
        <x:v>410</x:v>
      </x:c>
      <x:c r="M1824" s="274" t="s">
        <x:v>1163</x:v>
      </x:c>
      <x:c r="N1824" s="274" t="s">
        <x:v>131</x:v>
      </x:c>
    </x:row>
    <x:row r="1825" spans="1:14">
      <x:c r="A1825" s="274" t="s">
        <x:v>3597</x:v>
      </x:c>
      <x:c r="B1825" s="274" t="n">
        <x:v>3.38</x:v>
      </x:c>
      <x:c r="C1825" s="274" t="n">
        <x:v>0</x:v>
      </x:c>
      <x:c r="D1825" s="274" t="n">
        <x:v>21</x:v>
      </x:c>
      <x:c r="E1825" s="274" t="n">
        <x:v>19</x:v>
      </x:c>
      <x:c r="F1825" s="274" t="s">
        <x:v>133</x:v>
      </x:c>
      <x:c r="G1825" s="274" t="s">
        <x:v>136</x:v>
      </x:c>
      <x:c r="H1825" s="274" t="n">
        <x:v>45</x:v>
      </x:c>
      <x:c r="I1825" s="274" t="n">
        <x:v>2</x:v>
      </x:c>
      <x:c r="J1825" s="274" t="n">
        <x:v>173</x:v>
      </x:c>
      <x:c r="K1825" s="274" t="n">
        <x:v>1239</x:v>
      </x:c>
      <x:c r="M1825" s="274" t="s">
        <x:v>2370</x:v>
      </x:c>
      <x:c r="N1825" s="274" t="s">
        <x:v>131</x:v>
      </x:c>
    </x:row>
    <x:row r="1826" spans="1:14">
      <x:c r="A1826" s="274" t="s">
        <x:v>3598</x:v>
      </x:c>
      <x:c r="B1826" s="274" t="n">
        <x:v>2.91</x:v>
      </x:c>
      <x:c r="C1826" s="274" t="n">
        <x:v>0</x:v>
      </x:c>
      <x:c r="D1826" s="274" t="n">
        <x:v>21</x:v>
      </x:c>
      <x:c r="E1826" s="274" t="n">
        <x:v>19</x:v>
      </x:c>
      <x:c r="F1826" s="274" t="s">
        <x:v>123</x:v>
      </x:c>
      <x:c r="G1826" s="274" t="s">
        <x:v>148</x:v>
      </x:c>
      <x:c r="I1826" s="274" t="n">
        <x:v>1.8</x:v>
      </x:c>
      <x:c r="J1826" s="274" t="n">
        <x:v>166</x:v>
      </x:c>
      <x:c r="K1826" s="274" t="n">
        <x:v>1240</x:v>
      </x:c>
      <x:c r="M1826" s="274" t="s">
        <x:v>3599</x:v>
      </x:c>
      <x:c r="N1826" s="274" t="s">
        <x:v>131</x:v>
      </x:c>
    </x:row>
    <x:row r="1827" spans="1:14">
      <x:c r="A1827" s="274" t="s">
        <x:v>3600</x:v>
      </x:c>
      <x:c r="B1827" s="274" t="n">
        <x:v>0.45</x:v>
      </x:c>
      <x:c r="C1827" s="274" t="n">
        <x:v>27</x:v>
      </x:c>
      <x:c r="D1827" s="274" t="n">
        <x:v>35</x:v>
      </x:c>
      <x:c r="E1827" s="274" t="n">
        <x:v>33</x:v>
      </x:c>
      <x:c r="F1827" s="274" t="s">
        <x:v>333</x:v>
      </x:c>
      <x:c r="G1827" s="274" t="s">
        <x:v>2157</x:v>
      </x:c>
      <x:c r="I1827" s="274" t="n">
        <x:v>0.8</x:v>
      </x:c>
      <x:c r="J1827" s="274" t="n">
        <x:v>148</x:v>
      </x:c>
      <x:c r="K1827" s="274" t="n">
        <x:v>483</x:v>
      </x:c>
      <x:c r="M1827" s="274" t="s">
        <x:v>3601</x:v>
      </x:c>
      <x:c r="N1827" s="274" t="s">
        <x:v>3564</x:v>
      </x:c>
    </x:row>
    <x:row r="1828" spans="1:14">
      <x:c r="A1828" s="274" t="s">
        <x:v>3602</x:v>
      </x:c>
      <x:c r="B1828" s="274" t="n">
        <x:v>1.83</x:v>
      </x:c>
      <x:c r="C1828" s="274" t="n">
        <x:v>0</x:v>
      </x:c>
      <x:c r="D1828" s="274" t="n">
        <x:v>32</x:v>
      </x:c>
      <x:c r="E1828" s="274" t="n">
        <x:v>40</x:v>
      </x:c>
      <x:c r="F1828" s="274" t="s">
        <x:v>333</x:v>
      </x:c>
      <x:c r="G1828" s="274" t="s">
        <x:v>2468</x:v>
      </x:c>
      <x:c r="I1828" s="274" t="n">
        <x:v>0.7</x:v>
      </x:c>
      <x:c r="J1828" s="274" t="n">
        <x:v>1055</x:v>
      </x:c>
      <x:c r="K1828" s="274" t="n">
        <x:v>315</x:v>
      </x:c>
      <x:c r="M1828" s="274" t="s">
        <x:v>3603</x:v>
      </x:c>
      <x:c r="N1828" s="274" t="s">
        <x:v>3564</x:v>
      </x:c>
    </x:row>
    <x:row r="1829" spans="1:14">
      <x:c r="A1829" s="274" t="s">
        <x:v>3604</x:v>
      </x:c>
      <x:c r="B1829" s="274" t="n">
        <x:v>1.338</x:v>
      </x:c>
      <x:c r="C1829" s="274" t="n">
        <x:v>0</x:v>
      </x:c>
      <x:c r="D1829" s="274" t="n">
        <x:v>0</x:v>
      </x:c>
      <x:c r="E1829" s="274" t="n">
        <x:v>40</x:v>
      </x:c>
      <x:c r="F1829" s="274" t="s">
        <x:v>333</x:v>
      </x:c>
      <x:c r="G1829" s="274" t="s">
        <x:v>2468</x:v>
      </x:c>
      <x:c r="I1829" s="274" t="n">
        <x:v>0.7</x:v>
      </x:c>
      <x:c r="J1829" s="274" t="n">
        <x:v>709</x:v>
      </x:c>
      <x:c r="K1829" s="274" t="n">
        <x:v>340</x:v>
      </x:c>
      <x:c r="M1829" s="274" t="s">
        <x:v>3605</x:v>
      </x:c>
      <x:c r="N1829" s="274" t="s">
        <x:v>3564</x:v>
      </x:c>
    </x:row>
    <x:row r="1830" spans="1:14">
      <x:c r="A1830" s="274" t="s">
        <x:v>3606</x:v>
      </x:c>
      <x:c r="B1830" s="274" t="n">
        <x:v>1.12</x:v>
      </x:c>
      <x:c r="C1830" s="274" t="n">
        <x:v>0</x:v>
      </x:c>
      <x:c r="D1830" s="274" t="n">
        <x:v>0</x:v>
      </x:c>
      <x:c r="F1830" s="274" t="s">
        <x:v>333</x:v>
      </x:c>
      <x:c r="G1830" s="274" t="s">
        <x:v>2160</x:v>
      </x:c>
      <x:c r="I1830" s="274" t="n">
        <x:v>1</x:v>
      </x:c>
      <x:c r="J1830" s="274" t="n">
        <x:v>135</x:v>
      </x:c>
      <x:c r="K1830" s="274" t="n">
        <x:v>1055</x:v>
      </x:c>
      <x:c r="M1830" s="274" t="s">
        <x:v>3607</x:v>
      </x:c>
      <x:c r="N1830" s="274" t="s">
        <x:v>3564</x:v>
      </x:c>
    </x:row>
    <x:row r="1831" spans="1:14">
      <x:c r="A1831" s="274" t="s">
        <x:v>3608</x:v>
      </x:c>
      <x:c r="B1831" s="274" t="n">
        <x:v>0.22</x:v>
      </x:c>
      <x:c r="C1831" s="274" t="n">
        <x:v>35</x:v>
      </x:c>
      <x:c r="D1831" s="274" t="n">
        <x:v>35</x:v>
      </x:c>
      <x:c r="E1831" s="274" t="n">
        <x:v>33</x:v>
      </x:c>
      <x:c r="F1831" s="274" t="s">
        <x:v>333</x:v>
      </x:c>
      <x:c r="G1831" s="274" t="s">
        <x:v>2468</x:v>
      </x:c>
      <x:c r="I1831" s="274" t="n">
        <x:v>0.8</x:v>
      </x:c>
      <x:c r="J1831" s="274" t="n">
        <x:v>194</x:v>
      </x:c>
      <x:c r="K1831" s="274" t="n">
        <x:v>180</x:v>
      </x:c>
      <x:c r="M1831" s="274" t="s">
        <x:v>3609</x:v>
      </x:c>
      <x:c r="N1831" s="274" t="s">
        <x:v>3564</x:v>
      </x:c>
    </x:row>
    <x:row r="1832" spans="1:14">
      <x:c r="A1832" s="274" t="s">
        <x:v>3610</x:v>
      </x:c>
      <x:c r="B1832" s="274" t="n">
        <x:v>0.81</x:v>
      </x:c>
      <x:c r="C1832" s="274" t="n">
        <x:v>0</x:v>
      </x:c>
      <x:c r="D1832" s="274" t="n">
        <x:v>0</x:v>
      </x:c>
      <x:c r="F1832" s="274" t="s">
        <x:v>333</x:v>
      </x:c>
      <x:c r="G1832" s="274" t="s">
        <x:v>209</x:v>
      </x:c>
      <x:c r="I1832" s="274" t="n">
        <x:v>1.2</x:v>
      </x:c>
      <x:c r="J1832" s="274" t="n">
        <x:v>69</x:v>
      </x:c>
      <x:c r="K1832" s="274" t="n">
        <x:v>1240</x:v>
      </x:c>
      <x:c r="M1832" s="274" t="s">
        <x:v>3611</x:v>
      </x:c>
      <x:c r="N1832" s="274" t="s">
        <x:v>299</x:v>
      </x:c>
    </x:row>
    <x:row r="1833" spans="1:14">
      <x:c r="A1833" s="274" t="s">
        <x:v>3612</x:v>
      </x:c>
      <x:c r="B1833" s="274" t="n">
        <x:v>3.74</x:v>
      </x:c>
      <x:c r="C1833" s="274" t="n">
        <x:v>0</x:v>
      </x:c>
      <x:c r="D1833" s="274" t="n">
        <x:v>0</x:v>
      </x:c>
      <x:c r="F1833" s="274" t="s">
        <x:v>133</x:v>
      </x:c>
      <x:c r="G1833" s="274" t="s">
        <x:v>134</x:v>
      </x:c>
      <x:c r="I1833" s="274" t="n">
        <x:v>2.3</x:v>
      </x:c>
      <x:c r="J1833" s="274" t="n">
        <x:v>140</x:v>
      </x:c>
      <x:c r="K1833" s="274" t="n">
        <x:v>1480</x:v>
      </x:c>
      <x:c r="M1833" s="274" t="s">
        <x:v>3613</x:v>
      </x:c>
      <x:c r="N1833" s="274" t="s">
        <x:v>1437</x:v>
      </x:c>
    </x:row>
    <x:row r="1834" spans="1:14">
      <x:c r="A1834" s="274" t="s">
        <x:v>3614</x:v>
      </x:c>
      <x:c r="B1834" s="274" t="n">
        <x:v>1.12</x:v>
      </x:c>
      <x:c r="C1834" s="274" t="n">
        <x:v>0</x:v>
      </x:c>
      <x:c r="D1834" s="274" t="n">
        <x:v>0</x:v>
      </x:c>
      <x:c r="F1834" s="274" t="s">
        <x:v>333</x:v>
      </x:c>
      <x:c r="G1834" s="274" t="s">
        <x:v>209</x:v>
      </x:c>
      <x:c r="I1834" s="274" t="n">
        <x:v>1</x:v>
      </x:c>
      <x:c r="J1834" s="274" t="n">
        <x:v>214</x:v>
      </x:c>
      <x:c r="K1834" s="274" t="n">
        <x:v>665</x:v>
      </x:c>
      <x:c r="M1834" s="274" t="s">
        <x:v>3615</x:v>
      </x:c>
      <x:c r="N1834" s="274" t="s">
        <x:v>582</x:v>
      </x:c>
    </x:row>
    <x:row r="1835" spans="1:14">
      <x:c r="A1835" s="274" t="s">
        <x:v>3616</x:v>
      </x:c>
      <x:c r="B1835" s="274" t="n">
        <x:v>1.4</x:v>
      </x:c>
      <x:c r="C1835" s="274" t="n">
        <x:v>0</x:v>
      </x:c>
      <x:c r="D1835" s="274" t="n">
        <x:v>0</x:v>
      </x:c>
      <x:c r="F1835" s="274" t="s">
        <x:v>133</x:v>
      </x:c>
      <x:c r="G1835" s="274" t="s">
        <x:v>209</x:v>
      </x:c>
      <x:c r="I1835" s="274" t="n">
        <x:v>1.2</x:v>
      </x:c>
      <x:c r="J1835" s="274" t="n">
        <x:v>296</x:v>
      </x:c>
      <x:c r="K1835" s="274" t="n">
        <x:v>503</x:v>
      </x:c>
      <x:c r="M1835" s="274" t="s">
        <x:v>3617</x:v>
      </x:c>
      <x:c r="N1835" s="274" t="s">
        <x:v>915</x:v>
      </x:c>
    </x:row>
    <x:row r="1836" spans="1:14">
      <x:c r="A1836" s="274" t="s">
        <x:v>3618</x:v>
      </x:c>
      <x:c r="B1836" s="274" t="n">
        <x:v>2.68</x:v>
      </x:c>
      <x:c r="C1836" s="274" t="n">
        <x:v>0</x:v>
      </x:c>
      <x:c r="D1836" s="274" t="n">
        <x:v>0</x:v>
      </x:c>
      <x:c r="F1836" s="274" t="s">
        <x:v>123</x:v>
      </x:c>
      <x:c r="G1836" s="274" t="s">
        <x:v>209</x:v>
      </x:c>
      <x:c r="I1836" s="274" t="n">
        <x:v>1</x:v>
      </x:c>
      <x:c r="J1836" s="274" t="n">
        <x:v>287</x:v>
      </x:c>
      <x:c r="K1836" s="274" t="n">
        <x:v>1189</x:v>
      </x:c>
      <x:c r="M1836" s="274" t="s">
        <x:v>1314</x:v>
      </x:c>
      <x:c r="N1836" s="274" t="s">
        <x:v>870</x:v>
      </x:c>
    </x:row>
    <x:row r="1837" spans="1:14">
      <x:c r="A1837" s="274" t="s">
        <x:v>3619</x:v>
      </x:c>
      <x:c r="B1837" s="274" t="n">
        <x:v>0.41</x:v>
      </x:c>
      <x:c r="C1837" s="274" t="n">
        <x:v>35</x:v>
      </x:c>
      <x:c r="D1837" s="274" t="n">
        <x:v>35</x:v>
      </x:c>
      <x:c r="E1837" s="274" t="n">
        <x:v>33</x:v>
      </x:c>
      <x:c r="F1837" s="274" t="s">
        <x:v>333</x:v>
      </x:c>
      <x:c r="G1837" s="274" t="s">
        <x:v>2157</x:v>
      </x:c>
      <x:c r="I1837" s="274" t="n">
        <x:v>0.8</x:v>
      </x:c>
      <x:c r="J1837" s="274" t="n">
        <x:v>423</x:v>
      </x:c>
      <x:c r="K1837" s="274" t="n">
        <x:v>154</x:v>
      </x:c>
      <x:c r="M1837" s="274" t="s">
        <x:v>3620</x:v>
      </x:c>
      <x:c r="N1837" s="274" t="s">
        <x:v>3586</x:v>
      </x:c>
    </x:row>
    <x:row r="1838" spans="1:14">
      <x:c r="A1838" s="274" t="s">
        <x:v>3621</x:v>
      </x:c>
      <x:c r="B1838" s="274" t="n">
        <x:v>1.73</x:v>
      </x:c>
      <x:c r="C1838" s="274" t="n">
        <x:v>0</x:v>
      </x:c>
      <x:c r="D1838" s="274" t="n">
        <x:v>0</x:v>
      </x:c>
      <x:c r="F1838" s="274" t="s">
        <x:v>333</x:v>
      </x:c>
      <x:c r="G1838" s="274" t="s">
        <x:v>2711</x:v>
      </x:c>
      <x:c r="I1838" s="274" t="n">
        <x:v>1</x:v>
      </x:c>
      <x:c r="J1838" s="274" t="n">
        <x:v>1050</x:v>
      </x:c>
      <x:c r="K1838" s="274" t="n">
        <x:v>210</x:v>
      </x:c>
      <x:c r="M1838" s="274" t="s">
        <x:v>3622</x:v>
      </x:c>
      <x:c r="N1838" s="274" t="s">
        <x:v>3561</x:v>
      </x:c>
    </x:row>
    <x:row r="1839" spans="1:14">
      <x:c r="A1839" s="274" t="s">
        <x:v>3623</x:v>
      </x:c>
      <x:c r="B1839" s="274" t="n">
        <x:v>0.99</x:v>
      </x:c>
      <x:c r="C1839" s="274" t="n">
        <x:v>26</x:v>
      </x:c>
      <x:c r="D1839" s="274" t="n">
        <x:v>35</x:v>
      </x:c>
      <x:c r="E1839" s="274" t="n">
        <x:v>33</x:v>
      </x:c>
      <x:c r="F1839" s="274" t="s">
        <x:v>333</x:v>
      </x:c>
      <x:c r="G1839" s="274" t="s">
        <x:v>2468</x:v>
      </x:c>
      <x:c r="I1839" s="274" t="n">
        <x:v>0.7</x:v>
      </x:c>
      <x:c r="J1839" s="274" t="n">
        <x:v>341</x:v>
      </x:c>
      <x:c r="K1839" s="274" t="n">
        <x:v>530</x:v>
      </x:c>
      <x:c r="M1839" s="274" t="s">
        <x:v>3624</x:v>
      </x:c>
      <x:c r="N1839" s="274" t="s">
        <x:v>3561</x:v>
      </x:c>
    </x:row>
    <x:row r="1840" spans="1:14">
      <x:c r="A1840" s="274" t="s">
        <x:v>3625</x:v>
      </x:c>
      <x:c r="B1840" s="274" t="n">
        <x:v>0.53</x:v>
      </x:c>
      <x:c r="C1840" s="274" t="n">
        <x:v>0</x:v>
      </x:c>
      <x:c r="D1840" s="274" t="n">
        <x:v>0</x:v>
      </x:c>
      <x:c r="F1840" s="274" t="s">
        <x:v>333</x:v>
      </x:c>
      <x:c r="G1840" s="274" t="s">
        <x:v>2157</x:v>
      </x:c>
      <x:c r="I1840" s="274" t="n">
        <x:v>0.6</x:v>
      </x:c>
      <x:c r="J1840" s="274" t="n">
        <x:v>1090</x:v>
      </x:c>
      <x:c r="K1840" s="274" t="n">
        <x:v>104</x:v>
      </x:c>
      <x:c r="M1840" s="274" t="s">
        <x:v>3626</x:v>
      </x:c>
      <x:c r="N1840" s="274" t="s">
        <x:v>3586</x:v>
      </x:c>
    </x:row>
    <x:row r="1841" spans="1:14">
      <x:c r="A1841" s="274" t="s">
        <x:v>3627</x:v>
      </x:c>
      <x:c r="B1841" s="274" t="n">
        <x:v>0.48</x:v>
      </x:c>
      <x:c r="C1841" s="274" t="n">
        <x:v>0</x:v>
      </x:c>
      <x:c r="D1841" s="274" t="n">
        <x:v>0</x:v>
      </x:c>
      <x:c r="F1841" s="274" t="s">
        <x:v>333</x:v>
      </x:c>
      <x:c r="G1841" s="274" t="s">
        <x:v>2157</x:v>
      </x:c>
      <x:c r="I1841" s="274" t="n">
        <x:v>0.6</x:v>
      </x:c>
      <x:c r="J1841" s="274" t="n">
        <x:v>1020</x:v>
      </x:c>
      <x:c r="K1841" s="274" t="n">
        <x:v>100</x:v>
      </x:c>
      <x:c r="M1841" s="274" t="s">
        <x:v>3628</x:v>
      </x:c>
      <x:c r="N1841" s="274" t="s">
        <x:v>3586</x:v>
      </x:c>
    </x:row>
    <x:row r="1842" spans="1:14">
      <x:c r="A1842" s="274" t="s">
        <x:v>3629</x:v>
      </x:c>
      <x:c r="B1842" s="274" t="n">
        <x:v>1.24</x:v>
      </x:c>
      <x:c r="C1842" s="274" t="n">
        <x:v>0</x:v>
      </x:c>
      <x:c r="D1842" s="274" t="n">
        <x:v>0</x:v>
      </x:c>
      <x:c r="F1842" s="274" t="s">
        <x:v>133</x:v>
      </x:c>
      <x:c r="G1842" s="274" t="s">
        <x:v>148</x:v>
      </x:c>
      <x:c r="I1842" s="274" t="n">
        <x:v>2.6</x:v>
      </x:c>
      <x:c r="J1842" s="274" t="n">
        <x:v>190</x:v>
      </x:c>
      <x:c r="K1842" s="274" t="n">
        <x:v>320</x:v>
      </x:c>
      <x:c r="N1842" s="274" t="s">
        <x:v>3630</x:v>
      </x:c>
    </x:row>
    <x:row r="1843" spans="1:14">
      <x:c r="A1843" s="274" t="s">
        <x:v>3631</x:v>
      </x:c>
      <x:c r="B1843" s="274" t="n">
        <x:v>1.24</x:v>
      </x:c>
      <x:c r="C1843" s="274" t="n">
        <x:v>0</x:v>
      </x:c>
      <x:c r="D1843" s="274" t="n">
        <x:v>0</x:v>
      </x:c>
      <x:c r="F1843" s="274" t="s">
        <x:v>133</x:v>
      </x:c>
      <x:c r="G1843" s="274" t="s">
        <x:v>134</x:v>
      </x:c>
      <x:c r="I1843" s="274" t="n">
        <x:v>2.6</x:v>
      </x:c>
      <x:c r="J1843" s="274" t="n">
        <x:v>210</x:v>
      </x:c>
      <x:c r="K1843" s="274" t="n">
        <x:v>290</x:v>
      </x:c>
      <x:c r="N1843" s="274" t="s">
        <x:v>3630</x:v>
      </x:c>
    </x:row>
    <x:row r="1844" spans="1:14">
      <x:c r="A1844" s="274" t="s">
        <x:v>3632</x:v>
      </x:c>
      <x:c r="B1844" s="274" t="n">
        <x:v>1.17</x:v>
      </x:c>
      <x:c r="C1844" s="274" t="n">
        <x:v>0</x:v>
      </x:c>
      <x:c r="D1844" s="274" t="n">
        <x:v>0</x:v>
      </x:c>
      <x:c r="F1844" s="274" t="s">
        <x:v>133</x:v>
      </x:c>
      <x:c r="G1844" s="274" t="s">
        <x:v>136</x:v>
      </x:c>
      <x:c r="H1844" s="274" t="n">
        <x:v>45</x:v>
      </x:c>
      <x:c r="I1844" s="274" t="n">
        <x:v>1.2</x:v>
      </x:c>
      <x:c r="J1844" s="274" t="n">
        <x:v>333</x:v>
      </x:c>
      <x:c r="K1844" s="274" t="n">
        <x:v>369</x:v>
      </x:c>
      <x:c r="M1844" s="274" t="s">
        <x:v>3633</x:v>
      </x:c>
      <x:c r="N1844" s="274" t="s">
        <x:v>3634</x:v>
      </x:c>
    </x:row>
    <x:row r="1845" spans="1:14">
      <x:c r="A1845" s="274" t="s">
        <x:v>3635</x:v>
      </x:c>
      <x:c r="B1845" s="274" t="n">
        <x:v>0.19</x:v>
      </x:c>
      <x:c r="C1845" s="274" t="n">
        <x:v>0</x:v>
      </x:c>
      <x:c r="D1845" s="274" t="n">
        <x:v>0</x:v>
      </x:c>
      <x:c r="F1845" s="274" t="s">
        <x:v>133</x:v>
      </x:c>
      <x:c r="G1845" s="274" t="s">
        <x:v>134</x:v>
      </x:c>
      <x:c r="I1845" s="274" t="n">
        <x:v>2.8</x:v>
      </x:c>
      <x:c r="J1845" s="274" t="n">
        <x:v>112</x:v>
      </x:c>
      <x:c r="K1845" s="274" t="n">
        <x:v>76</x:v>
      </x:c>
      <x:c r="M1845" s="274" t="s">
        <x:v>3636</x:v>
      </x:c>
      <x:c r="N1845" s="274" t="s">
        <x:v>3637</x:v>
      </x:c>
    </x:row>
    <x:row r="1846" spans="1:14">
      <x:c r="A1846" s="274" t="s">
        <x:v>3638</x:v>
      </x:c>
      <x:c r="B1846" s="274" t="n">
        <x:v>1.16</x:v>
      </x:c>
      <x:c r="C1846" s="274" t="n">
        <x:v>0</x:v>
      </x:c>
      <x:c r="D1846" s="274" t="n">
        <x:v>0</x:v>
      </x:c>
      <x:c r="F1846" s="274" t="s">
        <x:v>333</x:v>
      </x:c>
      <x:c r="G1846" s="274" t="s">
        <x:v>153</x:v>
      </x:c>
      <x:c r="I1846" s="274" t="n">
        <x:v>1.2</x:v>
      </x:c>
      <x:c r="J1846" s="274" t="n">
        <x:v>185</x:v>
      </x:c>
      <x:c r="K1846" s="274" t="n">
        <x:v>666</x:v>
      </x:c>
      <x:c r="M1846" s="274" t="s">
        <x:v>3639</x:v>
      </x:c>
      <x:c r="N1846" s="274" t="s">
        <x:v>3637</x:v>
      </x:c>
    </x:row>
    <x:row r="1847" spans="1:14">
      <x:c r="A1847" s="274" t="s">
        <x:v>3640</x:v>
      </x:c>
      <x:c r="B1847" s="274" t="n">
        <x:v>5.8</x:v>
      </x:c>
      <x:c r="C1847" s="274" t="n">
        <x:v>0</x:v>
      </x:c>
      <x:c r="D1847" s="274" t="n">
        <x:v>0</x:v>
      </x:c>
      <x:c r="F1847" s="274" t="s">
        <x:v>333</x:v>
      </x:c>
      <x:c r="G1847" s="274" t="s">
        <x:v>153</x:v>
      </x:c>
      <x:c r="I1847" s="274" t="n">
        <x:v>0.9</x:v>
      </x:c>
      <x:c r="J1847" s="274" t="n">
        <x:v>657</x:v>
      </x:c>
      <x:c r="K1847" s="274" t="n">
        <x:v>1250</x:v>
      </x:c>
      <x:c r="M1847" s="274" t="s">
        <x:v>3641</x:v>
      </x:c>
      <x:c r="N1847" s="274" t="s">
        <x:v>3637</x:v>
      </x:c>
    </x:row>
    <x:row r="1848" spans="1:14">
      <x:c r="A1848" s="274" t="s">
        <x:v>3642</x:v>
      </x:c>
      <x:c r="B1848" s="274" t="n">
        <x:v>32.12</x:v>
      </x:c>
      <x:c r="C1848" s="274" t="n">
        <x:v>0</x:v>
      </x:c>
      <x:c r="D1848" s="274" t="n">
        <x:v>0</x:v>
      </x:c>
      <x:c r="E1848" s="274" t="n">
        <x:v>0</x:v>
      </x:c>
      <x:c r="F1848" s="274" t="s">
        <x:v>123</x:v>
      </x:c>
      <x:c r="G1848" s="274" t="s">
        <x:v>1728</x:v>
      </x:c>
      <x:c r="H1848" s="274" t="s">
        <x:v>1729</x:v>
      </x:c>
      <x:c r="I1848" s="274" t="n">
        <x:v>0.7</x:v>
      </x:c>
      <x:c r="J1848" s="274" t="n">
        <x:v>1625</x:v>
      </x:c>
      <x:c r="K1848" s="274" t="n">
        <x:v>3540</x:v>
      </x:c>
      <x:c r="M1848" s="274" t="s">
        <x:v>2022</x:v>
      </x:c>
      <x:c r="N1848" s="274" t="s">
        <x:v>299</x:v>
      </x:c>
    </x:row>
    <x:row r="1849" spans="1:14">
      <x:c r="A1849" s="274" t="s">
        <x:v>3643</x:v>
      </x:c>
      <x:c r="B1849" s="274" t="n">
        <x:v>32.12</x:v>
      </x:c>
      <x:c r="C1849" s="274" t="n">
        <x:v>0</x:v>
      </x:c>
      <x:c r="D1849" s="274" t="n">
        <x:v>0</x:v>
      </x:c>
      <x:c r="E1849" s="274" t="n">
        <x:v>0</x:v>
      </x:c>
      <x:c r="F1849" s="274" t="s">
        <x:v>123</x:v>
      </x:c>
      <x:c r="G1849" s="274" t="s">
        <x:v>1728</x:v>
      </x:c>
      <x:c r="H1849" s="274" t="s">
        <x:v>1732</x:v>
      </x:c>
      <x:c r="I1849" s="274" t="n">
        <x:v>0.7</x:v>
      </x:c>
      <x:c r="J1849" s="274" t="n">
        <x:v>1625</x:v>
      </x:c>
      <x:c r="K1849" s="274" t="n">
        <x:v>3540</x:v>
      </x:c>
      <x:c r="M1849" s="274" t="s">
        <x:v>2020</x:v>
      </x:c>
      <x:c r="N1849" s="274" t="s">
        <x:v>299</x:v>
      </x:c>
    </x:row>
    <x:row r="1850" spans="1:14">
      <x:c r="A1850" s="274" t="s">
        <x:v>3644</x:v>
      </x:c>
      <x:c r="B1850" s="274" t="n">
        <x:v>7.36</x:v>
      </x:c>
      <x:c r="C1850" s="274" t="n">
        <x:v>0</x:v>
      </x:c>
      <x:c r="D1850" s="274" t="n">
        <x:v>0</x:v>
      </x:c>
      <x:c r="F1850" s="274" t="s">
        <x:v>133</x:v>
      </x:c>
      <x:c r="G1850" s="274" t="s">
        <x:v>3645</x:v>
      </x:c>
      <x:c r="I1850" s="274" t="n">
        <x:v>3</x:v>
      </x:c>
      <x:c r="J1850" s="274" t="n">
        <x:v>250</x:v>
      </x:c>
      <x:c r="K1850" s="274" t="n">
        <x:v>1250</x:v>
      </x:c>
      <x:c r="M1850" s="274" t="s">
        <x:v>3646</x:v>
      </x:c>
    </x:row>
    <x:row r="1851" spans="1:14">
      <x:c r="A1851" s="274" t="s">
        <x:v>3647</x:v>
      </x:c>
      <x:c r="B1851" s="274" t="n">
        <x:v>1.55</x:v>
      </x:c>
      <x:c r="C1851" s="274" t="n">
        <x:v>0</x:v>
      </x:c>
      <x:c r="D1851" s="274" t="n">
        <x:v>0</x:v>
      </x:c>
      <x:c r="F1851" s="274" t="s">
        <x:v>123</x:v>
      </x:c>
      <x:c r="G1851" s="274" t="s">
        <x:v>1728</x:v>
      </x:c>
      <x:c r="H1851" s="274" t="s">
        <x:v>1729</x:v>
      </x:c>
      <x:c r="I1851" s="274" t="n">
        <x:v>0.7</x:v>
      </x:c>
      <x:c r="J1851" s="274" t="n">
        <x:v>510</x:v>
      </x:c>
      <x:c r="K1851" s="274" t="n">
        <x:v>545</x:v>
      </x:c>
      <x:c r="M1851" s="274" t="s">
        <x:v>2768</x:v>
      </x:c>
      <x:c r="N1851" s="274" t="s">
        <x:v>299</x:v>
      </x:c>
    </x:row>
    <x:row r="1852" spans="1:14">
      <x:c r="A1852" s="274" t="s">
        <x:v>3648</x:v>
      </x:c>
      <x:c r="B1852" s="274" t="n">
        <x:v>1.55</x:v>
      </x:c>
      <x:c r="C1852" s="274" t="n">
        <x:v>0</x:v>
      </x:c>
      <x:c r="D1852" s="274" t="n">
        <x:v>0</x:v>
      </x:c>
      <x:c r="F1852" s="274" t="s">
        <x:v>123</x:v>
      </x:c>
      <x:c r="G1852" s="274" t="s">
        <x:v>1728</x:v>
      </x:c>
      <x:c r="H1852" s="274" t="s">
        <x:v>1732</x:v>
      </x:c>
      <x:c r="I1852" s="274" t="n">
        <x:v>0.7</x:v>
      </x:c>
      <x:c r="J1852" s="274" t="n">
        <x:v>510</x:v>
      </x:c>
      <x:c r="K1852" s="274" t="n">
        <x:v>545</x:v>
      </x:c>
      <x:c r="M1852" s="274" t="s">
        <x:v>2764</x:v>
      </x:c>
      <x:c r="N1852" s="274" t="s">
        <x:v>299</x:v>
      </x:c>
    </x:row>
    <x:row r="1853" spans="1:14">
      <x:c r="A1853" s="274" t="s">
        <x:v>3649</x:v>
      </x:c>
      <x:c r="B1853" s="274" t="n">
        <x:v>0.97</x:v>
      </x:c>
      <x:c r="C1853" s="274" t="n">
        <x:v>0</x:v>
      </x:c>
      <x:c r="D1853" s="274" t="n">
        <x:v>0</x:v>
      </x:c>
      <x:c r="F1853" s="274" t="s">
        <x:v>133</x:v>
      </x:c>
      <x:c r="G1853" s="274" t="s">
        <x:v>134</x:v>
      </x:c>
      <x:c r="I1853" s="274" t="n">
        <x:v>2</x:v>
      </x:c>
      <x:c r="J1853" s="274" t="n">
        <x:v>487</x:v>
      </x:c>
      <x:c r="K1853" s="274" t="n">
        <x:v>127</x:v>
      </x:c>
      <x:c r="M1853" s="274" t="s">
        <x:v>182</x:v>
      </x:c>
      <x:c r="N1853" s="274" t="s">
        <x:v>131</x:v>
      </x:c>
    </x:row>
    <x:row r="1854" spans="1:14">
      <x:c r="A1854" s="274" t="s">
        <x:v>3650</x:v>
      </x:c>
      <x:c r="B1854" s="274" t="n">
        <x:v>1.71</x:v>
      </x:c>
      <x:c r="C1854" s="274" t="n">
        <x:v>0</x:v>
      </x:c>
      <x:c r="D1854" s="274" t="n">
        <x:v>0</x:v>
      </x:c>
      <x:c r="F1854" s="274" t="s">
        <x:v>184</x:v>
      </x:c>
      <x:c r="G1854" s="274" t="s">
        <x:v>1718</x:v>
      </x:c>
      <x:c r="H1854" s="274" t="n">
        <x:v>45</x:v>
      </x:c>
      <x:c r="I1854" s="274" t="n">
        <x:v>1.6</x:v>
      </x:c>
      <x:c r="J1854" s="274" t="n">
        <x:v>225</x:v>
      </x:c>
      <x:c r="K1854" s="274" t="n">
        <x:v>600</x:v>
      </x:c>
      <x:c r="M1854" s="274" t="s">
        <x:v>1866</x:v>
      </x:c>
      <x:c r="N1854" s="274" t="s">
        <x:v>870</x:v>
      </x:c>
    </x:row>
    <x:row r="1855" spans="1:14">
      <x:c r="A1855" s="274" t="s">
        <x:v>3651</x:v>
      </x:c>
      <x:c r="B1855" s="274" t="n">
        <x:v>0.61</x:v>
      </x:c>
      <x:c r="C1855" s="274" t="n">
        <x:v>0</x:v>
      </x:c>
      <x:c r="D1855" s="274" t="n">
        <x:v>0</x:v>
      </x:c>
      <x:c r="F1855" s="274" t="s">
        <x:v>123</x:v>
      </x:c>
      <x:c r="G1855" s="274" t="s">
        <x:v>124</x:v>
      </x:c>
      <x:c r="I1855" s="274" t="n">
        <x:v>0.8</x:v>
      </x:c>
      <x:c r="J1855" s="274" t="n">
        <x:v>285</x:v>
      </x:c>
      <x:c r="K1855" s="274" t="n">
        <x:v>340</x:v>
      </x:c>
      <x:c r="M1855" s="274" t="s">
        <x:v>1773</x:v>
      </x:c>
      <x:c r="N1855" s="274" t="s">
        <x:v>870</x:v>
      </x:c>
    </x:row>
    <x:row r="1856" spans="1:14">
      <x:c r="A1856" s="274" t="s">
        <x:v>3652</x:v>
      </x:c>
      <x:c r="B1856" s="274" t="n">
        <x:v>1.34</x:v>
      </x:c>
      <x:c r="C1856" s="274" t="n">
        <x:v>0</x:v>
      </x:c>
      <x:c r="D1856" s="274" t="n">
        <x:v>0</x:v>
      </x:c>
      <x:c r="F1856" s="274" t="s">
        <x:v>333</x:v>
      </x:c>
      <x:c r="G1856" s="274" t="s">
        <x:v>2468</x:v>
      </x:c>
      <x:c r="I1856" s="274" t="n">
        <x:v>0.7</x:v>
      </x:c>
      <x:c r="J1856" s="274" t="n">
        <x:v>824</x:v>
      </x:c>
      <x:c r="K1856" s="274" t="n">
        <x:v>296</x:v>
      </x:c>
      <x:c r="M1856" s="274" t="s">
        <x:v>3653</x:v>
      </x:c>
      <x:c r="N1856" s="274" t="s">
        <x:v>3654</x:v>
      </x:c>
    </x:row>
    <x:row r="1857" spans="1:14">
      <x:c r="A1857" s="274" t="s">
        <x:v>3655</x:v>
      </x:c>
      <x:c r="B1857" s="274" t="n">
        <x:v>1.39</x:v>
      </x:c>
      <x:c r="C1857" s="274" t="n">
        <x:v>0</x:v>
      </x:c>
      <x:c r="D1857" s="274" t="n">
        <x:v>0</x:v>
      </x:c>
      <x:c r="F1857" s="274" t="s">
        <x:v>333</x:v>
      </x:c>
      <x:c r="G1857" s="274" t="s">
        <x:v>2160</x:v>
      </x:c>
      <x:c r="I1857" s="274" t="n">
        <x:v>1</x:v>
      </x:c>
      <x:c r="J1857" s="274" t="n">
        <x:v>162</x:v>
      </x:c>
      <x:c r="K1857" s="274" t="n">
        <x:v>1092</x:v>
      </x:c>
      <x:c r="M1857" s="274" t="s">
        <x:v>3656</x:v>
      </x:c>
      <x:c r="N1857" s="274" t="s">
        <x:v>3657</x:v>
      </x:c>
    </x:row>
    <x:row r="1858" spans="1:14">
      <x:c r="A1858" s="274" t="s">
        <x:v>3658</x:v>
      </x:c>
      <x:c r="B1858" s="274" t="n">
        <x:v>0.46</x:v>
      </x:c>
      <x:c r="C1858" s="274" t="n">
        <x:v>0</x:v>
      </x:c>
      <x:c r="D1858" s="274" t="n">
        <x:v>0</x:v>
      </x:c>
      <x:c r="F1858" s="274" t="s">
        <x:v>333</x:v>
      </x:c>
      <x:c r="G1858" s="274" t="s">
        <x:v>2157</x:v>
      </x:c>
      <x:c r="I1858" s="274" t="n">
        <x:v>0.6</x:v>
      </x:c>
      <x:c r="J1858" s="274" t="n">
        <x:v>1110</x:v>
      </x:c>
      <x:c r="K1858" s="274" t="n">
        <x:v>88</x:v>
      </x:c>
      <x:c r="M1858" s="274" t="s">
        <x:v>3659</x:v>
      </x:c>
      <x:c r="N1858" s="274" t="s">
        <x:v>3654</x:v>
      </x:c>
    </x:row>
    <x:row r="1859" spans="1:14">
      <x:c r="A1859" s="274" t="s">
        <x:v>3660</x:v>
      </x:c>
      <x:c r="B1859" s="274" t="n">
        <x:v>0.98</x:v>
      </x:c>
      <x:c r="C1859" s="274" t="n">
        <x:v>0</x:v>
      </x:c>
      <x:c r="D1859" s="274" t="n">
        <x:v>35</x:v>
      </x:c>
      <x:c r="E1859" s="274" t="n">
        <x:v>33</x:v>
      </x:c>
      <x:c r="F1859" s="274" t="s">
        <x:v>333</x:v>
      </x:c>
      <x:c r="G1859" s="274" t="s">
        <x:v>2468</x:v>
      </x:c>
      <x:c r="I1859" s="274" t="n">
        <x:v>0.8</x:v>
      </x:c>
      <x:c r="J1859" s="274" t="n">
        <x:v>585</x:v>
      </x:c>
      <x:c r="K1859" s="274" t="n">
        <x:v>268</x:v>
      </x:c>
      <x:c r="M1859" s="274" t="s">
        <x:v>3661</x:v>
      </x:c>
      <x:c r="N1859" s="274" t="s">
        <x:v>3654</x:v>
      </x:c>
    </x:row>
    <x:row r="1860" spans="1:14">
      <x:c r="A1860" s="274" t="s">
        <x:v>3662</x:v>
      </x:c>
      <x:c r="B1860" s="274" t="n">
        <x:v>1.39</x:v>
      </x:c>
      <x:c r="C1860" s="274" t="n">
        <x:v>0</x:v>
      </x:c>
      <x:c r="D1860" s="274" t="n">
        <x:v>0</x:v>
      </x:c>
      <x:c r="F1860" s="274" t="s">
        <x:v>333</x:v>
      </x:c>
      <x:c r="G1860" s="274" t="s">
        <x:v>2160</x:v>
      </x:c>
      <x:c r="I1860" s="274" t="n">
        <x:v>1</x:v>
      </x:c>
      <x:c r="J1860" s="274" t="n">
        <x:v>162</x:v>
      </x:c>
      <x:c r="K1860" s="274" t="n">
        <x:v>1092</x:v>
      </x:c>
      <x:c r="M1860" s="274" t="s">
        <x:v>3663</x:v>
      </x:c>
      <x:c r="N1860" s="274" t="s">
        <x:v>3657</x:v>
      </x:c>
    </x:row>
    <x:row r="1861" spans="1:14">
      <x:c r="A1861" s="274" t="s">
        <x:v>3664</x:v>
      </x:c>
      <x:c r="B1861" s="274" t="n">
        <x:v>1.39</x:v>
      </x:c>
      <x:c r="C1861" s="274" t="n">
        <x:v>0</x:v>
      </x:c>
      <x:c r="D1861" s="274" t="n">
        <x:v>0</x:v>
      </x:c>
      <x:c r="F1861" s="274" t="s">
        <x:v>333</x:v>
      </x:c>
      <x:c r="G1861" s="274" t="s">
        <x:v>2160</x:v>
      </x:c>
      <x:c r="I1861" s="274" t="n">
        <x:v>1</x:v>
      </x:c>
      <x:c r="J1861" s="274" t="n">
        <x:v>162</x:v>
      </x:c>
      <x:c r="K1861" s="274" t="n">
        <x:v>1092</x:v>
      </x:c>
      <x:c r="M1861" s="274" t="s">
        <x:v>3665</x:v>
      </x:c>
      <x:c r="N1861" s="274" t="s">
        <x:v>3654</x:v>
      </x:c>
    </x:row>
    <x:row r="1862" spans="1:14">
      <x:c r="A1862" s="274" t="s">
        <x:v>3666</x:v>
      </x:c>
      <x:c r="B1862" s="274" t="n">
        <x:v>0.58</x:v>
      </x:c>
      <x:c r="C1862" s="274" t="n">
        <x:v>0</x:v>
      </x:c>
      <x:c r="D1862" s="274" t="n">
        <x:v>0</x:v>
      </x:c>
      <x:c r="F1862" s="274" t="s">
        <x:v>133</x:v>
      </x:c>
      <x:c r="G1862" s="274" t="s">
        <x:v>209</x:v>
      </x:c>
      <x:c r="I1862" s="274" t="n">
        <x:v>0.8</x:v>
      </x:c>
      <x:c r="J1862" s="274" t="n">
        <x:v>288</x:v>
      </x:c>
      <x:c r="K1862" s="274" t="n">
        <x:v>319</x:v>
      </x:c>
      <x:c r="M1862" s="274" t="s">
        <x:v>2804</x:v>
      </x:c>
      <x:c r="N1862" s="274" t="s">
        <x:v>893</x:v>
      </x:c>
    </x:row>
    <x:row r="1863" spans="1:14">
      <x:c r="A1863" s="274" t="s">
        <x:v>3667</x:v>
      </x:c>
      <x:c r="B1863" s="274" t="n">
        <x:v>1.32</x:v>
      </x:c>
      <x:c r="C1863" s="274" t="n">
        <x:v>0</x:v>
      </x:c>
      <x:c r="D1863" s="274" t="n">
        <x:v>0</x:v>
      </x:c>
      <x:c r="F1863" s="274" t="s">
        <x:v>333</x:v>
      </x:c>
      <x:c r="G1863" s="274" t="s">
        <x:v>153</x:v>
      </x:c>
      <x:c r="I1863" s="274" t="n">
        <x:v>1.6</x:v>
      </x:c>
      <x:c r="J1863" s="274" t="n">
        <x:v>97</x:v>
      </x:c>
      <x:c r="K1863" s="274" t="n">
        <x:v>1080</x:v>
      </x:c>
      <x:c r="M1863" s="274" t="s">
        <x:v>3668</x:v>
      </x:c>
      <x:c r="N1863" s="274" t="s">
        <x:v>2802</x:v>
      </x:c>
    </x:row>
    <x:row r="1864" spans="1:14">
      <x:c r="A1864" s="274" t="s">
        <x:v>3669</x:v>
      </x:c>
      <x:c r="B1864" s="274" t="n">
        <x:v>30.16</x:v>
      </x:c>
      <x:c r="C1864" s="274" t="n">
        <x:v>0</x:v>
      </x:c>
      <x:c r="D1864" s="274" t="n">
        <x:v>0</x:v>
      </x:c>
      <x:c r="F1864" s="274" t="s">
        <x:v>123</x:v>
      </x:c>
      <x:c r="G1864" s="274" t="s">
        <x:v>139</x:v>
      </x:c>
      <x:c r="I1864" s="274" t="n">
        <x:v>3.8</x:v>
      </x:c>
      <x:c r="J1864" s="274" t="n">
        <x:v>1240</x:v>
      </x:c>
      <x:c r="K1864" s="274" t="n">
        <x:v>815</x:v>
      </x:c>
      <x:c r="M1864" s="274" t="s">
        <x:v>3670</x:v>
      </x:c>
      <x:c r="N1864" s="274" t="s">
        <x:v>3671</x:v>
      </x:c>
    </x:row>
    <x:row r="1865" spans="1:14">
      <x:c r="A1865" s="274" t="s">
        <x:v>3672</x:v>
      </x:c>
      <x:c r="B1865" s="274" t="n">
        <x:v>31.44</x:v>
      </x:c>
      <x:c r="C1865" s="274" t="n">
        <x:v>0</x:v>
      </x:c>
      <x:c r="D1865" s="274" t="n">
        <x:v>0</x:v>
      </x:c>
      <x:c r="F1865" s="274" t="s">
        <x:v>123</x:v>
      </x:c>
      <x:c r="G1865" s="274" t="s">
        <x:v>139</x:v>
      </x:c>
      <x:c r="I1865" s="274" t="n">
        <x:v>4.5</x:v>
      </x:c>
      <x:c r="J1865" s="274" t="n">
        <x:v>1035</x:v>
      </x:c>
      <x:c r="K1865" s="274" t="n">
        <x:v>860</x:v>
      </x:c>
      <x:c r="M1865" s="274" t="s">
        <x:v>3673</x:v>
      </x:c>
      <x:c r="N1865" s="274" t="s">
        <x:v>3671</x:v>
      </x:c>
    </x:row>
    <x:row r="1866" spans="1:14">
      <x:c r="A1866" s="274" t="s">
        <x:v>3674</x:v>
      </x:c>
      <x:c r="B1866" s="274" t="n">
        <x:v>31.44</x:v>
      </x:c>
      <x:c r="C1866" s="274" t="n">
        <x:v>0</x:v>
      </x:c>
      <x:c r="D1866" s="274" t="n">
        <x:v>0</x:v>
      </x:c>
      <x:c r="F1866" s="274" t="s">
        <x:v>123</x:v>
      </x:c>
      <x:c r="G1866" s="274" t="s">
        <x:v>139</x:v>
      </x:c>
      <x:c r="I1866" s="274" t="n">
        <x:v>4.5</x:v>
      </x:c>
      <x:c r="J1866" s="274" t="n">
        <x:v>1035</x:v>
      </x:c>
      <x:c r="K1866" s="274" t="n">
        <x:v>860</x:v>
      </x:c>
      <x:c r="M1866" s="274" t="s">
        <x:v>3675</x:v>
      </x:c>
      <x:c r="N1866" s="274" t="s">
        <x:v>3671</x:v>
      </x:c>
    </x:row>
    <x:row r="1867" spans="1:14">
      <x:c r="A1867" s="274" t="s">
        <x:v>3676</x:v>
      </x:c>
      <x:c r="B1867" s="274" t="n">
        <x:v>31.44</x:v>
      </x:c>
      <x:c r="C1867" s="274" t="n">
        <x:v>0</x:v>
      </x:c>
      <x:c r="D1867" s="274" t="n">
        <x:v>0</x:v>
      </x:c>
      <x:c r="F1867" s="274" t="s">
        <x:v>123</x:v>
      </x:c>
      <x:c r="G1867" s="274" t="s">
        <x:v>139</x:v>
      </x:c>
      <x:c r="I1867" s="274" t="n">
        <x:v>4.5</x:v>
      </x:c>
      <x:c r="J1867" s="274" t="n">
        <x:v>1035</x:v>
      </x:c>
      <x:c r="K1867" s="274" t="n">
        <x:v>860</x:v>
      </x:c>
      <x:c r="M1867" s="274" t="s">
        <x:v>3677</x:v>
      </x:c>
      <x:c r="N1867" s="274" t="s">
        <x:v>3671</x:v>
      </x:c>
    </x:row>
    <x:row r="1868" spans="1:14">
      <x:c r="A1868" s="274" t="s">
        <x:v>3678</x:v>
      </x:c>
      <x:c r="B1868" s="274" t="n">
        <x:v>31.44</x:v>
      </x:c>
      <x:c r="C1868" s="274" t="n">
        <x:v>0</x:v>
      </x:c>
      <x:c r="D1868" s="274" t="n">
        <x:v>0</x:v>
      </x:c>
      <x:c r="F1868" s="274" t="s">
        <x:v>123</x:v>
      </x:c>
      <x:c r="G1868" s="274" t="s">
        <x:v>139</x:v>
      </x:c>
      <x:c r="I1868" s="274" t="n">
        <x:v>4.5</x:v>
      </x:c>
      <x:c r="J1868" s="274" t="n">
        <x:v>1035</x:v>
      </x:c>
      <x:c r="K1868" s="274" t="n">
        <x:v>860</x:v>
      </x:c>
      <x:c r="M1868" s="274" t="s">
        <x:v>3679</x:v>
      </x:c>
      <x:c r="N1868" s="274" t="s">
        <x:v>3671</x:v>
      </x:c>
    </x:row>
    <x:row r="1869" spans="1:14">
      <x:c r="A1869" s="274" t="s">
        <x:v>3680</x:v>
      </x:c>
      <x:c r="B1869" s="274" t="n">
        <x:v>24.18</x:v>
      </x:c>
      <x:c r="C1869" s="274" t="n">
        <x:v>0</x:v>
      </x:c>
      <x:c r="D1869" s="274" t="n">
        <x:v>0</x:v>
      </x:c>
      <x:c r="F1869" s="274" t="s">
        <x:v>123</x:v>
      </x:c>
      <x:c r="G1869" s="274" t="s">
        <x:v>139</x:v>
      </x:c>
      <x:c r="I1869" s="274" t="n">
        <x:v>4</x:v>
      </x:c>
      <x:c r="J1869" s="274" t="n">
        <x:v>770</x:v>
      </x:c>
      <x:c r="K1869" s="274" t="n">
        <x:v>1000</x:v>
      </x:c>
      <x:c r="M1869" s="274" t="s">
        <x:v>3681</x:v>
      </x:c>
      <x:c r="N1869" s="274" t="s">
        <x:v>3671</x:v>
      </x:c>
    </x:row>
    <x:row r="1870" spans="1:14">
      <x:c r="A1870" s="274" t="s">
        <x:v>3682</x:v>
      </x:c>
      <x:c r="B1870" s="274" t="n">
        <x:v>24.18</x:v>
      </x:c>
      <x:c r="C1870" s="274" t="n">
        <x:v>0</x:v>
      </x:c>
      <x:c r="D1870" s="274" t="n">
        <x:v>0</x:v>
      </x:c>
      <x:c r="F1870" s="274" t="s">
        <x:v>123</x:v>
      </x:c>
      <x:c r="G1870" s="274" t="s">
        <x:v>139</x:v>
      </x:c>
      <x:c r="I1870" s="274" t="n">
        <x:v>4</x:v>
      </x:c>
      <x:c r="J1870" s="274" t="n">
        <x:v>770</x:v>
      </x:c>
      <x:c r="K1870" s="274" t="n">
        <x:v>1000</x:v>
      </x:c>
      <x:c r="M1870" s="274" t="s">
        <x:v>3683</x:v>
      </x:c>
      <x:c r="N1870" s="274" t="s">
        <x:v>3671</x:v>
      </x:c>
    </x:row>
    <x:row r="1871" spans="1:14">
      <x:c r="A1871" s="274" t="s">
        <x:v>3684</x:v>
      </x:c>
      <x:c r="B1871" s="274" t="n">
        <x:v>39.85</x:v>
      </x:c>
      <x:c r="C1871" s="274" t="n">
        <x:v>0</x:v>
      </x:c>
      <x:c r="D1871" s="274" t="n">
        <x:v>0</x:v>
      </x:c>
      <x:c r="F1871" s="274" t="s">
        <x:v>123</x:v>
      </x:c>
      <x:c r="G1871" s="274" t="s">
        <x:v>139</x:v>
      </x:c>
      <x:c r="I1871" s="274" t="n">
        <x:v>6</x:v>
      </x:c>
      <x:c r="J1871" s="274" t="n">
        <x:v>955</x:v>
      </x:c>
      <x:c r="K1871" s="274" t="n">
        <x:v>886</x:v>
      </x:c>
      <x:c r="M1871" s="274" t="s">
        <x:v>3685</x:v>
      </x:c>
      <x:c r="N1871" s="274" t="s">
        <x:v>3671</x:v>
      </x:c>
    </x:row>
    <x:row r="1872" spans="1:14">
      <x:c r="A1872" s="274" t="s">
        <x:v>3686</x:v>
      </x:c>
      <x:c r="B1872" s="274" t="n">
        <x:v>56.33</x:v>
      </x:c>
      <x:c r="C1872" s="274" t="n">
        <x:v>0</x:v>
      </x:c>
      <x:c r="D1872" s="274" t="n">
        <x:v>0</x:v>
      </x:c>
      <x:c r="F1872" s="274" t="s">
        <x:v>133</x:v>
      </x:c>
      <x:c r="G1872" s="274" t="s">
        <x:v>148</x:v>
      </x:c>
      <x:c r="I1872" s="274" t="n">
        <x:v>6</x:v>
      </x:c>
      <x:c r="J1872" s="274" t="n">
        <x:v>1000</x:v>
      </x:c>
      <x:c r="K1872" s="274" t="n">
        <x:v>1196</x:v>
      </x:c>
      <x:c r="M1872" s="274" t="s">
        <x:v>3687</x:v>
      </x:c>
      <x:c r="N1872" s="274" t="s">
        <x:v>3671</x:v>
      </x:c>
    </x:row>
    <x:row r="1873" spans="1:14">
      <x:c r="A1873" s="274" t="s">
        <x:v>3688</x:v>
      </x:c>
      <x:c r="B1873" s="274" t="n">
        <x:v>56.33</x:v>
      </x:c>
      <x:c r="C1873" s="274" t="n">
        <x:v>0</x:v>
      </x:c>
      <x:c r="D1873" s="274" t="n">
        <x:v>0</x:v>
      </x:c>
      <x:c r="F1873" s="274" t="s">
        <x:v>133</x:v>
      </x:c>
      <x:c r="G1873" s="274" t="s">
        <x:v>148</x:v>
      </x:c>
      <x:c r="I1873" s="274" t="n">
        <x:v>6</x:v>
      </x:c>
      <x:c r="J1873" s="274" t="n">
        <x:v>1000</x:v>
      </x:c>
      <x:c r="K1873" s="274" t="n">
        <x:v>1196</x:v>
      </x:c>
      <x:c r="M1873" s="274" t="s">
        <x:v>3689</x:v>
      </x:c>
      <x:c r="N1873" s="274" t="s">
        <x:v>3671</x:v>
      </x:c>
    </x:row>
    <x:row r="1874" spans="1:14">
      <x:c r="A1874" s="274" t="s">
        <x:v>3690</x:v>
      </x:c>
      <x:c r="B1874" s="274" t="n">
        <x:v>22.53</x:v>
      </x:c>
      <x:c r="C1874" s="274" t="n">
        <x:v>0</x:v>
      </x:c>
      <x:c r="D1874" s="274" t="n">
        <x:v>30</x:v>
      </x:c>
      <x:c r="E1874" s="274" t="n">
        <x:v>31</x:v>
      </x:c>
      <x:c r="F1874" s="274" t="s">
        <x:v>133</x:v>
      </x:c>
      <x:c r="G1874" s="274" t="s">
        <x:v>148</x:v>
      </x:c>
      <x:c r="I1874" s="274" t="n">
        <x:v>2.9</x:v>
      </x:c>
      <x:c r="J1874" s="274" t="n">
        <x:v>990</x:v>
      </x:c>
      <x:c r="K1874" s="274" t="n">
        <x:v>1000</x:v>
      </x:c>
      <x:c r="M1874" s="274" t="s">
        <x:v>3691</x:v>
      </x:c>
      <x:c r="N1874" s="274" t="s">
        <x:v>3671</x:v>
      </x:c>
    </x:row>
    <x:row r="1875" spans="1:14">
      <x:c r="A1875" s="274" t="s">
        <x:v>3692</x:v>
      </x:c>
      <x:c r="B1875" s="274" t="n">
        <x:v>22.53</x:v>
      </x:c>
      <x:c r="C1875" s="274" t="n">
        <x:v>0</x:v>
      </x:c>
      <x:c r="D1875" s="274" t="n">
        <x:v>30</x:v>
      </x:c>
      <x:c r="E1875" s="274" t="n">
        <x:v>31</x:v>
      </x:c>
      <x:c r="F1875" s="274" t="s">
        <x:v>133</x:v>
      </x:c>
      <x:c r="G1875" s="274" t="s">
        <x:v>148</x:v>
      </x:c>
      <x:c r="I1875" s="274" t="n">
        <x:v>2.9</x:v>
      </x:c>
      <x:c r="J1875" s="274" t="n">
        <x:v>990</x:v>
      </x:c>
      <x:c r="K1875" s="274" t="n">
        <x:v>1000</x:v>
      </x:c>
      <x:c r="M1875" s="274" t="s">
        <x:v>3693</x:v>
      </x:c>
      <x:c r="N1875" s="274" t="s">
        <x:v>3671</x:v>
      </x:c>
    </x:row>
    <x:row r="1876" spans="1:14">
      <x:c r="A1876" s="274" t="s">
        <x:v>3694</x:v>
      </x:c>
      <x:c r="B1876" s="274" t="n">
        <x:v>25.72</x:v>
      </x:c>
      <x:c r="C1876" s="274" t="n">
        <x:v>0</x:v>
      </x:c>
      <x:c r="D1876" s="274" t="n">
        <x:v>30</x:v>
      </x:c>
      <x:c r="E1876" s="274" t="n">
        <x:v>28</x:v>
      </x:c>
      <x:c r="F1876" s="274" t="s">
        <x:v>133</x:v>
      </x:c>
      <x:c r="G1876" s="274" t="s">
        <x:v>148</x:v>
      </x:c>
      <x:c r="I1876" s="274" t="n">
        <x:v>3.2</x:v>
      </x:c>
      <x:c r="J1876" s="274" t="n">
        <x:v>975</x:v>
      </x:c>
      <x:c r="K1876" s="274" t="n">
        <x:v>1050</x:v>
      </x:c>
      <x:c r="M1876" s="274" t="s">
        <x:v>3695</x:v>
      </x:c>
      <x:c r="N1876" s="274" t="s">
        <x:v>3671</x:v>
      </x:c>
    </x:row>
    <x:row r="1877" spans="1:14">
      <x:c r="A1877" s="274" t="s">
        <x:v>3696</x:v>
      </x:c>
      <x:c r="B1877" s="274" t="n">
        <x:v>25.72</x:v>
      </x:c>
      <x:c r="C1877" s="274" t="n">
        <x:v>0</x:v>
      </x:c>
      <x:c r="D1877" s="274" t="n">
        <x:v>30</x:v>
      </x:c>
      <x:c r="E1877" s="274" t="n">
        <x:v>28</x:v>
      </x:c>
      <x:c r="F1877" s="274" t="s">
        <x:v>133</x:v>
      </x:c>
      <x:c r="G1877" s="274" t="s">
        <x:v>148</x:v>
      </x:c>
      <x:c r="I1877" s="274" t="n">
        <x:v>3.2</x:v>
      </x:c>
      <x:c r="J1877" s="274" t="n">
        <x:v>975</x:v>
      </x:c>
      <x:c r="K1877" s="274" t="n">
        <x:v>1050</x:v>
      </x:c>
      <x:c r="M1877" s="274" t="s">
        <x:v>3697</x:v>
      </x:c>
      <x:c r="N1877" s="274" t="s">
        <x:v>3671</x:v>
      </x:c>
    </x:row>
    <x:row r="1878" spans="1:14">
      <x:c r="A1878" s="274" t="s">
        <x:v>3698</x:v>
      </x:c>
      <x:c r="B1878" s="274" t="n">
        <x:v>1.93</x:v>
      </x:c>
      <x:c r="C1878" s="274" t="n">
        <x:v>0</x:v>
      </x:c>
      <x:c r="D1878" s="274" t="n">
        <x:v>0</x:v>
      </x:c>
      <x:c r="F1878" s="274" t="s">
        <x:v>123</x:v>
      </x:c>
      <x:c r="G1878" s="274" t="s">
        <x:v>148</x:v>
      </x:c>
      <x:c r="I1878" s="274" t="n">
        <x:v>1.6</x:v>
      </x:c>
      <x:c r="J1878" s="274" t="n">
        <x:v>193</x:v>
      </x:c>
      <x:c r="K1878" s="274" t="n">
        <x:v>795</x:v>
      </x:c>
      <x:c r="M1878" s="274" t="s">
        <x:v>2537</x:v>
      </x:c>
      <x:c r="N1878" s="274" t="s">
        <x:v>155</x:v>
      </x:c>
    </x:row>
    <x:row r="1879" spans="1:14">
      <x:c r="A1879" s="274" t="s">
        <x:v>3699</x:v>
      </x:c>
      <x:c r="B1879" s="274" t="n">
        <x:v>1.38</x:v>
      </x:c>
      <x:c r="C1879" s="274" t="n">
        <x:v>0</x:v>
      </x:c>
      <x:c r="D1879" s="274" t="n">
        <x:v>0</x:v>
      </x:c>
      <x:c r="F1879" s="274" t="s">
        <x:v>133</x:v>
      </x:c>
      <x:c r="G1879" s="274" t="s">
        <x:v>134</x:v>
      </x:c>
      <x:c r="I1879" s="274" t="n">
        <x:v>3.6</x:v>
      </x:c>
      <x:c r="J1879" s="274" t="n">
        <x:v>204</x:v>
      </x:c>
      <x:c r="K1879" s="274" t="n">
        <x:v>240</x:v>
      </x:c>
      <x:c r="M1879" s="274" t="s">
        <x:v>3700</x:v>
      </x:c>
      <x:c r="N1879" s="274" t="s">
        <x:v>2805</x:v>
      </x:c>
    </x:row>
    <x:row r="1880" spans="1:14">
      <x:c r="A1880" s="274" t="s">
        <x:v>3701</x:v>
      </x:c>
      <x:c r="B1880" s="274" t="n">
        <x:v>0.52</x:v>
      </x:c>
      <x:c r="C1880" s="274" t="n">
        <x:v>0</x:v>
      </x:c>
      <x:c r="D1880" s="274" t="n">
        <x:v>0</x:v>
      </x:c>
      <x:c r="F1880" s="274" t="s">
        <x:v>333</x:v>
      </x:c>
      <x:c r="G1880" s="274" t="s">
        <x:v>209</x:v>
      </x:c>
      <x:c r="I1880" s="274" t="n">
        <x:v>0.6</x:v>
      </x:c>
      <x:c r="J1880" s="274" t="n">
        <x:v>105</x:v>
      </x:c>
      <x:c r="K1880" s="274" t="n">
        <x:v>1060</x:v>
      </x:c>
      <x:c r="M1880" s="274" t="s">
        <x:v>3702</x:v>
      </x:c>
      <x:c r="N1880" s="274" t="s">
        <x:v>3703</x:v>
      </x:c>
    </x:row>
    <x:row r="1881" spans="1:14">
      <x:c r="A1881" s="274" t="s">
        <x:v>3704</x:v>
      </x:c>
      <x:c r="B1881" s="274" t="n">
        <x:v>0.02</x:v>
      </x:c>
      <x:c r="C1881" s="274" t="n">
        <x:v>0</x:v>
      </x:c>
      <x:c r="D1881" s="274" t="n">
        <x:v>0</x:v>
      </x:c>
      <x:c r="F1881" s="274" t="s">
        <x:v>123</x:v>
      </x:c>
      <x:c r="G1881" s="274" t="s">
        <x:v>209</x:v>
      </x:c>
      <x:c r="I1881" s="274" t="n">
        <x:v>1</x:v>
      </x:c>
      <x:c r="J1881" s="274" t="n">
        <x:v>50</x:v>
      </x:c>
      <x:c r="K1881" s="274" t="n">
        <x:v>50</x:v>
      </x:c>
      <x:c r="M1881" s="274" t="s">
        <x:v>3705</x:v>
      </x:c>
      <x:c r="N1881" s="274" t="s">
        <x:v>3706</x:v>
      </x:c>
    </x:row>
    <x:row r="1882" spans="1:14">
      <x:c r="A1882" s="274" t="s">
        <x:v>3707</x:v>
      </x:c>
      <x:c r="B1882" s="274" t="n">
        <x:v>14.81</x:v>
      </x:c>
      <x:c r="C1882" s="274" t="n">
        <x:v>0</x:v>
      </x:c>
      <x:c r="D1882" s="274" t="n">
        <x:v>0</x:v>
      </x:c>
      <x:c r="F1882" s="274" t="s">
        <x:v>133</x:v>
      </x:c>
      <x:c r="G1882" s="274" t="s">
        <x:v>148</x:v>
      </x:c>
      <x:c r="I1882" s="274" t="n">
        <x:v>2</x:v>
      </x:c>
      <x:c r="J1882" s="274" t="n">
        <x:v>1110</x:v>
      </x:c>
      <x:c r="K1882" s="274" t="n">
        <x:v>850</x:v>
      </x:c>
    </x:row>
    <x:row r="1883" spans="1:14">
      <x:c r="A1883" s="274" t="s">
        <x:v>3708</x:v>
      </x:c>
      <x:c r="B1883" s="274" t="n">
        <x:v>0.38</x:v>
      </x:c>
      <x:c r="C1883" s="274" t="n">
        <x:v>29</x:v>
      </x:c>
      <x:c r="D1883" s="274" t="n">
        <x:v>35</x:v>
      </x:c>
      <x:c r="E1883" s="274" t="n">
        <x:v>33</x:v>
      </x:c>
      <x:c r="F1883" s="274" t="s">
        <x:v>333</x:v>
      </x:c>
      <x:c r="G1883" s="274" t="s">
        <x:v>209</x:v>
      </x:c>
      <x:c r="I1883" s="274" t="n">
        <x:v>1</x:v>
      </x:c>
      <x:c r="J1883" s="274" t="n">
        <x:v>145</x:v>
      </x:c>
      <x:c r="K1883" s="274" t="n">
        <x:v>335</x:v>
      </x:c>
      <x:c r="M1883" s="274" t="s">
        <x:v>2602</x:v>
      </x:c>
      <x:c r="N1883" s="274" t="s">
        <x:v>155</x:v>
      </x:c>
    </x:row>
    <x:row r="1884" spans="1:14">
      <x:c r="A1884" s="274" t="s">
        <x:v>3709</x:v>
      </x:c>
      <x:c r="B1884" s="274" t="n">
        <x:v>0.55</x:v>
      </x:c>
      <x:c r="C1884" s="274" t="n">
        <x:v>0</x:v>
      </x:c>
      <x:c r="D1884" s="274" t="n">
        <x:v>33</x:v>
      </x:c>
      <x:c r="E1884" s="274" t="n">
        <x:v>30</x:v>
      </x:c>
      <x:c r="F1884" s="274" t="s">
        <x:v>128</x:v>
      </x:c>
      <x:c r="G1884" s="274" t="s">
        <x:v>136</x:v>
      </x:c>
      <x:c r="H1884" s="274" t="n">
        <x:v>45</x:v>
      </x:c>
      <x:c r="I1884" s="274" t="n">
        <x:v>2.3</x:v>
      </x:c>
      <x:c r="J1884" s="274" t="n">
        <x:v>116</x:v>
      </x:c>
      <x:c r="K1884" s="274" t="n">
        <x:v>260</x:v>
      </x:c>
      <x:c r="M1884" s="274" t="s">
        <x:v>3710</x:v>
      </x:c>
      <x:c r="N1884" s="274" t="s">
        <x:v>155</x:v>
      </x:c>
    </x:row>
    <x:row r="1885" spans="1:14">
      <x:c r="A1885" s="274" t="s">
        <x:v>3711</x:v>
      </x:c>
      <x:c r="B1885" s="274" t="n">
        <x:v>0.23</x:v>
      </x:c>
      <x:c r="C1885" s="274" t="n">
        <x:v>0</x:v>
      </x:c>
      <x:c r="D1885" s="274" t="n">
        <x:v>35</x:v>
      </x:c>
      <x:c r="E1885" s="274" t="n">
        <x:v>33</x:v>
      </x:c>
      <x:c r="F1885" s="274" t="s">
        <x:v>133</x:v>
      </x:c>
      <x:c r="G1885" s="274" t="s">
        <x:v>134</x:v>
      </x:c>
      <x:c r="I1885" s="274" t="n">
        <x:v>2.3</x:v>
      </x:c>
      <x:c r="J1885" s="274" t="n">
        <x:v>120</x:v>
      </x:c>
      <x:c r="K1885" s="274" t="n">
        <x:v>105</x:v>
      </x:c>
      <x:c r="M1885" s="274" t="s">
        <x:v>1514</x:v>
      </x:c>
      <x:c r="N1885" s="274" t="s">
        <x:v>155</x:v>
      </x:c>
    </x:row>
    <x:row r="1886" spans="1:14">
      <x:c r="A1886" s="274" t="s">
        <x:v>3712</x:v>
      </x:c>
      <x:c r="B1886" s="274" t="n">
        <x:v>1.84</x:v>
      </x:c>
      <x:c r="C1886" s="274" t="n">
        <x:v>0</x:v>
      </x:c>
      <x:c r="D1886" s="274" t="n">
        <x:v>0</x:v>
      </x:c>
      <x:c r="F1886" s="274" t="s">
        <x:v>133</x:v>
      </x:c>
      <x:c r="G1886" s="274" t="s">
        <x:v>134</x:v>
      </x:c>
      <x:c r="I1886" s="274" t="n">
        <x:v>2.6</x:v>
      </x:c>
      <x:c r="J1886" s="274" t="n">
        <x:v>161</x:v>
      </x:c>
      <x:c r="K1886" s="274" t="n">
        <x:v>560</x:v>
      </x:c>
      <x:c r="M1886" s="274" t="s">
        <x:v>3713</x:v>
      </x:c>
      <x:c r="N1886" s="274" t="s">
        <x:v>3714</x:v>
      </x:c>
    </x:row>
    <x:row r="1887" spans="1:14">
      <x:c r="A1887" s="274" t="s">
        <x:v>3715</x:v>
      </x:c>
      <x:c r="B1887" s="274" t="n">
        <x:v>14.83</x:v>
      </x:c>
      <x:c r="C1887" s="274" t="n">
        <x:v>0</x:v>
      </x:c>
      <x:c r="D1887" s="274" t="n">
        <x:v>32</x:v>
      </x:c>
      <x:c r="E1887" s="274" t="n">
        <x:v>26</x:v>
      </x:c>
      <x:c r="F1887" s="274" t="s">
        <x:v>1980</x:v>
      </x:c>
      <x:c r="G1887" s="274" t="s">
        <x:v>1985</x:v>
      </x:c>
      <x:c r="I1887" s="274" t="n">
        <x:v>0.8</x:v>
      </x:c>
      <x:c r="J1887" s="274" t="n">
        <x:v>1350</x:v>
      </x:c>
      <x:c r="K1887" s="274" t="n">
        <x:v>1750</x:v>
      </x:c>
      <x:c r="M1887" s="274" t="s">
        <x:v>3716</x:v>
      </x:c>
    </x:row>
    <x:row r="1888" spans="1:14">
      <x:c r="A1888" s="274" t="s">
        <x:v>3717</x:v>
      </x:c>
      <x:c r="B1888" s="274" t="n">
        <x:v>16.82</x:v>
      </x:c>
      <x:c r="C1888" s="274" t="n">
        <x:v>0</x:v>
      </x:c>
      <x:c r="D1888" s="274" t="n">
        <x:v>32</x:v>
      </x:c>
      <x:c r="E1888" s="274" t="n">
        <x:v>27</x:v>
      </x:c>
      <x:c r="F1888" s="274" t="s">
        <x:v>1980</x:v>
      </x:c>
      <x:c r="G1888" s="274" t="s">
        <x:v>1985</x:v>
      </x:c>
      <x:c r="I1888" s="274" t="n">
        <x:v>0.8</x:v>
      </x:c>
      <x:c r="J1888" s="274" t="n">
        <x:v>1530</x:v>
      </x:c>
      <x:c r="K1888" s="274" t="n">
        <x:v>1750</x:v>
      </x:c>
      <x:c r="M1888" s="274" t="s">
        <x:v>3718</x:v>
      </x:c>
    </x:row>
    <x:row r="1889" spans="1:14">
      <x:c r="A1889" s="274" t="s">
        <x:v>3719</x:v>
      </x:c>
      <x:c r="B1889" s="274" t="n">
        <x:v>0.44</x:v>
      </x:c>
      <x:c r="C1889" s="274" t="n">
        <x:v>0</x:v>
      </x:c>
      <x:c r="D1889" s="274" t="n">
        <x:v>0</x:v>
      </x:c>
      <x:c r="F1889" s="274" t="s">
        <x:v>133</x:v>
      </x:c>
      <x:c r="G1889" s="274" t="s">
        <x:v>136</x:v>
      </x:c>
      <x:c r="H1889" s="274" t="n">
        <x:v>45</x:v>
      </x:c>
      <x:c r="I1889" s="274" t="n">
        <x:v>1.6</x:v>
      </x:c>
      <x:c r="J1889" s="274" t="n">
        <x:v>268</x:v>
      </x:c>
      <x:c r="K1889" s="274" t="n">
        <x:v>130</x:v>
      </x:c>
      <x:c r="M1889" s="274" t="s">
        <x:v>659</x:v>
      </x:c>
      <x:c r="N1889" s="274" t="s">
        <x:v>2805</x:v>
      </x:c>
    </x:row>
    <x:row r="1890" spans="1:14">
      <x:c r="A1890" s="274" t="s">
        <x:v>3720</x:v>
      </x:c>
      <x:c r="B1890" s="274" t="n">
        <x:v>2.74</x:v>
      </x:c>
      <x:c r="C1890" s="274" t="n">
        <x:v>0</x:v>
      </x:c>
      <x:c r="D1890" s="274" t="n">
        <x:v>0</x:v>
      </x:c>
      <x:c r="F1890" s="274" t="s">
        <x:v>133</x:v>
      </x:c>
      <x:c r="G1890" s="274" t="s">
        <x:v>148</x:v>
      </x:c>
      <x:c r="I1890" s="274" t="n">
        <x:v>3.2</x:v>
      </x:c>
      <x:c r="J1890" s="274" t="n">
        <x:v>260</x:v>
      </x:c>
      <x:c r="K1890" s="274" t="n">
        <x:v>420</x:v>
      </x:c>
      <x:c r="N1890" s="274" t="s">
        <x:v>3721</x:v>
      </x:c>
    </x:row>
    <x:row r="1891" spans="1:14">
      <x:c r="A1891" s="274" t="s">
        <x:v>3722</x:v>
      </x:c>
      <x:c r="B1891" s="274" t="n">
        <x:v>1.98</x:v>
      </x:c>
      <x:c r="C1891" s="274" t="n">
        <x:v>0</x:v>
      </x:c>
      <x:c r="D1891" s="274" t="n">
        <x:v>0</x:v>
      </x:c>
      <x:c r="F1891" s="274" t="s">
        <x:v>333</x:v>
      </x:c>
      <x:c r="G1891" s="274" t="s">
        <x:v>153</x:v>
      </x:c>
      <x:c r="I1891" s="274" t="n">
        <x:v>1.6</x:v>
      </x:c>
      <x:c r="J1891" s="274" t="n">
        <x:v>158</x:v>
      </x:c>
      <x:c r="K1891" s="274" t="n">
        <x:v>1000</x:v>
      </x:c>
      <x:c r="M1891" s="274" t="s">
        <x:v>3723</x:v>
      </x:c>
      <x:c r="N1891" s="274" t="s">
        <x:v>2805</x:v>
      </x:c>
    </x:row>
    <x:row r="1892" spans="1:14">
      <x:c r="A1892" s="274" t="s">
        <x:v>3724</x:v>
      </x:c>
      <x:c r="B1892" s="274" t="n">
        <x:v>0.99</x:v>
      </x:c>
      <x:c r="C1892" s="274" t="n">
        <x:v>26</x:v>
      </x:c>
      <x:c r="D1892" s="274" t="n">
        <x:v>35</x:v>
      </x:c>
      <x:c r="E1892" s="274" t="n">
        <x:v>33</x:v>
      </x:c>
      <x:c r="F1892" s="274" t="s">
        <x:v>333</x:v>
      </x:c>
      <x:c r="G1892" s="274" t="s">
        <x:v>2468</x:v>
      </x:c>
      <x:c r="I1892" s="274" t="n">
        <x:v>0.7</x:v>
      </x:c>
      <x:c r="J1892" s="274" t="n">
        <x:v>341</x:v>
      </x:c>
      <x:c r="K1892" s="274" t="n">
        <x:v>530</x:v>
      </x:c>
      <x:c r="M1892" s="274" t="s">
        <x:v>3624</x:v>
      </x:c>
      <x:c r="N1892" s="274" t="s">
        <x:v>3586</x:v>
      </x:c>
    </x:row>
    <x:row r="1893" spans="1:14">
      <x:c r="A1893" s="274" t="s">
        <x:v>3725</x:v>
      </x:c>
      <x:c r="B1893" s="274" t="n">
        <x:v>0.64</x:v>
      </x:c>
      <x:c r="C1893" s="274" t="n">
        <x:v>28</x:v>
      </x:c>
      <x:c r="D1893" s="274" t="n">
        <x:v>35</x:v>
      </x:c>
      <x:c r="E1893" s="274" t="n">
        <x:v>33</x:v>
      </x:c>
      <x:c r="F1893" s="274" t="s">
        <x:v>128</x:v>
      </x:c>
      <x:c r="G1893" s="274" t="s">
        <x:v>129</x:v>
      </x:c>
      <x:c r="H1893" s="274" t="n">
        <x:v>45</x:v>
      </x:c>
      <x:c r="I1893" s="274" t="n">
        <x:v>0.7</x:v>
      </x:c>
      <x:c r="J1893" s="274" t="n">
        <x:v>338</x:v>
      </x:c>
      <x:c r="K1893" s="274" t="n">
        <x:v>340</x:v>
      </x:c>
      <x:c r="M1893" s="274" t="s">
        <x:v>2081</x:v>
      </x:c>
      <x:c r="N1893" s="274" t="s">
        <x:v>299</x:v>
      </x:c>
    </x:row>
    <x:row r="1894" spans="1:14">
      <x:c r="A1894" s="274" t="s">
        <x:v>3726</x:v>
      </x:c>
      <x:c r="B1894" s="274" t="n">
        <x:v>0.88</x:v>
      </x:c>
      <x:c r="C1894" s="274" t="n">
        <x:v>35</x:v>
      </x:c>
      <x:c r="D1894" s="274" t="n">
        <x:v>35</x:v>
      </x:c>
      <x:c r="E1894" s="274" t="n">
        <x:v>33</x:v>
      </x:c>
      <x:c r="F1894" s="274" t="s">
        <x:v>133</x:v>
      </x:c>
      <x:c r="G1894" s="274" t="s">
        <x:v>136</x:v>
      </x:c>
      <x:c r="H1894" s="274" t="n">
        <x:v>45</x:v>
      </x:c>
      <x:c r="I1894" s="274" t="n">
        <x:v>0.8</x:v>
      </x:c>
      <x:c r="J1894" s="274" t="n">
        <x:v>294</x:v>
      </x:c>
      <x:c r="K1894" s="274" t="n">
        <x:v>470</x:v>
      </x:c>
      <x:c r="M1894" s="274" t="s">
        <x:v>2794</x:v>
      </x:c>
      <x:c r="N1894" s="274" t="s">
        <x:v>299</x:v>
      </x:c>
    </x:row>
    <x:row r="1895" spans="1:14">
      <x:c r="A1895" s="274" t="s">
        <x:v>3727</x:v>
      </x:c>
      <x:c r="B1895" s="274" t="n">
        <x:v>0.41</x:v>
      </x:c>
      <x:c r="C1895" s="274" t="n">
        <x:v>30</x:v>
      </x:c>
      <x:c r="D1895" s="274" t="n">
        <x:v>35</x:v>
      </x:c>
      <x:c r="E1895" s="274" t="n">
        <x:v>33</x:v>
      </x:c>
      <x:c r="F1895" s="274" t="s">
        <x:v>333</x:v>
      </x:c>
      <x:c r="G1895" s="274" t="s">
        <x:v>209</x:v>
      </x:c>
      <x:c r="I1895" s="274" t="n">
        <x:v>1.2</x:v>
      </x:c>
      <x:c r="J1895" s="274" t="n">
        <x:v>155</x:v>
      </x:c>
      <x:c r="K1895" s="274" t="n">
        <x:v>284</x:v>
      </x:c>
      <x:c r="M1895" s="274" t="s">
        <x:v>737</x:v>
      </x:c>
      <x:c r="N1895" s="274" t="s">
        <x:v>155</x:v>
      </x:c>
    </x:row>
    <x:row r="1896" spans="1:14">
      <x:c r="A1896" s="274" t="s">
        <x:v>3728</x:v>
      </x:c>
      <x:c r="B1896" s="274" t="n">
        <x:v>0.17</x:v>
      </x:c>
      <x:c r="C1896" s="274" t="n">
        <x:v>35</x:v>
      </x:c>
      <x:c r="D1896" s="274" t="n">
        <x:v>35</x:v>
      </x:c>
      <x:c r="E1896" s="274" t="n">
        <x:v>33</x:v>
      </x:c>
      <x:c r="F1896" s="274" t="s">
        <x:v>133</x:v>
      </x:c>
      <x:c r="G1896" s="274" t="s">
        <x:v>136</x:v>
      </x:c>
      <x:c r="H1896" s="274" t="n">
        <x:v>45</x:v>
      </x:c>
      <x:c r="I1896" s="274" t="n">
        <x:v>1.2</x:v>
      </x:c>
      <x:c r="J1896" s="274" t="n">
        <x:v>190</x:v>
      </x:c>
      <x:c r="K1896" s="274" t="n">
        <x:v>95</x:v>
      </x:c>
      <x:c r="M1896" s="274" t="s">
        <x:v>1102</x:v>
      </x:c>
      <x:c r="N1896" s="274" t="s">
        <x:v>299</x:v>
      </x:c>
    </x:row>
    <x:row r="1897" spans="1:14">
      <x:c r="A1897" s="274" t="s">
        <x:v>3729</x:v>
      </x:c>
      <x:c r="B1897" s="274" t="n">
        <x:v>0.41</x:v>
      </x:c>
      <x:c r="C1897" s="274" t="n">
        <x:v>33</x:v>
      </x:c>
      <x:c r="D1897" s="274" t="n">
        <x:v>35</x:v>
      </x:c>
      <x:c r="E1897" s="274" t="n">
        <x:v>33</x:v>
      </x:c>
      <x:c r="F1897" s="274" t="s">
        <x:v>333</x:v>
      </x:c>
      <x:c r="G1897" s="274" t="s">
        <x:v>209</x:v>
      </x:c>
      <x:c r="I1897" s="274" t="n">
        <x:v>1.2</x:v>
      </x:c>
      <x:c r="J1897" s="274" t="n">
        <x:v>200</x:v>
      </x:c>
      <x:c r="K1897" s="274" t="n">
        <x:v>215</x:v>
      </x:c>
      <x:c r="M1897" s="274" t="s">
        <x:v>1585</x:v>
      </x:c>
      <x:c r="N1897" s="274" t="s">
        <x:v>299</x:v>
      </x:c>
    </x:row>
    <x:row r="1898" spans="1:14">
      <x:c r="A1898" s="274" t="s">
        <x:v>3730</x:v>
      </x:c>
      <x:c r="B1898" s="274" t="n">
        <x:v>0.5</x:v>
      </x:c>
      <x:c r="C1898" s="274" t="n">
        <x:v>30</x:v>
      </x:c>
      <x:c r="D1898" s="274" t="n">
        <x:v>35</x:v>
      </x:c>
      <x:c r="E1898" s="274" t="n">
        <x:v>33</x:v>
      </x:c>
      <x:c r="F1898" s="274" t="s">
        <x:v>184</x:v>
      </x:c>
      <x:c r="G1898" s="274" t="s">
        <x:v>129</x:v>
      </x:c>
      <x:c r="H1898" s="274" t="n">
        <x:v>45</x:v>
      </x:c>
      <x:c r="I1898" s="274" t="n">
        <x:v>1.2</x:v>
      </x:c>
      <x:c r="J1898" s="274" t="n">
        <x:v>350</x:v>
      </x:c>
      <x:c r="K1898" s="274" t="n">
        <x:v>150</x:v>
      </x:c>
      <x:c r="M1898" s="274" t="s">
        <x:v>317</x:v>
      </x:c>
      <x:c r="N1898" s="274" t="s">
        <x:v>131</x:v>
      </x:c>
    </x:row>
    <x:row r="1899" spans="1:14">
      <x:c r="A1899" s="274" t="s">
        <x:v>3731</x:v>
      </x:c>
      <x:c r="B1899" s="274" t="n">
        <x:v>0.92</x:v>
      </x:c>
      <x:c r="C1899" s="274" t="n">
        <x:v>0</x:v>
      </x:c>
      <x:c r="D1899" s="274" t="n">
        <x:v>35</x:v>
      </x:c>
      <x:c r="E1899" s="274" t="n">
        <x:v>33</x:v>
      </x:c>
      <x:c r="F1899" s="274" t="s">
        <x:v>133</x:v>
      </x:c>
      <x:c r="G1899" s="274" t="s">
        <x:v>136</x:v>
      </x:c>
      <x:c r="H1899" s="274" t="n">
        <x:v>45</x:v>
      </x:c>
      <x:c r="I1899" s="274" t="n">
        <x:v>1.2</x:v>
      </x:c>
      <x:c r="J1899" s="274" t="n">
        <x:v>496</x:v>
      </x:c>
      <x:c r="K1899" s="274" t="n">
        <x:v>194</x:v>
      </x:c>
      <x:c r="M1899" s="274" t="s">
        <x:v>1704</x:v>
      </x:c>
      <x:c r="N1899" s="274" t="s">
        <x:v>299</x:v>
      </x:c>
    </x:row>
    <x:row r="1900" spans="1:14">
      <x:c r="A1900" s="274" t="s">
        <x:v>3732</x:v>
      </x:c>
      <x:c r="B1900" s="274" t="n">
        <x:v>0.21</x:v>
      </x:c>
      <x:c r="C1900" s="274" t="n">
        <x:v>35</x:v>
      </x:c>
      <x:c r="D1900" s="274" t="n">
        <x:v>35</x:v>
      </x:c>
      <x:c r="E1900" s="274" t="n">
        <x:v>33</x:v>
      </x:c>
      <x:c r="F1900" s="274" t="s">
        <x:v>333</x:v>
      </x:c>
      <x:c r="G1900" s="274" t="s">
        <x:v>153</x:v>
      </x:c>
      <x:c r="I1900" s="274" t="n">
        <x:v>1.4</x:v>
      </x:c>
      <x:c r="J1900" s="274" t="n">
        <x:v>120</x:v>
      </x:c>
      <x:c r="K1900" s="274" t="n">
        <x:v>158</x:v>
      </x:c>
      <x:c r="M1900" s="274" t="s">
        <x:v>1075</x:v>
      </x:c>
      <x:c r="N1900" s="274" t="s">
        <x:v>299</x:v>
      </x:c>
    </x:row>
    <x:row r="1901" spans="1:14">
      <x:c r="A1901" s="274" t="s">
        <x:v>3733</x:v>
      </x:c>
      <x:c r="B1901" s="274" t="n">
        <x:v>0.42</x:v>
      </x:c>
      <x:c r="C1901" s="274" t="n">
        <x:v>33</x:v>
      </x:c>
      <x:c r="D1901" s="274" t="n">
        <x:v>35</x:v>
      </x:c>
      <x:c r="E1901" s="274" t="n">
        <x:v>33</x:v>
      </x:c>
      <x:c r="F1901" s="274" t="s">
        <x:v>333</x:v>
      </x:c>
      <x:c r="G1901" s="274" t="s">
        <x:v>124</x:v>
      </x:c>
      <x:c r="I1901" s="274" t="n">
        <x:v>1.4</x:v>
      </x:c>
      <x:c r="J1901" s="274" t="n">
        <x:v>165</x:v>
      </x:c>
      <x:c r="K1901" s="274" t="n">
        <x:v>230</x:v>
      </x:c>
      <x:c r="M1901" s="274" t="s">
        <x:v>2742</x:v>
      </x:c>
      <x:c r="N1901" s="274" t="s">
        <x:v>299</x:v>
      </x:c>
    </x:row>
    <x:row r="1902" spans="1:14">
      <x:c r="A1902" s="274" t="s">
        <x:v>3734</x:v>
      </x:c>
      <x:c r="B1902" s="274" t="n">
        <x:v>0.96</x:v>
      </x:c>
      <x:c r="C1902" s="274" t="n">
        <x:v>30</x:v>
      </x:c>
      <x:c r="D1902" s="274" t="n">
        <x:v>35</x:v>
      </x:c>
      <x:c r="E1902" s="274" t="n">
        <x:v>33</x:v>
      </x:c>
      <x:c r="F1902" s="274" t="s">
        <x:v>333</x:v>
      </x:c>
      <x:c r="G1902" s="274" t="s">
        <x:v>209</x:v>
      </x:c>
      <x:c r="I1902" s="274" t="n">
        <x:v>1.4</x:v>
      </x:c>
      <x:c r="J1902" s="274" t="n">
        <x:v>322</x:v>
      </x:c>
      <x:c r="K1902" s="274" t="n">
        <x:v>270</x:v>
      </x:c>
      <x:c r="M1902" s="274" t="s">
        <x:v>731</x:v>
      </x:c>
      <x:c r="N1902" s="274" t="s">
        <x:v>155</x:v>
      </x:c>
    </x:row>
    <x:row r="1903" spans="1:14">
      <x:c r="A1903" s="274" t="s">
        <x:v>3735</x:v>
      </x:c>
      <x:c r="B1903" s="274" t="n">
        <x:v>0.25</x:v>
      </x:c>
      <x:c r="C1903" s="274" t="n">
        <x:v>35</x:v>
      </x:c>
      <x:c r="D1903" s="274" t="n">
        <x:v>35</x:v>
      </x:c>
      <x:c r="E1903" s="274" t="n">
        <x:v>33</x:v>
      </x:c>
      <x:c r="F1903" s="274" t="s">
        <x:v>133</x:v>
      </x:c>
      <x:c r="G1903" s="274" t="s">
        <x:v>136</x:v>
      </x:c>
      <x:c r="H1903" s="274" t="n">
        <x:v>45</x:v>
      </x:c>
      <x:c r="I1903" s="274" t="n">
        <x:v>1.6</x:v>
      </x:c>
      <x:c r="J1903" s="274" t="n">
        <x:v>190</x:v>
      </x:c>
      <x:c r="K1903" s="274" t="n">
        <x:v>106</x:v>
      </x:c>
      <x:c r="M1903" s="274" t="s">
        <x:v>3487</x:v>
      </x:c>
      <x:c r="N1903" s="274" t="s">
        <x:v>299</x:v>
      </x:c>
    </x:row>
    <x:row r="1904" spans="1:14">
      <x:c r="A1904" s="274" t="s">
        <x:v>3736</x:v>
      </x:c>
      <x:c r="B1904" s="274" t="n">
        <x:v>0.35</x:v>
      </x:c>
      <x:c r="C1904" s="274" t="n">
        <x:v>33</x:v>
      </x:c>
      <x:c r="D1904" s="274" t="n">
        <x:v>35</x:v>
      </x:c>
      <x:c r="E1904" s="274" t="n">
        <x:v>33</x:v>
      </x:c>
      <x:c r="F1904" s="274" t="s">
        <x:v>333</x:v>
      </x:c>
      <x:c r="G1904" s="274" t="s">
        <x:v>209</x:v>
      </x:c>
      <x:c r="I1904" s="274" t="n">
        <x:v>1.6</x:v>
      </x:c>
      <x:c r="J1904" s="274" t="n">
        <x:v>225</x:v>
      </x:c>
      <x:c r="K1904" s="274" t="n">
        <x:v>125</x:v>
      </x:c>
      <x:c r="M1904" s="274" t="s">
        <x:v>1078</x:v>
      </x:c>
      <x:c r="N1904" s="274" t="s">
        <x:v>299</x:v>
      </x:c>
    </x:row>
    <x:row r="1905" spans="1:14">
      <x:c r="A1905" s="274" t="s">
        <x:v>3737</x:v>
      </x:c>
      <x:c r="B1905" s="274" t="n">
        <x:v>1.25</x:v>
      </x:c>
      <x:c r="C1905" s="274" t="n">
        <x:v>0</x:v>
      </x:c>
      <x:c r="D1905" s="274" t="n">
        <x:v>24</x:v>
      </x:c>
      <x:c r="E1905" s="274" t="n">
        <x:v>19</x:v>
      </x:c>
      <x:c r="F1905" s="274" t="s">
        <x:v>333</x:v>
      </x:c>
      <x:c r="G1905" s="274" t="s">
        <x:v>153</x:v>
      </x:c>
      <x:c r="I1905" s="274" t="n">
        <x:v>1</x:v>
      </x:c>
      <x:c r="J1905" s="274" t="n">
        <x:v>133</x:v>
      </x:c>
      <x:c r="K1905" s="274" t="n">
        <x:v>1200</x:v>
      </x:c>
      <x:c r="M1905" s="274" t="s">
        <x:v>3738</x:v>
      </x:c>
      <x:c r="N1905" s="274" t="s">
        <x:v>131</x:v>
      </x:c>
    </x:row>
    <x:row r="1906" spans="1:14">
      <x:c r="A1906" s="274" t="s">
        <x:v>3739</x:v>
      </x:c>
      <x:c r="B1906" s="274" t="n">
        <x:v>0.31</x:v>
      </x:c>
      <x:c r="C1906" s="274" t="n">
        <x:v>30</x:v>
      </x:c>
      <x:c r="D1906" s="274" t="n">
        <x:v>35</x:v>
      </x:c>
      <x:c r="E1906" s="274" t="n">
        <x:v>33</x:v>
      </x:c>
      <x:c r="F1906" s="274" t="s">
        <x:v>333</x:v>
      </x:c>
      <x:c r="G1906" s="274" t="s">
        <x:v>209</x:v>
      </x:c>
      <x:c r="I1906" s="274" t="n">
        <x:v>1</x:v>
      </x:c>
      <x:c r="J1906" s="274" t="n">
        <x:v>180</x:v>
      </x:c>
      <x:c r="K1906" s="274" t="n">
        <x:v>221</x:v>
      </x:c>
      <x:c r="M1906" s="274" t="s">
        <x:v>695</x:v>
      </x:c>
      <x:c r="N1906" s="274" t="s">
        <x:v>155</x:v>
      </x:c>
    </x:row>
    <x:row r="1907" spans="1:14">
      <x:c r="A1907" s="274" t="s">
        <x:v>3740</x:v>
      </x:c>
      <x:c r="B1907" s="274" t="n">
        <x:v>0.48</x:v>
      </x:c>
      <x:c r="C1907" s="274" t="n">
        <x:v>0</x:v>
      </x:c>
      <x:c r="D1907" s="274" t="n">
        <x:v>35</x:v>
      </x:c>
      <x:c r="E1907" s="274" t="n">
        <x:v>33</x:v>
      </x:c>
      <x:c r="F1907" s="274" t="s">
        <x:v>133</x:v>
      </x:c>
      <x:c r="G1907" s="274" t="s">
        <x:v>134</x:v>
      </x:c>
      <x:c r="I1907" s="274" t="n">
        <x:v>2.3</x:v>
      </x:c>
      <x:c r="J1907" s="274" t="n">
        <x:v>211</x:v>
      </x:c>
      <x:c r="K1907" s="274" t="n">
        <x:v>125</x:v>
      </x:c>
      <x:c r="M1907" s="274" t="s">
        <x:v>653</x:v>
      </x:c>
      <x:c r="N1907" s="274" t="s">
        <x:v>299</x:v>
      </x:c>
    </x:row>
    <x:row r="1908" spans="1:14">
      <x:c r="A1908" s="274" t="s">
        <x:v>3741</x:v>
      </x:c>
      <x:c r="B1908" s="274" t="n">
        <x:v>0.72</x:v>
      </x:c>
      <x:c r="C1908" s="274" t="n">
        <x:v>0</x:v>
      </x:c>
      <x:c r="D1908" s="274" t="n">
        <x:v>35</x:v>
      </x:c>
      <x:c r="E1908" s="274" t="n">
        <x:v>33</x:v>
      </x:c>
      <x:c r="F1908" s="274" t="s">
        <x:v>133</x:v>
      </x:c>
      <x:c r="G1908" s="274" t="s">
        <x:v>134</x:v>
      </x:c>
      <x:c r="I1908" s="274" t="n">
        <x:v>2.6</x:v>
      </x:c>
      <x:c r="J1908" s="274" t="n">
        <x:v>250</x:v>
      </x:c>
      <x:c r="K1908" s="274" t="n">
        <x:v>142</x:v>
      </x:c>
      <x:c r="M1908" s="274" t="s">
        <x:v>307</x:v>
      </x:c>
      <x:c r="N1908" s="274" t="s">
        <x:v>299</x:v>
      </x:c>
    </x:row>
    <x:row r="1909" spans="1:14">
      <x:c r="A1909" s="274" t="s">
        <x:v>3742</x:v>
      </x:c>
      <x:c r="B1909" s="274" t="n">
        <x:v>0.87</x:v>
      </x:c>
      <x:c r="C1909" s="274" t="n">
        <x:v>0</x:v>
      </x:c>
      <x:c r="D1909" s="274" t="n">
        <x:v>35</x:v>
      </x:c>
      <x:c r="E1909" s="274" t="n">
        <x:v>33</x:v>
      </x:c>
      <x:c r="F1909" s="274" t="s">
        <x:v>133</x:v>
      </x:c>
      <x:c r="G1909" s="274" t="s">
        <x:v>134</x:v>
      </x:c>
      <x:c r="I1909" s="274" t="n">
        <x:v>2.9</x:v>
      </x:c>
      <x:c r="J1909" s="274" t="n">
        <x:v>196</x:v>
      </x:c>
      <x:c r="K1909" s="274" t="n">
        <x:v>194</x:v>
      </x:c>
      <x:c r="M1909" s="274" t="s">
        <x:v>1096</x:v>
      </x:c>
      <x:c r="N1909" s="274" t="s">
        <x:v>299</x:v>
      </x:c>
    </x:row>
    <x:row r="1910" spans="1:14">
      <x:c r="A1910" s="274" t="s">
        <x:v>3743</x:v>
      </x:c>
      <x:c r="B1910" s="274" t="n">
        <x:v>0.3</x:v>
      </x:c>
      <x:c r="C1910" s="274" t="n">
        <x:v>0</x:v>
      </x:c>
      <x:c r="D1910" s="274" t="n">
        <x:v>35</x:v>
      </x:c>
      <x:c r="E1910" s="274" t="n">
        <x:v>33</x:v>
      </x:c>
      <x:c r="F1910" s="274" t="s">
        <x:v>133</x:v>
      </x:c>
      <x:c r="G1910" s="274" t="s">
        <x:v>148</x:v>
      </x:c>
      <x:c r="I1910" s="274" t="n">
        <x:v>3.2</x:v>
      </x:c>
      <x:c r="J1910" s="274" t="n">
        <x:v>110</x:v>
      </x:c>
      <x:c r="K1910" s="274" t="n">
        <x:v>110</x:v>
      </x:c>
      <x:c r="M1910" s="274" t="s">
        <x:v>586</x:v>
      </x:c>
      <x:c r="N1910" s="274" t="s">
        <x:v>299</x:v>
      </x:c>
    </x:row>
    <x:row r="1911" spans="1:14">
      <x:c r="A1911" s="274" t="s">
        <x:v>3744</x:v>
      </x:c>
      <x:c r="B1911" s="274" t="n">
        <x:v>0.33</x:v>
      </x:c>
      <x:c r="C1911" s="274" t="n">
        <x:v>30</x:v>
      </x:c>
      <x:c r="D1911" s="274" t="n">
        <x:v>35</x:v>
      </x:c>
      <x:c r="E1911" s="274" t="n">
        <x:v>33</x:v>
      </x:c>
      <x:c r="F1911" s="274" t="s">
        <x:v>333</x:v>
      </x:c>
      <x:c r="G1911" s="274" t="s">
        <x:v>209</x:v>
      </x:c>
      <x:c r="I1911" s="274" t="n">
        <x:v>1</x:v>
      </x:c>
      <x:c r="J1911" s="274" t="n">
        <x:v>180</x:v>
      </x:c>
      <x:c r="K1911" s="274" t="n">
        <x:v>232</x:v>
      </x:c>
      <x:c r="M1911" s="274" t="s">
        <x:v>685</x:v>
      </x:c>
      <x:c r="N1911" s="274" t="s">
        <x:v>155</x:v>
      </x:c>
    </x:row>
    <x:row r="1912" spans="1:14">
      <x:c r="A1912" s="274" t="s">
        <x:v>3745</x:v>
      </x:c>
      <x:c r="B1912" s="274" t="n">
        <x:v>1.46</x:v>
      </x:c>
      <x:c r="C1912" s="274" t="n">
        <x:v>0</x:v>
      </x:c>
      <x:c r="D1912" s="274" t="n">
        <x:v>35</x:v>
      </x:c>
      <x:c r="E1912" s="274" t="n">
        <x:v>30</x:v>
      </x:c>
      <x:c r="F1912" s="274" t="s">
        <x:v>133</x:v>
      </x:c>
      <x:c r="G1912" s="274" t="s">
        <x:v>134</x:v>
      </x:c>
      <x:c r="I1912" s="274" t="n">
        <x:v>2</x:v>
      </x:c>
      <x:c r="J1912" s="274" t="n">
        <x:v>133</x:v>
      </x:c>
      <x:c r="K1912" s="274" t="n">
        <x:v>700</x:v>
      </x:c>
      <x:c r="M1912" s="274" t="s">
        <x:v>1954</x:v>
      </x:c>
      <x:c r="N1912" s="274" t="s">
        <x:v>131</x:v>
      </x:c>
    </x:row>
    <x:row r="1913" spans="1:14">
      <x:c r="A1913" s="274" t="s">
        <x:v>3746</x:v>
      </x:c>
      <x:c r="B1913" s="274" t="n">
        <x:v>0.35</x:v>
      </x:c>
      <x:c r="C1913" s="274" t="n">
        <x:v>32</x:v>
      </x:c>
      <x:c r="D1913" s="274" t="n">
        <x:v>35</x:v>
      </x:c>
      <x:c r="E1913" s="274" t="n">
        <x:v>33</x:v>
      </x:c>
      <x:c r="F1913" s="274" t="s">
        <x:v>133</x:v>
      </x:c>
      <x:c r="G1913" s="274" t="s">
        <x:v>144</x:v>
      </x:c>
      <x:c r="H1913" s="274" t="n">
        <x:v>45</x:v>
      </x:c>
      <x:c r="I1913" s="274" t="n">
        <x:v>1.2</x:v>
      </x:c>
      <x:c r="J1913" s="274" t="n">
        <x:v>270</x:v>
      </x:c>
      <x:c r="K1913" s="274" t="n">
        <x:v>138</x:v>
      </x:c>
      <x:c r="M1913" s="274" t="s">
        <x:v>3747</x:v>
      </x:c>
      <x:c r="N1913" s="274" t="s">
        <x:v>131</x:v>
      </x:c>
    </x:row>
    <x:row r="1914" spans="1:14">
      <x:c r="A1914" s="274" t="s">
        <x:v>3748</x:v>
      </x:c>
      <x:c r="B1914" s="274" t="n">
        <x:v>1.15</x:v>
      </x:c>
      <x:c r="C1914" s="274" t="n">
        <x:v>0</x:v>
      </x:c>
      <x:c r="D1914" s="274" t="n">
        <x:v>22</x:v>
      </x:c>
      <x:c r="E1914" s="274" t="n">
        <x:v>19</x:v>
      </x:c>
      <x:c r="F1914" s="274" t="s">
        <x:v>333</x:v>
      </x:c>
      <x:c r="G1914" s="274" t="s">
        <x:v>209</x:v>
      </x:c>
      <x:c r="I1914" s="274" t="n">
        <x:v>1.2</x:v>
      </x:c>
      <x:c r="J1914" s="274" t="n">
        <x:v>104</x:v>
      </x:c>
      <x:c r="K1914" s="274" t="n">
        <x:v>1174</x:v>
      </x:c>
      <x:c r="M1914" s="274" t="s">
        <x:v>1290</x:v>
      </x:c>
      <x:c r="N1914" s="274" t="s">
        <x:v>131</x:v>
      </x:c>
    </x:row>
    <x:row r="1915" spans="1:14">
      <x:c r="A1915" s="274" t="s">
        <x:v>3749</x:v>
      </x:c>
      <x:c r="B1915" s="274" t="n">
        <x:v>1.28</x:v>
      </x:c>
      <x:c r="C1915" s="274" t="n">
        <x:v>0</x:v>
      </x:c>
      <x:c r="D1915" s="274" t="n">
        <x:v>22</x:v>
      </x:c>
      <x:c r="E1915" s="274" t="n">
        <x:v>19</x:v>
      </x:c>
      <x:c r="F1915" s="274" t="s">
        <x:v>333</x:v>
      </x:c>
      <x:c r="G1915" s="274" t="s">
        <x:v>209</x:v>
      </x:c>
      <x:c r="I1915" s="274" t="n">
        <x:v>1</x:v>
      </x:c>
      <x:c r="J1915" s="274" t="n">
        <x:v>134</x:v>
      </x:c>
      <x:c r="K1915" s="274" t="n">
        <x:v>1220</x:v>
      </x:c>
      <x:c r="M1915" s="274" t="s">
        <x:v>693</x:v>
      </x:c>
      <x:c r="N1915" s="274" t="s">
        <x:v>131</x:v>
      </x:c>
    </x:row>
    <x:row r="1916" spans="1:14">
      <x:c r="A1916" s="274" t="s">
        <x:v>3750</x:v>
      </x:c>
      <x:c r="B1916" s="274" t="n">
        <x:v>0.46</x:v>
      </x:c>
      <x:c r="C1916" s="274" t="n">
        <x:v>28</x:v>
      </x:c>
      <x:c r="D1916" s="274" t="n">
        <x:v>35</x:v>
      </x:c>
      <x:c r="E1916" s="274" t="n">
        <x:v>33</x:v>
      </x:c>
      <x:c r="F1916" s="274" t="s">
        <x:v>133</x:v>
      </x:c>
      <x:c r="G1916" s="274" t="s">
        <x:v>144</x:v>
      </x:c>
      <x:c r="H1916" s="274" t="n">
        <x:v>45</x:v>
      </x:c>
      <x:c r="I1916" s="274" t="n">
        <x:v>1.2</x:v>
      </x:c>
      <x:c r="J1916" s="274" t="n">
        <x:v>160</x:v>
      </x:c>
      <x:c r="K1916" s="274" t="n">
        <x:v>305</x:v>
      </x:c>
      <x:c r="M1916" s="274" t="s">
        <x:v>1343</x:v>
      </x:c>
      <x:c r="N1916" s="274" t="s">
        <x:v>870</x:v>
      </x:c>
    </x:row>
    <x:row r="1917" spans="1:14">
      <x:c r="A1917" s="274" t="s">
        <x:v>3751</x:v>
      </x:c>
      <x:c r="B1917" s="274" t="n">
        <x:v>0.26</x:v>
      </x:c>
      <x:c r="C1917" s="274" t="n">
        <x:v>35</x:v>
      </x:c>
      <x:c r="D1917" s="274" t="n">
        <x:v>35</x:v>
      </x:c>
      <x:c r="E1917" s="274" t="n">
        <x:v>33</x:v>
      </x:c>
      <x:c r="F1917" s="274" t="s">
        <x:v>133</x:v>
      </x:c>
      <x:c r="G1917" s="274" t="s">
        <x:v>136</x:v>
      </x:c>
      <x:c r="H1917" s="274" t="n">
        <x:v>45</x:v>
      </x:c>
      <x:c r="I1917" s="274" t="n">
        <x:v>1.2</x:v>
      </x:c>
      <x:c r="J1917" s="274" t="n">
        <x:v>185</x:v>
      </x:c>
      <x:c r="K1917" s="274" t="n">
        <x:v>145</x:v>
      </x:c>
      <x:c r="M1917" s="274" t="s">
        <x:v>321</x:v>
      </x:c>
    </x:row>
    <x:row r="1918" spans="1:14">
      <x:c r="A1918" s="274" t="s">
        <x:v>3752</x:v>
      </x:c>
      <x:c r="B1918" s="274" t="n">
        <x:v>12.14</x:v>
      </x:c>
      <x:c r="C1918" s="274" t="n">
        <x:v>0</x:v>
      </x:c>
      <x:c r="D1918" s="274" t="n">
        <x:v>32</x:v>
      </x:c>
      <x:c r="E1918" s="274" t="n">
        <x:v>20</x:v>
      </x:c>
      <x:c r="F1918" s="274" t="s">
        <x:v>1980</x:v>
      </x:c>
      <x:c r="G1918" s="274" t="s">
        <x:v>1985</x:v>
      </x:c>
      <x:c r="I1918" s="274" t="n">
        <x:v>1.2</x:v>
      </x:c>
      <x:c r="J1918" s="274" t="n">
        <x:v>635</x:v>
      </x:c>
      <x:c r="K1918" s="274" t="n">
        <x:v>2030</x:v>
      </x:c>
      <x:c r="M1918" s="274" t="s">
        <x:v>3753</x:v>
      </x:c>
    </x:row>
    <x:row r="1919" spans="1:14">
      <x:c r="A1919" s="274" t="s">
        <x:v>3754</x:v>
      </x:c>
      <x:c r="B1919" s="274" t="n">
        <x:v>4.33</x:v>
      </x:c>
      <x:c r="C1919" s="274" t="n">
        <x:v>0</x:v>
      </x:c>
      <x:c r="D1919" s="274" t="n">
        <x:v>40</x:v>
      </x:c>
      <x:c r="E1919" s="274" t="n">
        <x:v>40</x:v>
      </x:c>
      <x:c r="F1919" s="274" t="s">
        <x:v>333</x:v>
      </x:c>
      <x:c r="G1919" s="274" t="s">
        <x:v>334</x:v>
      </x:c>
      <x:c r="I1919" s="274" t="n">
        <x:v>1.4</x:v>
      </x:c>
      <x:c r="J1919" s="274" t="n">
        <x:v>788</x:v>
      </x:c>
      <x:c r="K1919" s="274" t="n">
        <x:v>500</x:v>
      </x:c>
      <x:c r="N1919" s="274" t="s">
        <x:v>3755</x:v>
      </x:c>
    </x:row>
    <x:row r="1920" spans="1:14">
      <x:c r="A1920" s="274" t="s">
        <x:v>3756</x:v>
      </x:c>
      <x:c r="B1920" s="274" t="n">
        <x:v>5.28</x:v>
      </x:c>
      <x:c r="C1920" s="274" t="n">
        <x:v>0</x:v>
      </x:c>
      <x:c r="D1920" s="274" t="n">
        <x:v>40</x:v>
      </x:c>
      <x:c r="E1920" s="274" t="n">
        <x:v>40</x:v>
      </x:c>
      <x:c r="F1920" s="274" t="s">
        <x:v>184</x:v>
      </x:c>
      <x:c r="G1920" s="274" t="s">
        <x:v>881</x:v>
      </x:c>
      <x:c r="H1920" s="274" t="n">
        <x:v>45</x:v>
      </x:c>
      <x:c r="I1920" s="274" t="n">
        <x:v>1.6</x:v>
      </x:c>
      <x:c r="J1920" s="274" t="n">
        <x:v>835</x:v>
      </x:c>
      <x:c r="K1920" s="274" t="n">
        <x:v>500</x:v>
      </x:c>
      <x:c r="N1920" s="274" t="s">
        <x:v>3755</x:v>
      </x:c>
    </x:row>
    <x:row r="1921" spans="1:14">
      <x:c r="A1921" s="274" t="s">
        <x:v>3757</x:v>
      </x:c>
      <x:c r="B1921" s="274" t="n">
        <x:v>8.95</x:v>
      </x:c>
      <x:c r="C1921" s="274" t="n">
        <x:v>0</x:v>
      </x:c>
      <x:c r="D1921" s="274" t="n">
        <x:v>0</x:v>
      </x:c>
      <x:c r="F1921" s="274" t="s">
        <x:v>133</x:v>
      </x:c>
      <x:c r="G1921" s="274" t="s">
        <x:v>148</x:v>
      </x:c>
      <x:c r="I1921" s="274" t="n">
        <x:v>3.8</x:v>
      </x:c>
      <x:c r="J1921" s="274" t="n">
        <x:v>300</x:v>
      </x:c>
      <x:c r="K1921" s="274" t="n">
        <x:v>1000</x:v>
      </x:c>
      <x:c r="N1921" s="274" t="s">
        <x:v>3755</x:v>
      </x:c>
    </x:row>
    <x:row r="1922" spans="1:14">
      <x:c r="A1922" s="274" t="s">
        <x:v>3758</x:v>
      </x:c>
      <x:c r="B1922" s="274" t="n">
        <x:v>0.51</x:v>
      </x:c>
      <x:c r="C1922" s="274" t="n">
        <x:v>26</x:v>
      </x:c>
      <x:c r="D1922" s="274" t="n">
        <x:v>36</x:v>
      </x:c>
      <x:c r="E1922" s="274" t="n">
        <x:v>33</x:v>
      </x:c>
      <x:c r="F1922" s="274" t="s">
        <x:v>133</x:v>
      </x:c>
      <x:c r="G1922" s="274" t="s">
        <x:v>136</x:v>
      </x:c>
      <x:c r="H1922" s="274" t="n">
        <x:v>45</x:v>
      </x:c>
      <x:c r="I1922" s="274" t="n">
        <x:v>0.6</x:v>
      </x:c>
      <x:c r="J1922" s="274" t="n">
        <x:v>352</x:v>
      </x:c>
      <x:c r="K1922" s="274" t="n">
        <x:v>302</x:v>
      </x:c>
      <x:c r="M1922" s="274" t="s">
        <x:v>3759</x:v>
      </x:c>
      <x:c r="N1922" s="274" t="s">
        <x:v>1157</x:v>
      </x:c>
    </x:row>
    <x:row r="1923" spans="1:14">
      <x:c r="A1923" s="274" t="s">
        <x:v>3760</x:v>
      </x:c>
      <x:c r="B1923" s="274" t="n">
        <x:v>0.17</x:v>
      </x:c>
      <x:c r="C1923" s="274" t="n">
        <x:v>0</x:v>
      </x:c>
      <x:c r="D1923" s="274" t="n">
        <x:v>0</x:v>
      </x:c>
      <x:c r="F1923" s="274" t="s">
        <x:v>133</x:v>
      </x:c>
      <x:c r="G1923" s="274" t="s">
        <x:v>136</x:v>
      </x:c>
      <x:c r="H1923" s="274" t="n">
        <x:v>45</x:v>
      </x:c>
      <x:c r="I1923" s="274" t="n">
        <x:v>0.65</x:v>
      </x:c>
      <x:c r="J1923" s="274" t="n">
        <x:v>55</x:v>
      </x:c>
      <x:c r="K1923" s="274" t="n">
        <x:v>578</x:v>
      </x:c>
      <x:c r="M1923" s="274" t="s">
        <x:v>3761</x:v>
      </x:c>
      <x:c r="N1923" s="274" t="s">
        <x:v>3762</x:v>
      </x:c>
    </x:row>
    <x:row r="1924" spans="1:14">
      <x:c r="A1924" s="274" t="s">
        <x:v>3763</x:v>
      </x:c>
      <x:c r="B1924" s="274" t="n">
        <x:v>0.24</x:v>
      </x:c>
      <x:c r="C1924" s="274" t="n">
        <x:v>35</x:v>
      </x:c>
      <x:c r="D1924" s="274" t="n">
        <x:v>36</x:v>
      </x:c>
      <x:c r="E1924" s="274" t="n">
        <x:v>33</x:v>
      </x:c>
      <x:c r="F1924" s="274" t="s">
        <x:v>333</x:v>
      </x:c>
      <x:c r="G1924" s="274" t="s">
        <x:v>209</x:v>
      </x:c>
      <x:c r="I1924" s="274" t="n">
        <x:v>1.2</x:v>
      </x:c>
      <x:c r="J1924" s="274" t="n">
        <x:v>140</x:v>
      </x:c>
      <x:c r="K1924" s="274" t="n">
        <x:v>183</x:v>
      </x:c>
      <x:c r="M1924" s="274" t="s">
        <x:v>1292</x:v>
      </x:c>
      <x:c r="N1924" s="274" t="s">
        <x:v>155</x:v>
      </x:c>
    </x:row>
    <x:row r="1925" spans="1:14">
      <x:c r="A1925" s="274" t="s">
        <x:v>3764</x:v>
      </x:c>
      <x:c r="B1925" s="274" t="n">
        <x:v>0.23</x:v>
      </x:c>
      <x:c r="C1925" s="274" t="n">
        <x:v>35</x:v>
      </x:c>
      <x:c r="D1925" s="274" t="n">
        <x:v>36</x:v>
      </x:c>
      <x:c r="E1925" s="274" t="n">
        <x:v>33</x:v>
      </x:c>
      <x:c r="F1925" s="274" t="s">
        <x:v>333</x:v>
      </x:c>
      <x:c r="G1925" s="274" t="s">
        <x:v>153</x:v>
      </x:c>
      <x:c r="I1925" s="274" t="n">
        <x:v>1.6</x:v>
      </x:c>
      <x:c r="J1925" s="274" t="n">
        <x:v>123</x:v>
      </x:c>
      <x:c r="K1925" s="274" t="n">
        <x:v>152</x:v>
      </x:c>
      <x:c r="M1925" s="274" t="s">
        <x:v>3765</x:v>
      </x:c>
      <x:c r="N1925" s="274" t="s">
        <x:v>1157</x:v>
      </x:c>
    </x:row>
    <x:row r="1926" spans="1:14">
      <x:c r="A1926" s="274" t="s">
        <x:v>3766</x:v>
      </x:c>
      <x:c r="B1926" s="274" t="n">
        <x:v>0.13</x:v>
      </x:c>
      <x:c r="C1926" s="274" t="n">
        <x:v>35</x:v>
      </x:c>
      <x:c r="D1926" s="274" t="n">
        <x:v>35</x:v>
      </x:c>
      <x:c r="E1926" s="274" t="n">
        <x:v>33</x:v>
      </x:c>
      <x:c r="F1926" s="274" t="s">
        <x:v>333</x:v>
      </x:c>
      <x:c r="G1926" s="274" t="s">
        <x:v>124</x:v>
      </x:c>
      <x:c r="I1926" s="274" t="n">
        <x:v>1.6</x:v>
      </x:c>
      <x:c r="J1926" s="274" t="n">
        <x:v>137</x:v>
      </x:c>
      <x:c r="K1926" s="274" t="n">
        <x:v>77</x:v>
      </x:c>
      <x:c r="M1926" s="274" t="s">
        <x:v>1630</x:v>
      </x:c>
      <x:c r="N1926" s="274" t="s">
        <x:v>155</x:v>
      </x:c>
    </x:row>
    <x:row r="1927" spans="1:14">
      <x:c r="A1927" s="274" t="s">
        <x:v>3767</x:v>
      </x:c>
      <x:c r="B1927" s="274" t="n">
        <x:v>0.23</x:v>
      </x:c>
      <x:c r="C1927" s="274" t="n">
        <x:v>30</x:v>
      </x:c>
      <x:c r="D1927" s="274" t="n">
        <x:v>36</x:v>
      </x:c>
      <x:c r="E1927" s="274" t="n">
        <x:v>33</x:v>
      </x:c>
      <x:c r="F1927" s="274" t="s">
        <x:v>133</x:v>
      </x:c>
      <x:c r="G1927" s="274" t="s">
        <x:v>136</x:v>
      </x:c>
      <x:c r="H1927" s="274" t="n">
        <x:v>45</x:v>
      </x:c>
      <x:c r="I1927" s="274" t="n">
        <x:v>1</x:v>
      </x:c>
      <x:c r="J1927" s="274" t="n">
        <x:v>140</x:v>
      </x:c>
      <x:c r="K1927" s="274" t="n">
        <x:v>205</x:v>
      </x:c>
      <x:c r="M1927" s="274" t="s">
        <x:v>2230</x:v>
      </x:c>
      <x:c r="N1927" s="274" t="s">
        <x:v>1236</x:v>
      </x:c>
    </x:row>
    <x:row r="1928" spans="1:14">
      <x:c r="A1928" s="274" t="s">
        <x:v>3768</x:v>
      </x:c>
      <x:c r="B1928" s="274" t="n">
        <x:v>1.36</x:v>
      </x:c>
      <x:c r="C1928" s="274" t="n">
        <x:v>0</x:v>
      </x:c>
      <x:c r="D1928" s="274" t="n">
        <x:v>35</x:v>
      </x:c>
      <x:c r="E1928" s="274" t="n">
        <x:v>33</x:v>
      </x:c>
      <x:c r="F1928" s="274" t="s">
        <x:v>184</x:v>
      </x:c>
      <x:c r="G1928" s="274" t="s">
        <x:v>129</x:v>
      </x:c>
      <x:c r="H1928" s="274" t="n">
        <x:v>45</x:v>
      </x:c>
      <x:c r="I1928" s="274" t="n">
        <x:v>2</x:v>
      </x:c>
      <x:c r="J1928" s="274" t="n">
        <x:v>210</x:v>
      </x:c>
      <x:c r="K1928" s="274" t="n">
        <x:v>410</x:v>
      </x:c>
      <x:c r="M1928" s="274" t="s">
        <x:v>3571</x:v>
      </x:c>
      <x:c r="N1928" s="274" t="s">
        <x:v>131</x:v>
      </x:c>
    </x:row>
    <x:row r="1929" spans="1:14">
      <x:c r="A1929" s="274" t="s">
        <x:v>3769</x:v>
      </x:c>
      <x:c r="B1929" s="274" t="n">
        <x:v>0.95</x:v>
      </x:c>
      <x:c r="C1929" s="274" t="n">
        <x:v>27</x:v>
      </x:c>
      <x:c r="D1929" s="274" t="n">
        <x:v>35</x:v>
      </x:c>
      <x:c r="E1929" s="274" t="n">
        <x:v>33</x:v>
      </x:c>
      <x:c r="F1929" s="274" t="s">
        <x:v>333</x:v>
      </x:c>
      <x:c r="G1929" s="274" t="s">
        <x:v>209</x:v>
      </x:c>
      <x:c r="I1929" s="274" t="n">
        <x:v>1</x:v>
      </x:c>
      <x:c r="J1929" s="274" t="n">
        <x:v>220</x:v>
      </x:c>
      <x:c r="K1929" s="274" t="n">
        <x:v>550</x:v>
      </x:c>
      <x:c r="M1929" s="274" t="s">
        <x:v>687</x:v>
      </x:c>
      <x:c r="N1929" s="274" t="s">
        <x:v>155</x:v>
      </x:c>
    </x:row>
    <x:row r="1930" spans="1:14">
      <x:c r="A1930" s="274" t="s">
        <x:v>3770</x:v>
      </x:c>
      <x:c r="B1930" s="274" t="n">
        <x:v>0.37</x:v>
      </x:c>
      <x:c r="C1930" s="274" t="n">
        <x:v>0</x:v>
      </x:c>
      <x:c r="D1930" s="274" t="n">
        <x:v>35</x:v>
      </x:c>
      <x:c r="E1930" s="274" t="n">
        <x:v>33</x:v>
      </x:c>
      <x:c r="F1930" s="274" t="s">
        <x:v>123</x:v>
      </x:c>
      <x:c r="G1930" s="274" t="s">
        <x:v>209</x:v>
      </x:c>
      <x:c r="I1930" s="274" t="n">
        <x:v>1.8</x:v>
      </x:c>
      <x:c r="J1930" s="274" t="n">
        <x:v>175</x:v>
      </x:c>
      <x:c r="K1930" s="274" t="n">
        <x:v>150</x:v>
      </x:c>
      <x:c r="M1930" s="274" t="s">
        <x:v>350</x:v>
      </x:c>
      <x:c r="N1930" s="274" t="s">
        <x:v>131</x:v>
      </x:c>
    </x:row>
    <x:row r="1931" spans="1:14">
      <x:c r="A1931" s="274" t="s">
        <x:v>3771</x:v>
      </x:c>
      <x:c r="B1931" s="274" t="n">
        <x:v>14.77</x:v>
      </x:c>
      <x:c r="C1931" s="274" t="n">
        <x:v>0</x:v>
      </x:c>
      <x:c r="D1931" s="274" t="n">
        <x:v>30</x:v>
      </x:c>
      <x:c r="E1931" s="274" t="n">
        <x:v>29</x:v>
      </x:c>
      <x:c r="F1931" s="274" t="s">
        <x:v>123</x:v>
      </x:c>
      <x:c r="G1931" s="274" t="s">
        <x:v>153</x:v>
      </x:c>
      <x:c r="I1931" s="274" t="n">
        <x:v>0.9</x:v>
      </x:c>
      <x:c r="J1931" s="274" t="n">
        <x:v>1417</x:v>
      </x:c>
      <x:c r="K1931" s="274" t="n">
        <x:v>1475</x:v>
      </x:c>
      <x:c r="M1931" s="274" t="s">
        <x:v>3772</x:v>
      </x:c>
      <x:c r="N1931" s="274" t="s">
        <x:v>3181</x:v>
      </x:c>
    </x:row>
    <x:row r="1932" spans="1:14">
      <x:c r="A1932" s="274" t="s">
        <x:v>3773</x:v>
      </x:c>
      <x:c r="B1932" s="274" t="n">
        <x:v>2.32</x:v>
      </x:c>
      <x:c r="C1932" s="274" t="n">
        <x:v>0</x:v>
      </x:c>
      <x:c r="D1932" s="274" t="n">
        <x:v>35</x:v>
      </x:c>
      <x:c r="E1932" s="274" t="n">
        <x:v>0</x:v>
      </x:c>
      <x:c r="F1932" s="274" t="s">
        <x:v>833</x:v>
      </x:c>
      <x:c r="G1932" s="274" t="s">
        <x:v>834</x:v>
      </x:c>
      <x:c r="H1932" s="274" t="s">
        <x:v>837</x:v>
      </x:c>
      <x:c r="I1932" s="274" t="n">
        <x:v>0.8</x:v>
      </x:c>
      <x:c r="J1932" s="274" t="n">
        <x:v>515</x:v>
      </x:c>
      <x:c r="K1932" s="274" t="n">
        <x:v>715</x:v>
      </x:c>
      <x:c r="M1932" s="274" t="s">
        <x:v>3774</x:v>
      </x:c>
    </x:row>
    <x:row r="1933" spans="1:14">
      <x:c r="A1933" s="274" t="s">
        <x:v>3775</x:v>
      </x:c>
      <x:c r="B1933" s="274" t="n">
        <x:v>2.64</x:v>
      </x:c>
      <x:c r="C1933" s="274" t="n">
        <x:v>0</x:v>
      </x:c>
      <x:c r="D1933" s="274" t="n">
        <x:v>45</x:v>
      </x:c>
      <x:c r="E1933" s="274" t="n">
        <x:v>40</x:v>
      </x:c>
      <x:c r="F1933" s="274" t="s">
        <x:v>833</x:v>
      </x:c>
      <x:c r="G1933" s="274" t="s">
        <x:v>834</x:v>
      </x:c>
      <x:c r="H1933" s="274" t="s">
        <x:v>829</x:v>
      </x:c>
      <x:c r="I1933" s="274" t="n">
        <x:v>0.8</x:v>
      </x:c>
      <x:c r="J1933" s="274" t="n">
        <x:v>620</x:v>
      </x:c>
      <x:c r="K1933" s="274" t="n">
        <x:v>675</x:v>
      </x:c>
      <x:c r="M1933" s="274" t="s">
        <x:v>3776</x:v>
      </x:c>
      <x:c r="N1933" s="274" t="s">
        <x:v>831</x:v>
      </x:c>
    </x:row>
    <x:row r="1934" spans="1:14">
      <x:c r="A1934" s="274" t="s">
        <x:v>3777</x:v>
      </x:c>
      <x:c r="B1934" s="274" t="n">
        <x:v>2.74</x:v>
      </x:c>
      <x:c r="C1934" s="274" t="n">
        <x:v>0</x:v>
      </x:c>
      <x:c r="D1934" s="274" t="n">
        <x:v>35</x:v>
      </x:c>
      <x:c r="E1934" s="274" t="n">
        <x:v>0</x:v>
      </x:c>
      <x:c r="F1934" s="274" t="s">
        <x:v>311</x:v>
      </x:c>
      <x:c r="G1934" s="274" t="s">
        <x:v>828</x:v>
      </x:c>
      <x:c r="H1934" s="274" t="s">
        <x:v>837</x:v>
      </x:c>
      <x:c r="I1934" s="274" t="n">
        <x:v>0.8</x:v>
      </x:c>
      <x:c r="J1934" s="274" t="n">
        <x:v>550</x:v>
      </x:c>
      <x:c r="K1934" s="274" t="n">
        <x:v>790</x:v>
      </x:c>
      <x:c r="M1934" s="274" t="s">
        <x:v>3778</x:v>
      </x:c>
    </x:row>
    <x:row r="1935" spans="1:14">
      <x:c r="A1935" s="274" t="s">
        <x:v>3779</x:v>
      </x:c>
      <x:c r="B1935" s="274" t="n">
        <x:v>2.62</x:v>
      </x:c>
      <x:c r="C1935" s="274" t="n">
        <x:v>0</x:v>
      </x:c>
      <x:c r="D1935" s="274" t="n">
        <x:v>35</x:v>
      </x:c>
      <x:c r="E1935" s="274" t="n">
        <x:v>0</x:v>
      </x:c>
      <x:c r="F1935" s="274" t="s">
        <x:v>311</x:v>
      </x:c>
      <x:c r="G1935" s="274" t="s">
        <x:v>828</x:v>
      </x:c>
      <x:c r="H1935" s="274" t="s">
        <x:v>829</x:v>
      </x:c>
      <x:c r="I1935" s="274" t="n">
        <x:v>0.8</x:v>
      </x:c>
      <x:c r="J1935" s="274" t="n">
        <x:v>590</x:v>
      </x:c>
      <x:c r="K1935" s="274" t="n">
        <x:v>705</x:v>
      </x:c>
      <x:c r="M1935" s="274" t="s">
        <x:v>3780</x:v>
      </x:c>
    </x:row>
    <x:row r="1936" spans="1:14">
      <x:c r="A1936" s="274" t="s">
        <x:v>3781</x:v>
      </x:c>
      <x:c r="B1936" s="274" t="n">
        <x:v>2.52</x:v>
      </x:c>
      <x:c r="C1936" s="274" t="n">
        <x:v>0</x:v>
      </x:c>
      <x:c r="D1936" s="274" t="n">
        <x:v>35</x:v>
      </x:c>
      <x:c r="E1936" s="274" t="n">
        <x:v>33</x:v>
      </x:c>
      <x:c r="F1936" s="274" t="s">
        <x:v>311</x:v>
      </x:c>
      <x:c r="G1936" s="274" t="s">
        <x:v>828</x:v>
      </x:c>
      <x:c r="H1936" s="274" t="s">
        <x:v>837</x:v>
      </x:c>
      <x:c r="I1936" s="274" t="n">
        <x:v>0.8</x:v>
      </x:c>
      <x:c r="J1936" s="274" t="n">
        <x:v>510</x:v>
      </x:c>
      <x:c r="K1936" s="274" t="n">
        <x:v>785</x:v>
      </x:c>
      <x:c r="M1936" s="274" t="s">
        <x:v>3782</x:v>
      </x:c>
    </x:row>
    <x:row r="1937" spans="1:14">
      <x:c r="A1937" s="274" t="s">
        <x:v>3783</x:v>
      </x:c>
      <x:c r="B1937" s="274" t="n">
        <x:v>2.49</x:v>
      </x:c>
      <x:c r="C1937" s="274" t="n">
        <x:v>0</x:v>
      </x:c>
      <x:c r="D1937" s="274" t="n">
        <x:v>36</x:v>
      </x:c>
      <x:c r="E1937" s="274" t="n">
        <x:v>0</x:v>
      </x:c>
      <x:c r="F1937" s="274" t="s">
        <x:v>311</x:v>
      </x:c>
      <x:c r="G1937" s="274" t="s">
        <x:v>828</x:v>
      </x:c>
      <x:c r="H1937" s="274" t="s">
        <x:v>829</x:v>
      </x:c>
      <x:c r="I1937" s="274" t="n">
        <x:v>0.8</x:v>
      </x:c>
      <x:c r="J1937" s="274" t="n">
        <x:v>600</x:v>
      </x:c>
      <x:c r="K1937" s="274" t="n">
        <x:v>660</x:v>
      </x:c>
      <x:c r="M1937" s="274" t="s">
        <x:v>3784</x:v>
      </x:c>
    </x:row>
    <x:row r="1938" spans="1:14">
      <x:c r="A1938" s="274" t="s">
        <x:v>3785</x:v>
      </x:c>
      <x:c r="B1938" s="274" t="n">
        <x:v>3.53</x:v>
      </x:c>
      <x:c r="C1938" s="274" t="n">
        <x:v>0</x:v>
      </x:c>
      <x:c r="D1938" s="274" t="n">
        <x:v>0</x:v>
      </x:c>
      <x:c r="F1938" s="274" t="s">
        <x:v>133</x:v>
      </x:c>
      <x:c r="G1938" s="274" t="s">
        <x:v>2157</x:v>
      </x:c>
      <x:c r="I1938" s="274" t="n">
        <x:v>2.5</x:v>
      </x:c>
      <x:c r="J1938" s="274" t="n">
        <x:v>120</x:v>
      </x:c>
      <x:c r="K1938" s="274" t="n">
        <x:v>1500</x:v>
      </x:c>
      <x:c r="M1938" s="274" t="s">
        <x:v>3786</x:v>
      </x:c>
      <x:c r="N1938" s="274" t="s">
        <x:v>3787</x:v>
      </x:c>
    </x:row>
    <x:row r="1939" spans="1:14">
      <x:c r="A1939" s="274" t="s">
        <x:v>3788</x:v>
      </x:c>
      <x:c r="B1939" s="274" t="n">
        <x:v>2.57</x:v>
      </x:c>
      <x:c r="C1939" s="274" t="n">
        <x:v>0</x:v>
      </x:c>
      <x:c r="D1939" s="274" t="n">
        <x:v>22</x:v>
      </x:c>
      <x:c r="E1939" s="274" t="n">
        <x:v>19</x:v>
      </x:c>
      <x:c r="F1939" s="274" t="s">
        <x:v>133</x:v>
      </x:c>
      <x:c r="G1939" s="274" t="s">
        <x:v>148</x:v>
      </x:c>
      <x:c r="I1939" s="274" t="n">
        <x:v>2</x:v>
      </x:c>
      <x:c r="J1939" s="274" t="n">
        <x:v>137</x:v>
      </x:c>
      <x:c r="K1939" s="274" t="n">
        <x:v>1195</x:v>
      </x:c>
      <x:c r="M1939" s="274" t="s">
        <x:v>3289</x:v>
      </x:c>
      <x:c r="N1939" s="274" t="s">
        <x:v>155</x:v>
      </x:c>
    </x:row>
    <x:row r="1940" spans="1:14">
      <x:c r="A1940" s="274" t="s">
        <x:v>3789</x:v>
      </x:c>
      <x:c r="B1940" s="274" t="n">
        <x:v>0.13</x:v>
      </x:c>
      <x:c r="C1940" s="274" t="n">
        <x:v>35</x:v>
      </x:c>
      <x:c r="D1940" s="274" t="n">
        <x:v>35</x:v>
      </x:c>
      <x:c r="E1940" s="274" t="n">
        <x:v>33</x:v>
      </x:c>
      <x:c r="F1940" s="274" t="s">
        <x:v>333</x:v>
      </x:c>
      <x:c r="G1940" s="274" t="s">
        <x:v>209</x:v>
      </x:c>
      <x:c r="I1940" s="274" t="n">
        <x:v>1</x:v>
      </x:c>
      <x:c r="J1940" s="274" t="n">
        <x:v>225</x:v>
      </x:c>
      <x:c r="K1940" s="274" t="n">
        <x:v>75</x:v>
      </x:c>
      <x:c r="M1940" s="274" t="s">
        <x:v>1030</x:v>
      </x:c>
      <x:c r="N1940" s="274" t="s">
        <x:v>299</x:v>
      </x:c>
    </x:row>
    <x:row r="1941" spans="1:14">
      <x:c r="A1941" s="274" t="s">
        <x:v>3790</x:v>
      </x:c>
      <x:c r="B1941" s="274" t="n">
        <x:v>0.13</x:v>
      </x:c>
      <x:c r="C1941" s="274" t="n">
        <x:v>0</x:v>
      </x:c>
      <x:c r="D1941" s="274" t="n">
        <x:v>35</x:v>
      </x:c>
      <x:c r="E1941" s="274" t="n">
        <x:v>33</x:v>
      </x:c>
      <x:c r="F1941" s="274" t="s">
        <x:v>133</x:v>
      </x:c>
      <x:c r="G1941" s="274" t="s">
        <x:v>148</x:v>
      </x:c>
      <x:c r="I1941" s="274" t="n">
        <x:v>2</x:v>
      </x:c>
      <x:c r="J1941" s="274" t="n">
        <x:v>105</x:v>
      </x:c>
      <x:c r="K1941" s="274" t="n">
        <x:v>80</x:v>
      </x:c>
      <x:c r="M1941" s="274" t="s">
        <x:v>673</x:v>
      </x:c>
      <x:c r="N1941" s="274" t="s">
        <x:v>299</x:v>
      </x:c>
    </x:row>
    <x:row r="1942" spans="1:14">
      <x:c r="A1942" s="274" t="s">
        <x:v>3791</x:v>
      </x:c>
      <x:c r="B1942" s="274" t="n">
        <x:v>2.23</x:v>
      </x:c>
      <x:c r="C1942" s="274" t="n">
        <x:v>25</x:v>
      </x:c>
      <x:c r="D1942" s="274" t="n">
        <x:v>33</x:v>
      </x:c>
      <x:c r="E1942" s="274" t="n">
        <x:v>28</x:v>
      </x:c>
      <x:c r="F1942" s="274" t="s">
        <x:v>133</x:v>
      </x:c>
      <x:c r="G1942" s="274" t="s">
        <x:v>144</x:v>
      </x:c>
      <x:c r="H1942" s="274" t="n">
        <x:v>45</x:v>
      </x:c>
      <x:c r="I1942" s="274" t="n">
        <x:v>1.2</x:v>
      </x:c>
      <x:c r="J1942" s="274" t="n">
        <x:v>240</x:v>
      </x:c>
      <x:c r="K1942" s="274" t="n">
        <x:v>975</x:v>
      </x:c>
      <x:c r="M1942" s="274" t="s">
        <x:v>2128</x:v>
      </x:c>
      <x:c r="N1942" s="274" t="s">
        <x:v>870</x:v>
      </x:c>
    </x:row>
    <x:row r="1943" spans="1:14">
      <x:c r="A1943" s="274" t="s">
        <x:v>3792</x:v>
      </x:c>
      <x:c r="B1943" s="274" t="n">
        <x:v>0.92</x:v>
      </x:c>
      <x:c r="C1943" s="274" t="n">
        <x:v>29</x:v>
      </x:c>
      <x:c r="D1943" s="274" t="n">
        <x:v>35</x:v>
      </x:c>
      <x:c r="E1943" s="274" t="n">
        <x:v>33</x:v>
      </x:c>
      <x:c r="F1943" s="274" t="s">
        <x:v>133</x:v>
      </x:c>
      <x:c r="G1943" s="274" t="s">
        <x:v>136</x:v>
      </x:c>
      <x:c r="H1943" s="274" t="n">
        <x:v>45</x:v>
      </x:c>
      <x:c r="I1943" s="274" t="n">
        <x:v>1.6</x:v>
      </x:c>
      <x:c r="J1943" s="274" t="n">
        <x:v>280</x:v>
      </x:c>
      <x:c r="K1943" s="274" t="n">
        <x:v>260</x:v>
      </x:c>
      <x:c r="M1943" s="274" t="s">
        <x:v>3219</x:v>
      </x:c>
      <x:c r="N1943" s="274" t="s">
        <x:v>2373</x:v>
      </x:c>
    </x:row>
    <x:row r="1944" spans="1:14">
      <x:c r="A1944" s="274" t="s">
        <x:v>3793</x:v>
      </x:c>
      <x:c r="B1944" s="274" t="n">
        <x:v>1</x:v>
      </x:c>
      <x:c r="C1944" s="274" t="n">
        <x:v>0</x:v>
      </x:c>
      <x:c r="D1944" s="274" t="n">
        <x:v>0</x:v>
      </x:c>
      <x:c r="F1944" s="274" t="s">
        <x:v>133</x:v>
      </x:c>
      <x:c r="G1944" s="274" t="s">
        <x:v>136</x:v>
      </x:c>
      <x:c r="H1944" s="274" t="n">
        <x:v>45</x:v>
      </x:c>
      <x:c r="I1944" s="274" t="n">
        <x:v>0.75</x:v>
      </x:c>
      <x:c r="J1944" s="274" t="n">
        <x:v>272</x:v>
      </x:c>
      <x:c r="K1944" s="274" t="n">
        <x:v>612</x:v>
      </x:c>
      <x:c r="M1944" s="274" t="s">
        <x:v>3794</x:v>
      </x:c>
      <x:c r="N1944" s="274" t="s">
        <x:v>299</x:v>
      </x:c>
    </x:row>
    <x:row r="1945" spans="1:14">
      <x:c r="A1945" s="274" t="s">
        <x:v>3795</x:v>
      </x:c>
      <x:c r="B1945" s="274" t="n">
        <x:v>7.08</x:v>
      </x:c>
      <x:c r="C1945" s="274" t="n">
        <x:v>0</x:v>
      </x:c>
      <x:c r="D1945" s="274" t="n">
        <x:v>0</x:v>
      </x:c>
      <x:c r="F1945" s="274" t="s">
        <x:v>133</x:v>
      </x:c>
      <x:c r="G1945" s="274" t="s">
        <x:v>136</x:v>
      </x:c>
      <x:c r="H1945" s="274" t="n">
        <x:v>45</x:v>
      </x:c>
      <x:c r="I1945" s="274" t="n">
        <x:v>0.6</x:v>
      </x:c>
      <x:c r="J1945" s="274" t="n">
        <x:v>965</x:v>
      </x:c>
      <x:c r="K1945" s="274" t="n">
        <x:v>1530</x:v>
      </x:c>
      <x:c r="M1945" s="274" t="s">
        <x:v>531</x:v>
      </x:c>
      <x:c r="N1945" s="274" t="s">
        <x:v>3796</x:v>
      </x:c>
    </x:row>
    <x:row r="1946" spans="1:14">
      <x:c r="A1946" s="274" t="s">
        <x:v>3797</x:v>
      </x:c>
      <x:c r="B1946" s="274" t="n">
        <x:v>30.15</x:v>
      </x:c>
      <x:c r="C1946" s="274" t="n">
        <x:v>0</x:v>
      </x:c>
      <x:c r="D1946" s="274" t="n">
        <x:v>0</x:v>
      </x:c>
      <x:c r="E1946" s="274" t="n">
        <x:v>0</x:v>
      </x:c>
      <x:c r="F1946" s="274" t="s">
        <x:v>128</x:v>
      </x:c>
      <x:c r="G1946" s="274" t="s">
        <x:v>136</x:v>
      </x:c>
      <x:c r="H1946" s="274" t="s">
        <x:v>1729</x:v>
      </x:c>
      <x:c r="I1946" s="274" t="n">
        <x:v>0.7</x:v>
      </x:c>
      <x:c r="J1946" s="274" t="n">
        <x:v>1575</x:v>
      </x:c>
      <x:c r="K1946" s="274" t="n">
        <x:v>3427</x:v>
      </x:c>
      <x:c r="M1946" s="274" t="s">
        <x:v>3798</x:v>
      </x:c>
      <x:c r="N1946" s="274" t="s">
        <x:v>3799</x:v>
      </x:c>
    </x:row>
    <x:row r="1947" spans="1:14">
      <x:c r="A1947" s="274" t="s">
        <x:v>3800</x:v>
      </x:c>
      <x:c r="B1947" s="274" t="n">
        <x:v>1.37</x:v>
      </x:c>
      <x:c r="C1947" s="274" t="n">
        <x:v>0</x:v>
      </x:c>
      <x:c r="D1947" s="274" t="n">
        <x:v>20</x:v>
      </x:c>
      <x:c r="E1947" s="274" t="n">
        <x:v>20</x:v>
      </x:c>
      <x:c r="F1947" s="274" t="s">
        <x:v>123</x:v>
      </x:c>
      <x:c r="G1947" s="274" t="s">
        <x:v>129</x:v>
      </x:c>
      <x:c r="H1947" s="274" t="n">
        <x:v>45</x:v>
      </x:c>
      <x:c r="I1947" s="274" t="n">
        <x:v>0.6</x:v>
      </x:c>
      <x:c r="J1947" s="274" t="n">
        <x:v>270</x:v>
      </x:c>
      <x:c r="K1947" s="274" t="n">
        <x:v>1060</x:v>
      </x:c>
      <x:c r="M1947" s="274" t="s">
        <x:v>1106</x:v>
      </x:c>
      <x:c r="N1947" s="274" t="s">
        <x:v>915</x:v>
      </x:c>
    </x:row>
    <x:row r="1948" spans="1:14">
      <x:c r="A1948" s="274" t="s">
        <x:v>3801</x:v>
      </x:c>
      <x:c r="B1948" s="274" t="n">
        <x:v>3.01</x:v>
      </x:c>
      <x:c r="C1948" s="274" t="n">
        <x:v>0</x:v>
      </x:c>
      <x:c r="D1948" s="274" t="n">
        <x:v>0</x:v>
      </x:c>
      <x:c r="F1948" s="274" t="s">
        <x:v>333</x:v>
      </x:c>
      <x:c r="G1948" s="274" t="s">
        <x:v>153</x:v>
      </x:c>
      <x:c r="I1948" s="274" t="n">
        <x:v>0.6</x:v>
      </x:c>
      <x:c r="J1948" s="274" t="n">
        <x:v>652.5</x:v>
      </x:c>
      <x:c r="K1948" s="274" t="n">
        <x:v>980</x:v>
      </x:c>
      <x:c r="M1948" s="274" t="s">
        <x:v>3802</x:v>
      </x:c>
      <x:c r="N1948" s="274" t="s">
        <x:v>2805</x:v>
      </x:c>
    </x:row>
    <x:row r="1949" spans="1:14">
      <x:c r="A1949" s="274" t="s">
        <x:v>3803</x:v>
      </x:c>
      <x:c r="B1949" s="274" t="n">
        <x:v>1.02</x:v>
      </x:c>
      <x:c r="C1949" s="274" t="n">
        <x:v>0</x:v>
      </x:c>
      <x:c r="D1949" s="274" t="n">
        <x:v>0</x:v>
      </x:c>
      <x:c r="F1949" s="274" t="s">
        <x:v>333</x:v>
      </x:c>
      <x:c r="G1949" s="274" t="s">
        <x:v>153</x:v>
      </x:c>
      <x:c r="I1949" s="274" t="n">
        <x:v>1.2</x:v>
      </x:c>
      <x:c r="J1949" s="274" t="n">
        <x:v>206</x:v>
      </x:c>
      <x:c r="K1949" s="274" t="n">
        <x:v>525</x:v>
      </x:c>
      <x:c r="M1949" s="274" t="s">
        <x:v>3804</x:v>
      </x:c>
      <x:c r="N1949" s="274" t="s">
        <x:v>2802</x:v>
      </x:c>
    </x:row>
    <x:row r="1950" spans="1:14">
      <x:c r="A1950" s="274" t="s">
        <x:v>3805</x:v>
      </x:c>
      <x:c r="B1950" s="274" t="n">
        <x:v>21.24</x:v>
      </x:c>
      <x:c r="C1950" s="274" t="n">
        <x:v>0</x:v>
      </x:c>
      <x:c r="D1950" s="274" t="n">
        <x:v>0</x:v>
      </x:c>
      <x:c r="F1950" s="274" t="s">
        <x:v>133</x:v>
      </x:c>
      <x:c r="G1950" s="274" t="s">
        <x:v>134</x:v>
      </x:c>
      <x:c r="I1950" s="274" t="n">
        <x:v>2.3</x:v>
      </x:c>
      <x:c r="J1950" s="274" t="n">
        <x:v>1010</x:v>
      </x:c>
      <x:c r="K1950" s="274" t="n">
        <x:v>1164</x:v>
      </x:c>
      <x:c r="N1950" s="274" t="s">
        <x:v>3296</x:v>
      </x:c>
    </x:row>
    <x:row r="1951" spans="1:14">
      <x:c r="A1951" s="274" t="s">
        <x:v>3806</x:v>
      </x:c>
      <x:c r="B1951" s="274" t="n">
        <x:v>2.77</x:v>
      </x:c>
      <x:c r="C1951" s="274" t="n">
        <x:v>0</x:v>
      </x:c>
      <x:c r="D1951" s="274" t="n">
        <x:v>0</x:v>
      </x:c>
      <x:c r="F1951" s="274" t="s">
        <x:v>123</x:v>
      </x:c>
      <x:c r="G1951" s="274" t="s">
        <x:v>2637</x:v>
      </x:c>
      <x:c r="I1951" s="274" t="n">
        <x:v>1.5</x:v>
      </x:c>
      <x:c r="J1951" s="274" t="n">
        <x:v>197</x:v>
      </x:c>
      <x:c r="K1951" s="274" t="n">
        <x:v>1165</x:v>
      </x:c>
    </x:row>
    <x:row r="1952" spans="1:14">
      <x:c r="A1952" s="274" t="s">
        <x:v>3807</x:v>
      </x:c>
      <x:c r="B1952" s="274" t="n">
        <x:v>2.89</x:v>
      </x:c>
      <x:c r="C1952" s="274" t="n">
        <x:v>0</x:v>
      </x:c>
      <x:c r="D1952" s="274" t="n">
        <x:v>19</x:v>
      </x:c>
      <x:c r="E1952" s="274" t="n">
        <x:v>18</x:v>
      </x:c>
      <x:c r="F1952" s="274" t="s">
        <x:v>123</x:v>
      </x:c>
      <x:c r="G1952" s="274" t="s">
        <x:v>2637</x:v>
      </x:c>
      <x:c r="I1952" s="274" t="n">
        <x:v>1.6</x:v>
      </x:c>
      <x:c r="J1952" s="274" t="n">
        <x:v>173</x:v>
      </x:c>
      <x:c r="K1952" s="274" t="n">
        <x:v>1300</x:v>
      </x:c>
    </x:row>
    <x:row r="1953" spans="1:14">
      <x:c r="A1953" s="274" t="s">
        <x:v>3808</x:v>
      </x:c>
      <x:c r="B1953" s="274" t="n">
        <x:v>7.23</x:v>
      </x:c>
      <x:c r="C1953" s="274" t="n">
        <x:v>0</x:v>
      </x:c>
      <x:c r="D1953" s="274" t="n">
        <x:v>22</x:v>
      </x:c>
      <x:c r="E1953" s="274" t="n">
        <x:v>18</x:v>
      </x:c>
      <x:c r="F1953" s="274" t="s">
        <x:v>123</x:v>
      </x:c>
      <x:c r="G1953" s="274" t="s">
        <x:v>2796</x:v>
      </x:c>
      <x:c r="I1953" s="274" t="n">
        <x:v>1.6</x:v>
      </x:c>
      <x:c r="J1953" s="274" t="n">
        <x:v>456</x:v>
      </x:c>
      <x:c r="K1953" s="274" t="n">
        <x:v>1245</x:v>
      </x:c>
    </x:row>
    <x:row r="1954" spans="1:14">
      <x:c r="A1954" s="274" t="s">
        <x:v>3809</x:v>
      </x:c>
      <x:c r="B1954" s="274" t="n">
        <x:v>2.08</x:v>
      </x:c>
      <x:c r="C1954" s="274" t="n">
        <x:v>0</x:v>
      </x:c>
      <x:c r="D1954" s="274" t="n">
        <x:v>22</x:v>
      </x:c>
      <x:c r="E1954" s="274" t="n">
        <x:v>18</x:v>
      </x:c>
      <x:c r="F1954" s="274" t="s">
        <x:v>123</x:v>
      </x:c>
      <x:c r="G1954" s="274" t="s">
        <x:v>2796</x:v>
      </x:c>
      <x:c r="I1954" s="274" t="n">
        <x:v>1.6</x:v>
      </x:c>
      <x:c r="J1954" s="274" t="n">
        <x:v>130.5</x:v>
      </x:c>
      <x:c r="K1954" s="274" t="n">
        <x:v>1250</x:v>
      </x:c>
    </x:row>
    <x:row r="1955" spans="1:14">
      <x:c r="A1955" s="274" t="s">
        <x:v>3810</x:v>
      </x:c>
      <x:c r="B1955" s="274" t="n">
        <x:v>2.21</x:v>
      </x:c>
      <x:c r="C1955" s="274" t="n">
        <x:v>0</x:v>
      </x:c>
      <x:c r="D1955" s="274" t="n">
        <x:v>0</x:v>
      </x:c>
      <x:c r="E1955" s="274" t="n">
        <x:v>19</x:v>
      </x:c>
      <x:c r="F1955" s="274" t="s">
        <x:v>123</x:v>
      </x:c>
      <x:c r="G1955" s="274" t="s">
        <x:v>2796</x:v>
      </x:c>
      <x:c r="I1955" s="274" t="n">
        <x:v>1.6</x:v>
      </x:c>
      <x:c r="J1955" s="274" t="n">
        <x:v>162</x:v>
      </x:c>
      <x:c r="K1955" s="274" t="n">
        <x:v>1070</x:v>
      </x:c>
    </x:row>
    <x:row r="1956" spans="1:14">
      <x:c r="A1956" s="274" t="s">
        <x:v>3811</x:v>
      </x:c>
      <x:c r="B1956" s="274" t="n">
        <x:v>3.48</x:v>
      </x:c>
      <x:c r="C1956" s="274" t="n">
        <x:v>0</x:v>
      </x:c>
      <x:c r="D1956" s="274" t="n">
        <x:v>25</x:v>
      </x:c>
      <x:c r="E1956" s="274" t="n">
        <x:v>22</x:v>
      </x:c>
      <x:c r="F1956" s="274" t="s">
        <x:v>123</x:v>
      </x:c>
      <x:c r="G1956" s="274" t="s">
        <x:v>2796</x:v>
      </x:c>
      <x:c r="I1956" s="274" t="n">
        <x:v>1.6</x:v>
      </x:c>
      <x:c r="J1956" s="274" t="n">
        <x:v>325</x:v>
      </x:c>
      <x:c r="K1956" s="274" t="n">
        <x:v>841</x:v>
      </x:c>
    </x:row>
    <x:row r="1957" spans="1:14">
      <x:c r="A1957" s="274" t="s">
        <x:v>3812</x:v>
      </x:c>
      <x:c r="B1957" s="274" t="n">
        <x:v>2.76</x:v>
      </x:c>
      <x:c r="C1957" s="274" t="n">
        <x:v>0</x:v>
      </x:c>
      <x:c r="D1957" s="274" t="n">
        <x:v>22</x:v>
      </x:c>
      <x:c r="E1957" s="274" t="n">
        <x:v>18</x:v>
      </x:c>
      <x:c r="F1957" s="274" t="s">
        <x:v>123</x:v>
      </x:c>
      <x:c r="G1957" s="274" t="s">
        <x:v>2796</x:v>
      </x:c>
      <x:c r="I1957" s="274" t="n">
        <x:v>1.6</x:v>
      </x:c>
      <x:c r="J1957" s="274" t="n">
        <x:v>206</x:v>
      </x:c>
      <x:c r="K1957" s="274" t="n">
        <x:v>1050</x:v>
      </x:c>
    </x:row>
    <x:row r="1958" spans="1:14">
      <x:c r="A1958" s="274" t="s">
        <x:v>3813</x:v>
      </x:c>
      <x:c r="B1958" s="274" t="n">
        <x:v>1.08</x:v>
      </x:c>
      <x:c r="C1958" s="274" t="n">
        <x:v>0</x:v>
      </x:c>
      <x:c r="D1958" s="274" t="n">
        <x:v>20</x:v>
      </x:c>
      <x:c r="E1958" s="274" t="n">
        <x:v>18</x:v>
      </x:c>
      <x:c r="F1958" s="274" t="s">
        <x:v>123</x:v>
      </x:c>
      <x:c r="G1958" s="274" t="s">
        <x:v>2796</x:v>
      </x:c>
      <x:c r="I1958" s="274" t="n">
        <x:v>1.6</x:v>
      </x:c>
      <x:c r="J1958" s="274" t="n">
        <x:v>68</x:v>
      </x:c>
      <x:c r="K1958" s="274" t="n">
        <x:v>1250</x:v>
      </x:c>
    </x:row>
    <x:row r="1959" spans="1:14">
      <x:c r="A1959" s="274" t="s">
        <x:v>3814</x:v>
      </x:c>
      <x:c r="B1959" s="274" t="n">
        <x:v>2.87</x:v>
      </x:c>
      <x:c r="C1959" s="274" t="n">
        <x:v>0</x:v>
      </x:c>
      <x:c r="D1959" s="274" t="n">
        <x:v>0</x:v>
      </x:c>
      <x:c r="F1959" s="274" t="s">
        <x:v>133</x:v>
      </x:c>
      <x:c r="G1959" s="274" t="s">
        <x:v>134</x:v>
      </x:c>
      <x:c r="I1959" s="274" t="n">
        <x:v>2</x:v>
      </x:c>
      <x:c r="J1959" s="274" t="n">
        <x:v>146</x:v>
      </x:c>
      <x:c r="K1959" s="274" t="n">
        <x:v>1250</x:v>
      </x:c>
      <x:c r="M1959" s="274" t="s">
        <x:v>3815</x:v>
      </x:c>
      <x:c r="N1959" s="274" t="s">
        <x:v>131</x:v>
      </x:c>
    </x:row>
    <x:row r="1960" spans="1:14">
      <x:c r="A1960" s="274" t="s">
        <x:v>3816</x:v>
      </x:c>
      <x:c r="B1960" s="274" t="n">
        <x:v>8</x:v>
      </x:c>
      <x:c r="C1960" s="274" t="n">
        <x:v>0</x:v>
      </x:c>
      <x:c r="D1960" s="274" t="n">
        <x:v>32</x:v>
      </x:c>
      <x:c r="E1960" s="274" t="n">
        <x:v>28</x:v>
      </x:c>
      <x:c r="F1960" s="274" t="s">
        <x:v>133</x:v>
      </x:c>
      <x:c r="G1960" s="274" t="s">
        <x:v>136</x:v>
      </x:c>
      <x:c r="H1960" s="274" t="n">
        <x:v>45</x:v>
      </x:c>
      <x:c r="I1960" s="274" t="n">
        <x:v>0.7</x:v>
      </x:c>
      <x:c r="J1960" s="274" t="n">
        <x:v>927</x:v>
      </x:c>
      <x:c r="K1960" s="274" t="n">
        <x:v>1545</x:v>
      </x:c>
      <x:c r="M1960" s="274" t="s">
        <x:v>3817</x:v>
      </x:c>
      <x:c r="N1960" s="274" t="s">
        <x:v>131</x:v>
      </x:c>
    </x:row>
    <x:row r="1961" spans="1:14">
      <x:c r="A1961" s="274" t="s">
        <x:v>3818</x:v>
      </x:c>
      <x:c r="B1961" s="274" t="n">
        <x:v>0.46</x:v>
      </x:c>
      <x:c r="C1961" s="274" t="n">
        <x:v>0</x:v>
      </x:c>
      <x:c r="D1961" s="274" t="n">
        <x:v>0</x:v>
      </x:c>
      <x:c r="F1961" s="274" t="s">
        <x:v>333</x:v>
      </x:c>
      <x:c r="G1961" s="274" t="s">
        <x:v>2468</x:v>
      </x:c>
      <x:c r="I1961" s="274" t="n">
        <x:v>0.6</x:v>
      </x:c>
      <x:c r="J1961" s="274" t="n">
        <x:v>1065</x:v>
      </x:c>
      <x:c r="K1961" s="274" t="n">
        <x:v>92</x:v>
      </x:c>
      <x:c r="M1961" s="274" t="s">
        <x:v>3819</x:v>
      </x:c>
      <x:c r="N1961" s="274" t="s">
        <x:v>3654</x:v>
      </x:c>
    </x:row>
    <x:row r="1962" spans="1:14">
      <x:c r="A1962" s="274" t="s">
        <x:v>3820</x:v>
      </x:c>
      <x:c r="B1962" s="274" t="n">
        <x:v>0.44</x:v>
      </x:c>
      <x:c r="C1962" s="274" t="n">
        <x:v>0</x:v>
      </x:c>
      <x:c r="D1962" s="274" t="n">
        <x:v>0</x:v>
      </x:c>
      <x:c r="F1962" s="274" t="s">
        <x:v>333</x:v>
      </x:c>
      <x:c r="G1962" s="274" t="s">
        <x:v>2468</x:v>
      </x:c>
      <x:c r="I1962" s="274" t="n">
        <x:v>0.6</x:v>
      </x:c>
      <x:c r="J1962" s="274" t="n">
        <x:v>1065</x:v>
      </x:c>
      <x:c r="K1962" s="274" t="n">
        <x:v>88</x:v>
      </x:c>
      <x:c r="M1962" s="274" t="s">
        <x:v>3821</x:v>
      </x:c>
      <x:c r="N1962" s="274" t="s">
        <x:v>3654</x:v>
      </x:c>
    </x:row>
    <x:row r="1963" spans="1:14">
      <x:c r="A1963" s="274" t="s">
        <x:v>3822</x:v>
      </x:c>
      <x:c r="B1963" s="274" t="n">
        <x:v>0.51</x:v>
      </x:c>
      <x:c r="C1963" s="274" t="n">
        <x:v>0</x:v>
      </x:c>
      <x:c r="D1963" s="274" t="n">
        <x:v>0</x:v>
      </x:c>
      <x:c r="F1963" s="274" t="s">
        <x:v>333</x:v>
      </x:c>
      <x:c r="G1963" s="274" t="s">
        <x:v>2157</x:v>
      </x:c>
      <x:c r="I1963" s="274" t="n">
        <x:v>0.6</x:v>
      </x:c>
      <x:c r="J1963" s="274" t="n">
        <x:v>909</x:v>
      </x:c>
      <x:c r="K1963" s="274" t="n">
        <x:v>120</x:v>
      </x:c>
      <x:c r="M1963" s="274" t="s">
        <x:v>3823</x:v>
      </x:c>
      <x:c r="N1963" s="274" t="s">
        <x:v>3564</x:v>
      </x:c>
    </x:row>
    <x:row r="1964" spans="1:14">
      <x:c r="A1964" s="274" t="s">
        <x:v>3824</x:v>
      </x:c>
      <x:c r="B1964" s="274" t="n">
        <x:v>17.78</x:v>
      </x:c>
      <x:c r="C1964" s="274" t="n">
        <x:v>0</x:v>
      </x:c>
      <x:c r="D1964" s="274" t="n">
        <x:v>28</x:v>
      </x:c>
      <x:c r="E1964" s="274" t="n">
        <x:v>26</x:v>
      </x:c>
      <x:c r="F1964" s="274" t="s">
        <x:v>1980</x:v>
      </x:c>
      <x:c r="G1964" s="274" t="s">
        <x:v>1981</x:v>
      </x:c>
      <x:c r="I1964" s="274" t="n">
        <x:v>0.9</x:v>
      </x:c>
      <x:c r="J1964" s="274" t="n">
        <x:v>1480</x:v>
      </x:c>
      <x:c r="K1964" s="274" t="n">
        <x:v>1700</x:v>
      </x:c>
      <x:c r="M1964" s="274" t="s">
        <x:v>1992</x:v>
      </x:c>
    </x:row>
    <x:row r="1965" spans="1:14">
      <x:c r="A1965" s="274" t="s">
        <x:v>3825</x:v>
      </x:c>
      <x:c r="B1965" s="274" t="n">
        <x:v>2.07</x:v>
      </x:c>
      <x:c r="C1965" s="274" t="n">
        <x:v>0</x:v>
      </x:c>
      <x:c r="D1965" s="274" t="n">
        <x:v>0</x:v>
      </x:c>
      <x:c r="F1965" s="274" t="s">
        <x:v>184</x:v>
      </x:c>
      <x:c r="G1965" s="274" t="s">
        <x:v>136</x:v>
      </x:c>
      <x:c r="H1965" s="274" t="n">
        <x:v>45</x:v>
      </x:c>
      <x:c r="I1965" s="274" t="n">
        <x:v>0.65</x:v>
      </x:c>
      <x:c r="J1965" s="274" t="n">
        <x:v>1456</x:v>
      </x:c>
      <x:c r="K1965" s="274" t="n">
        <x:v>274</x:v>
      </x:c>
      <x:c r="M1965" s="274" t="s">
        <x:v>3826</x:v>
      </x:c>
      <x:c r="N1965" s="274" t="s">
        <x:v>131</x:v>
      </x:c>
    </x:row>
    <x:row r="1966" spans="1:14">
      <x:c r="A1966" s="274" t="s">
        <x:v>3827</x:v>
      </x:c>
      <x:c r="B1966" s="274" t="n">
        <x:v>0.29</x:v>
      </x:c>
      <x:c r="C1966" s="274" t="n">
        <x:v>29</x:v>
      </x:c>
      <x:c r="D1966" s="274" t="n">
        <x:v>35</x:v>
      </x:c>
      <x:c r="E1966" s="274" t="n">
        <x:v>33</x:v>
      </x:c>
      <x:c r="F1966" s="274" t="s">
        <x:v>133</x:v>
      </x:c>
      <x:c r="G1966" s="274" t="s">
        <x:v>136</x:v>
      </x:c>
      <x:c r="H1966" s="274" t="n">
        <x:v>45</x:v>
      </x:c>
      <x:c r="I1966" s="274" t="n">
        <x:v>1</x:v>
      </x:c>
      <x:c r="J1966" s="274" t="n">
        <x:v>145</x:v>
      </x:c>
      <x:c r="K1966" s="274" t="n">
        <x:v>250</x:v>
      </x:c>
      <x:c r="M1966" s="274" t="s">
        <x:v>2232</x:v>
      </x:c>
      <x:c r="N1966" s="274" t="s">
        <x:v>131</x:v>
      </x:c>
    </x:row>
    <x:row r="1967" spans="1:14">
      <x:c r="A1967" s="274" t="s">
        <x:v>3828</x:v>
      </x:c>
      <x:c r="B1967" s="274" t="n">
        <x:v>4</x:v>
      </x:c>
      <x:c r="C1967" s="274" t="n">
        <x:v>0</x:v>
      </x:c>
      <x:c r="D1967" s="274" t="n">
        <x:v>50</x:v>
      </x:c>
      <x:c r="E1967" s="274" t="n">
        <x:v>40</x:v>
      </x:c>
      <x:c r="F1967" s="274" t="s">
        <x:v>133</x:v>
      </x:c>
      <x:c r="G1967" s="274" t="s">
        <x:v>3402</x:v>
      </x:c>
      <x:c r="I1967" s="274" t="n">
        <x:v>0.8</x:v>
      </x:c>
      <x:c r="J1967" s="274" t="n">
        <x:v>750</x:v>
      </x:c>
      <x:c r="K1967" s="274" t="n">
        <x:v>850</x:v>
      </x:c>
      <x:c r="M1967" s="274" t="s">
        <x:v>3301</x:v>
      </x:c>
      <x:c r="N1967" s="274" t="s">
        <x:v>3302</x:v>
      </x:c>
    </x:row>
    <x:row r="1968" spans="1:14">
      <x:c r="A1968" s="274" t="s">
        <x:v>3829</x:v>
      </x:c>
      <x:c r="B1968" s="274" t="n">
        <x:v>9.33</x:v>
      </x:c>
      <x:c r="C1968" s="274" t="n">
        <x:v>0</x:v>
      </x:c>
      <x:c r="D1968" s="274" t="n">
        <x:v>0</x:v>
      </x:c>
      <x:c r="F1968" s="274" t="s">
        <x:v>133</x:v>
      </x:c>
      <x:c r="G1968" s="274" t="s">
        <x:v>284</x:v>
      </x:c>
      <x:c r="H1968" s="274" t="s">
        <x:v>285</x:v>
      </x:c>
      <x:c r="I1968" s="274" t="n">
        <x:v>0.75</x:v>
      </x:c>
      <x:c r="J1968" s="274" t="n">
        <x:v>1210</x:v>
      </x:c>
      <x:c r="K1968" s="274" t="n">
        <x:v>1457.7</x:v>
      </x:c>
      <x:c r="L1968" s="274" t="n">
        <x:v>1122.3</x:v>
      </x:c>
      <x:c r="M1968" s="274" t="s">
        <x:v>3830</x:v>
      </x:c>
      <x:c r="N1968" s="274" t="s">
        <x:v>299</x:v>
      </x:c>
    </x:row>
    <x:row r="1969" spans="1:14">
      <x:c r="A1969" s="274" t="s">
        <x:v>3831</x:v>
      </x:c>
      <x:c r="B1969" s="274" t="n">
        <x:v>9.33</x:v>
      </x:c>
      <x:c r="C1969" s="274" t="n">
        <x:v>0</x:v>
      </x:c>
      <x:c r="D1969" s="274" t="n">
        <x:v>0</x:v>
      </x:c>
      <x:c r="F1969" s="274" t="s">
        <x:v>133</x:v>
      </x:c>
      <x:c r="G1969" s="274" t="s">
        <x:v>284</x:v>
      </x:c>
      <x:c r="H1969" s="274" t="s">
        <x:v>285</x:v>
      </x:c>
      <x:c r="I1969" s="274" t="n">
        <x:v>0.75</x:v>
      </x:c>
      <x:c r="J1969" s="274" t="n">
        <x:v>1210</x:v>
      </x:c>
      <x:c r="K1969" s="274" t="n">
        <x:v>1457.7</x:v>
      </x:c>
      <x:c r="L1969" s="274" t="n">
        <x:v>1122.3</x:v>
      </x:c>
      <x:c r="M1969" s="274" t="s">
        <x:v>3832</x:v>
      </x:c>
      <x:c r="N1969" s="274" t="s">
        <x:v>299</x:v>
      </x:c>
    </x:row>
    <x:row r="1970" spans="1:14">
      <x:c r="A1970" s="274" t="s">
        <x:v>3833</x:v>
      </x:c>
      <x:c r="B1970" s="274" t="n">
        <x:v>2.49</x:v>
      </x:c>
      <x:c r="C1970" s="274" t="n">
        <x:v>0</x:v>
      </x:c>
      <x:c r="D1970" s="274" t="n">
        <x:v>36</x:v>
      </x:c>
      <x:c r="E1970" s="274" t="n">
        <x:v>0</x:v>
      </x:c>
      <x:c r="F1970" s="274" t="s">
        <x:v>311</x:v>
      </x:c>
      <x:c r="G1970" s="274" t="s">
        <x:v>828</x:v>
      </x:c>
      <x:c r="H1970" s="274" t="s">
        <x:v>829</x:v>
      </x:c>
      <x:c r="I1970" s="274" t="n">
        <x:v>0.8</x:v>
      </x:c>
      <x:c r="J1970" s="274" t="n">
        <x:v>600</x:v>
      </x:c>
      <x:c r="K1970" s="274" t="n">
        <x:v>660</x:v>
      </x:c>
      <x:c r="M1970" s="274" t="s">
        <x:v>3784</x:v>
      </x:c>
    </x:row>
    <x:row r="1971" spans="1:14">
      <x:c r="A1971" s="274" t="s">
        <x:v>3834</x:v>
      </x:c>
      <x:c r="B1971" s="274" t="n">
        <x:v>4.57</x:v>
      </x:c>
      <x:c r="C1971" s="274" t="n">
        <x:v>0</x:v>
      </x:c>
      <x:c r="D1971" s="274" t="n">
        <x:v>0</x:v>
      </x:c>
      <x:c r="F1971" s="274" t="s">
        <x:v>133</x:v>
      </x:c>
      <x:c r="G1971" s="274" t="s">
        <x:v>134</x:v>
      </x:c>
      <x:c r="I1971" s="274" t="n">
        <x:v>2.6</x:v>
      </x:c>
      <x:c r="J1971" s="274" t="n">
        <x:v>250</x:v>
      </x:c>
      <x:c r="K1971" s="274" t="n">
        <x:v>895</x:v>
      </x:c>
      <x:c r="M1971" s="274" t="s">
        <x:v>3835</x:v>
      </x:c>
      <x:c r="N1971" s="274" t="s">
        <x:v>3836</x:v>
      </x:c>
    </x:row>
    <x:row r="1972" spans="1:14">
      <x:c r="A1972" s="274" t="s">
        <x:v>3837</x:v>
      </x:c>
      <x:c r="B1972" s="274" t="n">
        <x:v>6.73</x:v>
      </x:c>
      <x:c r="C1972" s="274" t="n">
        <x:v>0</x:v>
      </x:c>
      <x:c r="D1972" s="274" t="n">
        <x:v>0</x:v>
      </x:c>
      <x:c r="F1972" s="274" t="s">
        <x:v>133</x:v>
      </x:c>
      <x:c r="G1972" s="274" t="s">
        <x:v>209</x:v>
      </x:c>
      <x:c r="I1972" s="274" t="n">
        <x:v>0.8</x:v>
      </x:c>
      <x:c r="J1972" s="274" t="n">
        <x:v>900</x:v>
      </x:c>
      <x:c r="K1972" s="274" t="n">
        <x:v>1190</x:v>
      </x:c>
      <x:c r="M1972" s="274" t="s">
        <x:v>3838</x:v>
      </x:c>
      <x:c r="N1972" s="274" t="s">
        <x:v>3836</x:v>
      </x:c>
    </x:row>
    <x:row r="1973" spans="1:14">
      <x:c r="A1973" s="274" t="s">
        <x:v>3839</x:v>
      </x:c>
      <x:c r="B1973" s="274" t="n">
        <x:v>6.14</x:v>
      </x:c>
      <x:c r="C1973" s="274" t="n">
        <x:v>0</x:v>
      </x:c>
      <x:c r="D1973" s="274" t="n">
        <x:v>0</x:v>
      </x:c>
      <x:c r="F1973" s="274" t="s">
        <x:v>123</x:v>
      </x:c>
      <x:c r="G1973" s="274" t="s">
        <x:v>153</x:v>
      </x:c>
      <x:c r="I1973" s="274" t="n">
        <x:v>0.9</x:v>
      </x:c>
      <x:c r="J1973" s="274" t="n">
        <x:v>1215</x:v>
      </x:c>
      <x:c r="K1973" s="274" t="n">
        <x:v>715</x:v>
      </x:c>
      <x:c r="M1973" s="274" t="s">
        <x:v>3840</x:v>
      </x:c>
      <x:c r="N1973" s="274" t="s">
        <x:v>3836</x:v>
      </x:c>
    </x:row>
    <x:row r="1974" spans="1:14">
      <x:c r="A1974" s="274" t="s">
        <x:v>3841</x:v>
      </x:c>
      <x:c r="B1974" s="274" t="n">
        <x:v>0.43</x:v>
      </x:c>
      <x:c r="C1974" s="274" t="n">
        <x:v>0</x:v>
      </x:c>
      <x:c r="D1974" s="274" t="n">
        <x:v>0</x:v>
      </x:c>
      <x:c r="F1974" s="274" t="s">
        <x:v>333</x:v>
      </x:c>
      <x:c r="G1974" s="274" t="s">
        <x:v>153</x:v>
      </x:c>
      <x:c r="I1974" s="274" t="n">
        <x:v>0.8</x:v>
      </x:c>
      <x:c r="J1974" s="274" t="n">
        <x:v>380</x:v>
      </x:c>
      <x:c r="K1974" s="274" t="n">
        <x:v>181</x:v>
      </x:c>
      <x:c r="M1974" s="274" t="s">
        <x:v>3842</x:v>
      </x:c>
      <x:c r="N1974" s="274" t="s">
        <x:v>3836</x:v>
      </x:c>
    </x:row>
    <x:row r="1975" spans="1:14">
      <x:c r="A1975" s="274" t="s">
        <x:v>3843</x:v>
      </x:c>
      <x:c r="B1975" s="274" t="n">
        <x:v>17.21</x:v>
      </x:c>
      <x:c r="C1975" s="274" t="n">
        <x:v>0</x:v>
      </x:c>
      <x:c r="D1975" s="274" t="n">
        <x:v>0</x:v>
      </x:c>
      <x:c r="F1975" s="274" t="s">
        <x:v>333</x:v>
      </x:c>
      <x:c r="G1975" s="274" t="s">
        <x:v>209</x:v>
      </x:c>
      <x:c r="I1975" s="274" t="n">
        <x:v>1.2</x:v>
      </x:c>
      <x:c r="J1975" s="274" t="n">
        <x:v>1052</x:v>
      </x:c>
      <x:c r="K1975" s="274" t="n">
        <x:v>1737</x:v>
      </x:c>
      <x:c r="M1975" s="274" t="s">
        <x:v>3844</x:v>
      </x:c>
      <x:c r="N1975" s="274" t="s">
        <x:v>3836</x:v>
      </x:c>
    </x:row>
    <x:row r="1976" spans="1:14">
      <x:c r="A1976" s="274" t="s">
        <x:v>3845</x:v>
      </x:c>
      <x:c r="B1976" s="274" t="n">
        <x:v>6.28</x:v>
      </x:c>
      <x:c r="C1976" s="274" t="n">
        <x:v>0</x:v>
      </x:c>
      <x:c r="D1976" s="274" t="n">
        <x:v>0</x:v>
      </x:c>
      <x:c r="F1976" s="274" t="s">
        <x:v>123</x:v>
      </x:c>
      <x:c r="G1976" s="274" t="s">
        <x:v>209</x:v>
      </x:c>
      <x:c r="I1976" s="274" t="n">
        <x:v>0.9</x:v>
      </x:c>
      <x:c r="J1976" s="274" t="n">
        <x:v>790</x:v>
      </x:c>
      <x:c r="K1976" s="274" t="n">
        <x:v>1125</x:v>
      </x:c>
      <x:c r="M1976" s="274" t="s">
        <x:v>3846</x:v>
      </x:c>
      <x:c r="N1976" s="274" t="s">
        <x:v>3836</x:v>
      </x:c>
    </x:row>
    <x:row r="1977" spans="1:14">
      <x:c r="A1977" s="274" t="s">
        <x:v>3847</x:v>
      </x:c>
      <x:c r="B1977" s="274" t="n">
        <x:v>9.88</x:v>
      </x:c>
      <x:c r="C1977" s="274" t="n">
        <x:v>0</x:v>
      </x:c>
      <x:c r="D1977" s="274" t="n">
        <x:v>0</x:v>
      </x:c>
      <x:c r="F1977" s="274" t="s">
        <x:v>333</x:v>
      </x:c>
      <x:c r="G1977" s="274" t="s">
        <x:v>209</x:v>
      </x:c>
      <x:c r="I1977" s="274" t="n">
        <x:v>0.9</x:v>
      </x:c>
      <x:c r="J1977" s="274" t="n">
        <x:v>1075</x:v>
      </x:c>
      <x:c r="K1977" s="274" t="n">
        <x:v>1300</x:v>
      </x:c>
      <x:c r="M1977" s="274" t="s">
        <x:v>3848</x:v>
      </x:c>
      <x:c r="N1977" s="274" t="s">
        <x:v>3836</x:v>
      </x:c>
    </x:row>
    <x:row r="1978" spans="1:14">
      <x:c r="A1978" s="274" t="s">
        <x:v>3849</x:v>
      </x:c>
      <x:c r="B1978" s="274" t="n">
        <x:v>10.25</x:v>
      </x:c>
      <x:c r="C1978" s="274" t="n">
        <x:v>0</x:v>
      </x:c>
      <x:c r="D1978" s="274" t="n">
        <x:v>28</x:v>
      </x:c>
      <x:c r="E1978" s="274" t="n">
        <x:v>28</x:v>
      </x:c>
      <x:c r="F1978" s="274" t="s">
        <x:v>333</x:v>
      </x:c>
      <x:c r="G1978" s="274" t="s">
        <x:v>153</x:v>
      </x:c>
      <x:c r="I1978" s="274" t="n">
        <x:v>0.7</x:v>
      </x:c>
      <x:c r="J1978" s="274" t="n">
        <x:v>1200</x:v>
      </x:c>
      <x:c r="K1978" s="274" t="n">
        <x:v>1555</x:v>
      </x:c>
      <x:c r="M1978" s="274" t="s">
        <x:v>3850</x:v>
      </x:c>
      <x:c r="N1978" s="274" t="s">
        <x:v>3836</x:v>
      </x:c>
    </x:row>
    <x:row r="1979" spans="1:14">
      <x:c r="A1979" s="274" t="s">
        <x:v>3851</x:v>
      </x:c>
      <x:c r="B1979" s="274" t="n">
        <x:v>8.53</x:v>
      </x:c>
      <x:c r="C1979" s="274" t="n">
        <x:v>0</x:v>
      </x:c>
      <x:c r="D1979" s="274" t="n">
        <x:v>0</x:v>
      </x:c>
      <x:c r="F1979" s="274" t="s">
        <x:v>333</x:v>
      </x:c>
      <x:c r="G1979" s="274" t="s">
        <x:v>153</x:v>
      </x:c>
      <x:c r="I1979" s="274" t="n">
        <x:v>0.7</x:v>
      </x:c>
      <x:c r="J1979" s="274" t="n">
        <x:v>1180</x:v>
      </x:c>
      <x:c r="K1979" s="274" t="n">
        <x:v>1315</x:v>
      </x:c>
      <x:c r="M1979" s="274" t="s">
        <x:v>3852</x:v>
      </x:c>
      <x:c r="N1979" s="274" t="s">
        <x:v>3836</x:v>
      </x:c>
    </x:row>
    <x:row r="1980" spans="1:14">
      <x:c r="A1980" s="274" t="s">
        <x:v>3853</x:v>
      </x:c>
      <x:c r="B1980" s="274" t="n">
        <x:v>9.93</x:v>
      </x:c>
      <x:c r="C1980" s="274" t="n">
        <x:v>0</x:v>
      </x:c>
      <x:c r="D1980" s="274" t="n">
        <x:v>0</x:v>
      </x:c>
      <x:c r="F1980" s="274" t="s">
        <x:v>133</x:v>
      </x:c>
      <x:c r="G1980" s="274" t="s">
        <x:v>209</x:v>
      </x:c>
      <x:c r="I1980" s="274" t="n">
        <x:v>0.8</x:v>
      </x:c>
      <x:c r="J1980" s="274" t="n">
        <x:v>1050</x:v>
      </x:c>
      <x:c r="K1980" s="274" t="n">
        <x:v>1507</x:v>
      </x:c>
      <x:c r="M1980" s="274" t="s">
        <x:v>3854</x:v>
      </x:c>
      <x:c r="N1980" s="274" t="s">
        <x:v>3836</x:v>
      </x:c>
    </x:row>
    <x:row r="1981" spans="1:14">
      <x:c r="A1981" s="274" t="s">
        <x:v>3855</x:v>
      </x:c>
      <x:c r="B1981" s="274" t="n">
        <x:v>8.82</x:v>
      </x:c>
      <x:c r="C1981" s="274" t="n">
        <x:v>0</x:v>
      </x:c>
      <x:c r="D1981" s="274" t="n">
        <x:v>37</x:v>
      </x:c>
      <x:c r="E1981" s="274" t="n">
        <x:v>37</x:v>
      </x:c>
      <x:c r="F1981" s="274" t="s">
        <x:v>1980</x:v>
      </x:c>
      <x:c r="G1981" s="274" t="s">
        <x:v>1985</x:v>
      </x:c>
      <x:c r="I1981" s="274" t="n">
        <x:v>1.2</x:v>
      </x:c>
      <x:c r="J1981" s="274" t="n">
        <x:v>960</x:v>
      </x:c>
      <x:c r="K1981" s="274" t="n">
        <x:v>975</x:v>
      </x:c>
      <x:c r="M1981" s="274" t="s">
        <x:v>3856</x:v>
      </x:c>
    </x:row>
    <x:row r="1982" spans="1:14">
      <x:c r="A1982" s="274" t="s">
        <x:v>3857</x:v>
      </x:c>
      <x:c r="B1982" s="274" t="n">
        <x:v>6.03</x:v>
      </x:c>
      <x:c r="C1982" s="274" t="n">
        <x:v>0</x:v>
      </x:c>
      <x:c r="D1982" s="274" t="n">
        <x:v>22</x:v>
      </x:c>
      <x:c r="E1982" s="274" t="n">
        <x:v>19</x:v>
      </x:c>
      <x:c r="F1982" s="274" t="s">
        <x:v>1980</x:v>
      </x:c>
      <x:c r="G1982" s="274" t="s">
        <x:v>1985</x:v>
      </x:c>
      <x:c r="I1982" s="274" t="n">
        <x:v>1.2</x:v>
      </x:c>
      <x:c r="J1982" s="274" t="n">
        <x:v>500</x:v>
      </x:c>
      <x:c r="K1982" s="274" t="n">
        <x:v>1280</x:v>
      </x:c>
      <x:c r="M1982" s="274" t="s">
        <x:v>3858</x:v>
      </x:c>
    </x:row>
    <x:row r="1983" spans="1:14">
      <x:c r="A1983" s="274" t="s">
        <x:v>3859</x:v>
      </x:c>
      <x:c r="B1983" s="274" t="n">
        <x:v>4.97</x:v>
      </x:c>
      <x:c r="C1983" s="274" t="n">
        <x:v>0</x:v>
      </x:c>
      <x:c r="D1983" s="274" t="n">
        <x:v>30</x:v>
      </x:c>
      <x:c r="E1983" s="274" t="n">
        <x:v>0</x:v>
      </x:c>
      <x:c r="F1983" s="274" t="s">
        <x:v>1980</x:v>
      </x:c>
      <x:c r="G1983" s="274" t="s">
        <x:v>1981</x:v>
      </x:c>
      <x:c r="I1983" s="274" t="n">
        <x:v>1</x:v>
      </x:c>
      <x:c r="J1983" s="274" t="n">
        <x:v>320</x:v>
      </x:c>
      <x:c r="K1983" s="274" t="n">
        <x:v>1980</x:v>
      </x:c>
      <x:c r="M1983" s="274" t="s">
        <x:v>3860</x:v>
      </x:c>
    </x:row>
    <x:row r="1984" spans="1:14">
      <x:c r="A1984" s="274" t="s">
        <x:v>3861</x:v>
      </x:c>
      <x:c r="B1984" s="274" t="n">
        <x:v>6.32</x:v>
      </x:c>
      <x:c r="C1984" s="274" t="n">
        <x:v>0</x:v>
      </x:c>
      <x:c r="D1984" s="274" t="n">
        <x:v>35</x:v>
      </x:c>
      <x:c r="E1984" s="274" t="n">
        <x:v>0</x:v>
      </x:c>
      <x:c r="F1984" s="274" t="s">
        <x:v>1980</x:v>
      </x:c>
      <x:c r="G1984" s="274" t="s">
        <x:v>1985</x:v>
      </x:c>
      <x:c r="I1984" s="274" t="n">
        <x:v>1</x:v>
      </x:c>
      <x:c r="J1984" s="274" t="n">
        <x:v>500</x:v>
      </x:c>
      <x:c r="K1984" s="274" t="n">
        <x:v>1610</x:v>
      </x:c>
      <x:c r="M1984" s="274" t="s">
        <x:v>3862</x:v>
      </x:c>
    </x:row>
    <x:row r="1985" spans="1:14">
      <x:c r="A1985" s="274" t="s">
        <x:v>3863</x:v>
      </x:c>
      <x:c r="B1985" s="274" t="n">
        <x:v>21.64</x:v>
      </x:c>
      <x:c r="C1985" s="274" t="n">
        <x:v>0</x:v>
      </x:c>
      <x:c r="D1985" s="274" t="n">
        <x:v>30</x:v>
      </x:c>
      <x:c r="E1985" s="274" t="n">
        <x:v>26</x:v>
      </x:c>
      <x:c r="F1985" s="274" t="s">
        <x:v>1980</x:v>
      </x:c>
      <x:c r="G1985" s="274" t="s">
        <x:v>1981</x:v>
      </x:c>
      <x:c r="I1985" s="274" t="n">
        <x:v>1</x:v>
      </x:c>
      <x:c r="J1985" s="274" t="n">
        <x:v>1549</x:v>
      </x:c>
      <x:c r="K1985" s="274" t="n">
        <x:v>1780</x:v>
      </x:c>
      <x:c r="M1985" s="274" t="s">
        <x:v>3864</x:v>
      </x:c>
    </x:row>
    <x:row r="1986" spans="1:14">
      <x:c r="A1986" s="274" t="s">
        <x:v>3865</x:v>
      </x:c>
      <x:c r="B1986" s="274" t="n">
        <x:v>15.44</x:v>
      </x:c>
      <x:c r="C1986" s="274" t="n">
        <x:v>0</x:v>
      </x:c>
      <x:c r="D1986" s="274" t="n">
        <x:v>30</x:v>
      </x:c>
      <x:c r="E1986" s="274" t="n">
        <x:v>28</x:v>
      </x:c>
      <x:c r="F1986" s="274" t="s">
        <x:v>1980</x:v>
      </x:c>
      <x:c r="G1986" s="274" t="s">
        <x:v>1981</x:v>
      </x:c>
      <x:c r="I1986" s="274" t="n">
        <x:v>0.9</x:v>
      </x:c>
      <x:c r="J1986" s="274" t="n">
        <x:v>1447</x:v>
      </x:c>
      <x:c r="K1986" s="274" t="n">
        <x:v>1510</x:v>
      </x:c>
      <x:c r="M1986" s="274" t="s">
        <x:v>2583</x:v>
      </x:c>
    </x:row>
    <x:row r="1987" spans="1:14">
      <x:c r="A1987" s="274" t="s">
        <x:v>3866</x:v>
      </x:c>
      <x:c r="B1987" s="274" t="n">
        <x:v>1.92</x:v>
      </x:c>
      <x:c r="C1987" s="274" t="n">
        <x:v>0</x:v>
      </x:c>
      <x:c r="D1987" s="274" t="n">
        <x:v>0</x:v>
      </x:c>
      <x:c r="F1987" s="274" t="s">
        <x:v>333</x:v>
      </x:c>
      <x:c r="G1987" s="274" t="s">
        <x:v>2711</x:v>
      </x:c>
      <x:c r="I1987" s="274" t="n">
        <x:v>1</x:v>
      </x:c>
      <x:c r="J1987" s="274" t="n">
        <x:v>1039</x:v>
      </x:c>
      <x:c r="K1987" s="274" t="n">
        <x:v>235</x:v>
      </x:c>
      <x:c r="M1987" s="274" t="s">
        <x:v>3394</x:v>
      </x:c>
      <x:c r="N1987" s="274" t="s">
        <x:v>3561</x:v>
      </x:c>
    </x:row>
    <x:row r="1988" spans="1:14">
      <x:c r="A1988" s="274" t="s">
        <x:v>3867</x:v>
      </x:c>
      <x:c r="B1988" s="274" t="n">
        <x:v>9.95</x:v>
      </x:c>
      <x:c r="C1988" s="274" t="n">
        <x:v>0</x:v>
      </x:c>
      <x:c r="D1988" s="274" t="n">
        <x:v>20</x:v>
      </x:c>
      <x:c r="E1988" s="274" t="n">
        <x:v>18</x:v>
      </x:c>
      <x:c r="F1988" s="274" t="s">
        <x:v>133</x:v>
      </x:c>
      <x:c r="G1988" s="274" t="s">
        <x:v>148</x:v>
      </x:c>
      <x:c r="I1988" s="274" t="n">
        <x:v>2</x:v>
      </x:c>
      <x:c r="J1988" s="274" t="n">
        <x:v>507</x:v>
      </x:c>
      <x:c r="K1988" s="274" t="n">
        <x:v>1250</x:v>
      </x:c>
      <x:c r="M1988" s="274" t="s">
        <x:v>3868</x:v>
      </x:c>
    </x:row>
    <x:row r="1989" spans="1:14">
      <x:c r="A1989" s="274" t="s">
        <x:v>3869</x:v>
      </x:c>
      <x:c r="B1989" s="274" t="n">
        <x:v>8.05</x:v>
      </x:c>
      <x:c r="C1989" s="274" t="n">
        <x:v>0</x:v>
      </x:c>
      <x:c r="D1989" s="274" t="n">
        <x:v>20</x:v>
      </x:c>
      <x:c r="E1989" s="274" t="n">
        <x:v>18</x:v>
      </x:c>
      <x:c r="F1989" s="274" t="s">
        <x:v>133</x:v>
      </x:c>
      <x:c r="G1989" s="274" t="s">
        <x:v>148</x:v>
      </x:c>
      <x:c r="I1989" s="274" t="n">
        <x:v>2</x:v>
      </x:c>
      <x:c r="J1989" s="274" t="n">
        <x:v>410</x:v>
      </x:c>
      <x:c r="K1989" s="274" t="n">
        <x:v>1250</x:v>
      </x:c>
      <x:c r="M1989" s="274" t="s">
        <x:v>3870</x:v>
      </x:c>
    </x:row>
    <x:row r="1990" spans="1:14">
      <x:c r="A1990" s="274" t="s">
        <x:v>3871</x:v>
      </x:c>
      <x:c r="B1990" s="274" t="n">
        <x:v>2.88</x:v>
      </x:c>
      <x:c r="C1990" s="274" t="n">
        <x:v>0</x:v>
      </x:c>
      <x:c r="D1990" s="274" t="n">
        <x:v>18</x:v>
      </x:c>
      <x:c r="E1990" s="274" t="n">
        <x:v>20</x:v>
      </x:c>
      <x:c r="F1990" s="274" t="s">
        <x:v>133</x:v>
      </x:c>
      <x:c r="G1990" s="274" t="s">
        <x:v>148</x:v>
      </x:c>
      <x:c r="I1990" s="274" t="n">
        <x:v>2</x:v>
      </x:c>
      <x:c r="J1990" s="274" t="n">
        <x:v>180</x:v>
      </x:c>
      <x:c r="K1990" s="274" t="n">
        <x:v>1020</x:v>
      </x:c>
      <x:c r="M1990" s="274" t="s">
        <x:v>3872</x:v>
      </x:c>
    </x:row>
    <x:row r="1991" spans="1:14">
      <x:c r="A1991" s="274" t="s">
        <x:v>3873</x:v>
      </x:c>
      <x:c r="B1991" s="274" t="n">
        <x:v>3.11</x:v>
      </x:c>
      <x:c r="C1991" s="274" t="n">
        <x:v>0</x:v>
      </x:c>
      <x:c r="D1991" s="274" t="n">
        <x:v>20</x:v>
      </x:c>
      <x:c r="E1991" s="274" t="n">
        <x:v>18</x:v>
      </x:c>
      <x:c r="F1991" s="274" t="s">
        <x:v>123</x:v>
      </x:c>
      <x:c r="G1991" s="274" t="s">
        <x:v>2796</x:v>
      </x:c>
      <x:c r="I1991" s="274" t="n">
        <x:v>1.6</x:v>
      </x:c>
      <x:c r="J1991" s="274" t="n">
        <x:v>195</x:v>
      </x:c>
      <x:c r="K1991" s="274" t="n">
        <x:v>1250</x:v>
      </x:c>
    </x:row>
    <x:row r="1992" spans="1:14">
      <x:c r="A1992" s="274" t="s">
        <x:v>3874</x:v>
      </x:c>
      <x:c r="B1992" s="274" t="n">
        <x:v>2.65</x:v>
      </x:c>
      <x:c r="C1992" s="274" t="n">
        <x:v>0</x:v>
      </x:c>
      <x:c r="D1992" s="274" t="n">
        <x:v>20</x:v>
      </x:c>
      <x:c r="E1992" s="274" t="n">
        <x:v>18</x:v>
      </x:c>
      <x:c r="F1992" s="274" t="s">
        <x:v>123</x:v>
      </x:c>
      <x:c r="G1992" s="274" t="s">
        <x:v>2796</x:v>
      </x:c>
      <x:c r="I1992" s="274" t="n">
        <x:v>1.6</x:v>
      </x:c>
      <x:c r="J1992" s="274" t="n">
        <x:v>172</x:v>
      </x:c>
      <x:c r="K1992" s="274" t="n">
        <x:v>1210</x:v>
      </x:c>
    </x:row>
    <x:row r="1993" spans="1:14">
      <x:c r="A1993" s="274" t="s">
        <x:v>3875</x:v>
      </x:c>
      <x:c r="B1993" s="274" t="n">
        <x:v>0.89</x:v>
      </x:c>
      <x:c r="C1993" s="274" t="n">
        <x:v>0</x:v>
      </x:c>
      <x:c r="D1993" s="274" t="n">
        <x:v>0</x:v>
      </x:c>
      <x:c r="F1993" s="274" t="s">
        <x:v>333</x:v>
      </x:c>
      <x:c r="G1993" s="274" t="s">
        <x:v>209</x:v>
      </x:c>
      <x:c r="I1993" s="274" t="n">
        <x:v>0.6</x:v>
      </x:c>
      <x:c r="J1993" s="274" t="n">
        <x:v>912</x:v>
      </x:c>
      <x:c r="K1993" s="274" t="n">
        <x:v>206</x:v>
      </x:c>
      <x:c r="M1993" s="274" t="s">
        <x:v>1587</x:v>
      </x:c>
      <x:c r="N1993" s="274" t="s">
        <x:v>299</x:v>
      </x:c>
    </x:row>
    <x:row r="1994" spans="1:14">
      <x:c r="A1994" s="274" t="s">
        <x:v>3876</x:v>
      </x:c>
      <x:c r="B1994" s="274" t="n">
        <x:v>3.1</x:v>
      </x:c>
      <x:c r="C1994" s="274" t="n">
        <x:v>0</x:v>
      </x:c>
      <x:c r="D1994" s="274" t="n">
        <x:v>33</x:v>
      </x:c>
      <x:c r="F1994" s="274" t="s">
        <x:v>311</x:v>
      </x:c>
      <x:c r="G1994" s="274" t="s">
        <x:v>828</x:v>
      </x:c>
      <x:c r="H1994" s="274" t="s">
        <x:v>837</x:v>
      </x:c>
      <x:c r="I1994" s="274" t="n">
        <x:v>0.8</x:v>
      </x:c>
      <x:c r="J1994" s="274" t="n">
        <x:v>600</x:v>
      </x:c>
      <x:c r="K1994" s="274" t="n">
        <x:v>820</x:v>
      </x:c>
      <x:c r="M1994" s="274" t="s">
        <x:v>3166</x:v>
      </x:c>
    </x:row>
    <x:row r="1995" spans="1:14">
      <x:c r="A1995" s="274" t="s">
        <x:v>3877</x:v>
      </x:c>
      <x:c r="B1995" s="274" t="n">
        <x:v>3.97</x:v>
      </x:c>
      <x:c r="C1995" s="274" t="n">
        <x:v>0</x:v>
      </x:c>
      <x:c r="D1995" s="274" t="n">
        <x:v>22</x:v>
      </x:c>
      <x:c r="E1995" s="274" t="n">
        <x:v>20</x:v>
      </x:c>
      <x:c r="F1995" s="274" t="s">
        <x:v>123</x:v>
      </x:c>
      <x:c r="G1995" s="274" t="s">
        <x:v>2796</x:v>
      </x:c>
      <x:c r="I1995" s="274" t="n">
        <x:v>1.6</x:v>
      </x:c>
      <x:c r="J1995" s="274" t="n">
        <x:v>378</x:v>
      </x:c>
      <x:c r="K1995" s="274" t="n">
        <x:v>825</x:v>
      </x:c>
    </x:row>
    <x:row r="1996" spans="1:14">
      <x:c r="A1996" s="274" t="s">
        <x:v>3878</x:v>
      </x:c>
      <x:c r="B1996" s="274" t="n">
        <x:v>10.9</x:v>
      </x:c>
      <x:c r="C1996" s="274" t="n">
        <x:v>0</x:v>
      </x:c>
      <x:c r="D1996" s="274" t="n">
        <x:v>0</x:v>
      </x:c>
      <x:c r="F1996" s="274" t="s">
        <x:v>333</x:v>
      </x:c>
      <x:c r="G1996" s="274" t="s">
        <x:v>153</x:v>
      </x:c>
      <x:c r="I1996" s="274" t="n">
        <x:v>1.4</x:v>
      </x:c>
      <x:c r="J1996" s="274" t="n">
        <x:v>840</x:v>
      </x:c>
      <x:c r="K1996" s="274" t="n">
        <x:v>1181</x:v>
      </x:c>
      <x:c r="M1996" s="274" t="s">
        <x:v>3879</x:v>
      </x:c>
      <x:c r="N1996" s="274" t="s">
        <x:v>3880</x:v>
      </x:c>
    </x:row>
    <x:row r="1997" spans="1:14">
      <x:c r="A1997" s="274" t="s">
        <x:v>3881</x:v>
      </x:c>
      <x:c r="B1997" s="274" t="n">
        <x:v>16.61</x:v>
      </x:c>
      <x:c r="C1997" s="274" t="n">
        <x:v>0</x:v>
      </x:c>
      <x:c r="D1997" s="274" t="n">
        <x:v>0</x:v>
      </x:c>
      <x:c r="F1997" s="274" t="s">
        <x:v>184</x:v>
      </x:c>
      <x:c r="G1997" s="274" t="s">
        <x:v>136</x:v>
      </x:c>
      <x:c r="H1997" s="274" t="s">
        <x:v>285</x:v>
      </x:c>
      <x:c r="I1997" s="274" t="n">
        <x:v>0.8</x:v>
      </x:c>
      <x:c r="J1997" s="274" t="n">
        <x:v>1520</x:v>
      </x:c>
      <x:c r="K1997" s="274" t="n">
        <x:v>1715</x:v>
      </x:c>
      <x:c r="M1997" s="274" t="s">
        <x:v>3882</x:v>
      </x:c>
      <x:c r="N1997" s="274" t="s">
        <x:v>3836</x:v>
      </x:c>
    </x:row>
    <x:row r="1998" spans="1:14">
      <x:c r="A1998" s="274" t="s">
        <x:v>3883</x:v>
      </x:c>
      <x:c r="B1998" s="274" t="n">
        <x:v>0.12</x:v>
      </x:c>
      <x:c r="C1998" s="274" t="n">
        <x:v>0</x:v>
      </x:c>
      <x:c r="D1998" s="274" t="n">
        <x:v>0</x:v>
      </x:c>
      <x:c r="F1998" s="274" t="s">
        <x:v>333</x:v>
      </x:c>
      <x:c r="G1998" s="274" t="s">
        <x:v>153</x:v>
      </x:c>
      <x:c r="I1998" s="274" t="n">
        <x:v>0.8</x:v>
      </x:c>
      <x:c r="J1998" s="274" t="n">
        <x:v>184</x:v>
      </x:c>
      <x:c r="K1998" s="274" t="n">
        <x:v>104</x:v>
      </x:c>
      <x:c r="M1998" s="274" t="s">
        <x:v>3884</x:v>
      </x:c>
      <x:c r="N1998" s="274" t="s">
        <x:v>3880</x:v>
      </x:c>
    </x:row>
    <x:row r="1999" spans="1:14">
      <x:c r="A1999" s="274" t="s">
        <x:v>3885</x:v>
      </x:c>
      <x:c r="B1999" s="274" t="n">
        <x:v>2.95</x:v>
      </x:c>
      <x:c r="C1999" s="274" t="n">
        <x:v>0</x:v>
      </x:c>
      <x:c r="D1999" s="274" t="n">
        <x:v>0</x:v>
      </x:c>
      <x:c r="F1999" s="274" t="s">
        <x:v>333</x:v>
      </x:c>
      <x:c r="G1999" s="274" t="s">
        <x:v>153</x:v>
      </x:c>
      <x:c r="I1999" s="274" t="n">
        <x:v>1</x:v>
      </x:c>
      <x:c r="J1999" s="274" t="n">
        <x:v>370</x:v>
      </x:c>
      <x:c r="K1999" s="274" t="n">
        <x:v>1015</x:v>
      </x:c>
      <x:c r="M1999" s="274" t="s">
        <x:v>3886</x:v>
      </x:c>
      <x:c r="N1999" s="274" t="s">
        <x:v>3880</x:v>
      </x:c>
    </x:row>
    <x:row r="2000" spans="1:14">
      <x:c r="A2000" s="274" t="s">
        <x:v>3887</x:v>
      </x:c>
      <x:c r="B2000" s="274" t="n">
        <x:v>13.38</x:v>
      </x:c>
      <x:c r="C2000" s="274" t="n">
        <x:v>0</x:v>
      </x:c>
      <x:c r="D2000" s="274" t="n">
        <x:v>0</x:v>
      </x:c>
      <x:c r="F2000" s="274" t="s">
        <x:v>133</x:v>
      </x:c>
      <x:c r="G2000" s="274" t="s">
        <x:v>284</x:v>
      </x:c>
      <x:c r="H2000" s="274" t="n">
        <x:v>45</x:v>
      </x:c>
      <x:c r="I2000" s="274" t="n">
        <x:v>0.8</x:v>
      </x:c>
      <x:c r="J2000" s="274" t="n">
        <x:v>1415</x:v>
      </x:c>
      <x:c r="K2000" s="274" t="n">
        <x:v>1485</x:v>
      </x:c>
      <x:c r="M2000" s="274" t="s">
        <x:v>3888</x:v>
      </x:c>
      <x:c r="N2000" s="274" t="s">
        <x:v>3880</x:v>
      </x:c>
    </x:row>
    <x:row r="2001" spans="1:14">
      <x:c r="A2001" s="274" t="s">
        <x:v>3889</x:v>
      </x:c>
      <x:c r="B2001" s="274" t="n">
        <x:v>33.04</x:v>
      </x:c>
      <x:c r="C2001" s="274" t="n">
        <x:v>0</x:v>
      </x:c>
      <x:c r="D2001" s="274" t="n">
        <x:v>15</x:v>
      </x:c>
      <x:c r="E2001" s="274" t="n">
        <x:v>13</x:v>
      </x:c>
      <x:c r="F2001" s="274" t="s">
        <x:v>311</x:v>
      </x:c>
      <x:c r="G2001" s="274" t="s">
        <x:v>124</x:v>
      </x:c>
      <x:c r="I2001" s="274" t="n">
        <x:v>1</x:v>
      </x:c>
      <x:c r="J2001" s="274" t="n">
        <x:v>1536</x:v>
      </x:c>
      <x:c r="K2001" s="274" t="n">
        <x:v>2740</x:v>
      </x:c>
      <x:c r="M2001" s="274" t="s">
        <x:v>3890</x:v>
      </x:c>
      <x:c r="N2001" s="274" t="s">
        <x:v>3836</x:v>
      </x:c>
    </x:row>
    <x:row r="2002" spans="1:14">
      <x:c r="A2002" s="274" t="s">
        <x:v>3891</x:v>
      </x:c>
      <x:c r="B2002" s="274" t="n">
        <x:v>10.4</x:v>
      </x:c>
      <x:c r="C2002" s="274" t="n">
        <x:v>0</x:v>
      </x:c>
      <x:c r="D2002" s="274" t="n">
        <x:v>0</x:v>
      </x:c>
      <x:c r="F2002" s="274" t="s">
        <x:v>333</x:v>
      </x:c>
      <x:c r="G2002" s="274" t="s">
        <x:v>209</x:v>
      </x:c>
      <x:c r="I2002" s="274" t="n">
        <x:v>0.9</x:v>
      </x:c>
      <x:c r="J2002" s="274" t="n">
        <x:v>1115</x:v>
      </x:c>
      <x:c r="K2002" s="274" t="n">
        <x:v>1320</x:v>
      </x:c>
      <x:c r="M2002" s="274" t="s">
        <x:v>3892</x:v>
      </x:c>
      <x:c r="N2002" s="274" t="s">
        <x:v>3836</x:v>
      </x:c>
    </x:row>
    <x:row r="2003" spans="1:14">
      <x:c r="A2003" s="274" t="s">
        <x:v>3893</x:v>
      </x:c>
      <x:c r="B2003" s="274" t="n">
        <x:v>2.94</x:v>
      </x:c>
      <x:c r="C2003" s="274" t="n">
        <x:v>0</x:v>
      </x:c>
      <x:c r="D2003" s="274" t="n">
        <x:v>0</x:v>
      </x:c>
      <x:c r="F2003" s="274" t="s">
        <x:v>333</x:v>
      </x:c>
      <x:c r="G2003" s="274" t="s">
        <x:v>124</x:v>
      </x:c>
      <x:c r="I2003" s="274" t="n">
        <x:v>1.6</x:v>
      </x:c>
      <x:c r="J2003" s="274" t="n">
        <x:v>188</x:v>
      </x:c>
      <x:c r="K2003" s="274" t="n">
        <x:v>1247</x:v>
      </x:c>
      <x:c r="M2003" s="274" t="s">
        <x:v>3894</x:v>
      </x:c>
      <x:c r="N2003" s="274" t="s">
        <x:v>870</x:v>
      </x:c>
    </x:row>
    <x:row r="2004" spans="1:14">
      <x:c r="A2004" s="274" t="s">
        <x:v>3895</x:v>
      </x:c>
      <x:c r="B2004" s="274" t="n">
        <x:v>19.39</x:v>
      </x:c>
      <x:c r="C2004" s="274" t="n">
        <x:v>0</x:v>
      </x:c>
      <x:c r="D2004" s="274" t="n">
        <x:v>0</x:v>
      </x:c>
      <x:c r="F2004" s="274" t="s">
        <x:v>133</x:v>
      </x:c>
      <x:c r="G2004" s="274" t="s">
        <x:v>136</x:v>
      </x:c>
      <x:c r="H2004" s="274" t="n">
        <x:v>45</x:v>
      </x:c>
      <x:c r="I2004" s="274" t="n">
        <x:v>1.2</x:v>
      </x:c>
      <x:c r="J2004" s="274" t="n">
        <x:v>1210</x:v>
      </x:c>
      <x:c r="K2004" s="274" t="n">
        <x:v>1685</x:v>
      </x:c>
      <x:c r="M2004" s="274" t="s">
        <x:v>3896</x:v>
      </x:c>
      <x:c r="N2004" s="274" t="s">
        <x:v>3836</x:v>
      </x:c>
    </x:row>
    <x:row r="2005" spans="1:14">
      <x:c r="A2005" s="274" t="s">
        <x:v>3897</x:v>
      </x:c>
      <x:c r="B2005" s="274" t="n">
        <x:v>5.41</x:v>
      </x:c>
      <x:c r="C2005" s="274" t="n">
        <x:v>0</x:v>
      </x:c>
      <x:c r="D2005" s="274" t="n">
        <x:v>0</x:v>
      </x:c>
      <x:c r="F2005" s="274" t="s">
        <x:v>133</x:v>
      </x:c>
      <x:c r="G2005" s="274" t="s">
        <x:v>136</x:v>
      </x:c>
      <x:c r="H2005" s="274" t="n">
        <x:v>45</x:v>
      </x:c>
      <x:c r="I2005" s="274" t="n">
        <x:v>0.8</x:v>
      </x:c>
      <x:c r="J2005" s="274" t="n">
        <x:v>580</x:v>
      </x:c>
      <x:c r="K2005" s="274" t="n">
        <x:v>1465</x:v>
      </x:c>
      <x:c r="M2005" s="274" t="s">
        <x:v>3898</x:v>
      </x:c>
      <x:c r="N2005" s="274" t="s">
        <x:v>3880</x:v>
      </x:c>
    </x:row>
    <x:row r="2006" spans="1:14">
      <x:c r="A2006" s="274" t="s">
        <x:v>3899</x:v>
      </x:c>
      <x:c r="B2006" s="274" t="n">
        <x:v>2.85</x:v>
      </x:c>
      <x:c r="C2006" s="274" t="n">
        <x:v>0</x:v>
      </x:c>
      <x:c r="D2006" s="274" t="n">
        <x:v>0</x:v>
      </x:c>
      <x:c r="F2006" s="274" t="s">
        <x:v>133</x:v>
      </x:c>
      <x:c r="G2006" s="274" t="s">
        <x:v>136</x:v>
      </x:c>
      <x:c r="H2006" s="274" t="n">
        <x:v>45</x:v>
      </x:c>
      <x:c r="I2006" s="274" t="n">
        <x:v>0.8</x:v>
      </x:c>
      <x:c r="J2006" s="274" t="n">
        <x:v>350</x:v>
      </x:c>
      <x:c r="K2006" s="274" t="n">
        <x:v>1280</x:v>
      </x:c>
      <x:c r="M2006" s="274" t="s">
        <x:v>3900</x:v>
      </x:c>
      <x:c r="N2006" s="274" t="s">
        <x:v>3836</x:v>
      </x:c>
    </x:row>
    <x:row r="2007" spans="1:14">
      <x:c r="A2007" s="274" t="s">
        <x:v>3901</x:v>
      </x:c>
      <x:c r="B2007" s="274" t="n">
        <x:v>0.08</x:v>
      </x:c>
      <x:c r="C2007" s="274" t="n">
        <x:v>0</x:v>
      </x:c>
      <x:c r="D2007" s="274" t="n">
        <x:v>0</x:v>
      </x:c>
      <x:c r="F2007" s="274" t="s">
        <x:v>133</x:v>
      </x:c>
      <x:c r="G2007" s="274" t="s">
        <x:v>148</x:v>
      </x:c>
      <x:c r="I2007" s="274" t="n">
        <x:v>3.2</x:v>
      </x:c>
      <x:c r="J2007" s="274" t="n">
        <x:v>60</x:v>
      </x:c>
      <x:c r="K2007" s="274" t="n">
        <x:v>52</x:v>
      </x:c>
      <x:c r="M2007" s="274" t="s">
        <x:v>3902</x:v>
      </x:c>
      <x:c r="N2007" s="274" t="s">
        <x:v>3880</x:v>
      </x:c>
    </x:row>
    <x:row r="2008" spans="1:14">
      <x:c r="A2008" s="274" t="s">
        <x:v>3903</x:v>
      </x:c>
      <x:c r="B2008" s="274" t="n">
        <x:v>0.07</x:v>
      </x:c>
      <x:c r="C2008" s="274" t="n">
        <x:v>0</x:v>
      </x:c>
      <x:c r="D2008" s="274" t="n">
        <x:v>0</x:v>
      </x:c>
      <x:c r="F2008" s="274" t="s">
        <x:v>133</x:v>
      </x:c>
      <x:c r="G2008" s="274" t="s">
        <x:v>148</x:v>
      </x:c>
      <x:c r="I2008" s="274" t="n">
        <x:v>2.3</x:v>
      </x:c>
      <x:c r="J2008" s="274" t="n">
        <x:v>72</x:v>
      </x:c>
      <x:c r="K2008" s="274" t="n">
        <x:v>51</x:v>
      </x:c>
      <x:c r="M2008" s="274" t="s">
        <x:v>3904</x:v>
      </x:c>
      <x:c r="N2008" s="274" t="s">
        <x:v>3880</x:v>
      </x:c>
    </x:row>
    <x:row r="2009" spans="1:14">
      <x:c r="A2009" s="274" t="s">
        <x:v>3905</x:v>
      </x:c>
      <x:c r="B2009" s="274" t="n">
        <x:v>0.706</x:v>
      </x:c>
      <x:c r="C2009" s="274" t="n">
        <x:v>0</x:v>
      </x:c>
      <x:c r="D2009" s="274" t="n">
        <x:v>0</x:v>
      </x:c>
      <x:c r="F2009" s="274" t="s">
        <x:v>123</x:v>
      </x:c>
      <x:c r="G2009" s="274" t="s">
        <x:v>2796</x:v>
      </x:c>
      <x:c r="I2009" s="274" t="n">
        <x:v>1.6</x:v>
      </x:c>
      <x:c r="J2009" s="274" t="n">
        <x:v>45</x:v>
      </x:c>
      <x:c r="K2009" s="274" t="n">
        <x:v>1250</x:v>
      </x:c>
    </x:row>
    <x:row r="2010" spans="1:14">
      <x:c r="A2010" s="274" t="s">
        <x:v>3906</x:v>
      </x:c>
      <x:c r="B2010" s="274" t="n">
        <x:v>0.72</x:v>
      </x:c>
      <x:c r="C2010" s="274" t="n">
        <x:v>0</x:v>
      </x:c>
      <x:c r="D2010" s="274" t="n">
        <x:v>0</x:v>
      </x:c>
      <x:c r="F2010" s="274" t="s">
        <x:v>184</x:v>
      </x:c>
      <x:c r="G2010" s="274" t="s">
        <x:v>129</x:v>
      </x:c>
      <x:c r="H2010" s="274" t="n">
        <x:v>45</x:v>
      </x:c>
      <x:c r="I2010" s="274" t="n">
        <x:v>1.2</x:v>
      </x:c>
      <x:c r="J2010" s="274" t="n">
        <x:v>63</x:v>
      </x:c>
      <x:c r="K2010" s="274" t="n">
        <x:v>1197</x:v>
      </x:c>
      <x:c r="M2010" s="274" t="s">
        <x:v>298</x:v>
      </x:c>
      <x:c r="N2010" s="274" t="s">
        <x:v>299</x:v>
      </x:c>
    </x:row>
    <x:row r="2011" spans="1:14">
      <x:c r="A2011" s="274" t="s">
        <x:v>3907</x:v>
      </x:c>
      <x:c r="B2011" s="274" t="n">
        <x:v>1.43</x:v>
      </x:c>
      <x:c r="C2011" s="274" t="n">
        <x:v>27</x:v>
      </x:c>
      <x:c r="D2011" s="274" t="n">
        <x:v>35</x:v>
      </x:c>
      <x:c r="E2011" s="274" t="n">
        <x:v>33</x:v>
      </x:c>
      <x:c r="F2011" s="274" t="s">
        <x:v>184</x:v>
      </x:c>
      <x:c r="G2011" s="274" t="s">
        <x:v>129</x:v>
      </x:c>
      <x:c r="H2011" s="274" t="n">
        <x:v>45</x:v>
      </x:c>
      <x:c r="I2011" s="274" t="n">
        <x:v>1.2</x:v>
      </x:c>
      <x:c r="J2011" s="274" t="n">
        <x:v>310</x:v>
      </x:c>
      <x:c r="K2011" s="274" t="n">
        <x:v>485</x:v>
      </x:c>
      <x:c r="M2011" s="274" t="s">
        <x:v>509</x:v>
      </x:c>
      <x:c r="N2011" s="274" t="s">
        <x:v>3908</x:v>
      </x:c>
    </x:row>
    <x:row r="2012" spans="1:14">
      <x:c r="A2012" s="274" t="s">
        <x:v>3909</x:v>
      </x:c>
      <x:c r="B2012" s="274" t="n">
        <x:v>0.68</x:v>
      </x:c>
      <x:c r="C2012" s="274" t="n">
        <x:v>0</x:v>
      </x:c>
      <x:c r="D2012" s="274" t="n">
        <x:v>0</x:v>
      </x:c>
      <x:c r="F2012" s="274" t="s">
        <x:v>184</x:v>
      </x:c>
      <x:c r="G2012" s="274" t="s">
        <x:v>129</x:v>
      </x:c>
      <x:c r="H2012" s="274" t="n">
        <x:v>45</x:v>
      </x:c>
      <x:c r="I2012" s="274" t="n">
        <x:v>1.2</x:v>
      </x:c>
      <x:c r="J2012" s="274" t="n">
        <x:v>58</x:v>
      </x:c>
      <x:c r="K2012" s="274" t="n">
        <x:v>1235</x:v>
      </x:c>
      <x:c r="M2012" s="274" t="s">
        <x:v>3283</x:v>
      </x:c>
      <x:c r="N2012" s="274" t="s">
        <x:v>299</x:v>
      </x:c>
    </x:row>
    <x:row r="2013" spans="1:14">
      <x:c r="A2013" s="274" t="s">
        <x:v>3910</x:v>
      </x:c>
      <x:c r="B2013" s="274" t="n">
        <x:v>1.63</x:v>
      </x:c>
      <x:c r="C2013" s="274" t="n">
        <x:v>0</x:v>
      </x:c>
      <x:c r="D2013" s="274" t="n">
        <x:v>0</x:v>
      </x:c>
      <x:c r="F2013" s="274" t="s">
        <x:v>184</x:v>
      </x:c>
      <x:c r="G2013" s="274" t="s">
        <x:v>129</x:v>
      </x:c>
      <x:c r="H2013" s="274" t="n">
        <x:v>45</x:v>
      </x:c>
      <x:c r="I2013" s="274" t="n">
        <x:v>1.2</x:v>
      </x:c>
      <x:c r="J2013" s="274" t="n">
        <x:v>143</x:v>
      </x:c>
      <x:c r="K2013" s="274" t="n">
        <x:v>1200</x:v>
      </x:c>
      <x:c r="M2013" s="274" t="s">
        <x:v>3285</x:v>
      </x:c>
      <x:c r="N2013" s="274" t="s">
        <x:v>155</x:v>
      </x:c>
    </x:row>
    <x:row r="2014" spans="1:14">
      <x:c r="A2014" s="274" t="s">
        <x:v>3911</x:v>
      </x:c>
      <x:c r="B2014" s="274" t="n">
        <x:v>0.46</x:v>
      </x:c>
      <x:c r="C2014" s="274" t="n">
        <x:v>0</x:v>
      </x:c>
      <x:c r="D2014" s="274" t="n">
        <x:v>0</x:v>
      </x:c>
      <x:c r="F2014" s="274" t="s">
        <x:v>333</x:v>
      </x:c>
      <x:c r="G2014" s="274" t="s">
        <x:v>2157</x:v>
      </x:c>
      <x:c r="I2014" s="274" t="n">
        <x:v>0.6</x:v>
      </x:c>
      <x:c r="J2014" s="274" t="n">
        <x:v>1110</x:v>
      </x:c>
      <x:c r="K2014" s="274" t="n">
        <x:v>88</x:v>
      </x:c>
      <x:c r="M2014" s="274" t="s">
        <x:v>3659</x:v>
      </x:c>
      <x:c r="N2014" s="274" t="s">
        <x:v>3657</x:v>
      </x:c>
    </x:row>
    <x:row r="2015" spans="1:14">
      <x:c r="A2015" s="274" t="s">
        <x:v>3912</x:v>
      </x:c>
      <x:c r="B2015" s="274" t="n">
        <x:v>10.28</x:v>
      </x:c>
      <x:c r="C2015" s="274" t="n">
        <x:v>0</x:v>
      </x:c>
      <x:c r="D2015" s="274" t="n">
        <x:v>40</x:v>
      </x:c>
      <x:c r="E2015" s="274" t="n">
        <x:v>40</x:v>
      </x:c>
      <x:c r="F2015" s="274" t="s">
        <x:v>1980</x:v>
      </x:c>
      <x:c r="G2015" s="274" t="s">
        <x:v>1985</x:v>
      </x:c>
      <x:c r="I2015" s="274" t="n">
        <x:v>1.2</x:v>
      </x:c>
      <x:c r="J2015" s="274" t="n">
        <x:v>1390</x:v>
      </x:c>
      <x:c r="K2015" s="274" t="n">
        <x:v>785</x:v>
      </x:c>
      <x:c r="M2015" s="274" t="s">
        <x:v>3913</x:v>
      </x:c>
    </x:row>
    <x:row r="2016" spans="1:14">
      <x:c r="A2016" s="274" t="s">
        <x:v>3914</x:v>
      </x:c>
      <x:c r="B2016" s="274" t="n">
        <x:v>1.73</x:v>
      </x:c>
      <x:c r="C2016" s="274" t="n">
        <x:v>0</x:v>
      </x:c>
      <x:c r="D2016" s="274" t="n">
        <x:v>45</x:v>
      </x:c>
      <x:c r="E2016" s="274" t="n">
        <x:v>40</x:v>
      </x:c>
      <x:c r="F2016" s="274" t="s">
        <x:v>333</x:v>
      </x:c>
      <x:c r="G2016" s="274" t="s">
        <x:v>2157</x:v>
      </x:c>
      <x:c r="I2016" s="274" t="n">
        <x:v>0.6</x:v>
      </x:c>
      <x:c r="J2016" s="274" t="n">
        <x:v>1036</x:v>
      </x:c>
      <x:c r="K2016" s="274" t="n">
        <x:v>355</x:v>
      </x:c>
      <x:c r="M2016" s="274" t="s">
        <x:v>3915</x:v>
      </x:c>
    </x:row>
    <x:row r="2017" spans="1:14">
      <x:c r="A2017" s="274" t="s">
        <x:v>3916</x:v>
      </x:c>
      <x:c r="B2017" s="274" t="n">
        <x:v>1.62</x:v>
      </x:c>
      <x:c r="C2017" s="274" t="n">
        <x:v>0</x:v>
      </x:c>
      <x:c r="D2017" s="274" t="n">
        <x:v>0</x:v>
      </x:c>
      <x:c r="F2017" s="274" t="s">
        <x:v>333</x:v>
      </x:c>
      <x:c r="G2017" s="274" t="s">
        <x:v>2160</x:v>
      </x:c>
      <x:c r="I2017" s="274" t="n">
        <x:v>1.4</x:v>
      </x:c>
      <x:c r="J2017" s="274" t="n">
        <x:v>335</x:v>
      </x:c>
      <x:c r="K2017" s="274" t="n">
        <x:v>440</x:v>
      </x:c>
      <x:c r="M2017" s="274" t="s">
        <x:v>3399</x:v>
      </x:c>
    </x:row>
    <x:row r="2018" spans="1:14">
      <x:c r="A2018" s="274" t="s">
        <x:v>3917</x:v>
      </x:c>
      <x:c r="B2018" s="274" t="n">
        <x:v>0.56</x:v>
      </x:c>
      <x:c r="C2018" s="274" t="n">
        <x:v>0</x:v>
      </x:c>
      <x:c r="D2018" s="274" t="n">
        <x:v>0</x:v>
      </x:c>
      <x:c r="F2018" s="274" t="s">
        <x:v>133</x:v>
      </x:c>
      <x:c r="G2018" s="274" t="s">
        <x:v>3424</x:v>
      </x:c>
      <x:c r="I2018" s="274" t="n">
        <x:v>0.8</x:v>
      </x:c>
      <x:c r="J2018" s="274" t="n">
        <x:v>254</x:v>
      </x:c>
      <x:c r="K2018" s="274" t="n">
        <x:v>354</x:v>
      </x:c>
      <x:c r="M2018" s="274" t="s">
        <x:v>3425</x:v>
      </x:c>
    </x:row>
    <x:row r="2019" spans="1:14">
      <x:c r="A2019" s="274" t="s">
        <x:v>3918</x:v>
      </x:c>
      <x:c r="B2019" s="274" t="n">
        <x:v>3.13</x:v>
      </x:c>
      <x:c r="C2019" s="274" t="n">
        <x:v>0</x:v>
      </x:c>
      <x:c r="D2019" s="274" t="n">
        <x:v>18</x:v>
      </x:c>
      <x:c r="E2019" s="274" t="n">
        <x:v>18</x:v>
      </x:c>
      <x:c r="F2019" s="274" t="s">
        <x:v>123</x:v>
      </x:c>
      <x:c r="G2019" s="274" t="s">
        <x:v>2796</x:v>
      </x:c>
      <x:c r="I2019" s="274" t="n">
        <x:v>1.6</x:v>
      </x:c>
      <x:c r="J2019" s="274" t="n">
        <x:v>378</x:v>
      </x:c>
      <x:c r="K2019" s="274" t="n">
        <x:v>650</x:v>
      </x:c>
    </x:row>
    <x:row r="2020" spans="1:14">
      <x:c r="A2020" s="274" t="s">
        <x:v>3919</x:v>
      </x:c>
      <x:c r="B2020" s="274" t="n">
        <x:v>26.27</x:v>
      </x:c>
      <x:c r="C2020" s="274" t="n">
        <x:v>0</x:v>
      </x:c>
      <x:c r="D2020" s="274" t="n">
        <x:v>30</x:v>
      </x:c>
      <x:c r="F2020" s="274" t="s">
        <x:v>123</x:v>
      </x:c>
      <x:c r="G2020" s="274" t="s">
        <x:v>2364</x:v>
      </x:c>
      <x:c r="I2020" s="274" t="n">
        <x:v>1</x:v>
      </x:c>
      <x:c r="J2020" s="274" t="n">
        <x:v>1640</x:v>
      </x:c>
      <x:c r="K2020" s="274" t="n">
        <x:v>2040</x:v>
      </x:c>
      <x:c r="M2020" s="274" t="s">
        <x:v>2054</x:v>
      </x:c>
    </x:row>
    <x:row r="2021" spans="1:14">
      <x:c r="A2021" s="274" t="s">
        <x:v>3920</x:v>
      </x:c>
      <x:c r="B2021" s="274" t="n">
        <x:v>1.01</x:v>
      </x:c>
      <x:c r="C2021" s="274" t="n">
        <x:v>26</x:v>
      </x:c>
      <x:c r="D2021" s="274" t="n">
        <x:v>36</x:v>
      </x:c>
      <x:c r="F2021" s="274" t="s">
        <x:v>833</x:v>
      </x:c>
      <x:c r="G2021" s="274" t="s">
        <x:v>834</x:v>
      </x:c>
      <x:c r="H2021" s="274" t="s">
        <x:v>837</x:v>
      </x:c>
      <x:c r="I2021" s="274" t="n">
        <x:v>0.8</x:v>
      </x:c>
      <x:c r="J2021" s="274" t="n">
        <x:v>380</x:v>
      </x:c>
      <x:c r="K2021" s="274" t="n">
        <x:v>420</x:v>
      </x:c>
      <x:c r="M2021" s="274" t="s">
        <x:v>3921</x:v>
      </x:c>
    </x:row>
    <x:row r="2022" spans="1:14">
      <x:c r="A2022" s="274" t="s">
        <x:v>3922</x:v>
      </x:c>
      <x:c r="B2022" s="274" t="n">
        <x:v>1.25</x:v>
      </x:c>
      <x:c r="C2022" s="274" t="n">
        <x:v>26</x:v>
      </x:c>
      <x:c r="D2022" s="274" t="n">
        <x:v>36</x:v>
      </x:c>
      <x:c r="E2022" s="274" t="n">
        <x:v>0</x:v>
      </x:c>
      <x:c r="F2022" s="274" t="s">
        <x:v>833</x:v>
      </x:c>
      <x:c r="G2022" s="274" t="s">
        <x:v>834</x:v>
      </x:c>
      <x:c r="H2022" s="274" t="s">
        <x:v>837</x:v>
      </x:c>
      <x:c r="I2022" s="274" t="n">
        <x:v>0.8</x:v>
      </x:c>
      <x:c r="J2022" s="274" t="n">
        <x:v>435</x:v>
      </x:c>
      <x:c r="K2022" s="274" t="n">
        <x:v>455</x:v>
      </x:c>
      <x:c r="M2022" s="274" t="s">
        <x:v>3923</x:v>
      </x:c>
    </x:row>
    <x:row r="2023" spans="1:14">
      <x:c r="A2023" s="274" t="s">
        <x:v>3924</x:v>
      </x:c>
      <x:c r="B2023" s="274" t="n">
        <x:v>1.25</x:v>
      </x:c>
      <x:c r="C2023" s="274" t="n">
        <x:v>26</x:v>
      </x:c>
      <x:c r="D2023" s="274" t="n">
        <x:v>36</x:v>
      </x:c>
      <x:c r="F2023" s="274" t="s">
        <x:v>311</x:v>
      </x:c>
      <x:c r="G2023" s="274" t="s">
        <x:v>828</x:v>
      </x:c>
      <x:c r="H2023" s="274" t="s">
        <x:v>837</x:v>
      </x:c>
      <x:c r="I2023" s="274" t="n">
        <x:v>0.8</x:v>
      </x:c>
      <x:c r="J2023" s="274" t="n">
        <x:v>435</x:v>
      </x:c>
      <x:c r="K2023" s="274" t="n">
        <x:v>455</x:v>
      </x:c>
      <x:c r="M2023" s="274" t="s">
        <x:v>3923</x:v>
      </x:c>
    </x:row>
    <x:row r="2024" spans="1:14">
      <x:c r="A2024" s="274" t="s">
        <x:v>3925</x:v>
      </x:c>
      <x:c r="B2024" s="274" t="n">
        <x:v>1.01</x:v>
      </x:c>
      <x:c r="C2024" s="274" t="n">
        <x:v>26</x:v>
      </x:c>
      <x:c r="D2024" s="274" t="n">
        <x:v>36</x:v>
      </x:c>
      <x:c r="F2024" s="274" t="s">
        <x:v>311</x:v>
      </x:c>
      <x:c r="G2024" s="274" t="s">
        <x:v>828</x:v>
      </x:c>
      <x:c r="H2024" s="274" t="s">
        <x:v>837</x:v>
      </x:c>
      <x:c r="I2024" s="274" t="n">
        <x:v>0.8</x:v>
      </x:c>
      <x:c r="J2024" s="274" t="n">
        <x:v>380</x:v>
      </x:c>
      <x:c r="K2024" s="274" t="n">
        <x:v>420</x:v>
      </x:c>
      <x:c r="M2024" s="274" t="s">
        <x:v>3921</x:v>
      </x:c>
    </x:row>
    <x:row r="2025" spans="1:14">
      <x:c r="A2025" s="274" t="s">
        <x:v>3926</x:v>
      </x:c>
      <x:c r="B2025" s="274" t="n">
        <x:v>18.99</x:v>
      </x:c>
      <x:c r="C2025" s="274" t="n">
        <x:v>0</x:v>
      </x:c>
      <x:c r="D2025" s="274" t="n">
        <x:v>25</x:v>
      </x:c>
      <x:c r="E2025" s="274" t="n">
        <x:v>0</x:v>
      </x:c>
      <x:c r="F2025" s="274" t="s">
        <x:v>123</x:v>
      </x:c>
      <x:c r="G2025" s="274" t="s">
        <x:v>1985</x:v>
      </x:c>
      <x:c r="I2025" s="274" t="n">
        <x:v>0.8</x:v>
      </x:c>
      <x:c r="J2025" s="274" t="n">
        <x:v>1680</x:v>
      </x:c>
      <x:c r="K2025" s="274" t="n">
        <x:v>1800</x:v>
      </x:c>
      <x:c r="M2025" s="274" t="s">
        <x:v>2456</x:v>
      </x:c>
    </x:row>
    <x:row r="2026" spans="1:14">
      <x:c r="A2026" s="274" t="s">
        <x:v>3927</x:v>
      </x:c>
      <x:c r="B2026" s="274" t="n">
        <x:v>1.79</x:v>
      </x:c>
      <x:c r="C2026" s="274" t="n">
        <x:v>0</x:v>
      </x:c>
      <x:c r="D2026" s="274" t="n">
        <x:v>0</x:v>
      </x:c>
      <x:c r="F2026" s="274" t="s">
        <x:v>123</x:v>
      </x:c>
      <x:c r="G2026" s="274" t="s">
        <x:v>1728</x:v>
      </x:c>
      <x:c r="H2026" s="274" t="s">
        <x:v>1729</x:v>
      </x:c>
      <x:c r="I2026" s="274" t="n">
        <x:v>0.7</x:v>
      </x:c>
      <x:c r="J2026" s="274" t="n">
        <x:v>400</x:v>
      </x:c>
      <x:c r="K2026" s="274" t="n">
        <x:v>800</x:v>
      </x:c>
      <x:c r="M2026" s="274" t="s">
        <x:v>3928</x:v>
      </x:c>
      <x:c r="N2026" s="274" t="s">
        <x:v>299</x:v>
      </x:c>
    </x:row>
    <x:row r="2027" spans="1:14">
      <x:c r="A2027" s="274" t="s">
        <x:v>3929</x:v>
      </x:c>
      <x:c r="B2027" s="274" t="n">
        <x:v>1.79</x:v>
      </x:c>
      <x:c r="C2027" s="274" t="n">
        <x:v>0</x:v>
      </x:c>
      <x:c r="D2027" s="274" t="n">
        <x:v>0</x:v>
      </x:c>
      <x:c r="F2027" s="274" t="s">
        <x:v>123</x:v>
      </x:c>
      <x:c r="G2027" s="274" t="s">
        <x:v>1728</x:v>
      </x:c>
      <x:c r="H2027" s="274" t="s">
        <x:v>1732</x:v>
      </x:c>
      <x:c r="I2027" s="274" t="n">
        <x:v>0.7</x:v>
      </x:c>
      <x:c r="J2027" s="274" t="n">
        <x:v>400</x:v>
      </x:c>
      <x:c r="K2027" s="274" t="n">
        <x:v>800</x:v>
      </x:c>
      <x:c r="M2027" s="274" t="s">
        <x:v>3930</x:v>
      </x:c>
      <x:c r="N2027" s="274" t="s">
        <x:v>299</x:v>
      </x:c>
    </x:row>
    <x:row r="2028" spans="1:14">
      <x:c r="A2028" s="274" t="s">
        <x:v>3931</x:v>
      </x:c>
      <x:c r="B2028" s="274" t="n">
        <x:v>1.79</x:v>
      </x:c>
      <x:c r="C2028" s="274" t="n">
        <x:v>0</x:v>
      </x:c>
      <x:c r="D2028" s="274" t="n">
        <x:v>0</x:v>
      </x:c>
      <x:c r="F2028" s="274" t="s">
        <x:v>311</x:v>
      </x:c>
      <x:c r="G2028" s="274" t="s">
        <x:v>1728</x:v>
      </x:c>
      <x:c r="H2028" s="274" t="s">
        <x:v>1729</x:v>
      </x:c>
      <x:c r="I2028" s="274" t="n">
        <x:v>0.7</x:v>
      </x:c>
      <x:c r="J2028" s="274" t="n">
        <x:v>400</x:v>
      </x:c>
      <x:c r="K2028" s="274" t="n">
        <x:v>800</x:v>
      </x:c>
      <x:c r="M2028" s="274" t="s">
        <x:v>3928</x:v>
      </x:c>
      <x:c r="N2028" s="274" t="s">
        <x:v>299</x:v>
      </x:c>
    </x:row>
    <x:row r="2029" spans="1:14">
      <x:c r="A2029" s="274" t="s">
        <x:v>3932</x:v>
      </x:c>
      <x:c r="B2029" s="274" t="n">
        <x:v>1.79</x:v>
      </x:c>
      <x:c r="C2029" s="274" t="n">
        <x:v>0</x:v>
      </x:c>
      <x:c r="D2029" s="274" t="n">
        <x:v>0</x:v>
      </x:c>
      <x:c r="F2029" s="274" t="s">
        <x:v>311</x:v>
      </x:c>
      <x:c r="G2029" s="274" t="s">
        <x:v>1728</x:v>
      </x:c>
      <x:c r="H2029" s="274" t="s">
        <x:v>1732</x:v>
      </x:c>
      <x:c r="I2029" s="274" t="n">
        <x:v>0.7</x:v>
      </x:c>
      <x:c r="J2029" s="274" t="n">
        <x:v>400</x:v>
      </x:c>
      <x:c r="K2029" s="274" t="n">
        <x:v>800</x:v>
      </x:c>
      <x:c r="M2029" s="274" t="s">
        <x:v>3930</x:v>
      </x:c>
      <x:c r="N2029" s="274" t="s">
        <x:v>299</x:v>
      </x:c>
    </x:row>
    <x:row r="2030" spans="1:14">
      <x:c r="A2030" s="274" t="s">
        <x:v>3933</x:v>
      </x:c>
      <x:c r="B2030" s="274" t="n">
        <x:v>6.14</x:v>
      </x:c>
      <x:c r="C2030" s="274" t="n">
        <x:v>0</x:v>
      </x:c>
      <x:c r="D2030" s="274" t="n">
        <x:v>0</x:v>
      </x:c>
      <x:c r="F2030" s="274" t="s">
        <x:v>123</x:v>
      </x:c>
      <x:c r="G2030" s="274" t="s">
        <x:v>153</x:v>
      </x:c>
      <x:c r="I2030" s="274" t="n">
        <x:v>0.9</x:v>
      </x:c>
      <x:c r="J2030" s="274" t="n">
        <x:v>1215</x:v>
      </x:c>
      <x:c r="K2030" s="274" t="n">
        <x:v>715</x:v>
      </x:c>
      <x:c r="M2030" s="274" t="s">
        <x:v>3840</x:v>
      </x:c>
      <x:c r="N2030" s="274" t="s">
        <x:v>3880</x:v>
      </x:c>
    </x:row>
    <x:row r="2031" spans="1:14">
      <x:c r="A2031" s="274" t="s">
        <x:v>3934</x:v>
      </x:c>
      <x:c r="B2031" s="274" t="n">
        <x:v>1.53</x:v>
      </x:c>
      <x:c r="C2031" s="274" t="n">
        <x:v>0</x:v>
      </x:c>
      <x:c r="D2031" s="274" t="n">
        <x:v>60</x:v>
      </x:c>
      <x:c r="E2031" s="274" t="n">
        <x:v>0</x:v>
      </x:c>
      <x:c r="F2031" s="274" t="s">
        <x:v>128</x:v>
      </x:c>
      <x:c r="G2031" s="274" t="s">
        <x:v>312</x:v>
      </x:c>
      <x:c r="H2031" s="274" t="n">
        <x:v>45</x:v>
      </x:c>
      <x:c r="I2031" s="274" t="n">
        <x:v>1.2</x:v>
      </x:c>
      <x:c r="J2031" s="274" t="n">
        <x:v>400</x:v>
      </x:c>
      <x:c r="K2031" s="274" t="n">
        <x:v>403</x:v>
      </x:c>
      <x:c r="M2031" s="274" t="s">
        <x:v>3935</x:v>
      </x:c>
    </x:row>
    <x:row r="2032" spans="1:14">
      <x:c r="A2032" s="274" t="s">
        <x:v>3936</x:v>
      </x:c>
      <x:c r="B2032" s="274" t="n">
        <x:v>2.42</x:v>
      </x:c>
      <x:c r="C2032" s="274" t="n">
        <x:v>0</x:v>
      </x:c>
      <x:c r="D2032" s="274" t="n">
        <x:v>42</x:v>
      </x:c>
      <x:c r="F2032" s="274" t="s">
        <x:v>133</x:v>
      </x:c>
      <x:c r="G2032" s="274" t="s">
        <x:v>3304</x:v>
      </x:c>
      <x:c r="I2032" s="274" t="n">
        <x:v>0.8</x:v>
      </x:c>
      <x:c r="J2032" s="274" t="n">
        <x:v>740</x:v>
      </x:c>
      <x:c r="K2032" s="274" t="n">
        <x:v>668</x:v>
      </x:c>
      <x:c r="L2032" s="274" t="n">
        <x:v>375</x:v>
      </x:c>
      <x:c r="M2032" s="274" t="s">
        <x:v>2891</x:v>
      </x:c>
      <x:c r="N2032" s="274" t="s">
        <x:v>2892</x:v>
      </x:c>
    </x:row>
    <x:row r="2033" spans="1:14">
      <x:c r="A2033" s="274" t="s">
        <x:v>3937</x:v>
      </x:c>
      <x:c r="B2033" s="274" t="n">
        <x:v>1.81</x:v>
      </x:c>
      <x:c r="C2033" s="274" t="n">
        <x:v>0</x:v>
      </x:c>
      <x:c r="D2033" s="274" t="n">
        <x:v>0</x:v>
      </x:c>
      <x:c r="F2033" s="274" t="s">
        <x:v>333</x:v>
      </x:c>
      <x:c r="G2033" s="274" t="s">
        <x:v>2711</x:v>
      </x:c>
      <x:c r="I2033" s="274" t="n">
        <x:v>1</x:v>
      </x:c>
      <x:c r="J2033" s="274" t="n">
        <x:v>1050</x:v>
      </x:c>
      <x:c r="K2033" s="274" t="n">
        <x:v>220</x:v>
      </x:c>
      <x:c r="M2033" s="274" t="s">
        <x:v>3938</x:v>
      </x:c>
      <x:c r="N2033" s="274" t="s">
        <x:v>3586</x:v>
      </x:c>
    </x:row>
    <x:row r="2034" spans="1:14">
      <x:c r="A2034" s="274" t="s">
        <x:v>3939</x:v>
      </x:c>
      <x:c r="B2034" s="274" t="n">
        <x:v>0.14</x:v>
      </x:c>
      <x:c r="C2034" s="274" t="n">
        <x:v>0</x:v>
      </x:c>
      <x:c r="D2034" s="274" t="n">
        <x:v>0</x:v>
      </x:c>
      <x:c r="F2034" s="274" t="s">
        <x:v>133</x:v>
      </x:c>
      <x:c r="G2034" s="274" t="s">
        <x:v>148</x:v>
      </x:c>
      <x:c r="I2034" s="274" t="n">
        <x:v>4.5</x:v>
      </x:c>
      <x:c r="J2034" s="274" t="n">
        <x:v>50</x:v>
      </x:c>
      <x:c r="K2034" s="274" t="n">
        <x:v>80</x:v>
      </x:c>
      <x:c r="M2034" s="274" t="s">
        <x:v>3940</x:v>
      </x:c>
      <x:c r="N2034" s="274" t="s">
        <x:v>3941</x:v>
      </x:c>
    </x:row>
    <x:row r="2035" spans="1:14">
      <x:c r="A2035" s="274" t="s">
        <x:v>3942</x:v>
      </x:c>
      <x:c r="B2035" s="274" t="n">
        <x:v>14.39</x:v>
      </x:c>
      <x:c r="C2035" s="274" t="n">
        <x:v>0</x:v>
      </x:c>
      <x:c r="D2035" s="274" t="n">
        <x:v>35</x:v>
      </x:c>
      <x:c r="E2035" s="274" t="n">
        <x:v>0</x:v>
      </x:c>
      <x:c r="F2035" s="274" t="s">
        <x:v>123</x:v>
      </x:c>
      <x:c r="G2035" s="274" t="s">
        <x:v>2364</x:v>
      </x:c>
      <x:c r="I2035" s="274" t="n">
        <x:v>0.8</x:v>
      </x:c>
      <x:c r="J2035" s="274" t="n">
        <x:v>1685</x:v>
      </x:c>
      <x:c r="K2035" s="274" t="n">
        <x:v>1360</x:v>
      </x:c>
      <x:c r="M2035" s="274" t="s">
        <x:v>2458</x:v>
      </x:c>
    </x:row>
    <x:row r="2036" spans="1:14">
      <x:c r="A2036" s="274" t="s">
        <x:v>3943</x:v>
      </x:c>
      <x:c r="B2036" s="274" t="n">
        <x:v>1.38</x:v>
      </x:c>
      <x:c r="C2036" s="274" t="n">
        <x:v>26</x:v>
      </x:c>
      <x:c r="D2036" s="274" t="n">
        <x:v>35</x:v>
      </x:c>
      <x:c r="E2036" s="274" t="n">
        <x:v>33</x:v>
      </x:c>
      <x:c r="F2036" s="274" t="s">
        <x:v>333</x:v>
      </x:c>
      <x:c r="G2036" s="274" t="s">
        <x:v>209</x:v>
      </x:c>
      <x:c r="I2036" s="274" t="n">
        <x:v>1</x:v>
      </x:c>
      <x:c r="J2036" s="274" t="n">
        <x:v>297</x:v>
      </x:c>
      <x:c r="K2036" s="274" t="n">
        <x:v>590</x:v>
      </x:c>
      <x:c r="M2036" s="274" t="s">
        <x:v>1350</x:v>
      </x:c>
      <x:c r="N2036" s="274" t="s">
        <x:v>155</x:v>
      </x:c>
    </x:row>
    <x:row r="2037" spans="1:14">
      <x:c r="A2037" s="274" t="s">
        <x:v>3944</x:v>
      </x:c>
      <x:c r="B2037" s="274" t="n">
        <x:v>13.05</x:v>
      </x:c>
      <x:c r="C2037" s="274" t="n">
        <x:v>0</x:v>
      </x:c>
      <x:c r="D2037" s="274" t="n">
        <x:v>25</x:v>
      </x:c>
      <x:c r="E2037" s="274" t="n">
        <x:v>18</x:v>
      </x:c>
      <x:c r="F2037" s="274" t="s">
        <x:v>123</x:v>
      </x:c>
      <x:c r="G2037" s="274" t="s">
        <x:v>2364</x:v>
      </x:c>
      <x:c r="I2037" s="274" t="n">
        <x:v>1</x:v>
      </x:c>
      <x:c r="J2037" s="274" t="n">
        <x:v>770</x:v>
      </x:c>
      <x:c r="K2037" s="274" t="n">
        <x:v>2160</x:v>
      </x:c>
      <x:c r="M2037" s="274" t="s">
        <x:v>3240</x:v>
      </x:c>
    </x:row>
    <x:row r="2038" spans="1:14">
      <x:c r="A2038" s="274" t="s">
        <x:v>3945</x:v>
      </x:c>
      <x:c r="B2038" s="274" t="n">
        <x:v>0.81</x:v>
      </x:c>
      <x:c r="C2038" s="274" t="n">
        <x:v>0</x:v>
      </x:c>
      <x:c r="D2038" s="274" t="n">
        <x:v>0</x:v>
      </x:c>
      <x:c r="F2038" s="274" t="s">
        <x:v>123</x:v>
      </x:c>
      <x:c r="G2038" s="274" t="s">
        <x:v>209</x:v>
      </x:c>
      <x:c r="I2038" s="274" t="n">
        <x:v>2</x:v>
      </x:c>
      <x:c r="J2038" s="274" t="n">
        <x:v>310</x:v>
      </x:c>
      <x:c r="K2038" s="274" t="n">
        <x:v>167</x:v>
      </x:c>
      <x:c r="M2038" s="274" t="s">
        <x:v>2519</x:v>
      </x:c>
      <x:c r="N2038" s="274" t="s">
        <x:v>1157</x:v>
      </x:c>
    </x:row>
    <x:row r="2039" spans="1:14">
      <x:c r="A2039" s="274" t="s">
        <x:v>3946</x:v>
      </x:c>
      <x:c r="B2039" s="274" t="n">
        <x:v>0.49</x:v>
      </x:c>
      <x:c r="C2039" s="274" t="n">
        <x:v>0</x:v>
      </x:c>
      <x:c r="D2039" s="274" t="n">
        <x:v>0</x:v>
      </x:c>
      <x:c r="F2039" s="274" t="s">
        <x:v>123</x:v>
      </x:c>
      <x:c r="G2039" s="274" t="s">
        <x:v>124</x:v>
      </x:c>
      <x:c r="I2039" s="274" t="n">
        <x:v>0.8</x:v>
      </x:c>
      <x:c r="J2039" s="274" t="n">
        <x:v>64</x:v>
      </x:c>
      <x:c r="K2039" s="274" t="n">
        <x:v>1219</x:v>
      </x:c>
      <x:c r="M2039" s="274" t="s">
        <x:v>3013</x:v>
      </x:c>
      <x:c r="N2039" s="274" t="s">
        <x:v>870</x:v>
      </x:c>
    </x:row>
    <x:row r="2040" spans="1:14">
      <x:c r="A2040" s="274" t="s">
        <x:v>3947</x:v>
      </x:c>
      <x:c r="B2040" s="274" t="n">
        <x:v>0.31</x:v>
      </x:c>
      <x:c r="C2040" s="274" t="n">
        <x:v>0</x:v>
      </x:c>
      <x:c r="D2040" s="274" t="n">
        <x:v>36</x:v>
      </x:c>
      <x:c r="E2040" s="274" t="n">
        <x:v>33</x:v>
      </x:c>
      <x:c r="F2040" s="274" t="s">
        <x:v>133</x:v>
      </x:c>
      <x:c r="G2040" s="274" t="s">
        <x:v>134</x:v>
      </x:c>
      <x:c r="I2040" s="274" t="n">
        <x:v>3.2</x:v>
      </x:c>
      <x:c r="J2040" s="274" t="n">
        <x:v>111</x:v>
      </x:c>
      <x:c r="K2040" s="274" t="n">
        <x:v>111</x:v>
      </x:c>
      <x:c r="M2040" s="274" t="s">
        <x:v>3535</x:v>
      </x:c>
      <x:c r="N2040" s="274" t="s">
        <x:v>299</x:v>
      </x:c>
    </x:row>
    <x:row r="2041" spans="1:14">
      <x:c r="A2041" s="274" t="s">
        <x:v>3948</x:v>
      </x:c>
      <x:c r="B2041" s="274" t="n">
        <x:v>4.62</x:v>
      </x:c>
      <x:c r="C2041" s="274" t="n">
        <x:v>0</x:v>
      </x:c>
      <x:c r="D2041" s="274" t="n">
        <x:v>0</x:v>
      </x:c>
      <x:c r="F2041" s="274" t="s">
        <x:v>133</x:v>
      </x:c>
      <x:c r="G2041" s="274" t="s">
        <x:v>148</x:v>
      </x:c>
      <x:c r="I2041" s="274" t="n">
        <x:v>3.6</x:v>
      </x:c>
      <x:c r="J2041" s="274" t="n">
        <x:v>150</x:v>
      </x:c>
      <x:c r="K2041" s="274" t="n">
        <x:v>1090</x:v>
      </x:c>
      <x:c r="M2041" s="274" t="s">
        <x:v>3949</x:v>
      </x:c>
      <x:c r="N2041" s="274" t="s">
        <x:v>3950</x:v>
      </x:c>
    </x:row>
    <x:row r="2042" spans="1:14">
      <x:c r="A2042" s="274" t="s">
        <x:v>3951</x:v>
      </x:c>
      <x:c r="B2042" s="274" t="n">
        <x:v>1.58</x:v>
      </x:c>
      <x:c r="C2042" s="274" t="n">
        <x:v>0</x:v>
      </x:c>
      <x:c r="D2042" s="274" t="n">
        <x:v>0</x:v>
      </x:c>
      <x:c r="F2042" s="274" t="s">
        <x:v>123</x:v>
      </x:c>
      <x:c r="G2042" s="274" t="s">
        <x:v>209</x:v>
      </x:c>
      <x:c r="I2042" s="274" t="n">
        <x:v>2.3</x:v>
      </x:c>
      <x:c r="J2042" s="274" t="n">
        <x:v>70</x:v>
      </x:c>
      <x:c r="K2042" s="274" t="n">
        <x:v>1250</x:v>
      </x:c>
      <x:c r="M2042" s="274" t="s">
        <x:v>3952</x:v>
      </x:c>
      <x:c r="N2042" s="274" t="s">
        <x:v>3950</x:v>
      </x:c>
    </x:row>
    <x:row r="2043" spans="1:14">
      <x:c r="A2043" s="274" t="s">
        <x:v>3953</x:v>
      </x:c>
      <x:c r="B2043" s="274" t="n">
        <x:v>4.82</x:v>
      </x:c>
      <x:c r="C2043" s="274" t="n">
        <x:v>0</x:v>
      </x:c>
      <x:c r="D2043" s="274" t="n">
        <x:v>22</x:v>
      </x:c>
      <x:c r="E2043" s="274" t="n">
        <x:v>18</x:v>
      </x:c>
      <x:c r="F2043" s="274" t="s">
        <x:v>123</x:v>
      </x:c>
      <x:c r="G2043" s="274" t="s">
        <x:v>2796</x:v>
      </x:c>
      <x:c r="I2043" s="274" t="n">
        <x:v>1.6</x:v>
      </x:c>
      <x:c r="J2043" s="274" t="n">
        <x:v>313</x:v>
      </x:c>
      <x:c r="K2043" s="274" t="n">
        <x:v>1210</x:v>
      </x:c>
    </x:row>
    <x:row r="2044" spans="1:14">
      <x:c r="A2044" s="274" t="s">
        <x:v>3954</x:v>
      </x:c>
      <x:c r="B2044" s="274" t="n">
        <x:v>9.74</x:v>
      </x:c>
      <x:c r="C2044" s="274" t="n">
        <x:v>0</x:v>
      </x:c>
      <x:c r="D2044" s="274" t="n">
        <x:v>38</x:v>
      </x:c>
      <x:c r="E2044" s="274" t="n">
        <x:v>28</x:v>
      </x:c>
      <x:c r="F2044" s="274" t="s">
        <x:v>123</x:v>
      </x:c>
      <x:c r="G2044" s="274" t="s">
        <x:v>1985</x:v>
      </x:c>
      <x:c r="I2044" s="274" t="n">
        <x:v>0.7</x:v>
      </x:c>
      <x:c r="J2044" s="274" t="n">
        <x:v>1125</x:v>
      </x:c>
      <x:c r="K2044" s="274" t="n">
        <x:v>1575</x:v>
      </x:c>
      <x:c r="M2044" s="274" t="s">
        <x:v>1986</x:v>
      </x:c>
      <x:c r="N2044" s="274" t="s">
        <x:v>3955</x:v>
      </x:c>
    </x:row>
    <x:row r="2045" spans="1:14">
      <x:c r="A2045" s="274" t="s">
        <x:v>3956</x:v>
      </x:c>
      <x:c r="B2045" s="274" t="n">
        <x:v>0.98</x:v>
      </x:c>
      <x:c r="C2045" s="274" t="n">
        <x:v>0</x:v>
      </x:c>
      <x:c r="D2045" s="274" t="n">
        <x:v>0</x:v>
      </x:c>
      <x:c r="F2045" s="274" t="s">
        <x:v>333</x:v>
      </x:c>
      <x:c r="G2045" s="274" t="s">
        <x:v>209</x:v>
      </x:c>
      <x:c r="I2045" s="274" t="n">
        <x:v>0.6</x:v>
      </x:c>
      <x:c r="J2045" s="274" t="n">
        <x:v>166</x:v>
      </x:c>
      <x:c r="K2045" s="274" t="n">
        <x:v>1250</x:v>
      </x:c>
      <x:c r="M2045" s="274" t="s">
        <x:v>3957</x:v>
      </x:c>
      <x:c r="N2045" s="274" t="s">
        <x:v>3950</x:v>
      </x:c>
    </x:row>
    <x:row r="2046" spans="1:14">
      <x:c r="A2046" s="274" t="s">
        <x:v>3958</x:v>
      </x:c>
      <x:c r="B2046" s="274" t="n">
        <x:v>1.18</x:v>
      </x:c>
      <x:c r="C2046" s="274" t="n">
        <x:v>0</x:v>
      </x:c>
      <x:c r="D2046" s="274" t="n">
        <x:v>0</x:v>
      </x:c>
      <x:c r="F2046" s="274" t="s">
        <x:v>333</x:v>
      </x:c>
      <x:c r="G2046" s="274" t="s">
        <x:v>209</x:v>
      </x:c>
      <x:c r="I2046" s="274" t="n">
        <x:v>0.6</x:v>
      </x:c>
      <x:c r="J2046" s="274" t="n">
        <x:v>200</x:v>
      </x:c>
      <x:c r="K2046" s="274" t="n">
        <x:v>1250</x:v>
      </x:c>
      <x:c r="M2046" s="274" t="s">
        <x:v>3959</x:v>
      </x:c>
    </x:row>
    <x:row r="2047" spans="1:14">
      <x:c r="A2047" s="274" t="s">
        <x:v>3960</x:v>
      </x:c>
      <x:c r="B2047" s="274" t="n">
        <x:v>1.18</x:v>
      </x:c>
      <x:c r="C2047" s="274" t="n">
        <x:v>0</x:v>
      </x:c>
      <x:c r="D2047" s="274" t="n">
        <x:v>0</x:v>
      </x:c>
      <x:c r="F2047" s="274" t="s">
        <x:v>333</x:v>
      </x:c>
      <x:c r="G2047" s="274" t="s">
        <x:v>124</x:v>
      </x:c>
      <x:c r="I2047" s="274" t="n">
        <x:v>1.2</x:v>
      </x:c>
      <x:c r="J2047" s="274" t="n">
        <x:v>100</x:v>
      </x:c>
      <x:c r="K2047" s="274" t="n">
        <x:v>1250</x:v>
      </x:c>
      <x:c r="M2047" s="274" t="s">
        <x:v>3961</x:v>
      </x:c>
      <x:c r="N2047" s="274" t="s">
        <x:v>3950</x:v>
      </x:c>
    </x:row>
    <x:row r="2048" spans="1:14">
      <x:c r="A2048" s="274" t="s">
        <x:v>3962</x:v>
      </x:c>
      <x:c r="B2048" s="274" t="n">
        <x:v>1.65</x:v>
      </x:c>
      <x:c r="C2048" s="274" t="n">
        <x:v>0</x:v>
      </x:c>
      <x:c r="D2048" s="274" t="n">
        <x:v>0</x:v>
      </x:c>
      <x:c r="F2048" s="274" t="s">
        <x:v>333</x:v>
      </x:c>
      <x:c r="G2048" s="274" t="s">
        <x:v>209</x:v>
      </x:c>
      <x:c r="I2048" s="274" t="n">
        <x:v>1.2</x:v>
      </x:c>
      <x:c r="J2048" s="274" t="n">
        <x:v>140</x:v>
      </x:c>
      <x:c r="K2048" s="274" t="n">
        <x:v>1250</x:v>
      </x:c>
      <x:c r="M2048" s="274" t="s">
        <x:v>3963</x:v>
      </x:c>
      <x:c r="N2048" s="274" t="s">
        <x:v>3950</x:v>
      </x:c>
    </x:row>
    <x:row r="2049" spans="1:14">
      <x:c r="A2049" s="274" t="s">
        <x:v>3964</x:v>
      </x:c>
      <x:c r="B2049" s="274" t="n">
        <x:v>2.36</x:v>
      </x:c>
      <x:c r="C2049" s="274" t="n">
        <x:v>0</x:v>
      </x:c>
      <x:c r="D2049" s="274" t="n">
        <x:v>0</x:v>
      </x:c>
      <x:c r="F2049" s="274" t="s">
        <x:v>333</x:v>
      </x:c>
      <x:c r="G2049" s="274" t="s">
        <x:v>209</x:v>
      </x:c>
      <x:c r="I2049" s="274" t="n">
        <x:v>1.2</x:v>
      </x:c>
      <x:c r="J2049" s="274" t="n">
        <x:v>200</x:v>
      </x:c>
      <x:c r="K2049" s="274" t="n">
        <x:v>1250</x:v>
      </x:c>
      <x:c r="M2049" s="274" t="s">
        <x:v>3965</x:v>
      </x:c>
      <x:c r="N2049" s="274" t="s">
        <x:v>3950</x:v>
      </x:c>
    </x:row>
    <x:row r="2050" spans="1:14">
      <x:c r="A2050" s="274" t="s">
        <x:v>3966</x:v>
      </x:c>
      <x:c r="B2050" s="274" t="n">
        <x:v>2.48</x:v>
      </x:c>
      <x:c r="C2050" s="274" t="n">
        <x:v>0</x:v>
      </x:c>
      <x:c r="D2050" s="274" t="n">
        <x:v>0</x:v>
      </x:c>
      <x:c r="F2050" s="274" t="s">
        <x:v>333</x:v>
      </x:c>
      <x:c r="G2050" s="274" t="s">
        <x:v>124</x:v>
      </x:c>
      <x:c r="I2050" s="274" t="n">
        <x:v>1.6</x:v>
      </x:c>
      <x:c r="J2050" s="274" t="n">
        <x:v>158</x:v>
      </x:c>
      <x:c r="K2050" s="274" t="n">
        <x:v>1250</x:v>
      </x:c>
      <x:c r="M2050" s="274" t="s">
        <x:v>3967</x:v>
      </x:c>
      <x:c r="N2050" s="274" t="s">
        <x:v>3950</x:v>
      </x:c>
    </x:row>
    <x:row r="2051" spans="1:14">
      <x:c r="A2051" s="274" t="s">
        <x:v>3968</x:v>
      </x:c>
      <x:c r="B2051" s="274" t="n">
        <x:v>0.91</x:v>
      </x:c>
      <x:c r="C2051" s="274" t="n">
        <x:v>0</x:v>
      </x:c>
      <x:c r="D2051" s="274" t="n">
        <x:v>0</x:v>
      </x:c>
      <x:c r="F2051" s="274" t="s">
        <x:v>333</x:v>
      </x:c>
      <x:c r="G2051" s="274" t="s">
        <x:v>209</x:v>
      </x:c>
      <x:c r="I2051" s="274" t="n">
        <x:v>1</x:v>
      </x:c>
      <x:c r="J2051" s="274" t="n">
        <x:v>93</x:v>
      </x:c>
      <x:c r="K2051" s="274" t="n">
        <x:v>1250</x:v>
      </x:c>
      <x:c r="M2051" s="274" t="s">
        <x:v>3969</x:v>
      </x:c>
      <x:c r="N2051" s="274" t="s">
        <x:v>3950</x:v>
      </x:c>
    </x:row>
    <x:row r="2052" spans="1:14">
      <x:c r="A2052" s="274" t="s">
        <x:v>3970</x:v>
      </x:c>
      <x:c r="B2052" s="274" t="n">
        <x:v>3.34</x:v>
      </x:c>
      <x:c r="C2052" s="274" t="n">
        <x:v>0</x:v>
      </x:c>
      <x:c r="D2052" s="274" t="n">
        <x:v>0</x:v>
      </x:c>
      <x:c r="F2052" s="274" t="s">
        <x:v>133</x:v>
      </x:c>
      <x:c r="G2052" s="274" t="s">
        <x:v>148</x:v>
      </x:c>
      <x:c r="I2052" s="274" t="n">
        <x:v>2</x:v>
      </x:c>
      <x:c r="J2052" s="274" t="n">
        <x:v>170</x:v>
      </x:c>
      <x:c r="K2052" s="274" t="n">
        <x:v>1250</x:v>
      </x:c>
      <x:c r="M2052" s="274" t="s">
        <x:v>3971</x:v>
      </x:c>
      <x:c r="N2052" s="274" t="s">
        <x:v>3950</x:v>
      </x:c>
    </x:row>
    <x:row r="2053" spans="1:14">
      <x:c r="A2053" s="274" t="s">
        <x:v>3972</x:v>
      </x:c>
      <x:c r="B2053" s="274" t="n">
        <x:v>3.32</x:v>
      </x:c>
      <x:c r="C2053" s="274" t="n">
        <x:v>0</x:v>
      </x:c>
      <x:c r="D2053" s="274" t="n">
        <x:v>0</x:v>
      </x:c>
      <x:c r="F2053" s="274" t="s">
        <x:v>133</x:v>
      </x:c>
      <x:c r="G2053" s="274" t="s">
        <x:v>134</x:v>
      </x:c>
      <x:c r="I2053" s="274" t="n">
        <x:v>2.6</x:v>
      </x:c>
      <x:c r="J2053" s="274" t="n">
        <x:v>130</x:v>
      </x:c>
      <x:c r="K2053" s="274" t="n">
        <x:v>1250</x:v>
      </x:c>
      <x:c r="M2053" s="274" t="s">
        <x:v>3973</x:v>
      </x:c>
      <x:c r="N2053" s="274" t="s">
        <x:v>3950</x:v>
      </x:c>
    </x:row>
    <x:row r="2054" spans="1:14">
      <x:c r="A2054" s="274" t="s">
        <x:v>3974</x:v>
      </x:c>
      <x:c r="B2054" s="274" t="n">
        <x:v>2.52</x:v>
      </x:c>
      <x:c r="C2054" s="274" t="n">
        <x:v>0</x:v>
      </x:c>
      <x:c r="D2054" s="274" t="n">
        <x:v>35</x:v>
      </x:c>
      <x:c r="E2054" s="274" t="n">
        <x:v>33</x:v>
      </x:c>
      <x:c r="F2054" s="274" t="s">
        <x:v>311</x:v>
      </x:c>
      <x:c r="G2054" s="274" t="s">
        <x:v>828</x:v>
      </x:c>
      <x:c r="H2054" s="274" t="s">
        <x:v>837</x:v>
      </x:c>
      <x:c r="I2054" s="274" t="n">
        <x:v>0.8</x:v>
      </x:c>
      <x:c r="J2054" s="274" t="n">
        <x:v>510</x:v>
      </x:c>
      <x:c r="K2054" s="274" t="n">
        <x:v>785</x:v>
      </x:c>
      <x:c r="M2054" s="274" t="s">
        <x:v>3975</x:v>
      </x:c>
    </x:row>
    <x:row r="2055" spans="1:14">
      <x:c r="A2055" s="274" t="s">
        <x:v>3976</x:v>
      </x:c>
      <x:c r="B2055" s="274" t="n">
        <x:v>1.08</x:v>
      </x:c>
      <x:c r="C2055" s="274" t="n">
        <x:v>0</x:v>
      </x:c>
      <x:c r="D2055" s="274" t="n">
        <x:v>0</x:v>
      </x:c>
      <x:c r="E2055" s="274" t="n">
        <x:v>33</x:v>
      </x:c>
      <x:c r="F2055" s="274" t="s">
        <x:v>133</x:v>
      </x:c>
      <x:c r="G2055" s="274" t="s">
        <x:v>148</x:v>
      </x:c>
      <x:c r="I2055" s="274" t="n">
        <x:v>2.3</x:v>
      </x:c>
      <x:c r="J2055" s="274" t="n">
        <x:v>116</x:v>
      </x:c>
      <x:c r="K2055" s="274" t="n">
        <x:v>515</x:v>
      </x:c>
      <x:c r="M2055" s="274" t="s">
        <x:v>282</x:v>
      </x:c>
      <x:c r="N2055" s="274" t="s">
        <x:v>3977</x:v>
      </x:c>
    </x:row>
    <x:row r="2056" spans="1:14">
      <x:c r="A2056" s="274" t="s">
        <x:v>3978</x:v>
      </x:c>
      <x:c r="B2056" s="274" t="n">
        <x:v>1.51</x:v>
      </x:c>
      <x:c r="C2056" s="274" t="n">
        <x:v>0</x:v>
      </x:c>
      <x:c r="D2056" s="274" t="n">
        <x:v>35</x:v>
      </x:c>
      <x:c r="E2056" s="274" t="n">
        <x:v>33</x:v>
      </x:c>
      <x:c r="F2056" s="274" t="s">
        <x:v>123</x:v>
      </x:c>
      <x:c r="G2056" s="274" t="s">
        <x:v>2796</x:v>
      </x:c>
      <x:c r="I2056" s="274" t="n">
        <x:v>1.6</x:v>
      </x:c>
      <x:c r="J2056" s="274" t="n">
        <x:v>188</x:v>
      </x:c>
      <x:c r="K2056" s="274" t="n">
        <x:v>630</x:v>
      </x:c>
    </x:row>
    <x:row r="2057" spans="1:14">
      <x:c r="A2057" s="274" t="s">
        <x:v>3979</x:v>
      </x:c>
      <x:c r="B2057" s="274" t="n">
        <x:v>7.77</x:v>
      </x:c>
      <x:c r="C2057" s="274" t="n">
        <x:v>0</x:v>
      </x:c>
      <x:c r="D2057" s="274" t="n">
        <x:v>28</x:v>
      </x:c>
      <x:c r="E2057" s="274" t="n">
        <x:v>26</x:v>
      </x:c>
      <x:c r="F2057" s="274" t="s">
        <x:v>123</x:v>
      </x:c>
      <x:c r="G2057" s="274" t="s">
        <x:v>2796</x:v>
      </x:c>
      <x:c r="I2057" s="274" t="n">
        <x:v>1.6</x:v>
      </x:c>
      <x:c r="J2057" s="274" t="n">
        <x:v>488</x:v>
      </x:c>
      <x:c r="K2057" s="274" t="n">
        <x:v>1250</x:v>
      </x:c>
    </x:row>
    <x:row r="2058" spans="1:14">
      <x:c r="A2058" s="274" t="s">
        <x:v>3980</x:v>
      </x:c>
      <x:c r="B2058" s="274" t="n">
        <x:v>10.06</x:v>
      </x:c>
      <x:c r="C2058" s="274" t="n">
        <x:v>0</x:v>
      </x:c>
      <x:c r="D2058" s="274" t="n">
        <x:v>18</x:v>
      </x:c>
      <x:c r="E2058" s="274" t="n">
        <x:v>18</x:v>
      </x:c>
      <x:c r="F2058" s="274" t="s">
        <x:v>123</x:v>
      </x:c>
      <x:c r="G2058" s="274" t="s">
        <x:v>2796</x:v>
      </x:c>
      <x:c r="I2058" s="274" t="n">
        <x:v>2</x:v>
      </x:c>
      <x:c r="J2058" s="274" t="n">
        <x:v>507</x:v>
      </x:c>
      <x:c r="K2058" s="274" t="n">
        <x:v>1250</x:v>
      </x:c>
    </x:row>
    <x:row r="2059" spans="1:14">
      <x:c r="A2059" s="274" t="s">
        <x:v>3981</x:v>
      </x:c>
      <x:c r="B2059" s="274" t="n">
        <x:v>4.45</x:v>
      </x:c>
      <x:c r="C2059" s="274" t="n">
        <x:v>0</x:v>
      </x:c>
      <x:c r="D2059" s="274" t="n">
        <x:v>28</x:v>
      </x:c>
      <x:c r="E2059" s="274" t="n">
        <x:v>26</x:v>
      </x:c>
      <x:c r="F2059" s="274" t="s">
        <x:v>123</x:v>
      </x:c>
      <x:c r="G2059" s="274" t="s">
        <x:v>2796</x:v>
      </x:c>
      <x:c r="I2059" s="274" t="n">
        <x:v>2</x:v>
      </x:c>
      <x:c r="J2059" s="274" t="n">
        <x:v>224</x:v>
      </x:c>
      <x:c r="K2059" s="274" t="n">
        <x:v>1250</x:v>
      </x:c>
    </x:row>
    <x:row r="2060" spans="1:14">
      <x:c r="A2060" s="274" t="s">
        <x:v>3982</x:v>
      </x:c>
      <x:c r="B2060" s="274" t="n">
        <x:v>1.93</x:v>
      </x:c>
      <x:c r="C2060" s="274" t="n">
        <x:v>0</x:v>
      </x:c>
      <x:c r="D2060" s="274" t="n">
        <x:v>0</x:v>
      </x:c>
      <x:c r="F2060" s="274" t="s">
        <x:v>333</x:v>
      </x:c>
      <x:c r="G2060" s="274" t="s">
        <x:v>2468</x:v>
      </x:c>
      <x:c r="I2060" s="274" t="n">
        <x:v>0.7</x:v>
      </x:c>
      <x:c r="J2060" s="274" t="n">
        <x:v>1032</x:v>
      </x:c>
      <x:c r="K2060" s="274" t="n">
        <x:v>341</x:v>
      </x:c>
      <x:c r="M2060" s="274" t="s">
        <x:v>3983</x:v>
      </x:c>
      <x:c r="N2060" s="274" t="s">
        <x:v>3984</x:v>
      </x:c>
    </x:row>
    <x:row r="2061" spans="1:14">
      <x:c r="A2061" s="274" t="s">
        <x:v>3985</x:v>
      </x:c>
      <x:c r="B2061" s="274" t="n">
        <x:v>0.97</x:v>
      </x:c>
      <x:c r="C2061" s="274" t="n">
        <x:v>0</x:v>
      </x:c>
      <x:c r="D2061" s="274" t="n">
        <x:v>0</x:v>
      </x:c>
      <x:c r="F2061" s="274" t="s">
        <x:v>333</x:v>
      </x:c>
      <x:c r="G2061" s="274" t="s">
        <x:v>2468</x:v>
      </x:c>
      <x:c r="I2061" s="274" t="n">
        <x:v>0.7</x:v>
      </x:c>
      <x:c r="J2061" s="274" t="n">
        <x:v>292</x:v>
      </x:c>
      <x:c r="K2061" s="274" t="n">
        <x:v>603</x:v>
      </x:c>
      <x:c r="M2061" s="274" t="s">
        <x:v>3986</x:v>
      </x:c>
      <x:c r="N2061" s="274" t="s">
        <x:v>3984</x:v>
      </x:c>
    </x:row>
    <x:row r="2062" spans="1:14">
      <x:c r="A2062" s="274" t="s">
        <x:v>3987</x:v>
      </x:c>
      <x:c r="B2062" s="274" t="n">
        <x:v>1.21</x:v>
      </x:c>
      <x:c r="C2062" s="274" t="n">
        <x:v>0</x:v>
      </x:c>
      <x:c r="D2062" s="274" t="n">
        <x:v>0</x:v>
      </x:c>
      <x:c r="F2062" s="274" t="s">
        <x:v>333</x:v>
      </x:c>
      <x:c r="G2062" s="274" t="s">
        <x:v>2468</x:v>
      </x:c>
      <x:c r="I2062" s="274" t="n">
        <x:v>0.7</x:v>
      </x:c>
      <x:c r="J2062" s="274" t="n">
        <x:v>798</x:v>
      </x:c>
      <x:c r="K2062" s="274" t="n">
        <x:v>276</x:v>
      </x:c>
      <x:c r="M2062" s="274" t="s">
        <x:v>3986</x:v>
      </x:c>
      <x:c r="N2062" s="274" t="s">
        <x:v>3984</x:v>
      </x:c>
    </x:row>
    <x:row r="2063" spans="1:14">
      <x:c r="A2063" s="274" t="s">
        <x:v>3988</x:v>
      </x:c>
      <x:c r="B2063" s="274" t="n">
        <x:v>0.47</x:v>
      </x:c>
      <x:c r="C2063" s="274" t="n">
        <x:v>0</x:v>
      </x:c>
      <x:c r="D2063" s="274" t="n">
        <x:v>0</x:v>
      </x:c>
      <x:c r="F2063" s="274" t="s">
        <x:v>333</x:v>
      </x:c>
      <x:c r="G2063" s="274" t="s">
        <x:v>2157</x:v>
      </x:c>
      <x:c r="I2063" s="274" t="n">
        <x:v>0.6</x:v>
      </x:c>
      <x:c r="J2063" s="274" t="n">
        <x:v>88</x:v>
      </x:c>
      <x:c r="K2063" s="274" t="n">
        <x:v>1130</x:v>
      </x:c>
      <x:c r="M2063" s="274" t="s">
        <x:v>3989</x:v>
      </x:c>
      <x:c r="N2063" s="274" t="s">
        <x:v>3984</x:v>
      </x:c>
    </x:row>
    <x:row r="2064" spans="1:14">
      <x:c r="A2064" s="274" t="s">
        <x:v>3990</x:v>
      </x:c>
      <x:c r="B2064" s="274" t="n">
        <x:v>1.8</x:v>
      </x:c>
      <x:c r="C2064" s="274" t="n">
        <x:v>0</x:v>
      </x:c>
      <x:c r="D2064" s="274" t="n">
        <x:v>0</x:v>
      </x:c>
      <x:c r="F2064" s="274" t="s">
        <x:v>333</x:v>
      </x:c>
      <x:c r="G2064" s="274" t="s">
        <x:v>2160</x:v>
      </x:c>
      <x:c r="I2064" s="274" t="n">
        <x:v>1</x:v>
      </x:c>
      <x:c r="J2064" s="274" t="n">
        <x:v>203</x:v>
      </x:c>
      <x:c r="K2064" s="274" t="n">
        <x:v>1131</x:v>
      </x:c>
      <x:c r="M2064" s="274" t="s">
        <x:v>3991</x:v>
      </x:c>
      <x:c r="N2064" s="274" t="s">
        <x:v>3984</x:v>
      </x:c>
    </x:row>
    <x:row r="2065" spans="1:14">
      <x:c r="A2065" s="274" t="s">
        <x:v>3992</x:v>
      </x:c>
      <x:c r="B2065" s="274" t="n">
        <x:v>0.64</x:v>
      </x:c>
      <x:c r="C2065" s="274" t="n">
        <x:v>0</x:v>
      </x:c>
      <x:c r="D2065" s="274" t="n">
        <x:v>0</x:v>
      </x:c>
      <x:c r="F2065" s="274" t="s">
        <x:v>333</x:v>
      </x:c>
      <x:c r="G2065" s="274" t="s">
        <x:v>2157</x:v>
      </x:c>
      <x:c r="I2065" s="274" t="n">
        <x:v>0.6</x:v>
      </x:c>
      <x:c r="J2065" s="274" t="n">
        <x:v>1110</x:v>
      </x:c>
      <x:c r="K2065" s="274" t="n">
        <x:v>123</x:v>
      </x:c>
      <x:c r="M2065" s="274" t="s">
        <x:v>3993</x:v>
      </x:c>
      <x:c r="N2065" s="274" t="s">
        <x:v>3984</x:v>
      </x:c>
    </x:row>
    <x:row r="2066" spans="1:14">
      <x:c r="A2066" s="274" t="s">
        <x:v>3994</x:v>
      </x:c>
      <x:c r="B2066" s="274" t="n">
        <x:v>0.26</x:v>
      </x:c>
      <x:c r="C2066" s="274" t="n">
        <x:v>0</x:v>
      </x:c>
      <x:c r="D2066" s="274" t="n">
        <x:v>0</x:v>
      </x:c>
      <x:c r="F2066" s="274" t="s">
        <x:v>333</x:v>
      </x:c>
      <x:c r="G2066" s="274" t="s">
        <x:v>2157</x:v>
      </x:c>
      <x:c r="I2066" s="274" t="n">
        <x:v>1</x:v>
      </x:c>
      <x:c r="J2066" s="274" t="n">
        <x:v>185</x:v>
      </x:c>
      <x:c r="K2066" s="274" t="n">
        <x:v>181</x:v>
      </x:c>
      <x:c r="M2066" s="274" t="s">
        <x:v>3995</x:v>
      </x:c>
      <x:c r="N2066" s="274" t="s">
        <x:v>3984</x:v>
      </x:c>
    </x:row>
    <x:row r="2067" spans="1:14">
      <x:c r="A2067" s="274" t="s">
        <x:v>3996</x:v>
      </x:c>
      <x:c r="B2067" s="274" t="n">
        <x:v>0.58</x:v>
      </x:c>
      <x:c r="C2067" s="274" t="n">
        <x:v>0</x:v>
      </x:c>
      <x:c r="D2067" s="274" t="n">
        <x:v>0</x:v>
      </x:c>
      <x:c r="F2067" s="274" t="s">
        <x:v>333</x:v>
      </x:c>
      <x:c r="G2067" s="274" t="s">
        <x:v>2157</x:v>
      </x:c>
      <x:c r="I2067" s="274" t="n">
        <x:v>0.6</x:v>
      </x:c>
      <x:c r="J2067" s="274" t="n">
        <x:v>1092</x:v>
      </x:c>
      <x:c r="K2067" s="274" t="n">
        <x:v>113</x:v>
      </x:c>
      <x:c r="M2067" s="274" t="s">
        <x:v>3997</x:v>
      </x:c>
      <x:c r="N2067" s="274" t="s">
        <x:v>3984</x:v>
      </x:c>
    </x:row>
    <x:row r="2068" spans="1:14">
      <x:c r="A2068" s="274" t="s">
        <x:v>3998</x:v>
      </x:c>
      <x:c r="B2068" s="274" t="n">
        <x:v>0.56</x:v>
      </x:c>
      <x:c r="C2068" s="274" t="n">
        <x:v>0</x:v>
      </x:c>
      <x:c r="D2068" s="274" t="n">
        <x:v>0</x:v>
      </x:c>
      <x:c r="F2068" s="274" t="s">
        <x:v>333</x:v>
      </x:c>
      <x:c r="G2068" s="274" t="s">
        <x:v>2157</x:v>
      </x:c>
      <x:c r="I2068" s="274" t="n">
        <x:v>0.6</x:v>
      </x:c>
      <x:c r="J2068" s="274" t="n">
        <x:v>1092</x:v>
      </x:c>
      <x:c r="K2068" s="274" t="n">
        <x:v>108</x:v>
      </x:c>
      <x:c r="M2068" s="274" t="s">
        <x:v>3999</x:v>
      </x:c>
      <x:c r="N2068" s="274" t="s">
        <x:v>3984</x:v>
      </x:c>
    </x:row>
    <x:row r="2069" spans="1:14">
      <x:c r="A2069" s="274" t="s">
        <x:v>4000</x:v>
      </x:c>
      <x:c r="B2069" s="274" t="n">
        <x:v>0.27</x:v>
      </x:c>
      <x:c r="C2069" s="274" t="n">
        <x:v>0</x:v>
      </x:c>
      <x:c r="D2069" s="274" t="n">
        <x:v>0</x:v>
      </x:c>
      <x:c r="F2069" s="274" t="s">
        <x:v>333</x:v>
      </x:c>
      <x:c r="G2069" s="274" t="s">
        <x:v>2157</x:v>
      </x:c>
      <x:c r="I2069" s="274" t="n">
        <x:v>1</x:v>
      </x:c>
      <x:c r="J2069" s="274" t="n">
        <x:v>300</x:v>
      </x:c>
      <x:c r="K2069" s="274" t="n">
        <x:v>115</x:v>
      </x:c>
      <x:c r="M2069" s="274" t="s">
        <x:v>4001</x:v>
      </x:c>
      <x:c r="N2069" s="274" t="s">
        <x:v>3984</x:v>
      </x:c>
    </x:row>
    <x:row r="2070" spans="1:14">
      <x:c r="A2070" s="274" t="s">
        <x:v>4002</x:v>
      </x:c>
      <x:c r="B2070" s="274" t="n">
        <x:v>2.14</x:v>
      </x:c>
      <x:c r="C2070" s="274" t="n">
        <x:v>0</x:v>
      </x:c>
      <x:c r="D2070" s="274" t="n">
        <x:v>0</x:v>
      </x:c>
      <x:c r="F2070" s="274" t="s">
        <x:v>333</x:v>
      </x:c>
      <x:c r="G2070" s="274" t="s">
        <x:v>2468</x:v>
      </x:c>
      <x:c r="I2070" s="274" t="n">
        <x:v>0.9</x:v>
      </x:c>
      <x:c r="J2070" s="274" t="n">
        <x:v>277</x:v>
      </x:c>
      <x:c r="K2070" s="274" t="n">
        <x:v>1094</x:v>
      </x:c>
      <x:c r="M2070" s="274" t="s">
        <x:v>4003</x:v>
      </x:c>
      <x:c r="N2070" s="274" t="s">
        <x:v>3984</x:v>
      </x:c>
    </x:row>
    <x:row r="2071" spans="1:14">
      <x:c r="A2071" s="274" t="s">
        <x:v>4004</x:v>
      </x:c>
      <x:c r="B2071" s="274" t="n">
        <x:v>1.49</x:v>
      </x:c>
      <x:c r="C2071" s="274" t="n">
        <x:v>0</x:v>
      </x:c>
      <x:c r="D2071" s="274" t="n">
        <x:v>0</x:v>
      </x:c>
      <x:c r="F2071" s="274" t="s">
        <x:v>333</x:v>
      </x:c>
      <x:c r="G2071" s="274" t="s">
        <x:v>2468</x:v>
      </x:c>
      <x:c r="I2071" s="274" t="n">
        <x:v>0.7</x:v>
      </x:c>
      <x:c r="J2071" s="274" t="n">
        <x:v>1061</x:v>
      </x:c>
      <x:c r="K2071" s="274" t="n">
        <x:v>256</x:v>
      </x:c>
      <x:c r="M2071" s="274" t="s">
        <x:v>4005</x:v>
      </x:c>
      <x:c r="N2071" s="274" t="s">
        <x:v>3984</x:v>
      </x:c>
    </x:row>
    <x:row r="2072" spans="1:14">
      <x:c r="A2072" s="274" t="s">
        <x:v>4006</x:v>
      </x:c>
      <x:c r="B2072" s="274" t="n">
        <x:v>1.28</x:v>
      </x:c>
      <x:c r="C2072" s="274" t="n">
        <x:v>0</x:v>
      </x:c>
      <x:c r="D2072" s="274" t="n">
        <x:v>0</x:v>
      </x:c>
      <x:c r="F2072" s="274" t="s">
        <x:v>333</x:v>
      </x:c>
      <x:c r="G2072" s="274" t="s">
        <x:v>124</x:v>
      </x:c>
      <x:c r="I2072" s="274" t="n">
        <x:v>2</x:v>
      </x:c>
      <x:c r="J2072" s="274" t="n">
        <x:v>449</x:v>
      </x:c>
      <x:c r="K2072" s="274" t="n">
        <x:v>182</x:v>
      </x:c>
      <x:c r="M2072" s="274" t="s">
        <x:v>4007</x:v>
      </x:c>
      <x:c r="N2072" s="274" t="s">
        <x:v>3984</x:v>
      </x:c>
    </x:row>
    <x:row r="2073" spans="1:14">
      <x:c r="A2073" s="274" t="s">
        <x:v>4008</x:v>
      </x:c>
      <x:c r="B2073" s="274" t="n">
        <x:v>0.38</x:v>
      </x:c>
      <x:c r="C2073" s="274" t="n">
        <x:v>0</x:v>
      </x:c>
      <x:c r="D2073" s="274" t="n">
        <x:v>0</x:v>
      </x:c>
      <x:c r="F2073" s="274" t="s">
        <x:v>333</x:v>
      </x:c>
      <x:c r="G2073" s="274" t="s">
        <x:v>124</x:v>
      </x:c>
      <x:c r="I2073" s="274" t="n">
        <x:v>2</x:v>
      </x:c>
      <x:c r="J2073" s="274" t="n">
        <x:v>272</x:v>
      </x:c>
      <x:c r="K2073" s="274" t="n">
        <x:v>89</x:v>
      </x:c>
      <x:c r="M2073" s="274" t="s">
        <x:v>4009</x:v>
      </x:c>
      <x:c r="N2073" s="274" t="s">
        <x:v>3984</x:v>
      </x:c>
    </x:row>
    <x:row r="2074" spans="1:14">
      <x:c r="A2074" s="274" t="s">
        <x:v>4010</x:v>
      </x:c>
      <x:c r="B2074" s="274" t="n">
        <x:v>0.46</x:v>
      </x:c>
      <x:c r="C2074" s="274" t="n">
        <x:v>0</x:v>
      </x:c>
      <x:c r="D2074" s="274" t="n">
        <x:v>0</x:v>
      </x:c>
      <x:c r="F2074" s="274" t="s">
        <x:v>333</x:v>
      </x:c>
      <x:c r="G2074" s="274" t="s">
        <x:v>124</x:v>
      </x:c>
      <x:c r="I2074" s="274" t="n">
        <x:v>1.2</x:v>
      </x:c>
      <x:c r="J2074" s="274" t="n">
        <x:v>239</x:v>
      </x:c>
      <x:c r="K2074" s="274" t="n">
        <x:v>206</x:v>
      </x:c>
      <x:c r="M2074" s="274" t="s">
        <x:v>4011</x:v>
      </x:c>
      <x:c r="N2074" s="274" t="s">
        <x:v>3984</x:v>
      </x:c>
    </x:row>
    <x:row r="2075" spans="1:14">
      <x:c r="A2075" s="274" t="s">
        <x:v>4012</x:v>
      </x:c>
      <x:c r="B2075" s="274" t="n">
        <x:v>0.16</x:v>
      </x:c>
      <x:c r="C2075" s="274" t="n">
        <x:v>0</x:v>
      </x:c>
      <x:c r="D2075" s="274" t="n">
        <x:v>0</x:v>
      </x:c>
      <x:c r="F2075" s="274" t="s">
        <x:v>333</x:v>
      </x:c>
      <x:c r="G2075" s="274" t="s">
        <x:v>124</x:v>
      </x:c>
      <x:c r="I2075" s="274" t="n">
        <x:v>1</x:v>
      </x:c>
      <x:c r="J2075" s="274" t="n">
        <x:v>164</x:v>
      </x:c>
      <x:c r="K2075" s="274" t="n">
        <x:v>125</x:v>
      </x:c>
      <x:c r="M2075" s="274" t="s">
        <x:v>4013</x:v>
      </x:c>
      <x:c r="N2075" s="274" t="s">
        <x:v>3984</x:v>
      </x:c>
    </x:row>
    <x:row r="2076" spans="1:14">
      <x:c r="A2076" s="274" t="s">
        <x:v>4014</x:v>
      </x:c>
      <x:c r="B2076" s="274" t="n">
        <x:v>1.07</x:v>
      </x:c>
      <x:c r="C2076" s="274" t="n">
        <x:v>0</x:v>
      </x:c>
      <x:c r="D2076" s="274" t="n">
        <x:v>0</x:v>
      </x:c>
      <x:c r="F2076" s="274" t="s">
        <x:v>333</x:v>
      </x:c>
      <x:c r="G2076" s="274" t="s">
        <x:v>124</x:v>
      </x:c>
      <x:c r="I2076" s="274" t="n">
        <x:v>1</x:v>
      </x:c>
      <x:c r="J2076" s="274" t="n">
        <x:v>259</x:v>
      </x:c>
      <x:c r="K2076" s="274" t="n">
        <x:v>527</x:v>
      </x:c>
      <x:c r="M2076" s="274" t="s">
        <x:v>4015</x:v>
      </x:c>
      <x:c r="N2076" s="274" t="s">
        <x:v>3984</x:v>
      </x:c>
    </x:row>
    <x:row r="2077" spans="1:14">
      <x:c r="A2077" s="274" t="s">
        <x:v>4016</x:v>
      </x:c>
      <x:c r="B2077" s="274" t="n">
        <x:v>0.33</x:v>
      </x:c>
      <x:c r="C2077" s="274" t="n">
        <x:v>0</x:v>
      </x:c>
      <x:c r="D2077" s="274" t="n">
        <x:v>0</x:v>
      </x:c>
      <x:c r="F2077" s="274" t="s">
        <x:v>333</x:v>
      </x:c>
      <x:c r="G2077" s="274" t="s">
        <x:v>2160</x:v>
      </x:c>
      <x:c r="I2077" s="274" t="n">
        <x:v>1</x:v>
      </x:c>
      <x:c r="J2077" s="274" t="n">
        <x:v>295</x:v>
      </x:c>
      <x:c r="K2077" s="274" t="n">
        <x:v>141</x:v>
      </x:c>
      <x:c r="M2077" s="274" t="s">
        <x:v>4017</x:v>
      </x:c>
      <x:c r="N2077" s="274" t="s">
        <x:v>3984</x:v>
      </x:c>
    </x:row>
    <x:row r="2078" spans="1:14">
      <x:c r="A2078" s="274" t="s">
        <x:v>4018</x:v>
      </x:c>
      <x:c r="B2078" s="274" t="n">
        <x:v>0.33</x:v>
      </x:c>
      <x:c r="C2078" s="274" t="n">
        <x:v>0</x:v>
      </x:c>
      <x:c r="D2078" s="274" t="n">
        <x:v>0</x:v>
      </x:c>
      <x:c r="F2078" s="274" t="s">
        <x:v>333</x:v>
      </x:c>
      <x:c r="G2078" s="274" t="s">
        <x:v>2160</x:v>
      </x:c>
      <x:c r="I2078" s="274" t="n">
        <x:v>1</x:v>
      </x:c>
      <x:c r="J2078" s="274" t="n">
        <x:v>295</x:v>
      </x:c>
      <x:c r="K2078" s="274" t="n">
        <x:v>141</x:v>
      </x:c>
      <x:c r="M2078" s="274" t="s">
        <x:v>4019</x:v>
      </x:c>
      <x:c r="N2078" s="274" t="s">
        <x:v>3984</x:v>
      </x:c>
    </x:row>
    <x:row r="2079" spans="1:14">
      <x:c r="A2079" s="274" t="s">
        <x:v>4020</x:v>
      </x:c>
      <x:c r="B2079" s="274" t="n">
        <x:v>0.41</x:v>
      </x:c>
      <x:c r="C2079" s="274" t="n">
        <x:v>0</x:v>
      </x:c>
      <x:c r="D2079" s="274" t="n">
        <x:v>0</x:v>
      </x:c>
      <x:c r="F2079" s="274" t="s">
        <x:v>333</x:v>
      </x:c>
      <x:c r="G2079" s="274" t="s">
        <x:v>2160</x:v>
      </x:c>
      <x:c r="I2079" s="274" t="n">
        <x:v>1</x:v>
      </x:c>
      <x:c r="J2079" s="274" t="n">
        <x:v>448</x:v>
      </x:c>
      <x:c r="K2079" s="274" t="n">
        <x:v>116</x:v>
      </x:c>
      <x:c r="M2079" s="274" t="s">
        <x:v>4021</x:v>
      </x:c>
      <x:c r="N2079" s="274" t="s">
        <x:v>3984</x:v>
      </x:c>
    </x:row>
    <x:row r="2080" spans="1:14">
      <x:c r="A2080" s="274" t="s">
        <x:v>4022</x:v>
      </x:c>
      <x:c r="B2080" s="274" t="n">
        <x:v>0.41</x:v>
      </x:c>
      <x:c r="C2080" s="274" t="n">
        <x:v>0</x:v>
      </x:c>
      <x:c r="D2080" s="274" t="n">
        <x:v>0</x:v>
      </x:c>
      <x:c r="F2080" s="274" t="s">
        <x:v>333</x:v>
      </x:c>
      <x:c r="G2080" s="274" t="s">
        <x:v>2160</x:v>
      </x:c>
      <x:c r="I2080" s="274" t="n">
        <x:v>1</x:v>
      </x:c>
      <x:c r="J2080" s="274" t="n">
        <x:v>448</x:v>
      </x:c>
      <x:c r="K2080" s="274" t="n">
        <x:v>116</x:v>
      </x:c>
      <x:c r="M2080" s="274" t="s">
        <x:v>4023</x:v>
      </x:c>
      <x:c r="N2080" s="274" t="s">
        <x:v>3984</x:v>
      </x:c>
    </x:row>
    <x:row r="2081" spans="1:14">
      <x:c r="A2081" s="274" t="s">
        <x:v>4024</x:v>
      </x:c>
      <x:c r="B2081" s="274" t="n">
        <x:v>0.3</x:v>
      </x:c>
      <x:c r="C2081" s="274" t="n">
        <x:v>0</x:v>
      </x:c>
      <x:c r="D2081" s="274" t="n">
        <x:v>0</x:v>
      </x:c>
      <x:c r="F2081" s="274" t="s">
        <x:v>333</x:v>
      </x:c>
      <x:c r="G2081" s="274" t="s">
        <x:v>2160</x:v>
      </x:c>
      <x:c r="I2081" s="274" t="n">
        <x:v>1</x:v>
      </x:c>
      <x:c r="J2081" s="274" t="n">
        <x:v>303</x:v>
      </x:c>
      <x:c r="K2081" s="274" t="n">
        <x:v>125</x:v>
      </x:c>
      <x:c r="M2081" s="274" t="s">
        <x:v>4025</x:v>
      </x:c>
      <x:c r="N2081" s="274" t="s">
        <x:v>3984</x:v>
      </x:c>
    </x:row>
    <x:row r="2082" spans="1:14">
      <x:c r="A2082" s="274" t="s">
        <x:v>4026</x:v>
      </x:c>
      <x:c r="B2082" s="274" t="n">
        <x:v>0.3</x:v>
      </x:c>
      <x:c r="C2082" s="274" t="n">
        <x:v>0</x:v>
      </x:c>
      <x:c r="D2082" s="274" t="n">
        <x:v>0</x:v>
      </x:c>
      <x:c r="F2082" s="274" t="s">
        <x:v>333</x:v>
      </x:c>
      <x:c r="G2082" s="274" t="s">
        <x:v>2160</x:v>
      </x:c>
      <x:c r="I2082" s="274" t="n">
        <x:v>1</x:v>
      </x:c>
      <x:c r="J2082" s="274" t="n">
        <x:v>303</x:v>
      </x:c>
      <x:c r="K2082" s="274" t="n">
        <x:v>125</x:v>
      </x:c>
      <x:c r="M2082" s="274" t="s">
        <x:v>4027</x:v>
      </x:c>
      <x:c r="N2082" s="274" t="s">
        <x:v>3984</x:v>
      </x:c>
    </x:row>
    <x:row r="2083" spans="1:14">
      <x:c r="A2083" s="274" t="s">
        <x:v>4028</x:v>
      </x:c>
      <x:c r="B2083" s="274" t="n">
        <x:v>8.6</x:v>
      </x:c>
      <x:c r="C2083" s="274" t="n">
        <x:v>0</x:v>
      </x:c>
      <x:c r="D2083" s="274" t="n">
        <x:v>40</x:v>
      </x:c>
      <x:c r="E2083" s="274" t="n">
        <x:v>30</x:v>
      </x:c>
      <x:c r="F2083" s="274" t="s">
        <x:v>123</x:v>
      </x:c>
      <x:c r="G2083" s="274" t="s">
        <x:v>4029</x:v>
      </x:c>
      <x:c r="I2083" s="274" t="n">
        <x:v>0.8</x:v>
      </x:c>
      <x:c r="J2083" s="274" t="n">
        <x:v>1030</x:v>
      </x:c>
      <x:c r="K2083" s="274" t="n">
        <x:v>1330</x:v>
      </x:c>
      <x:c r="M2083" s="274" t="s">
        <x:v>2278</x:v>
      </x:c>
    </x:row>
    <x:row r="2084" spans="1:14">
      <x:c r="A2084" s="274" t="s">
        <x:v>4030</x:v>
      </x:c>
      <x:c r="B2084" s="274" t="n">
        <x:v>2.26</x:v>
      </x:c>
      <x:c r="C2084" s="274" t="n">
        <x:v>0</x:v>
      </x:c>
      <x:c r="D2084" s="274" t="n">
        <x:v>33</x:v>
      </x:c>
      <x:c r="E2084" s="274" t="n">
        <x:v>30</x:v>
      </x:c>
      <x:c r="F2084" s="274" t="s">
        <x:v>133</x:v>
      </x:c>
      <x:c r="G2084" s="274" t="s">
        <x:v>148</x:v>
      </x:c>
      <x:c r="I2084" s="274" t="n">
        <x:v>2.3</x:v>
      </x:c>
      <x:c r="J2084" s="274" t="n">
        <x:v>212</x:v>
      </x:c>
      <x:c r="K2084" s="274" t="n">
        <x:v>590</x:v>
      </x:c>
      <x:c r="M2084" s="274" t="s">
        <x:v>4031</x:v>
      </x:c>
      <x:c r="N2084" s="274" t="s">
        <x:v>229</x:v>
      </x:c>
    </x:row>
    <x:row r="2085" spans="1:14">
      <x:c r="A2085" s="274" t="s">
        <x:v>4032</x:v>
      </x:c>
      <x:c r="B2085" s="274" t="n">
        <x:v>1.68</x:v>
      </x:c>
      <x:c r="C2085" s="274" t="n">
        <x:v>0</x:v>
      </x:c>
      <x:c r="D2085" s="274" t="n">
        <x:v>33</x:v>
      </x:c>
      <x:c r="E2085" s="274" t="n">
        <x:v>30</x:v>
      </x:c>
      <x:c r="F2085" s="274" t="s">
        <x:v>133</x:v>
      </x:c>
      <x:c r="G2085" s="274" t="s">
        <x:v>148</x:v>
      </x:c>
      <x:c r="I2085" s="274" t="n">
        <x:v>2.3</x:v>
      </x:c>
      <x:c r="J2085" s="274" t="n">
        <x:v>178</x:v>
      </x:c>
      <x:c r="K2085" s="274" t="n">
        <x:v>524</x:v>
      </x:c>
      <x:c r="M2085" s="274" t="s">
        <x:v>800</x:v>
      </x:c>
    </x:row>
    <x:row r="2086" spans="1:14">
      <x:c r="A2086" s="274" t="s">
        <x:v>4033</x:v>
      </x:c>
      <x:c r="B2086" s="274" t="n">
        <x:v>1.27</x:v>
      </x:c>
      <x:c r="C2086" s="274" t="n">
        <x:v>0</x:v>
      </x:c>
      <x:c r="D2086" s="274" t="n">
        <x:v>0</x:v>
      </x:c>
      <x:c r="F2086" s="274" t="s">
        <x:v>333</x:v>
      </x:c>
      <x:c r="G2086" s="274" t="s">
        <x:v>2160</x:v>
      </x:c>
      <x:c r="I2086" s="274" t="n">
        <x:v>1</x:v>
      </x:c>
      <x:c r="J2086" s="274" t="n">
        <x:v>297</x:v>
      </x:c>
      <x:c r="K2086" s="274" t="n">
        <x:v>543</x:v>
      </x:c>
      <x:c r="M2086" s="274" t="s">
        <x:v>4034</x:v>
      </x:c>
      <x:c r="N2086" s="274" t="s">
        <x:v>3984</x:v>
      </x:c>
    </x:row>
    <x:row r="2087" spans="1:14">
      <x:c r="A2087" s="274" t="s">
        <x:v>4035</x:v>
      </x:c>
      <x:c r="B2087" s="274" t="n">
        <x:v>3.14</x:v>
      </x:c>
      <x:c r="C2087" s="274" t="n">
        <x:v>0</x:v>
      </x:c>
      <x:c r="D2087" s="274" t="n">
        <x:v>0</x:v>
      </x:c>
      <x:c r="F2087" s="274" t="s">
        <x:v>133</x:v>
      </x:c>
      <x:c r="G2087" s="274" t="s">
        <x:v>134</x:v>
      </x:c>
      <x:c r="I2087" s="274" t="n">
        <x:v>2</x:v>
      </x:c>
      <x:c r="J2087" s="274" t="n">
        <x:v>160</x:v>
      </x:c>
      <x:c r="K2087" s="274" t="n">
        <x:v>1250</x:v>
      </x:c>
      <x:c r="M2087" s="274" t="s">
        <x:v>4036</x:v>
      </x:c>
      <x:c r="N2087" s="274" t="s">
        <x:v>4037</x:v>
      </x:c>
    </x:row>
    <x:row r="2088" spans="1:14">
      <x:c r="A2088" s="274" t="s">
        <x:v>4038</x:v>
      </x:c>
      <x:c r="B2088" s="274" t="n">
        <x:v>8.42</x:v>
      </x:c>
      <x:c r="C2088" s="274" t="n">
        <x:v>0</x:v>
      </x:c>
      <x:c r="D2088" s="274" t="n">
        <x:v>0</x:v>
      </x:c>
      <x:c r="F2088" s="274" t="s">
        <x:v>133</x:v>
      </x:c>
      <x:c r="G2088" s="274" t="s">
        <x:v>134</x:v>
      </x:c>
      <x:c r="I2088" s="274" t="n">
        <x:v>2.6</x:v>
      </x:c>
      <x:c r="J2088" s="274" t="n">
        <x:v>330</x:v>
      </x:c>
      <x:c r="K2088" s="274" t="n">
        <x:v>1250</x:v>
      </x:c>
      <x:c r="M2088" s="274" t="s">
        <x:v>4039</x:v>
      </x:c>
      <x:c r="N2088" s="274" t="s">
        <x:v>4037</x:v>
      </x:c>
    </x:row>
    <x:row r="2089" spans="1:14">
      <x:c r="A2089" s="274" t="s">
        <x:v>4040</x:v>
      </x:c>
      <x:c r="B2089" s="274" t="n">
        <x:v>1.53</x:v>
      </x:c>
      <x:c r="C2089" s="274" t="n">
        <x:v>0</x:v>
      </x:c>
      <x:c r="D2089" s="274" t="n">
        <x:v>0</x:v>
      </x:c>
      <x:c r="F2089" s="274" t="s">
        <x:v>133</x:v>
      </x:c>
      <x:c r="G2089" s="274" t="s">
        <x:v>134</x:v>
      </x:c>
      <x:c r="I2089" s="274" t="n">
        <x:v>2.9</x:v>
      </x:c>
      <x:c r="J2089" s="274" t="n">
        <x:v>305</x:v>
      </x:c>
      <x:c r="K2089" s="274" t="n">
        <x:v>220</x:v>
      </x:c>
      <x:c r="M2089" s="274" t="s">
        <x:v>4041</x:v>
      </x:c>
      <x:c r="N2089" s="274" t="s">
        <x:v>3671</x:v>
      </x:c>
    </x:row>
    <x:row r="2090" spans="1:14">
      <x:c r="A2090" s="274" t="s">
        <x:v>4042</x:v>
      </x:c>
      <x:c r="B2090" s="274" t="n">
        <x:v>2.29</x:v>
      </x:c>
      <x:c r="C2090" s="274" t="n">
        <x:v>0</x:v>
      </x:c>
      <x:c r="D2090" s="274" t="n">
        <x:v>0</x:v>
      </x:c>
      <x:c r="F2090" s="274" t="s">
        <x:v>133</x:v>
      </x:c>
      <x:c r="G2090" s="274" t="s">
        <x:v>148</x:v>
      </x:c>
      <x:c r="I2090" s="274" t="n">
        <x:v>2.9</x:v>
      </x:c>
      <x:c r="J2090" s="274" t="n">
        <x:v>419</x:v>
      </x:c>
      <x:c r="K2090" s="274" t="n">
        <x:v>240</x:v>
      </x:c>
      <x:c r="M2090" s="274" t="s">
        <x:v>4043</x:v>
      </x:c>
      <x:c r="N2090" s="274" t="s">
        <x:v>3671</x:v>
      </x:c>
    </x:row>
    <x:row r="2091" spans="1:14">
      <x:c r="A2091" s="274" t="s">
        <x:v>4044</x:v>
      </x:c>
      <x:c r="B2091" s="274" t="n">
        <x:v>2.45</x:v>
      </x:c>
      <x:c r="C2091" s="274" t="n">
        <x:v>0</x:v>
      </x:c>
      <x:c r="D2091" s="274" t="n">
        <x:v>0</x:v>
      </x:c>
      <x:c r="F2091" s="274" t="s">
        <x:v>133</x:v>
      </x:c>
      <x:c r="G2091" s="274" t="s">
        <x:v>134</x:v>
      </x:c>
      <x:c r="I2091" s="274" t="n">
        <x:v>2</x:v>
      </x:c>
      <x:c r="J2091" s="274" t="n">
        <x:v>125</x:v>
      </x:c>
      <x:c r="K2091" s="274" t="n">
        <x:v>1250</x:v>
      </x:c>
      <x:c r="M2091" s="274" t="s">
        <x:v>4045</x:v>
      </x:c>
      <x:c r="N2091" s="274" t="s">
        <x:v>4037</x:v>
      </x:c>
    </x:row>
    <x:row r="2092" spans="1:14">
      <x:c r="A2092" s="274" t="s">
        <x:v>4046</x:v>
      </x:c>
      <x:c r="B2092" s="274" t="n">
        <x:v>2.83</x:v>
      </x:c>
      <x:c r="C2092" s="274" t="n">
        <x:v>0</x:v>
      </x:c>
      <x:c r="D2092" s="274" t="n">
        <x:v>0</x:v>
      </x:c>
      <x:c r="F2092" s="274" t="s">
        <x:v>133</x:v>
      </x:c>
      <x:c r="G2092" s="274" t="s">
        <x:v>134</x:v>
      </x:c>
      <x:c r="I2092" s="274" t="n">
        <x:v>2</x:v>
      </x:c>
      <x:c r="J2092" s="274" t="n">
        <x:v>144</x:v>
      </x:c>
      <x:c r="K2092" s="274" t="n">
        <x:v>1250</x:v>
      </x:c>
      <x:c r="M2092" s="274" t="s">
        <x:v>4047</x:v>
      </x:c>
      <x:c r="N2092" s="274" t="s">
        <x:v>4037</x:v>
      </x:c>
    </x:row>
    <x:row r="2093" spans="1:14">
      <x:c r="A2093" s="274" t="s">
        <x:v>4048</x:v>
      </x:c>
      <x:c r="B2093" s="274" t="n">
        <x:v>4.71</x:v>
      </x:c>
      <x:c r="C2093" s="274" t="n">
        <x:v>0</x:v>
      </x:c>
      <x:c r="D2093" s="274" t="n">
        <x:v>0</x:v>
      </x:c>
      <x:c r="F2093" s="274" t="s">
        <x:v>133</x:v>
      </x:c>
      <x:c r="G2093" s="274" t="s">
        <x:v>144</x:v>
      </x:c>
      <x:c r="H2093" s="274" t="n">
        <x:v>45</x:v>
      </x:c>
      <x:c r="I2093" s="274" t="n">
        <x:v>2</x:v>
      </x:c>
      <x:c r="J2093" s="274" t="n">
        <x:v>213</x:v>
      </x:c>
      <x:c r="K2093" s="274" t="n">
        <x:v>1400</x:v>
      </x:c>
      <x:c r="M2093" s="274" t="s">
        <x:v>4049</x:v>
      </x:c>
      <x:c r="N2093" s="274" t="s">
        <x:v>3671</x:v>
      </x:c>
    </x:row>
    <x:row r="2094" spans="1:14">
      <x:c r="A2094" s="274" t="s">
        <x:v>4050</x:v>
      </x:c>
      <x:c r="B2094" s="274" t="n">
        <x:v>1.93</x:v>
      </x:c>
      <x:c r="C2094" s="274" t="n">
        <x:v>0</x:v>
      </x:c>
      <x:c r="D2094" s="274" t="n">
        <x:v>0</x:v>
      </x:c>
      <x:c r="F2094" s="274" t="s">
        <x:v>133</x:v>
      </x:c>
      <x:c r="G2094" s="274" t="s">
        <x:v>144</x:v>
      </x:c>
      <x:c r="H2094" s="274" t="n">
        <x:v>45</x:v>
      </x:c>
      <x:c r="I2094" s="274" t="n">
        <x:v>2</x:v>
      </x:c>
      <x:c r="J2094" s="274" t="n">
        <x:v>244</x:v>
      </x:c>
      <x:c r="K2094" s="274" t="n">
        <x:v>500</x:v>
      </x:c>
      <x:c r="M2094" s="274" t="s">
        <x:v>4051</x:v>
      </x:c>
      <x:c r="N2094" s="274" t="s">
        <x:v>3671</x:v>
      </x:c>
    </x:row>
    <x:row r="2095" spans="1:14">
      <x:c r="A2095" s="274" t="s">
        <x:v>4052</x:v>
      </x:c>
      <x:c r="B2095" s="274" t="n">
        <x:v>8.1</x:v>
      </x:c>
      <x:c r="C2095" s="274" t="n">
        <x:v>0</x:v>
      </x:c>
      <x:c r="D2095" s="274" t="n">
        <x:v>0</x:v>
      </x:c>
      <x:c r="F2095" s="274" t="s">
        <x:v>133</x:v>
      </x:c>
      <x:c r="G2095" s="274" t="s">
        <x:v>148</x:v>
      </x:c>
      <x:c r="I2095" s="274" t="n">
        <x:v>3.2</x:v>
      </x:c>
      <x:c r="J2095" s="274" t="n">
        <x:v>258</x:v>
      </x:c>
      <x:c r="K2095" s="274" t="n">
        <x:v>1250</x:v>
      </x:c>
      <x:c r="M2095" s="274" t="s">
        <x:v>4053</x:v>
      </x:c>
      <x:c r="N2095" s="274" t="s">
        <x:v>3671</x:v>
      </x:c>
    </x:row>
    <x:row r="2096" spans="1:14">
      <x:c r="A2096" s="274" t="s">
        <x:v>4054</x:v>
      </x:c>
      <x:c r="B2096" s="274" t="n">
        <x:v>1.28</x:v>
      </x:c>
      <x:c r="C2096" s="274" t="n">
        <x:v>0</x:v>
      </x:c>
      <x:c r="D2096" s="274" t="n">
        <x:v>18</x:v>
      </x:c>
      <x:c r="E2096" s="274" t="n">
        <x:v>18</x:v>
      </x:c>
      <x:c r="F2096" s="274" t="s">
        <x:v>123</x:v>
      </x:c>
      <x:c r="G2096" s="274" t="s">
        <x:v>2637</x:v>
      </x:c>
      <x:c r="I2096" s="274" t="n">
        <x:v>1.5</x:v>
      </x:c>
      <x:c r="J2096" s="274" t="n">
        <x:v>82</x:v>
      </x:c>
      <x:c r="K2096" s="274" t="n">
        <x:v>1300</x:v>
      </x:c>
    </x:row>
    <x:row r="2097" spans="1:14">
      <x:c r="A2097" s="274" t="s">
        <x:v>4055</x:v>
      </x:c>
      <x:c r="B2097" s="274" t="n">
        <x:v>2.51</x:v>
      </x:c>
      <x:c r="C2097" s="274" t="n">
        <x:v>0</x:v>
      </x:c>
      <x:c r="D2097" s="274" t="n">
        <x:v>21</x:v>
      </x:c>
      <x:c r="E2097" s="274" t="n">
        <x:v>18</x:v>
      </x:c>
      <x:c r="F2097" s="274" t="s">
        <x:v>123</x:v>
      </x:c>
      <x:c r="G2097" s="274" t="s">
        <x:v>2637</x:v>
      </x:c>
      <x:c r="I2097" s="274" t="n">
        <x:v>1.5</x:v>
      </x:c>
      <x:c r="J2097" s="274" t="n">
        <x:v>177</x:v>
      </x:c>
      <x:c r="K2097" s="274" t="n">
        <x:v>1178</x:v>
      </x:c>
    </x:row>
    <x:row r="2098" spans="1:14">
      <x:c r="A2098" s="274" t="s">
        <x:v>4056</x:v>
      </x:c>
      <x:c r="B2098" s="274" t="n">
        <x:v>11.88</x:v>
      </x:c>
      <x:c r="C2098" s="274" t="n">
        <x:v>0</x:v>
      </x:c>
      <x:c r="D2098" s="274" t="n">
        <x:v>20</x:v>
      </x:c>
      <x:c r="E2098" s="274" t="n">
        <x:v>16</x:v>
      </x:c>
      <x:c r="F2098" s="274" t="s">
        <x:v>1980</x:v>
      </x:c>
      <x:c r="G2098" s="274" t="s">
        <x:v>1985</x:v>
      </x:c>
      <x:c r="I2098" s="274" t="n">
        <x:v>1</x:v>
      </x:c>
      <x:c r="J2098" s="274" t="n">
        <x:v>620</x:v>
      </x:c>
      <x:c r="K2098" s="274" t="n">
        <x:v>2440</x:v>
      </x:c>
      <x:c r="M2098" s="274" t="s">
        <x:v>3237</x:v>
      </x:c>
    </x:row>
    <x:row r="2099" spans="1:14">
      <x:c r="A2099" s="274" t="s">
        <x:v>4057</x:v>
      </x:c>
      <x:c r="B2099" s="274" t="n">
        <x:v>16.74</x:v>
      </x:c>
      <x:c r="C2099" s="274" t="n">
        <x:v>0</x:v>
      </x:c>
      <x:c r="D2099" s="274" t="n">
        <x:v>20</x:v>
      </x:c>
      <x:c r="E2099" s="274" t="n">
        <x:v>16</x:v>
      </x:c>
      <x:c r="F2099" s="274" t="s">
        <x:v>1980</x:v>
      </x:c>
      <x:c r="G2099" s="274" t="s">
        <x:v>1985</x:v>
      </x:c>
      <x:c r="I2099" s="274" t="n">
        <x:v>1</x:v>
      </x:c>
      <x:c r="J2099" s="274" t="n">
        <x:v>900</x:v>
      </x:c>
      <x:c r="K2099" s="274" t="n">
        <x:v>2370</x:v>
      </x:c>
      <x:c r="M2099" s="274" t="s">
        <x:v>4058</x:v>
      </x:c>
    </x:row>
    <x:row r="2100" spans="1:14">
      <x:c r="A2100" s="274" t="s">
        <x:v>4059</x:v>
      </x:c>
      <x:c r="B2100" s="274" t="n">
        <x:v>21.66</x:v>
      </x:c>
      <x:c r="C2100" s="274" t="n">
        <x:v>0</x:v>
      </x:c>
      <x:c r="D2100" s="274" t="n">
        <x:v>35</x:v>
      </x:c>
      <x:c r="E2100" s="274" t="n">
        <x:v>27</x:v>
      </x:c>
      <x:c r="F2100" s="274" t="s">
        <x:v>123</x:v>
      </x:c>
      <x:c r="G2100" s="274" t="s">
        <x:v>1985</x:v>
      </x:c>
      <x:c r="I2100" s="274" t="n">
        <x:v>1</x:v>
      </x:c>
      <x:c r="J2100" s="274" t="n">
        <x:v>1550</x:v>
      </x:c>
      <x:c r="K2100" s="274" t="n">
        <x:v>1780</x:v>
      </x:c>
      <x:c r="M2100" s="274" t="s">
        <x:v>4060</x:v>
      </x:c>
    </x:row>
    <x:row r="2101" spans="1:14">
      <x:c r="A2101" s="274" t="s">
        <x:v>4061</x:v>
      </x:c>
      <x:c r="B2101" s="274" t="n">
        <x:v>1.15</x:v>
      </x:c>
      <x:c r="C2101" s="274" t="n">
        <x:v>0</x:v>
      </x:c>
      <x:c r="D2101" s="274" t="n">
        <x:v>0</x:v>
      </x:c>
      <x:c r="F2101" s="274" t="s">
        <x:v>128</x:v>
      </x:c>
      <x:c r="G2101" s="274" t="s">
        <x:v>496</x:v>
      </x:c>
      <x:c r="H2101" s="274" t="n">
        <x:v>45</x:v>
      </x:c>
      <x:c r="I2101" s="274" t="n">
        <x:v>2.9</x:v>
      </x:c>
      <x:c r="J2101" s="274" t="n">
        <x:v>323</x:v>
      </x:c>
      <x:c r="K2101" s="274" t="n">
        <x:v>156</x:v>
      </x:c>
      <x:c r="N2101" s="274" t="s">
        <x:v>3671</x:v>
      </x:c>
    </x:row>
    <x:row r="2102" spans="1:14">
      <x:c r="A2102" s="274" t="s">
        <x:v>4062</x:v>
      </x:c>
      <x:c r="B2102" s="274" t="n">
        <x:v>0.91</x:v>
      </x:c>
      <x:c r="C2102" s="274" t="n">
        <x:v>0</x:v>
      </x:c>
      <x:c r="D2102" s="274" t="n">
        <x:v>0</x:v>
      </x:c>
      <x:c r="F2102" s="274" t="s">
        <x:v>133</x:v>
      </x:c>
      <x:c r="G2102" s="274" t="s">
        <x:v>144</x:v>
      </x:c>
      <x:c r="H2102" s="274" t="n">
        <x:v>45</x:v>
      </x:c>
      <x:c r="I2102" s="274" t="n">
        <x:v>2</x:v>
      </x:c>
      <x:c r="J2102" s="274" t="n">
        <x:v>588</x:v>
      </x:c>
      <x:c r="K2102" s="274" t="n">
        <x:v>98</x:v>
      </x:c>
      <x:c r="N2102" s="274" t="s">
        <x:v>3671</x:v>
      </x:c>
    </x:row>
    <x:row r="2103" spans="1:14">
      <x:c r="A2103" s="274" t="s">
        <x:v>4063</x:v>
      </x:c>
      <x:c r="B2103" s="274" t="n">
        <x:v>1.29</x:v>
      </x:c>
      <x:c r="C2103" s="274" t="n">
        <x:v>0</x:v>
      </x:c>
      <x:c r="D2103" s="274" t="n">
        <x:v>0</x:v>
      </x:c>
      <x:c r="F2103" s="274" t="s">
        <x:v>133</x:v>
      </x:c>
      <x:c r="G2103" s="274" t="s">
        <x:v>144</x:v>
      </x:c>
      <x:c r="H2103" s="274" t="n">
        <x:v>45</x:v>
      </x:c>
      <x:c r="I2103" s="274" t="n">
        <x:v>2</x:v>
      </x:c>
      <x:c r="J2103" s="274" t="n">
        <x:v>612</x:v>
      </x:c>
      <x:c r="K2103" s="274" t="n">
        <x:v>134</x:v>
      </x:c>
      <x:c r="N2103" s="274" t="s">
        <x:v>3671</x:v>
      </x:c>
    </x:row>
    <x:row r="2104" spans="1:14">
      <x:c r="A2104" s="274" t="s">
        <x:v>4064</x:v>
      </x:c>
      <x:c r="B2104" s="274" t="n">
        <x:v>8.05</x:v>
      </x:c>
      <x:c r="C2104" s="274" t="n">
        <x:v>0</x:v>
      </x:c>
      <x:c r="D2104" s="274" t="n">
        <x:v>45</x:v>
      </x:c>
      <x:c r="E2104" s="274" t="n">
        <x:v>40</x:v>
      </x:c>
      <x:c r="F2104" s="274" t="s">
        <x:v>133</x:v>
      </x:c>
      <x:c r="G2104" s="274" t="s">
        <x:v>144</x:v>
      </x:c>
      <x:c r="H2104" s="274" t="n">
        <x:v>45</x:v>
      </x:c>
      <x:c r="I2104" s="274" t="n">
        <x:v>2</x:v>
      </x:c>
      <x:c r="J2104" s="274" t="n">
        <x:v>1120</x:v>
      </x:c>
      <x:c r="K2104" s="274" t="n">
        <x:v>455</x:v>
      </x:c>
      <x:c r="N2104" s="274" t="s">
        <x:v>3671</x:v>
      </x:c>
    </x:row>
    <x:row r="2105" spans="1:14">
      <x:c r="A2105" s="274" t="s">
        <x:v>4065</x:v>
      </x:c>
      <x:c r="B2105" s="274" t="n">
        <x:v>2.37</x:v>
      </x:c>
      <x:c r="C2105" s="274" t="n">
        <x:v>0</x:v>
      </x:c>
      <x:c r="D2105" s="274" t="n">
        <x:v>0</x:v>
      </x:c>
      <x:c r="F2105" s="274" t="s">
        <x:v>133</x:v>
      </x:c>
      <x:c r="G2105" s="274" t="s">
        <x:v>148</x:v>
      </x:c>
      <x:c r="I2105" s="274" t="n">
        <x:v>3.6</x:v>
      </x:c>
      <x:c r="J2105" s="274" t="n">
        <x:v>365</x:v>
      </x:c>
      <x:c r="K2105" s="274" t="n">
        <x:v>230</x:v>
      </x:c>
      <x:c r="M2105" s="274" t="s">
        <x:v>4066</x:v>
      </x:c>
      <x:c r="N2105" s="274" t="s">
        <x:v>3671</x:v>
      </x:c>
    </x:row>
    <x:row r="2106" spans="1:14">
      <x:c r="A2106" s="274" t="s">
        <x:v>4067</x:v>
      </x:c>
      <x:c r="B2106" s="274" t="n">
        <x:v>0.59</x:v>
      </x:c>
      <x:c r="C2106" s="274" t="n">
        <x:v>0</x:v>
      </x:c>
      <x:c r="D2106" s="274" t="n">
        <x:v>0</x:v>
      </x:c>
      <x:c r="F2106" s="274" t="s">
        <x:v>133</x:v>
      </x:c>
      <x:c r="G2106" s="274" t="s">
        <x:v>136</x:v>
      </x:c>
      <x:c r="H2106" s="274" t="n">
        <x:v>45</x:v>
      </x:c>
      <x:c r="I2106" s="274" t="n">
        <x:v>0.7</x:v>
      </x:c>
      <x:c r="J2106" s="274" t="n">
        <x:v>600</x:v>
      </x:c>
      <x:c r="K2106" s="274" t="n">
        <x:v>175</x:v>
      </x:c>
      <x:c r="M2106" s="274" t="s">
        <x:v>4068</x:v>
      </x:c>
      <x:c r="N2106" s="274" t="s">
        <x:v>299</x:v>
      </x:c>
    </x:row>
    <x:row r="2107" spans="1:14">
      <x:c r="A2107" s="274" t="s">
        <x:v>4069</x:v>
      </x:c>
      <x:c r="B2107" s="274" t="n">
        <x:v>1.52</x:v>
      </x:c>
      <x:c r="C2107" s="274" t="n">
        <x:v>0</x:v>
      </x:c>
      <x:c r="D2107" s="274" t="n">
        <x:v>0</x:v>
      </x:c>
      <x:c r="F2107" s="274" t="s">
        <x:v>333</x:v>
      </x:c>
      <x:c r="G2107" s="274" t="s">
        <x:v>209</x:v>
      </x:c>
      <x:c r="I2107" s="274" t="n">
        <x:v>1.2</x:v>
      </x:c>
      <x:c r="J2107" s="274" t="n">
        <x:v>140</x:v>
      </x:c>
      <x:c r="K2107" s="274" t="n">
        <x:v>1155</x:v>
      </x:c>
      <x:c r="M2107" s="274" t="s">
        <x:v>4070</x:v>
      </x:c>
      <x:c r="N2107" s="274" t="s">
        <x:v>4071</x:v>
      </x:c>
    </x:row>
    <x:row r="2108" spans="1:14">
      <x:c r="A2108" s="274" t="s">
        <x:v>4072</x:v>
      </x:c>
      <x:c r="B2108" s="274" t="n">
        <x:v>5.09</x:v>
      </x:c>
      <x:c r="C2108" s="274" t="n">
        <x:v>0</x:v>
      </x:c>
      <x:c r="D2108" s="274" t="n">
        <x:v>0</x:v>
      </x:c>
      <x:c r="F2108" s="274" t="s">
        <x:v>133</x:v>
      </x:c>
      <x:c r="G2108" s="274" t="s">
        <x:v>148</x:v>
      </x:c>
      <x:c r="I2108" s="274" t="n">
        <x:v>2</x:v>
      </x:c>
      <x:c r="J2108" s="274" t="n">
        <x:v>470</x:v>
      </x:c>
      <x:c r="K2108" s="274" t="n">
        <x:v>690</x:v>
      </x:c>
      <x:c r="M2108" s="274" t="s">
        <x:v>4073</x:v>
      </x:c>
      <x:c r="N2108" s="274" t="s">
        <x:v>2805</x:v>
      </x:c>
    </x:row>
    <x:row r="2109" spans="1:14">
      <x:c r="A2109" s="274" t="s">
        <x:v>4074</x:v>
      </x:c>
      <x:c r="B2109" s="274" t="n">
        <x:v>6.54</x:v>
      </x:c>
      <x:c r="C2109" s="274" t="n">
        <x:v>0</x:v>
      </x:c>
      <x:c r="D2109" s="274" t="n">
        <x:v>0</x:v>
      </x:c>
      <x:c r="F2109" s="274" t="s">
        <x:v>128</x:v>
      </x:c>
      <x:c r="G2109" s="274" t="s">
        <x:v>496</x:v>
      </x:c>
      <x:c r="H2109" s="274" t="n">
        <x:v>45</x:v>
      </x:c>
      <x:c r="I2109" s="274" t="n">
        <x:v>2.6</x:v>
      </x:c>
      <x:c r="J2109" s="274" t="n">
        <x:v>530</x:v>
      </x:c>
      <x:c r="K2109" s="274" t="n">
        <x:v>602</x:v>
      </x:c>
      <x:c r="M2109" s="274" t="s">
        <x:v>4075</x:v>
      </x:c>
      <x:c r="N2109" s="274" t="s">
        <x:v>2805</x:v>
      </x:c>
    </x:row>
    <x:row r="2110" spans="1:14">
      <x:c r="A2110" s="274" t="s">
        <x:v>4076</x:v>
      </x:c>
      <x:c r="B2110" s="274" t="n">
        <x:v>2.68</x:v>
      </x:c>
      <x:c r="C2110" s="274" t="n">
        <x:v>0</x:v>
      </x:c>
      <x:c r="D2110" s="274" t="n">
        <x:v>0</x:v>
      </x:c>
      <x:c r="F2110" s="274" t="s">
        <x:v>133</x:v>
      </x:c>
      <x:c r="G2110" s="274" t="s">
        <x:v>148</x:v>
      </x:c>
      <x:c r="I2110" s="274" t="n">
        <x:v>2</x:v>
      </x:c>
      <x:c r="J2110" s="274" t="n">
        <x:v>240</x:v>
      </x:c>
      <x:c r="K2110" s="274" t="n">
        <x:v>710</x:v>
      </x:c>
      <x:c r="M2110" s="274" t="s">
        <x:v>1650</x:v>
      </x:c>
      <x:c r="N2110" s="274" t="s">
        <x:v>2805</x:v>
      </x:c>
    </x:row>
    <x:row r="2111" spans="1:14">
      <x:c r="A2111" s="274" t="s">
        <x:v>4077</x:v>
      </x:c>
      <x:c r="B2111" s="274" t="n">
        <x:v>1.02</x:v>
      </x:c>
      <x:c r="C2111" s="274" t="n">
        <x:v>0</x:v>
      </x:c>
      <x:c r="D2111" s="274" t="n">
        <x:v>0</x:v>
      </x:c>
      <x:c r="F2111" s="274" t="s">
        <x:v>133</x:v>
      </x:c>
      <x:c r="G2111" s="274" t="s">
        <x:v>136</x:v>
      </x:c>
      <x:c r="H2111" s="274" t="n">
        <x:v>45</x:v>
      </x:c>
      <x:c r="I2111" s="274" t="n">
        <x:v>0.8</x:v>
      </x:c>
      <x:c r="J2111" s="274" t="n">
        <x:v>850</x:v>
      </x:c>
      <x:c r="K2111" s="274" t="n">
        <x:v>188</x:v>
      </x:c>
      <x:c r="M2111" s="274" t="s">
        <x:v>4078</x:v>
      </x:c>
      <x:c r="N2111" s="274" t="s">
        <x:v>4079</x:v>
      </x:c>
    </x:row>
    <x:row r="2112" spans="1:14">
      <x:c r="A2112" s="274" t="s">
        <x:v>4080</x:v>
      </x:c>
      <x:c r="B2112" s="274" t="n">
        <x:v>4.19</x:v>
      </x:c>
      <x:c r="C2112" s="274" t="n">
        <x:v>0</x:v>
      </x:c>
      <x:c r="D2112" s="274" t="n">
        <x:v>26</x:v>
      </x:c>
      <x:c r="E2112" s="274" t="n">
        <x:v>19</x:v>
      </x:c>
      <x:c r="F2112" s="274" t="s">
        <x:v>2985</x:v>
      </x:c>
      <x:c r="G2112" s="274" t="s">
        <x:v>153</x:v>
      </x:c>
      <x:c r="I2112" s="274" t="n">
        <x:v>2</x:v>
      </x:c>
      <x:c r="J2112" s="274" t="n">
        <x:v>290</x:v>
      </x:c>
      <x:c r="K2112" s="274" t="n">
        <x:v>920</x:v>
      </x:c>
      <x:c r="M2112" s="274" t="s">
        <x:v>3094</x:v>
      </x:c>
      <x:c r="N2112" s="274" t="s">
        <x:v>299</x:v>
      </x:c>
    </x:row>
    <x:row r="2113" spans="1:14">
      <x:c r="A2113" s="274" t="s">
        <x:v>4081</x:v>
      </x:c>
      <x:c r="B2113" s="274" t="n">
        <x:v>1.02</x:v>
      </x:c>
      <x:c r="C2113" s="274" t="n">
        <x:v>0</x:v>
      </x:c>
      <x:c r="D2113" s="274" t="n">
        <x:v>0</x:v>
      </x:c>
      <x:c r="F2113" s="274" t="s">
        <x:v>133</x:v>
      </x:c>
      <x:c r="G2113" s="274" t="s">
        <x:v>136</x:v>
      </x:c>
      <x:c r="H2113" s="274" t="n">
        <x:v>45</x:v>
      </x:c>
      <x:c r="I2113" s="274" t="n">
        <x:v>1.2</x:v>
      </x:c>
      <x:c r="J2113" s="274" t="n">
        <x:v>308</x:v>
      </x:c>
      <x:c r="K2113" s="274" t="n">
        <x:v>347</x:v>
      </x:c>
      <x:c r="M2113" s="274" t="s">
        <x:v>3633</x:v>
      </x:c>
      <x:c r="N2113" s="274" t="s">
        <x:v>4082</x:v>
      </x:c>
    </x:row>
    <x:row r="2114" spans="1:14">
      <x:c r="A2114" s="274" t="s">
        <x:v>4083</x:v>
      </x:c>
      <x:c r="B2114" s="274" t="n">
        <x:v>0.76</x:v>
      </x:c>
      <x:c r="C2114" s="274" t="n">
        <x:v>0</x:v>
      </x:c>
      <x:c r="D2114" s="274" t="n">
        <x:v>0</x:v>
      </x:c>
      <x:c r="F2114" s="274" t="s">
        <x:v>123</x:v>
      </x:c>
      <x:c r="G2114" s="274" t="s">
        <x:v>153</x:v>
      </x:c>
      <x:c r="I2114" s="274" t="n">
        <x:v>2</x:v>
      </x:c>
      <x:c r="J2114" s="274" t="n">
        <x:v>403</x:v>
      </x:c>
      <x:c r="K2114" s="274" t="n">
        <x:v>120</x:v>
      </x:c>
      <x:c r="M2114" s="274" t="s">
        <x:v>4084</x:v>
      </x:c>
      <x:c r="N2114" s="274" t="s">
        <x:v>3671</x:v>
      </x:c>
    </x:row>
    <x:row r="2115" spans="1:14">
      <x:c r="A2115" s="274" t="s">
        <x:v>4085</x:v>
      </x:c>
      <x:c r="B2115" s="274" t="n">
        <x:v>0.58</x:v>
      </x:c>
      <x:c r="C2115" s="274" t="n">
        <x:v>0</x:v>
      </x:c>
      <x:c r="D2115" s="274" t="n">
        <x:v>0</x:v>
      </x:c>
      <x:c r="F2115" s="274" t="s">
        <x:v>123</x:v>
      </x:c>
      <x:c r="G2115" s="274" t="s">
        <x:v>153</x:v>
      </x:c>
      <x:c r="I2115" s="274" t="n">
        <x:v>2</x:v>
      </x:c>
      <x:c r="J2115" s="274" t="n">
        <x:v>423</x:v>
      </x:c>
      <x:c r="K2115" s="274" t="n">
        <x:v>88</x:v>
      </x:c>
      <x:c r="M2115" s="274" t="s">
        <x:v>4086</x:v>
      </x:c>
      <x:c r="N2115" s="274" t="s">
        <x:v>3671</x:v>
      </x:c>
    </x:row>
    <x:row r="2116" spans="1:14">
      <x:c r="A2116" s="274" t="s">
        <x:v>4087</x:v>
      </x:c>
      <x:c r="B2116" s="274" t="n">
        <x:v>6.81</x:v>
      </x:c>
      <x:c r="C2116" s="274" t="n">
        <x:v>0</x:v>
      </x:c>
      <x:c r="D2116" s="274" t="n">
        <x:v>50</x:v>
      </x:c>
      <x:c r="E2116" s="274" t="n">
        <x:v>37</x:v>
      </x:c>
      <x:c r="F2116" s="274" t="s">
        <x:v>1980</x:v>
      </x:c>
      <x:c r="G2116" s="274" t="s">
        <x:v>1985</x:v>
      </x:c>
      <x:c r="I2116" s="274" t="n">
        <x:v>1.2</x:v>
      </x:c>
      <x:c r="J2116" s="274" t="n">
        <x:v>730</x:v>
      </x:c>
      <x:c r="K2116" s="274" t="n">
        <x:v>990</x:v>
      </x:c>
      <x:c r="M2116" s="274" t="s">
        <x:v>4088</x:v>
      </x:c>
    </x:row>
    <x:row r="2117" spans="1:14">
      <x:c r="A2117" s="274" t="s">
        <x:v>4089</x:v>
      </x:c>
      <x:c r="B2117" s="274" t="n">
        <x:v>4.97</x:v>
      </x:c>
      <x:c r="C2117" s="274" t="n">
        <x:v>0</x:v>
      </x:c>
      <x:c r="D2117" s="274" t="n">
        <x:v>45</x:v>
      </x:c>
      <x:c r="E2117" s="274" t="n">
        <x:v>0</x:v>
      </x:c>
      <x:c r="F2117" s="274" t="s">
        <x:v>1980</x:v>
      </x:c>
      <x:c r="G2117" s="274" t="s">
        <x:v>1981</x:v>
      </x:c>
      <x:c r="I2117" s="274" t="n">
        <x:v>1</x:v>
      </x:c>
      <x:c r="J2117" s="274" t="n">
        <x:v>320</x:v>
      </x:c>
      <x:c r="K2117" s="274" t="n">
        <x:v>1980</x:v>
      </x:c>
      <x:c r="M2117" s="274" t="s">
        <x:v>3860</x:v>
      </x:c>
    </x:row>
    <x:row r="2118" spans="1:14">
      <x:c r="A2118" s="274" t="s">
        <x:v>4090</x:v>
      </x:c>
      <x:c r="B2118" s="274" t="n">
        <x:v>6.52</x:v>
      </x:c>
      <x:c r="C2118" s="274" t="n">
        <x:v>0</x:v>
      </x:c>
      <x:c r="D2118" s="274" t="n">
        <x:v>50</x:v>
      </x:c>
      <x:c r="E2118" s="274" t="n">
        <x:v>37</x:v>
      </x:c>
      <x:c r="F2118" s="274" t="s">
        <x:v>1980</x:v>
      </x:c>
      <x:c r="G2118" s="274" t="s">
        <x:v>1981</x:v>
      </x:c>
      <x:c r="I2118" s="274" t="n">
        <x:v>1</x:v>
      </x:c>
      <x:c r="J2118" s="274" t="n">
        <x:v>830</x:v>
      </x:c>
      <x:c r="K2118" s="274" t="n">
        <x:v>1000</x:v>
      </x:c>
      <x:c r="M2118" s="274" t="s">
        <x:v>4091</x:v>
      </x:c>
    </x:row>
    <x:row r="2119" spans="1:14">
      <x:c r="A2119" s="274" t="s">
        <x:v>4092</x:v>
      </x:c>
      <x:c r="B2119" s="274" t="n">
        <x:v>1.16</x:v>
      </x:c>
      <x:c r="C2119" s="274" t="n">
        <x:v>0</x:v>
      </x:c>
      <x:c r="D2119" s="274" t="n">
        <x:v>0</x:v>
      </x:c>
      <x:c r="F2119" s="274" t="s">
        <x:v>128</x:v>
      </x:c>
      <x:c r="G2119" s="274" t="s">
        <x:v>312</x:v>
      </x:c>
      <x:c r="H2119" s="274" t="n">
        <x:v>45</x:v>
      </x:c>
      <x:c r="I2119" s="274" t="n">
        <x:v>1.2</x:v>
      </x:c>
      <x:c r="J2119" s="274" t="n">
        <x:v>360</x:v>
      </x:c>
      <x:c r="K2119" s="274" t="n">
        <x:v>340</x:v>
      </x:c>
      <x:c r="M2119" s="274" t="s">
        <x:v>3935</x:v>
      </x:c>
      <x:c r="N2119" s="274" t="s">
        <x:v>3671</x:v>
      </x:c>
    </x:row>
    <x:row r="2120" spans="1:14">
      <x:c r="A2120" s="274" t="s">
        <x:v>4093</x:v>
      </x:c>
      <x:c r="B2120" s="274" t="n">
        <x:v>18.3</x:v>
      </x:c>
      <x:c r="C2120" s="274" t="n">
        <x:v>0</x:v>
      </x:c>
      <x:c r="D2120" s="274" t="n">
        <x:v>25</x:v>
      </x:c>
      <x:c r="E2120" s="274" t="n">
        <x:v>20</x:v>
      </x:c>
      <x:c r="F2120" s="274" t="s">
        <x:v>123</x:v>
      </x:c>
      <x:c r="G2120" s="274" t="s">
        <x:v>2364</x:v>
      </x:c>
      <x:c r="I2120" s="274" t="n">
        <x:v>0.7</x:v>
      </x:c>
      <x:c r="J2120" s="274" t="n">
        <x:v>1590</x:v>
      </x:c>
      <x:c r="K2120" s="274" t="n">
        <x:v>2095</x:v>
      </x:c>
      <x:c r="M2120" s="274" t="s">
        <x:v>1982</x:v>
      </x:c>
    </x:row>
    <x:row r="2121" spans="1:14">
      <x:c r="A2121" s="274" t="s">
        <x:v>4094</x:v>
      </x:c>
      <x:c r="B2121" s="274" t="n">
        <x:v>0.89</x:v>
      </x:c>
      <x:c r="C2121" s="274" t="n">
        <x:v>0</x:v>
      </x:c>
      <x:c r="D2121" s="274" t="n">
        <x:v>0</x:v>
      </x:c>
      <x:c r="F2121" s="274" t="s">
        <x:v>333</x:v>
      </x:c>
      <x:c r="G2121" s="274" t="s">
        <x:v>153</x:v>
      </x:c>
      <x:c r="I2121" s="274" t="n">
        <x:v>1.4</x:v>
      </x:c>
      <x:c r="J2121" s="274" t="n">
        <x:v>265</x:v>
      </x:c>
      <x:c r="K2121" s="274" t="n">
        <x:v>305</x:v>
      </x:c>
      <x:c r="M2121" s="274" t="s">
        <x:v>4095</x:v>
      </x:c>
      <x:c r="N2121" s="274" t="s">
        <x:v>3671</x:v>
      </x:c>
    </x:row>
    <x:row r="2122" spans="1:14">
      <x:c r="A2122" s="274" t="s">
        <x:v>4096</x:v>
      </x:c>
      <x:c r="B2122" s="274" t="n">
        <x:v>4</x:v>
      </x:c>
      <x:c r="C2122" s="274" t="n">
        <x:v>0</x:v>
      </x:c>
      <x:c r="D2122" s="274" t="n">
        <x:v>0</x:v>
      </x:c>
      <x:c r="F2122" s="274" t="s">
        <x:v>133</x:v>
      </x:c>
      <x:c r="G2122" s="274" t="s">
        <x:v>134</x:v>
      </x:c>
      <x:c r="I2122" s="274" t="n">
        <x:v>6</x:v>
      </x:c>
      <x:c r="J2122" s="274" t="n">
        <x:v>68</x:v>
      </x:c>
      <x:c r="K2122" s="274" t="n">
        <x:v>1250</x:v>
      </x:c>
      <x:c r="M2122" s="274" t="s">
        <x:v>4097</x:v>
      </x:c>
      <x:c r="N2122" s="274" t="s">
        <x:v>3671</x:v>
      </x:c>
    </x:row>
    <x:row r="2123" spans="1:14">
      <x:c r="A2123" s="274" t="s">
        <x:v>4098</x:v>
      </x:c>
      <x:c r="B2123" s="274" t="n">
        <x:v>10.6</x:v>
      </x:c>
      <x:c r="C2123" s="274" t="n">
        <x:v>0</x:v>
      </x:c>
      <x:c r="D2123" s="274" t="n">
        <x:v>0</x:v>
      </x:c>
      <x:c r="F2123" s="274" t="s">
        <x:v>133</x:v>
      </x:c>
      <x:c r="G2123" s="274" t="s">
        <x:v>1636</x:v>
      </x:c>
      <x:c r="I2123" s="274" t="n">
        <x:v>9</x:v>
      </x:c>
      <x:c r="J2123" s="274" t="n">
        <x:v>120</x:v>
      </x:c>
      <x:c r="K2123" s="274" t="n">
        <x:v>1250</x:v>
      </x:c>
      <x:c r="M2123" s="274" t="s">
        <x:v>4099</x:v>
      </x:c>
      <x:c r="N2123" s="274" t="s">
        <x:v>3671</x:v>
      </x:c>
    </x:row>
    <x:row r="2124" spans="1:14">
      <x:c r="A2124" s="274" t="s">
        <x:v>4100</x:v>
      </x:c>
      <x:c r="B2124" s="274" t="n">
        <x:v>2.75</x:v>
      </x:c>
      <x:c r="C2124" s="274" t="n">
        <x:v>0</x:v>
      </x:c>
      <x:c r="D2124" s="274" t="n">
        <x:v>0</x:v>
      </x:c>
      <x:c r="F2124" s="274" t="s">
        <x:v>333</x:v>
      </x:c>
      <x:c r="G2124" s="274" t="s">
        <x:v>2160</x:v>
      </x:c>
      <x:c r="I2124" s="274" t="n">
        <x:v>1</x:v>
      </x:c>
      <x:c r="J2124" s="274" t="n">
        <x:v>280</x:v>
      </x:c>
      <x:c r="K2124" s="274" t="n">
        <x:v>1250</x:v>
      </x:c>
      <x:c r="M2124" s="274" t="s">
        <x:v>4017</x:v>
      </x:c>
      <x:c r="N2124" s="274" t="s">
        <x:v>3984</x:v>
      </x:c>
    </x:row>
    <x:row r="2125" spans="1:14">
      <x:c r="A2125" s="274" t="s">
        <x:v>4101</x:v>
      </x:c>
      <x:c r="B2125" s="274" t="n">
        <x:v>4.25</x:v>
      </x:c>
      <x:c r="C2125" s="274" t="n">
        <x:v>0</x:v>
      </x:c>
      <x:c r="D2125" s="274" t="n">
        <x:v>0</x:v>
      </x:c>
      <x:c r="F2125" s="274" t="s">
        <x:v>333</x:v>
      </x:c>
      <x:c r="G2125" s="274" t="s">
        <x:v>2160</x:v>
      </x:c>
      <x:c r="I2125" s="274" t="n">
        <x:v>1</x:v>
      </x:c>
      <x:c r="J2125" s="274" t="n">
        <x:v>433</x:v>
      </x:c>
      <x:c r="K2125" s="274" t="n">
        <x:v>1250</x:v>
      </x:c>
      <x:c r="M2125" s="274" t="s">
        <x:v>4021</x:v>
      </x:c>
      <x:c r="N2125" s="274" t="s">
        <x:v>3984</x:v>
      </x:c>
    </x:row>
    <x:row r="2126" spans="1:14">
      <x:c r="A2126" s="274" t="s">
        <x:v>4102</x:v>
      </x:c>
      <x:c r="B2126" s="274" t="n">
        <x:v>2.83</x:v>
      </x:c>
      <x:c r="C2126" s="274" t="n">
        <x:v>0</x:v>
      </x:c>
      <x:c r="D2126" s="274" t="n">
        <x:v>0</x:v>
      </x:c>
      <x:c r="F2126" s="274" t="s">
        <x:v>333</x:v>
      </x:c>
      <x:c r="G2126" s="274" t="s">
        <x:v>2160</x:v>
      </x:c>
      <x:c r="I2126" s="274" t="n">
        <x:v>1</x:v>
      </x:c>
      <x:c r="J2126" s="274" t="n">
        <x:v>288</x:v>
      </x:c>
      <x:c r="K2126" s="274" t="n">
        <x:v>1250</x:v>
      </x:c>
      <x:c r="M2126" s="274" t="s">
        <x:v>4025</x:v>
      </x:c>
      <x:c r="N2126" s="274" t="s">
        <x:v>3984</x:v>
      </x:c>
    </x:row>
    <x:row r="2127" spans="1:14">
      <x:c r="A2127" s="274" t="s">
        <x:v>4103</x:v>
      </x:c>
      <x:c r="B2127" s="274" t="n">
        <x:v>1.23</x:v>
      </x:c>
      <x:c r="C2127" s="274" t="n">
        <x:v>0</x:v>
      </x:c>
      <x:c r="D2127" s="274" t="n">
        <x:v>0</x:v>
      </x:c>
      <x:c r="F2127" s="274" t="s">
        <x:v>333</x:v>
      </x:c>
      <x:c r="G2127" s="274" t="s">
        <x:v>124</x:v>
      </x:c>
      <x:c r="I2127" s="274" t="n">
        <x:v>1.8</x:v>
      </x:c>
      <x:c r="J2127" s="274" t="n">
        <x:v>80</x:v>
      </x:c>
      <x:c r="K2127" s="274" t="n">
        <x:v>1088</x:v>
      </x:c>
      <x:c r="M2127" s="274" t="s">
        <x:v>1375</x:v>
      </x:c>
      <x:c r="N2127" s="274" t="s">
        <x:v>2802</x:v>
      </x:c>
    </x:row>
    <x:row r="2128" spans="1:14">
      <x:c r="A2128" s="274" t="s">
        <x:v>4104</x:v>
      </x:c>
      <x:c r="B2128" s="274" t="n">
        <x:v>0.42</x:v>
      </x:c>
      <x:c r="C2128" s="274" t="n">
        <x:v>30</x:v>
      </x:c>
      <x:c r="D2128" s="274" t="n">
        <x:v>35</x:v>
      </x:c>
      <x:c r="E2128" s="274" t="n">
        <x:v>33</x:v>
      </x:c>
      <x:c r="F2128" s="274" t="s">
        <x:v>333</x:v>
      </x:c>
      <x:c r="G2128" s="274" t="s">
        <x:v>209</x:v>
      </x:c>
      <x:c r="I2128" s="274" t="n">
        <x:v>1.2</x:v>
      </x:c>
      <x:c r="J2128" s="274" t="n">
        <x:v>155</x:v>
      </x:c>
      <x:c r="K2128" s="274" t="n">
        <x:v>291</x:v>
      </x:c>
      <x:c r="M2128" s="274" t="s">
        <x:v>735</x:v>
      </x:c>
      <x:c r="N2128" s="274" t="s">
        <x:v>155</x:v>
      </x:c>
    </x:row>
    <x:row r="2129" spans="1:14">
      <x:c r="A2129" s="274" t="s">
        <x:v>4105</x:v>
      </x:c>
      <x:c r="B2129" s="274" t="n">
        <x:v>0.34</x:v>
      </x:c>
      <x:c r="C2129" s="274" t="n">
        <x:v>30</x:v>
      </x:c>
      <x:c r="D2129" s="274" t="n">
        <x:v>35</x:v>
      </x:c>
      <x:c r="E2129" s="274" t="n">
        <x:v>33</x:v>
      </x:c>
      <x:c r="F2129" s="274" t="s">
        <x:v>333</x:v>
      </x:c>
      <x:c r="G2129" s="274" t="s">
        <x:v>124</x:v>
      </x:c>
      <x:c r="I2129" s="274" t="n">
        <x:v>1</x:v>
      </x:c>
      <x:c r="J2129" s="274" t="n">
        <x:v>262</x:v>
      </x:c>
      <x:c r="K2129" s="274" t="n">
        <x:v>165</x:v>
      </x:c>
      <x:c r="M2129" s="274" t="s">
        <x:v>2359</x:v>
      </x:c>
      <x:c r="N2129" s="274" t="s">
        <x:v>155</x:v>
      </x:c>
    </x:row>
    <x:row r="2130" spans="1:14">
      <x:c r="A2130" s="274" t="s">
        <x:v>4106</x:v>
      </x:c>
      <x:c r="B2130" s="274" t="n">
        <x:v>6.89</x:v>
      </x:c>
      <x:c r="C2130" s="274" t="n">
        <x:v>0</x:v>
      </x:c>
      <x:c r="D2130" s="274" t="n">
        <x:v>0</x:v>
      </x:c>
      <x:c r="F2130" s="274" t="s">
        <x:v>133</x:v>
      </x:c>
      <x:c r="G2130" s="274" t="s">
        <x:v>148</x:v>
      </x:c>
      <x:c r="I2130" s="274" t="n">
        <x:v>3.8</x:v>
      </x:c>
      <x:c r="J2130" s="274" t="n">
        <x:v>209</x:v>
      </x:c>
      <x:c r="K2130" s="274" t="n">
        <x:v>1105</x:v>
      </x:c>
      <x:c r="M2130" s="274" t="s">
        <x:v>4107</x:v>
      </x:c>
      <x:c r="N2130" s="274" t="s">
        <x:v>3671</x:v>
      </x:c>
    </x:row>
    <x:row r="2131" spans="1:14">
      <x:c r="A2131" s="274" t="s">
        <x:v>4108</x:v>
      </x:c>
      <x:c r="B2131" s="274" t="n">
        <x:v>0.43</x:v>
      </x:c>
      <x:c r="C2131" s="274" t="n">
        <x:v>0</x:v>
      </x:c>
      <x:c r="D2131" s="274" t="n">
        <x:v>36</x:v>
      </x:c>
      <x:c r="E2131" s="274" t="n">
        <x:v>33</x:v>
      </x:c>
      <x:c r="F2131" s="274" t="s">
        <x:v>333</x:v>
      </x:c>
      <x:c r="G2131" s="274" t="s">
        <x:v>153</x:v>
      </x:c>
      <x:c r="I2131" s="274" t="n">
        <x:v>0.7</x:v>
      </x:c>
      <x:c r="J2131" s="274" t="n">
        <x:v>488</x:v>
      </x:c>
      <x:c r="K2131" s="274" t="n">
        <x:v>162</x:v>
      </x:c>
      <x:c r="M2131" s="274" t="s">
        <x:v>774</x:v>
      </x:c>
      <x:c r="N2131" s="274" t="s">
        <x:v>155</x:v>
      </x:c>
    </x:row>
    <x:row r="2132" spans="1:14">
      <x:c r="A2132" s="274" t="s">
        <x:v>4109</x:v>
      </x:c>
      <x:c r="B2132" s="274" t="n">
        <x:v>3.85</x:v>
      </x:c>
      <x:c r="C2132" s="274" t="n">
        <x:v>0</x:v>
      </x:c>
      <x:c r="D2132" s="274" t="n">
        <x:v>21</x:v>
      </x:c>
      <x:c r="E2132" s="274" t="n">
        <x:v>19</x:v>
      </x:c>
      <x:c r="F2132" s="274" t="s">
        <x:v>133</x:v>
      </x:c>
      <x:c r="G2132" s="274" t="s">
        <x:v>134</x:v>
      </x:c>
      <x:c r="I2132" s="274" t="n">
        <x:v>2.3</x:v>
      </x:c>
      <x:c r="J2132" s="274" t="n">
        <x:v>183</x:v>
      </x:c>
      <x:c r="K2132" s="274" t="n">
        <x:v>1164</x:v>
      </x:c>
      <x:c r="M2132" s="274" t="s">
        <x:v>1662</x:v>
      </x:c>
      <x:c r="N2132" s="274" t="s">
        <x:v>131</x:v>
      </x:c>
    </x:row>
    <x:row r="2133" spans="1:14">
      <x:c r="A2133" s="274" t="s">
        <x:v>4110</x:v>
      </x:c>
      <x:c r="B2133" s="274" t="n">
        <x:v>1.28</x:v>
      </x:c>
      <x:c r="C2133" s="274" t="n">
        <x:v>0</x:v>
      </x:c>
      <x:c r="D2133" s="274" t="n">
        <x:v>0</x:v>
      </x:c>
      <x:c r="F2133" s="274" t="s">
        <x:v>133</x:v>
      </x:c>
      <x:c r="G2133" s="274" t="s">
        <x:v>136</x:v>
      </x:c>
      <x:c r="H2133" s="274" t="n">
        <x:v>45</x:v>
      </x:c>
      <x:c r="I2133" s="274" t="n">
        <x:v>1.6</x:v>
      </x:c>
      <x:c r="J2133" s="274" t="n">
        <x:v>84</x:v>
      </x:c>
      <x:c r="K2133" s="274" t="n">
        <x:v>1205</x:v>
      </x:c>
      <x:c r="M2133" s="274" t="s">
        <x:v>2631</x:v>
      </x:c>
      <x:c r="N2133" s="274" t="s">
        <x:v>155</x:v>
      </x:c>
    </x:row>
    <x:row r="2134" spans="1:14">
      <x:c r="A2134" s="274" t="s">
        <x:v>4111</x:v>
      </x:c>
      <x:c r="B2134" s="274" t="n">
        <x:v>2.64</x:v>
      </x:c>
      <x:c r="C2134" s="274" t="n">
        <x:v>0</x:v>
      </x:c>
      <x:c r="D2134" s="274" t="n">
        <x:v>0</x:v>
      </x:c>
      <x:c r="F2134" s="274" t="s">
        <x:v>133</x:v>
      </x:c>
      <x:c r="G2134" s="274" t="s">
        <x:v>3304</x:v>
      </x:c>
      <x:c r="I2134" s="274" t="n">
        <x:v>1</x:v>
      </x:c>
      <x:c r="J2134" s="274" t="n">
        <x:v>641</x:v>
      </x:c>
      <x:c r="K2134" s="274" t="n">
        <x:v>650</x:v>
      </x:c>
      <x:c r="L2134" s="274" t="n">
        <x:v>400</x:v>
      </x:c>
      <x:c r="M2134" s="274" t="s">
        <x:v>4112</x:v>
      </x:c>
      <x:c r="N2134" s="274" t="s">
        <x:v>4113</x:v>
      </x:c>
    </x:row>
    <x:row r="2135" spans="1:14">
      <x:c r="A2135" s="274" t="s">
        <x:v>4114</x:v>
      </x:c>
      <x:c r="B2135" s="274" t="n">
        <x:v>2.32</x:v>
      </x:c>
      <x:c r="C2135" s="274" t="n">
        <x:v>0</x:v>
      </x:c>
      <x:c r="D2135" s="274" t="n">
        <x:v>60</x:v>
      </x:c>
      <x:c r="E2135" s="274" t="n">
        <x:v>0</x:v>
      </x:c>
      <x:c r="F2135" s="274" t="s">
        <x:v>311</x:v>
      </x:c>
      <x:c r="G2135" s="274" t="s">
        <x:v>828</x:v>
      </x:c>
      <x:c r="H2135" s="274" t="s">
        <x:v>829</x:v>
      </x:c>
      <x:c r="I2135" s="274" t="n">
        <x:v>0.8</x:v>
      </x:c>
      <x:c r="J2135" s="274" t="n">
        <x:v>575</x:v>
      </x:c>
      <x:c r="K2135" s="274" t="n">
        <x:v>640</x:v>
      </x:c>
      <x:c r="M2135" s="274" t="s">
        <x:v>830</x:v>
      </x:c>
    </x:row>
    <x:row r="2136" spans="1:14">
      <x:c r="A2136" s="274" t="s">
        <x:v>4115</x:v>
      </x:c>
      <x:c r="B2136" s="274" t="n">
        <x:v>0.35</x:v>
      </x:c>
      <x:c r="C2136" s="274" t="n">
        <x:v>0</x:v>
      </x:c>
      <x:c r="D2136" s="274" t="n">
        <x:v>0</x:v>
      </x:c>
      <x:c r="F2136" s="274" t="s">
        <x:v>333</x:v>
      </x:c>
      <x:c r="G2136" s="274" t="s">
        <x:v>153</x:v>
      </x:c>
      <x:c r="I2136" s="274" t="n">
        <x:v>0.8</x:v>
      </x:c>
      <x:c r="J2136" s="274" t="n">
        <x:v>83</x:v>
      </x:c>
      <x:c r="K2136" s="274" t="n">
        <x:v>675</x:v>
      </x:c>
      <x:c r="M2136" s="274" t="s">
        <x:v>4116</x:v>
      </x:c>
      <x:c r="N2136" s="274" t="s">
        <x:v>3181</x:v>
      </x:c>
    </x:row>
    <x:row r="2137" spans="1:14">
      <x:c r="A2137" s="274" t="s">
        <x:v>4117</x:v>
      </x:c>
      <x:c r="B2137" s="274" t="n">
        <x:v>0.56</x:v>
      </x:c>
      <x:c r="C2137" s="274" t="n">
        <x:v>25</x:v>
      </x:c>
      <x:c r="D2137" s="274" t="n">
        <x:v>30</x:v>
      </x:c>
      <x:c r="E2137" s="274" t="n">
        <x:v>28</x:v>
      </x:c>
      <x:c r="F2137" s="274" t="s">
        <x:v>133</x:v>
      </x:c>
      <x:c r="G2137" s="274" t="s">
        <x:v>136</x:v>
      </x:c>
      <x:c r="H2137" s="274" t="n">
        <x:v>45</x:v>
      </x:c>
      <x:c r="I2137" s="274" t="n">
        <x:v>1</x:v>
      </x:c>
      <x:c r="J2137" s="274" t="n">
        <x:v>141</x:v>
      </x:c>
      <x:c r="K2137" s="274" t="n">
        <x:v>500</x:v>
      </x:c>
      <x:c r="M2137" s="274" t="s">
        <x:v>3219</x:v>
      </x:c>
      <x:c r="N2137" s="274" t="s">
        <x:v>155</x:v>
      </x:c>
    </x:row>
    <x:row r="2138" spans="1:14">
      <x:c r="A2138" s="274" t="s">
        <x:v>4118</x:v>
      </x:c>
      <x:c r="B2138" s="274" t="n">
        <x:v>0.16</x:v>
      </x:c>
      <x:c r="C2138" s="274" t="n">
        <x:v>30</x:v>
      </x:c>
      <x:c r="D2138" s="274" t="n">
        <x:v>33</x:v>
      </x:c>
      <x:c r="E2138" s="274" t="n">
        <x:v>30</x:v>
      </x:c>
      <x:c r="F2138" s="274" t="s">
        <x:v>133</x:v>
      </x:c>
      <x:c r="G2138" s="274" t="s">
        <x:v>136</x:v>
      </x:c>
      <x:c r="H2138" s="274" t="n">
        <x:v>45</x:v>
      </x:c>
      <x:c r="I2138" s="274" t="n">
        <x:v>1</x:v>
      </x:c>
      <x:c r="J2138" s="274" t="n">
        <x:v>200</x:v>
      </x:c>
      <x:c r="K2138" s="274" t="n">
        <x:v>101</x:v>
      </x:c>
      <x:c r="M2138" s="274" t="s">
        <x:v>1660</x:v>
      </x:c>
      <x:c r="N2138" s="274" t="s">
        <x:v>299</x:v>
      </x:c>
    </x:row>
    <x:row r="2139" spans="1:14">
      <x:c r="A2139" s="274" t="s">
        <x:v>4119</x:v>
      </x:c>
      <x:c r="B2139" s="274" t="n">
        <x:v>0.89</x:v>
      </x:c>
      <x:c r="C2139" s="274" t="n">
        <x:v>0</x:v>
      </x:c>
      <x:c r="D2139" s="274" t="n">
        <x:v>0</x:v>
      </x:c>
      <x:c r="F2139" s="274" t="s">
        <x:v>333</x:v>
      </x:c>
      <x:c r="G2139" s="274" t="s">
        <x:v>209</x:v>
      </x:c>
      <x:c r="I2139" s="274" t="n">
        <x:v>0.6</x:v>
      </x:c>
      <x:c r="J2139" s="274" t="n">
        <x:v>188</x:v>
      </x:c>
      <x:c r="K2139" s="274" t="n">
        <x:v>1000</x:v>
      </x:c>
      <x:c r="M2139" s="274" t="s">
        <x:v>4120</x:v>
      </x:c>
      <x:c r="N2139" s="274" t="s">
        <x:v>1557</x:v>
      </x:c>
    </x:row>
    <x:row r="2140" spans="1:14">
      <x:c r="A2140" s="274" t="s">
        <x:v>4121</x:v>
      </x:c>
      <x:c r="B2140" s="274" t="n">
        <x:v>5.83</x:v>
      </x:c>
      <x:c r="C2140" s="274" t="n">
        <x:v>0</x:v>
      </x:c>
      <x:c r="D2140" s="274" t="n">
        <x:v>0</x:v>
      </x:c>
      <x:c r="F2140" s="274" t="s">
        <x:v>133</x:v>
      </x:c>
      <x:c r="G2140" s="274" t="s">
        <x:v>136</x:v>
      </x:c>
      <x:c r="H2140" s="274" t="n">
        <x:v>45</x:v>
      </x:c>
      <x:c r="I2140" s="274" t="n">
        <x:v>1.6</x:v>
      </x:c>
      <x:c r="J2140" s="274" t="n">
        <x:v>800</x:v>
      </x:c>
      <x:c r="K2140" s="274" t="n">
        <x:v>576</x:v>
      </x:c>
      <x:c r="M2140" s="274" t="s">
        <x:v>1024</x:v>
      </x:c>
      <x:c r="N2140" s="274" t="s">
        <x:v>847</x:v>
      </x:c>
    </x:row>
    <x:row r="2141" spans="1:14">
      <x:c r="A2141" s="274" t="s">
        <x:v>4122</x:v>
      </x:c>
      <x:c r="B2141" s="274" t="n">
        <x:v>1.75</x:v>
      </x:c>
      <x:c r="C2141" s="274" t="n">
        <x:v>0</x:v>
      </x:c>
      <x:c r="D2141" s="274" t="n">
        <x:v>0</x:v>
      </x:c>
      <x:c r="F2141" s="274" t="s">
        <x:v>133</x:v>
      </x:c>
      <x:c r="G2141" s="274" t="s">
        <x:v>148</x:v>
      </x:c>
      <x:c r="I2141" s="274" t="n">
        <x:v>2</x:v>
      </x:c>
      <x:c r="J2141" s="274" t="n">
        <x:v>93</x:v>
      </x:c>
      <x:c r="K2141" s="274" t="n">
        <x:v>1200</x:v>
      </x:c>
      <x:c r="M2141" s="274" t="s">
        <x:v>4123</x:v>
      </x:c>
      <x:c r="N2141" s="274" t="s">
        <x:v>847</x:v>
      </x:c>
    </x:row>
    <x:row r="2142" spans="1:14">
      <x:c r="A2142" s="274" t="s">
        <x:v>4124</x:v>
      </x:c>
      <x:c r="B2142" s="274" t="n">
        <x:v>17.97</x:v>
      </x:c>
      <x:c r="C2142" s="274" t="n">
        <x:v>0</x:v>
      </x:c>
      <x:c r="D2142" s="274" t="n">
        <x:v>0</x:v>
      </x:c>
      <x:c r="F2142" s="274" t="s">
        <x:v>123</x:v>
      </x:c>
      <x:c r="G2142" s="274" t="s">
        <x:v>139</x:v>
      </x:c>
      <x:c r="I2142" s="274" t="n">
        <x:v>4</x:v>
      </x:c>
      <x:c r="J2142" s="274" t="n">
        <x:v>622</x:v>
      </x:c>
      <x:c r="K2142" s="274" t="n">
        <x:v>920</x:v>
      </x:c>
      <x:c r="M2142" s="274" t="s">
        <x:v>4125</x:v>
      </x:c>
      <x:c r="N2142" s="274" t="s">
        <x:v>3671</x:v>
      </x:c>
    </x:row>
    <x:row r="2143" spans="1:14">
      <x:c r="A2143" s="274" t="s">
        <x:v>4126</x:v>
      </x:c>
      <x:c r="B2143" s="274" t="n">
        <x:v>15.15</x:v>
      </x:c>
      <x:c r="C2143" s="274" t="n">
        <x:v>0</x:v>
      </x:c>
      <x:c r="D2143" s="274" t="n">
        <x:v>0</x:v>
      </x:c>
      <x:c r="F2143" s="274" t="s">
        <x:v>133</x:v>
      </x:c>
      <x:c r="G2143" s="274" t="s">
        <x:v>148</x:v>
      </x:c>
      <x:c r="I2143" s="274" t="n">
        <x:v>6</x:v>
      </x:c>
      <x:c r="J2143" s="274" t="n">
        <x:v>590</x:v>
      </x:c>
      <x:c r="K2143" s="274" t="n">
        <x:v>545</x:v>
      </x:c>
      <x:c r="M2143" s="274" t="s">
        <x:v>4127</x:v>
      </x:c>
      <x:c r="N2143" s="274" t="s">
        <x:v>3671</x:v>
      </x:c>
    </x:row>
    <x:row r="2144" spans="1:14">
      <x:c r="A2144" s="274" t="s">
        <x:v>4128</x:v>
      </x:c>
      <x:c r="B2144" s="274" t="n">
        <x:v>18.19</x:v>
      </x:c>
      <x:c r="C2144" s="274" t="n">
        <x:v>0</x:v>
      </x:c>
      <x:c r="D2144" s="274" t="n">
        <x:v>0</x:v>
      </x:c>
      <x:c r="F2144" s="274" t="s">
        <x:v>133</x:v>
      </x:c>
      <x:c r="G2144" s="274" t="s">
        <x:v>144</x:v>
      </x:c>
      <x:c r="H2144" s="274" t="n">
        <x:v>45</x:v>
      </x:c>
      <x:c r="I2144" s="274" t="n">
        <x:v>2</x:v>
      </x:c>
      <x:c r="J2144" s="274" t="n">
        <x:v>630</x:v>
      </x:c>
      <x:c r="K2144" s="274" t="n">
        <x:v>1829</x:v>
      </x:c>
      <x:c r="M2144" s="274" t="s">
        <x:v>4129</x:v>
      </x:c>
      <x:c r="N2144" s="274" t="s">
        <x:v>3671</x:v>
      </x:c>
    </x:row>
    <x:row r="2145" spans="1:14">
      <x:c r="A2145" s="274" t="s">
        <x:v>4130</x:v>
      </x:c>
      <x:c r="B2145" s="274" t="n">
        <x:v>21.66</x:v>
      </x:c>
      <x:c r="C2145" s="274" t="n">
        <x:v>0</x:v>
      </x:c>
      <x:c r="D2145" s="274" t="n">
        <x:v>30</x:v>
      </x:c>
      <x:c r="E2145" s="274" t="n">
        <x:v>25</x:v>
      </x:c>
      <x:c r="F2145" s="274" t="s">
        <x:v>1980</x:v>
      </x:c>
      <x:c r="G2145" s="274" t="s">
        <x:v>1985</x:v>
      </x:c>
      <x:c r="I2145" s="274" t="n">
        <x:v>1</x:v>
      </x:c>
      <x:c r="J2145" s="274" t="n">
        <x:v>1550</x:v>
      </x:c>
      <x:c r="K2145" s="274" t="n">
        <x:v>1780</x:v>
      </x:c>
      <x:c r="M2145" s="274" t="s">
        <x:v>4060</x:v>
      </x:c>
    </x:row>
    <x:row r="2146" spans="1:14">
      <x:c r="A2146" s="274" t="s">
        <x:v>4131</x:v>
      </x:c>
      <x:c r="B2146" s="274" t="n">
        <x:v>6.32</x:v>
      </x:c>
      <x:c r="C2146" s="274" t="n">
        <x:v>0</x:v>
      </x:c>
      <x:c r="D2146" s="274" t="n">
        <x:v>38</x:v>
      </x:c>
      <x:c r="E2146" s="274" t="n">
        <x:v>0</x:v>
      </x:c>
      <x:c r="F2146" s="274" t="s">
        <x:v>1980</x:v>
      </x:c>
      <x:c r="G2146" s="274" t="s">
        <x:v>1985</x:v>
      </x:c>
      <x:c r="I2146" s="274" t="n">
        <x:v>1</x:v>
      </x:c>
      <x:c r="J2146" s="274" t="n">
        <x:v>1610</x:v>
      </x:c>
      <x:c r="K2146" s="274" t="n">
        <x:v>500</x:v>
      </x:c>
      <x:c r="M2146" s="274" t="s">
        <x:v>4132</x:v>
      </x:c>
    </x:row>
    <x:row r="2147" spans="1:14">
      <x:c r="A2147" s="274" t="s">
        <x:v>4133</x:v>
      </x:c>
      <x:c r="B2147" s="274" t="n">
        <x:v>6.77</x:v>
      </x:c>
      <x:c r="C2147" s="274" t="n">
        <x:v>0</x:v>
      </x:c>
      <x:c r="D2147" s="274" t="n">
        <x:v>0</x:v>
      </x:c>
      <x:c r="F2147" s="274" t="s">
        <x:v>133</x:v>
      </x:c>
      <x:c r="G2147" s="274" t="s">
        <x:v>134</x:v>
      </x:c>
      <x:c r="I2147" s="274" t="n">
        <x:v>6</x:v>
      </x:c>
      <x:c r="J2147" s="274" t="n">
        <x:v>115</x:v>
      </x:c>
      <x:c r="K2147" s="274" t="n">
        <x:v>1250</x:v>
      </x:c>
      <x:c r="M2147" s="274" t="s">
        <x:v>4097</x:v>
      </x:c>
      <x:c r="N2147" s="274" t="s">
        <x:v>3671</x:v>
      </x:c>
    </x:row>
    <x:row r="2148" spans="1:14">
      <x:c r="A2148" s="274" t="s">
        <x:v>4134</x:v>
      </x:c>
      <x:c r="B2148" s="274" t="n">
        <x:v>1.13</x:v>
      </x:c>
      <x:c r="C2148" s="274" t="n">
        <x:v>0</x:v>
      </x:c>
      <x:c r="D2148" s="274" t="n">
        <x:v>0</x:v>
      </x:c>
      <x:c r="F2148" s="274" t="s">
        <x:v>333</x:v>
      </x:c>
      <x:c r="G2148" s="274" t="s">
        <x:v>124</x:v>
      </x:c>
      <x:c r="I2148" s="274" t="n">
        <x:v>1.6</x:v>
      </x:c>
      <x:c r="J2148" s="274" t="n">
        <x:v>74</x:v>
      </x:c>
      <x:c r="K2148" s="274" t="n">
        <x:v>1220</x:v>
      </x:c>
      <x:c r="M2148" s="274" t="s">
        <x:v>4135</x:v>
      </x:c>
      <x:c r="N2148" s="274" t="s">
        <x:v>4082</x:v>
      </x:c>
    </x:row>
    <x:row r="2149" spans="1:14">
      <x:c r="A2149" s="274" t="s">
        <x:v>4136</x:v>
      </x:c>
      <x:c r="B2149" s="274" t="n">
        <x:v>0.91</x:v>
      </x:c>
      <x:c r="C2149" s="274" t="n">
        <x:v>0</x:v>
      </x:c>
      <x:c r="D2149" s="274" t="n">
        <x:v>0</x:v>
      </x:c>
      <x:c r="F2149" s="274" t="s">
        <x:v>333</x:v>
      </x:c>
      <x:c r="G2149" s="274" t="s">
        <x:v>153</x:v>
      </x:c>
      <x:c r="I2149" s="274" t="n">
        <x:v>1</x:v>
      </x:c>
      <x:c r="J2149" s="274" t="n">
        <x:v>93</x:v>
      </x:c>
      <x:c r="K2149" s="274" t="n">
        <x:v>1250</x:v>
      </x:c>
      <x:c r="M2149" s="274" t="s">
        <x:v>4137</x:v>
      </x:c>
      <x:c r="N2149" s="274" t="s">
        <x:v>4082</x:v>
      </x:c>
    </x:row>
    <x:row r="2150" spans="1:14">
      <x:c r="A2150" s="274" t="s">
        <x:v>4138</x:v>
      </x:c>
      <x:c r="B2150" s="274" t="n">
        <x:v>1.78</x:v>
      </x:c>
      <x:c r="C2150" s="274" t="n">
        <x:v>0</x:v>
      </x:c>
      <x:c r="D2150" s="274" t="n">
        <x:v>0</x:v>
      </x:c>
      <x:c r="F2150" s="274" t="s">
        <x:v>133</x:v>
      </x:c>
      <x:c r="G2150" s="274" t="s">
        <x:v>144</x:v>
      </x:c>
      <x:c r="H2150" s="274" t="n">
        <x:v>45</x:v>
      </x:c>
      <x:c r="I2150" s="274" t="n">
        <x:v>1.2</x:v>
      </x:c>
      <x:c r="J2150" s="274" t="n">
        <x:v>150</x:v>
      </x:c>
      <x:c r="K2150" s="274" t="n">
        <x:v>1250</x:v>
      </x:c>
      <x:c r="M2150" s="274" t="s">
        <x:v>4139</x:v>
      </x:c>
      <x:c r="N2150" s="274" t="s">
        <x:v>299</x:v>
      </x:c>
    </x:row>
    <x:row r="2151" spans="1:14">
      <x:c r="A2151" s="274" t="s">
        <x:v>4140</x:v>
      </x:c>
      <x:c r="B2151" s="274" t="n">
        <x:v>2.06</x:v>
      </x:c>
      <x:c r="C2151" s="274" t="n">
        <x:v>0</x:v>
      </x:c>
      <x:c r="D2151" s="274" t="n">
        <x:v>0</x:v>
      </x:c>
      <x:c r="F2151" s="274" t="s">
        <x:v>333</x:v>
      </x:c>
      <x:c r="G2151" s="274" t="s">
        <x:v>124</x:v>
      </x:c>
      <x:c r="I2151" s="274" t="n">
        <x:v>1.4</x:v>
      </x:c>
      <x:c r="J2151" s="274" t="n">
        <x:v>150</x:v>
      </x:c>
      <x:c r="K2151" s="274" t="n">
        <x:v>1250</x:v>
      </x:c>
      <x:c r="M2151" s="274" t="s">
        <x:v>4141</x:v>
      </x:c>
      <x:c r="N2151" s="274" t="s">
        <x:v>299</x:v>
      </x:c>
    </x:row>
    <x:row r="2152" spans="1:14">
      <x:c r="A2152" s="274" t="s">
        <x:v>4142</x:v>
      </x:c>
      <x:c r="B2152" s="274" t="n">
        <x:v>1.65</x:v>
      </x:c>
      <x:c r="C2152" s="274" t="n">
        <x:v>0</x:v>
      </x:c>
      <x:c r="D2152" s="274" t="n">
        <x:v>0</x:v>
      </x:c>
      <x:c r="F2152" s="274" t="s">
        <x:v>333</x:v>
      </x:c>
      <x:c r="G2152" s="274" t="s">
        <x:v>209</x:v>
      </x:c>
      <x:c r="I2152" s="274" t="n">
        <x:v>1.2</x:v>
      </x:c>
      <x:c r="J2152" s="274" t="n">
        <x:v>140</x:v>
      </x:c>
      <x:c r="K2152" s="274" t="n">
        <x:v>1250</x:v>
      </x:c>
      <x:c r="M2152" s="274" t="s">
        <x:v>3963</x:v>
      </x:c>
      <x:c r="N2152" s="274" t="s">
        <x:v>299</x:v>
      </x:c>
    </x:row>
    <x:row r="2153" spans="1:14">
      <x:c r="A2153" s="274" t="s">
        <x:v>4143</x:v>
      </x:c>
      <x:c r="B2153" s="274" t="n">
        <x:v>1.65</x:v>
      </x:c>
      <x:c r="C2153" s="274" t="n">
        <x:v>0</x:v>
      </x:c>
      <x:c r="D2153" s="274" t="n">
        <x:v>0</x:v>
      </x:c>
      <x:c r="F2153" s="274" t="s">
        <x:v>333</x:v>
      </x:c>
      <x:c r="G2153" s="274" t="s">
        <x:v>124</x:v>
      </x:c>
      <x:c r="I2153" s="274" t="n">
        <x:v>1.6</x:v>
      </x:c>
      <x:c r="J2153" s="274" t="n">
        <x:v>105</x:v>
      </x:c>
      <x:c r="K2153" s="274" t="n">
        <x:v>1250</x:v>
      </x:c>
      <x:c r="M2153" s="274" t="s">
        <x:v>4144</x:v>
      </x:c>
      <x:c r="N2153" s="274" t="s">
        <x:v>299</x:v>
      </x:c>
    </x:row>
    <x:row r="2154" spans="1:14">
      <x:c r="A2154" s="274" t="s">
        <x:v>4145</x:v>
      </x:c>
      <x:c r="B2154" s="274" t="n">
        <x:v>0.21</x:v>
      </x:c>
      <x:c r="C2154" s="274" t="n">
        <x:v>0</x:v>
      </x:c>
      <x:c r="D2154" s="274" t="n">
        <x:v>0</x:v>
      </x:c>
      <x:c r="F2154" s="274" t="s">
        <x:v>333</x:v>
      </x:c>
      <x:c r="G2154" s="274" t="s">
        <x:v>153</x:v>
      </x:c>
      <x:c r="I2154" s="274" t="n">
        <x:v>0.7</x:v>
      </x:c>
      <x:c r="J2154" s="274" t="n">
        <x:v>210</x:v>
      </x:c>
      <x:c r="K2154" s="274" t="n">
        <x:v>185</x:v>
      </x:c>
      <x:c r="M2154" s="274" t="s">
        <x:v>344</x:v>
      </x:c>
      <x:c r="N2154" s="274" t="s">
        <x:v>299</x:v>
      </x:c>
    </x:row>
    <x:row r="2155" spans="1:14">
      <x:c r="A2155" s="274" t="s">
        <x:v>4146</x:v>
      </x:c>
      <x:c r="B2155" s="274" t="n">
        <x:v>3.2</x:v>
      </x:c>
      <x:c r="C2155" s="274" t="n">
        <x:v>0</x:v>
      </x:c>
      <x:c r="D2155" s="274" t="n">
        <x:v>50</x:v>
      </x:c>
      <x:c r="E2155" s="274" t="n">
        <x:v>40</x:v>
      </x:c>
      <x:c r="F2155" s="274" t="s">
        <x:v>133</x:v>
      </x:c>
      <x:c r="G2155" s="274" t="s">
        <x:v>3304</x:v>
      </x:c>
      <x:c r="I2155" s="274" t="n">
        <x:v>0.75</x:v>
      </x:c>
      <x:c r="J2155" s="274" t="n">
        <x:v>720</x:v>
      </x:c>
      <x:c r="K2155" s="274" t="n">
        <x:v>755</x:v>
      </x:c>
      <x:c r="M2155" s="274" t="s">
        <x:v>4147</x:v>
      </x:c>
    </x:row>
    <x:row r="2156" spans="1:14">
      <x:c r="A2156" s="274" t="s">
        <x:v>4148</x:v>
      </x:c>
      <x:c r="B2156" s="274" t="n">
        <x:v>2.52</x:v>
      </x:c>
      <x:c r="C2156" s="274" t="n">
        <x:v>0</x:v>
      </x:c>
      <x:c r="D2156" s="274" t="n">
        <x:v>35</x:v>
      </x:c>
      <x:c r="E2156" s="274" t="n">
        <x:v>33</x:v>
      </x:c>
      <x:c r="F2156" s="274" t="s">
        <x:v>311</x:v>
      </x:c>
      <x:c r="G2156" s="274" t="s">
        <x:v>828</x:v>
      </x:c>
      <x:c r="H2156" s="274" t="s">
        <x:v>837</x:v>
      </x:c>
      <x:c r="I2156" s="274" t="n">
        <x:v>0.8</x:v>
      </x:c>
      <x:c r="J2156" s="274" t="n">
        <x:v>510</x:v>
      </x:c>
      <x:c r="K2156" s="274" t="n">
        <x:v>785</x:v>
      </x:c>
      <x:c r="M2156" s="274" t="s">
        <x:v>3782</x:v>
      </x:c>
      <x:c r="N2156" s="274" t="s">
        <x:v>4149</x:v>
      </x:c>
    </x:row>
    <x:row r="2157" spans="1:14">
      <x:c r="A2157" s="274" t="s">
        <x:v>4150</x:v>
      </x:c>
      <x:c r="B2157" s="274" t="n">
        <x:v>2.49</x:v>
      </x:c>
      <x:c r="C2157" s="274" t="n">
        <x:v>0</x:v>
      </x:c>
      <x:c r="D2157" s="274" t="n">
        <x:v>36</x:v>
      </x:c>
      <x:c r="E2157" s="274" t="n">
        <x:v>0</x:v>
      </x:c>
      <x:c r="F2157" s="274" t="s">
        <x:v>311</x:v>
      </x:c>
      <x:c r="G2157" s="274" t="s">
        <x:v>828</x:v>
      </x:c>
      <x:c r="H2157" s="274" t="s">
        <x:v>829</x:v>
      </x:c>
      <x:c r="I2157" s="274" t="n">
        <x:v>0.8</x:v>
      </x:c>
      <x:c r="J2157" s="274" t="n">
        <x:v>600</x:v>
      </x:c>
      <x:c r="K2157" s="274" t="n">
        <x:v>660</x:v>
      </x:c>
      <x:c r="M2157" s="274" t="s">
        <x:v>3784</x:v>
      </x:c>
      <x:c r="N2157" s="274" t="s">
        <x:v>4149</x:v>
      </x:c>
    </x:row>
    <x:row r="2158" spans="1:14">
      <x:c r="A2158" s="274" t="s">
        <x:v>4151</x:v>
      </x:c>
      <x:c r="B2158" s="274" t="n">
        <x:v>3.1</x:v>
      </x:c>
      <x:c r="C2158" s="274" t="n">
        <x:v>0</x:v>
      </x:c>
      <x:c r="D2158" s="274" t="n">
        <x:v>33</x:v>
      </x:c>
      <x:c r="E2158" s="274" t="n">
        <x:v>0</x:v>
      </x:c>
      <x:c r="F2158" s="274" t="s">
        <x:v>311</x:v>
      </x:c>
      <x:c r="G2158" s="274" t="s">
        <x:v>828</x:v>
      </x:c>
      <x:c r="H2158" s="274" t="s">
        <x:v>837</x:v>
      </x:c>
      <x:c r="I2158" s="274" t="n">
        <x:v>0.8</x:v>
      </x:c>
      <x:c r="J2158" s="274" t="n">
        <x:v>600</x:v>
      </x:c>
      <x:c r="K2158" s="274" t="n">
        <x:v>820</x:v>
      </x:c>
      <x:c r="M2158" s="274" t="s">
        <x:v>3166</x:v>
      </x:c>
      <x:c r="N2158" s="274" t="s">
        <x:v>4152</x:v>
      </x:c>
    </x:row>
    <x:row r="2159" spans="1:14">
      <x:c r="A2159" s="274" t="s">
        <x:v>4153</x:v>
      </x:c>
      <x:c r="B2159" s="274" t="n">
        <x:v>4.4</x:v>
      </x:c>
      <x:c r="C2159" s="274" t="n">
        <x:v>0</x:v>
      </x:c>
      <x:c r="D2159" s="274" t="n">
        <x:v>0</x:v>
      </x:c>
      <x:c r="F2159" s="274" t="s">
        <x:v>133</x:v>
      </x:c>
      <x:c r="G2159" s="274" t="s">
        <x:v>144</x:v>
      </x:c>
      <x:c r="H2159" s="274" t="n">
        <x:v>45</x:v>
      </x:c>
      <x:c r="I2159" s="274" t="n">
        <x:v>2</x:v>
      </x:c>
      <x:c r="J2159" s="274" t="n">
        <x:v>223</x:v>
      </x:c>
      <x:c r="K2159" s="274" t="n">
        <x:v>1250</x:v>
      </x:c>
      <x:c r="M2159" s="274" t="s">
        <x:v>4049</x:v>
      </x:c>
      <x:c r="N2159" s="274" t="s">
        <x:v>3671</x:v>
      </x:c>
    </x:row>
    <x:row r="2160" spans="1:14">
      <x:c r="A2160" s="274" t="s">
        <x:v>4154</x:v>
      </x:c>
      <x:c r="B2160" s="274" t="n">
        <x:v>5.01</x:v>
      </x:c>
      <x:c r="C2160" s="274" t="n">
        <x:v>0</x:v>
      </x:c>
      <x:c r="D2160" s="274" t="n">
        <x:v>0</x:v>
      </x:c>
      <x:c r="F2160" s="274" t="s">
        <x:v>133</x:v>
      </x:c>
      <x:c r="G2160" s="274" t="s">
        <x:v>144</x:v>
      </x:c>
      <x:c r="H2160" s="274" t="n">
        <x:v>45</x:v>
      </x:c>
      <x:c r="I2160" s="274" t="n">
        <x:v>2</x:v>
      </x:c>
      <x:c r="J2160" s="274" t="n">
        <x:v>254</x:v>
      </x:c>
      <x:c r="K2160" s="274" t="n">
        <x:v>1250</x:v>
      </x:c>
      <x:c r="M2160" s="274" t="s">
        <x:v>4051</x:v>
      </x:c>
      <x:c r="N2160" s="274" t="s">
        <x:v>3671</x:v>
      </x:c>
    </x:row>
    <x:row r="2161" spans="1:14">
      <x:c r="A2161" s="274" t="s">
        <x:v>4155</x:v>
      </x:c>
      <x:c r="B2161" s="274" t="n">
        <x:v>5.25</x:v>
      </x:c>
      <x:c r="C2161" s="274" t="n">
        <x:v>0</x:v>
      </x:c>
      <x:c r="D2161" s="274" t="n">
        <x:v>0</x:v>
      </x:c>
      <x:c r="F2161" s="274" t="s">
        <x:v>184</x:v>
      </x:c>
      <x:c r="G2161" s="274" t="s">
        <x:v>129</x:v>
      </x:c>
      <x:c r="H2161" s="274" t="n">
        <x:v>45</x:v>
      </x:c>
      <x:c r="I2161" s="274" t="n">
        <x:v>2</x:v>
      </x:c>
      <x:c r="J2161" s="274" t="n">
        <x:v>266</x:v>
      </x:c>
      <x:c r="K2161" s="274" t="n">
        <x:v>1250</x:v>
      </x:c>
      <x:c r="M2161" s="274" t="s">
        <x:v>4156</x:v>
      </x:c>
      <x:c r="N2161" s="274" t="s">
        <x:v>3671</x:v>
      </x:c>
    </x:row>
    <x:row r="2162" spans="1:14">
      <x:c r="A2162" s="274" t="s">
        <x:v>4157</x:v>
      </x:c>
      <x:c r="B2162" s="274" t="n">
        <x:v>8.42</x:v>
      </x:c>
      <x:c r="C2162" s="274" t="n">
        <x:v>0</x:v>
      </x:c>
      <x:c r="D2162" s="274" t="n">
        <x:v>0</x:v>
      </x:c>
      <x:c r="F2162" s="274" t="s">
        <x:v>133</x:v>
      </x:c>
      <x:c r="G2162" s="274" t="s">
        <x:v>148</x:v>
      </x:c>
      <x:c r="I2162" s="274" t="n">
        <x:v>3.2</x:v>
      </x:c>
      <x:c r="J2162" s="274" t="n">
        <x:v>268</x:v>
      </x:c>
      <x:c r="K2162" s="274" t="n">
        <x:v>1250</x:v>
      </x:c>
      <x:c r="M2162" s="274" t="s">
        <x:v>4053</x:v>
      </x:c>
      <x:c r="N2162" s="274" t="s">
        <x:v>3671</x:v>
      </x:c>
    </x:row>
    <x:row r="2163" spans="1:14">
      <x:c r="A2163" s="274" t="s">
        <x:v>4158</x:v>
      </x:c>
      <x:c r="B2163" s="274" t="n">
        <x:v>0.6</x:v>
      </x:c>
      <x:c r="C2163" s="274" t="n">
        <x:v>0</x:v>
      </x:c>
      <x:c r="D2163" s="274" t="n">
        <x:v>0</x:v>
      </x:c>
      <x:c r="F2163" s="274" t="s">
        <x:v>123</x:v>
      </x:c>
      <x:c r="G2163" s="274" t="s">
        <x:v>153</x:v>
      </x:c>
      <x:c r="I2163" s="274" t="n">
        <x:v>2</x:v>
      </x:c>
      <x:c r="J2163" s="274" t="n">
        <x:v>81</x:v>
      </x:c>
      <x:c r="K2163" s="274" t="n">
        <x:v>475</x:v>
      </x:c>
      <x:c r="M2163" s="274" t="s">
        <x:v>402</x:v>
      </x:c>
      <x:c r="N2163" s="274" t="s">
        <x:v>229</x:v>
      </x:c>
    </x:row>
    <x:row r="2164" spans="1:14">
      <x:c r="A2164" s="274" t="s">
        <x:v>4159</x:v>
      </x:c>
      <x:c r="B2164" s="274" t="n">
        <x:v>2.54</x:v>
      </x:c>
      <x:c r="C2164" s="274" t="n">
        <x:v>0</x:v>
      </x:c>
      <x:c r="D2164" s="274" t="n">
        <x:v>0</x:v>
      </x:c>
      <x:c r="F2164" s="274" t="s">
        <x:v>133</x:v>
      </x:c>
      <x:c r="G2164" s="274" t="s">
        <x:v>148</x:v>
      </x:c>
      <x:c r="I2164" s="274" t="n">
        <x:v>4.5</x:v>
      </x:c>
      <x:c r="J2164" s="274" t="n">
        <x:v>86</x:v>
      </x:c>
      <x:c r="K2164" s="274" t="n">
        <x:v>835</x:v>
      </x:c>
      <x:c r="M2164" s="274" t="s">
        <x:v>4160</x:v>
      </x:c>
      <x:c r="N2164" s="274" t="s">
        <x:v>4082</x:v>
      </x:c>
    </x:row>
    <x:row r="2165" spans="1:14">
      <x:c r="A2165" s="274" t="s">
        <x:v>4161</x:v>
      </x:c>
      <x:c r="B2165" s="274" t="n">
        <x:v>0.28</x:v>
      </x:c>
      <x:c r="C2165" s="274" t="n">
        <x:v>0</x:v>
      </x:c>
      <x:c r="D2165" s="274" t="n">
        <x:v>0</x:v>
      </x:c>
      <x:c r="F2165" s="274" t="s">
        <x:v>133</x:v>
      </x:c>
      <x:c r="G2165" s="274" t="s">
        <x:v>136</x:v>
      </x:c>
      <x:c r="H2165" s="274" t="n">
        <x:v>45</x:v>
      </x:c>
      <x:c r="I2165" s="274" t="n">
        <x:v>1.6</x:v>
      </x:c>
      <x:c r="J2165" s="274" t="n">
        <x:v>40</x:v>
      </x:c>
      <x:c r="K2165" s="274" t="n">
        <x:v>550</x:v>
      </x:c>
      <x:c r="M2165" s="274" t="s">
        <x:v>4162</x:v>
      </x:c>
      <x:c r="N2165" s="274" t="s">
        <x:v>2805</x:v>
      </x:c>
    </x:row>
    <x:row r="2166" spans="1:14">
      <x:c r="A2166" s="274" t="s">
        <x:v>4163</x:v>
      </x:c>
      <x:c r="B2166" s="274" t="n">
        <x:v>0.34</x:v>
      </x:c>
      <x:c r="C2166" s="274" t="n">
        <x:v>0</x:v>
      </x:c>
      <x:c r="D2166" s="274" t="n">
        <x:v>0</x:v>
      </x:c>
      <x:c r="F2166" s="274" t="s">
        <x:v>133</x:v>
      </x:c>
      <x:c r="G2166" s="274" t="s">
        <x:v>136</x:v>
      </x:c>
      <x:c r="H2166" s="274" t="n">
        <x:v>45</x:v>
      </x:c>
      <x:c r="I2166" s="274" t="n">
        <x:v>1.6</x:v>
      </x:c>
      <x:c r="J2166" s="274" t="n">
        <x:v>40</x:v>
      </x:c>
      <x:c r="K2166" s="274" t="n">
        <x:v>667</x:v>
      </x:c>
      <x:c r="M2166" s="274" t="s">
        <x:v>4164</x:v>
      </x:c>
      <x:c r="N2166" s="274" t="s">
        <x:v>2805</x:v>
      </x:c>
    </x:row>
    <x:row r="2167" spans="1:14">
      <x:c r="A2167" s="274" t="s">
        <x:v>4165</x:v>
      </x:c>
      <x:c r="B2167" s="274" t="n">
        <x:v>2.55</x:v>
      </x:c>
      <x:c r="C2167" s="274" t="n">
        <x:v>0</x:v>
      </x:c>
      <x:c r="D2167" s="274" t="n">
        <x:v>22</x:v>
      </x:c>
      <x:c r="E2167" s="274" t="n">
        <x:v>22</x:v>
      </x:c>
      <x:c r="F2167" s="274" t="s">
        <x:v>184</x:v>
      </x:c>
      <x:c r="G2167" s="274" t="s">
        <x:v>129</x:v>
      </x:c>
      <x:c r="H2167" s="274" t="n">
        <x:v>45</x:v>
      </x:c>
      <x:c r="I2167" s="274" t="n">
        <x:v>1</x:v>
      </x:c>
      <x:c r="J2167" s="274" t="n">
        <x:v>268</x:v>
      </x:c>
      <x:c r="K2167" s="274" t="n">
        <x:v>1200</x:v>
      </x:c>
      <x:c r="M2167" s="274" t="s">
        <x:v>4166</x:v>
      </x:c>
      <x:c r="N2167" s="274" t="s">
        <x:v>131</x:v>
      </x:c>
    </x:row>
    <x:row r="2168" spans="1:14">
      <x:c r="A2168" s="274" t="s">
        <x:v>4167</x:v>
      </x:c>
      <x:c r="B2168" s="274" t="n">
        <x:v>1.59</x:v>
      </x:c>
      <x:c r="C2168" s="274" t="n">
        <x:v>0</x:v>
      </x:c>
      <x:c r="D2168" s="274" t="n">
        <x:v>0</x:v>
      </x:c>
      <x:c r="F2168" s="274" t="s">
        <x:v>333</x:v>
      </x:c>
      <x:c r="G2168" s="274" t="s">
        <x:v>209</x:v>
      </x:c>
      <x:c r="I2168" s="274" t="n">
        <x:v>1.2</x:v>
      </x:c>
      <x:c r="J2168" s="274" t="n">
        <x:v>143</x:v>
      </x:c>
      <x:c r="K2168" s="274" t="n">
        <x:v>1177</x:v>
      </x:c>
      <x:c r="M2168" s="274" t="s">
        <x:v>4168</x:v>
      </x:c>
      <x:c r="N2168" s="274" t="s">
        <x:v>299</x:v>
      </x:c>
    </x:row>
    <x:row r="2169" spans="1:14">
      <x:c r="A2169" s="274" t="s">
        <x:v>4169</x:v>
      </x:c>
      <x:c r="B2169" s="274" t="n">
        <x:v>2.05</x:v>
      </x:c>
      <x:c r="C2169" s="274" t="n">
        <x:v>0</x:v>
      </x:c>
      <x:c r="D2169" s="274" t="n">
        <x:v>0</x:v>
      </x:c>
      <x:c r="F2169" s="274" t="s">
        <x:v>133</x:v>
      </x:c>
      <x:c r="G2169" s="274" t="s">
        <x:v>134</x:v>
      </x:c>
      <x:c r="I2169" s="274" t="n">
        <x:v>1.6</x:v>
      </x:c>
      <x:c r="J2169" s="274" t="n">
        <x:v>135</x:v>
      </x:c>
      <x:c r="K2169" s="274" t="n">
        <x:v>1208</x:v>
      </x:c>
      <x:c r="M2169" s="274" t="s">
        <x:v>4170</x:v>
      </x:c>
      <x:c r="N2169" s="274" t="s">
        <x:v>299</x:v>
      </x:c>
    </x:row>
    <x:row r="2170" spans="1:14">
      <x:c r="A2170" s="274" t="s">
        <x:v>4171</x:v>
      </x:c>
      <x:c r="B2170" s="274" t="n">
        <x:v>2.44</x:v>
      </x:c>
      <x:c r="C2170" s="274" t="n">
        <x:v>0</x:v>
      </x:c>
      <x:c r="D2170" s="274" t="n">
        <x:v>0</x:v>
      </x:c>
      <x:c r="F2170" s="274" t="s">
        <x:v>333</x:v>
      </x:c>
      <x:c r="G2170" s="274" t="s">
        <x:v>124</x:v>
      </x:c>
      <x:c r="I2170" s="274" t="n">
        <x:v>1.6</x:v>
      </x:c>
      <x:c r="J2170" s="274" t="n">
        <x:v>193</x:v>
      </x:c>
      <x:c r="K2170" s="274" t="n">
        <x:v>1008</x:v>
      </x:c>
      <x:c r="M2170" s="274" t="s">
        <x:v>4172</x:v>
      </x:c>
      <x:c r="N2170" s="274" t="s">
        <x:v>299</x:v>
      </x:c>
    </x:row>
    <x:row r="2171" spans="1:14">
      <x:c r="A2171" s="274" t="s">
        <x:v>4173</x:v>
      </x:c>
      <x:c r="B2171" s="274" t="n">
        <x:v>3.03</x:v>
      </x:c>
      <x:c r="C2171" s="274" t="n">
        <x:v>0</x:v>
      </x:c>
      <x:c r="D2171" s="274" t="n">
        <x:v>0</x:v>
      </x:c>
      <x:c r="F2171" s="274" t="s">
        <x:v>333</x:v>
      </x:c>
      <x:c r="G2171" s="274" t="s">
        <x:v>124</x:v>
      </x:c>
      <x:c r="I2171" s="274" t="n">
        <x:v>1.6</x:v>
      </x:c>
      <x:c r="J2171" s="274" t="n">
        <x:v>201</x:v>
      </x:c>
      <x:c r="K2171" s="274" t="n">
        <x:v>1202</x:v>
      </x:c>
      <x:c r="M2171" s="274" t="s">
        <x:v>4174</x:v>
      </x:c>
      <x:c r="N2171" s="274" t="s">
        <x:v>299</x:v>
      </x:c>
    </x:row>
    <x:row r="2172" spans="1:14">
      <x:c r="A2172" s="274" t="s">
        <x:v>4175</x:v>
      </x:c>
      <x:c r="B2172" s="274" t="n">
        <x:v>10.14</x:v>
      </x:c>
      <x:c r="C2172" s="274" t="n">
        <x:v>0</x:v>
      </x:c>
      <x:c r="D2172" s="274" t="n">
        <x:v>0</x:v>
      </x:c>
      <x:c r="F2172" s="274" t="s">
        <x:v>333</x:v>
      </x:c>
      <x:c r="G2172" s="274" t="s">
        <x:v>153</x:v>
      </x:c>
      <x:c r="I2172" s="274" t="n">
        <x:v>1</x:v>
      </x:c>
      <x:c r="J2172" s="274" t="n">
        <x:v>1090</x:v>
      </x:c>
      <x:c r="K2172" s="274" t="n">
        <x:v>1185</x:v>
      </x:c>
      <x:c r="M2172" s="274" t="s">
        <x:v>4176</x:v>
      </x:c>
      <x:c r="N2172" s="274" t="s">
        <x:v>299</x:v>
      </x:c>
    </x:row>
    <x:row r="2173" spans="1:14">
      <x:c r="A2173" s="274" t="s">
        <x:v>4177</x:v>
      </x:c>
      <x:c r="B2173" s="274" t="n">
        <x:v>5.11</x:v>
      </x:c>
      <x:c r="C2173" s="274" t="n">
        <x:v>0</x:v>
      </x:c>
      <x:c r="D2173" s="274" t="n">
        <x:v>0</x:v>
      </x:c>
      <x:c r="F2173" s="274" t="s">
        <x:v>128</x:v>
      </x:c>
      <x:c r="G2173" s="274" t="s">
        <x:v>4178</x:v>
      </x:c>
      <x:c r="H2173" s="274" t="s">
        <x:v>4179</x:v>
      </x:c>
      <x:c r="I2173" s="274" t="n">
        <x:v>0.6</x:v>
      </x:c>
      <x:c r="J2173" s="274" t="n">
        <x:v>1000</x:v>
      </x:c>
      <x:c r="K2173" s="274" t="n">
        <x:v>1072</x:v>
      </x:c>
      <x:c r="M2173" s="274" t="s">
        <x:v>4180</x:v>
      </x:c>
      <x:c r="N2173" s="274" t="s">
        <x:v>582</x:v>
      </x:c>
    </x:row>
    <x:row r="2174" spans="1:14">
      <x:c r="A2174" s="274" t="s">
        <x:v>4181</x:v>
      </x:c>
      <x:c r="B2174" s="274" t="n">
        <x:v>2.32</x:v>
      </x:c>
      <x:c r="C2174" s="274" t="n">
        <x:v>0</x:v>
      </x:c>
      <x:c r="D2174" s="274" t="n">
        <x:v>60</x:v>
      </x:c>
      <x:c r="F2174" s="274" t="s">
        <x:v>311</x:v>
      </x:c>
      <x:c r="G2174" s="274" t="s">
        <x:v>828</x:v>
      </x:c>
      <x:c r="H2174" s="274" t="s">
        <x:v>829</x:v>
      </x:c>
      <x:c r="I2174" s="274" t="n">
        <x:v>0.8</x:v>
      </x:c>
      <x:c r="J2174" s="274" t="n">
        <x:v>575</x:v>
      </x:c>
      <x:c r="K2174" s="274" t="n">
        <x:v>640</x:v>
      </x:c>
      <x:c r="M2174" s="274" t="s">
        <x:v>830</x:v>
      </x:c>
    </x:row>
    <x:row r="2175" spans="1:14">
      <x:c r="A2175" s="274" t="s">
        <x:v>4182</x:v>
      </x:c>
      <x:c r="B2175" s="274" t="n">
        <x:v>15.44</x:v>
      </x:c>
      <x:c r="C2175" s="274" t="n">
        <x:v>0</x:v>
      </x:c>
      <x:c r="D2175" s="274" t="n">
        <x:v>35</x:v>
      </x:c>
      <x:c r="E2175" s="274" t="n">
        <x:v>28</x:v>
      </x:c>
      <x:c r="F2175" s="274" t="s">
        <x:v>123</x:v>
      </x:c>
      <x:c r="G2175" s="274" t="s">
        <x:v>2364</x:v>
      </x:c>
      <x:c r="I2175" s="274" t="n">
        <x:v>0.9</x:v>
      </x:c>
      <x:c r="J2175" s="274" t="n">
        <x:v>1510</x:v>
      </x:c>
      <x:c r="K2175" s="274" t="n">
        <x:v>1447</x:v>
      </x:c>
      <x:c r="M2175" s="274" t="s">
        <x:v>2583</x:v>
      </x:c>
    </x:row>
    <x:row r="2176" spans="1:14">
      <x:c r="A2176" s="274" t="s">
        <x:v>4183</x:v>
      </x:c>
      <x:c r="B2176" s="274" t="n">
        <x:v>19.34</x:v>
      </x:c>
      <x:c r="C2176" s="274" t="n">
        <x:v>0</x:v>
      </x:c>
      <x:c r="D2176" s="274" t="n">
        <x:v>30</x:v>
      </x:c>
      <x:c r="E2176" s="274" t="n">
        <x:v>25</x:v>
      </x:c>
      <x:c r="F2176" s="274" t="s">
        <x:v>123</x:v>
      </x:c>
      <x:c r="G2176" s="274" t="s">
        <x:v>2364</x:v>
      </x:c>
      <x:c r="I2176" s="274" t="n">
        <x:v>0.9</x:v>
      </x:c>
      <x:c r="J2176" s="274" t="n">
        <x:v>1480</x:v>
      </x:c>
      <x:c r="K2176" s="274" t="n">
        <x:v>1850</x:v>
      </x:c>
      <x:c r="M2176" s="274" t="s">
        <x:v>1992</x:v>
      </x:c>
    </x:row>
    <x:row r="2177" spans="1:14">
      <x:c r="A2177" s="274" t="s">
        <x:v>4184</x:v>
      </x:c>
      <x:c r="B2177" s="274" t="n">
        <x:v>2.96</x:v>
      </x:c>
      <x:c r="C2177" s="274" t="n">
        <x:v>0</x:v>
      </x:c>
      <x:c r="D2177" s="274" t="n">
        <x:v>36</x:v>
      </x:c>
      <x:c r="F2177" s="274" t="s">
        <x:v>133</x:v>
      </x:c>
      <x:c r="G2177" s="274" t="s">
        <x:v>3304</x:v>
      </x:c>
      <x:c r="I2177" s="274" t="n">
        <x:v>1</x:v>
      </x:c>
      <x:c r="J2177" s="274" t="n">
        <x:v>690</x:v>
      </x:c>
      <x:c r="K2177" s="274" t="n">
        <x:v>692</x:v>
      </x:c>
      <x:c r="L2177" s="274" t="n">
        <x:v>402</x:v>
      </x:c>
      <x:c r="M2177" s="274" t="s">
        <x:v>4185</x:v>
      </x:c>
      <x:c r="N2177" s="274" t="s">
        <x:v>4186</x:v>
      </x:c>
    </x:row>
    <x:row r="2178" spans="1:14">
      <x:c r="A2178" s="274" t="s">
        <x:v>4187</x:v>
      </x:c>
      <x:c r="B2178" s="274" t="n">
        <x:v>0.52</x:v>
      </x:c>
      <x:c r="C2178" s="274" t="n">
        <x:v>30</x:v>
      </x:c>
      <x:c r="D2178" s="274" t="n">
        <x:v>35</x:v>
      </x:c>
      <x:c r="E2178" s="274" t="n">
        <x:v>33</x:v>
      </x:c>
      <x:c r="F2178" s="274" t="s">
        <x:v>133</x:v>
      </x:c>
      <x:c r="G2178" s="274" t="s">
        <x:v>144</x:v>
      </x:c>
      <x:c r="H2178" s="274" t="n">
        <x:v>45</x:v>
      </x:c>
      <x:c r="I2178" s="274" t="n">
        <x:v>1.4</x:v>
      </x:c>
      <x:c r="J2178" s="274" t="n">
        <x:v>212</x:v>
      </x:c>
      <x:c r="K2178" s="274" t="n">
        <x:v>223</x:v>
      </x:c>
      <x:c r="M2178" s="274" t="s">
        <x:v>1520</x:v>
      </x:c>
      <x:c r="N2178" s="274" t="s">
        <x:v>155</x:v>
      </x:c>
    </x:row>
    <x:row r="2179" spans="1:14">
      <x:c r="A2179" s="274" t="s">
        <x:v>4188</x:v>
      </x:c>
      <x:c r="B2179" s="274" t="n">
        <x:v>5.79</x:v>
      </x:c>
      <x:c r="C2179" s="274" t="n">
        <x:v>0</x:v>
      </x:c>
      <x:c r="D2179" s="274" t="n">
        <x:v>0</x:v>
      </x:c>
      <x:c r="F2179" s="274" t="s">
        <x:v>133</x:v>
      </x:c>
      <x:c r="G2179" s="274" t="s">
        <x:v>148</x:v>
      </x:c>
      <x:c r="I2179" s="274" t="n">
        <x:v>6</x:v>
      </x:c>
      <x:c r="J2179" s="274" t="n">
        <x:v>492</x:v>
      </x:c>
      <x:c r="K2179" s="274" t="n">
        <x:v>250</x:v>
      </x:c>
      <x:c r="M2179" s="274" t="s">
        <x:v>4189</x:v>
      </x:c>
      <x:c r="N2179" s="274" t="s">
        <x:v>155</x:v>
      </x:c>
    </x:row>
    <x:row r="2180" spans="1:14">
      <x:c r="A2180" s="274" t="s">
        <x:v>4190</x:v>
      </x:c>
      <x:c r="B2180" s="274" t="n">
        <x:v>6.05</x:v>
      </x:c>
      <x:c r="C2180" s="274" t="n">
        <x:v>0</x:v>
      </x:c>
      <x:c r="D2180" s="274" t="n">
        <x:v>0</x:v>
      </x:c>
      <x:c r="E2180" s="274" t="n">
        <x:v>40</x:v>
      </x:c>
      <x:c r="F2180" s="274" t="s">
        <x:v>133</x:v>
      </x:c>
      <x:c r="G2180" s="274" t="s">
        <x:v>136</x:v>
      </x:c>
      <x:c r="H2180" s="274" t="n">
        <x:v>45</x:v>
      </x:c>
      <x:c r="I2180" s="274" t="n">
        <x:v>1.4</x:v>
      </x:c>
      <x:c r="J2180" s="274" t="n">
        <x:v>1070</x:v>
      </x:c>
      <x:c r="K2180" s="274" t="n">
        <x:v>510</x:v>
      </x:c>
      <x:c r="M2180" s="274" t="s">
        <x:v>4191</x:v>
      </x:c>
      <x:c r="N2180" s="274" t="s">
        <x:v>4192</x:v>
      </x:c>
    </x:row>
    <x:row r="2181" spans="1:14">
      <x:c r="A2181" s="274" t="s">
        <x:v>4193</x:v>
      </x:c>
      <x:c r="B2181" s="274" t="n">
        <x:v>1.76</x:v>
      </x:c>
      <x:c r="C2181" s="274" t="n">
        <x:v>0</x:v>
      </x:c>
      <x:c r="D2181" s="274" t="n">
        <x:v>0</x:v>
      </x:c>
      <x:c r="F2181" s="274" t="s">
        <x:v>133</x:v>
      </x:c>
      <x:c r="G2181" s="274" t="s">
        <x:v>136</x:v>
      </x:c>
      <x:c r="H2181" s="274" t="n">
        <x:v>45</x:v>
      </x:c>
      <x:c r="I2181" s="274" t="n">
        <x:v>1.6</x:v>
      </x:c>
      <x:c r="J2181" s="274" t="n">
        <x:v>139</x:v>
      </x:c>
      <x:c r="K2181" s="274" t="n">
        <x:v>1000</x:v>
      </x:c>
      <x:c r="M2181" s="274" t="s">
        <x:v>4194</x:v>
      </x:c>
    </x:row>
    <x:row r="2182" spans="1:14">
      <x:c r="A2182" s="274" t="s">
        <x:v>4195</x:v>
      </x:c>
      <x:c r="B2182" s="274" t="n">
        <x:v>3.47</x:v>
      </x:c>
      <x:c r="C2182" s="274" t="n">
        <x:v>0</x:v>
      </x:c>
      <x:c r="D2182" s="274" t="n">
        <x:v>0</x:v>
      </x:c>
      <x:c r="E2182" s="274" t="n">
        <x:v>37</x:v>
      </x:c>
      <x:c r="F2182" s="274" t="s">
        <x:v>123</x:v>
      </x:c>
      <x:c r="G2182" s="274" t="s">
        <x:v>209</x:v>
      </x:c>
      <x:c r="I2182" s="274" t="n">
        <x:v>1.6</x:v>
      </x:c>
      <x:c r="J2182" s="274" t="n">
        <x:v>276</x:v>
      </x:c>
      <x:c r="K2182" s="274" t="n">
        <x:v>1000</x:v>
      </x:c>
      <x:c r="M2182" s="274" t="s">
        <x:v>4196</x:v>
      </x:c>
    </x:row>
    <x:row r="2183" spans="1:14">
      <x:c r="A2183" s="274" t="s">
        <x:v>4197</x:v>
      </x:c>
      <x:c r="B2183" s="274" t="n">
        <x:v>4.37</x:v>
      </x:c>
      <x:c r="C2183" s="274" t="n">
        <x:v>0</x:v>
      </x:c>
      <x:c r="D2183" s="274" t="n">
        <x:v>0</x:v>
      </x:c>
      <x:c r="F2183" s="274" t="s">
        <x:v>133</x:v>
      </x:c>
      <x:c r="G2183" s="274" t="s">
        <x:v>134</x:v>
      </x:c>
      <x:c r="I2183" s="274" t="n">
        <x:v>3.8</x:v>
      </x:c>
      <x:c r="J2183" s="274" t="n">
        <x:v>1010</x:v>
      </x:c>
      <x:c r="K2183" s="274" t="n">
        <x:v>145</x:v>
      </x:c>
      <x:c r="M2183" s="274" t="s">
        <x:v>4198</x:v>
      </x:c>
      <x:c r="N2183" s="274" t="s">
        <x:v>299</x:v>
      </x:c>
    </x:row>
    <x:row r="2184" spans="1:14">
      <x:c r="A2184" s="274" t="s">
        <x:v>4199</x:v>
      </x:c>
      <x:c r="B2184" s="274" t="n">
        <x:v>1.09</x:v>
      </x:c>
      <x:c r="C2184" s="274" t="n">
        <x:v>0</x:v>
      </x:c>
      <x:c r="D2184" s="274" t="n">
        <x:v>0</x:v>
      </x:c>
      <x:c r="F2184" s="274" t="s">
        <x:v>133</x:v>
      </x:c>
      <x:c r="G2184" s="274" t="s">
        <x:v>134</x:v>
      </x:c>
      <x:c r="I2184" s="274" t="n">
        <x:v>3.8</x:v>
      </x:c>
      <x:c r="J2184" s="274" t="n">
        <x:v>240</x:v>
      </x:c>
      <x:c r="K2184" s="274" t="n">
        <x:v>152</x:v>
      </x:c>
      <x:c r="M2184" s="274" t="s">
        <x:v>4200</x:v>
      </x:c>
      <x:c r="N2184" s="274" t="s">
        <x:v>155</x:v>
      </x:c>
    </x:row>
    <x:row r="2185" spans="1:14">
      <x:c r="A2185" s="274" t="s">
        <x:v>4201</x:v>
      </x:c>
      <x:c r="B2185" s="274" t="n">
        <x:v>6.25</x:v>
      </x:c>
      <x:c r="C2185" s="274" t="n">
        <x:v>0</x:v>
      </x:c>
      <x:c r="D2185" s="274" t="n">
        <x:v>0</x:v>
      </x:c>
      <x:c r="F2185" s="274" t="s">
        <x:v>133</x:v>
      </x:c>
      <x:c r="G2185" s="274" t="s">
        <x:v>134</x:v>
      </x:c>
      <x:c r="I2185" s="274" t="n">
        <x:v>3.8</x:v>
      </x:c>
      <x:c r="J2185" s="274" t="n">
        <x:v>325</x:v>
      </x:c>
      <x:c r="K2185" s="274" t="n">
        <x:v>645</x:v>
      </x:c>
      <x:c r="M2185" s="274" t="s">
        <x:v>4202</x:v>
      </x:c>
      <x:c r="N2185" s="274" t="s">
        <x:v>299</x:v>
      </x:c>
    </x:row>
    <x:row r="2186" spans="1:14">
      <x:c r="A2186" s="274" t="s">
        <x:v>4203</x:v>
      </x:c>
      <x:c r="B2186" s="274" t="n">
        <x:v>0.93</x:v>
      </x:c>
      <x:c r="C2186" s="274" t="n">
        <x:v>20</x:v>
      </x:c>
      <x:c r="D2186" s="274" t="n">
        <x:v>35</x:v>
      </x:c>
      <x:c r="E2186" s="274" t="n">
        <x:v>33</x:v>
      </x:c>
      <x:c r="F2186" s="274" t="s">
        <x:v>2985</x:v>
      </x:c>
      <x:c r="G2186" s="274" t="s">
        <x:v>209</x:v>
      </x:c>
      <x:c r="I2186" s="274" t="n">
        <x:v>1.2</x:v>
      </x:c>
      <x:c r="J2186" s="274" t="n">
        <x:v>143</x:v>
      </x:c>
      <x:c r="K2186" s="274" t="n">
        <x:v>687</x:v>
      </x:c>
      <x:c r="M2186" s="274" t="s">
        <x:v>2759</x:v>
      </x:c>
      <x:c r="N2186" s="274" t="s">
        <x:v>131</x:v>
      </x:c>
    </x:row>
    <x:row r="2187" spans="1:14">
      <x:c r="A2187" s="274" t="s">
        <x:v>4204</x:v>
      </x:c>
      <x:c r="B2187" s="274" t="n">
        <x:v>2.55</x:v>
      </x:c>
      <x:c r="C2187" s="274" t="n">
        <x:v>0</x:v>
      </x:c>
      <x:c r="D2187" s="274" t="n">
        <x:v>36</x:v>
      </x:c>
      <x:c r="F2187" s="274" t="s">
        <x:v>311</x:v>
      </x:c>
      <x:c r="G2187" s="274" t="s">
        <x:v>828</x:v>
      </x:c>
      <x:c r="H2187" s="274" t="s">
        <x:v>837</x:v>
      </x:c>
      <x:c r="I2187" s="274" t="n">
        <x:v>0.8</x:v>
      </x:c>
      <x:c r="J2187" s="274" t="n">
        <x:v>530</x:v>
      </x:c>
      <x:c r="K2187" s="274" t="n">
        <x:v>765</x:v>
      </x:c>
      <x:c r="M2187" s="274" t="s">
        <x:v>2387</x:v>
      </x:c>
    </x:row>
    <x:row r="2188" spans="1:14">
      <x:c r="A2188" s="274" t="s">
        <x:v>4205</x:v>
      </x:c>
      <x:c r="B2188" s="274" t="n">
        <x:v>15.3</x:v>
      </x:c>
      <x:c r="C2188" s="274" t="n">
        <x:v>0</x:v>
      </x:c>
      <x:c r="D2188" s="274" t="n">
        <x:v>30</x:v>
      </x:c>
      <x:c r="E2188" s="274" t="n">
        <x:v>26</x:v>
      </x:c>
      <x:c r="F2188" s="274" t="s">
        <x:v>123</x:v>
      </x:c>
      <x:c r="G2188" s="274" t="s">
        <x:v>1985</x:v>
      </x:c>
      <x:c r="I2188" s="274" t="n">
        <x:v>1</x:v>
      </x:c>
      <x:c r="J2188" s="274" t="n">
        <x:v>1120</x:v>
      </x:c>
      <x:c r="K2188" s="274" t="n">
        <x:v>1740</x:v>
      </x:c>
      <x:c r="M2188" s="274" t="s">
        <x:v>1996</x:v>
      </x:c>
    </x:row>
    <x:row r="2189" spans="1:14">
      <x:c r="A2189" s="274" t="s">
        <x:v>4206</x:v>
      </x:c>
      <x:c r="B2189" s="274" t="n">
        <x:v>5.75</x:v>
      </x:c>
      <x:c r="C2189" s="274" t="n">
        <x:v>0</x:v>
      </x:c>
      <x:c r="D2189" s="274" t="n">
        <x:v>19</x:v>
      </x:c>
      <x:c r="E2189" s="274" t="n">
        <x:v>19</x:v>
      </x:c>
      <x:c r="F2189" s="274" t="s">
        <x:v>123</x:v>
      </x:c>
      <x:c r="G2189" s="274" t="s">
        <x:v>2796</x:v>
      </x:c>
      <x:c r="I2189" s="274" t="n">
        <x:v>2</x:v>
      </x:c>
      <x:c r="J2189" s="274" t="n">
        <x:v>335</x:v>
      </x:c>
      <x:c r="K2189" s="274" t="n">
        <x:v>1080</x:v>
      </x:c>
    </x:row>
    <x:row r="2190" spans="1:14">
      <x:c r="A2190" s="274" t="s">
        <x:v>4207</x:v>
      </x:c>
      <x:c r="B2190" s="274" t="n">
        <x:v>0.68</x:v>
      </x:c>
      <x:c r="C2190" s="274" t="n">
        <x:v>0</x:v>
      </x:c>
      <x:c r="D2190" s="274" t="n">
        <x:v>35</x:v>
      </x:c>
      <x:c r="E2190" s="274" t="n">
        <x:v>33</x:v>
      </x:c>
      <x:c r="F2190" s="274" t="s">
        <x:v>128</x:v>
      </x:c>
      <x:c r="G2190" s="274" t="s">
        <x:v>437</x:v>
      </x:c>
      <x:c r="I2190" s="274" t="n">
        <x:v>3.2</x:v>
      </x:c>
      <x:c r="J2190" s="274" t="n">
        <x:v>168</x:v>
      </x:c>
      <x:c r="K2190" s="274" t="n">
        <x:v>160</x:v>
      </x:c>
      <x:c r="M2190" s="274" t="s">
        <x:v>1359</x:v>
      </x:c>
      <x:c r="N2190" s="274" t="s">
        <x:v>155</x:v>
      </x:c>
    </x:row>
    <x:row r="2191" spans="1:14">
      <x:c r="A2191" s="274" t="s">
        <x:v>4208</x:v>
      </x:c>
      <x:c r="B2191" s="274" t="n">
        <x:v>0.89</x:v>
      </x:c>
      <x:c r="C2191" s="274" t="n">
        <x:v>28</x:v>
      </x:c>
      <x:c r="D2191" s="274" t="n">
        <x:v>35</x:v>
      </x:c>
      <x:c r="E2191" s="274" t="n">
        <x:v>33</x:v>
      </x:c>
      <x:c r="F2191" s="274" t="s">
        <x:v>133</x:v>
      </x:c>
      <x:c r="G2191" s="274" t="s">
        <x:v>144</x:v>
      </x:c>
      <x:c r="H2191" s="274" t="n">
        <x:v>45</x:v>
      </x:c>
      <x:c r="I2191" s="274" t="n">
        <x:v>1.4</x:v>
      </x:c>
      <x:c r="J2191" s="274" t="n">
        <x:v>365</x:v>
      </x:c>
      <x:c r="K2191" s="274" t="n">
        <x:v>221</x:v>
      </x:c>
      <x:c r="M2191" s="274" t="s">
        <x:v>1518</x:v>
      </x:c>
      <x:c r="N2191" s="274" t="s">
        <x:v>155</x:v>
      </x:c>
    </x:row>
    <x:row r="2192" spans="1:14">
      <x:c r="A2192" s="274" t="s">
        <x:v>4209</x:v>
      </x:c>
      <x:c r="B2192" s="274" t="n">
        <x:v>1.17</x:v>
      </x:c>
      <x:c r="C2192" s="274" t="n">
        <x:v>0</x:v>
      </x:c>
      <x:c r="D2192" s="274" t="n">
        <x:v>0</x:v>
      </x:c>
      <x:c r="F2192" s="274" t="s">
        <x:v>333</x:v>
      </x:c>
      <x:c r="G2192" s="274" t="s">
        <x:v>153</x:v>
      </x:c>
      <x:c r="I2192" s="274" t="n">
        <x:v>1.8</x:v>
      </x:c>
      <x:c r="J2192" s="274" t="n">
        <x:v>360</x:v>
      </x:c>
      <x:c r="K2192" s="274" t="n">
        <x:v>230</x:v>
      </x:c>
      <x:c r="M2192" s="274" t="s">
        <x:v>3146</x:v>
      </x:c>
      <x:c r="N2192" s="274" t="s">
        <x:v>131</x:v>
      </x:c>
    </x:row>
    <x:row r="2193" spans="1:14">
      <x:c r="A2193" s="274" t="s">
        <x:v>4210</x:v>
      </x:c>
      <x:c r="B2193" s="274" t="n">
        <x:v>2.66</x:v>
      </x:c>
      <x:c r="C2193" s="274" t="n">
        <x:v>0</x:v>
      </x:c>
      <x:c r="D2193" s="274" t="n">
        <x:v>0</x:v>
      </x:c>
      <x:c r="F2193" s="274" t="s">
        <x:v>123</x:v>
      </x:c>
      <x:c r="G2193" s="274" t="s">
        <x:v>153</x:v>
      </x:c>
      <x:c r="I2193" s="274" t="n">
        <x:v>0.8</x:v>
      </x:c>
      <x:c r="J2193" s="274" t="n">
        <x:v>280</x:v>
      </x:c>
      <x:c r="K2193" s="274" t="n">
        <x:v>1510</x:v>
      </x:c>
      <x:c r="M2193" s="274" t="s">
        <x:v>1310</x:v>
      </x:c>
      <x:c r="N2193" s="274" t="s">
        <x:v>870</x:v>
      </x:c>
    </x:row>
    <x:row r="2194" spans="1:14">
      <x:c r="A2194" s="274" t="s">
        <x:v>4211</x:v>
      </x:c>
      <x:c r="B2194" s="274" t="n">
        <x:v>0.63</x:v>
      </x:c>
      <x:c r="C2194" s="274" t="n">
        <x:v>27</x:v>
      </x:c>
      <x:c r="D2194" s="274" t="n">
        <x:v>36</x:v>
      </x:c>
      <x:c r="E2194" s="274" t="n">
        <x:v>33</x:v>
      </x:c>
      <x:c r="F2194" s="274" t="s">
        <x:v>333</x:v>
      </x:c>
      <x:c r="G2194" s="274" t="s">
        <x:v>153</x:v>
      </x:c>
      <x:c r="I2194" s="274" t="n">
        <x:v>0.65</x:v>
      </x:c>
      <x:c r="J2194" s="274" t="n">
        <x:v>340</x:v>
      </x:c>
      <x:c r="K2194" s="274" t="n">
        <x:v>365</x:v>
      </x:c>
      <x:c r="M2194" s="274" t="s">
        <x:v>2570</x:v>
      </x:c>
      <x:c r="N2194" s="274" t="s">
        <x:v>299</x:v>
      </x:c>
    </x:row>
    <x:row r="2195" spans="1:14">
      <x:c r="A2195" s="274" t="s">
        <x:v>4212</x:v>
      </x:c>
      <x:c r="B2195" s="274" t="n">
        <x:v>4.08</x:v>
      </x:c>
      <x:c r="C2195" s="274" t="n">
        <x:v>0</x:v>
      </x:c>
      <x:c r="D2195" s="274" t="n">
        <x:v>0</x:v>
      </x:c>
      <x:c r="F2195" s="274" t="s">
        <x:v>133</x:v>
      </x:c>
      <x:c r="G2195" s="274" t="s">
        <x:v>148</x:v>
      </x:c>
      <x:c r="I2195" s="274" t="n">
        <x:v>2.6</x:v>
      </x:c>
      <x:c r="J2195" s="274" t="n">
        <x:v>1092</x:v>
      </x:c>
      <x:c r="K2195" s="274" t="n">
        <x:v>183</x:v>
      </x:c>
      <x:c r="M2195" s="274" t="s">
        <x:v>4213</x:v>
      </x:c>
      <x:c r="N2195" s="274" t="s">
        <x:v>131</x:v>
      </x:c>
    </x:row>
    <x:row r="2196" spans="1:14">
      <x:c r="A2196" s="274" t="s">
        <x:v>4214</x:v>
      </x:c>
      <x:c r="B2196" s="274" t="n">
        <x:v>3</x:v>
      </x:c>
      <x:c r="C2196" s="274" t="n">
        <x:v>0</x:v>
      </x:c>
      <x:c r="D2196" s="274" t="n">
        <x:v>0</x:v>
      </x:c>
      <x:c r="F2196" s="274" t="s">
        <x:v>133</x:v>
      </x:c>
      <x:c r="G2196" s="274" t="s">
        <x:v>144</x:v>
      </x:c>
      <x:c r="H2196" s="274" t="n">
        <x:v>45</x:v>
      </x:c>
      <x:c r="I2196" s="274" t="n">
        <x:v>1.4</x:v>
      </x:c>
      <x:c r="J2196" s="274" t="n">
        <x:v>217</x:v>
      </x:c>
      <x:c r="K2196" s="274" t="n">
        <x:v>1250</x:v>
      </x:c>
      <x:c r="M2196" s="274" t="s">
        <x:v>936</x:v>
      </x:c>
      <x:c r="N2196" s="274" t="s">
        <x:v>870</x:v>
      </x:c>
    </x:row>
    <x:row r="2197" spans="1:14">
      <x:c r="A2197" s="274" t="s">
        <x:v>4215</x:v>
      </x:c>
      <x:c r="B2197" s="274" t="n">
        <x:v>2.76</x:v>
      </x:c>
      <x:c r="C2197" s="274" t="n">
        <x:v>0</x:v>
      </x:c>
      <x:c r="D2197" s="274" t="n">
        <x:v>0</x:v>
      </x:c>
      <x:c r="F2197" s="274" t="s">
        <x:v>133</x:v>
      </x:c>
      <x:c r="G2197" s="274" t="s">
        <x:v>148</x:v>
      </x:c>
      <x:c r="I2197" s="274" t="n">
        <x:v>2.6</x:v>
      </x:c>
      <x:c r="J2197" s="274" t="n">
        <x:v>108</x:v>
      </x:c>
      <x:c r="K2197" s="274" t="n">
        <x:v>1250</x:v>
      </x:c>
      <x:c r="M2197" s="274" t="s">
        <x:v>4216</x:v>
      </x:c>
      <x:c r="N2197" s="274" t="s">
        <x:v>870</x:v>
      </x:c>
    </x:row>
    <x:row r="2198" spans="1:14">
      <x:c r="A2198" s="274" t="s">
        <x:v>4217</x:v>
      </x:c>
      <x:c r="B2198" s="274" t="n">
        <x:v>1.74</x:v>
      </x:c>
      <x:c r="C2198" s="274" t="n">
        <x:v>0</x:v>
      </x:c>
      <x:c r="D2198" s="274" t="n">
        <x:v>50</x:v>
      </x:c>
      <x:c r="E2198" s="274" t="n">
        <x:v>40</x:v>
      </x:c>
      <x:c r="F2198" s="274" t="s">
        <x:v>333</x:v>
      </x:c>
      <x:c r="G2198" s="274" t="s">
        <x:v>2157</x:v>
      </x:c>
      <x:c r="I2198" s="274" t="n">
        <x:v>0.6</x:v>
      </x:c>
      <x:c r="J2198" s="274" t="n">
        <x:v>1040</x:v>
      </x:c>
      <x:c r="K2198" s="274" t="n">
        <x:v>355</x:v>
      </x:c>
      <x:c r="M2198" s="274" t="s">
        <x:v>4218</x:v>
      </x:c>
      <x:c r="N2198" s="274" t="s">
        <x:v>3325</x:v>
      </x:c>
    </x:row>
    <x:row r="2199" spans="1:14">
      <x:c r="A2199" s="274" t="s">
        <x:v>4219</x:v>
      </x:c>
      <x:c r="B2199" s="274" t="n">
        <x:v>1.72</x:v>
      </x:c>
      <x:c r="C2199" s="274" t="n">
        <x:v>0</x:v>
      </x:c>
      <x:c r="D2199" s="274" t="n">
        <x:v>0</x:v>
      </x:c>
      <x:c r="F2199" s="274" t="s">
        <x:v>333</x:v>
      </x:c>
      <x:c r="G2199" s="274" t="s">
        <x:v>2160</x:v>
      </x:c>
      <x:c r="I2199" s="274" t="n">
        <x:v>1.4</x:v>
      </x:c>
      <x:c r="J2199" s="274" t="n">
        <x:v>355</x:v>
      </x:c>
      <x:c r="K2199" s="274" t="n">
        <x:v>440</x:v>
      </x:c>
      <x:c r="M2199" s="274" t="s">
        <x:v>4220</x:v>
      </x:c>
      <x:c r="N2199" s="274" t="s">
        <x:v>3392</x:v>
      </x:c>
    </x:row>
    <x:row r="2200" spans="1:14">
      <x:c r="A2200" s="274" t="s">
        <x:v>4221</x:v>
      </x:c>
      <x:c r="B2200" s="274" t="n">
        <x:v>15.15</x:v>
      </x:c>
      <x:c r="C2200" s="274" t="n">
        <x:v>0</x:v>
      </x:c>
      <x:c r="D2200" s="274" t="n">
        <x:v>0</x:v>
      </x:c>
      <x:c r="F2200" s="274" t="s">
        <x:v>133</x:v>
      </x:c>
      <x:c r="G2200" s="274" t="s">
        <x:v>148</x:v>
      </x:c>
      <x:c r="I2200" s="274" t="n">
        <x:v>6</x:v>
      </x:c>
      <x:c r="J2200" s="274" t="n">
        <x:v>590</x:v>
      </x:c>
      <x:c r="K2200" s="274" t="n">
        <x:v>545</x:v>
      </x:c>
      <x:c r="M2200" s="274" t="s">
        <x:v>4127</x:v>
      </x:c>
      <x:c r="N2200" s="274" t="s">
        <x:v>3671</x:v>
      </x:c>
    </x:row>
    <x:row r="2201" spans="1:14">
      <x:c r="A2201" s="274" t="s">
        <x:v>4222</x:v>
      </x:c>
      <x:c r="B2201" s="274" t="n">
        <x:v>8.95</x:v>
      </x:c>
      <x:c r="C2201" s="274" t="n">
        <x:v>0</x:v>
      </x:c>
      <x:c r="D2201" s="274" t="n">
        <x:v>0</x:v>
      </x:c>
      <x:c r="F2201" s="274" t="s">
        <x:v>133</x:v>
      </x:c>
      <x:c r="G2201" s="274" t="s">
        <x:v>1636</x:v>
      </x:c>
      <x:c r="I2201" s="274" t="n">
        <x:v>8</x:v>
      </x:c>
      <x:c r="J2201" s="274" t="n">
        <x:v>1250</x:v>
      </x:c>
      <x:c r="K2201" s="274" t="n">
        <x:v>114</x:v>
      </x:c>
      <x:c r="M2201" s="274" t="s">
        <x:v>4223</x:v>
      </x:c>
      <x:c r="N2201" s="274" t="s">
        <x:v>3671</x:v>
      </x:c>
    </x:row>
    <x:row r="2202" spans="1:14">
      <x:c r="A2202" s="274" t="s">
        <x:v>4224</x:v>
      </x:c>
      <x:c r="B2202" s="274" t="n">
        <x:v>9.81</x:v>
      </x:c>
      <x:c r="C2202" s="274" t="n">
        <x:v>0</x:v>
      </x:c>
      <x:c r="D2202" s="274" t="n">
        <x:v>0</x:v>
      </x:c>
      <x:c r="F2202" s="274" t="s">
        <x:v>133</x:v>
      </x:c>
      <x:c r="G2202" s="274" t="s">
        <x:v>1636</x:v>
      </x:c>
      <x:c r="I2202" s="274" t="n">
        <x:v>8</x:v>
      </x:c>
      <x:c r="J2202" s="274" t="n">
        <x:v>1250</x:v>
      </x:c>
      <x:c r="K2202" s="274" t="n">
        <x:v>125</x:v>
      </x:c>
      <x:c r="M2202" s="274" t="s">
        <x:v>4225</x:v>
      </x:c>
      <x:c r="N2202" s="274" t="s">
        <x:v>3671</x:v>
      </x:c>
    </x:row>
    <x:row r="2203" spans="1:14">
      <x:c r="A2203" s="274" t="s">
        <x:v>4226</x:v>
      </x:c>
      <x:c r="B2203" s="274" t="n">
        <x:v>1.62</x:v>
      </x:c>
      <x:c r="C2203" s="274" t="n">
        <x:v>0</x:v>
      </x:c>
      <x:c r="D2203" s="274" t="n">
        <x:v>0</x:v>
      </x:c>
      <x:c r="F2203" s="274" t="s">
        <x:v>333</x:v>
      </x:c>
      <x:c r="G2203" s="274" t="s">
        <x:v>2160</x:v>
      </x:c>
      <x:c r="I2203" s="274" t="n">
        <x:v>1.4</x:v>
      </x:c>
      <x:c r="J2203" s="274" t="n">
        <x:v>335</x:v>
      </x:c>
      <x:c r="K2203" s="274" t="n">
        <x:v>440</x:v>
      </x:c>
      <x:c r="M2203" s="274" t="s">
        <x:v>4227</x:v>
      </x:c>
      <x:c r="N2203" s="274" t="s">
        <x:v>3325</x:v>
      </x:c>
    </x:row>
    <x:row r="2204" spans="1:14">
      <x:c r="A2204" s="274" t="s">
        <x:v>4228</x:v>
      </x:c>
      <x:c r="B2204" s="274" t="n">
        <x:v>0.6</x:v>
      </x:c>
      <x:c r="C2204" s="274" t="n">
        <x:v>0</x:v>
      </x:c>
      <x:c r="D2204" s="274" t="n">
        <x:v>0</x:v>
      </x:c>
      <x:c r="F2204" s="274" t="s">
        <x:v>333</x:v>
      </x:c>
      <x:c r="G2204" s="274" t="s">
        <x:v>2468</x:v>
      </x:c>
      <x:c r="I2204" s="274" t="n">
        <x:v>0.6</x:v>
      </x:c>
      <x:c r="J2204" s="274" t="n">
        <x:v>1065</x:v>
      </x:c>
      <x:c r="K2204" s="274" t="n">
        <x:v>119</x:v>
      </x:c>
      <x:c r="M2204" s="274" t="s">
        <x:v>4229</x:v>
      </x:c>
      <x:c r="N2204" s="274" t="s">
        <x:v>3984</x:v>
      </x:c>
    </x:row>
    <x:row r="2205" spans="1:14">
      <x:c r="A2205" s="274" t="s">
        <x:v>4230</x:v>
      </x:c>
      <x:c r="B2205" s="274" t="n">
        <x:v>3.31</x:v>
      </x:c>
      <x:c r="C2205" s="274" t="n">
        <x:v>0</x:v>
      </x:c>
      <x:c r="D2205" s="274" t="n">
        <x:v>0</x:v>
      </x:c>
      <x:c r="F2205" s="274" t="s">
        <x:v>4231</x:v>
      </x:c>
      <x:c r="G2205" s="274" t="s">
        <x:v>4232</x:v>
      </x:c>
      <x:c r="I2205" s="274" t="n">
        <x:v>1.5</x:v>
      </x:c>
      <x:c r="J2205" s="274" t="n">
        <x:v>225</x:v>
      </x:c>
      <x:c r="K2205" s="274" t="n">
        <x:v>1250</x:v>
      </x:c>
      <x:c r="N2205" s="274" t="s">
        <x:v>3671</x:v>
      </x:c>
    </x:row>
    <x:row r="2206" spans="1:14">
      <x:c r="A2206" s="274" t="s">
        <x:v>4233</x:v>
      </x:c>
      <x:c r="B2206" s="274" t="n">
        <x:v>0</x:v>
      </x:c>
      <x:c r="C2206" s="274" t="n">
        <x:v>0</x:v>
      </x:c>
      <x:c r="D2206" s="274" t="n">
        <x:v>0</x:v>
      </x:c>
      <x:c r="F2206" s="274" t="s">
        <x:v>311</x:v>
      </x:c>
      <x:c r="G2206" s="274" t="s">
        <x:v>1728</x:v>
      </x:c>
      <x:c r="H2206" s="274" t="s">
        <x:v>1732</x:v>
      </x:c>
      <x:c r="I2206" s="274" t="n">
        <x:v>0.75</x:v>
      </x:c>
      <x:c r="J2206" s="274" t="n">
        <x:v>625</x:v>
      </x:c>
      <x:c r="K2206" s="274" t="n">
        <x:v>260</x:v>
      </x:c>
      <x:c r="M2206" s="274" t="s">
        <x:v>4234</x:v>
      </x:c>
      <x:c r="N2206" s="274" t="s">
        <x:v>155</x:v>
      </x:c>
    </x:row>
    <x:row r="2207" spans="1:14">
      <x:c r="A2207" s="274" t="s">
        <x:v>4235</x:v>
      </x:c>
      <x:c r="B2207" s="274" t="n">
        <x:v>0.95</x:v>
      </x:c>
      <x:c r="C2207" s="274" t="n">
        <x:v>0</x:v>
      </x:c>
      <x:c r="D2207" s="274" t="n">
        <x:v>0</x:v>
      </x:c>
      <x:c r="F2207" s="274" t="s">
        <x:v>333</x:v>
      </x:c>
      <x:c r="G2207" s="274" t="s">
        <x:v>2711</x:v>
      </x:c>
      <x:c r="I2207" s="274" t="n">
        <x:v>1</x:v>
      </x:c>
      <x:c r="J2207" s="274" t="n">
        <x:v>379</x:v>
      </x:c>
      <x:c r="K2207" s="274" t="n">
        <x:v>318</x:v>
      </x:c>
      <x:c r="L2207" s="274" t="n">
        <x:v>318</x:v>
      </x:c>
      <x:c r="M2207" s="274" t="s">
        <x:v>3584</x:v>
      </x:c>
      <x:c r="N2207" s="274" t="s">
        <x:v>3586</x:v>
      </x:c>
    </x:row>
    <x:row r="2208" spans="1:14">
      <x:c r="A2208" s="274" t="s">
        <x:v>4236</x:v>
      </x:c>
      <x:c r="B2208" s="274" t="n">
        <x:v>2.27</x:v>
      </x:c>
      <x:c r="C2208" s="274" t="n">
        <x:v>0</x:v>
      </x:c>
      <x:c r="D2208" s="274" t="n">
        <x:v>0</x:v>
      </x:c>
      <x:c r="F2208" s="274" t="s">
        <x:v>333</x:v>
      </x:c>
      <x:c r="G2208" s="274" t="s">
        <x:v>2468</x:v>
      </x:c>
      <x:c r="I2208" s="274" t="n">
        <x:v>0.9</x:v>
      </x:c>
      <x:c r="J2208" s="274" t="n">
        <x:v>310</x:v>
      </x:c>
      <x:c r="K2208" s="274" t="n">
        <x:v>1035</x:v>
      </x:c>
      <x:c r="M2208" s="274" t="s">
        <x:v>4003</x:v>
      </x:c>
      <x:c r="N2208" s="274" t="s">
        <x:v>3984</x:v>
      </x:c>
    </x:row>
    <x:row r="2209" spans="1:14">
      <x:c r="A2209" s="274" t="s">
        <x:v>4237</x:v>
      </x:c>
      <x:c r="B2209" s="274" t="n">
        <x:v>1.93</x:v>
      </x:c>
      <x:c r="C2209" s="274" t="n">
        <x:v>0</x:v>
      </x:c>
      <x:c r="D2209" s="274" t="n">
        <x:v>0</x:v>
      </x:c>
      <x:c r="F2209" s="274" t="s">
        <x:v>333</x:v>
      </x:c>
      <x:c r="G2209" s="274" t="s">
        <x:v>2468</x:v>
      </x:c>
      <x:c r="I2209" s="274" t="n">
        <x:v>0.7</x:v>
      </x:c>
      <x:c r="J2209" s="274" t="n">
        <x:v>1035</x:v>
      </x:c>
      <x:c r="K2209" s="274" t="n">
        <x:v>340</x:v>
      </x:c>
      <x:c r="M2209" s="274" t="s">
        <x:v>4005</x:v>
      </x:c>
      <x:c r="N2209" s="274" t="s">
        <x:v>3984</x:v>
      </x:c>
    </x:row>
    <x:row r="2210" spans="1:14">
      <x:c r="A2210" s="274" t="s">
        <x:v>4238</x:v>
      </x:c>
      <x:c r="B2210" s="274" t="n">
        <x:v>1.32</x:v>
      </x:c>
      <x:c r="C2210" s="274" t="n">
        <x:v>0</x:v>
      </x:c>
      <x:c r="D2210" s="274" t="n">
        <x:v>35</x:v>
      </x:c>
      <x:c r="E2210" s="274" t="n">
        <x:v>33</x:v>
      </x:c>
      <x:c r="F2210" s="274" t="s">
        <x:v>133</x:v>
      </x:c>
      <x:c r="G2210" s="274" t="s">
        <x:v>136</x:v>
      </x:c>
      <x:c r="H2210" s="274" t="n">
        <x:v>45</x:v>
      </x:c>
      <x:c r="I2210" s="274" t="n">
        <x:v>1.6</x:v>
      </x:c>
      <x:c r="J2210" s="274" t="n">
        <x:v>445</x:v>
      </x:c>
      <x:c r="K2210" s="274" t="n">
        <x:v>235</x:v>
      </x:c>
      <x:c r="M2210" s="274" t="s">
        <x:v>2327</x:v>
      </x:c>
      <x:c r="N2210" s="274" t="s">
        <x:v>131</x:v>
      </x:c>
    </x:row>
    <x:row r="2211" spans="1:14">
      <x:c r="A2211" s="274" t="s">
        <x:v>4239</x:v>
      </x:c>
      <x:c r="B2211" s="274" t="n">
        <x:v>0</x:v>
      </x:c>
      <x:c r="C2211" s="274" t="n">
        <x:v>0</x:v>
      </x:c>
      <x:c r="D2211" s="274" t="n">
        <x:v>0</x:v>
      </x:c>
      <x:c r="F2211" s="274" t="s">
        <x:v>311</x:v>
      </x:c>
      <x:c r="G2211" s="274" t="s">
        <x:v>1728</x:v>
      </x:c>
      <x:c r="H2211" s="274" t="s">
        <x:v>1729</x:v>
      </x:c>
      <x:c r="I2211" s="274" t="n">
        <x:v>0.75</x:v>
      </x:c>
      <x:c r="J2211" s="274" t="n">
        <x:v>625</x:v>
      </x:c>
      <x:c r="K2211" s="274" t="n">
        <x:v>260</x:v>
      </x:c>
      <x:c r="M2211" s="274" t="s">
        <x:v>4240</x:v>
      </x:c>
      <x:c r="N2211" s="274" t="s">
        <x:v>155</x:v>
      </x:c>
    </x:row>
    <x:row r="2212" spans="1:14">
      <x:c r="A2212" s="274" t="s">
        <x:v>4241</x:v>
      </x:c>
      <x:c r="B2212" s="274" t="n">
        <x:v>10.71</x:v>
      </x:c>
      <x:c r="C2212" s="274" t="n">
        <x:v>0</x:v>
      </x:c>
      <x:c r="D2212" s="274" t="n">
        <x:v>0</x:v>
      </x:c>
      <x:c r="F2212" s="274" t="s">
        <x:v>184</x:v>
      </x:c>
      <x:c r="G2212" s="274" t="s">
        <x:v>878</x:v>
      </x:c>
      <x:c r="H2212" s="274" t="s">
        <x:v>285</x:v>
      </x:c>
      <x:c r="I2212" s="274" t="n">
        <x:v>0.65</x:v>
      </x:c>
      <x:c r="J2212" s="274" t="n">
        <x:v>850</x:v>
      </x:c>
      <x:c r="K2212" s="274" t="n">
        <x:v>2379.5</x:v>
      </x:c>
      <x:c r="L2212" s="274" t="n">
        <x:v>2474.5</x:v>
      </x:c>
      <x:c r="M2212" s="274" t="s">
        <x:v>1393</x:v>
      </x:c>
      <x:c r="N2212" s="274" t="s">
        <x:v>870</x:v>
      </x:c>
    </x:row>
    <x:row r="2213" spans="1:14">
      <x:c r="A2213" s="274" t="s">
        <x:v>4242</x:v>
      </x:c>
      <x:c r="B2213" s="274" t="n">
        <x:v>1.59</x:v>
      </x:c>
      <x:c r="C2213" s="274" t="n">
        <x:v>0</x:v>
      </x:c>
      <x:c r="D2213" s="274" t="n">
        <x:v>0</x:v>
      </x:c>
      <x:c r="F2213" s="274" t="s">
        <x:v>133</x:v>
      </x:c>
      <x:c r="G2213" s="274" t="s">
        <x:v>136</x:v>
      </x:c>
      <x:c r="H2213" s="274" t="n">
        <x:v>45</x:v>
      </x:c>
      <x:c r="I2213" s="274" t="n">
        <x:v>1.6</x:v>
      </x:c>
      <x:c r="J2213" s="274" t="n">
        <x:v>420</x:v>
      </x:c>
      <x:c r="K2213" s="274" t="n">
        <x:v>300</x:v>
      </x:c>
      <x:c r="M2213" s="274" t="s">
        <x:v>2353</x:v>
      </x:c>
      <x:c r="N2213" s="274" t="s">
        <x:v>299</x:v>
      </x:c>
    </x:row>
    <x:row r="2214" spans="1:14">
      <x:c r="A2214" s="274" t="s">
        <x:v>4243</x:v>
      </x:c>
      <x:c r="B2214" s="274" t="n">
        <x:v>3.46</x:v>
      </x:c>
      <x:c r="C2214" s="274" t="n">
        <x:v>0</x:v>
      </x:c>
      <x:c r="D2214" s="274" t="n">
        <x:v>45</x:v>
      </x:c>
      <x:c r="F2214" s="274" t="s">
        <x:v>133</x:v>
      </x:c>
      <x:c r="G2214" s="274" t="s">
        <x:v>4244</x:v>
      </x:c>
      <x:c r="I2214" s="274" t="n">
        <x:v>0.6</x:v>
      </x:c>
      <x:c r="J2214" s="274" t="n">
        <x:v>885</x:v>
      </x:c>
      <x:c r="K2214" s="274" t="n">
        <x:v>1035</x:v>
      </x:c>
      <x:c r="L2214" s="274" t="n">
        <x:v>625</x:v>
      </x:c>
      <x:c r="M2214" s="274" t="s">
        <x:v>4245</x:v>
      </x:c>
      <x:c r="N2214" s="274" t="s">
        <x:v>4246</x:v>
      </x:c>
    </x:row>
    <x:row r="2215" spans="1:14">
      <x:c r="A2215" s="274" t="s">
        <x:v>4247</x:v>
      </x:c>
      <x:c r="B2215" s="274" t="n">
        <x:v>3</x:v>
      </x:c>
      <x:c r="C2215" s="274" t="n">
        <x:v>0</x:v>
      </x:c>
      <x:c r="D2215" s="274" t="n">
        <x:v>0</x:v>
      </x:c>
      <x:c r="F2215" s="274" t="s">
        <x:v>133</x:v>
      </x:c>
      <x:c r="G2215" s="274" t="s">
        <x:v>134</x:v>
      </x:c>
      <x:c r="I2215" s="274" t="n">
        <x:v>4</x:v>
      </x:c>
      <x:c r="J2215" s="274" t="n">
        <x:v>290</x:v>
      </x:c>
      <x:c r="K2215" s="274" t="n">
        <x:v>330</x:v>
      </x:c>
      <x:c r="M2215" s="274" t="s">
        <x:v>4248</x:v>
      </x:c>
      <x:c r="N2215" s="274" t="s">
        <x:v>299</x:v>
      </x:c>
    </x:row>
    <x:row r="2216" spans="1:14">
      <x:c r="A2216" s="274" t="s">
        <x:v>4249</x:v>
      </x:c>
      <x:c r="B2216" s="274" t="n">
        <x:v>1.32</x:v>
      </x:c>
      <x:c r="C2216" s="274" t="n">
        <x:v>0</x:v>
      </x:c>
      <x:c r="D2216" s="274" t="n">
        <x:v>35</x:v>
      </x:c>
      <x:c r="E2216" s="274" t="n">
        <x:v>33</x:v>
      </x:c>
      <x:c r="F2216" s="274" t="s">
        <x:v>133</x:v>
      </x:c>
      <x:c r="G2216" s="274" t="s">
        <x:v>136</x:v>
      </x:c>
      <x:c r="H2216" s="274" t="n">
        <x:v>45</x:v>
      </x:c>
      <x:c r="I2216" s="274" t="n">
        <x:v>1.6</x:v>
      </x:c>
      <x:c r="J2216" s="274" t="n">
        <x:v>445</x:v>
      </x:c>
      <x:c r="K2216" s="274" t="n">
        <x:v>235</x:v>
      </x:c>
      <x:c r="M2216" s="274" t="s">
        <x:v>2327</x:v>
      </x:c>
      <x:c r="N2216" s="274" t="s">
        <x:v>4250</x:v>
      </x:c>
    </x:row>
    <x:row r="2217" spans="1:14">
      <x:c r="A2217" s="274" t="s">
        <x:v>4251</x:v>
      </x:c>
      <x:c r="B2217" s="274" t="n">
        <x:v>3.35</x:v>
      </x:c>
      <x:c r="C2217" s="274" t="n">
        <x:v>0</x:v>
      </x:c>
      <x:c r="D2217" s="274" t="n">
        <x:v>50</x:v>
      </x:c>
      <x:c r="E2217" s="274" t="n">
        <x:v>0</x:v>
      </x:c>
      <x:c r="F2217" s="274" t="s">
        <x:v>133</x:v>
      </x:c>
      <x:c r="G2217" s="274" t="s">
        <x:v>136</x:v>
      </x:c>
      <x:c r="H2217" s="274" t="n">
        <x:v>45</x:v>
      </x:c>
      <x:c r="I2217" s="274" t="n">
        <x:v>1.4</x:v>
      </x:c>
      <x:c r="J2217" s="274" t="n">
        <x:v>526</x:v>
      </x:c>
      <x:c r="K2217" s="274" t="n">
        <x:v>664.5</x:v>
      </x:c>
      <x:c r="L2217" s="274" t="n">
        <x:v>484</x:v>
      </x:c>
      <x:c r="M2217" s="274" t="s">
        <x:v>2185</x:v>
      </x:c>
      <x:c r="N2217" s="274" t="s">
        <x:v>4250</x:v>
      </x:c>
    </x:row>
    <x:row r="2218" spans="1:14">
      <x:c r="A2218" s="274" t="s">
        <x:v>4252</x:v>
      </x:c>
      <x:c r="B2218" s="274" t="n">
        <x:v>4.08</x:v>
      </x:c>
      <x:c r="C2218" s="274" t="n">
        <x:v>0</x:v>
      </x:c>
      <x:c r="D2218" s="274" t="n">
        <x:v>32</x:v>
      </x:c>
      <x:c r="E2218" s="274" t="n">
        <x:v>40</x:v>
      </x:c>
      <x:c r="F2218" s="274" t="s">
        <x:v>133</x:v>
      </x:c>
      <x:c r="G2218" s="274" t="s">
        <x:v>136</x:v>
      </x:c>
      <x:c r="H2218" s="274" t="n">
        <x:v>45</x:v>
      </x:c>
      <x:c r="I2218" s="274" t="n">
        <x:v>0.8</x:v>
      </x:c>
      <x:c r="J2218" s="274" t="n">
        <x:v>850</x:v>
      </x:c>
      <x:c r="K2218" s="274" t="n">
        <x:v>754</x:v>
      </x:c>
      <x:c r="M2218" s="274" t="s">
        <x:v>4253</x:v>
      </x:c>
    </x:row>
    <x:row r="2219" spans="1:14">
      <x:c r="A2219" s="274" t="s">
        <x:v>4254</x:v>
      </x:c>
      <x:c r="B2219" s="274" t="n">
        <x:v>0.82</x:v>
      </x:c>
      <x:c r="C2219" s="274" t="n">
        <x:v>0</x:v>
      </x:c>
      <x:c r="D2219" s="274" t="n">
        <x:v>33</x:v>
      </x:c>
      <x:c r="E2219" s="274" t="n">
        <x:v>31</x:v>
      </x:c>
      <x:c r="F2219" s="274" t="s">
        <x:v>133</x:v>
      </x:c>
      <x:c r="G2219" s="274" t="s">
        <x:v>136</x:v>
      </x:c>
      <x:c r="H2219" s="274" t="n">
        <x:v>45</x:v>
      </x:c>
      <x:c r="I2219" s="274" t="n">
        <x:v>0.8</x:v>
      </x:c>
      <x:c r="J2219" s="274" t="n">
        <x:v>438</x:v>
      </x:c>
      <x:c r="K2219" s="274" t="n">
        <x:v>295</x:v>
      </x:c>
      <x:c r="M2219" s="274" t="s">
        <x:v>884</x:v>
      </x:c>
      <x:c r="N2219" s="274" t="s">
        <x:v>155</x:v>
      </x:c>
    </x:row>
    <x:row r="2220" spans="1:14">
      <x:c r="A2220" s="274" t="s">
        <x:v>4255</x:v>
      </x:c>
      <x:c r="B2220" s="274" t="n">
        <x:v>6.48</x:v>
      </x:c>
      <x:c r="C2220" s="274" t="n">
        <x:v>0</x:v>
      </x:c>
      <x:c r="D2220" s="274" t="n">
        <x:v>0</x:v>
      </x:c>
      <x:c r="F2220" s="274" t="s">
        <x:v>333</x:v>
      </x:c>
      <x:c r="G2220" s="274" t="s">
        <x:v>4256</x:v>
      </x:c>
      <x:c r="I2220" s="274" t="n">
        <x:v>1.2</x:v>
      </x:c>
      <x:c r="J2220" s="274" t="n">
        <x:v>550</x:v>
      </x:c>
      <x:c r="K2220" s="274" t="n">
        <x:v>1250</x:v>
      </x:c>
      <x:c r="M2220" s="274" t="s">
        <x:v>4257</x:v>
      </x:c>
      <x:c r="N2220" s="274" t="s">
        <x:v>4258</x:v>
      </x:c>
    </x:row>
    <x:row r="2221" spans="1:14">
      <x:c r="A2221" s="274" t="s">
        <x:v>4259</x:v>
      </x:c>
      <x:c r="B2221" s="274" t="n">
        <x:v>3.82</x:v>
      </x:c>
      <x:c r="C2221" s="274" t="n">
        <x:v>0</x:v>
      </x:c>
      <x:c r="D2221" s="274" t="n">
        <x:v>0</x:v>
      </x:c>
      <x:c r="F2221" s="274" t="s">
        <x:v>333</x:v>
      </x:c>
      <x:c r="G2221" s="274" t="s">
        <x:v>124</x:v>
      </x:c>
      <x:c r="I2221" s="274" t="n">
        <x:v>1.2</x:v>
      </x:c>
      <x:c r="J2221" s="274" t="n">
        <x:v>350</x:v>
      </x:c>
      <x:c r="K2221" s="274" t="n">
        <x:v>1160</x:v>
      </x:c>
      <x:c r="M2221" s="274" t="s">
        <x:v>1144</x:v>
      </x:c>
      <x:c r="N2221" s="274" t="s">
        <x:v>1178</x:v>
      </x:c>
    </x:row>
    <x:row r="2222" spans="1:14">
      <x:c r="A2222" s="274" t="s">
        <x:v>4260</x:v>
      </x:c>
      <x:c r="B2222" s="274" t="n">
        <x:v>1.5</x:v>
      </x:c>
      <x:c r="C2222" s="274" t="n">
        <x:v>0</x:v>
      </x:c>
      <x:c r="D2222" s="274" t="n">
        <x:v>0</x:v>
      </x:c>
      <x:c r="F2222" s="274" t="s">
        <x:v>311</x:v>
      </x:c>
      <x:c r="G2222" s="274" t="s">
        <x:v>1728</x:v>
      </x:c>
      <x:c r="H2222" s="274" t="s">
        <x:v>1732</x:v>
      </x:c>
      <x:c r="I2222" s="274" t="n">
        <x:v>0.65</x:v>
      </x:c>
      <x:c r="J2222" s="274" t="n">
        <x:v>330</x:v>
      </x:c>
      <x:c r="K2222" s="274" t="n">
        <x:v>875</x:v>
      </x:c>
      <x:c r="M2222" s="274" t="s">
        <x:v>2217</x:v>
      </x:c>
      <x:c r="N2222" s="274" t="s">
        <x:v>748</x:v>
      </x:c>
    </x:row>
    <x:row r="2223" spans="1:14">
      <x:c r="A2223" s="274" t="s">
        <x:v>4261</x:v>
      </x:c>
      <x:c r="B2223" s="274" t="n">
        <x:v>1.5</x:v>
      </x:c>
      <x:c r="C2223" s="274" t="n">
        <x:v>0</x:v>
      </x:c>
      <x:c r="D2223" s="274" t="n">
        <x:v>45</x:v>
      </x:c>
      <x:c r="E2223" s="274" t="n">
        <x:v>40</x:v>
      </x:c>
      <x:c r="F2223" s="274" t="s">
        <x:v>333</x:v>
      </x:c>
      <x:c r="G2223" s="274" t="s">
        <x:v>2157</x:v>
      </x:c>
      <x:c r="I2223" s="274" t="n">
        <x:v>0.6</x:v>
      </x:c>
      <x:c r="J2223" s="274" t="n">
        <x:v>940</x:v>
      </x:c>
      <x:c r="K2223" s="274" t="n">
        <x:v>339</x:v>
      </x:c>
      <x:c r="M2223" s="274" t="s">
        <x:v>3357</x:v>
      </x:c>
      <x:c r="N2223" s="274" t="s">
        <x:v>3325</x:v>
      </x:c>
    </x:row>
    <x:row r="2224" spans="1:14">
      <x:c r="A2224" s="274" t="s">
        <x:v>4262</x:v>
      </x:c>
      <x:c r="B2224" s="274" t="n">
        <x:v>4.55</x:v>
      </x:c>
      <x:c r="C2224" s="274" t="n">
        <x:v>0</x:v>
      </x:c>
      <x:c r="D2224" s="274" t="n">
        <x:v>0</x:v>
      </x:c>
      <x:c r="F2224" s="274" t="s">
        <x:v>133</x:v>
      </x:c>
      <x:c r="G2224" s="274" t="s">
        <x:v>148</x:v>
      </x:c>
      <x:c r="I2224" s="274" t="n">
        <x:v>3.6</x:v>
      </x:c>
      <x:c r="J2224" s="274" t="n">
        <x:v>322</x:v>
      </x:c>
      <x:c r="K2224" s="274" t="n">
        <x:v>500</x:v>
      </x:c>
      <x:c r="M2224" s="274" t="s">
        <x:v>4263</x:v>
      </x:c>
    </x:row>
    <x:row r="2225" spans="1:14">
      <x:c r="A2225" s="274" t="s">
        <x:v>4264</x:v>
      </x:c>
      <x:c r="B2225" s="274" t="n">
        <x:v>5.51</x:v>
      </x:c>
      <x:c r="C2225" s="274" t="n">
        <x:v>0</x:v>
      </x:c>
      <x:c r="D2225" s="274" t="n">
        <x:v>45</x:v>
      </x:c>
      <x:c r="E2225" s="274" t="n">
        <x:v>40</x:v>
      </x:c>
      <x:c r="F2225" s="274" t="s">
        <x:v>123</x:v>
      </x:c>
      <x:c r="G2225" s="274" t="s">
        <x:v>153</x:v>
      </x:c>
      <x:c r="I2225" s="274" t="n">
        <x:v>1.2</x:v>
      </x:c>
      <x:c r="J2225" s="274" t="n">
        <x:v>900</x:v>
      </x:c>
      <x:c r="K2225" s="274" t="n">
        <x:v>650</x:v>
      </x:c>
      <x:c r="M2225" s="274" t="s">
        <x:v>4265</x:v>
      </x:c>
    </x:row>
    <x:row r="2226" spans="1:14">
      <x:c r="A2226" s="274" t="s">
        <x:v>4266</x:v>
      </x:c>
      <x:c r="B2226" s="274" t="n">
        <x:v>5.31</x:v>
      </x:c>
      <x:c r="C2226" s="274" t="n">
        <x:v>0</x:v>
      </x:c>
      <x:c r="D2226" s="274" t="n">
        <x:v>25</x:v>
      </x:c>
      <x:c r="E2226" s="274" t="n">
        <x:v>20</x:v>
      </x:c>
      <x:c r="F2226" s="274" t="s">
        <x:v>123</x:v>
      </x:c>
      <x:c r="G2226" s="274" t="s">
        <x:v>153</x:v>
      </x:c>
      <x:c r="I2226" s="274" t="n">
        <x:v>1</x:v>
      </x:c>
      <x:c r="J2226" s="274" t="n">
        <x:v>340</x:v>
      </x:c>
      <x:c r="K2226" s="274" t="n">
        <x:v>1990</x:v>
      </x:c>
      <x:c r="M2226" s="274" t="s">
        <x:v>4267</x:v>
      </x:c>
    </x:row>
    <x:row r="2227" spans="1:14">
      <x:c r="A2227" s="274" t="s">
        <x:v>4268</x:v>
      </x:c>
      <x:c r="B2227" s="274" t="n">
        <x:v>6.78</x:v>
      </x:c>
      <x:c r="C2227" s="274" t="n">
        <x:v>0</x:v>
      </x:c>
      <x:c r="D2227" s="274" t="n">
        <x:v>22</x:v>
      </x:c>
      <x:c r="E2227" s="274" t="n">
        <x:v>17</x:v>
      </x:c>
      <x:c r="F2227" s="274" t="s">
        <x:v>123</x:v>
      </x:c>
      <x:c r="G2227" s="274" t="s">
        <x:v>153</x:v>
      </x:c>
      <x:c r="I2227" s="274" t="n">
        <x:v>1</x:v>
      </x:c>
      <x:c r="J2227" s="274" t="n">
        <x:v>400</x:v>
      </x:c>
      <x:c r="K2227" s="274" t="n">
        <x:v>2160</x:v>
      </x:c>
      <x:c r="M2227" s="274" t="s">
        <x:v>4269</x:v>
      </x:c>
    </x:row>
    <x:row r="2228" spans="1:14">
      <x:c r="A2228" s="274" t="s">
        <x:v>4270</x:v>
      </x:c>
      <x:c r="B2228" s="274" t="n">
        <x:v>5.58</x:v>
      </x:c>
      <x:c r="C2228" s="274" t="n">
        <x:v>0</x:v>
      </x:c>
      <x:c r="D2228" s="274" t="n">
        <x:v>0</x:v>
      </x:c>
      <x:c r="F2228" s="274" t="s">
        <x:v>133</x:v>
      </x:c>
      <x:c r="G2228" s="274" t="s">
        <x:v>148</x:v>
      </x:c>
      <x:c r="I2228" s="274" t="n">
        <x:v>3.6</x:v>
      </x:c>
      <x:c r="J2228" s="274" t="n">
        <x:v>1122</x:v>
      </x:c>
      <x:c r="K2228" s="274" t="n">
        <x:v>176</x:v>
      </x:c>
      <x:c r="M2228" s="274" t="s">
        <x:v>4271</x:v>
      </x:c>
      <x:c r="N2228" s="274" t="s">
        <x:v>299</x:v>
      </x:c>
    </x:row>
    <x:row r="2229" spans="1:14">
      <x:c r="A2229" s="274" t="s">
        <x:v>4272</x:v>
      </x:c>
      <x:c r="B2229" s="274" t="n">
        <x:v>5.51</x:v>
      </x:c>
      <x:c r="C2229" s="274" t="n">
        <x:v>0</x:v>
      </x:c>
      <x:c r="D2229" s="274" t="n">
        <x:v>45</x:v>
      </x:c>
      <x:c r="E2229" s="274" t="n">
        <x:v>40</x:v>
      </x:c>
      <x:c r="F2229" s="274" t="s">
        <x:v>1980</x:v>
      </x:c>
      <x:c r="G2229" s="274" t="s">
        <x:v>1985</x:v>
      </x:c>
      <x:c r="I2229" s="274" t="n">
        <x:v>1.2</x:v>
      </x:c>
      <x:c r="J2229" s="274" t="n">
        <x:v>900</x:v>
      </x:c>
      <x:c r="K2229" s="274" t="n">
        <x:v>650</x:v>
      </x:c>
      <x:c r="M2229" s="274" t="s">
        <x:v>4265</x:v>
      </x:c>
    </x:row>
    <x:row r="2230" spans="1:14">
      <x:c r="A2230" s="274" t="s">
        <x:v>4273</x:v>
      </x:c>
      <x:c r="B2230" s="274" t="n">
        <x:v>1.45</x:v>
      </x:c>
      <x:c r="C2230" s="274" t="n">
        <x:v>0</x:v>
      </x:c>
      <x:c r="D2230" s="274" t="n">
        <x:v>0</x:v>
      </x:c>
      <x:c r="F2230" s="274" t="s">
        <x:v>133</x:v>
      </x:c>
      <x:c r="G2230" s="274" t="s">
        <x:v>134</x:v>
      </x:c>
      <x:c r="I2230" s="274" t="n">
        <x:v>4</x:v>
      </x:c>
      <x:c r="J2230" s="274" t="n">
        <x:v>191</x:v>
      </x:c>
      <x:c r="K2230" s="274" t="n">
        <x:v>241</x:v>
      </x:c>
      <x:c r="M2230" s="274" t="s">
        <x:v>4274</x:v>
      </x:c>
      <x:c r="N2230" s="274" t="s">
        <x:v>155</x:v>
      </x:c>
    </x:row>
    <x:row r="2231" spans="1:14">
      <x:c r="A2231" s="274" t="s">
        <x:v>4275</x:v>
      </x:c>
      <x:c r="B2231" s="274" t="n">
        <x:v>0.43</x:v>
      </x:c>
      <x:c r="C2231" s="274" t="n">
        <x:v>0</x:v>
      </x:c>
      <x:c r="D2231" s="274" t="n">
        <x:v>0</x:v>
      </x:c>
      <x:c r="F2231" s="274" t="s">
        <x:v>333</x:v>
      </x:c>
      <x:c r="G2231" s="274" t="s">
        <x:v>153</x:v>
      </x:c>
      <x:c r="I2231" s="274" t="n">
        <x:v>0.7</x:v>
      </x:c>
      <x:c r="J2231" s="274" t="n">
        <x:v>488</x:v>
      </x:c>
      <x:c r="K2231" s="274" t="n">
        <x:v>162</x:v>
      </x:c>
      <x:c r="M2231" s="274" t="s">
        <x:v>774</x:v>
      </x:c>
      <x:c r="N2231" s="274" t="s">
        <x:v>155</x:v>
      </x:c>
    </x:row>
    <x:row r="2232" spans="1:14">
      <x:c r="A2232" s="274" t="s">
        <x:v>4276</x:v>
      </x:c>
      <x:c r="B2232" s="274" t="n">
        <x:v>0.54</x:v>
      </x:c>
      <x:c r="C2232" s="274" t="n">
        <x:v>0</x:v>
      </x:c>
      <x:c r="D2232" s="274" t="n">
        <x:v>0</x:v>
      </x:c>
      <x:c r="F2232" s="274" t="s">
        <x:v>133</x:v>
      </x:c>
      <x:c r="G2232" s="274" t="s">
        <x:v>136</x:v>
      </x:c>
      <x:c r="H2232" s="274" t="n">
        <x:v>45</x:v>
      </x:c>
      <x:c r="I2232" s="274" t="n">
        <x:v>0.6</x:v>
      </x:c>
      <x:c r="J2232" s="274" t="n">
        <x:v>360</x:v>
      </x:c>
      <x:c r="K2232" s="274" t="n">
        <x:v>310</x:v>
      </x:c>
      <x:c r="M2232" s="274" t="s">
        <x:v>3759</x:v>
      </x:c>
      <x:c r="N2232" s="274" t="s">
        <x:v>4250</x:v>
      </x:c>
    </x:row>
    <x:row r="2233" spans="1:14">
      <x:c r="A2233" s="274" t="s">
        <x:v>4277</x:v>
      </x:c>
      <x:c r="B2233" s="274" t="n">
        <x:v>8.21</x:v>
      </x:c>
      <x:c r="C2233" s="274" t="n">
        <x:v>0</x:v>
      </x:c>
      <x:c r="D2233" s="274" t="n">
        <x:v>0</x:v>
      </x:c>
      <x:c r="F2233" s="274" t="s">
        <x:v>133</x:v>
      </x:c>
      <x:c r="G2233" s="274" t="s">
        <x:v>134</x:v>
      </x:c>
      <x:c r="I2233" s="274" t="n">
        <x:v>4</x:v>
      </x:c>
      <x:c r="J2233" s="274" t="n">
        <x:v>249</x:v>
      </x:c>
      <x:c r="K2233" s="274" t="n">
        <x:v>1050</x:v>
      </x:c>
      <x:c r="M2233" s="274" t="s">
        <x:v>4278</x:v>
      </x:c>
      <x:c r="N2233" s="274" t="s">
        <x:v>870</x:v>
      </x:c>
    </x:row>
    <x:row r="2234" spans="1:14">
      <x:c r="A2234" s="274" t="s">
        <x:v>4279</x:v>
      </x:c>
      <x:c r="B2234" s="274" t="n">
        <x:v>0.96</x:v>
      </x:c>
      <x:c r="C2234" s="274" t="n">
        <x:v>0</x:v>
      </x:c>
      <x:c r="D2234" s="274" t="n">
        <x:v>0</x:v>
      </x:c>
      <x:c r="F2234" s="274" t="s">
        <x:v>133</x:v>
      </x:c>
      <x:c r="G2234" s="274" t="s">
        <x:v>144</x:v>
      </x:c>
      <x:c r="H2234" s="274" t="n">
        <x:v>45</x:v>
      </x:c>
      <x:c r="I2234" s="274" t="n">
        <x:v>1.8</x:v>
      </x:c>
      <x:c r="J2234" s="274" t="n">
        <x:v>155</x:v>
      </x:c>
      <x:c r="K2234" s="274" t="n">
        <x:v>434</x:v>
      </x:c>
      <x:c r="M2234" s="274" t="s">
        <x:v>667</x:v>
      </x:c>
      <x:c r="N2234" s="274" t="s">
        <x:v>299</x:v>
      </x:c>
    </x:row>
    <x:row r="2235" spans="1:14">
      <x:c r="A2235" s="274" t="s">
        <x:v>4280</x:v>
      </x:c>
      <x:c r="B2235" s="274" t="n">
        <x:v>1.05</x:v>
      </x:c>
      <x:c r="C2235" s="274" t="n">
        <x:v>0</x:v>
      </x:c>
      <x:c r="D2235" s="274" t="n">
        <x:v>0</x:v>
      </x:c>
      <x:c r="F2235" s="274" t="s">
        <x:v>133</x:v>
      </x:c>
      <x:c r="G2235" s="274" t="s">
        <x:v>144</x:v>
      </x:c>
      <x:c r="H2235" s="274" t="n">
        <x:v>45</x:v>
      </x:c>
      <x:c r="I2235" s="274" t="n">
        <x:v>1.8</x:v>
      </x:c>
      <x:c r="J2235" s="274" t="n">
        <x:v>452</x:v>
      </x:c>
      <x:c r="K2235" s="274" t="n">
        <x:v>164</x:v>
      </x:c>
      <x:c r="M2235" s="274" t="s">
        <x:v>669</x:v>
      </x:c>
      <x:c r="N2235" s="274" t="s">
        <x:v>299</x:v>
      </x:c>
    </x:row>
    <x:row r="2236" spans="1:14">
      <x:c r="A2236" s="274" t="s">
        <x:v>4281</x:v>
      </x:c>
      <x:c r="B2236" s="274" t="n">
        <x:v>2.67</x:v>
      </x:c>
      <x:c r="C2236" s="274" t="n">
        <x:v>0</x:v>
      </x:c>
      <x:c r="D2236" s="274" t="n">
        <x:v>0</x:v>
      </x:c>
      <x:c r="F2236" s="274" t="s">
        <x:v>133</x:v>
      </x:c>
      <x:c r="G2236" s="274" t="s">
        <x:v>134</x:v>
      </x:c>
      <x:c r="I2236" s="274" t="n">
        <x:v>2.6</x:v>
      </x:c>
      <x:c r="J2236" s="274" t="n">
        <x:v>641</x:v>
      </x:c>
      <x:c r="K2236" s="274" t="n">
        <x:v>204</x:v>
      </x:c>
      <x:c r="M2236" s="274" t="s">
        <x:v>4282</x:v>
      </x:c>
      <x:c r="N2236" s="274" t="s">
        <x:v>299</x:v>
      </x:c>
    </x:row>
    <x:row r="2237" spans="1:14">
      <x:c r="A2237" s="274" t="s">
        <x:v>4283</x:v>
      </x:c>
      <x:c r="B2237" s="274" t="n">
        <x:v>1.73</x:v>
      </x:c>
      <x:c r="C2237" s="274" t="n">
        <x:v>0</x:v>
      </x:c>
      <x:c r="D2237" s="274" t="n">
        <x:v>0</x:v>
      </x:c>
      <x:c r="F2237" s="274" t="s">
        <x:v>333</x:v>
      </x:c>
      <x:c r="G2237" s="274" t="s">
        <x:v>4256</x:v>
      </x:c>
      <x:c r="I2237" s="274" t="n">
        <x:v>1.6</x:v>
      </x:c>
      <x:c r="J2237" s="274" t="n">
        <x:v>110</x:v>
      </x:c>
      <x:c r="K2237" s="274" t="n">
        <x:v>1250</x:v>
      </x:c>
      <x:c r="M2237" s="274" t="s">
        <x:v>4284</x:v>
      </x:c>
      <x:c r="N2237" s="274" t="s">
        <x:v>4258</x:v>
      </x:c>
    </x:row>
    <x:row r="2238" spans="1:14">
      <x:c r="A2238" s="274" t="s">
        <x:v>4285</x:v>
      </x:c>
      <x:c r="B2238" s="274" t="n">
        <x:v>2</x:v>
      </x:c>
      <x:c r="C2238" s="274" t="n">
        <x:v>0</x:v>
      </x:c>
      <x:c r="D2238" s="274" t="n">
        <x:v>0</x:v>
      </x:c>
      <x:c r="F2238" s="274" t="s">
        <x:v>123</x:v>
      </x:c>
      <x:c r="G2238" s="274" t="s">
        <x:v>4286</x:v>
      </x:c>
      <x:c r="I2238" s="274" t="n">
        <x:v>0.5</x:v>
      </x:c>
      <x:c r="J2238" s="274" t="n">
        <x:v>670</x:v>
      </x:c>
      <x:c r="K2238" s="274" t="n">
        <x:v>760</x:v>
      </x:c>
      <x:c r="M2238" s="274" t="s">
        <x:v>4287</x:v>
      </x:c>
      <x:c r="N2238" s="274" t="s">
        <x:v>4258</x:v>
      </x:c>
    </x:row>
    <x:row r="2239" spans="1:14">
      <x:c r="A2239" s="274" t="s">
        <x:v>4288</x:v>
      </x:c>
      <x:c r="B2239" s="274" t="n">
        <x:v>1.47</x:v>
      </x:c>
      <x:c r="C2239" s="274" t="n">
        <x:v>0</x:v>
      </x:c>
      <x:c r="D2239" s="274" t="n">
        <x:v>0</x:v>
      </x:c>
      <x:c r="F2239" s="274" t="s">
        <x:v>123</x:v>
      </x:c>
      <x:c r="G2239" s="274" t="s">
        <x:v>4286</x:v>
      </x:c>
      <x:c r="I2239" s="274" t="n">
        <x:v>0.5</x:v>
      </x:c>
      <x:c r="J2239" s="274" t="n">
        <x:v>550</x:v>
      </x:c>
      <x:c r="K2239" s="274" t="n">
        <x:v>680</x:v>
      </x:c>
      <x:c r="M2239" s="274" t="s">
        <x:v>4289</x:v>
      </x:c>
      <x:c r="N2239" s="274" t="s">
        <x:v>4258</x:v>
      </x:c>
    </x:row>
    <x:row r="2240" spans="1:14">
      <x:c r="A2240" s="274" t="s">
        <x:v>4290</x:v>
      </x:c>
      <x:c r="B2240" s="274" t="n">
        <x:v>4.46</x:v>
      </x:c>
      <x:c r="C2240" s="274" t="n">
        <x:v>0</x:v>
      </x:c>
      <x:c r="D2240" s="274" t="n">
        <x:v>0</x:v>
      </x:c>
      <x:c r="F2240" s="274" t="s">
        <x:v>333</x:v>
      </x:c>
      <x:c r="G2240" s="274" t="s">
        <x:v>4256</x:v>
      </x:c>
      <x:c r="I2240" s="274" t="n">
        <x:v>1.4</x:v>
      </x:c>
      <x:c r="J2240" s="274" t="n">
        <x:v>325</x:v>
      </x:c>
      <x:c r="K2240" s="274" t="n">
        <x:v>1250</x:v>
      </x:c>
      <x:c r="M2240" s="274" t="s">
        <x:v>4291</x:v>
      </x:c>
      <x:c r="N2240" s="274" t="s">
        <x:v>4258</x:v>
      </x:c>
    </x:row>
    <x:row r="2241" spans="1:14">
      <x:c r="A2241" s="274" t="s">
        <x:v>4292</x:v>
      </x:c>
      <x:c r="B2241" s="274" t="n">
        <x:v>6.48</x:v>
      </x:c>
      <x:c r="C2241" s="274" t="n">
        <x:v>0</x:v>
      </x:c>
      <x:c r="D2241" s="274" t="n">
        <x:v>0</x:v>
      </x:c>
      <x:c r="F2241" s="274" t="s">
        <x:v>333</x:v>
      </x:c>
      <x:c r="G2241" s="274" t="s">
        <x:v>4256</x:v>
      </x:c>
      <x:c r="I2241" s="274" t="n">
        <x:v>1.2</x:v>
      </x:c>
      <x:c r="J2241" s="274" t="n">
        <x:v>550</x:v>
      </x:c>
      <x:c r="K2241" s="274" t="n">
        <x:v>1250</x:v>
      </x:c>
      <x:c r="M2241" s="274" t="s">
        <x:v>4293</x:v>
      </x:c>
      <x:c r="N2241" s="274" t="s">
        <x:v>4258</x:v>
      </x:c>
    </x:row>
    <x:row r="2242" spans="1:14">
      <x:c r="A2242" s="274" t="s">
        <x:v>4294</x:v>
      </x:c>
      <x:c r="B2242" s="274" t="n">
        <x:v>7.28</x:v>
      </x:c>
      <x:c r="C2242" s="274" t="n">
        <x:v>0</x:v>
      </x:c>
      <x:c r="D2242" s="274" t="n">
        <x:v>0</x:v>
      </x:c>
      <x:c r="F2242" s="274" t="s">
        <x:v>333</x:v>
      </x:c>
      <x:c r="G2242" s="274" t="s">
        <x:v>4256</x:v>
      </x:c>
      <x:c r="I2242" s="274" t="n">
        <x:v>1.4</x:v>
      </x:c>
      <x:c r="J2242" s="274" t="n">
        <x:v>530</x:v>
      </x:c>
      <x:c r="K2242" s="274" t="n">
        <x:v>1250</x:v>
      </x:c>
      <x:c r="M2242" s="274" t="s">
        <x:v>4295</x:v>
      </x:c>
      <x:c r="N2242" s="274" t="s">
        <x:v>4258</x:v>
      </x:c>
    </x:row>
    <x:row r="2243" spans="1:14">
      <x:c r="A2243" s="274" t="s">
        <x:v>4296</x:v>
      </x:c>
      <x:c r="B2243" s="274" t="n">
        <x:v>5</x:v>
      </x:c>
      <x:c r="C2243" s="274" t="n">
        <x:v>0</x:v>
      </x:c>
      <x:c r="D2243" s="274" t="n">
        <x:v>0</x:v>
      </x:c>
      <x:c r="F2243" s="274" t="s">
        <x:v>333</x:v>
      </x:c>
      <x:c r="G2243" s="274" t="s">
        <x:v>4256</x:v>
      </x:c>
      <x:c r="I2243" s="274" t="n">
        <x:v>1.2</x:v>
      </x:c>
      <x:c r="J2243" s="274" t="n">
        <x:v>425</x:v>
      </x:c>
      <x:c r="K2243" s="274" t="n">
        <x:v>1250</x:v>
      </x:c>
      <x:c r="M2243" s="274" t="s">
        <x:v>4297</x:v>
      </x:c>
      <x:c r="N2243" s="274" t="s">
        <x:v>4258</x:v>
      </x:c>
    </x:row>
    <x:row r="2244" spans="1:14">
      <x:c r="A2244" s="274" t="s">
        <x:v>4298</x:v>
      </x:c>
      <x:c r="B2244" s="274" t="n">
        <x:v>5.69</x:v>
      </x:c>
      <x:c r="C2244" s="274" t="n">
        <x:v>0</x:v>
      </x:c>
      <x:c r="D2244" s="274" t="n">
        <x:v>0</x:v>
      </x:c>
      <x:c r="F2244" s="274" t="s">
        <x:v>133</x:v>
      </x:c>
      <x:c r="G2244" s="274" t="s">
        <x:v>4299</x:v>
      </x:c>
      <x:c r="I2244" s="274" t="n">
        <x:v>2</x:v>
      </x:c>
      <x:c r="J2244" s="274" t="n">
        <x:v>290</x:v>
      </x:c>
      <x:c r="K2244" s="274" t="n">
        <x:v>1250</x:v>
      </x:c>
      <x:c r="M2244" s="274" t="s">
        <x:v>4300</x:v>
      </x:c>
      <x:c r="N2244" s="274" t="s">
        <x:v>4258</x:v>
      </x:c>
    </x:row>
    <x:row r="2245" spans="1:14">
      <x:c r="A2245" s="274" t="s">
        <x:v>4301</x:v>
      </x:c>
      <x:c r="B2245" s="274" t="n">
        <x:v>1.73</x:v>
      </x:c>
      <x:c r="C2245" s="274" t="n">
        <x:v>0</x:v>
      </x:c>
      <x:c r="D2245" s="274" t="n">
        <x:v>0</x:v>
      </x:c>
      <x:c r="F2245" s="274" t="s">
        <x:v>123</x:v>
      </x:c>
      <x:c r="G2245" s="274" t="s">
        <x:v>4302</x:v>
      </x:c>
      <x:c r="I2245" s="274" t="n">
        <x:v>1.6</x:v>
      </x:c>
      <x:c r="J2245" s="274" t="n">
        <x:v>110</x:v>
      </x:c>
      <x:c r="K2245" s="274" t="n">
        <x:v>1250</x:v>
      </x:c>
      <x:c r="M2245" s="274" t="s">
        <x:v>4303</x:v>
      </x:c>
      <x:c r="N2245" s="274" t="s">
        <x:v>4258</x:v>
      </x:c>
    </x:row>
    <x:row r="2246" spans="1:14">
      <x:c r="A2246" s="274" t="s">
        <x:v>4304</x:v>
      </x:c>
      <x:c r="B2246" s="274" t="n">
        <x:v>2.55</x:v>
      </x:c>
      <x:c r="C2246" s="274" t="n">
        <x:v>0</x:v>
      </x:c>
      <x:c r="D2246" s="274" t="n">
        <x:v>0</x:v>
      </x:c>
      <x:c r="F2246" s="274" t="s">
        <x:v>123</x:v>
      </x:c>
      <x:c r="G2246" s="274" t="s">
        <x:v>4302</x:v>
      </x:c>
      <x:c r="I2246" s="274" t="n">
        <x:v>2</x:v>
      </x:c>
      <x:c r="J2246" s="274" t="n">
        <x:v>130</x:v>
      </x:c>
      <x:c r="K2246" s="274" t="n">
        <x:v>1250</x:v>
      </x:c>
      <x:c r="M2246" s="274" t="s">
        <x:v>4305</x:v>
      </x:c>
      <x:c r="N2246" s="274" t="s">
        <x:v>4258</x:v>
      </x:c>
    </x:row>
    <x:row r="2247" spans="1:14">
      <x:c r="A2247" s="274" t="s">
        <x:v>4306</x:v>
      </x:c>
      <x:c r="B2247" s="274" t="n">
        <x:v>1.77</x:v>
      </x:c>
      <x:c r="C2247" s="274" t="n">
        <x:v>0</x:v>
      </x:c>
      <x:c r="D2247" s="274" t="n">
        <x:v>0</x:v>
      </x:c>
      <x:c r="F2247" s="274" t="s">
        <x:v>133</x:v>
      </x:c>
      <x:c r="G2247" s="274" t="s">
        <x:v>4299</x:v>
      </x:c>
      <x:c r="I2247" s="274" t="n">
        <x:v>2</x:v>
      </x:c>
      <x:c r="J2247" s="274" t="n">
        <x:v>90</x:v>
      </x:c>
      <x:c r="K2247" s="274" t="n">
        <x:v>1250</x:v>
      </x:c>
      <x:c r="M2247" s="274" t="s">
        <x:v>4307</x:v>
      </x:c>
      <x:c r="N2247" s="274" t="s">
        <x:v>4258</x:v>
      </x:c>
    </x:row>
    <x:row r="2248" spans="1:14">
      <x:c r="A2248" s="274" t="s">
        <x:v>4308</x:v>
      </x:c>
      <x:c r="B2248" s="274" t="n">
        <x:v>5.61</x:v>
      </x:c>
      <x:c r="C2248" s="274" t="n">
        <x:v>0</x:v>
      </x:c>
      <x:c r="D2248" s="274" t="n">
        <x:v>0</x:v>
      </x:c>
      <x:c r="F2248" s="274" t="s">
        <x:v>133</x:v>
      </x:c>
      <x:c r="G2248" s="274" t="s">
        <x:v>4299</x:v>
      </x:c>
      <x:c r="I2248" s="274" t="n">
        <x:v>2.6</x:v>
      </x:c>
      <x:c r="J2248" s="274" t="n">
        <x:v>220</x:v>
      </x:c>
      <x:c r="K2248" s="274" t="n">
        <x:v>1250</x:v>
      </x:c>
      <x:c r="M2248" s="274" t="s">
        <x:v>4309</x:v>
      </x:c>
      <x:c r="N2248" s="274" t="s">
        <x:v>4258</x:v>
      </x:c>
    </x:row>
    <x:row r="2249" spans="1:14">
      <x:c r="A2249" s="274" t="s">
        <x:v>4310</x:v>
      </x:c>
      <x:c r="B2249" s="274" t="n">
        <x:v>3.93</x:v>
      </x:c>
      <x:c r="C2249" s="274" t="n">
        <x:v>0</x:v>
      </x:c>
      <x:c r="D2249" s="274" t="n">
        <x:v>0</x:v>
      </x:c>
      <x:c r="F2249" s="274" t="s">
        <x:v>123</x:v>
      </x:c>
      <x:c r="G2249" s="274" t="s">
        <x:v>4302</x:v>
      </x:c>
      <x:c r="I2249" s="274" t="n">
        <x:v>2</x:v>
      </x:c>
      <x:c r="J2249" s="274" t="n">
        <x:v>200</x:v>
      </x:c>
      <x:c r="K2249" s="274" t="n">
        <x:v>1250</x:v>
      </x:c>
      <x:c r="M2249" s="274" t="s">
        <x:v>4311</x:v>
      </x:c>
      <x:c r="N2249" s="274" t="s">
        <x:v>4258</x:v>
      </x:c>
    </x:row>
    <x:row r="2250" spans="1:14">
      <x:c r="A2250" s="274" t="s">
        <x:v>4312</x:v>
      </x:c>
      <x:c r="B2250" s="274" t="n">
        <x:v>1.57</x:v>
      </x:c>
      <x:c r="C2250" s="274" t="n">
        <x:v>0</x:v>
      </x:c>
      <x:c r="D2250" s="274" t="n">
        <x:v>0</x:v>
      </x:c>
      <x:c r="F2250" s="274" t="s">
        <x:v>123</x:v>
      </x:c>
      <x:c r="G2250" s="274" t="s">
        <x:v>4299</x:v>
      </x:c>
      <x:c r="I2250" s="274" t="n">
        <x:v>1.6</x:v>
      </x:c>
      <x:c r="J2250" s="274" t="n">
        <x:v>100</x:v>
      </x:c>
      <x:c r="K2250" s="274" t="n">
        <x:v>1250</x:v>
      </x:c>
      <x:c r="M2250" s="274" t="s">
        <x:v>4313</x:v>
      </x:c>
      <x:c r="N2250" s="274" t="s">
        <x:v>4258</x:v>
      </x:c>
    </x:row>
    <x:row r="2251" spans="1:14">
      <x:c r="A2251" s="274" t="s">
        <x:v>4314</x:v>
      </x:c>
      <x:c r="B2251" s="274" t="n">
        <x:v>2.55</x:v>
      </x:c>
      <x:c r="C2251" s="274" t="n">
        <x:v>0</x:v>
      </x:c>
      <x:c r="D2251" s="274" t="n">
        <x:v>0</x:v>
      </x:c>
      <x:c r="F2251" s="274" t="s">
        <x:v>123</x:v>
      </x:c>
      <x:c r="G2251" s="274" t="s">
        <x:v>4302</x:v>
      </x:c>
      <x:c r="I2251" s="274" t="n">
        <x:v>2.6</x:v>
      </x:c>
      <x:c r="J2251" s="274" t="n">
        <x:v>100</x:v>
      </x:c>
      <x:c r="K2251" s="274" t="n">
        <x:v>1250</x:v>
      </x:c>
      <x:c r="M2251" s="274" t="s">
        <x:v>4315</x:v>
      </x:c>
      <x:c r="N2251" s="274" t="s">
        <x:v>4258</x:v>
      </x:c>
    </x:row>
    <x:row r="2252" spans="1:14">
      <x:c r="A2252" s="274" t="s">
        <x:v>4316</x:v>
      </x:c>
      <x:c r="B2252" s="274" t="n">
        <x:v>0.62</x:v>
      </x:c>
      <x:c r="C2252" s="274" t="n">
        <x:v>0</x:v>
      </x:c>
      <x:c r="D2252" s="274" t="n">
        <x:v>0</x:v>
      </x:c>
      <x:c r="F2252" s="274" t="s">
        <x:v>133</x:v>
      </x:c>
      <x:c r="G2252" s="274" t="s">
        <x:v>144</x:v>
      </x:c>
      <x:c r="H2252" s="274" t="n">
        <x:v>45</x:v>
      </x:c>
      <x:c r="I2252" s="274" t="n">
        <x:v>1.4</x:v>
      </x:c>
      <x:c r="J2252" s="274" t="n">
        <x:v>247</x:v>
      </x:c>
      <x:c r="K2252" s="274" t="n">
        <x:v>225</x:v>
      </x:c>
      <x:c r="M2252" s="274" t="s">
        <x:v>4317</x:v>
      </x:c>
      <x:c r="N2252" s="274" t="s">
        <x:v>3671</x:v>
      </x:c>
    </x:row>
    <x:row r="2253" spans="1:14">
      <x:c r="A2253" s="274" t="s">
        <x:v>4318</x:v>
      </x:c>
      <x:c r="B2253" s="274" t="n">
        <x:v>1.78</x:v>
      </x:c>
      <x:c r="C2253" s="274" t="n">
        <x:v>0</x:v>
      </x:c>
      <x:c r="D2253" s="274" t="n">
        <x:v>0</x:v>
      </x:c>
      <x:c r="F2253" s="274" t="s">
        <x:v>133</x:v>
      </x:c>
      <x:c r="G2253" s="274" t="s">
        <x:v>136</x:v>
      </x:c>
      <x:c r="H2253" s="274" t="n">
        <x:v>45</x:v>
      </x:c>
      <x:c r="I2253" s="274" t="n">
        <x:v>0.9</x:v>
      </x:c>
      <x:c r="J2253" s="274" t="n">
        <x:v>375</x:v>
      </x:c>
      <x:c r="K2253" s="274" t="n">
        <x:v>665</x:v>
      </x:c>
      <x:c r="M2253" s="274" t="s">
        <x:v>4319</x:v>
      </x:c>
      <x:c r="N2253" s="274" t="s">
        <x:v>3671</x:v>
      </x:c>
    </x:row>
    <x:row r="2254" spans="1:14">
      <x:c r="A2254" s="274" t="s">
        <x:v>4320</x:v>
      </x:c>
      <x:c r="B2254" s="274" t="n">
        <x:v>3.45</x:v>
      </x:c>
      <x:c r="C2254" s="274" t="n">
        <x:v>0</x:v>
      </x:c>
      <x:c r="D2254" s="274" t="n">
        <x:v>0</x:v>
      </x:c>
      <x:c r="F2254" s="274" t="s">
        <x:v>133</x:v>
      </x:c>
      <x:c r="G2254" s="274" t="s">
        <x:v>4299</x:v>
      </x:c>
      <x:c r="I2254" s="274" t="n">
        <x:v>2.6</x:v>
      </x:c>
      <x:c r="J2254" s="274" t="n">
        <x:v>135</x:v>
      </x:c>
      <x:c r="K2254" s="274" t="n">
        <x:v>1250</x:v>
      </x:c>
      <x:c r="M2254" s="274" t="s">
        <x:v>4321</x:v>
      </x:c>
      <x:c r="N2254" s="274" t="s">
        <x:v>4258</x:v>
      </x:c>
    </x:row>
    <x:row r="2255" spans="1:14">
      <x:c r="A2255" s="274" t="s">
        <x:v>4322</x:v>
      </x:c>
      <x:c r="B2255" s="274" t="n">
        <x:v>3.19</x:v>
      </x:c>
      <x:c r="C2255" s="274" t="n">
        <x:v>0</x:v>
      </x:c>
      <x:c r="D2255" s="274" t="n">
        <x:v>0</x:v>
      </x:c>
      <x:c r="F2255" s="274" t="s">
        <x:v>133</x:v>
      </x:c>
      <x:c r="G2255" s="274" t="s">
        <x:v>4299</x:v>
      </x:c>
      <x:c r="I2255" s="274" t="n">
        <x:v>2.6</x:v>
      </x:c>
      <x:c r="J2255" s="274" t="n">
        <x:v>125</x:v>
      </x:c>
      <x:c r="K2255" s="274" t="n">
        <x:v>1250</x:v>
      </x:c>
      <x:c r="M2255" s="274" t="s">
        <x:v>4323</x:v>
      </x:c>
      <x:c r="N2255" s="274" t="s">
        <x:v>4258</x:v>
      </x:c>
    </x:row>
    <x:row r="2256" spans="1:14">
      <x:c r="A2256" s="274" t="s">
        <x:v>4324</x:v>
      </x:c>
      <x:c r="B2256" s="274" t="n">
        <x:v>5.89</x:v>
      </x:c>
      <x:c r="C2256" s="274" t="n">
        <x:v>0</x:v>
      </x:c>
      <x:c r="D2256" s="274" t="n">
        <x:v>0</x:v>
      </x:c>
      <x:c r="F2256" s="274" t="s">
        <x:v>133</x:v>
      </x:c>
      <x:c r="G2256" s="274" t="s">
        <x:v>4299</x:v>
      </x:c>
      <x:c r="I2256" s="274" t="n">
        <x:v>2</x:v>
      </x:c>
      <x:c r="J2256" s="274" t="n">
        <x:v>300</x:v>
      </x:c>
      <x:c r="K2256" s="274" t="n">
        <x:v>1250</x:v>
      </x:c>
      <x:c r="M2256" s="274" t="s">
        <x:v>4325</x:v>
      </x:c>
      <x:c r="N2256" s="274" t="s">
        <x:v>4258</x:v>
      </x:c>
    </x:row>
    <x:row r="2257" spans="1:14">
      <x:c r="A2257" s="274" t="s">
        <x:v>4326</x:v>
      </x:c>
      <x:c r="B2257" s="274" t="n">
        <x:v>1.88</x:v>
      </x:c>
      <x:c r="C2257" s="274" t="n">
        <x:v>0</x:v>
      </x:c>
      <x:c r="D2257" s="274" t="n">
        <x:v>0</x:v>
      </x:c>
      <x:c r="F2257" s="274" t="s">
        <x:v>133</x:v>
      </x:c>
      <x:c r="G2257" s="274" t="s">
        <x:v>144</x:v>
      </x:c>
      <x:c r="H2257" s="274" t="n">
        <x:v>45</x:v>
      </x:c>
      <x:c r="I2257" s="274" t="n">
        <x:v>2</x:v>
      </x:c>
      <x:c r="J2257" s="274" t="n">
        <x:v>225</x:v>
      </x:c>
      <x:c r="K2257" s="274" t="n">
        <x:v>530</x:v>
      </x:c>
      <x:c r="M2257" s="274" t="s">
        <x:v>4327</x:v>
      </x:c>
      <x:c r="N2257" s="274" t="s">
        <x:v>3671</x:v>
      </x:c>
    </x:row>
    <x:row r="2258" spans="1:14">
      <x:c r="A2258" s="274" t="s">
        <x:v>4328</x:v>
      </x:c>
      <x:c r="B2258" s="274" t="n">
        <x:v>1.88</x:v>
      </x:c>
      <x:c r="C2258" s="274" t="n">
        <x:v>0</x:v>
      </x:c>
      <x:c r="D2258" s="274" t="n">
        <x:v>0</x:v>
      </x:c>
      <x:c r="F2258" s="274" t="s">
        <x:v>133</x:v>
      </x:c>
      <x:c r="G2258" s="274" t="s">
        <x:v>4329</x:v>
      </x:c>
      <x:c r="I2258" s="274" t="n">
        <x:v>1.6</x:v>
      </x:c>
      <x:c r="J2258" s="274" t="n">
        <x:v>120</x:v>
      </x:c>
      <x:c r="K2258" s="274" t="n">
        <x:v>1250</x:v>
      </x:c>
      <x:c r="M2258" s="274" t="s">
        <x:v>4330</x:v>
      </x:c>
      <x:c r="N2258" s="274" t="s">
        <x:v>4258</x:v>
      </x:c>
    </x:row>
    <x:row r="2259" spans="1:14">
      <x:c r="A2259" s="274" t="s">
        <x:v>4331</x:v>
      </x:c>
      <x:c r="B2259" s="274" t="n">
        <x:v>2.19</x:v>
      </x:c>
      <x:c r="C2259" s="274" t="n">
        <x:v>0</x:v>
      </x:c>
      <x:c r="D2259" s="274" t="n">
        <x:v>0</x:v>
      </x:c>
      <x:c r="F2259" s="274" t="s">
        <x:v>184</x:v>
      </x:c>
      <x:c r="G2259" s="274" t="s">
        <x:v>144</x:v>
      </x:c>
      <x:c r="H2259" s="274" t="n">
        <x:v>45</x:v>
      </x:c>
      <x:c r="I2259" s="274" t="n">
        <x:v>2.3</x:v>
      </x:c>
      <x:c r="J2259" s="274" t="n">
        <x:v>275</x:v>
      </x:c>
      <x:c r="K2259" s="274" t="n">
        <x:v>440</x:v>
      </x:c>
      <x:c r="M2259" s="274" t="s">
        <x:v>4332</x:v>
      </x:c>
      <x:c r="N2259" s="274" t="s">
        <x:v>3671</x:v>
      </x:c>
    </x:row>
    <x:row r="2260" spans="1:14">
      <x:c r="A2260" s="274" t="s">
        <x:v>4333</x:v>
      </x:c>
      <x:c r="B2260" s="274" t="n">
        <x:v>0.37</x:v>
      </x:c>
      <x:c r="C2260" s="274" t="n">
        <x:v>0</x:v>
      </x:c>
      <x:c r="D2260" s="274" t="n">
        <x:v>0</x:v>
      </x:c>
      <x:c r="F2260" s="274" t="s">
        <x:v>133</x:v>
      </x:c>
      <x:c r="G2260" s="274" t="s">
        <x:v>4334</x:v>
      </x:c>
      <x:c r="I2260" s="274" t="n">
        <x:v>0.8</x:v>
      </x:c>
      <x:c r="J2260" s="274" t="n">
        <x:v>242</x:v>
      </x:c>
      <x:c r="K2260" s="274" t="n">
        <x:v>245</x:v>
      </x:c>
      <x:c r="M2260" s="274" t="s">
        <x:v>4335</x:v>
      </x:c>
      <x:c r="N2260" s="274" t="s">
        <x:v>3325</x:v>
      </x:c>
    </x:row>
    <x:row r="2261" spans="1:14">
      <x:c r="A2261" s="274" t="s">
        <x:v>4336</x:v>
      </x:c>
      <x:c r="B2261" s="274" t="n">
        <x:v>0.63</x:v>
      </x:c>
      <x:c r="C2261" s="274" t="n">
        <x:v>0</x:v>
      </x:c>
      <x:c r="D2261" s="274" t="n">
        <x:v>0</x:v>
      </x:c>
      <x:c r="F2261" s="274" t="s">
        <x:v>128</x:v>
      </x:c>
      <x:c r="G2261" s="274" t="s">
        <x:v>3314</x:v>
      </x:c>
      <x:c r="H2261" s="274" t="n">
        <x:v>45</x:v>
      </x:c>
      <x:c r="I2261" s="274" t="n">
        <x:v>2.6</x:v>
      </x:c>
      <x:c r="J2261" s="274" t="n">
        <x:v>180</x:v>
      </x:c>
      <x:c r="K2261" s="274" t="n">
        <x:v>170</x:v>
      </x:c>
      <x:c r="M2261" s="274" t="s">
        <x:v>4337</x:v>
      </x:c>
      <x:c r="N2261" s="274" t="s">
        <x:v>3671</x:v>
      </x:c>
    </x:row>
    <x:row r="2262" spans="1:14">
      <x:c r="A2262" s="274" t="s">
        <x:v>4338</x:v>
      </x:c>
      <x:c r="B2262" s="274" t="n">
        <x:v>1.85</x:v>
      </x:c>
      <x:c r="C2262" s="274" t="n">
        <x:v>0</x:v>
      </x:c>
      <x:c r="D2262" s="274" t="n">
        <x:v>0</x:v>
      </x:c>
      <x:c r="F2262" s="274" t="s">
        <x:v>333</x:v>
      </x:c>
      <x:c r="G2262" s="274" t="s">
        <x:v>334</x:v>
      </x:c>
      <x:c r="I2262" s="274" t="n">
        <x:v>1.4</x:v>
      </x:c>
      <x:c r="J2262" s="274" t="n">
        <x:v>210</x:v>
      </x:c>
      <x:c r="K2262" s="274" t="n">
        <x:v>800</x:v>
      </x:c>
      <x:c r="M2262" s="274" t="s">
        <x:v>4339</x:v>
      </x:c>
      <x:c r="N2262" s="274" t="s">
        <x:v>3671</x:v>
      </x:c>
    </x:row>
    <x:row r="2263" spans="1:14">
      <x:c r="A2263" s="274" t="s">
        <x:v>4340</x:v>
      </x:c>
      <x:c r="B2263" s="274" t="n">
        <x:v>2.09</x:v>
      </x:c>
      <x:c r="C2263" s="274" t="n">
        <x:v>0</x:v>
      </x:c>
      <x:c r="D2263" s="274" t="n">
        <x:v>0</x:v>
      </x:c>
      <x:c r="F2263" s="274" t="s">
        <x:v>333</x:v>
      </x:c>
      <x:c r="G2263" s="274" t="s">
        <x:v>334</x:v>
      </x:c>
      <x:c r="I2263" s="274" t="n">
        <x:v>1.6</x:v>
      </x:c>
      <x:c r="J2263" s="274" t="n">
        <x:v>225</x:v>
      </x:c>
      <x:c r="K2263" s="274" t="n">
        <x:v>740</x:v>
      </x:c>
      <x:c r="M2263" s="274" t="s">
        <x:v>4341</x:v>
      </x:c>
      <x:c r="N2263" s="274" t="s">
        <x:v>3671</x:v>
      </x:c>
    </x:row>
    <x:row r="2264" spans="1:14">
      <x:c r="A2264" s="274" t="s">
        <x:v>4342</x:v>
      </x:c>
      <x:c r="B2264" s="274" t="n">
        <x:v>4.92</x:v>
      </x:c>
      <x:c r="C2264" s="274" t="n">
        <x:v>0</x:v>
      </x:c>
      <x:c r="D2264" s="274" t="n">
        <x:v>0</x:v>
      </x:c>
      <x:c r="F2264" s="274" t="s">
        <x:v>133</x:v>
      </x:c>
      <x:c r="G2264" s="274" t="s">
        <x:v>148</x:v>
      </x:c>
      <x:c r="I2264" s="274" t="n">
        <x:v>3.2</x:v>
      </x:c>
      <x:c r="J2264" s="274" t="n">
        <x:v>160</x:v>
      </x:c>
      <x:c r="K2264" s="274" t="n">
        <x:v>1225</x:v>
      </x:c>
      <x:c r="M2264" s="274" t="s">
        <x:v>4343</x:v>
      </x:c>
      <x:c r="N2264" s="274" t="s">
        <x:v>3671</x:v>
      </x:c>
    </x:row>
    <x:row r="2265" spans="1:14">
      <x:c r="A2265" s="274" t="s">
        <x:v>4344</x:v>
      </x:c>
      <x:c r="B2265" s="274" t="n">
        <x:v>1.17</x:v>
      </x:c>
      <x:c r="C2265" s="274" t="n">
        <x:v>0</x:v>
      </x:c>
      <x:c r="D2265" s="274" t="n">
        <x:v>0</x:v>
      </x:c>
      <x:c r="F2265" s="274" t="s">
        <x:v>333</x:v>
      </x:c>
      <x:c r="G2265" s="274" t="s">
        <x:v>153</x:v>
      </x:c>
      <x:c r="I2265" s="274" t="n">
        <x:v>0.7</x:v>
      </x:c>
      <x:c r="J2265" s="274" t="n">
        <x:v>190</x:v>
      </x:c>
      <x:c r="K2265" s="274" t="n">
        <x:v>1120</x:v>
      </x:c>
      <x:c r="M2265" s="274" t="s">
        <x:v>4345</x:v>
      </x:c>
      <x:c r="N2265" s="274" t="s">
        <x:v>3671</x:v>
      </x:c>
    </x:row>
    <x:row r="2266" spans="1:14">
      <x:c r="A2266" s="274" t="s">
        <x:v>4346</x:v>
      </x:c>
      <x:c r="B2266" s="274" t="n">
        <x:v>3.44</x:v>
      </x:c>
      <x:c r="C2266" s="274" t="n">
        <x:v>0</x:v>
      </x:c>
      <x:c r="D2266" s="274" t="n">
        <x:v>0</x:v>
      </x:c>
      <x:c r="F2266" s="274" t="s">
        <x:v>333</x:v>
      </x:c>
      <x:c r="G2266" s="274" t="s">
        <x:v>334</x:v>
      </x:c>
      <x:c r="I2266" s="274" t="n">
        <x:v>1.6</x:v>
      </x:c>
      <x:c r="J2266" s="274" t="n">
        <x:v>280</x:v>
      </x:c>
      <x:c r="K2266" s="274" t="n">
        <x:v>977</x:v>
      </x:c>
      <x:c r="M2266" s="274" t="s">
        <x:v>4347</x:v>
      </x:c>
      <x:c r="N2266" s="274" t="s">
        <x:v>3671</x:v>
      </x:c>
    </x:row>
    <x:row r="2267" spans="1:14">
      <x:c r="A2267" s="274" t="s">
        <x:v>4348</x:v>
      </x:c>
      <x:c r="B2267" s="274" t="n">
        <x:v>0.94</x:v>
      </x:c>
      <x:c r="C2267" s="274" t="n">
        <x:v>0</x:v>
      </x:c>
      <x:c r="D2267" s="274" t="n">
        <x:v>0</x:v>
      </x:c>
      <x:c r="F2267" s="274" t="s">
        <x:v>333</x:v>
      </x:c>
      <x:c r="G2267" s="274" t="s">
        <x:v>209</x:v>
      </x:c>
      <x:c r="I2267" s="274" t="n">
        <x:v>1</x:v>
      </x:c>
      <x:c r="J2267" s="274" t="n">
        <x:v>235</x:v>
      </x:c>
      <x:c r="K2267" s="274" t="n">
        <x:v>509</x:v>
      </x:c>
      <x:c r="M2267" s="274" t="s">
        <x:v>4349</x:v>
      </x:c>
      <x:c r="N2267" s="274" t="s">
        <x:v>3671</x:v>
      </x:c>
    </x:row>
    <x:row r="2268" spans="1:14">
      <x:c r="A2268" s="274" t="s">
        <x:v>4350</x:v>
      </x:c>
      <x:c r="B2268" s="274" t="n">
        <x:v>1</x:v>
      </x:c>
      <x:c r="C2268" s="274" t="n">
        <x:v>0</x:v>
      </x:c>
      <x:c r="D2268" s="274" t="n">
        <x:v>0</x:v>
      </x:c>
      <x:c r="F2268" s="274" t="s">
        <x:v>133</x:v>
      </x:c>
      <x:c r="G2268" s="274" t="s">
        <x:v>134</x:v>
      </x:c>
      <x:c r="I2268" s="274" t="n">
        <x:v>1.6</x:v>
      </x:c>
      <x:c r="J2268" s="274" t="n">
        <x:v>185</x:v>
      </x:c>
      <x:c r="K2268" s="274" t="n">
        <x:v>429</x:v>
      </x:c>
      <x:c r="M2268" s="274" t="s">
        <x:v>4351</x:v>
      </x:c>
      <x:c r="N2268" s="274" t="s">
        <x:v>3671</x:v>
      </x:c>
    </x:row>
    <x:row r="2269" spans="1:14">
      <x:c r="A2269" s="274" t="s">
        <x:v>4352</x:v>
      </x:c>
      <x:c r="B2269" s="274" t="n">
        <x:v>4.41</x:v>
      </x:c>
      <x:c r="C2269" s="274" t="n">
        <x:v>0</x:v>
      </x:c>
      <x:c r="D2269" s="274" t="n">
        <x:v>0</x:v>
      </x:c>
      <x:c r="F2269" s="274" t="s">
        <x:v>133</x:v>
      </x:c>
      <x:c r="G2269" s="274" t="s">
        <x:v>148</x:v>
      </x:c>
      <x:c r="I2269" s="274" t="n">
        <x:v>3.2</x:v>
      </x:c>
      <x:c r="J2269" s="274" t="n">
        <x:v>144</x:v>
      </x:c>
      <x:c r="K2269" s="274" t="n">
        <x:v>1220</x:v>
      </x:c>
      <x:c r="M2269" s="274" t="s">
        <x:v>4353</x:v>
      </x:c>
      <x:c r="N2269" s="274" t="s">
        <x:v>3671</x:v>
      </x:c>
    </x:row>
    <x:row r="2270" spans="1:14">
      <x:c r="A2270" s="274" t="s">
        <x:v>4354</x:v>
      </x:c>
      <x:c r="B2270" s="274" t="n">
        <x:v>3.35</x:v>
      </x:c>
      <x:c r="C2270" s="274" t="n">
        <x:v>0</x:v>
      </x:c>
      <x:c r="D2270" s="274" t="n">
        <x:v>0</x:v>
      </x:c>
      <x:c r="F2270" s="274" t="s">
        <x:v>133</x:v>
      </x:c>
      <x:c r="G2270" s="274" t="s">
        <x:v>148</x:v>
      </x:c>
      <x:c r="I2270" s="274" t="n">
        <x:v>3.2</x:v>
      </x:c>
      <x:c r="J2270" s="274" t="n">
        <x:v>108</x:v>
      </x:c>
      <x:c r="K2270" s="274" t="n">
        <x:v>1235</x:v>
      </x:c>
      <x:c r="M2270" s="274" t="s">
        <x:v>4355</x:v>
      </x:c>
      <x:c r="N2270" s="274" t="s">
        <x:v>3671</x:v>
      </x:c>
    </x:row>
    <x:row r="2271" spans="1:14">
      <x:c r="A2271" s="274" t="s">
        <x:v>4356</x:v>
      </x:c>
      <x:c r="B2271" s="274" t="n">
        <x:v>3.4</x:v>
      </x:c>
      <x:c r="C2271" s="274" t="n">
        <x:v>0</x:v>
      </x:c>
      <x:c r="D2271" s="274" t="n">
        <x:v>0</x:v>
      </x:c>
      <x:c r="F2271" s="274" t="s">
        <x:v>133</x:v>
      </x:c>
      <x:c r="G2271" s="274" t="s">
        <x:v>148</x:v>
      </x:c>
      <x:c r="I2271" s="274" t="n">
        <x:v>3.2</x:v>
      </x:c>
      <x:c r="J2271" s="274" t="n">
        <x:v>110</x:v>
      </x:c>
      <x:c r="K2271" s="274" t="n">
        <x:v>1230</x:v>
      </x:c>
      <x:c r="M2271" s="274" t="s">
        <x:v>4357</x:v>
      </x:c>
      <x:c r="N2271" s="274" t="s">
        <x:v>3671</x:v>
      </x:c>
    </x:row>
    <x:row r="2272" spans="1:14">
      <x:c r="A2272" s="274" t="s">
        <x:v>4358</x:v>
      </x:c>
      <x:c r="B2272" s="274" t="n">
        <x:v>9.56</x:v>
      </x:c>
      <x:c r="C2272" s="274" t="n">
        <x:v>0</x:v>
      </x:c>
      <x:c r="D2272" s="274" t="n">
        <x:v>0</x:v>
      </x:c>
      <x:c r="F2272" s="274" t="s">
        <x:v>133</x:v>
      </x:c>
      <x:c r="G2272" s="274" t="s">
        <x:v>148</x:v>
      </x:c>
      <x:c r="I2272" s="274" t="n">
        <x:v>2.9</x:v>
      </x:c>
      <x:c r="J2272" s="274" t="n">
        <x:v>350</x:v>
      </x:c>
      <x:c r="K2272" s="274" t="n">
        <x:v>1200</x:v>
      </x:c>
      <x:c r="M2272" s="274" t="s">
        <x:v>4359</x:v>
      </x:c>
      <x:c r="N2272" s="274" t="s">
        <x:v>3671</x:v>
      </x:c>
    </x:row>
    <x:row r="2273" spans="1:14">
      <x:c r="A2273" s="274" t="s">
        <x:v>4360</x:v>
      </x:c>
      <x:c r="B2273" s="274" t="n">
        <x:v>1.12</x:v>
      </x:c>
      <x:c r="C2273" s="274" t="n">
        <x:v>0</x:v>
      </x:c>
      <x:c r="D2273" s="274" t="n">
        <x:v>0</x:v>
      </x:c>
      <x:c r="F2273" s="274" t="s">
        <x:v>123</x:v>
      </x:c>
      <x:c r="G2273" s="274" t="s">
        <x:v>148</x:v>
      </x:c>
      <x:c r="I2273" s="274" t="n">
        <x:v>1.8</x:v>
      </x:c>
      <x:c r="J2273" s="274" t="n">
        <x:v>334</x:v>
      </x:c>
      <x:c r="K2273" s="274" t="n">
        <x:v>238</x:v>
      </x:c>
      <x:c r="M2273" s="274" t="s">
        <x:v>4361</x:v>
      </x:c>
      <x:c r="N2273" s="274" t="s">
        <x:v>3671</x:v>
      </x:c>
    </x:row>
    <x:row r="2274" spans="1:14">
      <x:c r="A2274" s="274" t="s">
        <x:v>4362</x:v>
      </x:c>
      <x:c r="B2274" s="274" t="n">
        <x:v>1.24</x:v>
      </x:c>
      <x:c r="C2274" s="274" t="n">
        <x:v>0</x:v>
      </x:c>
      <x:c r="D2274" s="274" t="n">
        <x:v>0</x:v>
      </x:c>
      <x:c r="F2274" s="274" t="s">
        <x:v>133</x:v>
      </x:c>
      <x:c r="G2274" s="274" t="s">
        <x:v>134</x:v>
      </x:c>
      <x:c r="I2274" s="274" t="n">
        <x:v>2.8</x:v>
      </x:c>
      <x:c r="J2274" s="274" t="n">
        <x:v>128</x:v>
      </x:c>
      <x:c r="K2274" s="274" t="n">
        <x:v>439</x:v>
      </x:c>
      <x:c r="M2274" s="274" t="s">
        <x:v>4363</x:v>
      </x:c>
      <x:c r="N2274" s="274" t="s">
        <x:v>3671</x:v>
      </x:c>
    </x:row>
    <x:row r="2275" spans="1:14">
      <x:c r="A2275" s="274" t="s">
        <x:v>4364</x:v>
      </x:c>
      <x:c r="B2275" s="274" t="n">
        <x:v>6.28</x:v>
      </x:c>
      <x:c r="C2275" s="274" t="n">
        <x:v>0</x:v>
      </x:c>
      <x:c r="D2275" s="274" t="n">
        <x:v>0</x:v>
      </x:c>
      <x:c r="F2275" s="274" t="s">
        <x:v>133</x:v>
      </x:c>
      <x:c r="G2275" s="274" t="s">
        <x:v>134</x:v>
      </x:c>
      <x:c r="I2275" s="274" t="n">
        <x:v>2.8</x:v>
      </x:c>
      <x:c r="J2275" s="274" t="n">
        <x:v>238</x:v>
      </x:c>
      <x:c r="K2275" s="274" t="n">
        <x:v>1200</x:v>
      </x:c>
      <x:c r="M2275" s="274" t="s">
        <x:v>4365</x:v>
      </x:c>
      <x:c r="N2275" s="274" t="s">
        <x:v>3671</x:v>
      </x:c>
    </x:row>
    <x:row r="2276" spans="1:14">
      <x:c r="A2276" s="274" t="s">
        <x:v>4366</x:v>
      </x:c>
      <x:c r="B2276" s="274" t="n">
        <x:v>0.25</x:v>
      </x:c>
      <x:c r="C2276" s="274" t="n">
        <x:v>0</x:v>
      </x:c>
      <x:c r="D2276" s="274" t="n">
        <x:v>0</x:v>
      </x:c>
      <x:c r="F2276" s="274" t="s">
        <x:v>133</x:v>
      </x:c>
      <x:c r="G2276" s="274" t="s">
        <x:v>136</x:v>
      </x:c>
      <x:c r="H2276" s="274" t="n">
        <x:v>45</x:v>
      </x:c>
      <x:c r="I2276" s="274" t="n">
        <x:v>1.6</x:v>
      </x:c>
      <x:c r="J2276" s="274" t="n">
        <x:v>105</x:v>
      </x:c>
      <x:c r="K2276" s="274" t="n">
        <x:v>191</x:v>
      </x:c>
      <x:c r="M2276" s="274" t="s">
        <x:v>4367</x:v>
      </x:c>
      <x:c r="N2276" s="274" t="s">
        <x:v>3671</x:v>
      </x:c>
    </x:row>
    <x:row r="2277" spans="1:14">
      <x:c r="A2277" s="274" t="s">
        <x:v>4368</x:v>
      </x:c>
      <x:c r="B2277" s="274" t="n">
        <x:v>0.86</x:v>
      </x:c>
      <x:c r="C2277" s="274" t="n">
        <x:v>0</x:v>
      </x:c>
      <x:c r="D2277" s="274" t="n">
        <x:v>0</x:v>
      </x:c>
      <x:c r="F2277" s="274" t="s">
        <x:v>133</x:v>
      </x:c>
      <x:c r="G2277" s="274" t="s">
        <x:v>136</x:v>
      </x:c>
      <x:c r="H2277" s="274" t="n">
        <x:v>45</x:v>
      </x:c>
      <x:c r="I2277" s="274" t="n">
        <x:v>1.2</x:v>
      </x:c>
      <x:c r="J2277" s="274" t="n">
        <x:v>180</x:v>
      </x:c>
      <x:c r="K2277" s="274" t="n">
        <x:v>500</x:v>
      </x:c>
      <x:c r="M2277" s="274" t="s">
        <x:v>4369</x:v>
      </x:c>
      <x:c r="N2277" s="274" t="s">
        <x:v>870</x:v>
      </x:c>
    </x:row>
    <x:row r="2278" spans="1:14">
      <x:c r="A2278" s="274" t="s">
        <x:v>4370</x:v>
      </x:c>
      <x:c r="B2278" s="274" t="n">
        <x:v>1.66</x:v>
      </x:c>
      <x:c r="C2278" s="274" t="n">
        <x:v>0</x:v>
      </x:c>
      <x:c r="D2278" s="274" t="n">
        <x:v>0</x:v>
      </x:c>
      <x:c r="F2278" s="274" t="s">
        <x:v>133</x:v>
      </x:c>
      <x:c r="G2278" s="274" t="s">
        <x:v>144</x:v>
      </x:c>
      <x:c r="H2278" s="274" t="n">
        <x:v>45</x:v>
      </x:c>
      <x:c r="I2278" s="274" t="n">
        <x:v>2</x:v>
      </x:c>
      <x:c r="J2278" s="274" t="n">
        <x:v>224</x:v>
      </x:c>
      <x:c r="K2278" s="274" t="n">
        <x:v>470</x:v>
      </x:c>
      <x:c r="M2278" s="274" t="s">
        <x:v>4371</x:v>
      </x:c>
      <x:c r="N2278" s="274" t="s">
        <x:v>870</x:v>
      </x:c>
    </x:row>
    <x:row r="2279" spans="1:14">
      <x:c r="A2279" s="274" t="s">
        <x:v>4372</x:v>
      </x:c>
      <x:c r="B2279" s="274" t="n">
        <x:v>0.96</x:v>
      </x:c>
      <x:c r="C2279" s="274" t="n">
        <x:v>0</x:v>
      </x:c>
      <x:c r="D2279" s="274" t="n">
        <x:v>0</x:v>
      </x:c>
      <x:c r="F2279" s="274" t="s">
        <x:v>133</x:v>
      </x:c>
      <x:c r="G2279" s="274" t="s">
        <x:v>134</x:v>
      </x:c>
      <x:c r="I2279" s="274" t="n">
        <x:v>1.6</x:v>
      </x:c>
      <x:c r="J2279" s="274" t="n">
        <x:v>404</x:v>
      </x:c>
      <x:c r="K2279" s="274" t="n">
        <x:v>190</x:v>
      </x:c>
      <x:c r="M2279" s="274" t="s">
        <x:v>4373</x:v>
      </x:c>
      <x:c r="N2279" s="274" t="s">
        <x:v>3671</x:v>
      </x:c>
    </x:row>
    <x:row r="2280" spans="1:14">
      <x:c r="A2280" s="274" t="s">
        <x:v>4374</x:v>
      </x:c>
      <x:c r="B2280" s="274" t="n">
        <x:v>0.49</x:v>
      </x:c>
      <x:c r="C2280" s="274" t="n">
        <x:v>0</x:v>
      </x:c>
      <x:c r="D2280" s="274" t="n">
        <x:v>0</x:v>
      </x:c>
      <x:c r="F2280" s="274" t="s">
        <x:v>333</x:v>
      </x:c>
      <x:c r="G2280" s="274" t="s">
        <x:v>153</x:v>
      </x:c>
      <x:c r="I2280" s="274" t="n">
        <x:v>1</x:v>
      </x:c>
      <x:c r="J2280" s="274" t="n">
        <x:v>243</x:v>
      </x:c>
      <x:c r="K2280" s="274" t="n">
        <x:v>258</x:v>
      </x:c>
      <x:c r="M2280" s="274" t="s">
        <x:v>4375</x:v>
      </x:c>
      <x:c r="N2280" s="274" t="s">
        <x:v>3671</x:v>
      </x:c>
    </x:row>
    <x:row r="2281" spans="1:14">
      <x:c r="A2281" s="274" t="s">
        <x:v>4376</x:v>
      </x:c>
      <x:c r="B2281" s="274" t="n">
        <x:v>1.5</x:v>
      </x:c>
      <x:c r="C2281" s="274" t="n">
        <x:v>0</x:v>
      </x:c>
      <x:c r="D2281" s="274" t="n">
        <x:v>0</x:v>
      </x:c>
      <x:c r="F2281" s="274" t="s">
        <x:v>333</x:v>
      </x:c>
      <x:c r="G2281" s="274" t="s">
        <x:v>153</x:v>
      </x:c>
      <x:c r="I2281" s="274" t="n">
        <x:v>0.8</x:v>
      </x:c>
      <x:c r="J2281" s="274" t="n">
        <x:v>237</x:v>
      </x:c>
      <x:c r="K2281" s="274" t="n">
        <x:v>1010</x:v>
      </x:c>
      <x:c r="M2281" s="274" t="s">
        <x:v>4377</x:v>
      </x:c>
      <x:c r="N2281" s="274" t="s">
        <x:v>3671</x:v>
      </x:c>
    </x:row>
    <x:row r="2282" spans="1:14">
      <x:c r="A2282" s="274" t="s">
        <x:v>4378</x:v>
      </x:c>
      <x:c r="B2282" s="274" t="n">
        <x:v>1.34</x:v>
      </x:c>
      <x:c r="C2282" s="274" t="n">
        <x:v>0</x:v>
      </x:c>
      <x:c r="D2282" s="274" t="n">
        <x:v>0</x:v>
      </x:c>
      <x:c r="F2282" s="274" t="s">
        <x:v>133</x:v>
      </x:c>
      <x:c r="G2282" s="274" t="s">
        <x:v>136</x:v>
      </x:c>
      <x:c r="H2282" s="274" t="n">
        <x:v>45</x:v>
      </x:c>
      <x:c r="I2282" s="274" t="n">
        <x:v>1.6</x:v>
      </x:c>
      <x:c r="J2282" s="274" t="n">
        <x:v>85</x:v>
      </x:c>
      <x:c r="K2282" s="274" t="n">
        <x:v>1250</x:v>
      </x:c>
      <x:c r="M2282" s="274" t="s">
        <x:v>4379</x:v>
      </x:c>
      <x:c r="N2282" s="274" t="s">
        <x:v>3671</x:v>
      </x:c>
    </x:row>
    <x:row r="2283" spans="1:14">
      <x:c r="A2283" s="274" t="s">
        <x:v>4380</x:v>
      </x:c>
      <x:c r="B2283" s="274" t="n">
        <x:v>0.87</x:v>
      </x:c>
      <x:c r="C2283" s="274" t="n">
        <x:v>0</x:v>
      </x:c>
      <x:c r="D2283" s="274" t="n">
        <x:v>0</x:v>
      </x:c>
      <x:c r="F2283" s="274" t="s">
        <x:v>133</x:v>
      </x:c>
      <x:c r="G2283" s="274" t="s">
        <x:v>136</x:v>
      </x:c>
      <x:c r="H2283" s="274" t="n">
        <x:v>45</x:v>
      </x:c>
      <x:c r="I2283" s="274" t="n">
        <x:v>1.6</x:v>
      </x:c>
      <x:c r="J2283" s="274" t="n">
        <x:v>55</x:v>
      </x:c>
      <x:c r="K2283" s="274" t="n">
        <x:v>1250</x:v>
      </x:c>
      <x:c r="M2283" s="274" t="s">
        <x:v>4381</x:v>
      </x:c>
      <x:c r="N2283" s="274" t="s">
        <x:v>3671</x:v>
      </x:c>
    </x:row>
    <x:row r="2284" spans="1:14">
      <x:c r="A2284" s="274" t="s">
        <x:v>4382</x:v>
      </x:c>
      <x:c r="B2284" s="274" t="n">
        <x:v>0.81</x:v>
      </x:c>
      <x:c r="C2284" s="274" t="n">
        <x:v>0</x:v>
      </x:c>
      <x:c r="D2284" s="274" t="n">
        <x:v>0</x:v>
      </x:c>
      <x:c r="F2284" s="274" t="s">
        <x:v>333</x:v>
      </x:c>
      <x:c r="G2284" s="274" t="s">
        <x:v>209</x:v>
      </x:c>
      <x:c r="I2284" s="274" t="n">
        <x:v>1.2</x:v>
      </x:c>
      <x:c r="J2284" s="274" t="n">
        <x:v>390</x:v>
      </x:c>
      <x:c r="K2284" s="274" t="n">
        <x:v>220</x:v>
      </x:c>
      <x:c r="M2284" s="274" t="s">
        <x:v>4383</x:v>
      </x:c>
      <x:c r="N2284" s="274" t="s">
        <x:v>3671</x:v>
      </x:c>
    </x:row>
    <x:row r="2285" spans="1:14">
      <x:c r="A2285" s="274" t="s">
        <x:v>4384</x:v>
      </x:c>
      <x:c r="B2285" s="274" t="n">
        <x:v>7.19</x:v>
      </x:c>
      <x:c r="C2285" s="274" t="n">
        <x:v>0</x:v>
      </x:c>
      <x:c r="D2285" s="274" t="n">
        <x:v>0</x:v>
      </x:c>
      <x:c r="F2285" s="274" t="s">
        <x:v>133</x:v>
      </x:c>
      <x:c r="G2285" s="274" t="s">
        <x:v>148</x:v>
      </x:c>
      <x:c r="I2285" s="274" t="n">
        <x:v>5</x:v>
      </x:c>
      <x:c r="J2285" s="274" t="n">
        <x:v>336</x:v>
      </x:c>
      <x:c r="K2285" s="274" t="n">
        <x:v>545</x:v>
      </x:c>
      <x:c r="M2285" s="274" t="s">
        <x:v>4385</x:v>
      </x:c>
      <x:c r="N2285" s="274" t="s">
        <x:v>3671</x:v>
      </x:c>
    </x:row>
    <x:row r="2286" spans="1:14">
      <x:c r="A2286" s="274" t="s">
        <x:v>4386</x:v>
      </x:c>
      <x:c r="B2286" s="274" t="n">
        <x:v>1.26</x:v>
      </x:c>
      <x:c r="C2286" s="274" t="n">
        <x:v>0</x:v>
      </x:c>
      <x:c r="D2286" s="274" t="n">
        <x:v>0</x:v>
      </x:c>
      <x:c r="F2286" s="274" t="s">
        <x:v>133</x:v>
      </x:c>
      <x:c r="G2286" s="274" t="s">
        <x:v>134</x:v>
      </x:c>
      <x:c r="I2286" s="274" t="n">
        <x:v>1.6</x:v>
      </x:c>
      <x:c r="J2286" s="274" t="n">
        <x:v>449</x:v>
      </x:c>
      <x:c r="K2286" s="274" t="n">
        <x:v>223</x:v>
      </x:c>
      <x:c r="M2286" s="274" t="s">
        <x:v>4387</x:v>
      </x:c>
      <x:c r="N2286" s="274" t="s">
        <x:v>3671</x:v>
      </x:c>
    </x:row>
    <x:row r="2287" spans="1:14">
      <x:c r="A2287" s="274" t="s">
        <x:v>4388</x:v>
      </x:c>
      <x:c r="B2287" s="274" t="n">
        <x:v>1.08</x:v>
      </x:c>
      <x:c r="C2287" s="274" t="n">
        <x:v>0</x:v>
      </x:c>
      <x:c r="D2287" s="274" t="n">
        <x:v>0</x:v>
      </x:c>
      <x:c r="F2287" s="274" t="s">
        <x:v>133</x:v>
      </x:c>
      <x:c r="G2287" s="274" t="s">
        <x:v>134</x:v>
      </x:c>
      <x:c r="I2287" s="274" t="n">
        <x:v>1.6</x:v>
      </x:c>
      <x:c r="J2287" s="274" t="n">
        <x:v>186</x:v>
      </x:c>
      <x:c r="K2287" s="274" t="n">
        <x:v>461</x:v>
      </x:c>
      <x:c r="M2287" s="274" t="s">
        <x:v>4389</x:v>
      </x:c>
      <x:c r="N2287" s="274" t="s">
        <x:v>3671</x:v>
      </x:c>
    </x:row>
    <x:row r="2288" spans="1:14">
      <x:c r="A2288" s="274" t="s">
        <x:v>4390</x:v>
      </x:c>
      <x:c r="B2288" s="274" t="n">
        <x:v>0.51</x:v>
      </x:c>
      <x:c r="C2288" s="274" t="n">
        <x:v>0</x:v>
      </x:c>
      <x:c r="D2288" s="274" t="n">
        <x:v>0</x:v>
      </x:c>
      <x:c r="F2288" s="274" t="s">
        <x:v>184</x:v>
      </x:c>
      <x:c r="G2288" s="274" t="s">
        <x:v>144</x:v>
      </x:c>
      <x:c r="H2288" s="274" t="n">
        <x:v>45</x:v>
      </x:c>
      <x:c r="I2288" s="274" t="n">
        <x:v>2.3</x:v>
      </x:c>
      <x:c r="J2288" s="274" t="n">
        <x:v>108</x:v>
      </x:c>
      <x:c r="K2288" s="274" t="n">
        <x:v>258</x:v>
      </x:c>
      <x:c r="M2288" s="274" t="s">
        <x:v>4391</x:v>
      </x:c>
      <x:c r="N2288" s="274" t="s">
        <x:v>3671</x:v>
      </x:c>
    </x:row>
    <x:row r="2289" spans="1:14">
      <x:c r="A2289" s="274" t="s">
        <x:v>4392</x:v>
      </x:c>
      <x:c r="B2289" s="274" t="n">
        <x:v>2.6</x:v>
      </x:c>
      <x:c r="C2289" s="274" t="n">
        <x:v>0</x:v>
      </x:c>
      <x:c r="D2289" s="274" t="n">
        <x:v>0</x:v>
      </x:c>
      <x:c r="F2289" s="274" t="s">
        <x:v>128</x:v>
      </x:c>
      <x:c r="G2289" s="274" t="s">
        <x:v>177</x:v>
      </x:c>
      <x:c r="H2289" s="274" t="n">
        <x:v>45</x:v>
      </x:c>
      <x:c r="I2289" s="274" t="n">
        <x:v>2</x:v>
      </x:c>
      <x:c r="J2289" s="274" t="n">
        <x:v>384</x:v>
      </x:c>
      <x:c r="K2289" s="274" t="n">
        <x:v>428</x:v>
      </x:c>
      <x:c r="M2289" s="274" t="s">
        <x:v>4393</x:v>
      </x:c>
      <x:c r="N2289" s="274" t="s">
        <x:v>3671</x:v>
      </x:c>
    </x:row>
    <x:row r="2290" spans="1:14">
      <x:c r="A2290" s="274" t="s">
        <x:v>4394</x:v>
      </x:c>
      <x:c r="B2290" s="274" t="n">
        <x:v>1.12</x:v>
      </x:c>
      <x:c r="C2290" s="274" t="n">
        <x:v>0</x:v>
      </x:c>
      <x:c r="D2290" s="274" t="n">
        <x:v>0</x:v>
      </x:c>
      <x:c r="F2290" s="274" t="s">
        <x:v>128</x:v>
      </x:c>
      <x:c r="G2290" s="274" t="s">
        <x:v>177</x:v>
      </x:c>
      <x:c r="H2290" s="274" t="n">
        <x:v>45</x:v>
      </x:c>
      <x:c r="I2290" s="274" t="n">
        <x:v>2</x:v>
      </x:c>
      <x:c r="J2290" s="274" t="n">
        <x:v>227</x:v>
      </x:c>
      <x:c r="K2290" s="274" t="n">
        <x:v>312</x:v>
      </x:c>
      <x:c r="M2290" s="274" t="s">
        <x:v>4395</x:v>
      </x:c>
      <x:c r="N2290" s="274" t="s">
        <x:v>3671</x:v>
      </x:c>
    </x:row>
    <x:row r="2291" spans="1:14">
      <x:c r="A2291" s="274" t="s">
        <x:v>4396</x:v>
      </x:c>
      <x:c r="B2291" s="274" t="n">
        <x:v>2.09</x:v>
      </x:c>
      <x:c r="C2291" s="274" t="n">
        <x:v>0</x:v>
      </x:c>
      <x:c r="D2291" s="274" t="n">
        <x:v>0</x:v>
      </x:c>
      <x:c r="F2291" s="274" t="s">
        <x:v>128</x:v>
      </x:c>
      <x:c r="G2291" s="274" t="s">
        <x:v>177</x:v>
      </x:c>
      <x:c r="H2291" s="274" t="n">
        <x:v>45</x:v>
      </x:c>
      <x:c r="I2291" s="274" t="n">
        <x:v>2</x:v>
      </x:c>
      <x:c r="J2291" s="274" t="n">
        <x:v>330</x:v>
      </x:c>
      <x:c r="K2291" s="274" t="n">
        <x:v>401</x:v>
      </x:c>
      <x:c r="M2291" s="274" t="s">
        <x:v>4397</x:v>
      </x:c>
      <x:c r="N2291" s="274" t="s">
        <x:v>3671</x:v>
      </x:c>
    </x:row>
    <x:row r="2292" spans="1:14">
      <x:c r="A2292" s="274" t="s">
        <x:v>4398</x:v>
      </x:c>
      <x:c r="B2292" s="274" t="n">
        <x:v>1.46</x:v>
      </x:c>
      <x:c r="C2292" s="274" t="n">
        <x:v>0</x:v>
      </x:c>
      <x:c r="D2292" s="274" t="n">
        <x:v>0</x:v>
      </x:c>
      <x:c r="F2292" s="274" t="s">
        <x:v>133</x:v>
      </x:c>
      <x:c r="G2292" s="274" t="s">
        <x:v>134</x:v>
      </x:c>
      <x:c r="I2292" s="274" t="n">
        <x:v>2.3</x:v>
      </x:c>
      <x:c r="J2292" s="274" t="n">
        <x:v>158</x:v>
      </x:c>
      <x:c r="K2292" s="274" t="n">
        <x:v>510</x:v>
      </x:c>
      <x:c r="M2292" s="274" t="s">
        <x:v>4399</x:v>
      </x:c>
      <x:c r="N2292" s="274" t="s">
        <x:v>3671</x:v>
      </x:c>
    </x:row>
    <x:row r="2293" spans="1:14">
      <x:c r="A2293" s="274" t="s">
        <x:v>4400</x:v>
      </x:c>
      <x:c r="B2293" s="274" t="n">
        <x:v>0.27</x:v>
      </x:c>
      <x:c r="C2293" s="274" t="n">
        <x:v>0</x:v>
      </x:c>
      <x:c r="D2293" s="274" t="n">
        <x:v>0</x:v>
      </x:c>
      <x:c r="F2293" s="274" t="s">
        <x:v>133</x:v>
      </x:c>
      <x:c r="G2293" s="274" t="s">
        <x:v>134</x:v>
      </x:c>
      <x:c r="I2293" s="274" t="n">
        <x:v>2.6</x:v>
      </x:c>
      <x:c r="J2293" s="274" t="n">
        <x:v>143</x:v>
      </x:c>
      <x:c r="K2293" s="274" t="n">
        <x:v>93</x:v>
      </x:c>
      <x:c r="M2293" s="274" t="s">
        <x:v>4401</x:v>
      </x:c>
      <x:c r="N2293" s="274" t="s">
        <x:v>3671</x:v>
      </x:c>
    </x:row>
    <x:row r="2294" spans="1:14">
      <x:c r="A2294" s="274" t="s">
        <x:v>4402</x:v>
      </x:c>
      <x:c r="B2294" s="274" t="n">
        <x:v>6.63</x:v>
      </x:c>
      <x:c r="C2294" s="274" t="n">
        <x:v>0</x:v>
      </x:c>
      <x:c r="D2294" s="274" t="n">
        <x:v>0</x:v>
      </x:c>
      <x:c r="F2294" s="274" t="s">
        <x:v>133</x:v>
      </x:c>
      <x:c r="G2294" s="274" t="s">
        <x:v>1170</x:v>
      </x:c>
      <x:c r="I2294" s="274" t="n">
        <x:v>8</x:v>
      </x:c>
      <x:c r="J2294" s="274" t="n">
        <x:v>372</x:v>
      </x:c>
      <x:c r="K2294" s="274" t="n">
        <x:v>284</x:v>
      </x:c>
      <x:c r="M2294" s="274" t="s">
        <x:v>4403</x:v>
      </x:c>
      <x:c r="N2294" s="274" t="s">
        <x:v>3671</x:v>
      </x:c>
    </x:row>
    <x:row r="2295" spans="1:14">
      <x:c r="A2295" s="274" t="s">
        <x:v>4404</x:v>
      </x:c>
      <x:c r="B2295" s="274" t="n">
        <x:v>0.12</x:v>
      </x:c>
      <x:c r="C2295" s="274" t="n">
        <x:v>0</x:v>
      </x:c>
      <x:c r="D2295" s="274" t="n">
        <x:v>0</x:v>
      </x:c>
      <x:c r="F2295" s="274" t="s">
        <x:v>133</x:v>
      </x:c>
      <x:c r="G2295" s="274" t="s">
        <x:v>148</x:v>
      </x:c>
      <x:c r="I2295" s="274" t="n">
        <x:v>2.6</x:v>
      </x:c>
      <x:c r="J2295" s="274" t="n">
        <x:v>95</x:v>
      </x:c>
      <x:c r="K2295" s="274" t="n">
        <x:v>62</x:v>
      </x:c>
      <x:c r="M2295" s="274" t="s">
        <x:v>1454</x:v>
      </x:c>
      <x:c r="N2295" s="274" t="s">
        <x:v>3671</x:v>
      </x:c>
    </x:row>
    <x:row r="2296" spans="1:14">
      <x:c r="A2296" s="274" t="s">
        <x:v>4405</x:v>
      </x:c>
      <x:c r="B2296" s="274" t="n">
        <x:v>1.24</x:v>
      </x:c>
      <x:c r="C2296" s="274" t="n">
        <x:v>0</x:v>
      </x:c>
      <x:c r="D2296" s="274" t="n">
        <x:v>0</x:v>
      </x:c>
      <x:c r="F2296" s="274" t="s">
        <x:v>133</x:v>
      </x:c>
      <x:c r="G2296" s="274" t="s">
        <x:v>148</x:v>
      </x:c>
      <x:c r="I2296" s="274" t="n">
        <x:v>2.6</x:v>
      </x:c>
      <x:c r="J2296" s="274" t="n">
        <x:v>187</x:v>
      </x:c>
      <x:c r="K2296" s="274" t="n">
        <x:v>324</x:v>
      </x:c>
      <x:c r="M2296" s="274" t="s">
        <x:v>4406</x:v>
      </x:c>
      <x:c r="N2296" s="274" t="s">
        <x:v>3671</x:v>
      </x:c>
    </x:row>
    <x:row r="2297" spans="1:14">
      <x:c r="A2297" s="274" t="s">
        <x:v>4407</x:v>
      </x:c>
      <x:c r="B2297" s="274" t="n">
        <x:v>0.83</x:v>
      </x:c>
      <x:c r="C2297" s="274" t="n">
        <x:v>0</x:v>
      </x:c>
      <x:c r="D2297" s="274" t="n">
        <x:v>0</x:v>
      </x:c>
      <x:c r="F2297" s="274" t="s">
        <x:v>123</x:v>
      </x:c>
      <x:c r="G2297" s="274" t="s">
        <x:v>148</x:v>
      </x:c>
      <x:c r="I2297" s="274" t="n">
        <x:v>1.8</x:v>
      </x:c>
      <x:c r="J2297" s="274" t="n">
        <x:v>140</x:v>
      </x:c>
      <x:c r="K2297" s="274" t="n">
        <x:v>420</x:v>
      </x:c>
      <x:c r="M2297" s="274" t="s">
        <x:v>4408</x:v>
      </x:c>
      <x:c r="N2297" s="274" t="s">
        <x:v>3671</x:v>
      </x:c>
    </x:row>
    <x:row r="2298" spans="1:14">
      <x:c r="A2298" s="274" t="s">
        <x:v>4409</x:v>
      </x:c>
      <x:c r="B2298" s="274" t="n">
        <x:v>2.62</x:v>
      </x:c>
      <x:c r="C2298" s="274" t="n">
        <x:v>0</x:v>
      </x:c>
      <x:c r="D2298" s="274" t="n">
        <x:v>0</x:v>
      </x:c>
      <x:c r="F2298" s="274" t="s">
        <x:v>333</x:v>
      </x:c>
      <x:c r="G2298" s="274" t="s">
        <x:v>124</x:v>
      </x:c>
      <x:c r="I2298" s="274" t="n">
        <x:v>1.4</x:v>
      </x:c>
      <x:c r="J2298" s="274" t="n">
        <x:v>199</x:v>
      </x:c>
      <x:c r="K2298" s="274" t="n">
        <x:v>1200</x:v>
      </x:c>
      <x:c r="M2298" s="274" t="s">
        <x:v>4410</x:v>
      </x:c>
      <x:c r="N2298" s="274" t="s">
        <x:v>3671</x:v>
      </x:c>
    </x:row>
    <x:row r="2299" spans="1:14">
      <x:c r="A2299" s="274" t="s">
        <x:v>4411</x:v>
      </x:c>
      <x:c r="B2299" s="274" t="n">
        <x:v>1.73</x:v>
      </x:c>
      <x:c r="C2299" s="274" t="n">
        <x:v>0</x:v>
      </x:c>
      <x:c r="D2299" s="274" t="n">
        <x:v>0</x:v>
      </x:c>
      <x:c r="F2299" s="274" t="s">
        <x:v>123</x:v>
      </x:c>
      <x:c r="G2299" s="274" t="s">
        <x:v>148</x:v>
      </x:c>
      <x:c r="I2299" s="274" t="n">
        <x:v>1.8</x:v>
      </x:c>
      <x:c r="J2299" s="274" t="n">
        <x:v>102</x:v>
      </x:c>
      <x:c r="K2299" s="274" t="n">
        <x:v>1200</x:v>
      </x:c>
      <x:c r="M2299" s="274" t="s">
        <x:v>4412</x:v>
      </x:c>
      <x:c r="N2299" s="274" t="s">
        <x:v>3671</x:v>
      </x:c>
    </x:row>
    <x:row r="2300" spans="1:14">
      <x:c r="A2300" s="274" t="s">
        <x:v>4413</x:v>
      </x:c>
      <x:c r="B2300" s="274" t="n">
        <x:v>7.34</x:v>
      </x:c>
      <x:c r="C2300" s="274" t="n">
        <x:v>0</x:v>
      </x:c>
      <x:c r="D2300" s="274" t="n">
        <x:v>0</x:v>
      </x:c>
      <x:c r="F2300" s="274" t="s">
        <x:v>133</x:v>
      </x:c>
      <x:c r="G2300" s="274" t="s">
        <x:v>1170</x:v>
      </x:c>
      <x:c r="I2300" s="274" t="n">
        <x:v>8</x:v>
      </x:c>
      <x:c r="J2300" s="274" t="n">
        <x:v>283</x:v>
      </x:c>
      <x:c r="K2300" s="274" t="n">
        <x:v>413</x:v>
      </x:c>
      <x:c r="M2300" s="274" t="s">
        <x:v>4414</x:v>
      </x:c>
      <x:c r="N2300" s="274" t="s">
        <x:v>3671</x:v>
      </x:c>
    </x:row>
    <x:row r="2301" spans="1:14">
      <x:c r="A2301" s="274" t="s">
        <x:v>4415</x:v>
      </x:c>
      <x:c r="B2301" s="274" t="n">
        <x:v>0.81</x:v>
      </x:c>
      <x:c r="C2301" s="274" t="n">
        <x:v>0</x:v>
      </x:c>
      <x:c r="D2301" s="274" t="n">
        <x:v>0</x:v>
      </x:c>
      <x:c r="F2301" s="274" t="s">
        <x:v>133</x:v>
      </x:c>
      <x:c r="G2301" s="274" t="s">
        <x:v>148</x:v>
      </x:c>
      <x:c r="I2301" s="274" t="n">
        <x:v>2.3</x:v>
      </x:c>
      <x:c r="J2301" s="274" t="n">
        <x:v>100</x:v>
      </x:c>
      <x:c r="K2301" s="274" t="n">
        <x:v>449</x:v>
      </x:c>
      <x:c r="M2301" s="274" t="s">
        <x:v>4416</x:v>
      </x:c>
      <x:c r="N2301" s="274" t="s">
        <x:v>3671</x:v>
      </x:c>
    </x:row>
    <x:row r="2302" spans="1:14">
      <x:c r="A2302" s="274" t="s">
        <x:v>4417</x:v>
      </x:c>
      <x:c r="B2302" s="274" t="n">
        <x:v>2.4</x:v>
      </x:c>
      <x:c r="C2302" s="274" t="n">
        <x:v>0</x:v>
      </x:c>
      <x:c r="D2302" s="274" t="n">
        <x:v>0</x:v>
      </x:c>
      <x:c r="F2302" s="274" t="s">
        <x:v>133</x:v>
      </x:c>
      <x:c r="G2302" s="274" t="s">
        <x:v>148</x:v>
      </x:c>
      <x:c r="I2302" s="274" t="n">
        <x:v>3.8</x:v>
      </x:c>
      <x:c r="J2302" s="274" t="n">
        <x:v>438</x:v>
      </x:c>
      <x:c r="K2302" s="274" t="n">
        <x:v>184</x:v>
      </x:c>
      <x:c r="M2302" s="274" t="s">
        <x:v>4418</x:v>
      </x:c>
      <x:c r="N2302" s="274" t="s">
        <x:v>3671</x:v>
      </x:c>
    </x:row>
    <x:row r="2303" spans="1:14">
      <x:c r="A2303" s="274" t="s">
        <x:v>4419</x:v>
      </x:c>
      <x:c r="B2303" s="274" t="n">
        <x:v>0.76</x:v>
      </x:c>
      <x:c r="C2303" s="274" t="n">
        <x:v>0</x:v>
      </x:c>
      <x:c r="D2303" s="274" t="n">
        <x:v>0</x:v>
      </x:c>
      <x:c r="F2303" s="274" t="s">
        <x:v>333</x:v>
      </x:c>
      <x:c r="G2303" s="274" t="s">
        <x:v>209</x:v>
      </x:c>
      <x:c r="I2303" s="274" t="n">
        <x:v>1.4</x:v>
      </x:c>
      <x:c r="J2303" s="274" t="n">
        <x:v>265</x:v>
      </x:c>
      <x:c r="K2303" s="274" t="n">
        <x:v>260</x:v>
      </x:c>
      <x:c r="M2303" s="274" t="s">
        <x:v>4420</x:v>
      </x:c>
      <x:c r="N2303" s="274" t="s">
        <x:v>3671</x:v>
      </x:c>
    </x:row>
    <x:row r="2304" spans="1:14">
      <x:c r="A2304" s="274" t="s">
        <x:v>4421</x:v>
      </x:c>
      <x:c r="B2304" s="274" t="n">
        <x:v>2.63</x:v>
      </x:c>
      <x:c r="C2304" s="274" t="n">
        <x:v>0</x:v>
      </x:c>
      <x:c r="D2304" s="274" t="n">
        <x:v>0</x:v>
      </x:c>
      <x:c r="F2304" s="274" t="s">
        <x:v>333</x:v>
      </x:c>
      <x:c r="G2304" s="274" t="s">
        <x:v>153</x:v>
      </x:c>
      <x:c r="I2304" s="274" t="n">
        <x:v>1.6</x:v>
      </x:c>
      <x:c r="J2304" s="274" t="n">
        <x:v>498</x:v>
      </x:c>
      <x:c r="K2304" s="274" t="n">
        <x:v>420</x:v>
      </x:c>
      <x:c r="M2304" s="274" t="s">
        <x:v>4422</x:v>
      </x:c>
      <x:c r="N2304" s="274" t="s">
        <x:v>3671</x:v>
      </x:c>
    </x:row>
    <x:row r="2305" spans="1:14">
      <x:c r="A2305" s="274" t="s">
        <x:v>4423</x:v>
      </x:c>
      <x:c r="B2305" s="274" t="n">
        <x:v>0.44</x:v>
      </x:c>
      <x:c r="C2305" s="274" t="n">
        <x:v>0</x:v>
      </x:c>
      <x:c r="D2305" s="274" t="n">
        <x:v>0</x:v>
      </x:c>
      <x:c r="F2305" s="274" t="s">
        <x:v>333</x:v>
      </x:c>
      <x:c r="G2305" s="274" t="s">
        <x:v>209</x:v>
      </x:c>
      <x:c r="I2305" s="274" t="n">
        <x:v>1</x:v>
      </x:c>
      <x:c r="J2305" s="274" t="n">
        <x:v>139</x:v>
      </x:c>
      <x:c r="K2305" s="274" t="n">
        <x:v>402</x:v>
      </x:c>
      <x:c r="M2305" s="274" t="s">
        <x:v>4424</x:v>
      </x:c>
      <x:c r="N2305" s="274" t="s">
        <x:v>3671</x:v>
      </x:c>
    </x:row>
    <x:row r="2306" spans="1:14">
      <x:c r="A2306" s="274" t="s">
        <x:v>4425</x:v>
      </x:c>
      <x:c r="B2306" s="274" t="n">
        <x:v>0.51</x:v>
      </x:c>
      <x:c r="C2306" s="274" t="n">
        <x:v>0</x:v>
      </x:c>
      <x:c r="D2306" s="274" t="n">
        <x:v>0</x:v>
      </x:c>
      <x:c r="F2306" s="274" t="s">
        <x:v>133</x:v>
      </x:c>
      <x:c r="G2306" s="274" t="s">
        <x:v>136</x:v>
      </x:c>
      <x:c r="H2306" s="274" t="n">
        <x:v>45</x:v>
      </x:c>
      <x:c r="I2306" s="274" t="n">
        <x:v>0.7</x:v>
      </x:c>
      <x:c r="J2306" s="274" t="n">
        <x:v>254</x:v>
      </x:c>
      <x:c r="K2306" s="274" t="n">
        <x:v>358</x:v>
      </x:c>
      <x:c r="M2306" s="274" t="s">
        <x:v>4426</x:v>
      </x:c>
      <x:c r="N2306" s="274" t="s">
        <x:v>3671</x:v>
      </x:c>
    </x:row>
    <x:row r="2307" spans="1:14">
      <x:c r="A2307" s="274" t="s">
        <x:v>4427</x:v>
      </x:c>
      <x:c r="B2307" s="274" t="n">
        <x:v>2.32</x:v>
      </x:c>
      <x:c r="C2307" s="274" t="n">
        <x:v>0</x:v>
      </x:c>
      <x:c r="D2307" s="274" t="n">
        <x:v>50</x:v>
      </x:c>
      <x:c r="E2307" s="274" t="n">
        <x:v>40</x:v>
      </x:c>
      <x:c r="F2307" s="274" t="s">
        <x:v>184</x:v>
      </x:c>
      <x:c r="G2307" s="274" t="s">
        <x:v>144</x:v>
      </x:c>
      <x:c r="H2307" s="274" t="n">
        <x:v>45</x:v>
      </x:c>
      <x:c r="I2307" s="274" t="n">
        <x:v>0.9</x:v>
      </x:c>
      <x:c r="J2307" s="274" t="n">
        <x:v>885</x:v>
      </x:c>
      <x:c r="K2307" s="274" t="n">
        <x:v>366</x:v>
      </x:c>
      <x:c r="M2307" s="274" t="s">
        <x:v>2368</x:v>
      </x:c>
      <x:c r="N2307" s="274" t="s">
        <x:v>299</x:v>
      </x:c>
    </x:row>
    <x:row r="2308" spans="1:14">
      <x:c r="A2308" s="274" t="s">
        <x:v>4428</x:v>
      </x:c>
      <x:c r="B2308" s="274" t="n">
        <x:v>1.27</x:v>
      </x:c>
      <x:c r="C2308" s="274" t="n">
        <x:v>0</x:v>
      </x:c>
      <x:c r="D2308" s="274" t="n">
        <x:v>33</x:v>
      </x:c>
      <x:c r="E2308" s="274" t="n">
        <x:v>31</x:v>
      </x:c>
      <x:c r="F2308" s="274" t="s">
        <x:v>133</x:v>
      </x:c>
      <x:c r="G2308" s="274" t="s">
        <x:v>136</x:v>
      </x:c>
      <x:c r="H2308" s="274" t="n">
        <x:v>45</x:v>
      </x:c>
      <x:c r="I2308" s="274" t="n">
        <x:v>0.65</x:v>
      </x:c>
      <x:c r="J2308" s="274" t="n">
        <x:v>488</x:v>
      </x:c>
      <x:c r="K2308" s="274" t="n">
        <x:v>500</x:v>
      </x:c>
      <x:c r="M2308" s="274" t="s">
        <x:v>1700</x:v>
      </x:c>
      <x:c r="N2308" s="274" t="s">
        <x:v>299</x:v>
      </x:c>
    </x:row>
    <x:row r="2309" spans="1:14">
      <x:c r="A2309" s="274" t="s">
        <x:v>4429</x:v>
      </x:c>
      <x:c r="B2309" s="274" t="n">
        <x:v>4.38</x:v>
      </x:c>
      <x:c r="C2309" s="274" t="n">
        <x:v>0</x:v>
      </x:c>
      <x:c r="D2309" s="274" t="n">
        <x:v>0</x:v>
      </x:c>
      <x:c r="F2309" s="274" t="s">
        <x:v>133</x:v>
      </x:c>
      <x:c r="G2309" s="274" t="s">
        <x:v>148</x:v>
      </x:c>
      <x:c r="I2309" s="274" t="n">
        <x:v>4</x:v>
      </x:c>
      <x:c r="J2309" s="274" t="n">
        <x:v>249</x:v>
      </x:c>
      <x:c r="K2309" s="274" t="n">
        <x:v>560</x:v>
      </x:c>
      <x:c r="M2309" s="274" t="s">
        <x:v>4430</x:v>
      </x:c>
      <x:c r="N2309" s="274" t="s">
        <x:v>3671</x:v>
      </x:c>
    </x:row>
    <x:row r="2310" spans="1:14">
      <x:c r="A2310" s="274" t="s">
        <x:v>4431</x:v>
      </x:c>
      <x:c r="B2310" s="274" t="n">
        <x:v>3.05</x:v>
      </x:c>
      <x:c r="C2310" s="274" t="n">
        <x:v>0</x:v>
      </x:c>
      <x:c r="D2310" s="274" t="n">
        <x:v>0</x:v>
      </x:c>
      <x:c r="F2310" s="274" t="s">
        <x:v>133</x:v>
      </x:c>
      <x:c r="G2310" s="274" t="s">
        <x:v>148</x:v>
      </x:c>
      <x:c r="I2310" s="274" t="n">
        <x:v>4</x:v>
      </x:c>
      <x:c r="J2310" s="274" t="n">
        <x:v>154</x:v>
      </x:c>
      <x:c r="K2310" s="274" t="n">
        <x:v>630</x:v>
      </x:c>
      <x:c r="M2310" s="274" t="s">
        <x:v>4432</x:v>
      </x:c>
      <x:c r="N2310" s="274" t="s">
        <x:v>3671</x:v>
      </x:c>
    </x:row>
    <x:row r="2311" spans="1:14">
      <x:c r="A2311" s="274" t="s">
        <x:v>4433</x:v>
      </x:c>
      <x:c r="B2311" s="274" t="n">
        <x:v>1.9</x:v>
      </x:c>
      <x:c r="C2311" s="274" t="n">
        <x:v>0</x:v>
      </x:c>
      <x:c r="D2311" s="274" t="n">
        <x:v>0</x:v>
      </x:c>
      <x:c r="F2311" s="274" t="s">
        <x:v>133</x:v>
      </x:c>
      <x:c r="G2311" s="274" t="s">
        <x:v>148</x:v>
      </x:c>
      <x:c r="I2311" s="274" t="n">
        <x:v>2.3</x:v>
      </x:c>
      <x:c r="J2311" s="274" t="n">
        <x:v>168</x:v>
      </x:c>
      <x:c r="K2311" s="274" t="n">
        <x:v>625</x:v>
      </x:c>
      <x:c r="M2311" s="274" t="s">
        <x:v>4434</x:v>
      </x:c>
      <x:c r="N2311" s="274" t="s">
        <x:v>3671</x:v>
      </x:c>
    </x:row>
    <x:row r="2312" spans="1:14">
      <x:c r="A2312" s="274" t="s">
        <x:v>4435</x:v>
      </x:c>
      <x:c r="B2312" s="274" t="n">
        <x:v>0.89</x:v>
      </x:c>
      <x:c r="C2312" s="274" t="n">
        <x:v>0</x:v>
      </x:c>
      <x:c r="D2312" s="274" t="n">
        <x:v>0</x:v>
      </x:c>
      <x:c r="F2312" s="274" t="s">
        <x:v>133</x:v>
      </x:c>
      <x:c r="G2312" s="274" t="s">
        <x:v>148</x:v>
      </x:c>
      <x:c r="I2312" s="274" t="n">
        <x:v>2.3</x:v>
      </x:c>
      <x:c r="J2312" s="274" t="n">
        <x:v>227</x:v>
      </x:c>
      <x:c r="K2312" s="274" t="n">
        <x:v>217</x:v>
      </x:c>
      <x:c r="M2312" s="274" t="s">
        <x:v>4436</x:v>
      </x:c>
      <x:c r="N2312" s="274" t="s">
        <x:v>3671</x:v>
      </x:c>
    </x:row>
    <x:row r="2313" spans="1:14">
      <x:c r="A2313" s="274" t="s">
        <x:v>4437</x:v>
      </x:c>
      <x:c r="B2313" s="274" t="n">
        <x:v>1.51</x:v>
      </x:c>
      <x:c r="C2313" s="274" t="n">
        <x:v>0</x:v>
      </x:c>
      <x:c r="D2313" s="274" t="n">
        <x:v>0</x:v>
      </x:c>
      <x:c r="F2313" s="274" t="s">
        <x:v>133</x:v>
      </x:c>
      <x:c r="G2313" s="274" t="s">
        <x:v>136</x:v>
      </x:c>
      <x:c r="H2313" s="274" t="n">
        <x:v>45</x:v>
      </x:c>
      <x:c r="I2313" s="274" t="n">
        <x:v>1.2</x:v>
      </x:c>
      <x:c r="J2313" s="274" t="n">
        <x:v>260</x:v>
      </x:c>
      <x:c r="K2313" s="274" t="n">
        <x:v>610</x:v>
      </x:c>
      <x:c r="M2313" s="274" t="s">
        <x:v>4438</x:v>
      </x:c>
      <x:c r="N2313" s="274" t="s">
        <x:v>3671</x:v>
      </x:c>
    </x:row>
    <x:row r="2314" spans="1:14">
      <x:c r="A2314" s="274" t="s">
        <x:v>4439</x:v>
      </x:c>
      <x:c r="B2314" s="274" t="n">
        <x:v>1.61</x:v>
      </x:c>
      <x:c r="C2314" s="274" t="n">
        <x:v>0</x:v>
      </x:c>
      <x:c r="D2314" s="274" t="n">
        <x:v>0</x:v>
      </x:c>
      <x:c r="F2314" s="274" t="s">
        <x:v>133</x:v>
      </x:c>
      <x:c r="G2314" s="274" t="s">
        <x:v>144</x:v>
      </x:c>
      <x:c r="H2314" s="274" t="n">
        <x:v>45</x:v>
      </x:c>
      <x:c r="I2314" s="274" t="n">
        <x:v>1.2</x:v>
      </x:c>
      <x:c r="J2314" s="274" t="n">
        <x:v>180</x:v>
      </x:c>
      <x:c r="K2314" s="274" t="n">
        <x:v>940</x:v>
      </x:c>
      <x:c r="M2314" s="274" t="s">
        <x:v>4440</x:v>
      </x:c>
      <x:c r="N2314" s="274" t="s">
        <x:v>3671</x:v>
      </x:c>
    </x:row>
    <x:row r="2315" spans="1:14">
      <x:c r="A2315" s="274" t="s">
        <x:v>4441</x:v>
      </x:c>
      <x:c r="B2315" s="274" t="n">
        <x:v>1.39</x:v>
      </x:c>
      <x:c r="C2315" s="274" t="n">
        <x:v>0</x:v>
      </x:c>
      <x:c r="D2315" s="274" t="n">
        <x:v>0</x:v>
      </x:c>
      <x:c r="F2315" s="274" t="s">
        <x:v>333</x:v>
      </x:c>
      <x:c r="G2315" s="274" t="s">
        <x:v>153</x:v>
      </x:c>
      <x:c r="I2315" s="274" t="n">
        <x:v>1</x:v>
      </x:c>
      <x:c r="J2315" s="274" t="n">
        <x:v>297</x:v>
      </x:c>
      <x:c r="K2315" s="274" t="n">
        <x:v>597</x:v>
      </x:c>
      <x:c r="M2315" s="274" t="s">
        <x:v>4442</x:v>
      </x:c>
      <x:c r="N2315" s="274" t="s">
        <x:v>3671</x:v>
      </x:c>
    </x:row>
    <x:row r="2316" spans="1:14">
      <x:c r="A2316" s="274" t="s">
        <x:v>4443</x:v>
      </x:c>
      <x:c r="B2316" s="274" t="n">
        <x:v>0.6</x:v>
      </x:c>
      <x:c r="C2316" s="274" t="n">
        <x:v>0</x:v>
      </x:c>
      <x:c r="D2316" s="274" t="n">
        <x:v>0</x:v>
      </x:c>
      <x:c r="F2316" s="274" t="s">
        <x:v>333</x:v>
      </x:c>
      <x:c r="G2316" s="274" t="s">
        <x:v>153</x:v>
      </x:c>
      <x:c r="I2316" s="274" t="n">
        <x:v>0.6</x:v>
      </x:c>
      <x:c r="J2316" s="274" t="n">
        <x:v>341</x:v>
      </x:c>
      <x:c r="K2316" s="274" t="n">
        <x:v>372</x:v>
      </x:c>
      <x:c r="M2316" s="274" t="s">
        <x:v>4444</x:v>
      </x:c>
      <x:c r="N2316" s="274" t="s">
        <x:v>3671</x:v>
      </x:c>
    </x:row>
    <x:row r="2317" spans="1:14">
      <x:c r="A2317" s="274" t="s">
        <x:v>4445</x:v>
      </x:c>
      <x:c r="B2317" s="274" t="n">
        <x:v>0.22</x:v>
      </x:c>
      <x:c r="C2317" s="274" t="n">
        <x:v>0</x:v>
      </x:c>
      <x:c r="D2317" s="274" t="n">
        <x:v>0</x:v>
      </x:c>
      <x:c r="F2317" s="274" t="s">
        <x:v>333</x:v>
      </x:c>
      <x:c r="G2317" s="274" t="s">
        <x:v>153</x:v>
      </x:c>
      <x:c r="I2317" s="274" t="n">
        <x:v>1</x:v>
      </x:c>
      <x:c r="J2317" s="274" t="n">
        <x:v>110</x:v>
      </x:c>
      <x:c r="K2317" s="274" t="n">
        <x:v>252</x:v>
      </x:c>
      <x:c r="M2317" s="274" t="s">
        <x:v>4446</x:v>
      </x:c>
      <x:c r="N2317" s="274" t="s">
        <x:v>3671</x:v>
      </x:c>
    </x:row>
    <x:row r="2318" spans="1:14">
      <x:c r="A2318" s="274" t="s">
        <x:v>4447</x:v>
      </x:c>
      <x:c r="B2318" s="274" t="n">
        <x:v>0.69</x:v>
      </x:c>
      <x:c r="C2318" s="274" t="n">
        <x:v>0</x:v>
      </x:c>
      <x:c r="D2318" s="274" t="n">
        <x:v>0</x:v>
      </x:c>
      <x:c r="F2318" s="274" t="s">
        <x:v>123</x:v>
      </x:c>
      <x:c r="G2318" s="274" t="s">
        <x:v>148</x:v>
      </x:c>
      <x:c r="I2318" s="274" t="n">
        <x:v>1.6</x:v>
      </x:c>
      <x:c r="J2318" s="274" t="n">
        <x:v>130</x:v>
      </x:c>
      <x:c r="K2318" s="274" t="n">
        <x:v>423</x:v>
      </x:c>
      <x:c r="M2318" s="274" t="s">
        <x:v>4448</x:v>
      </x:c>
      <x:c r="N2318" s="274" t="s">
        <x:v>3671</x:v>
      </x:c>
    </x:row>
    <x:row r="2319" spans="1:14">
      <x:c r="A2319" s="274" t="s">
        <x:v>4449</x:v>
      </x:c>
      <x:c r="B2319" s="274" t="n">
        <x:v>8.57</x:v>
      </x:c>
      <x:c r="C2319" s="274" t="n">
        <x:v>0</x:v>
      </x:c>
      <x:c r="D2319" s="274" t="n">
        <x:v>0</x:v>
      </x:c>
      <x:c r="F2319" s="274" t="s">
        <x:v>133</x:v>
      </x:c>
      <x:c r="G2319" s="274" t="s">
        <x:v>148</x:v>
      </x:c>
      <x:c r="I2319" s="274" t="n">
        <x:v>2.6</x:v>
      </x:c>
      <x:c r="J2319" s="274" t="n">
        <x:v>350</x:v>
      </x:c>
      <x:c r="K2319" s="274" t="n">
        <x:v>1200</x:v>
      </x:c>
      <x:c r="M2319" s="274" t="s">
        <x:v>4450</x:v>
      </x:c>
      <x:c r="N2319" s="274" t="s">
        <x:v>3671</x:v>
      </x:c>
    </x:row>
    <x:row r="2320" spans="1:14">
      <x:c r="A2320" s="274" t="s">
        <x:v>4451</x:v>
      </x:c>
      <x:c r="B2320" s="274" t="n">
        <x:v>1.04</x:v>
      </x:c>
      <x:c r="C2320" s="274" t="n">
        <x:v>0</x:v>
      </x:c>
      <x:c r="D2320" s="274" t="n">
        <x:v>0</x:v>
      </x:c>
      <x:c r="F2320" s="274" t="s">
        <x:v>133</x:v>
      </x:c>
      <x:c r="G2320" s="274" t="s">
        <x:v>134</x:v>
      </x:c>
      <x:c r="I2320" s="274" t="n">
        <x:v>2.6</x:v>
      </x:c>
      <x:c r="J2320" s="274" t="n">
        <x:v>275</x:v>
      </x:c>
      <x:c r="K2320" s="274" t="n">
        <x:v>185</x:v>
      </x:c>
      <x:c r="M2320" s="274" t="s">
        <x:v>4452</x:v>
      </x:c>
      <x:c r="N2320" s="274" t="s">
        <x:v>3671</x:v>
      </x:c>
    </x:row>
    <x:row r="2321" spans="1:14">
      <x:c r="A2321" s="274" t="s">
        <x:v>4453</x:v>
      </x:c>
      <x:c r="B2321" s="274" t="n">
        <x:v>0.14</x:v>
      </x:c>
      <x:c r="C2321" s="274" t="n">
        <x:v>0</x:v>
      </x:c>
      <x:c r="D2321" s="274" t="n">
        <x:v>0</x:v>
      </x:c>
      <x:c r="F2321" s="274" t="s">
        <x:v>133</x:v>
      </x:c>
      <x:c r="G2321" s="274" t="s">
        <x:v>136</x:v>
      </x:c>
      <x:c r="H2321" s="274" t="n">
        <x:v>45</x:v>
      </x:c>
      <x:c r="I2321" s="274" t="n">
        <x:v>1</x:v>
      </x:c>
      <x:c r="J2321" s="274" t="n">
        <x:v>110</x:v>
      </x:c>
      <x:c r="K2321" s="274" t="n">
        <x:v>163</x:v>
      </x:c>
      <x:c r="M2321" s="274" t="s">
        <x:v>4454</x:v>
      </x:c>
      <x:c r="N2321" s="274" t="s">
        <x:v>4455</x:v>
      </x:c>
    </x:row>
    <x:row r="2322" spans="1:14">
      <x:c r="A2322" s="274" t="s">
        <x:v>4456</x:v>
      </x:c>
      <x:c r="B2322" s="274" t="n">
        <x:v>0.13</x:v>
      </x:c>
      <x:c r="C2322" s="274" t="n">
        <x:v>0</x:v>
      </x:c>
      <x:c r="D2322" s="274" t="n">
        <x:v>0</x:v>
      </x:c>
      <x:c r="F2322" s="274" t="s">
        <x:v>133</x:v>
      </x:c>
      <x:c r="G2322" s="274" t="s">
        <x:v>136</x:v>
      </x:c>
      <x:c r="H2322" s="274" t="n">
        <x:v>45</x:v>
      </x:c>
      <x:c r="I2322" s="274" t="n">
        <x:v>1</x:v>
      </x:c>
      <x:c r="J2322" s="274" t="n">
        <x:v>106</x:v>
      </x:c>
      <x:c r="K2322" s="274" t="n">
        <x:v>150</x:v>
      </x:c>
      <x:c r="M2322" s="274" t="s">
        <x:v>4457</x:v>
      </x:c>
      <x:c r="N2322" s="274" t="s">
        <x:v>299</x:v>
      </x:c>
    </x:row>
    <x:row r="2323" spans="1:14">
      <x:c r="A2323" s="274" t="s">
        <x:v>4458</x:v>
      </x:c>
      <x:c r="B2323" s="274" t="n">
        <x:v>0.34</x:v>
      </x:c>
      <x:c r="C2323" s="274" t="n">
        <x:v>0</x:v>
      </x:c>
      <x:c r="D2323" s="274" t="n">
        <x:v>0</x:v>
      </x:c>
      <x:c r="F2323" s="274" t="s">
        <x:v>133</x:v>
      </x:c>
      <x:c r="G2323" s="274" t="s">
        <x:v>136</x:v>
      </x:c>
      <x:c r="H2323" s="274" t="n">
        <x:v>45</x:v>
      </x:c>
      <x:c r="I2323" s="274" t="n">
        <x:v>2</x:v>
      </x:c>
      <x:c r="J2323" s="274" t="n">
        <x:v>40</x:v>
      </x:c>
      <x:c r="K2323" s="274" t="n">
        <x:v>540</x:v>
      </x:c>
      <x:c r="M2323" s="274" t="s">
        <x:v>4459</x:v>
      </x:c>
      <x:c r="N2323" s="274" t="s">
        <x:v>155</x:v>
      </x:c>
    </x:row>
    <x:row r="2324" spans="1:14">
      <x:c r="A2324" s="274" t="s">
        <x:v>4460</x:v>
      </x:c>
      <x:c r="B2324" s="274" t="n">
        <x:v>0.47</x:v>
      </x:c>
      <x:c r="C2324" s="274" t="n">
        <x:v>0</x:v>
      </x:c>
      <x:c r="D2324" s="274" t="n">
        <x:v>0</x:v>
      </x:c>
      <x:c r="F2324" s="274" t="s">
        <x:v>133</x:v>
      </x:c>
      <x:c r="G2324" s="274" t="s">
        <x:v>136</x:v>
      </x:c>
      <x:c r="H2324" s="274" t="n">
        <x:v>45</x:v>
      </x:c>
      <x:c r="I2324" s="274" t="n">
        <x:v>2</x:v>
      </x:c>
      <x:c r="J2324" s="274" t="n">
        <x:v>40</x:v>
      </x:c>
      <x:c r="K2324" s="274" t="n">
        <x:v>743</x:v>
      </x:c>
      <x:c r="M2324" s="274" t="s">
        <x:v>4461</x:v>
      </x:c>
      <x:c r="N2324" s="274" t="s">
        <x:v>155</x:v>
      </x:c>
    </x:row>
    <x:row r="2325" spans="1:14">
      <x:c r="A2325" s="274" t="s">
        <x:v>4462</x:v>
      </x:c>
      <x:c r="B2325" s="274" t="n">
        <x:v>0.38</x:v>
      </x:c>
      <x:c r="C2325" s="274" t="n">
        <x:v>0</x:v>
      </x:c>
      <x:c r="D2325" s="274" t="n">
        <x:v>0</x:v>
      </x:c>
      <x:c r="F2325" s="274" t="s">
        <x:v>133</x:v>
      </x:c>
      <x:c r="G2325" s="274" t="s">
        <x:v>136</x:v>
      </x:c>
      <x:c r="H2325" s="274" t="n">
        <x:v>45</x:v>
      </x:c>
      <x:c r="I2325" s="274" t="n">
        <x:v>2</x:v>
      </x:c>
      <x:c r="J2325" s="274" t="n">
        <x:v>40</x:v>
      </x:c>
      <x:c r="K2325" s="274" t="n">
        <x:v>603</x:v>
      </x:c>
      <x:c r="M2325" s="274" t="s">
        <x:v>577</x:v>
      </x:c>
      <x:c r="N2325" s="274" t="s">
        <x:v>299</x:v>
      </x:c>
    </x:row>
    <x:row r="2326" spans="1:14">
      <x:c r="A2326" s="274" t="s">
        <x:v>4463</x:v>
      </x:c>
      <x:c r="B2326" s="274" t="n">
        <x:v>0.51</x:v>
      </x:c>
      <x:c r="C2326" s="274" t="n">
        <x:v>0</x:v>
      </x:c>
      <x:c r="D2326" s="274" t="n">
        <x:v>0</x:v>
      </x:c>
      <x:c r="F2326" s="274" t="s">
        <x:v>133</x:v>
      </x:c>
      <x:c r="G2326" s="274" t="s">
        <x:v>136</x:v>
      </x:c>
      <x:c r="H2326" s="274" t="n">
        <x:v>45</x:v>
      </x:c>
      <x:c r="I2326" s="274" t="n">
        <x:v>2</x:v>
      </x:c>
      <x:c r="J2326" s="274" t="n">
        <x:v>40</x:v>
      </x:c>
      <x:c r="K2326" s="274" t="n">
        <x:v>814</x:v>
      </x:c>
      <x:c r="M2326" s="274" t="s">
        <x:v>579</x:v>
      </x:c>
      <x:c r="N2326" s="274" t="s">
        <x:v>299</x:v>
      </x:c>
    </x:row>
    <x:row r="2327" spans="1:14">
      <x:c r="A2327" s="274" t="s">
        <x:v>4464</x:v>
      </x:c>
      <x:c r="B2327" s="274" t="n">
        <x:v>0.32</x:v>
      </x:c>
      <x:c r="C2327" s="274" t="n">
        <x:v>0</x:v>
      </x:c>
      <x:c r="D2327" s="274" t="n">
        <x:v>0</x:v>
      </x:c>
      <x:c r="F2327" s="274" t="s">
        <x:v>133</x:v>
      </x:c>
      <x:c r="G2327" s="274" t="s">
        <x:v>136</x:v>
      </x:c>
      <x:c r="H2327" s="274" t="n">
        <x:v>45</x:v>
      </x:c>
      <x:c r="I2327" s="274" t="n">
        <x:v>2</x:v>
      </x:c>
      <x:c r="J2327" s="274" t="n">
        <x:v>30</x:v>
      </x:c>
      <x:c r="K2327" s="274" t="n">
        <x:v>682</x:v>
      </x:c>
      <x:c r="M2327" s="274" t="s">
        <x:v>590</x:v>
      </x:c>
      <x:c r="N2327" s="274" t="s">
        <x:v>299</x:v>
      </x:c>
    </x:row>
    <x:row r="2328" spans="1:14">
      <x:c r="A2328" s="274" t="s">
        <x:v>4465</x:v>
      </x:c>
      <x:c r="B2328" s="274" t="n">
        <x:v>3.34</x:v>
      </x:c>
      <x:c r="C2328" s="274" t="n">
        <x:v>0</x:v>
      </x:c>
      <x:c r="D2328" s="274" t="n">
        <x:v>0</x:v>
      </x:c>
      <x:c r="F2328" s="274" t="s">
        <x:v>133</x:v>
      </x:c>
      <x:c r="G2328" s="274" t="s">
        <x:v>136</x:v>
      </x:c>
      <x:c r="H2328" s="274" t="n">
        <x:v>45</x:v>
      </x:c>
      <x:c r="I2328" s="274" t="n">
        <x:v>2</x:v>
      </x:c>
      <x:c r="J2328" s="274" t="n">
        <x:v>187</x:v>
      </x:c>
      <x:c r="K2328" s="274" t="n">
        <x:v>1130</x:v>
      </x:c>
      <x:c r="M2328" s="274" t="s">
        <x:v>2048</x:v>
      </x:c>
      <x:c r="N2328" s="274" t="s">
        <x:v>299</x:v>
      </x:c>
    </x:row>
    <x:row r="2329" spans="1:14">
      <x:c r="A2329" s="274" t="s">
        <x:v>4466</x:v>
      </x:c>
      <x:c r="B2329" s="274" t="n">
        <x:v>0.13</x:v>
      </x:c>
      <x:c r="C2329" s="274" t="n">
        <x:v>0</x:v>
      </x:c>
      <x:c r="D2329" s="274" t="n">
        <x:v>0</x:v>
      </x:c>
      <x:c r="F2329" s="274" t="s">
        <x:v>133</x:v>
      </x:c>
      <x:c r="G2329" s="274" t="s">
        <x:v>136</x:v>
      </x:c>
      <x:c r="H2329" s="274" t="n">
        <x:v>45</x:v>
      </x:c>
      <x:c r="I2329" s="274" t="n">
        <x:v>1</x:v>
      </x:c>
      <x:c r="J2329" s="274" t="n">
        <x:v>97</x:v>
      </x:c>
      <x:c r="K2329" s="274" t="n">
        <x:v>168</x:v>
      </x:c>
      <x:c r="M2329" s="274" t="s">
        <x:v>185</x:v>
      </x:c>
      <x:c r="N2329" s="274" t="s">
        <x:v>4250</x:v>
      </x:c>
    </x:row>
    <x:row r="2330" spans="1:14">
      <x:c r="A2330" s="274" t="s">
        <x:v>4467</x:v>
      </x:c>
      <x:c r="B2330" s="274" t="n">
        <x:v>0.54</x:v>
      </x:c>
      <x:c r="C2330" s="274" t="n">
        <x:v>0</x:v>
      </x:c>
      <x:c r="D2330" s="274" t="n">
        <x:v>0</x:v>
      </x:c>
      <x:c r="F2330" s="274" t="s">
        <x:v>133</x:v>
      </x:c>
      <x:c r="G2330" s="274" t="s">
        <x:v>136</x:v>
      </x:c>
      <x:c r="H2330" s="274" t="n">
        <x:v>45</x:v>
      </x:c>
      <x:c r="I2330" s="274" t="n">
        <x:v>2</x:v>
      </x:c>
      <x:c r="J2330" s="274" t="n">
        <x:v>195</x:v>
      </x:c>
      <x:c r="K2330" s="274" t="n">
        <x:v>174</x:v>
      </x:c>
      <x:c r="M2330" s="274" t="s">
        <x:v>426</x:v>
      </x:c>
      <x:c r="N2330" s="274" t="s">
        <x:v>4250</x:v>
      </x:c>
    </x:row>
    <x:row r="2331" spans="1:14">
      <x:c r="A2331" s="274" t="s">
        <x:v>4468</x:v>
      </x:c>
      <x:c r="B2331" s="274" t="n">
        <x:v>0.17</x:v>
      </x:c>
      <x:c r="C2331" s="274" t="n">
        <x:v>0</x:v>
      </x:c>
      <x:c r="D2331" s="274" t="n">
        <x:v>0</x:v>
      </x:c>
      <x:c r="F2331" s="274" t="s">
        <x:v>1964</x:v>
      </x:c>
      <x:c r="G2331" s="274" t="s">
        <x:v>4256</x:v>
      </x:c>
      <x:c r="I2331" s="274" t="n">
        <x:v>1</x:v>
      </x:c>
      <x:c r="J2331" s="274" t="n">
        <x:v>225</x:v>
      </x:c>
      <x:c r="K2331" s="274" t="n">
        <x:v>95</x:v>
      </x:c>
    </x:row>
    <x:row r="2332" spans="1:14">
      <x:c r="A2332" s="274" t="s">
        <x:v>4469</x:v>
      </x:c>
      <x:c r="B2332" s="274" t="n">
        <x:v>0.26</x:v>
      </x:c>
      <x:c r="C2332" s="274" t="n">
        <x:v>0</x:v>
      </x:c>
      <x:c r="D2332" s="274" t="n">
        <x:v>35</x:v>
      </x:c>
      <x:c r="E2332" s="274" t="n">
        <x:v>33</x:v>
      </x:c>
      <x:c r="F2332" s="274" t="s">
        <x:v>3412</x:v>
      </x:c>
      <x:c r="G2332" s="274" t="s">
        <x:v>4470</x:v>
      </x:c>
      <x:c r="H2332" s="274" t="s">
        <x:v>4471</x:v>
      </x:c>
      <x:c r="I2332" s="274" t="n">
        <x:v>2</x:v>
      </x:c>
      <x:c r="J2332" s="274" t="n">
        <x:v>139</x:v>
      </x:c>
      <x:c r="K2332" s="274" t="n">
        <x:v>118</x:v>
      </x:c>
      <x:c r="M2332" s="274" t="s">
        <x:v>4472</x:v>
      </x:c>
    </x:row>
    <x:row r="2333" spans="1:14">
      <x:c r="A2333" s="274" t="s">
        <x:v>4473</x:v>
      </x:c>
      <x:c r="B2333" s="274" t="n">
        <x:v>1.68</x:v>
      </x:c>
      <x:c r="C2333" s="274" t="n">
        <x:v>0</x:v>
      </x:c>
      <x:c r="D2333" s="274" t="n">
        <x:v>0</x:v>
      </x:c>
      <x:c r="F2333" s="274" t="s">
        <x:v>184</x:v>
      </x:c>
      <x:c r="G2333" s="274" t="s">
        <x:v>129</x:v>
      </x:c>
      <x:c r="H2333" s="274" t="n">
        <x:v>45</x:v>
      </x:c>
      <x:c r="I2333" s="274" t="n">
        <x:v>1.4</x:v>
      </x:c>
      <x:c r="J2333" s="274" t="n">
        <x:v>345</x:v>
      </x:c>
      <x:c r="K2333" s="274" t="n">
        <x:v>440</x:v>
      </x:c>
      <x:c r="M2333" s="274" t="s">
        <x:v>1320</x:v>
      </x:c>
      <x:c r="N2333" s="274" t="s">
        <x:v>870</x:v>
      </x:c>
    </x:row>
    <x:row r="2334" spans="1:14">
      <x:c r="A2334" s="274" t="s">
        <x:v>4474</x:v>
      </x:c>
      <x:c r="B2334" s="274" t="n">
        <x:v>0.83</x:v>
      </x:c>
      <x:c r="C2334" s="274" t="n">
        <x:v>0</x:v>
      </x:c>
      <x:c r="D2334" s="274" t="n">
        <x:v>0</x:v>
      </x:c>
      <x:c r="F2334" s="274" t="s">
        <x:v>184</x:v>
      </x:c>
      <x:c r="G2334" s="274" t="s">
        <x:v>129</x:v>
      </x:c>
      <x:c r="H2334" s="274" t="n">
        <x:v>45</x:v>
      </x:c>
      <x:c r="I2334" s="274" t="n">
        <x:v>1.4</x:v>
      </x:c>
      <x:c r="J2334" s="274" t="n">
        <x:v>235</x:v>
      </x:c>
      <x:c r="K2334" s="274" t="n">
        <x:v>320</x:v>
      </x:c>
      <x:c r="M2334" s="274" t="s">
        <x:v>960</x:v>
      </x:c>
      <x:c r="N2334" s="274" t="s">
        <x:v>870</x:v>
      </x:c>
    </x:row>
    <x:row r="2335" spans="1:14">
      <x:c r="A2335" s="274" t="s">
        <x:v>4475</x:v>
      </x:c>
      <x:c r="B2335" s="274" t="n">
        <x:v>10.46</x:v>
      </x:c>
      <x:c r="C2335" s="274" t="n">
        <x:v>0</x:v>
      </x:c>
      <x:c r="D2335" s="274" t="n">
        <x:v>34</x:v>
      </x:c>
      <x:c r="E2335" s="274" t="n">
        <x:v>29</x:v>
      </x:c>
      <x:c r="F2335" s="274" t="s">
        <x:v>123</x:v>
      </x:c>
      <x:c r="G2335" s="274" t="s">
        <x:v>1985</x:v>
      </x:c>
      <x:c r="I2335" s="274" t="n">
        <x:v>0.8</x:v>
      </x:c>
      <x:c r="J2335" s="274" t="n">
        <x:v>1190</x:v>
      </x:c>
      <x:c r="K2335" s="274" t="n">
        <x:v>1400</x:v>
      </x:c>
      <x:c r="M2335" s="274" t="s">
        <x:v>4476</x:v>
      </x:c>
    </x:row>
    <x:row r="2336" spans="1:14">
      <x:c r="A2336" s="274" t="s">
        <x:v>4477</x:v>
      </x:c>
      <x:c r="B2336" s="274" t="n">
        <x:v>1.29</x:v>
      </x:c>
      <x:c r="C2336" s="274" t="n">
        <x:v>0</x:v>
      </x:c>
      <x:c r="D2336" s="274" t="n">
        <x:v>0</x:v>
      </x:c>
      <x:c r="F2336" s="274" t="s">
        <x:v>133</x:v>
      </x:c>
      <x:c r="G2336" s="274" t="s">
        <x:v>136</x:v>
      </x:c>
      <x:c r="H2336" s="274" t="n">
        <x:v>45</x:v>
      </x:c>
      <x:c r="I2336" s="274" t="n">
        <x:v>1.6</x:v>
      </x:c>
      <x:c r="J2336" s="274" t="n">
        <x:v>68</x:v>
      </x:c>
      <x:c r="K2336" s="274" t="n">
        <x:v>1500</x:v>
      </x:c>
      <x:c r="M2336" s="274" t="s">
        <x:v>4478</x:v>
      </x:c>
      <x:c r="N2336" s="274" t="s">
        <x:v>4479</x:v>
      </x:c>
    </x:row>
    <x:row r="2337" spans="1:14">
      <x:c r="A2337" s="274" t="s">
        <x:v>4480</x:v>
      </x:c>
      <x:c r="B2337" s="274" t="n">
        <x:v>2.33</x:v>
      </x:c>
      <x:c r="C2337" s="274" t="n">
        <x:v>0</x:v>
      </x:c>
      <x:c r="D2337" s="274" t="n">
        <x:v>33</x:v>
      </x:c>
      <x:c r="E2337" s="274" t="n">
        <x:v>28</x:v>
      </x:c>
      <x:c r="F2337" s="274" t="s">
        <x:v>184</x:v>
      </x:c>
      <x:c r="G2337" s="274" t="s">
        <x:v>881</x:v>
      </x:c>
      <x:c r="H2337" s="274" t="n">
        <x:v>45</x:v>
      </x:c>
      <x:c r="I2337" s="274" t="n">
        <x:v>1.2</x:v>
      </x:c>
      <x:c r="J2337" s="274" t="n">
        <x:v>570</x:v>
      </x:c>
      <x:c r="K2337" s="274" t="n">
        <x:v>429</x:v>
      </x:c>
      <x:c r="M2337" s="274" t="s">
        <x:v>882</x:v>
      </x:c>
      <x:c r="N2337" s="274" t="s">
        <x:v>4481</x:v>
      </x:c>
    </x:row>
    <x:row r="2338" spans="1:14">
      <x:c r="A2338" s="274" t="s">
        <x:v>4482</x:v>
      </x:c>
      <x:c r="B2338" s="274" t="n">
        <x:v>4.65</x:v>
      </x:c>
      <x:c r="C2338" s="274" t="n">
        <x:v>0</x:v>
      </x:c>
      <x:c r="D2338" s="274" t="n">
        <x:v>33</x:v>
      </x:c>
      <x:c r="E2338" s="274" t="n">
        <x:v>28</x:v>
      </x:c>
      <x:c r="F2338" s="274" t="s">
        <x:v>184</x:v>
      </x:c>
      <x:c r="G2338" s="274" t="s">
        <x:v>881</x:v>
      </x:c>
      <x:c r="H2338" s="274" t="n">
        <x:v>45</x:v>
      </x:c>
      <x:c r="I2338" s="274" t="n">
        <x:v>1.2</x:v>
      </x:c>
      <x:c r="J2338" s="274" t="n">
        <x:v>326</x:v>
      </x:c>
      <x:c r="K2338" s="274" t="n">
        <x:v>1500</x:v>
      </x:c>
      <x:c r="M2338" s="274" t="s">
        <x:v>4483</x:v>
      </x:c>
      <x:c r="N2338" s="274" t="s">
        <x:v>4481</x:v>
      </x:c>
    </x:row>
    <x:row r="2339" spans="1:14">
      <x:c r="A2339" s="274" t="s">
        <x:v>4484</x:v>
      </x:c>
      <x:c r="B2339" s="274" t="n">
        <x:v>1.42</x:v>
      </x:c>
      <x:c r="C2339" s="274" t="n">
        <x:v>0</x:v>
      </x:c>
      <x:c r="D2339" s="274" t="n">
        <x:v>0</x:v>
      </x:c>
      <x:c r="F2339" s="274" t="s">
        <x:v>133</x:v>
      </x:c>
      <x:c r="G2339" s="274" t="s">
        <x:v>136</x:v>
      </x:c>
      <x:c r="H2339" s="274" t="n">
        <x:v>45</x:v>
      </x:c>
      <x:c r="I2339" s="274" t="n">
        <x:v>1.6</x:v>
      </x:c>
      <x:c r="J2339" s="274" t="n">
        <x:v>75</x:v>
      </x:c>
      <x:c r="K2339" s="274" t="n">
        <x:v>1500</x:v>
      </x:c>
      <x:c r="M2339" s="274" t="s">
        <x:v>280</x:v>
      </x:c>
      <x:c r="N2339" s="274" t="s">
        <x:v>4479</x:v>
      </x:c>
    </x:row>
    <x:row r="2340" spans="1:14">
      <x:c r="A2340" s="274" t="s">
        <x:v>4485</x:v>
      </x:c>
      <x:c r="B2340" s="274" t="n">
        <x:v>1.26</x:v>
      </x:c>
      <x:c r="C2340" s="274" t="n">
        <x:v>0</x:v>
      </x:c>
      <x:c r="D2340" s="274" t="n">
        <x:v>0</x:v>
      </x:c>
      <x:c r="F2340" s="274" t="s">
        <x:v>184</x:v>
      </x:c>
      <x:c r="G2340" s="274" t="s">
        <x:v>129</x:v>
      </x:c>
      <x:c r="H2340" s="274" t="n">
        <x:v>45</x:v>
      </x:c>
      <x:c r="I2340" s="274" t="n">
        <x:v>1.4</x:v>
      </x:c>
      <x:c r="J2340" s="274" t="n">
        <x:v>93</x:v>
      </x:c>
      <x:c r="K2340" s="274" t="n">
        <x:v>1219</x:v>
      </x:c>
      <x:c r="M2340" s="274" t="s">
        <x:v>1108</x:v>
      </x:c>
      <x:c r="N2340" s="274" t="s">
        <x:v>870</x:v>
      </x:c>
    </x:row>
    <x:row r="2341" spans="1:14">
      <x:c r="A2341" s="274" t="s">
        <x:v>4486</x:v>
      </x:c>
      <x:c r="B2341" s="274" t="n">
        <x:v>12.31</x:v>
      </x:c>
      <x:c r="C2341" s="274" t="n">
        <x:v>0</x:v>
      </x:c>
      <x:c r="D2341" s="274" t="n">
        <x:v>33</x:v>
      </x:c>
      <x:c r="F2341" s="274" t="s">
        <x:v>133</x:v>
      </x:c>
      <x:c r="G2341" s="274" t="s">
        <x:v>4487</x:v>
      </x:c>
      <x:c r="I2341" s="274" t="n">
        <x:v>0.9</x:v>
      </x:c>
      <x:c r="J2341" s="274" t="n">
        <x:v>1300</x:v>
      </x:c>
      <x:c r="K2341" s="274" t="n">
        <x:v>1520</x:v>
      </x:c>
      <x:c r="L2341" s="274" t="n">
        <x:v>1160</x:v>
      </x:c>
      <x:c r="M2341" s="274" t="s">
        <x:v>4488</x:v>
      </x:c>
      <x:c r="N2341" s="274" t="s">
        <x:v>3302</x:v>
      </x:c>
    </x:row>
    <x:row r="2342" spans="1:14">
      <x:c r="A2342" s="274" t="s">
        <x:v>4489</x:v>
      </x:c>
      <x:c r="B2342" s="274" t="n">
        <x:v>0.6</x:v>
      </x:c>
      <x:c r="C2342" s="274" t="n">
        <x:v>0</x:v>
      </x:c>
      <x:c r="D2342" s="274" t="n">
        <x:v>0</x:v>
      </x:c>
      <x:c r="F2342" s="274" t="s">
        <x:v>184</x:v>
      </x:c>
      <x:c r="G2342" s="274" t="s">
        <x:v>129</x:v>
      </x:c>
      <x:c r="H2342" s="274" t="n">
        <x:v>45</x:v>
      </x:c>
      <x:c r="I2342" s="274" t="n">
        <x:v>1.4</x:v>
      </x:c>
      <x:c r="J2342" s="274" t="n">
        <x:v>190</x:v>
      </x:c>
      <x:c r="K2342" s="274" t="n">
        <x:v>285</x:v>
      </x:c>
      <x:c r="M2342" s="274" t="s">
        <x:v>428</x:v>
      </x:c>
      <x:c r="N2342" s="274" t="s">
        <x:v>4250</x:v>
      </x:c>
    </x:row>
    <x:row r="2343" spans="1:14">
      <x:c r="A2343" s="274" t="s">
        <x:v>4490</x:v>
      </x:c>
      <x:c r="B2343" s="274" t="n">
        <x:v>3.07</x:v>
      </x:c>
      <x:c r="C2343" s="274" t="n">
        <x:v>0</x:v>
      </x:c>
      <x:c r="D2343" s="274" t="n">
        <x:v>0</x:v>
      </x:c>
      <x:c r="F2343" s="274" t="s">
        <x:v>184</x:v>
      </x:c>
      <x:c r="G2343" s="274" t="s">
        <x:v>144</x:v>
      </x:c>
      <x:c r="H2343" s="274" t="n">
        <x:v>45</x:v>
      </x:c>
      <x:c r="I2343" s="274" t="n">
        <x:v>2.3</x:v>
      </x:c>
      <x:c r="J2343" s="274" t="n">
        <x:v>345</x:v>
      </x:c>
      <x:c r="K2343" s="274" t="n">
        <x:v>490</x:v>
      </x:c>
      <x:c r="M2343" s="274" t="s">
        <x:v>2916</x:v>
      </x:c>
      <x:c r="N2343" s="274" t="s">
        <x:v>870</x:v>
      </x:c>
    </x:row>
    <x:row r="2344" spans="1:14">
      <x:c r="A2344" s="274" t="s">
        <x:v>4491</x:v>
      </x:c>
      <x:c r="B2344" s="274" t="n">
        <x:v>3.33</x:v>
      </x:c>
      <x:c r="C2344" s="274" t="n">
        <x:v>0</x:v>
      </x:c>
      <x:c r="D2344" s="274" t="n">
        <x:v>0</x:v>
      </x:c>
      <x:c r="F2344" s="274" t="s">
        <x:v>123</x:v>
      </x:c>
      <x:c r="G2344" s="274" t="s">
        <x:v>139</x:v>
      </x:c>
      <x:c r="I2344" s="274" t="n">
        <x:v>4</x:v>
      </x:c>
      <x:c r="J2344" s="274" t="n">
        <x:v>106</x:v>
      </x:c>
      <x:c r="K2344" s="274" t="n">
        <x:v>1000</x:v>
      </x:c>
      <x:c r="M2344" s="274" t="s">
        <x:v>4492</x:v>
      </x:c>
      <x:c r="N2344" s="274" t="s">
        <x:v>870</x:v>
      </x:c>
    </x:row>
    <x:row r="2345" spans="1:14">
      <x:c r="A2345" s="274" t="s">
        <x:v>4493</x:v>
      </x:c>
      <x:c r="B2345" s="274" t="n">
        <x:v>4.55</x:v>
      </x:c>
      <x:c r="C2345" s="274" t="n">
        <x:v>0</x:v>
      </x:c>
      <x:c r="D2345" s="274" t="n">
        <x:v>0</x:v>
      </x:c>
      <x:c r="F2345" s="274" t="s">
        <x:v>123</x:v>
      </x:c>
      <x:c r="G2345" s="274" t="s">
        <x:v>139</x:v>
      </x:c>
      <x:c r="I2345" s="274" t="n">
        <x:v>4</x:v>
      </x:c>
      <x:c r="J2345" s="274" t="n">
        <x:v>145</x:v>
      </x:c>
      <x:c r="K2345" s="274" t="n">
        <x:v>1000</x:v>
      </x:c>
      <x:c r="M2345" s="274" t="s">
        <x:v>612</x:v>
      </x:c>
      <x:c r="N2345" s="274" t="s">
        <x:v>870</x:v>
      </x:c>
    </x:row>
    <x:row r="2346" spans="1:14">
      <x:c r="A2346" s="274" t="s">
        <x:v>4494</x:v>
      </x:c>
      <x:c r="B2346" s="274" t="n">
        <x:v>3.04</x:v>
      </x:c>
      <x:c r="C2346" s="274" t="n">
        <x:v>0</x:v>
      </x:c>
      <x:c r="D2346" s="274" t="n">
        <x:v>20</x:v>
      </x:c>
      <x:c r="E2346" s="274" t="n">
        <x:v>19</x:v>
      </x:c>
      <x:c r="F2346" s="274" t="s">
        <x:v>184</x:v>
      </x:c>
      <x:c r="G2346" s="274" t="s">
        <x:v>1718</x:v>
      </x:c>
      <x:c r="H2346" s="274" t="n">
        <x:v>45</x:v>
      </x:c>
      <x:c r="I2346" s="274" t="n">
        <x:v>1.8</x:v>
      </x:c>
      <x:c r="J2346" s="274" t="n">
        <x:v>180</x:v>
      </x:c>
      <x:c r="K2346" s="274" t="n">
        <x:v>1187</x:v>
      </x:c>
      <x:c r="M2346" s="274" t="s">
        <x:v>1775</x:v>
      </x:c>
      <x:c r="N2346" s="274" t="s">
        <x:v>870</x:v>
      </x:c>
    </x:row>
    <x:row r="2347" spans="1:14">
      <x:c r="A2347" s="274" t="s">
        <x:v>4495</x:v>
      </x:c>
      <x:c r="B2347" s="274" t="n">
        <x:v>4.04</x:v>
      </x:c>
      <x:c r="C2347" s="274" t="n">
        <x:v>0</x:v>
      </x:c>
      <x:c r="D2347" s="274" t="n">
        <x:v>20</x:v>
      </x:c>
      <x:c r="E2347" s="274" t="n">
        <x:v>19</x:v>
      </x:c>
      <x:c r="F2347" s="274" t="s">
        <x:v>184</x:v>
      </x:c>
      <x:c r="G2347" s="274" t="s">
        <x:v>1718</x:v>
      </x:c>
      <x:c r="H2347" s="274" t="n">
        <x:v>45</x:v>
      </x:c>
      <x:c r="I2347" s="274" t="n">
        <x:v>1.8</x:v>
      </x:c>
      <x:c r="J2347" s="274" t="n">
        <x:v>243</x:v>
      </x:c>
      <x:c r="K2347" s="274" t="n">
        <x:v>1170</x:v>
      </x:c>
      <x:c r="M2347" s="274" t="s">
        <x:v>2614</x:v>
      </x:c>
      <x:c r="N2347" s="274" t="s">
        <x:v>870</x:v>
      </x:c>
    </x:row>
    <x:row r="2348" spans="1:14">
      <x:c r="A2348" s="274" t="s">
        <x:v>4496</x:v>
      </x:c>
      <x:c r="B2348" s="274" t="n">
        <x:v>3.14</x:v>
      </x:c>
      <x:c r="C2348" s="274" t="n">
        <x:v>0</x:v>
      </x:c>
      <x:c r="D2348" s="274" t="n">
        <x:v>0</x:v>
      </x:c>
      <x:c r="F2348" s="274" t="s">
        <x:v>133</x:v>
      </x:c>
      <x:c r="G2348" s="274" t="s">
        <x:v>136</x:v>
      </x:c>
      <x:c r="H2348" s="274" t="n">
        <x:v>45</x:v>
      </x:c>
      <x:c r="I2348" s="274" t="n">
        <x:v>1.6</x:v>
      </x:c>
      <x:c r="J2348" s="274" t="n">
        <x:v>645</x:v>
      </x:c>
      <x:c r="K2348" s="274" t="n">
        <x:v>385</x:v>
      </x:c>
      <x:c r="M2348" s="274" t="s">
        <x:v>4497</x:v>
      </x:c>
      <x:c r="N2348" s="274" t="s">
        <x:v>870</x:v>
      </x:c>
    </x:row>
    <x:row r="2349" spans="1:14">
      <x:c r="A2349" s="274" t="s">
        <x:v>4498</x:v>
      </x:c>
      <x:c r="B2349" s="274" t="n">
        <x:v>3.29</x:v>
      </x:c>
      <x:c r="C2349" s="274" t="n">
        <x:v>0</x:v>
      </x:c>
      <x:c r="D2349" s="274" t="n">
        <x:v>0</x:v>
      </x:c>
      <x:c r="F2349" s="274" t="s">
        <x:v>133</x:v>
      </x:c>
      <x:c r="G2349" s="274" t="s">
        <x:v>144</x:v>
      </x:c>
      <x:c r="H2349" s="274" t="n">
        <x:v>45</x:v>
      </x:c>
      <x:c r="I2349" s="274" t="n">
        <x:v>1.8</x:v>
      </x:c>
      <x:c r="J2349" s="274" t="n">
        <x:v>190</x:v>
      </x:c>
      <x:c r="K2349" s="274" t="n">
        <x:v>1219</x:v>
      </x:c>
      <x:c r="M2349" s="274" t="s">
        <x:v>992</x:v>
      </x:c>
      <x:c r="N2349" s="274" t="s">
        <x:v>870</x:v>
      </x:c>
    </x:row>
    <x:row r="2350" spans="1:14">
      <x:c r="A2350" s="274" t="s">
        <x:v>4499</x:v>
      </x:c>
      <x:c r="B2350" s="274" t="n">
        <x:v>3.75</x:v>
      </x:c>
      <x:c r="C2350" s="274" t="n">
        <x:v>0</x:v>
      </x:c>
      <x:c r="D2350" s="274" t="n">
        <x:v>0</x:v>
      </x:c>
      <x:c r="F2350" s="274" t="s">
        <x:v>133</x:v>
      </x:c>
      <x:c r="G2350" s="274" t="s">
        <x:v>144</x:v>
      </x:c>
      <x:c r="H2350" s="274" t="n">
        <x:v>45</x:v>
      </x:c>
      <x:c r="I2350" s="274" t="n">
        <x:v>1.8</x:v>
      </x:c>
      <x:c r="J2350" s="274" t="n">
        <x:v>218</x:v>
      </x:c>
      <x:c r="K2350" s="274" t="n">
        <x:v>1209</x:v>
      </x:c>
      <x:c r="M2350" s="274" t="s">
        <x:v>2818</x:v>
      </x:c>
      <x:c r="N2350" s="274" t="s">
        <x:v>870</x:v>
      </x:c>
    </x:row>
    <x:row r="2351" spans="1:14">
      <x:c r="A2351" s="274" t="s">
        <x:v>4500</x:v>
      </x:c>
      <x:c r="B2351" s="274" t="n">
        <x:v>2.31</x:v>
      </x:c>
      <x:c r="C2351" s="274" t="n">
        <x:v>0</x:v>
      </x:c>
      <x:c r="D2351" s="274" t="n">
        <x:v>0</x:v>
      </x:c>
      <x:c r="F2351" s="274" t="s">
        <x:v>133</x:v>
      </x:c>
      <x:c r="G2351" s="274" t="s">
        <x:v>148</x:v>
      </x:c>
      <x:c r="I2351" s="274" t="n">
        <x:v>3.6</x:v>
      </x:c>
      <x:c r="J2351" s="274" t="n">
        <x:v>162</x:v>
      </x:c>
      <x:c r="K2351" s="274" t="n">
        <x:v>505</x:v>
      </x:c>
      <x:c r="M2351" s="274" t="s">
        <x:v>3379</x:v>
      </x:c>
      <x:c r="N2351" s="274" t="s">
        <x:v>155</x:v>
      </x:c>
    </x:row>
    <x:row r="2352" spans="1:14">
      <x:c r="A2352" s="274" t="s">
        <x:v>4501</x:v>
      </x:c>
      <x:c r="B2352" s="274" t="n">
        <x:v>2.71</x:v>
      </x:c>
      <x:c r="C2352" s="274" t="n">
        <x:v>0</x:v>
      </x:c>
      <x:c r="D2352" s="274" t="n">
        <x:v>35</x:v>
      </x:c>
      <x:c r="E2352" s="274" t="n">
        <x:v>33</x:v>
      </x:c>
      <x:c r="F2352" s="274" t="s">
        <x:v>133</x:v>
      </x:c>
      <x:c r="G2352" s="274" t="s">
        <x:v>134</x:v>
      </x:c>
      <x:c r="I2352" s="274" t="n">
        <x:v>2.6</x:v>
      </x:c>
      <x:c r="J2352" s="274" t="n">
        <x:v>400</x:v>
      </x:c>
      <x:c r="K2352" s="274" t="n">
        <x:v>332</x:v>
      </x:c>
      <x:c r="M2352" s="274" t="s">
        <x:v>4502</x:v>
      </x:c>
      <x:c r="N2352" s="274" t="s">
        <x:v>299</x:v>
      </x:c>
    </x:row>
    <x:row r="2353" spans="1:14">
      <x:c r="A2353" s="274" t="s">
        <x:v>4503</x:v>
      </x:c>
      <x:c r="B2353" s="274" t="n">
        <x:v>3.36</x:v>
      </x:c>
      <x:c r="C2353" s="274" t="n">
        <x:v>0</x:v>
      </x:c>
      <x:c r="D2353" s="274" t="n">
        <x:v>45</x:v>
      </x:c>
      <x:c r="E2353" s="274" t="n">
        <x:v>40</x:v>
      </x:c>
      <x:c r="F2353" s="274" t="s">
        <x:v>133</x:v>
      </x:c>
      <x:c r="G2353" s="274" t="s">
        <x:v>136</x:v>
      </x:c>
      <x:c r="H2353" s="274" t="n">
        <x:v>45</x:v>
      </x:c>
      <x:c r="I2353" s="274" t="n">
        <x:v>0.65</x:v>
      </x:c>
      <x:c r="J2353" s="274" t="n">
        <x:v>1456</x:v>
      </x:c>
      <x:c r="K2353" s="274" t="n">
        <x:v>445</x:v>
      </x:c>
      <x:c r="M2353" s="274" t="s">
        <x:v>724</x:v>
      </x:c>
      <x:c r="N2353" s="274" t="s">
        <x:v>299</x:v>
      </x:c>
    </x:row>
    <x:row r="2354" spans="1:14">
      <x:c r="A2354" s="274" t="s">
        <x:v>4504</x:v>
      </x:c>
      <x:c r="B2354" s="274" t="n">
        <x:v>0.32</x:v>
      </x:c>
      <x:c r="C2354" s="274" t="n">
        <x:v>0</x:v>
      </x:c>
      <x:c r="D2354" s="274" t="n">
        <x:v>0</x:v>
      </x:c>
      <x:c r="F2354" s="274" t="s">
        <x:v>128</x:v>
      </x:c>
      <x:c r="G2354" s="274" t="s">
        <x:v>177</x:v>
      </x:c>
      <x:c r="H2354" s="274" t="n">
        <x:v>45</x:v>
      </x:c>
      <x:c r="I2354" s="274" t="n">
        <x:v>2</x:v>
      </x:c>
      <x:c r="J2354" s="274" t="n">
        <x:v>30</x:v>
      </x:c>
      <x:c r="K2354" s="274" t="n">
        <x:v>682</x:v>
      </x:c>
      <x:c r="M2354" s="274" t="s">
        <x:v>590</x:v>
      </x:c>
      <x:c r="N2354" s="274" t="s">
        <x:v>299</x:v>
      </x:c>
    </x:row>
    <x:row r="2355" spans="1:14">
      <x:c r="A2355" s="274" t="s">
        <x:v>4505</x:v>
      </x:c>
      <x:c r="B2355" s="274" t="n">
        <x:v>0.34</x:v>
      </x:c>
      <x:c r="C2355" s="274" t="n">
        <x:v>0</x:v>
      </x:c>
      <x:c r="D2355" s="274" t="n">
        <x:v>0</x:v>
      </x:c>
      <x:c r="F2355" s="274" t="s">
        <x:v>128</x:v>
      </x:c>
      <x:c r="G2355" s="274" t="s">
        <x:v>177</x:v>
      </x:c>
      <x:c r="H2355" s="274" t="n">
        <x:v>45</x:v>
      </x:c>
      <x:c r="I2355" s="274" t="n">
        <x:v>2</x:v>
      </x:c>
      <x:c r="J2355" s="274" t="n">
        <x:v>40</x:v>
      </x:c>
      <x:c r="K2355" s="274" t="n">
        <x:v>540</x:v>
      </x:c>
      <x:c r="M2355" s="274" t="s">
        <x:v>4459</x:v>
      </x:c>
      <x:c r="N2355" s="274" t="s">
        <x:v>155</x:v>
      </x:c>
    </x:row>
    <x:row r="2356" spans="1:14">
      <x:c r="A2356" s="274" t="s">
        <x:v>4506</x:v>
      </x:c>
      <x:c r="B2356" s="274" t="n">
        <x:v>0.38</x:v>
      </x:c>
      <x:c r="C2356" s="274" t="n">
        <x:v>0</x:v>
      </x:c>
      <x:c r="D2356" s="274" t="n">
        <x:v>0</x:v>
      </x:c>
      <x:c r="F2356" s="274" t="s">
        <x:v>128</x:v>
      </x:c>
      <x:c r="G2356" s="274" t="s">
        <x:v>177</x:v>
      </x:c>
      <x:c r="H2356" s="274" t="n">
        <x:v>45</x:v>
      </x:c>
      <x:c r="I2356" s="274" t="n">
        <x:v>2</x:v>
      </x:c>
      <x:c r="J2356" s="274" t="n">
        <x:v>40</x:v>
      </x:c>
      <x:c r="K2356" s="274" t="n">
        <x:v>603</x:v>
      </x:c>
      <x:c r="M2356" s="274" t="s">
        <x:v>577</x:v>
      </x:c>
      <x:c r="N2356" s="274" t="s">
        <x:v>299</x:v>
      </x:c>
    </x:row>
    <x:row r="2357" spans="1:14">
      <x:c r="A2357" s="274" t="s">
        <x:v>4507</x:v>
      </x:c>
      <x:c r="B2357" s="274" t="n">
        <x:v>0.47</x:v>
      </x:c>
      <x:c r="C2357" s="274" t="n">
        <x:v>0</x:v>
      </x:c>
      <x:c r="D2357" s="274" t="n">
        <x:v>0</x:v>
      </x:c>
      <x:c r="F2357" s="274" t="s">
        <x:v>128</x:v>
      </x:c>
      <x:c r="G2357" s="274" t="s">
        <x:v>177</x:v>
      </x:c>
      <x:c r="H2357" s="274" t="n">
        <x:v>45</x:v>
      </x:c>
      <x:c r="I2357" s="274" t="n">
        <x:v>2</x:v>
      </x:c>
      <x:c r="J2357" s="274" t="n">
        <x:v>40</x:v>
      </x:c>
      <x:c r="K2357" s="274" t="n">
        <x:v>743</x:v>
      </x:c>
      <x:c r="M2357" s="274" t="s">
        <x:v>4461</x:v>
      </x:c>
      <x:c r="N2357" s="274" t="s">
        <x:v>155</x:v>
      </x:c>
    </x:row>
    <x:row r="2358" spans="1:14">
      <x:c r="A2358" s="274" t="s">
        <x:v>4508</x:v>
      </x:c>
      <x:c r="B2358" s="274" t="n">
        <x:v>0.51</x:v>
      </x:c>
      <x:c r="C2358" s="274" t="n">
        <x:v>0</x:v>
      </x:c>
      <x:c r="D2358" s="274" t="n">
        <x:v>0</x:v>
      </x:c>
      <x:c r="F2358" s="274" t="s">
        <x:v>128</x:v>
      </x:c>
      <x:c r="G2358" s="274" t="s">
        <x:v>177</x:v>
      </x:c>
      <x:c r="H2358" s="274" t="n">
        <x:v>45</x:v>
      </x:c>
      <x:c r="I2358" s="274" t="n">
        <x:v>2</x:v>
      </x:c>
      <x:c r="J2358" s="274" t="n">
        <x:v>40</x:v>
      </x:c>
      <x:c r="K2358" s="274" t="n">
        <x:v>814</x:v>
      </x:c>
      <x:c r="M2358" s="274" t="s">
        <x:v>579</x:v>
      </x:c>
      <x:c r="N2358" s="274" t="s">
        <x:v>299</x:v>
      </x:c>
    </x:row>
    <x:row r="2359" spans="1:14">
      <x:c r="A2359" s="274" t="s">
        <x:v>4509</x:v>
      </x:c>
      <x:c r="B2359" s="274" t="n">
        <x:v>2.24</x:v>
      </x:c>
      <x:c r="C2359" s="274" t="n">
        <x:v>0</x:v>
      </x:c>
      <x:c r="D2359" s="274" t="n">
        <x:v>0</x:v>
      </x:c>
      <x:c r="F2359" s="274" t="s">
        <x:v>133</x:v>
      </x:c>
      <x:c r="G2359" s="274" t="s">
        <x:v>136</x:v>
      </x:c>
      <x:c r="H2359" s="274" t="n">
        <x:v>45</x:v>
      </x:c>
      <x:c r="I2359" s="274" t="n">
        <x:v>1</x:v>
      </x:c>
      <x:c r="J2359" s="274" t="n">
        <x:v>360</x:v>
      </x:c>
      <x:c r="K2359" s="274" t="n">
        <x:v>785</x:v>
      </x:c>
      <x:c r="M2359" s="274" t="s">
        <x:v>3231</x:v>
      </x:c>
      <x:c r="N2359" s="274" t="s">
        <x:v>299</x:v>
      </x:c>
    </x:row>
    <x:row r="2360" spans="1:14">
      <x:c r="A2360" s="274" t="s">
        <x:v>4510</x:v>
      </x:c>
      <x:c r="B2360" s="274" t="n">
        <x:v>2.55</x:v>
      </x:c>
      <x:c r="C2360" s="274" t="n">
        <x:v>0</x:v>
      </x:c>
      <x:c r="D2360" s="274" t="n">
        <x:v>0</x:v>
      </x:c>
      <x:c r="F2360" s="274" t="s">
        <x:v>133</x:v>
      </x:c>
      <x:c r="G2360" s="274" t="s">
        <x:v>136</x:v>
      </x:c>
      <x:c r="H2360" s="274" t="n">
        <x:v>45</x:v>
      </x:c>
      <x:c r="I2360" s="274" t="n">
        <x:v>1</x:v>
      </x:c>
      <x:c r="J2360" s="274" t="n">
        <x:v>268</x:v>
      </x:c>
      <x:c r="K2360" s="274" t="n">
        <x:v>1200</x:v>
      </x:c>
      <x:c r="M2360" s="274" t="s">
        <x:v>4166</x:v>
      </x:c>
      <x:c r="N2360" s="274" t="s">
        <x:v>4481</x:v>
      </x:c>
    </x:row>
    <x:row r="2361" spans="1:14">
      <x:c r="A2361" s="274" t="s">
        <x:v>4511</x:v>
      </x:c>
      <x:c r="B2361" s="274" t="n">
        <x:v>0.3</x:v>
      </x:c>
      <x:c r="C2361" s="274" t="n">
        <x:v>0</x:v>
      </x:c>
      <x:c r="D2361" s="274" t="n">
        <x:v>0</x:v>
      </x:c>
      <x:c r="F2361" s="274" t="s">
        <x:v>133</x:v>
      </x:c>
      <x:c r="G2361" s="274" t="s">
        <x:v>136</x:v>
      </x:c>
      <x:c r="H2361" s="274" t="n">
        <x:v>45</x:v>
      </x:c>
      <x:c r="I2361" s="274" t="n">
        <x:v>1</x:v>
      </x:c>
      <x:c r="J2361" s="274" t="n">
        <x:v>100</x:v>
      </x:c>
      <x:c r="K2361" s="274" t="n">
        <x:v>380</x:v>
      </x:c>
      <x:c r="M2361" s="274" t="s">
        <x:v>2113</x:v>
      </x:c>
      <x:c r="N2361" s="274" t="s">
        <x:v>2114</x:v>
      </x:c>
    </x:row>
    <x:row r="2362" spans="1:14">
      <x:c r="A2362" s="274" t="s">
        <x:v>4512</x:v>
      </x:c>
      <x:c r="B2362" s="274" t="n">
        <x:v>1.66</x:v>
      </x:c>
      <x:c r="C2362" s="274" t="n">
        <x:v>0</x:v>
      </x:c>
      <x:c r="D2362" s="274" t="n">
        <x:v>0</x:v>
      </x:c>
      <x:c r="F2362" s="274" t="s">
        <x:v>333</x:v>
      </x:c>
      <x:c r="G2362" s="274" t="s">
        <x:v>2468</x:v>
      </x:c>
      <x:c r="I2362" s="274" t="n">
        <x:v>0.7</x:v>
      </x:c>
      <x:c r="J2362" s="274" t="n">
        <x:v>1040</x:v>
      </x:c>
      <x:c r="K2362" s="274" t="n">
        <x:v>290</x:v>
      </x:c>
      <x:c r="M2362" s="274" t="s">
        <x:v>4513</x:v>
      </x:c>
      <x:c r="N2362" s="274" t="s">
        <x:v>4514</x:v>
      </x:c>
    </x:row>
    <x:row r="2363" spans="1:14">
      <x:c r="A2363" s="274" t="s">
        <x:v>4515</x:v>
      </x:c>
      <x:c r="B2363" s="274" t="n">
        <x:v>1.22</x:v>
      </x:c>
      <x:c r="C2363" s="274" t="n">
        <x:v>0</x:v>
      </x:c>
      <x:c r="D2363" s="274" t="n">
        <x:v>0</x:v>
      </x:c>
      <x:c r="F2363" s="274" t="s">
        <x:v>333</x:v>
      </x:c>
      <x:c r="G2363" s="274" t="s">
        <x:v>2468</x:v>
      </x:c>
      <x:c r="I2363" s="274" t="n">
        <x:v>0.7</x:v>
      </x:c>
      <x:c r="J2363" s="274" t="n">
        <x:v>693</x:v>
      </x:c>
      <x:c r="K2363" s="274" t="n">
        <x:v>320</x:v>
      </x:c>
      <x:c r="M2363" s="274" t="s">
        <x:v>4516</x:v>
      </x:c>
      <x:c r="N2363" s="274" t="s">
        <x:v>4514</x:v>
      </x:c>
    </x:row>
    <x:row r="2364" spans="1:14">
      <x:c r="A2364" s="274" t="s">
        <x:v>4517</x:v>
      </x:c>
      <x:c r="B2364" s="274" t="n">
        <x:v>0.7</x:v>
      </x:c>
      <x:c r="C2364" s="274" t="n">
        <x:v>0</x:v>
      </x:c>
      <x:c r="D2364" s="274" t="n">
        <x:v>0</x:v>
      </x:c>
      <x:c r="F2364" s="274" t="s">
        <x:v>333</x:v>
      </x:c>
      <x:c r="G2364" s="274" t="s">
        <x:v>2468</x:v>
      </x:c>
      <x:c r="I2364" s="274" t="n">
        <x:v>0.6</x:v>
      </x:c>
      <x:c r="J2364" s="274" t="n">
        <x:v>273</x:v>
      </x:c>
      <x:c r="K2364" s="274" t="n">
        <x:v>546</x:v>
      </x:c>
      <x:c r="M2364" s="274" t="s">
        <x:v>4518</x:v>
      </x:c>
      <x:c r="N2364" s="274" t="s">
        <x:v>3984</x:v>
      </x:c>
    </x:row>
    <x:row r="2365" spans="1:14">
      <x:c r="A2365" s="274" t="s">
        <x:v>4519</x:v>
      </x:c>
      <x:c r="B2365" s="274" t="n">
        <x:v>11.91</x:v>
      </x:c>
      <x:c r="C2365" s="274" t="n">
        <x:v>38</x:v>
      </x:c>
      <x:c r="D2365" s="274" t="n">
        <x:v>38</x:v>
      </x:c>
      <x:c r="E2365" s="274" t="n">
        <x:v>0</x:v>
      </x:c>
      <x:c r="F2365" s="274" t="s">
        <x:v>311</x:v>
      </x:c>
      <x:c r="G2365" s="274" t="s">
        <x:v>1728</x:v>
      </x:c>
      <x:c r="H2365" s="274" t="s">
        <x:v>1729</x:v>
      </x:c>
      <x:c r="I2365" s="274" t="n">
        <x:v>0.65</x:v>
      </x:c>
      <x:c r="J2365" s="274" t="n">
        <x:v>1470</x:v>
      </x:c>
      <x:c r="K2365" s="274" t="n">
        <x:v>1560</x:v>
      </x:c>
      <x:c r="M2365" s="274" t="s">
        <x:v>4520</x:v>
      </x:c>
      <x:c r="N2365" s="274" t="s">
        <x:v>155</x:v>
      </x:c>
    </x:row>
    <x:row r="2366" spans="1:14">
      <x:c r="A2366" s="274" t="s">
        <x:v>4521</x:v>
      </x:c>
      <x:c r="B2366" s="274" t="n">
        <x:v>2.24</x:v>
      </x:c>
      <x:c r="C2366" s="274" t="n">
        <x:v>0</x:v>
      </x:c>
      <x:c r="D2366" s="274" t="n">
        <x:v>0</x:v>
      </x:c>
      <x:c r="F2366" s="274" t="s">
        <x:v>133</x:v>
      </x:c>
      <x:c r="G2366" s="274" t="s">
        <x:v>136</x:v>
      </x:c>
      <x:c r="H2366" s="274" t="n">
        <x:v>45</x:v>
      </x:c>
      <x:c r="I2366" s="274" t="n">
        <x:v>1</x:v>
      </x:c>
      <x:c r="J2366" s="274" t="n">
        <x:v>508</x:v>
      </x:c>
      <x:c r="K2366" s="274" t="n">
        <x:v>556</x:v>
      </x:c>
      <x:c r="M2366" s="274" t="s">
        <x:v>1696</x:v>
      </x:c>
      <x:c r="N2366" s="274" t="s">
        <x:v>131</x:v>
      </x:c>
    </x:row>
    <x:row r="2367" spans="1:14">
      <x:c r="A2367" s="274" t="s">
        <x:v>4522</x:v>
      </x:c>
      <x:c r="B2367" s="274" t="n">
        <x:v>4.35</x:v>
      </x:c>
      <x:c r="C2367" s="274" t="n">
        <x:v>0</x:v>
      </x:c>
      <x:c r="D2367" s="274" t="n">
        <x:v>0</x:v>
      </x:c>
      <x:c r="F2367" s="274" t="s">
        <x:v>133</x:v>
      </x:c>
      <x:c r="G2367" s="274" t="s">
        <x:v>136</x:v>
      </x:c>
      <x:c r="H2367" s="274" t="n">
        <x:v>45</x:v>
      </x:c>
      <x:c r="I2367" s="274" t="n">
        <x:v>1.6</x:v>
      </x:c>
      <x:c r="J2367" s="274" t="n">
        <x:v>550</x:v>
      </x:c>
      <x:c r="K2367" s="274" t="n">
        <x:v>625</x:v>
      </x:c>
      <x:c r="M2367" s="274" t="s">
        <x:v>4523</x:v>
      </x:c>
      <x:c r="N2367" s="274" t="s">
        <x:v>3142</x:v>
      </x:c>
    </x:row>
    <x:row r="2368" spans="1:14">
      <x:c r="A2368" s="274" t="s">
        <x:v>4524</x:v>
      </x:c>
      <x:c r="B2368" s="274" t="n">
        <x:v>0.96</x:v>
      </x:c>
      <x:c r="C2368" s="274" t="n">
        <x:v>0</x:v>
      </x:c>
      <x:c r="D2368" s="274" t="n">
        <x:v>0</x:v>
      </x:c>
      <x:c r="F2368" s="274" t="s">
        <x:v>333</x:v>
      </x:c>
      <x:c r="G2368" s="274" t="s">
        <x:v>209</x:v>
      </x:c>
      <x:c r="I2368" s="274" t="n">
        <x:v>1.4</x:v>
      </x:c>
      <x:c r="J2368" s="274" t="n">
        <x:v>322</x:v>
      </x:c>
      <x:c r="K2368" s="274" t="n">
        <x:v>270</x:v>
      </x:c>
      <x:c r="M2368" s="274" t="s">
        <x:v>731</x:v>
      </x:c>
      <x:c r="N2368" s="274" t="s">
        <x:v>155</x:v>
      </x:c>
    </x:row>
    <x:row r="2369" spans="1:14">
      <x:c r="A2369" s="274" t="s">
        <x:v>4525</x:v>
      </x:c>
      <x:c r="B2369" s="274" t="n">
        <x:v>0.42</x:v>
      </x:c>
      <x:c r="C2369" s="274" t="n">
        <x:v>0</x:v>
      </x:c>
      <x:c r="D2369" s="274" t="n">
        <x:v>0</x:v>
      </x:c>
      <x:c r="F2369" s="274" t="s">
        <x:v>333</x:v>
      </x:c>
      <x:c r="G2369" s="274" t="s">
        <x:v>124</x:v>
      </x:c>
      <x:c r="I2369" s="274" t="n">
        <x:v>1.4</x:v>
      </x:c>
      <x:c r="J2369" s="274" t="n">
        <x:v>165</x:v>
      </x:c>
      <x:c r="K2369" s="274" t="n">
        <x:v>230</x:v>
      </x:c>
      <x:c r="M2369" s="274" t="s">
        <x:v>4526</x:v>
      </x:c>
      <x:c r="N2369" s="274" t="s">
        <x:v>299</x:v>
      </x:c>
    </x:row>
    <x:row r="2370" spans="1:14">
      <x:c r="A2370" s="274" t="s">
        <x:v>4527</x:v>
      </x:c>
      <x:c r="B2370" s="274" t="n">
        <x:v>1.17</x:v>
      </x:c>
      <x:c r="C2370" s="274" t="n">
        <x:v>0</x:v>
      </x:c>
      <x:c r="D2370" s="274" t="n">
        <x:v>35</x:v>
      </x:c>
      <x:c r="E2370" s="274" t="n">
        <x:v>33</x:v>
      </x:c>
      <x:c r="F2370" s="274" t="s">
        <x:v>333</x:v>
      </x:c>
      <x:c r="G2370" s="274" t="s">
        <x:v>153</x:v>
      </x:c>
      <x:c r="I2370" s="274" t="n">
        <x:v>1.8</x:v>
      </x:c>
      <x:c r="J2370" s="274" t="n">
        <x:v>360</x:v>
      </x:c>
      <x:c r="K2370" s="274" t="n">
        <x:v>230</x:v>
      </x:c>
      <x:c r="M2370" s="274" t="s">
        <x:v>3146</x:v>
      </x:c>
      <x:c r="N2370" s="274" t="s">
        <x:v>4481</x:v>
      </x:c>
    </x:row>
    <x:row r="2371" spans="1:14">
      <x:c r="A2371" s="274" t="s">
        <x:v>4528</x:v>
      </x:c>
      <x:c r="B2371" s="274" t="n">
        <x:v>3.36</x:v>
      </x:c>
      <x:c r="C2371" s="274" t="n">
        <x:v>0</x:v>
      </x:c>
      <x:c r="D2371" s="274" t="n">
        <x:v>0</x:v>
      </x:c>
      <x:c r="F2371" s="274" t="s">
        <x:v>184</x:v>
      </x:c>
      <x:c r="G2371" s="274" t="s">
        <x:v>136</x:v>
      </x:c>
      <x:c r="H2371" s="274" t="n">
        <x:v>45</x:v>
      </x:c>
      <x:c r="I2371" s="274" t="n">
        <x:v>0.65</x:v>
      </x:c>
      <x:c r="J2371" s="274" t="n">
        <x:v>1456</x:v>
      </x:c>
      <x:c r="K2371" s="274" t="n">
        <x:v>445</x:v>
      </x:c>
      <x:c r="M2371" s="274" t="s">
        <x:v>724</x:v>
      </x:c>
      <x:c r="N2371" s="274" t="s">
        <x:v>299</x:v>
      </x:c>
    </x:row>
    <x:row r="2372" spans="1:14">
      <x:c r="A2372" s="274" t="s">
        <x:v>4529</x:v>
      </x:c>
      <x:c r="B2372" s="274" t="n">
        <x:v>14.98</x:v>
      </x:c>
      <x:c r="C2372" s="274" t="n">
        <x:v>0</x:v>
      </x:c>
      <x:c r="D2372" s="274" t="n">
        <x:v>33</x:v>
      </x:c>
      <x:c r="E2372" s="274" t="n">
        <x:v>28</x:v>
      </x:c>
      <x:c r="F2372" s="274" t="s">
        <x:v>184</x:v>
      </x:c>
      <x:c r="G2372" s="274" t="s">
        <x:v>881</x:v>
      </x:c>
      <x:c r="H2372" s="274" t="n">
        <x:v>45</x:v>
      </x:c>
      <x:c r="I2372" s="274" t="n">
        <x:v>1.2</x:v>
      </x:c>
      <x:c r="J2372" s="274" t="n">
        <x:v>1050</x:v>
      </x:c>
      <x:c r="K2372" s="274" t="n">
        <x:v>1500</x:v>
      </x:c>
      <x:c r="M2372" s="274" t="s">
        <x:v>4483</x:v>
      </x:c>
      <x:c r="N2372" s="274" t="s">
        <x:v>4481</x:v>
      </x:c>
    </x:row>
    <x:row r="2373" spans="1:14">
      <x:c r="A2373" s="274" t="s">
        <x:v>4530</x:v>
      </x:c>
      <x:c r="B2373" s="274" t="n">
        <x:v>2.4</x:v>
      </x:c>
      <x:c r="C2373" s="274" t="n">
        <x:v>0</x:v>
      </x:c>
      <x:c r="D2373" s="274" t="n">
        <x:v>0</x:v>
      </x:c>
      <x:c r="F2373" s="274" t="s">
        <x:v>133</x:v>
      </x:c>
      <x:c r="G2373" s="274" t="s">
        <x:v>134</x:v>
      </x:c>
      <x:c r="I2373" s="274" t="n">
        <x:v>2.8</x:v>
      </x:c>
      <x:c r="J2373" s="274" t="n">
        <x:v>439</x:v>
      </x:c>
      <x:c r="K2373" s="274" t="n">
        <x:v>249</x:v>
      </x:c>
      <x:c r="M2373" s="274" t="s">
        <x:v>4531</x:v>
      </x:c>
      <x:c r="N2373" s="274" t="s">
        <x:v>3671</x:v>
      </x:c>
    </x:row>
    <x:row r="2374" spans="1:14">
      <x:c r="A2374" s="274" t="s">
        <x:v>4532</x:v>
      </x:c>
      <x:c r="B2374" s="274" t="n">
        <x:v>1.2</x:v>
      </x:c>
      <x:c r="C2374" s="274" t="n">
        <x:v>0</x:v>
      </x:c>
      <x:c r="D2374" s="274" t="n">
        <x:v>0</x:v>
      </x:c>
      <x:c r="F2374" s="274" t="s">
        <x:v>133</x:v>
      </x:c>
      <x:c r="G2374" s="274" t="s">
        <x:v>148</x:v>
      </x:c>
      <x:c r="I2374" s="274" t="n">
        <x:v>3.2</x:v>
      </x:c>
      <x:c r="J2374" s="274" t="n">
        <x:v>196</x:v>
      </x:c>
      <x:c r="K2374" s="274" t="n">
        <x:v>243</x:v>
      </x:c>
      <x:c r="M2374" s="274" t="s">
        <x:v>4533</x:v>
      </x:c>
      <x:c r="N2374" s="274" t="s">
        <x:v>3671</x:v>
      </x:c>
    </x:row>
    <x:row r="2375" spans="1:14">
      <x:c r="A2375" s="274" t="s">
        <x:v>4534</x:v>
      </x:c>
      <x:c r="B2375" s="274" t="n">
        <x:v>12.64</x:v>
      </x:c>
      <x:c r="C2375" s="274" t="n">
        <x:v>0</x:v>
      </x:c>
      <x:c r="D2375" s="274" t="n">
        <x:v>0</x:v>
      </x:c>
      <x:c r="E2375" s="274" t="n">
        <x:v>0</x:v>
      </x:c>
      <x:c r="F2375" s="274" t="s">
        <x:v>311</x:v>
      </x:c>
      <x:c r="G2375" s="274" t="s">
        <x:v>1728</x:v>
      </x:c>
      <x:c r="H2375" s="274" t="s">
        <x:v>1729</x:v>
      </x:c>
      <x:c r="I2375" s="274" t="n">
        <x:v>0.75</x:v>
      </x:c>
      <x:c r="J2375" s="274" t="n">
        <x:v>1687</x:v>
      </x:c>
      <x:c r="K2375" s="274" t="n">
        <x:v>1254</x:v>
      </x:c>
      <x:c r="M2375" s="274" t="s">
        <x:v>2072</x:v>
      </x:c>
      <x:c r="N2375" s="274" t="s">
        <x:v>299</x:v>
      </x:c>
    </x:row>
    <x:row r="2376" spans="1:14">
      <x:c r="A2376" s="274" t="s">
        <x:v>4535</x:v>
      </x:c>
      <x:c r="B2376" s="274" t="n">
        <x:v>0.38</x:v>
      </x:c>
      <x:c r="C2376" s="274" t="n">
        <x:v>0</x:v>
      </x:c>
      <x:c r="D2376" s="274" t="n">
        <x:v>0</x:v>
      </x:c>
      <x:c r="F2376" s="274" t="s">
        <x:v>133</x:v>
      </x:c>
      <x:c r="G2376" s="274" t="s">
        <x:v>134</x:v>
      </x:c>
      <x:c r="I2376" s="274" t="n">
        <x:v>3.6</x:v>
      </x:c>
      <x:c r="J2376" s="274" t="n">
        <x:v>57</x:v>
      </x:c>
      <x:c r="K2376" s="274" t="n">
        <x:v>236</x:v>
      </x:c>
      <x:c r="M2376" s="274" t="s">
        <x:v>2413</x:v>
      </x:c>
      <x:c r="N2376" s="274" t="s">
        <x:v>155</x:v>
      </x:c>
    </x:row>
    <x:row r="2377" spans="1:14">
      <x:c r="A2377" s="274" t="s">
        <x:v>4536</x:v>
      </x:c>
      <x:c r="B2377" s="274" t="n">
        <x:v>2.4</x:v>
      </x:c>
      <x:c r="C2377" s="274" t="n">
        <x:v>0</x:v>
      </x:c>
      <x:c r="D2377" s="274" t="n">
        <x:v>0</x:v>
      </x:c>
      <x:c r="F2377" s="274" t="s">
        <x:v>133</x:v>
      </x:c>
      <x:c r="G2377" s="274" t="s">
        <x:v>134</x:v>
      </x:c>
      <x:c r="I2377" s="274" t="n">
        <x:v>3.6</x:v>
      </x:c>
      <x:c r="J2377" s="274" t="n">
        <x:v>193</x:v>
      </x:c>
      <x:c r="K2377" s="274" t="n">
        <x:v>440</x:v>
      </x:c>
      <x:c r="M2377" s="274" t="s">
        <x:v>2343</x:v>
      </x:c>
      <x:c r="N2377" s="274" t="s">
        <x:v>299</x:v>
      </x:c>
    </x:row>
    <x:row r="2378" spans="1:14">
      <x:c r="A2378" s="274" t="s">
        <x:v>4537</x:v>
      </x:c>
      <x:c r="B2378" s="274" t="n">
        <x:v>2.46</x:v>
      </x:c>
      <x:c r="C2378" s="274" t="n">
        <x:v>0</x:v>
      </x:c>
      <x:c r="D2378" s="274" t="n">
        <x:v>31</x:v>
      </x:c>
      <x:c r="E2378" s="274" t="n">
        <x:v>29</x:v>
      </x:c>
      <x:c r="F2378" s="274" t="s">
        <x:v>133</x:v>
      </x:c>
      <x:c r="G2378" s="274" t="s">
        <x:v>144</x:v>
      </x:c>
      <x:c r="H2378" s="274" t="n">
        <x:v>45</x:v>
      </x:c>
      <x:c r="I2378" s="274" t="n">
        <x:v>1.6</x:v>
      </x:c>
      <x:c r="J2378" s="274" t="n">
        <x:v>239</x:v>
      </x:c>
      <x:c r="K2378" s="274" t="n">
        <x:v>815</x:v>
      </x:c>
      <x:c r="M2378" s="274" t="s">
        <x:v>166</x:v>
      </x:c>
      <x:c r="N2378" s="274" t="s">
        <x:v>4250</x:v>
      </x:c>
    </x:row>
    <x:row r="2379" spans="1:14">
      <x:c r="A2379" s="274" t="s">
        <x:v>4538</x:v>
      </x:c>
      <x:c r="B2379" s="274" t="n">
        <x:v>1.64</x:v>
      </x:c>
      <x:c r="C2379" s="274" t="n">
        <x:v>0</x:v>
      </x:c>
      <x:c r="D2379" s="274" t="n">
        <x:v>45</x:v>
      </x:c>
      <x:c r="E2379" s="274" t="n">
        <x:v>0</x:v>
      </x:c>
      <x:c r="F2379" s="274" t="s">
        <x:v>333</x:v>
      </x:c>
      <x:c r="G2379" s="274" t="s">
        <x:v>124</x:v>
      </x:c>
      <x:c r="I2379" s="274" t="n">
        <x:v>1.6</x:v>
      </x:c>
      <x:c r="J2379" s="274" t="n">
        <x:v>370</x:v>
      </x:c>
      <x:c r="K2379" s="274" t="n">
        <x:v>422</x:v>
      </x:c>
      <x:c r="L2379" s="274" t="n">
        <x:v>282</x:v>
      </x:c>
      <x:c r="M2379" s="274" t="s">
        <x:v>4539</x:v>
      </x:c>
      <x:c r="N2379" s="274" t="s">
        <x:v>155</x:v>
      </x:c>
    </x:row>
    <x:row r="2380" spans="1:14">
      <x:c r="A2380" s="274" t="s">
        <x:v>4540</x:v>
      </x:c>
      <x:c r="B2380" s="274" t="n">
        <x:v>2.32</x:v>
      </x:c>
      <x:c r="C2380" s="274" t="n">
        <x:v>0</x:v>
      </x:c>
      <x:c r="D2380" s="274" t="n">
        <x:v>35</x:v>
      </x:c>
      <x:c r="E2380" s="274" t="n">
        <x:v>33</x:v>
      </x:c>
      <x:c r="F2380" s="274" t="s">
        <x:v>833</x:v>
      </x:c>
      <x:c r="G2380" s="274" t="s">
        <x:v>834</x:v>
      </x:c>
      <x:c r="H2380" s="274" t="s">
        <x:v>837</x:v>
      </x:c>
      <x:c r="I2380" s="274" t="n">
        <x:v>0.8</x:v>
      </x:c>
      <x:c r="J2380" s="274" t="n">
        <x:v>515</x:v>
      </x:c>
      <x:c r="K2380" s="274" t="n">
        <x:v>715</x:v>
      </x:c>
      <x:c r="M2380" s="274" t="s">
        <x:v>3774</x:v>
      </x:c>
    </x:row>
    <x:row r="2381" spans="1:14">
      <x:c r="A2381" s="274" t="s">
        <x:v>4541</x:v>
      </x:c>
      <x:c r="B2381" s="274" t="n">
        <x:v>0.81</x:v>
      </x:c>
      <x:c r="C2381" s="274" t="n">
        <x:v>0</x:v>
      </x:c>
      <x:c r="D2381" s="274" t="n">
        <x:v>34</x:v>
      </x:c>
      <x:c r="E2381" s="274" t="n">
        <x:v>32</x:v>
      </x:c>
      <x:c r="F2381" s="274" t="s">
        <x:v>123</x:v>
      </x:c>
      <x:c r="G2381" s="274" t="s">
        <x:v>209</x:v>
      </x:c>
      <x:c r="I2381" s="274" t="n">
        <x:v>2</x:v>
      </x:c>
      <x:c r="J2381" s="274" t="n">
        <x:v>310</x:v>
      </x:c>
      <x:c r="K2381" s="274" t="n">
        <x:v>167</x:v>
      </x:c>
      <x:c r="M2381" s="274" t="s">
        <x:v>2519</x:v>
      </x:c>
      <x:c r="N2381" s="274" t="s">
        <x:v>4250</x:v>
      </x:c>
    </x:row>
    <x:row r="2382" spans="1:14">
      <x:c r="A2382" s="274" t="s">
        <x:v>4542</x:v>
      </x:c>
      <x:c r="B2382" s="274" t="n">
        <x:v>1.66</x:v>
      </x:c>
      <x:c r="C2382" s="274" t="n">
        <x:v>0</x:v>
      </x:c>
      <x:c r="D2382" s="274" t="n">
        <x:v>0</x:v>
      </x:c>
      <x:c r="F2382" s="274" t="s">
        <x:v>133</x:v>
      </x:c>
      <x:c r="G2382" s="274" t="s">
        <x:v>136</x:v>
      </x:c>
      <x:c r="H2382" s="274" t="n">
        <x:v>45</x:v>
      </x:c>
      <x:c r="I2382" s="274" t="n">
        <x:v>0.9</x:v>
      </x:c>
      <x:c r="J2382" s="274" t="n">
        <x:v>172</x:v>
      </x:c>
      <x:c r="K2382" s="274" t="n">
        <x:v>1350</x:v>
      </x:c>
      <x:c r="M2382" s="274" t="s">
        <x:v>1188</x:v>
      </x:c>
      <x:c r="N2382" s="274" t="s">
        <x:v>4250</x:v>
      </x:c>
    </x:row>
    <x:row r="2383" spans="1:14">
      <x:c r="A2383" s="274" t="s">
        <x:v>4543</x:v>
      </x:c>
      <x:c r="B2383" s="274" t="n">
        <x:v>1.41</x:v>
      </x:c>
      <x:c r="C2383" s="274" t="n">
        <x:v>0</x:v>
      </x:c>
      <x:c r="D2383" s="274" t="n">
        <x:v>0</x:v>
      </x:c>
      <x:c r="F2383" s="274" t="s">
        <x:v>133</x:v>
      </x:c>
      <x:c r="G2383" s="274" t="s">
        <x:v>134</x:v>
      </x:c>
      <x:c r="I2383" s="274" t="n">
        <x:v>1.8</x:v>
      </x:c>
      <x:c r="J2383" s="274" t="n">
        <x:v>80</x:v>
      </x:c>
      <x:c r="K2383" s="274" t="n">
        <x:v>1250</x:v>
      </x:c>
      <x:c r="M2383" s="274" t="s">
        <x:v>4544</x:v>
      </x:c>
      <x:c r="N2383" s="274" t="s">
        <x:v>3671</x:v>
      </x:c>
    </x:row>
    <x:row r="2384" spans="1:14">
      <x:c r="A2384" s="274" t="s">
        <x:v>4545</x:v>
      </x:c>
      <x:c r="B2384" s="274" t="n">
        <x:v>3.39</x:v>
      </x:c>
      <x:c r="C2384" s="274" t="n">
        <x:v>0</x:v>
      </x:c>
      <x:c r="D2384" s="274" t="n">
        <x:v>0</x:v>
      </x:c>
      <x:c r="F2384" s="274" t="s">
        <x:v>133</x:v>
      </x:c>
      <x:c r="G2384" s="274" t="s">
        <x:v>148</x:v>
      </x:c>
      <x:c r="I2384" s="274" t="n">
        <x:v>2.3</x:v>
      </x:c>
      <x:c r="J2384" s="274" t="n">
        <x:v>150</x:v>
      </x:c>
      <x:c r="K2384" s="274" t="n">
        <x:v>1250</x:v>
      </x:c>
      <x:c r="M2384" s="274" t="s">
        <x:v>4546</x:v>
      </x:c>
      <x:c r="N2384" s="274" t="s">
        <x:v>3671</x:v>
      </x:c>
    </x:row>
    <x:row r="2385" spans="1:14">
      <x:c r="A2385" s="274" t="s">
        <x:v>4547</x:v>
      </x:c>
      <x:c r="B2385" s="274" t="n">
        <x:v>2.26</x:v>
      </x:c>
      <x:c r="C2385" s="274" t="n">
        <x:v>0</x:v>
      </x:c>
      <x:c r="D2385" s="274" t="n">
        <x:v>0</x:v>
      </x:c>
      <x:c r="F2385" s="274" t="s">
        <x:v>133</x:v>
      </x:c>
      <x:c r="G2385" s="274" t="s">
        <x:v>148</x:v>
      </x:c>
      <x:c r="I2385" s="274" t="n">
        <x:v>2.3</x:v>
      </x:c>
      <x:c r="J2385" s="274" t="n">
        <x:v>100</x:v>
      </x:c>
      <x:c r="K2385" s="274" t="n">
        <x:v>1250</x:v>
      </x:c>
      <x:c r="M2385" s="274" t="s">
        <x:v>4548</x:v>
      </x:c>
      <x:c r="N2385" s="274" t="s">
        <x:v>3671</x:v>
      </x:c>
    </x:row>
    <x:row r="2386" spans="1:14">
      <x:c r="A2386" s="274" t="s">
        <x:v>4549</x:v>
      </x:c>
      <x:c r="B2386" s="274" t="n">
        <x:v>1.51</x:v>
      </x:c>
      <x:c r="C2386" s="274" t="n">
        <x:v>0</x:v>
      </x:c>
      <x:c r="D2386" s="274" t="n">
        <x:v>0</x:v>
      </x:c>
      <x:c r="F2386" s="274" t="s">
        <x:v>333</x:v>
      </x:c>
      <x:c r="G2386" s="274" t="s">
        <x:v>209</x:v>
      </x:c>
      <x:c r="I2386" s="274" t="n">
        <x:v>1.4</x:v>
      </x:c>
      <x:c r="J2386" s="274" t="n">
        <x:v>110</x:v>
      </x:c>
      <x:c r="K2386" s="274" t="n">
        <x:v>1250</x:v>
      </x:c>
      <x:c r="M2386" s="274" t="s">
        <x:v>4550</x:v>
      </x:c>
      <x:c r="N2386" s="274" t="s">
        <x:v>3671</x:v>
      </x:c>
    </x:row>
    <x:row r="2387" spans="1:14">
      <x:c r="A2387" s="274" t="s">
        <x:v>4551</x:v>
      </x:c>
      <x:c r="B2387" s="274" t="n">
        <x:v>1.73</x:v>
      </x:c>
      <x:c r="C2387" s="274" t="n">
        <x:v>0</x:v>
      </x:c>
      <x:c r="D2387" s="274" t="n">
        <x:v>0</x:v>
      </x:c>
      <x:c r="F2387" s="274" t="s">
        <x:v>133</x:v>
      </x:c>
      <x:c r="G2387" s="274" t="s">
        <x:v>134</x:v>
      </x:c>
      <x:c r="I2387" s="274" t="n">
        <x:v>1.6</x:v>
      </x:c>
      <x:c r="J2387" s="274" t="n">
        <x:v>110</x:v>
      </x:c>
      <x:c r="K2387" s="274" t="n">
        <x:v>1250</x:v>
      </x:c>
      <x:c r="M2387" s="274" t="s">
        <x:v>4552</x:v>
      </x:c>
      <x:c r="N2387" s="274" t="s">
        <x:v>3671</x:v>
      </x:c>
    </x:row>
    <x:row r="2388" spans="1:14">
      <x:c r="A2388" s="274" t="s">
        <x:v>4553</x:v>
      </x:c>
      <x:c r="B2388" s="274" t="n">
        <x:v>3.57</x:v>
      </x:c>
      <x:c r="C2388" s="274" t="n">
        <x:v>0</x:v>
      </x:c>
      <x:c r="D2388" s="274" t="n">
        <x:v>0</x:v>
      </x:c>
      <x:c r="F2388" s="274" t="s">
        <x:v>333</x:v>
      </x:c>
      <x:c r="G2388" s="274" t="s">
        <x:v>209</x:v>
      </x:c>
      <x:c r="I2388" s="274" t="n">
        <x:v>1.4</x:v>
      </x:c>
      <x:c r="J2388" s="274" t="n">
        <x:v>260</x:v>
      </x:c>
      <x:c r="K2388" s="274" t="n">
        <x:v>1250</x:v>
      </x:c>
      <x:c r="M2388" s="274" t="s">
        <x:v>4554</x:v>
      </x:c>
      <x:c r="N2388" s="274" t="s">
        <x:v>3671</x:v>
      </x:c>
    </x:row>
    <x:row r="2389" spans="1:14">
      <x:c r="A2389" s="274" t="s">
        <x:v>4555</x:v>
      </x:c>
      <x:c r="B2389" s="274" t="n">
        <x:v>1</x:v>
      </x:c>
      <x:c r="C2389" s="274" t="n">
        <x:v>0</x:v>
      </x:c>
      <x:c r="D2389" s="274" t="n">
        <x:v>0</x:v>
      </x:c>
      <x:c r="F2389" s="274" t="s">
        <x:v>333</x:v>
      </x:c>
      <x:c r="G2389" s="274" t="s">
        <x:v>209</x:v>
      </x:c>
      <x:c r="I2389" s="274" t="n">
        <x:v>1.2</x:v>
      </x:c>
      <x:c r="J2389" s="274" t="n">
        <x:v>85</x:v>
      </x:c>
      <x:c r="K2389" s="274" t="n">
        <x:v>1250</x:v>
      </x:c>
      <x:c r="M2389" s="274" t="s">
        <x:v>4556</x:v>
      </x:c>
      <x:c r="N2389" s="274" t="s">
        <x:v>3671</x:v>
      </x:c>
    </x:row>
    <x:row r="2390" spans="1:14">
      <x:c r="A2390" s="274" t="s">
        <x:v>4557</x:v>
      </x:c>
      <x:c r="B2390" s="274" t="n">
        <x:v>2.24</x:v>
      </x:c>
      <x:c r="C2390" s="274" t="n">
        <x:v>0</x:v>
      </x:c>
      <x:c r="D2390" s="274" t="n">
        <x:v>0</x:v>
      </x:c>
      <x:c r="F2390" s="274" t="s">
        <x:v>333</x:v>
      </x:c>
      <x:c r="G2390" s="274" t="s">
        <x:v>209</x:v>
      </x:c>
      <x:c r="I2390" s="274" t="n">
        <x:v>1.2</x:v>
      </x:c>
      <x:c r="J2390" s="274" t="n">
        <x:v>190</x:v>
      </x:c>
      <x:c r="K2390" s="274" t="n">
        <x:v>1250</x:v>
      </x:c>
      <x:c r="M2390" s="274" t="s">
        <x:v>4558</x:v>
      </x:c>
      <x:c r="N2390" s="274" t="s">
        <x:v>3671</x:v>
      </x:c>
    </x:row>
    <x:row r="2391" spans="1:14">
      <x:c r="A2391" s="274" t="s">
        <x:v>4559</x:v>
      </x:c>
      <x:c r="B2391" s="274" t="n">
        <x:v>1.28</x:v>
      </x:c>
      <x:c r="C2391" s="274" t="n">
        <x:v>0</x:v>
      </x:c>
      <x:c r="D2391" s="274" t="n">
        <x:v>0</x:v>
      </x:c>
      <x:c r="F2391" s="274" t="s">
        <x:v>333</x:v>
      </x:c>
      <x:c r="G2391" s="274" t="s">
        <x:v>209</x:v>
      </x:c>
      <x:c r="I2391" s="274" t="n">
        <x:v>1</x:v>
      </x:c>
      <x:c r="J2391" s="274" t="n">
        <x:v>130</x:v>
      </x:c>
      <x:c r="K2391" s="274" t="n">
        <x:v>1250</x:v>
      </x:c>
      <x:c r="M2391" s="274" t="s">
        <x:v>4560</x:v>
      </x:c>
      <x:c r="N2391" s="274" t="s">
        <x:v>3671</x:v>
      </x:c>
    </x:row>
    <x:row r="2392" spans="1:14">
      <x:c r="A2392" s="274" t="s">
        <x:v>4561</x:v>
      </x:c>
      <x:c r="B2392" s="274" t="n">
        <x:v>1</x:v>
      </x:c>
      <x:c r="C2392" s="274" t="n">
        <x:v>0</x:v>
      </x:c>
      <x:c r="D2392" s="274" t="n">
        <x:v>0</x:v>
      </x:c>
      <x:c r="F2392" s="274" t="s">
        <x:v>333</x:v>
      </x:c>
      <x:c r="G2392" s="274" t="s">
        <x:v>209</x:v>
      </x:c>
      <x:c r="I2392" s="274" t="n">
        <x:v>1.2</x:v>
      </x:c>
      <x:c r="J2392" s="274" t="n">
        <x:v>85</x:v>
      </x:c>
      <x:c r="K2392" s="274" t="n">
        <x:v>1250</x:v>
      </x:c>
      <x:c r="M2392" s="274" t="s">
        <x:v>4562</x:v>
      </x:c>
      <x:c r="N2392" s="274" t="s">
        <x:v>3671</x:v>
      </x:c>
    </x:row>
    <x:row r="2393" spans="1:14">
      <x:c r="A2393" s="274" t="s">
        <x:v>4563</x:v>
      </x:c>
      <x:c r="B2393" s="274" t="n">
        <x:v>1.24</x:v>
      </x:c>
      <x:c r="C2393" s="274" t="n">
        <x:v>0</x:v>
      </x:c>
      <x:c r="D2393" s="274" t="n">
        <x:v>0</x:v>
      </x:c>
      <x:c r="F2393" s="274" t="s">
        <x:v>333</x:v>
      </x:c>
      <x:c r="G2393" s="274" t="s">
        <x:v>209</x:v>
      </x:c>
      <x:c r="I2393" s="274" t="n">
        <x:v>1.4</x:v>
      </x:c>
      <x:c r="J2393" s="274" t="n">
        <x:v>90</x:v>
      </x:c>
      <x:c r="K2393" s="274" t="n">
        <x:v>1250</x:v>
      </x:c>
      <x:c r="M2393" s="274" t="s">
        <x:v>4564</x:v>
      </x:c>
      <x:c r="N2393" s="274" t="s">
        <x:v>3671</x:v>
      </x:c>
    </x:row>
    <x:row r="2394" spans="1:14">
      <x:c r="A2394" s="274" t="s">
        <x:v>4565</x:v>
      </x:c>
      <x:c r="B2394" s="274" t="n">
        <x:v>1.37</x:v>
      </x:c>
      <x:c r="C2394" s="274" t="n">
        <x:v>0</x:v>
      </x:c>
      <x:c r="D2394" s="274" t="n">
        <x:v>0</x:v>
      </x:c>
      <x:c r="F2394" s="274" t="s">
        <x:v>333</x:v>
      </x:c>
      <x:c r="G2394" s="274" t="s">
        <x:v>209</x:v>
      </x:c>
      <x:c r="I2394" s="274" t="n">
        <x:v>1.4</x:v>
      </x:c>
      <x:c r="J2394" s="274" t="n">
        <x:v>100</x:v>
      </x:c>
      <x:c r="K2394" s="274" t="n">
        <x:v>1250</x:v>
      </x:c>
      <x:c r="M2394" s="274" t="s">
        <x:v>4566</x:v>
      </x:c>
      <x:c r="N2394" s="274" t="s">
        <x:v>3671</x:v>
      </x:c>
    </x:row>
    <x:row r="2395" spans="1:14">
      <x:c r="A2395" s="274" t="s">
        <x:v>4567</x:v>
      </x:c>
      <x:c r="B2395" s="274" t="n">
        <x:v>1.92</x:v>
      </x:c>
      <x:c r="C2395" s="274" t="n">
        <x:v>0</x:v>
      </x:c>
      <x:c r="D2395" s="274" t="n">
        <x:v>0</x:v>
      </x:c>
      <x:c r="F2395" s="274" t="s">
        <x:v>333</x:v>
      </x:c>
      <x:c r="G2395" s="274" t="s">
        <x:v>209</x:v>
      </x:c>
      <x:c r="I2395" s="274" t="n">
        <x:v>1.4</x:v>
      </x:c>
      <x:c r="J2395" s="274" t="n">
        <x:v>140</x:v>
      </x:c>
      <x:c r="K2395" s="274" t="n">
        <x:v>1250</x:v>
      </x:c>
      <x:c r="M2395" s="274" t="s">
        <x:v>4568</x:v>
      </x:c>
      <x:c r="N2395" s="274" t="s">
        <x:v>3671</x:v>
      </x:c>
    </x:row>
    <x:row r="2396" spans="1:14">
      <x:c r="A2396" s="274" t="s">
        <x:v>4569</x:v>
      </x:c>
      <x:c r="B2396" s="274" t="n">
        <x:v>3.09</x:v>
      </x:c>
      <x:c r="C2396" s="274" t="n">
        <x:v>0</x:v>
      </x:c>
      <x:c r="D2396" s="274" t="n">
        <x:v>0</x:v>
      </x:c>
      <x:c r="F2396" s="274" t="s">
        <x:v>333</x:v>
      </x:c>
      <x:c r="G2396" s="274" t="s">
        <x:v>209</x:v>
      </x:c>
      <x:c r="I2396" s="274" t="n">
        <x:v>1.4</x:v>
      </x:c>
      <x:c r="J2396" s="274" t="n">
        <x:v>225</x:v>
      </x:c>
      <x:c r="K2396" s="274" t="n">
        <x:v>1250</x:v>
      </x:c>
      <x:c r="M2396" s="274" t="s">
        <x:v>4570</x:v>
      </x:c>
      <x:c r="N2396" s="274" t="s">
        <x:v>3671</x:v>
      </x:c>
    </x:row>
    <x:row r="2397" spans="1:14">
      <x:c r="A2397" s="274" t="s">
        <x:v>4571</x:v>
      </x:c>
      <x:c r="B2397" s="274" t="n">
        <x:v>2.36</x:v>
      </x:c>
      <x:c r="C2397" s="274" t="n">
        <x:v>0</x:v>
      </x:c>
      <x:c r="D2397" s="274" t="n">
        <x:v>0</x:v>
      </x:c>
      <x:c r="F2397" s="274" t="s">
        <x:v>333</x:v>
      </x:c>
      <x:c r="G2397" s="274" t="s">
        <x:v>209</x:v>
      </x:c>
      <x:c r="I2397" s="274" t="n">
        <x:v>1.2</x:v>
      </x:c>
      <x:c r="J2397" s="274" t="n">
        <x:v>200</x:v>
      </x:c>
      <x:c r="K2397" s="274" t="n">
        <x:v>1250</x:v>
      </x:c>
      <x:c r="M2397" s="274" t="s">
        <x:v>4572</x:v>
      </x:c>
      <x:c r="N2397" s="274" t="s">
        <x:v>3671</x:v>
      </x:c>
    </x:row>
    <x:row r="2398" spans="1:14">
      <x:c r="A2398" s="274" t="s">
        <x:v>4573</x:v>
      </x:c>
      <x:c r="B2398" s="274" t="n">
        <x:v>0.83</x:v>
      </x:c>
      <x:c r="C2398" s="274" t="n">
        <x:v>0</x:v>
      </x:c>
      <x:c r="D2398" s="274" t="n">
        <x:v>0</x:v>
      </x:c>
      <x:c r="F2398" s="274" t="s">
        <x:v>333</x:v>
      </x:c>
      <x:c r="G2398" s="274" t="s">
        <x:v>209</x:v>
      </x:c>
      <x:c r="I2398" s="274" t="n">
        <x:v>1</x:v>
      </x:c>
      <x:c r="J2398" s="274" t="n">
        <x:v>85</x:v>
      </x:c>
      <x:c r="K2398" s="274" t="n">
        <x:v>1250</x:v>
      </x:c>
      <x:c r="M2398" s="274" t="s">
        <x:v>4574</x:v>
      </x:c>
      <x:c r="N2398" s="274" t="s">
        <x:v>3671</x:v>
      </x:c>
    </x:row>
    <x:row r="2399" spans="1:14">
      <x:c r="A2399" s="274" t="s">
        <x:v>4575</x:v>
      </x:c>
      <x:c r="B2399" s="274" t="n">
        <x:v>0.98</x:v>
      </x:c>
      <x:c r="C2399" s="274" t="n">
        <x:v>0</x:v>
      </x:c>
      <x:c r="D2399" s="274" t="n">
        <x:v>0</x:v>
      </x:c>
      <x:c r="F2399" s="274" t="s">
        <x:v>333</x:v>
      </x:c>
      <x:c r="G2399" s="274" t="s">
        <x:v>209</x:v>
      </x:c>
      <x:c r="I2399" s="274" t="n">
        <x:v>1.4</x:v>
      </x:c>
      <x:c r="J2399" s="274" t="n">
        <x:v>71</x:v>
      </x:c>
      <x:c r="K2399" s="274" t="n">
        <x:v>1250</x:v>
      </x:c>
      <x:c r="M2399" s="274" t="s">
        <x:v>4576</x:v>
      </x:c>
      <x:c r="N2399" s="274" t="s">
        <x:v>3671</x:v>
      </x:c>
    </x:row>
    <x:row r="2400" spans="1:14">
      <x:c r="A2400" s="274" t="s">
        <x:v>4577</x:v>
      </x:c>
      <x:c r="B2400" s="274" t="n">
        <x:v>1.94</x:v>
      </x:c>
      <x:c r="C2400" s="274" t="n">
        <x:v>0</x:v>
      </x:c>
      <x:c r="D2400" s="274" t="n">
        <x:v>0</x:v>
      </x:c>
      <x:c r="F2400" s="274" t="s">
        <x:v>123</x:v>
      </x:c>
      <x:c r="G2400" s="274" t="s">
        <x:v>209</x:v>
      </x:c>
      <x:c r="I2400" s="274" t="n">
        <x:v>2</x:v>
      </x:c>
      <x:c r="J2400" s="274" t="n">
        <x:v>99</x:v>
      </x:c>
      <x:c r="K2400" s="274" t="n">
        <x:v>1250</x:v>
      </x:c>
      <x:c r="M2400" s="274" t="s">
        <x:v>4578</x:v>
      </x:c>
      <x:c r="N2400" s="274" t="s">
        <x:v>3671</x:v>
      </x:c>
    </x:row>
    <x:row r="2401" spans="1:14">
      <x:c r="A2401" s="274" t="s">
        <x:v>4579</x:v>
      </x:c>
      <x:c r="B2401" s="274" t="n">
        <x:v>2.03</x:v>
      </x:c>
      <x:c r="C2401" s="274" t="n">
        <x:v>0</x:v>
      </x:c>
      <x:c r="D2401" s="274" t="n">
        <x:v>0</x:v>
      </x:c>
      <x:c r="F2401" s="274" t="s">
        <x:v>333</x:v>
      </x:c>
      <x:c r="G2401" s="274" t="s">
        <x:v>209</x:v>
      </x:c>
      <x:c r="I2401" s="274" t="n">
        <x:v>1.4</x:v>
      </x:c>
      <x:c r="J2401" s="274" t="n">
        <x:v>148</x:v>
      </x:c>
      <x:c r="K2401" s="274" t="n">
        <x:v>1250</x:v>
      </x:c>
      <x:c r="M2401" s="274" t="s">
        <x:v>4580</x:v>
      </x:c>
      <x:c r="N2401" s="274" t="s">
        <x:v>3671</x:v>
      </x:c>
    </x:row>
    <x:row r="2402" spans="1:14">
      <x:c r="A2402" s="274" t="s">
        <x:v>4581</x:v>
      </x:c>
      <x:c r="B2402" s="274" t="n">
        <x:v>5.67</x:v>
      </x:c>
      <x:c r="C2402" s="274" t="n">
        <x:v>0</x:v>
      </x:c>
      <x:c r="D2402" s="274" t="n">
        <x:v>0</x:v>
      </x:c>
      <x:c r="F2402" s="274" t="s">
        <x:v>184</x:v>
      </x:c>
      <x:c r="G2402" s="274" t="s">
        <x:v>144</x:v>
      </x:c>
      <x:c r="H2402" s="274" t="n">
        <x:v>45</x:v>
      </x:c>
      <x:c r="I2402" s="274" t="n">
        <x:v>2.3</x:v>
      </x:c>
      <x:c r="J2402" s="274" t="n">
        <x:v>250</x:v>
      </x:c>
      <x:c r="K2402" s="274" t="n">
        <x:v>1250</x:v>
      </x:c>
      <x:c r="M2402" s="274" t="s">
        <x:v>4582</x:v>
      </x:c>
      <x:c r="N2402" s="274" t="s">
        <x:v>3671</x:v>
      </x:c>
    </x:row>
    <x:row r="2403" spans="1:14">
      <x:c r="A2403" s="274" t="s">
        <x:v>4583</x:v>
      </x:c>
      <x:c r="B2403" s="274" t="n">
        <x:v>1.25</x:v>
      </x:c>
      <x:c r="C2403" s="274" t="n">
        <x:v>0</x:v>
      </x:c>
      <x:c r="D2403" s="274" t="n">
        <x:v>36</x:v>
      </x:c>
      <x:c r="E2403" s="274" t="n">
        <x:v>0</x:v>
      </x:c>
      <x:c r="F2403" s="274" t="s">
        <x:v>133</x:v>
      </x:c>
      <x:c r="G2403" s="274" t="s">
        <x:v>136</x:v>
      </x:c>
      <x:c r="H2403" s="274" t="n">
        <x:v>45</x:v>
      </x:c>
      <x:c r="I2403" s="274" t="n">
        <x:v>0.6</x:v>
      </x:c>
      <x:c r="J2403" s="274" t="n">
        <x:v>432</x:v>
      </x:c>
      <x:c r="K2403" s="274" t="n">
        <x:v>752</x:v>
      </x:c>
      <x:c r="L2403" s="274" t="n">
        <x:v>450</x:v>
      </x:c>
      <x:c r="M2403" s="274" t="s">
        <x:v>628</x:v>
      </x:c>
      <x:c r="N2403" s="274" t="s">
        <x:v>299</x:v>
      </x:c>
    </x:row>
    <x:row r="2404" spans="1:14">
      <x:c r="A2404" s="274" t="s">
        <x:v>4584</x:v>
      </x:c>
      <x:c r="B2404" s="274" t="n">
        <x:v>1.3</x:v>
      </x:c>
      <x:c r="C2404" s="274" t="n">
        <x:v>0</x:v>
      </x:c>
      <x:c r="D2404" s="274" t="n">
        <x:v>0</x:v>
      </x:c>
      <x:c r="F2404" s="274" t="s">
        <x:v>333</x:v>
      </x:c>
      <x:c r="G2404" s="274" t="s">
        <x:v>209</x:v>
      </x:c>
      <x:c r="I2404" s="274" t="n">
        <x:v>1.2</x:v>
      </x:c>
      <x:c r="J2404" s="274" t="n">
        <x:v>110</x:v>
      </x:c>
      <x:c r="K2404" s="274" t="n">
        <x:v>1250</x:v>
      </x:c>
      <x:c r="M2404" s="274" t="s">
        <x:v>4585</x:v>
      </x:c>
      <x:c r="N2404" s="274" t="s">
        <x:v>3671</x:v>
      </x:c>
    </x:row>
    <x:row r="2405" spans="1:14">
      <x:c r="A2405" s="274" t="s">
        <x:v>4586</x:v>
      </x:c>
      <x:c r="B2405" s="274" t="n">
        <x:v>2.76</x:v>
      </x:c>
      <x:c r="C2405" s="274" t="n">
        <x:v>0</x:v>
      </x:c>
      <x:c r="D2405" s="274" t="n">
        <x:v>0</x:v>
      </x:c>
      <x:c r="F2405" s="274" t="s">
        <x:v>133</x:v>
      </x:c>
      <x:c r="G2405" s="274" t="s">
        <x:v>144</x:v>
      </x:c>
      <x:c r="H2405" s="274" t="n">
        <x:v>45</x:v>
      </x:c>
      <x:c r="I2405" s="274" t="n">
        <x:v>2</x:v>
      </x:c>
      <x:c r="J2405" s="274" t="n">
        <x:v>140</x:v>
      </x:c>
      <x:c r="K2405" s="274" t="n">
        <x:v>1250</x:v>
      </x:c>
      <x:c r="M2405" s="274" t="s">
        <x:v>4587</x:v>
      </x:c>
      <x:c r="N2405" s="274" t="s">
        <x:v>3671</x:v>
      </x:c>
    </x:row>
    <x:row r="2406" spans="1:14">
      <x:c r="A2406" s="274" t="s">
        <x:v>4588</x:v>
      </x:c>
      <x:c r="B2406" s="274" t="n">
        <x:v>3.85</x:v>
      </x:c>
      <x:c r="C2406" s="274" t="n">
        <x:v>0</x:v>
      </x:c>
      <x:c r="D2406" s="274" t="n">
        <x:v>0</x:v>
      </x:c>
      <x:c r="F2406" s="274" t="s">
        <x:v>333</x:v>
      </x:c>
      <x:c r="G2406" s="274" t="s">
        <x:v>124</x:v>
      </x:c>
      <x:c r="I2406" s="274" t="n">
        <x:v>1.4</x:v>
      </x:c>
      <x:c r="J2406" s="274" t="n">
        <x:v>280</x:v>
      </x:c>
      <x:c r="K2406" s="274" t="n">
        <x:v>1250</x:v>
      </x:c>
      <x:c r="M2406" s="274" t="s">
        <x:v>4589</x:v>
      </x:c>
      <x:c r="N2406" s="274" t="s">
        <x:v>3671</x:v>
      </x:c>
    </x:row>
    <x:row r="2407" spans="1:14">
      <x:c r="A2407" s="274" t="s">
        <x:v>4590</x:v>
      </x:c>
      <x:c r="B2407" s="274" t="n">
        <x:v>2.3</x:v>
      </x:c>
      <x:c r="C2407" s="274" t="n">
        <x:v>0</x:v>
      </x:c>
      <x:c r="D2407" s="274" t="n">
        <x:v>0</x:v>
      </x:c>
      <x:c r="F2407" s="274" t="s">
        <x:v>333</x:v>
      </x:c>
      <x:c r="G2407" s="274" t="s">
        <x:v>153</x:v>
      </x:c>
      <x:c r="I2407" s="274" t="n">
        <x:v>0.6</x:v>
      </x:c>
      <x:c r="J2407" s="274" t="n">
        <x:v>390</x:v>
      </x:c>
      <x:c r="K2407" s="274" t="n">
        <x:v>1250</x:v>
      </x:c>
      <x:c r="M2407" s="274" t="s">
        <x:v>4591</x:v>
      </x:c>
      <x:c r="N2407" s="274" t="s">
        <x:v>3671</x:v>
      </x:c>
    </x:row>
    <x:row r="2408" spans="1:14">
      <x:c r="A2408" s="274" t="s">
        <x:v>4592</x:v>
      </x:c>
      <x:c r="B2408" s="274" t="n">
        <x:v>2.12</x:v>
      </x:c>
      <x:c r="C2408" s="274" t="n">
        <x:v>0</x:v>
      </x:c>
      <x:c r="D2408" s="274" t="n">
        <x:v>0</x:v>
      </x:c>
      <x:c r="F2408" s="274" t="s">
        <x:v>333</x:v>
      </x:c>
      <x:c r="G2408" s="274" t="s">
        <x:v>153</x:v>
      </x:c>
      <x:c r="I2408" s="274" t="n">
        <x:v>0.6</x:v>
      </x:c>
      <x:c r="J2408" s="274" t="n">
        <x:v>360</x:v>
      </x:c>
      <x:c r="K2408" s="274" t="n">
        <x:v>1250</x:v>
      </x:c>
      <x:c r="M2408" s="274" t="s">
        <x:v>4593</x:v>
      </x:c>
      <x:c r="N2408" s="274" t="s">
        <x:v>3671</x:v>
      </x:c>
    </x:row>
    <x:row r="2409" spans="1:14">
      <x:c r="A2409" s="274" t="s">
        <x:v>4594</x:v>
      </x:c>
      <x:c r="B2409" s="274" t="n">
        <x:v>7.22</x:v>
      </x:c>
      <x:c r="C2409" s="274" t="n">
        <x:v>0</x:v>
      </x:c>
      <x:c r="D2409" s="274" t="n">
        <x:v>0</x:v>
      </x:c>
      <x:c r="F2409" s="274" t="s">
        <x:v>133</x:v>
      </x:c>
      <x:c r="G2409" s="274" t="s">
        <x:v>134</x:v>
      </x:c>
      <x:c r="I2409" s="274" t="n">
        <x:v>3.2</x:v>
      </x:c>
      <x:c r="J2409" s="274" t="n">
        <x:v>230</x:v>
      </x:c>
      <x:c r="K2409" s="274" t="n">
        <x:v>1250</x:v>
      </x:c>
      <x:c r="M2409" s="274" t="s">
        <x:v>4595</x:v>
      </x:c>
      <x:c r="N2409" s="274" t="s">
        <x:v>3671</x:v>
      </x:c>
    </x:row>
    <x:row r="2410" spans="1:14">
      <x:c r="A2410" s="274" t="s">
        <x:v>4596</x:v>
      </x:c>
      <x:c r="B2410" s="274" t="n">
        <x:v>0.94</x:v>
      </x:c>
      <x:c r="C2410" s="274" t="n">
        <x:v>0</x:v>
      </x:c>
      <x:c r="D2410" s="274" t="n">
        <x:v>0</x:v>
      </x:c>
      <x:c r="F2410" s="274" t="s">
        <x:v>333</x:v>
      </x:c>
      <x:c r="G2410" s="274" t="s">
        <x:v>153</x:v>
      </x:c>
      <x:c r="I2410" s="274" t="n">
        <x:v>0.8</x:v>
      </x:c>
      <x:c r="J2410" s="274" t="n">
        <x:v>120</x:v>
      </x:c>
      <x:c r="K2410" s="274" t="n">
        <x:v>1250</x:v>
      </x:c>
      <x:c r="M2410" s="274" t="s">
        <x:v>4597</x:v>
      </x:c>
      <x:c r="N2410" s="274" t="s">
        <x:v>3671</x:v>
      </x:c>
    </x:row>
    <x:row r="2411" spans="1:14">
      <x:c r="A2411" s="274" t="s">
        <x:v>4598</x:v>
      </x:c>
      <x:c r="B2411" s="274" t="n">
        <x:v>3.42</x:v>
      </x:c>
      <x:c r="C2411" s="274" t="n">
        <x:v>0</x:v>
      </x:c>
      <x:c r="D2411" s="274" t="n">
        <x:v>20</x:v>
      </x:c>
      <x:c r="E2411" s="274" t="n">
        <x:v>18</x:v>
      </x:c>
      <x:c r="F2411" s="274" t="s">
        <x:v>123</x:v>
      </x:c>
      <x:c r="G2411" s="274" t="s">
        <x:v>2796</x:v>
      </x:c>
      <x:c r="I2411" s="274" t="n">
        <x:v>1.6</x:v>
      </x:c>
      <x:c r="J2411" s="274" t="n">
        <x:v>215</x:v>
      </x:c>
      <x:c r="K2411" s="274" t="n">
        <x:v>1250</x:v>
      </x:c>
    </x:row>
    <x:row r="2412" spans="1:14">
      <x:c r="A2412" s="274" t="s">
        <x:v>4599</x:v>
      </x:c>
      <x:c r="B2412" s="274" t="n">
        <x:v>3.57</x:v>
      </x:c>
      <x:c r="C2412" s="274" t="n">
        <x:v>0</x:v>
      </x:c>
      <x:c r="D2412" s="274" t="n">
        <x:v>0</x:v>
      </x:c>
      <x:c r="F2412" s="274" t="s">
        <x:v>133</x:v>
      </x:c>
      <x:c r="G2412" s="274" t="s">
        <x:v>134</x:v>
      </x:c>
      <x:c r="I2412" s="274" t="n">
        <x:v>2.8</x:v>
      </x:c>
      <x:c r="J2412" s="274" t="n">
        <x:v>130</x:v>
      </x:c>
      <x:c r="K2412" s="274" t="n">
        <x:v>1250</x:v>
      </x:c>
      <x:c r="M2412" s="274" t="s">
        <x:v>4600</x:v>
      </x:c>
      <x:c r="N2412" s="274" t="s">
        <x:v>3671</x:v>
      </x:c>
    </x:row>
    <x:row r="2413" spans="1:14">
      <x:c r="A2413" s="274" t="s">
        <x:v>4601</x:v>
      </x:c>
      <x:c r="B2413" s="274" t="n">
        <x:v>1.57</x:v>
      </x:c>
      <x:c r="C2413" s="274" t="n">
        <x:v>0</x:v>
      </x:c>
      <x:c r="D2413" s="274" t="n">
        <x:v>0</x:v>
      </x:c>
      <x:c r="F2413" s="274" t="s">
        <x:v>333</x:v>
      </x:c>
      <x:c r="G2413" s="274" t="s">
        <x:v>209</x:v>
      </x:c>
      <x:c r="I2413" s="274" t="n">
        <x:v>1</x:v>
      </x:c>
      <x:c r="J2413" s="274" t="n">
        <x:v>160</x:v>
      </x:c>
      <x:c r="K2413" s="274" t="n">
        <x:v>1250</x:v>
      </x:c>
      <x:c r="M2413" s="274" t="s">
        <x:v>4602</x:v>
      </x:c>
      <x:c r="N2413" s="274" t="s">
        <x:v>3671</x:v>
      </x:c>
    </x:row>
    <x:row r="2414" spans="1:14">
      <x:c r="A2414" s="274" t="s">
        <x:v>4603</x:v>
      </x:c>
      <x:c r="B2414" s="274" t="n">
        <x:v>1.37</x:v>
      </x:c>
      <x:c r="C2414" s="274" t="n">
        <x:v>0</x:v>
      </x:c>
      <x:c r="D2414" s="274" t="n">
        <x:v>0</x:v>
      </x:c>
      <x:c r="F2414" s="274" t="s">
        <x:v>333</x:v>
      </x:c>
      <x:c r="G2414" s="274" t="s">
        <x:v>153</x:v>
      </x:c>
      <x:c r="I2414" s="274" t="n">
        <x:v>1.4</x:v>
      </x:c>
      <x:c r="J2414" s="274" t="n">
        <x:v>100</x:v>
      </x:c>
      <x:c r="K2414" s="274" t="n">
        <x:v>1250</x:v>
      </x:c>
      <x:c r="M2414" s="274" t="s">
        <x:v>4604</x:v>
      </x:c>
      <x:c r="N2414" s="274" t="s">
        <x:v>3671</x:v>
      </x:c>
    </x:row>
    <x:row r="2415" spans="1:14">
      <x:c r="A2415" s="274" t="s">
        <x:v>4605</x:v>
      </x:c>
      <x:c r="B2415" s="274" t="n">
        <x:v>3.14</x:v>
      </x:c>
      <x:c r="C2415" s="274" t="n">
        <x:v>0</x:v>
      </x:c>
      <x:c r="D2415" s="274" t="n">
        <x:v>0</x:v>
      </x:c>
      <x:c r="F2415" s="274" t="s">
        <x:v>133</x:v>
      </x:c>
      <x:c r="G2415" s="274" t="s">
        <x:v>134</x:v>
      </x:c>
      <x:c r="I2415" s="274" t="n">
        <x:v>1.6</x:v>
      </x:c>
      <x:c r="J2415" s="274" t="n">
        <x:v>200</x:v>
      </x:c>
      <x:c r="K2415" s="274" t="n">
        <x:v>1250</x:v>
      </x:c>
      <x:c r="M2415" s="274" t="s">
        <x:v>4606</x:v>
      </x:c>
      <x:c r="N2415" s="274" t="s">
        <x:v>3671</x:v>
      </x:c>
    </x:row>
    <x:row r="2416" spans="1:14">
      <x:c r="A2416" s="274" t="s">
        <x:v>4607</x:v>
      </x:c>
      <x:c r="B2416" s="274" t="n">
        <x:v>2.12</x:v>
      </x:c>
      <x:c r="C2416" s="274" t="n">
        <x:v>0</x:v>
      </x:c>
      <x:c r="D2416" s="274" t="n">
        <x:v>0</x:v>
      </x:c>
      <x:c r="F2416" s="274" t="s">
        <x:v>133</x:v>
      </x:c>
      <x:c r="G2416" s="274" t="s">
        <x:v>134</x:v>
      </x:c>
      <x:c r="I2416" s="274" t="n">
        <x:v>1.6</x:v>
      </x:c>
      <x:c r="J2416" s="274" t="n">
        <x:v>135</x:v>
      </x:c>
      <x:c r="K2416" s="274" t="n">
        <x:v>1250</x:v>
      </x:c>
      <x:c r="M2416" s="274" t="s">
        <x:v>4608</x:v>
      </x:c>
      <x:c r="N2416" s="274" t="s">
        <x:v>3671</x:v>
      </x:c>
    </x:row>
    <x:row r="2417" spans="1:14">
      <x:c r="A2417" s="274" t="s">
        <x:v>4609</x:v>
      </x:c>
      <x:c r="B2417" s="274" t="n">
        <x:v>1.73</x:v>
      </x:c>
      <x:c r="C2417" s="274" t="n">
        <x:v>0</x:v>
      </x:c>
      <x:c r="D2417" s="274" t="n">
        <x:v>0</x:v>
      </x:c>
      <x:c r="F2417" s="274" t="s">
        <x:v>133</x:v>
      </x:c>
      <x:c r="G2417" s="274" t="s">
        <x:v>134</x:v>
      </x:c>
      <x:c r="I2417" s="274" t="n">
        <x:v>1.6</x:v>
      </x:c>
      <x:c r="J2417" s="274" t="n">
        <x:v>110</x:v>
      </x:c>
      <x:c r="K2417" s="274" t="n">
        <x:v>1250</x:v>
      </x:c>
      <x:c r="M2417" s="274" t="s">
        <x:v>4610</x:v>
      </x:c>
      <x:c r="N2417" s="274" t="s">
        <x:v>3671</x:v>
      </x:c>
    </x:row>
    <x:row r="2418" spans="1:14">
      <x:c r="A2418" s="274" t="s">
        <x:v>4611</x:v>
      </x:c>
      <x:c r="B2418" s="274" t="n">
        <x:v>2.47</x:v>
      </x:c>
      <x:c r="C2418" s="274" t="n">
        <x:v>0</x:v>
      </x:c>
      <x:c r="D2418" s="274" t="n">
        <x:v>0</x:v>
      </x:c>
      <x:c r="F2418" s="274" t="s">
        <x:v>333</x:v>
      </x:c>
      <x:c r="G2418" s="274" t="s">
        <x:v>153</x:v>
      </x:c>
      <x:c r="I2418" s="274" t="n">
        <x:v>1.4</x:v>
      </x:c>
      <x:c r="J2418" s="274" t="n">
        <x:v>180</x:v>
      </x:c>
      <x:c r="K2418" s="274" t="n">
        <x:v>1250</x:v>
      </x:c>
      <x:c r="M2418" s="274" t="s">
        <x:v>4612</x:v>
      </x:c>
      <x:c r="N2418" s="274" t="s">
        <x:v>3671</x:v>
      </x:c>
    </x:row>
    <x:row r="2419" spans="1:14">
      <x:c r="A2419" s="274" t="s">
        <x:v>4613</x:v>
      </x:c>
      <x:c r="B2419" s="274" t="n">
        <x:v>3.84</x:v>
      </x:c>
      <x:c r="C2419" s="274" t="n">
        <x:v>0</x:v>
      </x:c>
      <x:c r="D2419" s="274" t="n">
        <x:v>0</x:v>
      </x:c>
      <x:c r="F2419" s="274" t="s">
        <x:v>133</x:v>
      </x:c>
      <x:c r="G2419" s="274" t="s">
        <x:v>134</x:v>
      </x:c>
      <x:c r="I2419" s="274" t="n">
        <x:v>2.3</x:v>
      </x:c>
      <x:c r="J2419" s="274" t="n">
        <x:v>170</x:v>
      </x:c>
      <x:c r="K2419" s="274" t="n">
        <x:v>1250</x:v>
      </x:c>
      <x:c r="M2419" s="274" t="s">
        <x:v>4614</x:v>
      </x:c>
      <x:c r="N2419" s="274" t="s">
        <x:v>3671</x:v>
      </x:c>
    </x:row>
    <x:row r="2420" spans="1:14">
      <x:c r="A2420" s="274" t="s">
        <x:v>4615</x:v>
      </x:c>
      <x:c r="B2420" s="274" t="n">
        <x:v>2.18</x:v>
      </x:c>
      <x:c r="C2420" s="274" t="n">
        <x:v>0</x:v>
      </x:c>
      <x:c r="D2420" s="274" t="n">
        <x:v>0</x:v>
      </x:c>
      <x:c r="F2420" s="274" t="s">
        <x:v>333</x:v>
      </x:c>
      <x:c r="G2420" s="274" t="s">
        <x:v>124</x:v>
      </x:c>
      <x:c r="I2420" s="274" t="n">
        <x:v>1.2</x:v>
      </x:c>
      <x:c r="J2420" s="274" t="n">
        <x:v>185</x:v>
      </x:c>
      <x:c r="K2420" s="274" t="n">
        <x:v>1250</x:v>
      </x:c>
      <x:c r="M2420" s="274" t="s">
        <x:v>4616</x:v>
      </x:c>
      <x:c r="N2420" s="274" t="s">
        <x:v>3671</x:v>
      </x:c>
    </x:row>
    <x:row r="2421" spans="1:14">
      <x:c r="A2421" s="274" t="s">
        <x:v>4617</x:v>
      </x:c>
      <x:c r="B2421" s="274" t="n">
        <x:v>2.94</x:v>
      </x:c>
      <x:c r="C2421" s="274" t="n">
        <x:v>0</x:v>
      </x:c>
      <x:c r="D2421" s="274" t="n">
        <x:v>0</x:v>
      </x:c>
      <x:c r="F2421" s="274" t="s">
        <x:v>133</x:v>
      </x:c>
      <x:c r="G2421" s="274" t="s">
        <x:v>148</x:v>
      </x:c>
      <x:c r="I2421" s="274" t="n">
        <x:v>2</x:v>
      </x:c>
      <x:c r="J2421" s="274" t="n">
        <x:v>150</x:v>
      </x:c>
      <x:c r="K2421" s="274" t="n">
        <x:v>1250</x:v>
      </x:c>
      <x:c r="M2421" s="274" t="s">
        <x:v>4618</x:v>
      </x:c>
      <x:c r="N2421" s="274" t="s">
        <x:v>3671</x:v>
      </x:c>
    </x:row>
    <x:row r="2422" spans="1:14">
      <x:c r="A2422" s="274" t="s">
        <x:v>4619</x:v>
      </x:c>
      <x:c r="B2422" s="274" t="n">
        <x:v>1.06</x:v>
      </x:c>
      <x:c r="C2422" s="274" t="n">
        <x:v>0</x:v>
      </x:c>
      <x:c r="D2422" s="274" t="n">
        <x:v>0</x:v>
      </x:c>
      <x:c r="F2422" s="274" t="s">
        <x:v>333</x:v>
      </x:c>
      <x:c r="G2422" s="274" t="s">
        <x:v>124</x:v>
      </x:c>
      <x:c r="I2422" s="274" t="n">
        <x:v>1.2</x:v>
      </x:c>
      <x:c r="J2422" s="274" t="n">
        <x:v>90</x:v>
      </x:c>
      <x:c r="K2422" s="274" t="n">
        <x:v>1250</x:v>
      </x:c>
      <x:c r="M2422" s="274" t="s">
        <x:v>4620</x:v>
      </x:c>
      <x:c r="N2422" s="274" t="s">
        <x:v>3671</x:v>
      </x:c>
    </x:row>
    <x:row r="2423" spans="1:14">
      <x:c r="A2423" s="274" t="s">
        <x:v>4621</x:v>
      </x:c>
      <x:c r="B2423" s="274" t="n">
        <x:v>2.26</x:v>
      </x:c>
      <x:c r="C2423" s="274" t="n">
        <x:v>0</x:v>
      </x:c>
      <x:c r="D2423" s="274" t="n">
        <x:v>0</x:v>
      </x:c>
      <x:c r="F2423" s="274" t="s">
        <x:v>133</x:v>
      </x:c>
      <x:c r="G2423" s="274" t="s">
        <x:v>148</x:v>
      </x:c>
      <x:c r="I2423" s="274" t="n">
        <x:v>2</x:v>
      </x:c>
      <x:c r="J2423" s="274" t="n">
        <x:v>115</x:v>
      </x:c>
      <x:c r="K2423" s="274" t="n">
        <x:v>1250</x:v>
      </x:c>
      <x:c r="M2423" s="274" t="s">
        <x:v>4622</x:v>
      </x:c>
      <x:c r="N2423" s="274" t="s">
        <x:v>3671</x:v>
      </x:c>
    </x:row>
    <x:row r="2424" spans="1:14">
      <x:c r="A2424" s="274" t="s">
        <x:v>4623</x:v>
      </x:c>
      <x:c r="B2424" s="274" t="n">
        <x:v>3.34</x:v>
      </x:c>
      <x:c r="C2424" s="274" t="n">
        <x:v>0</x:v>
      </x:c>
      <x:c r="D2424" s="274" t="n">
        <x:v>0</x:v>
      </x:c>
      <x:c r="F2424" s="274" t="s">
        <x:v>133</x:v>
      </x:c>
      <x:c r="G2424" s="274" t="s">
        <x:v>148</x:v>
      </x:c>
      <x:c r="I2424" s="274" t="n">
        <x:v>2</x:v>
      </x:c>
      <x:c r="J2424" s="274" t="n">
        <x:v>170</x:v>
      </x:c>
      <x:c r="K2424" s="274" t="n">
        <x:v>1250</x:v>
      </x:c>
      <x:c r="M2424" s="274" t="s">
        <x:v>4624</x:v>
      </x:c>
      <x:c r="N2424" s="274" t="s">
        <x:v>3671</x:v>
      </x:c>
    </x:row>
    <x:row r="2425" spans="1:14">
      <x:c r="A2425" s="274" t="s">
        <x:v>4625</x:v>
      </x:c>
      <x:c r="B2425" s="274" t="n">
        <x:v>0.94</x:v>
      </x:c>
      <x:c r="C2425" s="274" t="n">
        <x:v>0</x:v>
      </x:c>
      <x:c r="D2425" s="274" t="n">
        <x:v>0</x:v>
      </x:c>
      <x:c r="F2425" s="274" t="s">
        <x:v>333</x:v>
      </x:c>
      <x:c r="G2425" s="274" t="s">
        <x:v>124</x:v>
      </x:c>
      <x:c r="I2425" s="274" t="n">
        <x:v>1.2</x:v>
      </x:c>
      <x:c r="J2425" s="274" t="n">
        <x:v>80</x:v>
      </x:c>
      <x:c r="K2425" s="274" t="n">
        <x:v>1250</x:v>
      </x:c>
      <x:c r="M2425" s="274" t="s">
        <x:v>4626</x:v>
      </x:c>
      <x:c r="N2425" s="274" t="s">
        <x:v>3671</x:v>
      </x:c>
    </x:row>
    <x:row r="2426" spans="1:14">
      <x:c r="A2426" s="274" t="s">
        <x:v>4627</x:v>
      </x:c>
      <x:c r="B2426" s="274" t="n">
        <x:v>1.41</x:v>
      </x:c>
      <x:c r="C2426" s="274" t="n">
        <x:v>0</x:v>
      </x:c>
      <x:c r="D2426" s="274" t="n">
        <x:v>0</x:v>
      </x:c>
      <x:c r="F2426" s="274" t="s">
        <x:v>123</x:v>
      </x:c>
      <x:c r="G2426" s="274" t="s">
        <x:v>148</x:v>
      </x:c>
      <x:c r="I2426" s="274" t="n">
        <x:v>1.6</x:v>
      </x:c>
      <x:c r="J2426" s="274" t="n">
        <x:v>90</x:v>
      </x:c>
      <x:c r="K2426" s="274" t="n">
        <x:v>1250</x:v>
      </x:c>
      <x:c r="M2426" s="274" t="s">
        <x:v>4628</x:v>
      </x:c>
      <x:c r="N2426" s="274" t="s">
        <x:v>3671</x:v>
      </x:c>
    </x:row>
    <x:row r="2427" spans="1:14">
      <x:c r="A2427" s="274" t="s">
        <x:v>4629</x:v>
      </x:c>
      <x:c r="B2427" s="274" t="n">
        <x:v>1.67</x:v>
      </x:c>
      <x:c r="C2427" s="274" t="n">
        <x:v>0</x:v>
      </x:c>
      <x:c r="D2427" s="274" t="n">
        <x:v>0</x:v>
      </x:c>
      <x:c r="F2427" s="274" t="s">
        <x:v>133</x:v>
      </x:c>
      <x:c r="G2427" s="274" t="s">
        <x:v>148</x:v>
      </x:c>
      <x:c r="I2427" s="274" t="n">
        <x:v>2</x:v>
      </x:c>
      <x:c r="J2427" s="274" t="n">
        <x:v>85</x:v>
      </x:c>
      <x:c r="K2427" s="274" t="n">
        <x:v>1250</x:v>
      </x:c>
      <x:c r="M2427" s="274" t="s">
        <x:v>4630</x:v>
      </x:c>
      <x:c r="N2427" s="274" t="s">
        <x:v>3671</x:v>
      </x:c>
    </x:row>
    <x:row r="2428" spans="1:14">
      <x:c r="A2428" s="274" t="s">
        <x:v>4631</x:v>
      </x:c>
      <x:c r="B2428" s="274" t="n">
        <x:v>1.88</x:v>
      </x:c>
      <x:c r="C2428" s="274" t="n">
        <x:v>0</x:v>
      </x:c>
      <x:c r="D2428" s="274" t="n">
        <x:v>0</x:v>
      </x:c>
      <x:c r="F2428" s="274" t="s">
        <x:v>333</x:v>
      </x:c>
      <x:c r="G2428" s="274" t="s">
        <x:v>209</x:v>
      </x:c>
      <x:c r="I2428" s="274" t="n">
        <x:v>1.2</x:v>
      </x:c>
      <x:c r="J2428" s="274" t="n">
        <x:v>160</x:v>
      </x:c>
      <x:c r="K2428" s="274" t="n">
        <x:v>1250</x:v>
      </x:c>
      <x:c r="M2428" s="274" t="s">
        <x:v>4632</x:v>
      </x:c>
      <x:c r="N2428" s="274" t="s">
        <x:v>3671</x:v>
      </x:c>
    </x:row>
    <x:row r="2429" spans="1:14">
      <x:c r="A2429" s="274" t="s">
        <x:v>4633</x:v>
      </x:c>
      <x:c r="B2429" s="274" t="n">
        <x:v>1.65</x:v>
      </x:c>
      <x:c r="C2429" s="274" t="n">
        <x:v>0</x:v>
      </x:c>
      <x:c r="D2429" s="274" t="n">
        <x:v>0</x:v>
      </x:c>
      <x:c r="F2429" s="274" t="s">
        <x:v>333</x:v>
      </x:c>
      <x:c r="G2429" s="274" t="s">
        <x:v>209</x:v>
      </x:c>
      <x:c r="I2429" s="274" t="n">
        <x:v>1.4</x:v>
      </x:c>
      <x:c r="J2429" s="274" t="n">
        <x:v>120</x:v>
      </x:c>
      <x:c r="K2429" s="274" t="n">
        <x:v>1250</x:v>
      </x:c>
      <x:c r="M2429" s="274" t="s">
        <x:v>4634</x:v>
      </x:c>
      <x:c r="N2429" s="274" t="s">
        <x:v>3671</x:v>
      </x:c>
    </x:row>
    <x:row r="2430" spans="1:14">
      <x:c r="A2430" s="274" t="s">
        <x:v>4635</x:v>
      </x:c>
      <x:c r="B2430" s="274" t="n">
        <x:v>2.75</x:v>
      </x:c>
      <x:c r="C2430" s="274" t="n">
        <x:v>0</x:v>
      </x:c>
      <x:c r="D2430" s="274" t="n">
        <x:v>0</x:v>
      </x:c>
      <x:c r="F2430" s="274" t="s">
        <x:v>133</x:v>
      </x:c>
      <x:c r="G2430" s="274" t="s">
        <x:v>148</x:v>
      </x:c>
      <x:c r="I2430" s="274" t="n">
        <x:v>2</x:v>
      </x:c>
      <x:c r="J2430" s="274" t="n">
        <x:v>140</x:v>
      </x:c>
      <x:c r="K2430" s="274" t="n">
        <x:v>1250</x:v>
      </x:c>
      <x:c r="M2430" s="274" t="s">
        <x:v>4636</x:v>
      </x:c>
      <x:c r="N2430" s="274" t="s">
        <x:v>3671</x:v>
      </x:c>
    </x:row>
    <x:row r="2431" spans="1:14">
      <x:c r="A2431" s="274" t="s">
        <x:v>4637</x:v>
      </x:c>
      <x:c r="B2431" s="274" t="n">
        <x:v>3.16</x:v>
      </x:c>
      <x:c r="C2431" s="274" t="n">
        <x:v>0</x:v>
      </x:c>
      <x:c r="D2431" s="274" t="n">
        <x:v>0</x:v>
      </x:c>
      <x:c r="F2431" s="274" t="s">
        <x:v>133</x:v>
      </x:c>
      <x:c r="G2431" s="274" t="s">
        <x:v>148</x:v>
      </x:c>
      <x:c r="I2431" s="274" t="n">
        <x:v>2.3</x:v>
      </x:c>
      <x:c r="J2431" s="274" t="n">
        <x:v>140</x:v>
      </x:c>
      <x:c r="K2431" s="274" t="n">
        <x:v>1250</x:v>
      </x:c>
      <x:c r="M2431" s="274" t="s">
        <x:v>4638</x:v>
      </x:c>
      <x:c r="N2431" s="274" t="s">
        <x:v>3671</x:v>
      </x:c>
    </x:row>
    <x:row r="2432" spans="1:14">
      <x:c r="A2432" s="274" t="s">
        <x:v>4639</x:v>
      </x:c>
      <x:c r="B2432" s="274" t="n">
        <x:v>1.51</x:v>
      </x:c>
      <x:c r="C2432" s="274" t="n">
        <x:v>0</x:v>
      </x:c>
      <x:c r="D2432" s="274" t="n">
        <x:v>45</x:v>
      </x:c>
      <x:c r="E2432" s="274" t="n">
        <x:v>40</x:v>
      </x:c>
      <x:c r="F2432" s="274" t="s">
        <x:v>133</x:v>
      </x:c>
      <x:c r="G2432" s="274" t="s">
        <x:v>136</x:v>
      </x:c>
      <x:c r="H2432" s="274" t="n">
        <x:v>45</x:v>
      </x:c>
      <x:c r="I2432" s="274" t="n">
        <x:v>0.6</x:v>
      </x:c>
      <x:c r="J2432" s="274" t="n">
        <x:v>1047</x:v>
      </x:c>
      <x:c r="K2432" s="274" t="n">
        <x:v>300</x:v>
      </x:c>
      <x:c r="M2432" s="274" t="s">
        <x:v>888</x:v>
      </x:c>
      <x:c r="N2432" s="274" t="s">
        <x:v>155</x:v>
      </x:c>
    </x:row>
    <x:row r="2433" spans="1:14">
      <x:c r="A2433" s="274" t="s">
        <x:v>4640</x:v>
      </x:c>
      <x:c r="B2433" s="274" t="n">
        <x:v>0.54</x:v>
      </x:c>
      <x:c r="C2433" s="274" t="n">
        <x:v>0</x:v>
      </x:c>
      <x:c r="D2433" s="274" t="n">
        <x:v>35</x:v>
      </x:c>
      <x:c r="E2433" s="274" t="n">
        <x:v>33</x:v>
      </x:c>
      <x:c r="F2433" s="274" t="s">
        <x:v>133</x:v>
      </x:c>
      <x:c r="G2433" s="274" t="s">
        <x:v>136</x:v>
      </x:c>
      <x:c r="H2433" s="274" t="n">
        <x:v>45</x:v>
      </x:c>
      <x:c r="I2433" s="274" t="n">
        <x:v>2</x:v>
      </x:c>
      <x:c r="J2433" s="274" t="n">
        <x:v>195</x:v>
      </x:c>
      <x:c r="K2433" s="274" t="n">
        <x:v>174</x:v>
      </x:c>
      <x:c r="M2433" s="274" t="s">
        <x:v>426</x:v>
      </x:c>
      <x:c r="N2433" s="274" t="s">
        <x:v>131</x:v>
      </x:c>
    </x:row>
    <x:row r="2434" spans="1:14">
      <x:c r="A2434" s="274" t="s">
        <x:v>4641</x:v>
      </x:c>
      <x:c r="B2434" s="274" t="n">
        <x:v>2.88</x:v>
      </x:c>
      <x:c r="C2434" s="274" t="n">
        <x:v>0</x:v>
      </x:c>
      <x:c r="D2434" s="274" t="n">
        <x:v>0</x:v>
      </x:c>
      <x:c r="F2434" s="274" t="s">
        <x:v>133</x:v>
      </x:c>
      <x:c r="G2434" s="274" t="s">
        <x:v>4642</x:v>
      </x:c>
      <x:c r="H2434" s="274" t="s">
        <x:v>4471</x:v>
      </x:c>
      <x:c r="I2434" s="274" t="n">
        <x:v>1</x:v>
      </x:c>
      <x:c r="J2434" s="274" t="n">
        <x:v>944</x:v>
      </x:c>
      <x:c r="K2434" s="274" t="n">
        <x:v>388</x:v>
      </x:c>
      <x:c r="M2434" s="274" t="s">
        <x:v>4643</x:v>
      </x:c>
      <x:c r="N2434" s="274" t="s">
        <x:v>4258</x:v>
      </x:c>
    </x:row>
    <x:row r="2435" spans="1:14">
      <x:c r="A2435" s="274" t="s">
        <x:v>4644</x:v>
      </x:c>
      <x:c r="B2435" s="274" t="n">
        <x:v>2.22</x:v>
      </x:c>
      <x:c r="C2435" s="274" t="n">
        <x:v>0</x:v>
      </x:c>
      <x:c r="D2435" s="274" t="n">
        <x:v>0</x:v>
      </x:c>
      <x:c r="F2435" s="274" t="s">
        <x:v>133</x:v>
      </x:c>
      <x:c r="G2435" s="274" t="s">
        <x:v>134</x:v>
      </x:c>
      <x:c r="I2435" s="274" t="n">
        <x:v>2.8</x:v>
      </x:c>
      <x:c r="J2435" s="274" t="n">
        <x:v>237</x:v>
      </x:c>
      <x:c r="K2435" s="274" t="n">
        <x:v>427</x:v>
      </x:c>
      <x:c r="M2435" s="274" t="s">
        <x:v>4645</x:v>
      </x:c>
      <x:c r="N2435" s="274" t="s">
        <x:v>3671</x:v>
      </x:c>
    </x:row>
    <x:row r="2436" spans="1:14">
      <x:c r="A2436" s="274" t="s">
        <x:v>4646</x:v>
      </x:c>
      <x:c r="B2436" s="274" t="n">
        <x:v>0.82</x:v>
      </x:c>
      <x:c r="C2436" s="274" t="n">
        <x:v>0</x:v>
      </x:c>
      <x:c r="D2436" s="274" t="n">
        <x:v>0</x:v>
      </x:c>
      <x:c r="F2436" s="274" t="s">
        <x:v>333</x:v>
      </x:c>
      <x:c r="G2436" s="274" t="s">
        <x:v>209</x:v>
      </x:c>
      <x:c r="I2436" s="274" t="n">
        <x:v>1.4</x:v>
      </x:c>
      <x:c r="J2436" s="274" t="n">
        <x:v>210</x:v>
      </x:c>
      <x:c r="K2436" s="274" t="n">
        <x:v>355</x:v>
      </x:c>
      <x:c r="M2436" s="274" t="s">
        <x:v>4647</x:v>
      </x:c>
      <x:c r="N2436" s="274" t="s">
        <x:v>3671</x:v>
      </x:c>
    </x:row>
    <x:row r="2437" spans="1:14">
      <x:c r="A2437" s="274" t="s">
        <x:v>4648</x:v>
      </x:c>
      <x:c r="B2437" s="274" t="n">
        <x:v>3.3</x:v>
      </x:c>
      <x:c r="C2437" s="274" t="n">
        <x:v>0</x:v>
      </x:c>
      <x:c r="D2437" s="274" t="n">
        <x:v>0</x:v>
      </x:c>
      <x:c r="F2437" s="274" t="s">
        <x:v>123</x:v>
      </x:c>
      <x:c r="G2437" s="274" t="s">
        <x:v>148</x:v>
      </x:c>
      <x:c r="I2437" s="274" t="n">
        <x:v>1.8</x:v>
      </x:c>
      <x:c r="J2437" s="274" t="n">
        <x:v>596</x:v>
      </x:c>
      <x:c r="K2437" s="274" t="n">
        <x:v>392</x:v>
      </x:c>
      <x:c r="M2437" s="274" t="s">
        <x:v>4649</x:v>
      </x:c>
      <x:c r="N2437" s="274" t="s">
        <x:v>3671</x:v>
      </x:c>
    </x:row>
    <x:row r="2438" spans="1:14">
      <x:c r="A2438" s="274" t="s">
        <x:v>4650</x:v>
      </x:c>
      <x:c r="B2438" s="274" t="n">
        <x:v>0.55</x:v>
      </x:c>
      <x:c r="C2438" s="274" t="n">
        <x:v>0</x:v>
      </x:c>
      <x:c r="D2438" s="274" t="n">
        <x:v>0</x:v>
      </x:c>
      <x:c r="F2438" s="274" t="s">
        <x:v>333</x:v>
      </x:c>
      <x:c r="G2438" s="274" t="s">
        <x:v>209</x:v>
      </x:c>
      <x:c r="I2438" s="274" t="n">
        <x:v>1.2</x:v>
      </x:c>
      <x:c r="J2438" s="274" t="n">
        <x:v>148</x:v>
      </x:c>
      <x:c r="K2438" s="274" t="n">
        <x:v>396</x:v>
      </x:c>
      <x:c r="M2438" s="274" t="s">
        <x:v>4651</x:v>
      </x:c>
      <x:c r="N2438" s="274" t="s">
        <x:v>3671</x:v>
      </x:c>
    </x:row>
    <x:row r="2439" spans="1:14">
      <x:c r="A2439" s="274" t="s">
        <x:v>4652</x:v>
      </x:c>
      <x:c r="B2439" s="274" t="n">
        <x:v>1.23</x:v>
      </x:c>
      <x:c r="C2439" s="274" t="n">
        <x:v>0</x:v>
      </x:c>
      <x:c r="D2439" s="274" t="n">
        <x:v>0</x:v>
      </x:c>
      <x:c r="F2439" s="274" t="s">
        <x:v>123</x:v>
      </x:c>
      <x:c r="G2439" s="274" t="s">
        <x:v>148</x:v>
      </x:c>
      <x:c r="I2439" s="274" t="n">
        <x:v>1.8</x:v>
      </x:c>
      <x:c r="J2439" s="274" t="n">
        <x:v>389</x:v>
      </x:c>
      <x:c r="K2439" s="274" t="n">
        <x:v>224</x:v>
      </x:c>
      <x:c r="M2439" s="274" t="s">
        <x:v>4653</x:v>
      </x:c>
      <x:c r="N2439" s="274" t="s">
        <x:v>3671</x:v>
      </x:c>
    </x:row>
    <x:row r="2440" spans="1:14">
      <x:c r="A2440" s="274" t="s">
        <x:v>4654</x:v>
      </x:c>
      <x:c r="B2440" s="274" t="n">
        <x:v>2.7</x:v>
      </x:c>
      <x:c r="C2440" s="274" t="n">
        <x:v>0</x:v>
      </x:c>
      <x:c r="D2440" s="274" t="n">
        <x:v>0</x:v>
      </x:c>
      <x:c r="F2440" s="274" t="s">
        <x:v>333</x:v>
      </x:c>
      <x:c r="G2440" s="274" t="s">
        <x:v>209</x:v>
      </x:c>
      <x:c r="I2440" s="274" t="n">
        <x:v>1.2</x:v>
      </x:c>
      <x:c r="J2440" s="274" t="n">
        <x:v>734</x:v>
      </x:c>
      <x:c r="K2440" s="274" t="n">
        <x:v>390</x:v>
      </x:c>
      <x:c r="M2440" s="274" t="s">
        <x:v>4655</x:v>
      </x:c>
      <x:c r="N2440" s="274" t="s">
        <x:v>3671</x:v>
      </x:c>
    </x:row>
    <x:row r="2441" spans="1:14">
      <x:c r="A2441" s="274" t="s">
        <x:v>4656</x:v>
      </x:c>
      <x:c r="B2441" s="274" t="n">
        <x:v>0.64</x:v>
      </x:c>
      <x:c r="C2441" s="274" t="n">
        <x:v>0</x:v>
      </x:c>
      <x:c r="D2441" s="274" t="n">
        <x:v>0</x:v>
      </x:c>
      <x:c r="F2441" s="274" t="s">
        <x:v>123</x:v>
      </x:c>
      <x:c r="G2441" s="274" t="s">
        <x:v>136</x:v>
      </x:c>
      <x:c r="H2441" s="274" t="n">
        <x:v>45</x:v>
      </x:c>
      <x:c r="I2441" s="274" t="n">
        <x:v>0.55</x:v>
      </x:c>
      <x:c r="J2441" s="274" t="n">
        <x:v>1055</x:v>
      </x:c>
      <x:c r="K2441" s="274" t="n">
        <x:v>138</x:v>
      </x:c>
      <x:c r="M2441" s="274" t="s">
        <x:v>4657</x:v>
      </x:c>
      <x:c r="N2441" s="274" t="s">
        <x:v>3671</x:v>
      </x:c>
    </x:row>
    <x:row r="2442" spans="1:14">
      <x:c r="A2442" s="274" t="s">
        <x:v>4658</x:v>
      </x:c>
      <x:c r="B2442" s="274" t="n">
        <x:v>5.79</x:v>
      </x:c>
      <x:c r="C2442" s="274" t="n">
        <x:v>0</x:v>
      </x:c>
      <x:c r="D2442" s="274" t="n">
        <x:v>45</x:v>
      </x:c>
      <x:c r="E2442" s="274" t="n">
        <x:v>40</x:v>
      </x:c>
      <x:c r="F2442" s="274" t="s">
        <x:v>123</x:v>
      </x:c>
      <x:c r="G2442" s="274" t="s">
        <x:v>4256</x:v>
      </x:c>
      <x:c r="I2442" s="274" t="n">
        <x:v>1.6</x:v>
      </x:c>
      <x:c r="J2442" s="274" t="n">
        <x:v>1000</x:v>
      </x:c>
      <x:c r="K2442" s="274" t="n">
        <x:v>461</x:v>
      </x:c>
      <x:c r="M2442" s="274" t="s">
        <x:v>4659</x:v>
      </x:c>
      <x:c r="N2442" s="274" t="s">
        <x:v>4258</x:v>
      </x:c>
    </x:row>
    <x:row r="2443" spans="1:14">
      <x:c r="A2443" s="274" t="s">
        <x:v>4660</x:v>
      </x:c>
      <x:c r="B2443" s="274" t="n">
        <x:v>1.41</x:v>
      </x:c>
      <x:c r="C2443" s="274" t="n">
        <x:v>0</x:v>
      </x:c>
      <x:c r="D2443" s="274" t="n">
        <x:v>0</x:v>
      </x:c>
      <x:c r="F2443" s="274" t="s">
        <x:v>123</x:v>
      </x:c>
      <x:c r="G2443" s="274" t="s">
        <x:v>4256</x:v>
      </x:c>
      <x:c r="I2443" s="274" t="n">
        <x:v>1</x:v>
      </x:c>
      <x:c r="J2443" s="274" t="n">
        <x:v>775</x:v>
      </x:c>
      <x:c r="K2443" s="274" t="n">
        <x:v>232</x:v>
      </x:c>
      <x:c r="M2443" s="274" t="s">
        <x:v>4661</x:v>
      </x:c>
      <x:c r="N2443" s="274" t="s">
        <x:v>4258</x:v>
      </x:c>
    </x:row>
    <x:row r="2444" spans="1:14">
      <x:c r="A2444" s="274" t="s">
        <x:v>4662</x:v>
      </x:c>
      <x:c r="B2444" s="274" t="n">
        <x:v>0.36</x:v>
      </x:c>
      <x:c r="C2444" s="274" t="n">
        <x:v>0</x:v>
      </x:c>
      <x:c r="D2444" s="274" t="n">
        <x:v>0</x:v>
      </x:c>
      <x:c r="F2444" s="274" t="s">
        <x:v>333</x:v>
      </x:c>
      <x:c r="G2444" s="274" t="s">
        <x:v>4663</x:v>
      </x:c>
      <x:c r="I2444" s="274" t="n">
        <x:v>1.2</x:v>
      </x:c>
      <x:c r="J2444" s="274" t="n">
        <x:v>175</x:v>
      </x:c>
      <x:c r="K2444" s="274" t="n">
        <x:v>221</x:v>
      </x:c>
      <x:c r="M2444" s="274" t="s">
        <x:v>4664</x:v>
      </x:c>
      <x:c r="N2444" s="274" t="s">
        <x:v>4258</x:v>
      </x:c>
    </x:row>
    <x:row r="2445" spans="1:14">
      <x:c r="A2445" s="274" t="s">
        <x:v>4665</x:v>
      </x:c>
      <x:c r="B2445" s="274" t="n">
        <x:v>0.45</x:v>
      </x:c>
      <x:c r="C2445" s="274" t="n">
        <x:v>0</x:v>
      </x:c>
      <x:c r="D2445" s="274" t="n">
        <x:v>0</x:v>
      </x:c>
      <x:c r="F2445" s="274" t="s">
        <x:v>133</x:v>
      </x:c>
      <x:c r="G2445" s="274" t="s">
        <x:v>4329</x:v>
      </x:c>
      <x:c r="I2445" s="274" t="n">
        <x:v>2</x:v>
      </x:c>
      <x:c r="J2445" s="274" t="n">
        <x:v>66</x:v>
      </x:c>
      <x:c r="K2445" s="274" t="n">
        <x:v>433</x:v>
      </x:c>
      <x:c r="M2445" s="274" t="s">
        <x:v>4666</x:v>
      </x:c>
      <x:c r="N2445" s="274" t="s">
        <x:v>4258</x:v>
      </x:c>
    </x:row>
    <x:row r="2446" spans="1:14">
      <x:c r="A2446" s="274" t="s">
        <x:v>4667</x:v>
      </x:c>
      <x:c r="B2446" s="274" t="n">
        <x:v>4.51</x:v>
      </x:c>
      <x:c r="C2446" s="274" t="n">
        <x:v>0</x:v>
      </x:c>
      <x:c r="D2446" s="274" t="n">
        <x:v>0</x:v>
      </x:c>
      <x:c r="F2446" s="274" t="s">
        <x:v>333</x:v>
      </x:c>
      <x:c r="G2446" s="274" t="s">
        <x:v>4663</x:v>
      </x:c>
      <x:c r="I2446" s="274" t="n">
        <x:v>1.2</x:v>
      </x:c>
      <x:c r="J2446" s="274" t="n">
        <x:v>399</x:v>
      </x:c>
      <x:c r="K2446" s="274" t="n">
        <x:v>1200</x:v>
      </x:c>
      <x:c r="M2446" s="274" t="s">
        <x:v>4668</x:v>
      </x:c>
      <x:c r="N2446" s="274" t="s">
        <x:v>4258</x:v>
      </x:c>
    </x:row>
    <x:row r="2447" spans="1:14">
      <x:c r="A2447" s="274" t="s">
        <x:v>4669</x:v>
      </x:c>
      <x:c r="B2447" s="274" t="n">
        <x:v>1.53</x:v>
      </x:c>
      <x:c r="C2447" s="274" t="n">
        <x:v>0</x:v>
      </x:c>
      <x:c r="D2447" s="274" t="n">
        <x:v>0</x:v>
      </x:c>
      <x:c r="F2447" s="274" t="s">
        <x:v>333</x:v>
      </x:c>
      <x:c r="G2447" s="274" t="s">
        <x:v>4663</x:v>
      </x:c>
      <x:c r="I2447" s="274" t="n">
        <x:v>1.2</x:v>
      </x:c>
      <x:c r="J2447" s="274" t="n">
        <x:v>250</x:v>
      </x:c>
      <x:c r="K2447" s="274" t="n">
        <x:v>650</x:v>
      </x:c>
      <x:c r="M2447" s="274" t="s">
        <x:v>4670</x:v>
      </x:c>
      <x:c r="N2447" s="274" t="s">
        <x:v>4258</x:v>
      </x:c>
    </x:row>
    <x:row r="2448" spans="1:14">
      <x:c r="A2448" s="274" t="s">
        <x:v>4671</x:v>
      </x:c>
      <x:c r="B2448" s="274" t="n">
        <x:v>0.42</x:v>
      </x:c>
      <x:c r="C2448" s="274" t="n">
        <x:v>0</x:v>
      </x:c>
      <x:c r="D2448" s="274" t="n">
        <x:v>0</x:v>
      </x:c>
      <x:c r="F2448" s="274" t="s">
        <x:v>133</x:v>
      </x:c>
      <x:c r="G2448" s="274" t="s">
        <x:v>4470</x:v>
      </x:c>
      <x:c r="H2448" s="274" t="s">
        <x:v>4471</x:v>
      </x:c>
      <x:c r="I2448" s="274" t="n">
        <x:v>1</x:v>
      </x:c>
      <x:c r="J2448" s="274" t="n">
        <x:v>110</x:v>
      </x:c>
      <x:c r="K2448" s="274" t="n">
        <x:v>491</x:v>
      </x:c>
      <x:c r="M2448" s="274" t="s">
        <x:v>4672</x:v>
      </x:c>
      <x:c r="N2448" s="274" t="s">
        <x:v>4258</x:v>
      </x:c>
    </x:row>
    <x:row r="2449" spans="1:14">
      <x:c r="A2449" s="274" t="s">
        <x:v>4673</x:v>
      </x:c>
      <x:c r="B2449" s="274" t="n">
        <x:v>0.23</x:v>
      </x:c>
      <x:c r="C2449" s="274" t="n">
        <x:v>34</x:v>
      </x:c>
      <x:c r="D2449" s="274" t="n">
        <x:v>36</x:v>
      </x:c>
      <x:c r="E2449" s="274" t="n">
        <x:v>33</x:v>
      </x:c>
      <x:c r="F2449" s="274" t="s">
        <x:v>333</x:v>
      </x:c>
      <x:c r="G2449" s="274" t="s">
        <x:v>153</x:v>
      </x:c>
      <x:c r="I2449" s="274" t="n">
        <x:v>1.6</x:v>
      </x:c>
      <x:c r="J2449" s="274" t="n">
        <x:v>123</x:v>
      </x:c>
      <x:c r="K2449" s="274" t="n">
        <x:v>152</x:v>
      </x:c>
      <x:c r="M2449" s="274" t="s">
        <x:v>3765</x:v>
      </x:c>
      <x:c r="N2449" s="274" t="s">
        <x:v>4250</x:v>
      </x:c>
    </x:row>
    <x:row r="2450" spans="1:14">
      <x:c r="A2450" s="274" t="s">
        <x:v>4674</x:v>
      </x:c>
      <x:c r="B2450" s="274" t="n">
        <x:v>0.71</x:v>
      </x:c>
      <x:c r="C2450" s="274" t="n">
        <x:v>30</x:v>
      </x:c>
      <x:c r="D2450" s="274" t="n">
        <x:v>32</x:v>
      </x:c>
      <x:c r="E2450" s="274" t="n">
        <x:v>30</x:v>
      </x:c>
      <x:c r="F2450" s="274" t="s">
        <x:v>184</x:v>
      </x:c>
      <x:c r="G2450" s="274" t="s">
        <x:v>129</x:v>
      </x:c>
      <x:c r="H2450" s="274" t="n">
        <x:v>45</x:v>
      </x:c>
      <x:c r="I2450" s="274" t="n">
        <x:v>1.6</x:v>
      </x:c>
      <x:c r="J2450" s="274" t="n">
        <x:v>164</x:v>
      </x:c>
      <x:c r="K2450" s="274" t="n">
        <x:v>340</x:v>
      </x:c>
      <x:c r="M2450" s="274" t="s">
        <x:v>4675</x:v>
      </x:c>
      <x:c r="N2450" s="274" t="s">
        <x:v>4250</x:v>
      </x:c>
    </x:row>
    <x:row r="2451" spans="1:14">
      <x:c r="A2451" s="274" t="s">
        <x:v>4676</x:v>
      </x:c>
      <x:c r="B2451" s="274" t="n">
        <x:v>11.12</x:v>
      </x:c>
      <x:c r="C2451" s="274" t="n">
        <x:v>0</x:v>
      </x:c>
      <x:c r="D2451" s="274" t="n">
        <x:v>40</x:v>
      </x:c>
      <x:c r="E2451" s="274" t="n">
        <x:v>35</x:v>
      </x:c>
      <x:c r="F2451" s="274" t="s">
        <x:v>123</x:v>
      </x:c>
      <x:c r="G2451" s="274" t="s">
        <x:v>4256</x:v>
      </x:c>
      <x:c r="I2451" s="274" t="n">
        <x:v>1</x:v>
      </x:c>
      <x:c r="J2451" s="274" t="n">
        <x:v>1180</x:v>
      </x:c>
      <x:c r="K2451" s="274" t="n">
        <x:v>1200</x:v>
      </x:c>
      <x:c r="M2451" s="274" t="s">
        <x:v>4677</x:v>
      </x:c>
      <x:c r="N2451" s="274" t="s">
        <x:v>4258</x:v>
      </x:c>
    </x:row>
    <x:row r="2452" spans="1:14">
      <x:c r="A2452" s="274" t="s">
        <x:v>4678</x:v>
      </x:c>
      <x:c r="B2452" s="274" t="n">
        <x:v>8.13</x:v>
      </x:c>
      <x:c r="C2452" s="274" t="n">
        <x:v>0</x:v>
      </x:c>
      <x:c r="D2452" s="274" t="n">
        <x:v>0</x:v>
      </x:c>
      <x:c r="F2452" s="274" t="s">
        <x:v>128</x:v>
      </x:c>
      <x:c r="G2452" s="274" t="s">
        <x:v>3314</x:v>
      </x:c>
      <x:c r="H2452" s="274" t="n">
        <x:v>45</x:v>
      </x:c>
      <x:c r="I2452" s="274" t="n">
        <x:v>3.2</x:v>
      </x:c>
      <x:c r="J2452" s="274" t="n">
        <x:v>258</x:v>
      </x:c>
      <x:c r="K2452" s="274" t="n">
        <x:v>1250</x:v>
      </x:c>
      <x:c r="M2452" s="274" t="s">
        <x:v>4053</x:v>
      </x:c>
      <x:c r="N2452" s="274" t="s">
        <x:v>3671</x:v>
      </x:c>
    </x:row>
    <x:row r="2453" spans="1:14">
      <x:c r="A2453" s="274" t="s">
        <x:v>4679</x:v>
      </x:c>
      <x:c r="B2453" s="274" t="n">
        <x:v>1.88</x:v>
      </x:c>
      <x:c r="C2453" s="274" t="n">
        <x:v>0</x:v>
      </x:c>
      <x:c r="D2453" s="274" t="n">
        <x:v>35</x:v>
      </x:c>
      <x:c r="E2453" s="274" t="n">
        <x:v>33</x:v>
      </x:c>
      <x:c r="F2453" s="274" t="s">
        <x:v>333</x:v>
      </x:c>
      <x:c r="G2453" s="274" t="s">
        <x:v>4663</x:v>
      </x:c>
      <x:c r="I2453" s="274" t="n">
        <x:v>1.2</x:v>
      </x:c>
      <x:c r="J2453" s="274" t="n">
        <x:v>325</x:v>
      </x:c>
      <x:c r="K2453" s="274" t="n">
        <x:v>615</x:v>
      </x:c>
      <x:c r="M2453" s="274" t="s">
        <x:v>4680</x:v>
      </x:c>
      <x:c r="N2453" s="274" t="s">
        <x:v>4258</x:v>
      </x:c>
    </x:row>
    <x:row r="2454" spans="1:14">
      <x:c r="A2454" s="274" t="s">
        <x:v>4681</x:v>
      </x:c>
      <x:c r="B2454" s="274" t="n">
        <x:v>1.2</x:v>
      </x:c>
      <x:c r="C2454" s="274" t="n">
        <x:v>0</x:v>
      </x:c>
      <x:c r="D2454" s="274" t="n">
        <x:v>30</x:v>
      </x:c>
      <x:c r="E2454" s="274" t="n">
        <x:v>0</x:v>
      </x:c>
      <x:c r="F2454" s="274" t="s">
        <x:v>333</x:v>
      </x:c>
      <x:c r="G2454" s="274" t="s">
        <x:v>4663</x:v>
      </x:c>
      <x:c r="I2454" s="274" t="n">
        <x:v>1.2</x:v>
      </x:c>
      <x:c r="J2454" s="274" t="n">
        <x:v>360</x:v>
      </x:c>
      <x:c r="K2454" s="274" t="n">
        <x:v>460</x:v>
      </x:c>
      <x:c r="L2454" s="274" t="n">
        <x:v>250</x:v>
      </x:c>
      <x:c r="M2454" s="274" t="s">
        <x:v>4670</x:v>
      </x:c>
      <x:c r="N2454" s="274" t="s">
        <x:v>4258</x:v>
      </x:c>
    </x:row>
    <x:row r="2455" spans="1:14">
      <x:c r="A2455" s="274" t="s">
        <x:v>4682</x:v>
      </x:c>
      <x:c r="B2455" s="274" t="n">
        <x:v>9.81</x:v>
      </x:c>
      <x:c r="C2455" s="274" t="n">
        <x:v>0</x:v>
      </x:c>
      <x:c r="D2455" s="274" t="n">
        <x:v>0</x:v>
      </x:c>
      <x:c r="F2455" s="274" t="s">
        <x:v>133</x:v>
      </x:c>
      <x:c r="G2455" s="274" t="s">
        <x:v>1636</x:v>
      </x:c>
      <x:c r="I2455" s="274" t="n">
        <x:v>9</x:v>
      </x:c>
      <x:c r="J2455" s="274" t="n">
        <x:v>111</x:v>
      </x:c>
      <x:c r="K2455" s="274" t="n">
        <x:v>1250</x:v>
      </x:c>
      <x:c r="M2455" s="274" t="s">
        <x:v>4099</x:v>
      </x:c>
      <x:c r="N2455" s="274" t="s">
        <x:v>3671</x:v>
      </x:c>
    </x:row>
    <x:row r="2456" spans="1:14">
      <x:c r="A2456" s="274" t="s">
        <x:v>4683</x:v>
      </x:c>
      <x:c r="B2456" s="274" t="n">
        <x:v>9.45</x:v>
      </x:c>
      <x:c r="C2456" s="274" t="n">
        <x:v>0</x:v>
      </x:c>
      <x:c r="D2456" s="274" t="n">
        <x:v>45</x:v>
      </x:c>
      <x:c r="E2456" s="274" t="n">
        <x:v>40</x:v>
      </x:c>
      <x:c r="F2456" s="274" t="s">
        <x:v>1980</x:v>
      </x:c>
      <x:c r="G2456" s="274" t="s">
        <x:v>1981</x:v>
      </x:c>
      <x:c r="I2456" s="274" t="n">
        <x:v>1</x:v>
      </x:c>
      <x:c r="J2456" s="274" t="n">
        <x:v>1450</x:v>
      </x:c>
      <x:c r="K2456" s="274" t="n">
        <x:v>830</x:v>
      </x:c>
      <x:c r="M2456" s="274" t="s">
        <x:v>4684</x:v>
      </x:c>
    </x:row>
    <x:row r="2457" spans="1:14">
      <x:c r="A2457" s="274" t="s">
        <x:v>4685</x:v>
      </x:c>
      <x:c r="B2457" s="274" t="n">
        <x:v>3.5</x:v>
      </x:c>
      <x:c r="C2457" s="274" t="n">
        <x:v>0</x:v>
      </x:c>
      <x:c r="D2457" s="274" t="n">
        <x:v>23</x:v>
      </x:c>
      <x:c r="E2457" s="274" t="n">
        <x:v>0</x:v>
      </x:c>
      <x:c r="F2457" s="274" t="s">
        <x:v>1980</x:v>
      </x:c>
      <x:c r="G2457" s="274" t="s">
        <x:v>1981</x:v>
      </x:c>
      <x:c r="I2457" s="274" t="n">
        <x:v>0.7</x:v>
      </x:c>
      <x:c r="J2457" s="274" t="n">
        <x:v>315</x:v>
      </x:c>
      <x:c r="K2457" s="274" t="n">
        <x:v>2020</x:v>
      </x:c>
      <x:c r="M2457" s="274" t="s">
        <x:v>4686</x:v>
      </x:c>
    </x:row>
    <x:row r="2458" spans="1:14">
      <x:c r="A2458" s="274" t="s">
        <x:v>4687</x:v>
      </x:c>
      <x:c r="B2458" s="274" t="n">
        <x:v>0.36</x:v>
      </x:c>
      <x:c r="C2458" s="274" t="n">
        <x:v>0</x:v>
      </x:c>
      <x:c r="D2458" s="274" t="n">
        <x:v>0</x:v>
      </x:c>
      <x:c r="F2458" s="274" t="s">
        <x:v>333</x:v>
      </x:c>
      <x:c r="G2458" s="274" t="s">
        <x:v>4663</x:v>
      </x:c>
      <x:c r="I2458" s="274" t="n">
        <x:v>1.2</x:v>
      </x:c>
      <x:c r="J2458" s="274" t="n">
        <x:v>175</x:v>
      </x:c>
      <x:c r="K2458" s="274" t="n">
        <x:v>221</x:v>
      </x:c>
      <x:c r="M2458" s="274" t="s">
        <x:v>4664</x:v>
      </x:c>
      <x:c r="N2458" s="274" t="s">
        <x:v>4258</x:v>
      </x:c>
    </x:row>
    <x:row r="2459" spans="1:14">
      <x:c r="A2459" s="274" t="s">
        <x:v>4688</x:v>
      </x:c>
      <x:c r="B2459" s="274" t="n">
        <x:v>1.94</x:v>
      </x:c>
      <x:c r="C2459" s="274" t="n">
        <x:v>0</x:v>
      </x:c>
      <x:c r="D2459" s="274" t="n">
        <x:v>0</x:v>
      </x:c>
      <x:c r="F2459" s="274" t="s">
        <x:v>333</x:v>
      </x:c>
      <x:c r="G2459" s="274" t="s">
        <x:v>4663</x:v>
      </x:c>
      <x:c r="I2459" s="274" t="n">
        <x:v>1.2</x:v>
      </x:c>
      <x:c r="J2459" s="274" t="n">
        <x:v>172</x:v>
      </x:c>
      <x:c r="K2459" s="274" t="n">
        <x:v>1200</x:v>
      </x:c>
      <x:c r="M2459" s="274" t="s">
        <x:v>4689</x:v>
      </x:c>
      <x:c r="N2459" s="274" t="s">
        <x:v>4258</x:v>
      </x:c>
    </x:row>
    <x:row r="2460" spans="1:14">
      <x:c r="A2460" s="274" t="s">
        <x:v>4690</x:v>
      </x:c>
      <x:c r="B2460" s="274" t="n">
        <x:v>1.64</x:v>
      </x:c>
      <x:c r="C2460" s="274" t="n">
        <x:v>0</x:v>
      </x:c>
      <x:c r="D2460" s="274" t="n">
        <x:v>0</x:v>
      </x:c>
      <x:c r="F2460" s="274" t="s">
        <x:v>333</x:v>
      </x:c>
      <x:c r="G2460" s="274" t="s">
        <x:v>4663</x:v>
      </x:c>
      <x:c r="I2460" s="274" t="n">
        <x:v>1.2</x:v>
      </x:c>
      <x:c r="J2460" s="274" t="n">
        <x:v>915</x:v>
      </x:c>
      <x:c r="K2460" s="274" t="n">
        <x:v>190</x:v>
      </x:c>
      <x:c r="M2460" s="274" t="s">
        <x:v>4691</x:v>
      </x:c>
      <x:c r="N2460" s="274" t="s">
        <x:v>4258</x:v>
      </x:c>
    </x:row>
    <x:row r="2461" spans="1:14">
      <x:c r="A2461" s="274" t="s">
        <x:v>4692</x:v>
      </x:c>
      <x:c r="B2461" s="274" t="n">
        <x:v>1.53</x:v>
      </x:c>
      <x:c r="C2461" s="274" t="n">
        <x:v>0</x:v>
      </x:c>
      <x:c r="D2461" s="274" t="n">
        <x:v>0</x:v>
      </x:c>
      <x:c r="F2461" s="274" t="s">
        <x:v>333</x:v>
      </x:c>
      <x:c r="G2461" s="274" t="s">
        <x:v>4663</x:v>
      </x:c>
      <x:c r="I2461" s="274" t="n">
        <x:v>1.2</x:v>
      </x:c>
      <x:c r="J2461" s="274" t="n">
        <x:v>250</x:v>
      </x:c>
      <x:c r="K2461" s="274" t="n">
        <x:v>650</x:v>
      </x:c>
      <x:c r="M2461" s="274" t="s">
        <x:v>4693</x:v>
      </x:c>
      <x:c r="N2461" s="274" t="s">
        <x:v>4258</x:v>
      </x:c>
    </x:row>
    <x:row r="2462" spans="1:14">
      <x:c r="A2462" s="274" t="s">
        <x:v>4694</x:v>
      </x:c>
      <x:c r="B2462" s="274" t="n">
        <x:v>0.42</x:v>
      </x:c>
      <x:c r="C2462" s="274" t="n">
        <x:v>0</x:v>
      </x:c>
      <x:c r="D2462" s="274" t="n">
        <x:v>0</x:v>
      </x:c>
      <x:c r="F2462" s="274" t="s">
        <x:v>133</x:v>
      </x:c>
      <x:c r="G2462" s="274" t="s">
        <x:v>4470</x:v>
      </x:c>
      <x:c r="H2462" s="274" t="s">
        <x:v>4471</x:v>
      </x:c>
      <x:c r="I2462" s="274" t="n">
        <x:v>1</x:v>
      </x:c>
      <x:c r="J2462" s="274" t="n">
        <x:v>110</x:v>
      </x:c>
      <x:c r="K2462" s="274" t="n">
        <x:v>491</x:v>
      </x:c>
      <x:c r="M2462" s="274" t="s">
        <x:v>4672</x:v>
      </x:c>
      <x:c r="N2462" s="274" t="s">
        <x:v>4258</x:v>
      </x:c>
    </x:row>
    <x:row r="2463" spans="1:14">
      <x:c r="A2463" s="274" t="s">
        <x:v>4695</x:v>
      </x:c>
      <x:c r="B2463" s="274" t="n">
        <x:v>2.06</x:v>
      </x:c>
      <x:c r="C2463" s="274" t="n">
        <x:v>0</x:v>
      </x:c>
      <x:c r="D2463" s="274" t="n">
        <x:v>0</x:v>
      </x:c>
      <x:c r="F2463" s="274" t="s">
        <x:v>333</x:v>
      </x:c>
      <x:c r="G2463" s="274" t="s">
        <x:v>4663</x:v>
      </x:c>
      <x:c r="I2463" s="274" t="n">
        <x:v>1.2</x:v>
      </x:c>
      <x:c r="J2463" s="274" t="n">
        <x:v>935</x:v>
      </x:c>
      <x:c r="K2463" s="274" t="n">
        <x:v>234</x:v>
      </x:c>
      <x:c r="M2463" s="274" t="s">
        <x:v>4696</x:v>
      </x:c>
      <x:c r="N2463" s="274" t="s">
        <x:v>4258</x:v>
      </x:c>
    </x:row>
    <x:row r="2464" spans="1:14">
      <x:c r="A2464" s="274" t="s">
        <x:v>4697</x:v>
      </x:c>
      <x:c r="B2464" s="274" t="n">
        <x:v>1.66</x:v>
      </x:c>
      <x:c r="C2464" s="274" t="n">
        <x:v>0</x:v>
      </x:c>
      <x:c r="D2464" s="274" t="n">
        <x:v>0</x:v>
      </x:c>
      <x:c r="F2464" s="274" t="s">
        <x:v>333</x:v>
      </x:c>
      <x:c r="G2464" s="274" t="s">
        <x:v>4663</x:v>
      </x:c>
      <x:c r="I2464" s="274" t="n">
        <x:v>0.8</x:v>
      </x:c>
      <x:c r="J2464" s="274" t="n">
        <x:v>610</x:v>
      </x:c>
      <x:c r="K2464" s="274" t="n">
        <x:v>433</x:v>
      </x:c>
      <x:c r="M2464" s="274" t="s">
        <x:v>4698</x:v>
      </x:c>
      <x:c r="N2464" s="274" t="s">
        <x:v>4258</x:v>
      </x:c>
    </x:row>
    <x:row r="2465" spans="1:14">
      <x:c r="A2465" s="274" t="s">
        <x:v>4699</x:v>
      </x:c>
      <x:c r="B2465" s="274" t="n">
        <x:v>2.69</x:v>
      </x:c>
      <x:c r="C2465" s="274" t="n">
        <x:v>0</x:v>
      </x:c>
      <x:c r="D2465" s="274" t="n">
        <x:v>0</x:v>
      </x:c>
      <x:c r="F2465" s="274" t="s">
        <x:v>333</x:v>
      </x:c>
      <x:c r="G2465" s="274" t="s">
        <x:v>4663</x:v>
      </x:c>
      <x:c r="I2465" s="274" t="n">
        <x:v>1.2</x:v>
      </x:c>
      <x:c r="J2465" s="274" t="n">
        <x:v>710</x:v>
      </x:c>
      <x:c r="K2465" s="274" t="n">
        <x:v>402</x:v>
      </x:c>
      <x:c r="M2465" s="274" t="s">
        <x:v>4700</x:v>
      </x:c>
      <x:c r="N2465" s="274" t="s">
        <x:v>4258</x:v>
      </x:c>
    </x:row>
    <x:row r="2466" spans="1:14">
      <x:c r="A2466" s="274" t="s">
        <x:v>4701</x:v>
      </x:c>
      <x:c r="B2466" s="274" t="n">
        <x:v>1.88</x:v>
      </x:c>
      <x:c r="C2466" s="274" t="n">
        <x:v>0</x:v>
      </x:c>
      <x:c r="D2466" s="274" t="n">
        <x:v>0</x:v>
      </x:c>
      <x:c r="F2466" s="274" t="s">
        <x:v>333</x:v>
      </x:c>
      <x:c r="G2466" s="274" t="s">
        <x:v>4663</x:v>
      </x:c>
      <x:c r="I2466" s="274" t="n">
        <x:v>1.2</x:v>
      </x:c>
      <x:c r="J2466" s="274" t="n">
        <x:v>325</x:v>
      </x:c>
      <x:c r="K2466" s="274" t="n">
        <x:v>615</x:v>
      </x:c>
      <x:c r="M2466" s="274" t="s">
        <x:v>4680</x:v>
      </x:c>
      <x:c r="N2466" s="274" t="s">
        <x:v>4258</x:v>
      </x:c>
    </x:row>
    <x:row r="2467" spans="1:14">
      <x:c r="A2467" s="274" t="s">
        <x:v>4702</x:v>
      </x:c>
      <x:c r="B2467" s="274" t="n">
        <x:v>0.77</x:v>
      </x:c>
      <x:c r="C2467" s="274" t="n">
        <x:v>0</x:v>
      </x:c>
      <x:c r="D2467" s="274" t="n">
        <x:v>0</x:v>
      </x:c>
      <x:c r="F2467" s="274" t="s">
        <x:v>333</x:v>
      </x:c>
      <x:c r="G2467" s="274" t="s">
        <x:v>4663</x:v>
      </x:c>
      <x:c r="I2467" s="274" t="n">
        <x:v>1.2</x:v>
      </x:c>
      <x:c r="J2467" s="274" t="n">
        <x:v>815</x:v>
      </x:c>
      <x:c r="K2467" s="274" t="n">
        <x:v>100</x:v>
      </x:c>
      <x:c r="M2467" s="274" t="s">
        <x:v>4703</x:v>
      </x:c>
      <x:c r="N2467" s="274" t="s">
        <x:v>4258</x:v>
      </x:c>
    </x:row>
    <x:row r="2468" spans="1:14">
      <x:c r="A2468" s="274" t="s">
        <x:v>4704</x:v>
      </x:c>
      <x:c r="B2468" s="274" t="n">
        <x:v>1.64</x:v>
      </x:c>
      <x:c r="C2468" s="274" t="n">
        <x:v>0</x:v>
      </x:c>
      <x:c r="D2468" s="274" t="n">
        <x:v>0</x:v>
      </x:c>
      <x:c r="F2468" s="274" t="s">
        <x:v>333</x:v>
      </x:c>
      <x:c r="G2468" s="274" t="s">
        <x:v>4663</x:v>
      </x:c>
      <x:c r="I2468" s="274" t="n">
        <x:v>1.2</x:v>
      </x:c>
      <x:c r="J2468" s="274" t="n">
        <x:v>834</x:v>
      </x:c>
      <x:c r="K2468" s="274" t="n">
        <x:v>209</x:v>
      </x:c>
      <x:c r="M2468" s="274" t="s">
        <x:v>4705</x:v>
      </x:c>
      <x:c r="N2468" s="274" t="s">
        <x:v>4258</x:v>
      </x:c>
    </x:row>
    <x:row r="2469" spans="1:14">
      <x:c r="A2469" s="274" t="s">
        <x:v>4706</x:v>
      </x:c>
      <x:c r="B2469" s="274" t="n">
        <x:v>1.26</x:v>
      </x:c>
      <x:c r="C2469" s="274" t="n">
        <x:v>0</x:v>
      </x:c>
      <x:c r="D2469" s="274" t="n">
        <x:v>0</x:v>
      </x:c>
      <x:c r="F2469" s="274" t="s">
        <x:v>333</x:v>
      </x:c>
      <x:c r="G2469" s="274" t="s">
        <x:v>4663</x:v>
      </x:c>
      <x:c r="I2469" s="274" t="n">
        <x:v>1.2</x:v>
      </x:c>
      <x:c r="J2469" s="274" t="n">
        <x:v>920</x:v>
      </x:c>
      <x:c r="K2469" s="274" t="n">
        <x:v>145</x:v>
      </x:c>
      <x:c r="M2469" s="274" t="s">
        <x:v>4707</x:v>
      </x:c>
      <x:c r="N2469" s="274" t="s">
        <x:v>4258</x:v>
      </x:c>
    </x:row>
    <x:row r="2470" spans="1:14">
      <x:c r="A2470" s="274" t="s">
        <x:v>4708</x:v>
      </x:c>
      <x:c r="B2470" s="274" t="n">
        <x:v>3.12</x:v>
      </x:c>
      <x:c r="C2470" s="274" t="n">
        <x:v>0</x:v>
      </x:c>
      <x:c r="D2470" s="274" t="n">
        <x:v>0</x:v>
      </x:c>
      <x:c r="F2470" s="274" t="s">
        <x:v>333</x:v>
      </x:c>
      <x:c r="G2470" s="274" t="s">
        <x:v>4663</x:v>
      </x:c>
      <x:c r="I2470" s="274" t="n">
        <x:v>1.2</x:v>
      </x:c>
      <x:c r="J2470" s="274" t="n">
        <x:v>620</x:v>
      </x:c>
      <x:c r="K2470" s="274" t="n">
        <x:v>534</x:v>
      </x:c>
      <x:c r="M2470" s="274" t="s">
        <x:v>4709</x:v>
      </x:c>
      <x:c r="N2470" s="274" t="s">
        <x:v>4258</x:v>
      </x:c>
    </x:row>
    <x:row r="2471" spans="1:14">
      <x:c r="A2471" s="274" t="s">
        <x:v>4710</x:v>
      </x:c>
      <x:c r="B2471" s="274" t="n">
        <x:v>0.69</x:v>
      </x:c>
      <x:c r="C2471" s="274" t="n">
        <x:v>0</x:v>
      </x:c>
      <x:c r="D2471" s="274" t="n">
        <x:v>0</x:v>
      </x:c>
      <x:c r="F2471" s="274" t="s">
        <x:v>333</x:v>
      </x:c>
      <x:c r="G2471" s="274" t="s">
        <x:v>4663</x:v>
      </x:c>
      <x:c r="I2471" s="274" t="n">
        <x:v>0.8</x:v>
      </x:c>
      <x:c r="J2471" s="274" t="n">
        <x:v>483</x:v>
      </x:c>
      <x:c r="K2471" s="274" t="n">
        <x:v>227</x:v>
      </x:c>
      <x:c r="M2471" s="274" t="s">
        <x:v>4711</x:v>
      </x:c>
      <x:c r="N2471" s="274" t="s">
        <x:v>4258</x:v>
      </x:c>
    </x:row>
    <x:row r="2472" spans="1:14">
      <x:c r="A2472" s="274" t="s">
        <x:v>4712</x:v>
      </x:c>
      <x:c r="B2472" s="274" t="n">
        <x:v>0.33</x:v>
      </x:c>
      <x:c r="C2472" s="274" t="n">
        <x:v>0</x:v>
      </x:c>
      <x:c r="D2472" s="274" t="n">
        <x:v>0</x:v>
      </x:c>
      <x:c r="F2472" s="274" t="s">
        <x:v>333</x:v>
      </x:c>
      <x:c r="G2472" s="274" t="s">
        <x:v>4663</x:v>
      </x:c>
      <x:c r="I2472" s="274" t="n">
        <x:v>0.8</x:v>
      </x:c>
      <x:c r="J2472" s="274" t="n">
        <x:v>120</x:v>
      </x:c>
      <x:c r="K2472" s="274" t="n">
        <x:v>436</x:v>
      </x:c>
      <x:c r="M2472" s="274" t="s">
        <x:v>4713</x:v>
      </x:c>
      <x:c r="N2472" s="274" t="s">
        <x:v>4258</x:v>
      </x:c>
    </x:row>
    <x:row r="2473" spans="1:14">
      <x:c r="A2473" s="274" t="s">
        <x:v>4714</x:v>
      </x:c>
      <x:c r="B2473" s="274" t="n">
        <x:v>1.56</x:v>
      </x:c>
      <x:c r="C2473" s="274" t="n">
        <x:v>0</x:v>
      </x:c>
      <x:c r="D2473" s="274" t="n">
        <x:v>0</x:v>
      </x:c>
      <x:c r="F2473" s="274" t="s">
        <x:v>333</x:v>
      </x:c>
      <x:c r="G2473" s="274" t="s">
        <x:v>4663</x:v>
      </x:c>
      <x:c r="I2473" s="274" t="n">
        <x:v>1.2</x:v>
      </x:c>
      <x:c r="J2473" s="274" t="n">
        <x:v>360</x:v>
      </x:c>
      <x:c r="K2473" s="274" t="n">
        <x:v>460</x:v>
      </x:c>
      <x:c r="M2473" s="274" t="s">
        <x:v>4715</x:v>
      </x:c>
      <x:c r="N2473" s="274" t="s">
        <x:v>4258</x:v>
      </x:c>
    </x:row>
    <x:row r="2474" spans="1:14">
      <x:c r="A2474" s="274" t="s">
        <x:v>4716</x:v>
      </x:c>
      <x:c r="B2474" s="274" t="n">
        <x:v>0.66</x:v>
      </x:c>
      <x:c r="C2474" s="274" t="n">
        <x:v>0</x:v>
      </x:c>
      <x:c r="D2474" s="274" t="n">
        <x:v>0</x:v>
      </x:c>
      <x:c r="F2474" s="274" t="s">
        <x:v>333</x:v>
      </x:c>
      <x:c r="G2474" s="274" t="s">
        <x:v>4663</x:v>
      </x:c>
      <x:c r="I2474" s="274" t="n">
        <x:v>1.2</x:v>
      </x:c>
      <x:c r="J2474" s="274" t="n">
        <x:v>350</x:v>
      </x:c>
      <x:c r="K2474" s="274" t="n">
        <x:v>200</x:v>
      </x:c>
      <x:c r="M2474" s="274" t="s">
        <x:v>4717</x:v>
      </x:c>
      <x:c r="N2474" s="274" t="s">
        <x:v>4258</x:v>
      </x:c>
    </x:row>
    <x:row r="2475" spans="1:14">
      <x:c r="A2475" s="274" t="s">
        <x:v>4718</x:v>
      </x:c>
      <x:c r="B2475" s="274" t="n">
        <x:v>0.81</x:v>
      </x:c>
      <x:c r="C2475" s="274" t="n">
        <x:v>0</x:v>
      </x:c>
      <x:c r="D2475" s="274" t="n">
        <x:v>0</x:v>
      </x:c>
      <x:c r="F2475" s="274" t="s">
        <x:v>333</x:v>
      </x:c>
      <x:c r="G2475" s="274" t="s">
        <x:v>4663</x:v>
      </x:c>
      <x:c r="I2475" s="274" t="n">
        <x:v>1.2</x:v>
      </x:c>
      <x:c r="J2475" s="274" t="n">
        <x:v>220</x:v>
      </x:c>
      <x:c r="K2475" s="274" t="n">
        <x:v>390</x:v>
      </x:c>
      <x:c r="M2475" s="274" t="s">
        <x:v>4719</x:v>
      </x:c>
      <x:c r="N2475" s="274" t="s">
        <x:v>4258</x:v>
      </x:c>
    </x:row>
    <x:row r="2476" spans="1:14">
      <x:c r="A2476" s="274" t="s">
        <x:v>4720</x:v>
      </x:c>
      <x:c r="B2476" s="274" t="n">
        <x:v>0.71</x:v>
      </x:c>
      <x:c r="C2476" s="274" t="n">
        <x:v>0</x:v>
      </x:c>
      <x:c r="D2476" s="274" t="n">
        <x:v>0</x:v>
      </x:c>
      <x:c r="F2476" s="274" t="s">
        <x:v>333</x:v>
      </x:c>
      <x:c r="G2476" s="274" t="s">
        <x:v>4663</x:v>
      </x:c>
      <x:c r="I2476" s="274" t="n">
        <x:v>1.2</x:v>
      </x:c>
      <x:c r="J2476" s="274" t="n">
        <x:v>196</x:v>
      </x:c>
      <x:c r="K2476" s="274" t="n">
        <x:v>387</x:v>
      </x:c>
      <x:c r="M2476" s="274" t="s">
        <x:v>4721</x:v>
      </x:c>
      <x:c r="N2476" s="274" t="s">
        <x:v>4258</x:v>
      </x:c>
    </x:row>
    <x:row r="2477" spans="1:14">
      <x:c r="A2477" s="274" t="s">
        <x:v>4722</x:v>
      </x:c>
      <x:c r="B2477" s="274" t="n">
        <x:v>0.96</x:v>
      </x:c>
      <x:c r="C2477" s="274" t="n">
        <x:v>0</x:v>
      </x:c>
      <x:c r="D2477" s="274" t="n">
        <x:v>0</x:v>
      </x:c>
      <x:c r="F2477" s="274" t="s">
        <x:v>333</x:v>
      </x:c>
      <x:c r="G2477" s="274" t="s">
        <x:v>4663</x:v>
      </x:c>
      <x:c r="I2477" s="274" t="n">
        <x:v>1.2</x:v>
      </x:c>
      <x:c r="J2477" s="274" t="n">
        <x:v>263</x:v>
      </x:c>
      <x:c r="K2477" s="274" t="n">
        <x:v>387</x:v>
      </x:c>
      <x:c r="M2477" s="274" t="s">
        <x:v>4723</x:v>
      </x:c>
      <x:c r="N2477" s="274" t="s">
        <x:v>4258</x:v>
      </x:c>
    </x:row>
    <x:row r="2478" spans="1:14">
      <x:c r="A2478" s="274" t="s">
        <x:v>4724</x:v>
      </x:c>
      <x:c r="B2478" s="274" t="n">
        <x:v>1.96</x:v>
      </x:c>
      <x:c r="C2478" s="274" t="n">
        <x:v>0</x:v>
      </x:c>
      <x:c r="D2478" s="274" t="n">
        <x:v>0</x:v>
      </x:c>
      <x:c r="F2478" s="274" t="s">
        <x:v>333</x:v>
      </x:c>
      <x:c r="G2478" s="274" t="s">
        <x:v>4663</x:v>
      </x:c>
      <x:c r="I2478" s="274" t="n">
        <x:v>0.8</x:v>
      </x:c>
      <x:c r="J2478" s="274" t="n">
        <x:v>250</x:v>
      </x:c>
      <x:c r="K2478" s="274" t="n">
        <x:v>1250</x:v>
      </x:c>
      <x:c r="M2478" s="274" t="s">
        <x:v>4725</x:v>
      </x:c>
      <x:c r="N2478" s="274" t="s">
        <x:v>4258</x:v>
      </x:c>
    </x:row>
    <x:row r="2479" spans="1:14">
      <x:c r="A2479" s="274" t="s">
        <x:v>4726</x:v>
      </x:c>
      <x:c r="B2479" s="274" t="n">
        <x:v>1.38</x:v>
      </x:c>
      <x:c r="C2479" s="274" t="n">
        <x:v>0</x:v>
      </x:c>
      <x:c r="D2479" s="274" t="n">
        <x:v>0</x:v>
      </x:c>
      <x:c r="F2479" s="274" t="s">
        <x:v>123</x:v>
      </x:c>
      <x:c r="G2479" s="274" t="s">
        <x:v>4256</x:v>
      </x:c>
      <x:c r="I2479" s="274" t="n">
        <x:v>1</x:v>
      </x:c>
      <x:c r="J2479" s="274" t="n">
        <x:v>932</x:v>
      </x:c>
      <x:c r="K2479" s="274" t="n">
        <x:v>188</x:v>
      </x:c>
      <x:c r="M2479" s="274" t="s">
        <x:v>4727</x:v>
      </x:c>
      <x:c r="N2479" s="274" t="s">
        <x:v>4258</x:v>
      </x:c>
    </x:row>
    <x:row r="2480" spans="1:14">
      <x:c r="A2480" s="274" t="s">
        <x:v>4728</x:v>
      </x:c>
      <x:c r="B2480" s="274" t="n">
        <x:v>2.1</x:v>
      </x:c>
      <x:c r="C2480" s="274" t="n">
        <x:v>0</x:v>
      </x:c>
      <x:c r="D2480" s="274" t="n">
        <x:v>0</x:v>
      </x:c>
      <x:c r="F2480" s="274" t="s">
        <x:v>123</x:v>
      </x:c>
      <x:c r="G2480" s="274" t="s">
        <x:v>4256</x:v>
      </x:c>
      <x:c r="I2480" s="274" t="n">
        <x:v>1.6</x:v>
      </x:c>
      <x:c r="J2480" s="274" t="n">
        <x:v>139</x:v>
      </x:c>
      <x:c r="K2480" s="274" t="n">
        <x:v>1200</x:v>
      </x:c>
      <x:c r="M2480" s="274" t="s">
        <x:v>4729</x:v>
      </x:c>
      <x:c r="N2480" s="274" t="s">
        <x:v>4258</x:v>
      </x:c>
    </x:row>
    <x:row r="2481" spans="1:14">
      <x:c r="A2481" s="274" t="s">
        <x:v>4730</x:v>
      </x:c>
      <x:c r="B2481" s="274" t="n">
        <x:v>2.69</x:v>
      </x:c>
      <x:c r="C2481" s="274" t="n">
        <x:v>0</x:v>
      </x:c>
      <x:c r="D2481" s="274" t="n">
        <x:v>0</x:v>
      </x:c>
      <x:c r="F2481" s="274" t="s">
        <x:v>133</x:v>
      </x:c>
      <x:c r="G2481" s="274" t="s">
        <x:v>4329</x:v>
      </x:c>
      <x:c r="I2481" s="274" t="n">
        <x:v>5</x:v>
      </x:c>
      <x:c r="J2481" s="274" t="n">
        <x:v>185</x:v>
      </x:c>
      <x:c r="K2481" s="274" t="n">
        <x:v>370</x:v>
      </x:c>
      <x:c r="M2481" s="274" t="s">
        <x:v>4731</x:v>
      </x:c>
      <x:c r="N2481" s="274" t="s">
        <x:v>4258</x:v>
      </x:c>
    </x:row>
    <x:row r="2482" spans="1:14">
      <x:c r="A2482" s="274" t="s">
        <x:v>4732</x:v>
      </x:c>
      <x:c r="B2482" s="274" t="n">
        <x:v>0.67</x:v>
      </x:c>
      <x:c r="C2482" s="274" t="n">
        <x:v>0</x:v>
      </x:c>
      <x:c r="D2482" s="274" t="n">
        <x:v>0</x:v>
      </x:c>
      <x:c r="F2482" s="274" t="s">
        <x:v>133</x:v>
      </x:c>
      <x:c r="G2482" s="274" t="s">
        <x:v>136</x:v>
      </x:c>
      <x:c r="H2482" s="274" t="n">
        <x:v>45</x:v>
      </x:c>
      <x:c r="I2482" s="274" t="n">
        <x:v>0.75</x:v>
      </x:c>
      <x:c r="J2482" s="274" t="n">
        <x:v>430</x:v>
      </x:c>
      <x:c r="K2482" s="274" t="n">
        <x:v>260</x:v>
      </x:c>
      <x:c r="M2482" s="274" t="s">
        <x:v>4733</x:v>
      </x:c>
    </x:row>
    <x:row r="2483" spans="1:14">
      <x:c r="A2483" s="274" t="s">
        <x:v>4734</x:v>
      </x:c>
      <x:c r="B2483" s="274" t="n">
        <x:v>3.55</x:v>
      </x:c>
      <x:c r="C2483" s="274" t="n">
        <x:v>0</x:v>
      </x:c>
      <x:c r="D2483" s="274" t="n">
        <x:v>0</x:v>
      </x:c>
      <x:c r="F2483" s="274" t="s">
        <x:v>4735</x:v>
      </x:c>
      <x:c r="G2483" s="274" t="s">
        <x:v>4736</x:v>
      </x:c>
      <x:c r="I2483" s="274" t="n">
        <x:v>1.5</x:v>
      </x:c>
      <x:c r="J2483" s="274" t="n">
        <x:v>245</x:v>
      </x:c>
      <x:c r="K2483" s="274" t="n">
        <x:v>1240</x:v>
      </x:c>
      <x:c r="M2483" s="274" t="s">
        <x:v>4737</x:v>
      </x:c>
      <x:c r="N2483" s="274" t="s">
        <x:v>3671</x:v>
      </x:c>
    </x:row>
    <x:row r="2484" spans="1:14">
      <x:c r="A2484" s="274" t="s">
        <x:v>4738</x:v>
      </x:c>
      <x:c r="B2484" s="274" t="n">
        <x:v>2.47</x:v>
      </x:c>
      <x:c r="C2484" s="274" t="n">
        <x:v>0</x:v>
      </x:c>
      <x:c r="D2484" s="274" t="n">
        <x:v>0</x:v>
      </x:c>
      <x:c r="F2484" s="274" t="s">
        <x:v>4735</x:v>
      </x:c>
      <x:c r="G2484" s="274" t="s">
        <x:v>4736</x:v>
      </x:c>
      <x:c r="I2484" s="274" t="n">
        <x:v>1.5</x:v>
      </x:c>
      <x:c r="J2484" s="274" t="n">
        <x:v>170</x:v>
      </x:c>
      <x:c r="K2484" s="274" t="n">
        <x:v>1240</x:v>
      </x:c>
      <x:c r="M2484" s="274" t="s">
        <x:v>4739</x:v>
      </x:c>
      <x:c r="N2484" s="274" t="s">
        <x:v>3671</x:v>
      </x:c>
    </x:row>
    <x:row r="2485" spans="1:14">
      <x:c r="A2485" s="274" t="s">
        <x:v>4740</x:v>
      </x:c>
      <x:c r="B2485" s="274" t="n">
        <x:v>2.03</x:v>
      </x:c>
      <x:c r="C2485" s="274" t="n">
        <x:v>0</x:v>
      </x:c>
      <x:c r="D2485" s="274" t="n">
        <x:v>0</x:v>
      </x:c>
      <x:c r="F2485" s="274" t="s">
        <x:v>4735</x:v>
      </x:c>
      <x:c r="G2485" s="274" t="s">
        <x:v>4736</x:v>
      </x:c>
      <x:c r="I2485" s="274" t="n">
        <x:v>1.5</x:v>
      </x:c>
      <x:c r="J2485" s="274" t="n">
        <x:v>140</x:v>
      </x:c>
      <x:c r="K2485" s="274" t="n">
        <x:v>1240</x:v>
      </x:c>
      <x:c r="M2485" s="274" t="s">
        <x:v>4741</x:v>
      </x:c>
      <x:c r="N2485" s="274" t="s">
        <x:v>3671</x:v>
      </x:c>
    </x:row>
    <x:row r="2486" spans="1:14">
      <x:c r="A2486" s="274" t="s">
        <x:v>4742</x:v>
      </x:c>
      <x:c r="B2486" s="274" t="n">
        <x:v>0.82</x:v>
      </x:c>
      <x:c r="C2486" s="274" t="n">
        <x:v>0</x:v>
      </x:c>
      <x:c r="D2486" s="274" t="n">
        <x:v>0</x:v>
      </x:c>
      <x:c r="F2486" s="274" t="s">
        <x:v>4735</x:v>
      </x:c>
      <x:c r="G2486" s="274" t="s">
        <x:v>4736</x:v>
      </x:c>
      <x:c r="I2486" s="274" t="n">
        <x:v>1.5</x:v>
      </x:c>
      <x:c r="J2486" s="274" t="n">
        <x:v>356</x:v>
      </x:c>
      <x:c r="K2486" s="274" t="n">
        <x:v>196</x:v>
      </x:c>
      <x:c r="M2486" s="274" t="s">
        <x:v>4743</x:v>
      </x:c>
      <x:c r="N2486" s="274" t="s">
        <x:v>3671</x:v>
      </x:c>
    </x:row>
    <x:row r="2487" spans="1:14">
      <x:c r="A2487" s="274" t="s">
        <x:v>4744</x:v>
      </x:c>
      <x:c r="B2487" s="274" t="n">
        <x:v>1.8</x:v>
      </x:c>
      <x:c r="C2487" s="274" t="n">
        <x:v>0</x:v>
      </x:c>
      <x:c r="D2487" s="274" t="n">
        <x:v>0</x:v>
      </x:c>
      <x:c r="F2487" s="274" t="s">
        <x:v>4735</x:v>
      </x:c>
      <x:c r="G2487" s="274" t="s">
        <x:v>4736</x:v>
      </x:c>
      <x:c r="I2487" s="274" t="n">
        <x:v>1.2</x:v>
      </x:c>
      <x:c r="J2487" s="274" t="n">
        <x:v>155</x:v>
      </x:c>
      <x:c r="K2487" s="274" t="n">
        <x:v>1240</x:v>
      </x:c>
      <x:c r="M2487" s="274" t="s">
        <x:v>4745</x:v>
      </x:c>
      <x:c r="N2487" s="274" t="s">
        <x:v>3671</x:v>
      </x:c>
    </x:row>
    <x:row r="2488" spans="1:14">
      <x:c r="A2488" s="274" t="s">
        <x:v>4746</x:v>
      </x:c>
      <x:c r="B2488" s="274" t="n">
        <x:v>2.22</x:v>
      </x:c>
      <x:c r="C2488" s="274" t="n">
        <x:v>0</x:v>
      </x:c>
      <x:c r="D2488" s="274" t="n">
        <x:v>0</x:v>
      </x:c>
      <x:c r="F2488" s="274" t="s">
        <x:v>4735</x:v>
      </x:c>
      <x:c r="G2488" s="274" t="s">
        <x:v>4736</x:v>
      </x:c>
      <x:c r="I2488" s="274" t="n">
        <x:v>2</x:v>
      </x:c>
      <x:c r="J2488" s="274" t="n">
        <x:v>115</x:v>
      </x:c>
      <x:c r="K2488" s="274" t="n">
        <x:v>1240</x:v>
      </x:c>
      <x:c r="M2488" s="274" t="s">
        <x:v>4747</x:v>
      </x:c>
      <x:c r="N2488" s="274" t="s">
        <x:v>3671</x:v>
      </x:c>
    </x:row>
    <x:row r="2489" spans="1:14">
      <x:c r="A2489" s="274" t="s">
        <x:v>4748</x:v>
      </x:c>
      <x:c r="B2489" s="274" t="n">
        <x:v>3.33</x:v>
      </x:c>
      <x:c r="C2489" s="274" t="n">
        <x:v>0</x:v>
      </x:c>
      <x:c r="D2489" s="274" t="n">
        <x:v>0</x:v>
      </x:c>
      <x:c r="F2489" s="274" t="s">
        <x:v>4735</x:v>
      </x:c>
      <x:c r="G2489" s="274" t="s">
        <x:v>4749</x:v>
      </x:c>
      <x:c r="I2489" s="274" t="n">
        <x:v>1.2</x:v>
      </x:c>
      <x:c r="J2489" s="274" t="n">
        <x:v>287</x:v>
      </x:c>
      <x:c r="K2489" s="274" t="n">
        <x:v>1240</x:v>
      </x:c>
      <x:c r="M2489" s="274" t="s">
        <x:v>4750</x:v>
      </x:c>
      <x:c r="N2489" s="274" t="s">
        <x:v>3671</x:v>
      </x:c>
    </x:row>
    <x:row r="2490" spans="1:14">
      <x:c r="A2490" s="274" t="s">
        <x:v>4751</x:v>
      </x:c>
      <x:c r="B2490" s="274" t="n">
        <x:v>2.51</x:v>
      </x:c>
      <x:c r="C2490" s="274" t="n">
        <x:v>0</x:v>
      </x:c>
      <x:c r="D2490" s="274" t="n">
        <x:v>35</x:v>
      </x:c>
      <x:c r="E2490" s="274" t="n">
        <x:v>33</x:v>
      </x:c>
      <x:c r="F2490" s="274" t="s">
        <x:v>833</x:v>
      </x:c>
      <x:c r="G2490" s="274" t="s">
        <x:v>834</x:v>
      </x:c>
      <x:c r="H2490" s="274" t="s">
        <x:v>837</x:v>
      </x:c>
      <x:c r="I2490" s="274" t="n">
        <x:v>0.8</x:v>
      </x:c>
      <x:c r="J2490" s="274" t="n">
        <x:v>520</x:v>
      </x:c>
      <x:c r="K2490" s="274" t="n">
        <x:v>765</x:v>
      </x:c>
      <x:c r="M2490" s="274" t="s">
        <x:v>838</x:v>
      </x:c>
    </x:row>
    <x:row r="2491" spans="1:14">
      <x:c r="A2491" s="274" t="s">
        <x:v>4752</x:v>
      </x:c>
      <x:c r="B2491" s="274" t="n">
        <x:v>0.32</x:v>
      </x:c>
      <x:c r="C2491" s="274" t="n">
        <x:v>0</x:v>
      </x:c>
      <x:c r="D2491" s="274" t="n">
        <x:v>0</x:v>
      </x:c>
      <x:c r="F2491" s="274" t="s">
        <x:v>333</x:v>
      </x:c>
      <x:c r="G2491" s="274" t="s">
        <x:v>4663</x:v>
      </x:c>
      <x:c r="I2491" s="274" t="n">
        <x:v>1.2</x:v>
      </x:c>
      <x:c r="J2491" s="274" t="n">
        <x:v>193</x:v>
      </x:c>
      <x:c r="K2491" s="274" t="n">
        <x:v>177</x:v>
      </x:c>
      <x:c r="M2491" s="274" t="s">
        <x:v>4753</x:v>
      </x:c>
      <x:c r="N2491" s="274" t="s">
        <x:v>4258</x:v>
      </x:c>
    </x:row>
    <x:row r="2492" spans="1:14">
      <x:c r="A2492" s="274" t="s">
        <x:v>4754</x:v>
      </x:c>
      <x:c r="B2492" s="274" t="n">
        <x:v>0.51</x:v>
      </x:c>
      <x:c r="C2492" s="274" t="n">
        <x:v>0</x:v>
      </x:c>
      <x:c r="D2492" s="274" t="n">
        <x:v>0</x:v>
      </x:c>
      <x:c r="F2492" s="274" t="s">
        <x:v>123</x:v>
      </x:c>
      <x:c r="G2492" s="274" t="s">
        <x:v>153</x:v>
      </x:c>
      <x:c r="I2492" s="274" t="n">
        <x:v>0.8</x:v>
      </x:c>
      <x:c r="J2492" s="274" t="n">
        <x:v>210</x:v>
      </x:c>
      <x:c r="K2492" s="274" t="n">
        <x:v>385</x:v>
      </x:c>
      <x:c r="M2492" s="274" t="s">
        <x:v>990</x:v>
      </x:c>
      <x:c r="N2492" s="274" t="s">
        <x:v>1220</x:v>
      </x:c>
    </x:row>
    <x:row r="2493" spans="1:14">
      <x:c r="A2493" s="274" t="s">
        <x:v>4755</x:v>
      </x:c>
      <x:c r="B2493" s="274" t="n">
        <x:v>1.71</x:v>
      </x:c>
      <x:c r="C2493" s="274" t="n">
        <x:v>0</x:v>
      </x:c>
      <x:c r="D2493" s="274" t="n">
        <x:v>0</x:v>
      </x:c>
      <x:c r="F2493" s="274" t="s">
        <x:v>123</x:v>
      </x:c>
      <x:c r="G2493" s="274" t="s">
        <x:v>153</x:v>
      </x:c>
      <x:c r="I2493" s="274" t="n">
        <x:v>0.8</x:v>
      </x:c>
      <x:c r="J2493" s="274" t="n">
        <x:v>587</x:v>
      </x:c>
      <x:c r="K2493" s="274" t="n">
        <x:v>465</x:v>
      </x:c>
      <x:c r="M2493" s="274" t="s">
        <x:v>2066</x:v>
      </x:c>
      <x:c r="N2493" s="274" t="s">
        <x:v>1220</x:v>
      </x:c>
    </x:row>
    <x:row r="2494" spans="1:14">
      <x:c r="A2494" s="274" t="s">
        <x:v>4756</x:v>
      </x:c>
      <x:c r="B2494" s="274" t="n">
        <x:v>0.79</x:v>
      </x:c>
      <x:c r="C2494" s="274" t="n">
        <x:v>0</x:v>
      </x:c>
      <x:c r="D2494" s="274" t="n">
        <x:v>0</x:v>
      </x:c>
      <x:c r="F2494" s="274" t="s">
        <x:v>133</x:v>
      </x:c>
      <x:c r="G2494" s="274" t="s">
        <x:v>4470</x:v>
      </x:c>
      <x:c r="H2494" s="274" t="s">
        <x:v>4471</x:v>
      </x:c>
      <x:c r="I2494" s="274" t="n">
        <x:v>1.2</x:v>
      </x:c>
      <x:c r="J2494" s="274" t="n">
        <x:v>200</x:v>
      </x:c>
      <x:c r="K2494" s="274" t="n">
        <x:v>420</x:v>
      </x:c>
      <x:c r="M2494" s="274" t="s">
        <x:v>4757</x:v>
      </x:c>
      <x:c r="N2494" s="274" t="s">
        <x:v>4258</x:v>
      </x:c>
    </x:row>
    <x:row r="2495" spans="1:14">
      <x:c r="A2495" s="274" t="s">
        <x:v>4758</x:v>
      </x:c>
      <x:c r="B2495" s="274" t="n">
        <x:v>0.85</x:v>
      </x:c>
      <x:c r="C2495" s="274" t="n">
        <x:v>0</x:v>
      </x:c>
      <x:c r="D2495" s="274" t="n">
        <x:v>0</x:v>
      </x:c>
      <x:c r="F2495" s="274" t="s">
        <x:v>133</x:v>
      </x:c>
      <x:c r="G2495" s="274" t="s">
        <x:v>4470</x:v>
      </x:c>
      <x:c r="H2495" s="274" t="s">
        <x:v>4471</x:v>
      </x:c>
      <x:c r="I2495" s="274" t="n">
        <x:v>1.2</x:v>
      </x:c>
      <x:c r="J2495" s="274" t="n">
        <x:v>220</x:v>
      </x:c>
      <x:c r="K2495" s="274" t="n">
        <x:v>410</x:v>
      </x:c>
      <x:c r="M2495" s="274" t="s">
        <x:v>4759</x:v>
      </x:c>
      <x:c r="N2495" s="274" t="s">
        <x:v>4258</x:v>
      </x:c>
    </x:row>
    <x:row r="2496" spans="1:14">
      <x:c r="A2496" s="274" t="s">
        <x:v>4760</x:v>
      </x:c>
      <x:c r="B2496" s="274" t="n">
        <x:v>1.97</x:v>
      </x:c>
      <x:c r="C2496" s="274" t="n">
        <x:v>0</x:v>
      </x:c>
      <x:c r="D2496" s="274" t="n">
        <x:v>0</x:v>
      </x:c>
      <x:c r="F2496" s="274" t="s">
        <x:v>133</x:v>
      </x:c>
      <x:c r="G2496" s="274" t="s">
        <x:v>4761</x:v>
      </x:c>
      <x:c r="H2496" s="274" t="s">
        <x:v>4471</x:v>
      </x:c>
      <x:c r="I2496" s="274" t="n">
        <x:v>1.4</x:v>
      </x:c>
      <x:c r="J2496" s="274" t="n">
        <x:v>149</x:v>
      </x:c>
      <x:c r="K2496" s="274" t="n">
        <x:v>1200</x:v>
      </x:c>
      <x:c r="M2496" s="274" t="s">
        <x:v>4762</x:v>
      </x:c>
      <x:c r="N2496" s="274" t="s">
        <x:v>4258</x:v>
      </x:c>
    </x:row>
    <x:row r="2497" spans="1:14">
      <x:c r="A2497" s="274" t="s">
        <x:v>4763</x:v>
      </x:c>
      <x:c r="B2497" s="274" t="n">
        <x:v>19</x:v>
      </x:c>
      <x:c r="C2497" s="274" t="n">
        <x:v>0</x:v>
      </x:c>
      <x:c r="D2497" s="274" t="n">
        <x:v>0</x:v>
      </x:c>
      <x:c r="F2497" s="274" t="s">
        <x:v>133</x:v>
      </x:c>
      <x:c r="G2497" s="274" t="s">
        <x:v>4299</x:v>
      </x:c>
      <x:c r="I2497" s="274" t="n">
        <x:v>2</x:v>
      </x:c>
      <x:c r="J2497" s="274" t="n">
        <x:v>1008</x:v>
      </x:c>
      <x:c r="K2497" s="274" t="n">
        <x:v>1200</x:v>
      </x:c>
      <x:c r="M2497" s="274" t="s">
        <x:v>4764</x:v>
      </x:c>
      <x:c r="N2497" s="274" t="s">
        <x:v>4258</x:v>
      </x:c>
    </x:row>
    <x:row r="2498" spans="1:14">
      <x:c r="A2498" s="274" t="s">
        <x:v>4765</x:v>
      </x:c>
      <x:c r="B2498" s="274" t="n">
        <x:v>0.91</x:v>
      </x:c>
      <x:c r="C2498" s="274" t="n">
        <x:v>0</x:v>
      </x:c>
      <x:c r="D2498" s="274" t="n">
        <x:v>0</x:v>
      </x:c>
      <x:c r="F2498" s="274" t="s">
        <x:v>133</x:v>
      </x:c>
      <x:c r="G2498" s="274" t="s">
        <x:v>4329</x:v>
      </x:c>
      <x:c r="I2498" s="274" t="n">
        <x:v>2</x:v>
      </x:c>
      <x:c r="J2498" s="274" t="n">
        <x:v>160</x:v>
      </x:c>
      <x:c r="K2498" s="274" t="n">
        <x:v>362</x:v>
      </x:c>
      <x:c r="M2498" s="274" t="s">
        <x:v>4766</x:v>
      </x:c>
      <x:c r="N2498" s="274" t="s">
        <x:v>4258</x:v>
      </x:c>
    </x:row>
    <x:row r="2499" spans="1:14">
      <x:c r="A2499" s="274" t="s">
        <x:v>4767</x:v>
      </x:c>
      <x:c r="B2499" s="274" t="n">
        <x:v>4.29</x:v>
      </x:c>
      <x:c r="C2499" s="274" t="n">
        <x:v>0</x:v>
      </x:c>
      <x:c r="D2499" s="274" t="n">
        <x:v>0</x:v>
      </x:c>
      <x:c r="F2499" s="274" t="s">
        <x:v>133</x:v>
      </x:c>
      <x:c r="G2499" s="274" t="s">
        <x:v>4299</x:v>
      </x:c>
      <x:c r="I2499" s="274" t="n">
        <x:v>3.2</x:v>
      </x:c>
      <x:c r="J2499" s="274" t="n">
        <x:v>458</x:v>
      </x:c>
      <x:c r="K2499" s="274" t="n">
        <x:v>373</x:v>
      </x:c>
      <x:c r="M2499" s="274" t="s">
        <x:v>4768</x:v>
      </x:c>
      <x:c r="N2499" s="274" t="s">
        <x:v>4258</x:v>
      </x:c>
    </x:row>
    <x:row r="2500" spans="1:14">
      <x:c r="A2500" s="274" t="s">
        <x:v>4769</x:v>
      </x:c>
      <x:c r="B2500" s="274" t="n">
        <x:v>2.04</x:v>
      </x:c>
      <x:c r="C2500" s="274" t="n">
        <x:v>0</x:v>
      </x:c>
      <x:c r="D2500" s="274" t="n">
        <x:v>0</x:v>
      </x:c>
      <x:c r="F2500" s="274" t="s">
        <x:v>333</x:v>
      </x:c>
      <x:c r="G2500" s="274" t="s">
        <x:v>4663</x:v>
      </x:c>
      <x:c r="I2500" s="274" t="n">
        <x:v>1</x:v>
      </x:c>
      <x:c r="J2500" s="274" t="n">
        <x:v>217</x:v>
      </x:c>
      <x:c r="K2500" s="274" t="n">
        <x:v>1200</x:v>
      </x:c>
      <x:c r="M2500" s="274" t="s">
        <x:v>4770</x:v>
      </x:c>
      <x:c r="N2500" s="274" t="s">
        <x:v>4258</x:v>
      </x:c>
    </x:row>
    <x:row r="2501" spans="1:14">
      <x:c r="A2501" s="274" t="s">
        <x:v>4771</x:v>
      </x:c>
      <x:c r="B2501" s="274" t="n">
        <x:v>2.19</x:v>
      </x:c>
      <x:c r="C2501" s="274" t="n">
        <x:v>0</x:v>
      </x:c>
      <x:c r="D2501" s="274" t="n">
        <x:v>0</x:v>
      </x:c>
      <x:c r="F2501" s="274" t="s">
        <x:v>333</x:v>
      </x:c>
      <x:c r="G2501" s="274" t="s">
        <x:v>4286</x:v>
      </x:c>
      <x:c r="I2501" s="274" t="n">
        <x:v>0.6</x:v>
      </x:c>
      <x:c r="J2501" s="274" t="n">
        <x:v>530</x:v>
      </x:c>
      <x:c r="K2501" s="274" t="n">
        <x:v>877</x:v>
      </x:c>
      <x:c r="M2501" s="274" t="s">
        <x:v>4772</x:v>
      </x:c>
      <x:c r="N2501" s="274" t="s">
        <x:v>4258</x:v>
      </x:c>
    </x:row>
    <x:row r="2502" spans="1:14">
      <x:c r="A2502" s="274" t="s">
        <x:v>4773</x:v>
      </x:c>
      <x:c r="B2502" s="274" t="n">
        <x:v>1.94</x:v>
      </x:c>
      <x:c r="C2502" s="274" t="n">
        <x:v>0</x:v>
      </x:c>
      <x:c r="D2502" s="274" t="n">
        <x:v>0</x:v>
      </x:c>
      <x:c r="F2502" s="274" t="s">
        <x:v>333</x:v>
      </x:c>
      <x:c r="G2502" s="274" t="s">
        <x:v>4286</x:v>
      </x:c>
      <x:c r="I2502" s="274" t="n">
        <x:v>0.6</x:v>
      </x:c>
      <x:c r="J2502" s="274" t="n">
        <x:v>518</x:v>
      </x:c>
      <x:c r="K2502" s="274" t="n">
        <x:v>796</x:v>
      </x:c>
      <x:c r="M2502" s="274" t="s">
        <x:v>4774</x:v>
      </x:c>
      <x:c r="N2502" s="274" t="s">
        <x:v>4258</x:v>
      </x:c>
    </x:row>
    <x:row r="2503" spans="1:14">
      <x:c r="A2503" s="274" t="s">
        <x:v>4775</x:v>
      </x:c>
      <x:c r="B2503" s="274" t="n">
        <x:v>0.55</x:v>
      </x:c>
      <x:c r="C2503" s="274" t="n">
        <x:v>0</x:v>
      </x:c>
      <x:c r="D2503" s="274" t="n">
        <x:v>0</x:v>
      </x:c>
      <x:c r="F2503" s="274" t="s">
        <x:v>333</x:v>
      </x:c>
      <x:c r="G2503" s="274" t="s">
        <x:v>4663</x:v>
      </x:c>
      <x:c r="I2503" s="274" t="n">
        <x:v>0.65</x:v>
      </x:c>
      <x:c r="J2503" s="274" t="n">
        <x:v>460</x:v>
      </x:c>
      <x:c r="K2503" s="274" t="n">
        <x:v>234</x:v>
      </x:c>
      <x:c r="M2503" s="274" t="s">
        <x:v>4776</x:v>
      </x:c>
      <x:c r="N2503" s="274" t="s">
        <x:v>4258</x:v>
      </x:c>
    </x:row>
    <x:row r="2504" spans="1:14">
      <x:c r="A2504" s="274" t="s">
        <x:v>4777</x:v>
      </x:c>
      <x:c r="B2504" s="274" t="n">
        <x:v>1.34</x:v>
      </x:c>
      <x:c r="C2504" s="274" t="n">
        <x:v>0</x:v>
      </x:c>
      <x:c r="D2504" s="274" t="n">
        <x:v>0</x:v>
      </x:c>
      <x:c r="F2504" s="274" t="s">
        <x:v>333</x:v>
      </x:c>
      <x:c r="G2504" s="274" t="s">
        <x:v>4663</x:v>
      </x:c>
      <x:c r="I2504" s="274" t="n">
        <x:v>0.65</x:v>
      </x:c>
      <x:c r="J2504" s="274" t="n">
        <x:v>270</x:v>
      </x:c>
      <x:c r="K2504" s="274" t="n">
        <x:v>970</x:v>
      </x:c>
      <x:c r="M2504" s="274" t="s">
        <x:v>4778</x:v>
      </x:c>
      <x:c r="N2504" s="274" t="s">
        <x:v>4258</x:v>
      </x:c>
    </x:row>
    <x:row r="2505" spans="1:14">
      <x:c r="A2505" s="274" t="s">
        <x:v>4779</x:v>
      </x:c>
      <x:c r="B2505" s="274" t="n">
        <x:v>0.45</x:v>
      </x:c>
      <x:c r="C2505" s="274" t="n">
        <x:v>0</x:v>
      </x:c>
      <x:c r="D2505" s="274" t="n">
        <x:v>0</x:v>
      </x:c>
      <x:c r="F2505" s="274" t="s">
        <x:v>333</x:v>
      </x:c>
      <x:c r="G2505" s="274" t="s">
        <x:v>4663</x:v>
      </x:c>
      <x:c r="I2505" s="274" t="n">
        <x:v>0.65</x:v>
      </x:c>
      <x:c r="J2505" s="274" t="n">
        <x:v>217</x:v>
      </x:c>
      <x:c r="K2505" s="274" t="n">
        <x:v>402</x:v>
      </x:c>
      <x:c r="M2505" s="274" t="s">
        <x:v>4780</x:v>
      </x:c>
      <x:c r="N2505" s="274" t="s">
        <x:v>4258</x:v>
      </x:c>
    </x:row>
    <x:row r="2506" spans="1:14">
      <x:c r="A2506" s="274" t="s">
        <x:v>4781</x:v>
      </x:c>
      <x:c r="B2506" s="274" t="n">
        <x:v>0.64</x:v>
      </x:c>
      <x:c r="C2506" s="274" t="n">
        <x:v>0</x:v>
      </x:c>
      <x:c r="D2506" s="274" t="n">
        <x:v>0</x:v>
      </x:c>
      <x:c r="F2506" s="274" t="s">
        <x:v>184</x:v>
      </x:c>
      <x:c r="G2506" s="274" t="s">
        <x:v>4782</x:v>
      </x:c>
      <x:c r="H2506" s="274" t="s">
        <x:v>4471</x:v>
      </x:c>
      <x:c r="I2506" s="274" t="n">
        <x:v>0.7</x:v>
      </x:c>
      <x:c r="J2506" s="274" t="n">
        <x:v>97</x:v>
      </x:c>
      <x:c r="K2506" s="274" t="n">
        <x:v>1200</x:v>
      </x:c>
      <x:c r="M2506" s="274" t="s">
        <x:v>4783</x:v>
      </x:c>
      <x:c r="N2506" s="274" t="s">
        <x:v>4258</x:v>
      </x:c>
    </x:row>
    <x:row r="2507" spans="1:14">
      <x:c r="A2507" s="274" t="s">
        <x:v>4784</x:v>
      </x:c>
      <x:c r="B2507" s="274" t="n">
        <x:v>0.24</x:v>
      </x:c>
      <x:c r="C2507" s="274" t="n">
        <x:v>0</x:v>
      </x:c>
      <x:c r="D2507" s="274" t="n">
        <x:v>0</x:v>
      </x:c>
      <x:c r="F2507" s="274" t="s">
        <x:v>123</x:v>
      </x:c>
      <x:c r="G2507" s="274" t="s">
        <x:v>4256</x:v>
      </x:c>
      <x:c r="I2507" s="274" t="n">
        <x:v>0.8</x:v>
      </x:c>
      <x:c r="J2507" s="274" t="n">
        <x:v>385</x:v>
      </x:c>
      <x:c r="K2507" s="274" t="n">
        <x:v>100</x:v>
      </x:c>
      <x:c r="M2507" s="274" t="s">
        <x:v>4785</x:v>
      </x:c>
      <x:c r="N2507" s="274" t="s">
        <x:v>4258</x:v>
      </x:c>
    </x:row>
    <x:row r="2508" spans="1:14">
      <x:c r="A2508" s="274" t="s">
        <x:v>4786</x:v>
      </x:c>
      <x:c r="B2508" s="274" t="n">
        <x:v>0.63</x:v>
      </x:c>
      <x:c r="C2508" s="274" t="n">
        <x:v>0</x:v>
      </x:c>
      <x:c r="D2508" s="274" t="n">
        <x:v>0</x:v>
      </x:c>
      <x:c r="F2508" s="274" t="s">
        <x:v>123</x:v>
      </x:c>
      <x:c r="G2508" s="274" t="s">
        <x:v>4787</x:v>
      </x:c>
      <x:c r="H2508" s="274" t="s">
        <x:v>4471</x:v>
      </x:c>
      <x:c r="I2508" s="274" t="n">
        <x:v>0.8</x:v>
      </x:c>
      <x:c r="J2508" s="274" t="n">
        <x:v>745</x:v>
      </x:c>
      <x:c r="K2508" s="274" t="n">
        <x:v>135</x:v>
      </x:c>
      <x:c r="M2508" s="274" t="s">
        <x:v>4788</x:v>
      </x:c>
      <x:c r="N2508" s="274" t="s">
        <x:v>4258</x:v>
      </x:c>
    </x:row>
    <x:row r="2509" spans="1:14">
      <x:c r="A2509" s="274" t="s">
        <x:v>4789</x:v>
      </x:c>
      <x:c r="B2509" s="274" t="n">
        <x:v>1.1</x:v>
      </x:c>
      <x:c r="C2509" s="274" t="n">
        <x:v>0</x:v>
      </x:c>
      <x:c r="D2509" s="274" t="n">
        <x:v>0</x:v>
      </x:c>
      <x:c r="F2509" s="274" t="s">
        <x:v>184</x:v>
      </x:c>
      <x:c r="G2509" s="274" t="s">
        <x:v>4782</x:v>
      </x:c>
      <x:c r="H2509" s="274" t="s">
        <x:v>4471</x:v>
      </x:c>
      <x:c r="I2509" s="274" t="n">
        <x:v>0.8</x:v>
      </x:c>
      <x:c r="J2509" s="274" t="n">
        <x:v>185</x:v>
      </x:c>
      <x:c r="K2509" s="274" t="n">
        <x:v>950</x:v>
      </x:c>
      <x:c r="M2509" s="274" t="s">
        <x:v>4790</x:v>
      </x:c>
      <x:c r="N2509" s="274" t="s">
        <x:v>4258</x:v>
      </x:c>
    </x:row>
    <x:row r="2510" spans="1:14">
      <x:c r="A2510" s="274" t="s">
        <x:v>4791</x:v>
      </x:c>
      <x:c r="B2510" s="274" t="n">
        <x:v>3.14</x:v>
      </x:c>
      <x:c r="C2510" s="274" t="n">
        <x:v>0</x:v>
      </x:c>
      <x:c r="D2510" s="274" t="n">
        <x:v>0</x:v>
      </x:c>
      <x:c r="F2510" s="274" t="s">
        <x:v>333</x:v>
      </x:c>
      <x:c r="G2510" s="274" t="s">
        <x:v>4663</x:v>
      </x:c>
      <x:c r="I2510" s="274" t="n">
        <x:v>1</x:v>
      </x:c>
      <x:c r="J2510" s="274" t="n">
        <x:v>320</x:v>
      </x:c>
      <x:c r="K2510" s="274" t="n">
        <x:v>1250</x:v>
      </x:c>
      <x:c r="M2510" s="274" t="s">
        <x:v>4792</x:v>
      </x:c>
      <x:c r="N2510" s="274" t="s">
        <x:v>4258</x:v>
      </x:c>
    </x:row>
    <x:row r="2511" spans="1:14">
      <x:c r="A2511" s="274" t="s">
        <x:v>4793</x:v>
      </x:c>
      <x:c r="B2511" s="274" t="n">
        <x:v>1.9</x:v>
      </x:c>
      <x:c r="C2511" s="274" t="n">
        <x:v>0</x:v>
      </x:c>
      <x:c r="D2511" s="274" t="n">
        <x:v>0</x:v>
      </x:c>
      <x:c r="F2511" s="274" t="s">
        <x:v>333</x:v>
      </x:c>
      <x:c r="G2511" s="274" t="s">
        <x:v>4663</x:v>
      </x:c>
      <x:c r="I2511" s="274" t="n">
        <x:v>1</x:v>
      </x:c>
      <x:c r="J2511" s="274" t="n">
        <x:v>202</x:v>
      </x:c>
      <x:c r="K2511" s="274" t="n">
        <x:v>1200</x:v>
      </x:c>
      <x:c r="M2511" s="274" t="s">
        <x:v>4794</x:v>
      </x:c>
      <x:c r="N2511" s="274" t="s">
        <x:v>4258</x:v>
      </x:c>
    </x:row>
    <x:row r="2512" spans="1:14">
      <x:c r="A2512" s="274" t="s">
        <x:v>4795</x:v>
      </x:c>
      <x:c r="B2512" s="274" t="n">
        <x:v>0.9</x:v>
      </x:c>
      <x:c r="C2512" s="274" t="n">
        <x:v>0</x:v>
      </x:c>
      <x:c r="D2512" s="274" t="n">
        <x:v>0</x:v>
      </x:c>
      <x:c r="F2512" s="274" t="s">
        <x:v>333</x:v>
      </x:c>
      <x:c r="G2512" s="274" t="s">
        <x:v>4796</x:v>
      </x:c>
      <x:c r="I2512" s="274" t="n">
        <x:v>1</x:v>
      </x:c>
      <x:c r="J2512" s="274" t="n">
        <x:v>215</x:v>
      </x:c>
      <x:c r="K2512" s="274" t="n">
        <x:v>535</x:v>
      </x:c>
      <x:c r="M2512" s="274" t="s">
        <x:v>4797</x:v>
      </x:c>
      <x:c r="N2512" s="274" t="s">
        <x:v>4258</x:v>
      </x:c>
    </x:row>
    <x:row r="2513" spans="1:14">
      <x:c r="A2513" s="274" t="s">
        <x:v>4798</x:v>
      </x:c>
      <x:c r="B2513" s="274" t="n">
        <x:v>1.44</x:v>
      </x:c>
      <x:c r="C2513" s="274" t="n">
        <x:v>0</x:v>
      </x:c>
      <x:c r="D2513" s="274" t="n">
        <x:v>0</x:v>
      </x:c>
      <x:c r="F2513" s="274" t="s">
        <x:v>333</x:v>
      </x:c>
      <x:c r="G2513" s="274" t="s">
        <x:v>4663</x:v>
      </x:c>
      <x:c r="I2513" s="274" t="n">
        <x:v>1</x:v>
      </x:c>
      <x:c r="J2513" s="274" t="n">
        <x:v>153</x:v>
      </x:c>
      <x:c r="K2513" s="274" t="n">
        <x:v>1200</x:v>
      </x:c>
      <x:c r="M2513" s="274" t="s">
        <x:v>4799</x:v>
      </x:c>
      <x:c r="N2513" s="274" t="s">
        <x:v>4258</x:v>
      </x:c>
    </x:row>
    <x:row r="2514" spans="1:14">
      <x:c r="A2514" s="274" t="s">
        <x:v>4800</x:v>
      </x:c>
      <x:c r="B2514" s="274" t="n">
        <x:v>1.02</x:v>
      </x:c>
      <x:c r="C2514" s="274" t="n">
        <x:v>0</x:v>
      </x:c>
      <x:c r="D2514" s="274" t="n">
        <x:v>0</x:v>
      </x:c>
      <x:c r="F2514" s="274" t="s">
        <x:v>333</x:v>
      </x:c>
      <x:c r="G2514" s="274" t="s">
        <x:v>4663</x:v>
      </x:c>
      <x:c r="I2514" s="274" t="n">
        <x:v>1</x:v>
      </x:c>
      <x:c r="J2514" s="274" t="n">
        <x:v>108</x:v>
      </x:c>
      <x:c r="K2514" s="274" t="n">
        <x:v>1200</x:v>
      </x:c>
      <x:c r="M2514" s="274" t="s">
        <x:v>4801</x:v>
      </x:c>
      <x:c r="N2514" s="274" t="s">
        <x:v>4258</x:v>
      </x:c>
    </x:row>
    <x:row r="2515" spans="1:14">
      <x:c r="A2515" s="274" t="s">
        <x:v>4802</x:v>
      </x:c>
      <x:c r="B2515" s="274" t="n">
        <x:v>0.68</x:v>
      </x:c>
      <x:c r="C2515" s="274" t="n">
        <x:v>0</x:v>
      </x:c>
      <x:c r="D2515" s="274" t="n">
        <x:v>0</x:v>
      </x:c>
      <x:c r="F2515" s="274" t="s">
        <x:v>333</x:v>
      </x:c>
      <x:c r="G2515" s="274" t="s">
        <x:v>4663</x:v>
      </x:c>
      <x:c r="I2515" s="274" t="n">
        <x:v>1</x:v>
      </x:c>
      <x:c r="J2515" s="274" t="n">
        <x:v>72</x:v>
      </x:c>
      <x:c r="K2515" s="274" t="n">
        <x:v>1200</x:v>
      </x:c>
      <x:c r="M2515" s="274" t="s">
        <x:v>4803</x:v>
      </x:c>
      <x:c r="N2515" s="274" t="s">
        <x:v>4258</x:v>
      </x:c>
    </x:row>
    <x:row r="2516" spans="1:14">
      <x:c r="A2516" s="274" t="s">
        <x:v>4804</x:v>
      </x:c>
      <x:c r="B2516" s="274" t="n">
        <x:v>3.14</x:v>
      </x:c>
      <x:c r="C2516" s="274" t="n">
        <x:v>0</x:v>
      </x:c>
      <x:c r="D2516" s="274" t="n">
        <x:v>0</x:v>
      </x:c>
      <x:c r="F2516" s="274" t="s">
        <x:v>333</x:v>
      </x:c>
      <x:c r="G2516" s="274" t="s">
        <x:v>4663</x:v>
      </x:c>
      <x:c r="I2516" s="274" t="n">
        <x:v>1</x:v>
      </x:c>
      <x:c r="J2516" s="274" t="n">
        <x:v>320</x:v>
      </x:c>
      <x:c r="K2516" s="274" t="n">
        <x:v>1250</x:v>
      </x:c>
      <x:c r="M2516" s="274" t="s">
        <x:v>4805</x:v>
      </x:c>
      <x:c r="N2516" s="274" t="s">
        <x:v>4258</x:v>
      </x:c>
    </x:row>
    <x:row r="2517" spans="1:14">
      <x:c r="A2517" s="274" t="s">
        <x:v>4806</x:v>
      </x:c>
      <x:c r="B2517" s="274" t="n">
        <x:v>1.65</x:v>
      </x:c>
      <x:c r="C2517" s="274" t="n">
        <x:v>0</x:v>
      </x:c>
      <x:c r="D2517" s="274" t="n">
        <x:v>0</x:v>
      </x:c>
      <x:c r="F2517" s="274" t="s">
        <x:v>184</x:v>
      </x:c>
      <x:c r="G2517" s="274" t="s">
        <x:v>4782</x:v>
      </x:c>
      <x:c r="H2517" s="274" t="s">
        <x:v>4471</x:v>
      </x:c>
      <x:c r="I2517" s="274" t="n">
        <x:v>1.2</x:v>
      </x:c>
      <x:c r="J2517" s="274" t="n">
        <x:v>140</x:v>
      </x:c>
      <x:c r="K2517" s="274" t="n">
        <x:v>1250</x:v>
      </x:c>
      <x:c r="M2517" s="274" t="s">
        <x:v>4807</x:v>
      </x:c>
      <x:c r="N2517" s="274" t="s">
        <x:v>4258</x:v>
      </x:c>
    </x:row>
    <x:row r="2518" spans="1:14">
      <x:c r="A2518" s="274" t="s">
        <x:v>4808</x:v>
      </x:c>
      <x:c r="B2518" s="274" t="n">
        <x:v>2</x:v>
      </x:c>
      <x:c r="C2518" s="274" t="n">
        <x:v>0</x:v>
      </x:c>
      <x:c r="D2518" s="274" t="n">
        <x:v>0</x:v>
      </x:c>
      <x:c r="F2518" s="274" t="s">
        <x:v>184</x:v>
      </x:c>
      <x:c r="G2518" s="274" t="s">
        <x:v>4782</x:v>
      </x:c>
      <x:c r="H2518" s="274" t="s">
        <x:v>4471</x:v>
      </x:c>
      <x:c r="I2518" s="274" t="n">
        <x:v>1.2</x:v>
      </x:c>
      <x:c r="J2518" s="274" t="n">
        <x:v>170</x:v>
      </x:c>
      <x:c r="K2518" s="274" t="n">
        <x:v>1250</x:v>
      </x:c>
      <x:c r="M2518" s="274" t="s">
        <x:v>4809</x:v>
      </x:c>
      <x:c r="N2518" s="274" t="s">
        <x:v>4258</x:v>
      </x:c>
    </x:row>
    <x:row r="2519" spans="1:14">
      <x:c r="A2519" s="274" t="s">
        <x:v>4810</x:v>
      </x:c>
      <x:c r="B2519" s="274" t="n">
        <x:v>3.13</x:v>
      </x:c>
      <x:c r="C2519" s="274" t="n">
        <x:v>0</x:v>
      </x:c>
      <x:c r="D2519" s="274" t="n">
        <x:v>0</x:v>
      </x:c>
      <x:c r="F2519" s="274" t="s">
        <x:v>333</x:v>
      </x:c>
      <x:c r="G2519" s="274" t="s">
        <x:v>4663</x:v>
      </x:c>
      <x:c r="I2519" s="274" t="n">
        <x:v>1.2</x:v>
      </x:c>
      <x:c r="J2519" s="274" t="n">
        <x:v>266</x:v>
      </x:c>
      <x:c r="K2519" s="274" t="n">
        <x:v>1250</x:v>
      </x:c>
      <x:c r="M2519" s="274" t="s">
        <x:v>4811</x:v>
      </x:c>
      <x:c r="N2519" s="274" t="s">
        <x:v>4258</x:v>
      </x:c>
    </x:row>
    <x:row r="2520" spans="1:14">
      <x:c r="A2520" s="274" t="s">
        <x:v>4812</x:v>
      </x:c>
      <x:c r="B2520" s="274" t="n">
        <x:v>2.48</x:v>
      </x:c>
      <x:c r="C2520" s="274" t="n">
        <x:v>0</x:v>
      </x:c>
      <x:c r="D2520" s="274" t="n">
        <x:v>0</x:v>
      </x:c>
      <x:c r="F2520" s="274" t="s">
        <x:v>333</x:v>
      </x:c>
      <x:c r="G2520" s="274" t="s">
        <x:v>4663</x:v>
      </x:c>
      <x:c r="I2520" s="274" t="n">
        <x:v>1.2</x:v>
      </x:c>
      <x:c r="J2520" s="274" t="n">
        <x:v>219</x:v>
      </x:c>
      <x:c r="K2520" s="274" t="n">
        <x:v>1200</x:v>
      </x:c>
      <x:c r="M2520" s="274" t="s">
        <x:v>4813</x:v>
      </x:c>
      <x:c r="N2520" s="274" t="s">
        <x:v>4258</x:v>
      </x:c>
    </x:row>
    <x:row r="2521" spans="1:14">
      <x:c r="A2521" s="274" t="s">
        <x:v>4814</x:v>
      </x:c>
      <x:c r="B2521" s="274" t="n">
        <x:v>11.25</x:v>
      </x:c>
      <x:c r="C2521" s="274" t="n">
        <x:v>0</x:v>
      </x:c>
      <x:c r="D2521" s="274" t="n">
        <x:v>0</x:v>
      </x:c>
      <x:c r="F2521" s="274" t="s">
        <x:v>333</x:v>
      </x:c>
      <x:c r="G2521" s="274" t="s">
        <x:v>4663</x:v>
      </x:c>
      <x:c r="I2521" s="274" t="n">
        <x:v>1.2</x:v>
      </x:c>
      <x:c r="J2521" s="274" t="n">
        <x:v>995</x:v>
      </x:c>
      <x:c r="K2521" s="274" t="n">
        <x:v>1200</x:v>
      </x:c>
      <x:c r="M2521" s="274" t="s">
        <x:v>4815</x:v>
      </x:c>
      <x:c r="N2521" s="274" t="s">
        <x:v>4258</x:v>
      </x:c>
    </x:row>
    <x:row r="2522" spans="1:14">
      <x:c r="A2522" s="274" t="s">
        <x:v>4816</x:v>
      </x:c>
      <x:c r="B2522" s="274" t="n">
        <x:v>5.91</x:v>
      </x:c>
      <x:c r="C2522" s="274" t="n">
        <x:v>0</x:v>
      </x:c>
      <x:c r="D2522" s="274" t="n">
        <x:v>0</x:v>
      </x:c>
      <x:c r="F2522" s="274" t="s">
        <x:v>333</x:v>
      </x:c>
      <x:c r="G2522" s="274" t="s">
        <x:v>4663</x:v>
      </x:c>
      <x:c r="I2522" s="274" t="n">
        <x:v>1.4</x:v>
      </x:c>
      <x:c r="J2522" s="274" t="n">
        <x:v>430</x:v>
      </x:c>
      <x:c r="K2522" s="274" t="n">
        <x:v>1250</x:v>
      </x:c>
      <x:c r="M2522" s="274" t="s">
        <x:v>4817</x:v>
      </x:c>
      <x:c r="N2522" s="274" t="s">
        <x:v>4258</x:v>
      </x:c>
    </x:row>
    <x:row r="2523" spans="1:14">
      <x:c r="A2523" s="274" t="s">
        <x:v>4818</x:v>
      </x:c>
      <x:c r="B2523" s="274" t="n">
        <x:v>2.84</x:v>
      </x:c>
      <x:c r="C2523" s="274" t="n">
        <x:v>0</x:v>
      </x:c>
      <x:c r="D2523" s="274" t="n">
        <x:v>0</x:v>
      </x:c>
      <x:c r="F2523" s="274" t="s">
        <x:v>133</x:v>
      </x:c>
      <x:c r="G2523" s="274" t="s">
        <x:v>134</x:v>
      </x:c>
      <x:c r="I2523" s="274" t="n">
        <x:v>2</x:v>
      </x:c>
      <x:c r="J2523" s="274" t="n">
        <x:v>175</x:v>
      </x:c>
      <x:c r="K2523" s="274" t="n">
        <x:v>1035</x:v>
      </x:c>
      <x:c r="M2523" s="274" t="s">
        <x:v>4819</x:v>
      </x:c>
      <x:c r="N2523" s="274" t="s">
        <x:v>3671</x:v>
      </x:c>
    </x:row>
    <x:row r="2524" spans="1:14">
      <x:c r="A2524" s="274" t="s">
        <x:v>4820</x:v>
      </x:c>
      <x:c r="B2524" s="274" t="n">
        <x:v>2.27</x:v>
      </x:c>
      <x:c r="C2524" s="274" t="n">
        <x:v>0</x:v>
      </x:c>
      <x:c r="D2524" s="274" t="n">
        <x:v>0</x:v>
      </x:c>
      <x:c r="F2524" s="274" t="s">
        <x:v>133</x:v>
      </x:c>
      <x:c r="G2524" s="274" t="s">
        <x:v>134</x:v>
      </x:c>
      <x:c r="I2524" s="274" t="n">
        <x:v>2</x:v>
      </x:c>
      <x:c r="J2524" s="274" t="n">
        <x:v>142</x:v>
      </x:c>
      <x:c r="K2524" s="274" t="n">
        <x:v>1020</x:v>
      </x:c>
      <x:c r="M2524" s="274" t="s">
        <x:v>4821</x:v>
      </x:c>
      <x:c r="N2524" s="274" t="s">
        <x:v>3671</x:v>
      </x:c>
    </x:row>
    <x:row r="2525" spans="1:14">
      <x:c r="A2525" s="274" t="s">
        <x:v>4822</x:v>
      </x:c>
      <x:c r="B2525" s="274" t="n">
        <x:v>1.6</x:v>
      </x:c>
      <x:c r="C2525" s="274" t="n">
        <x:v>0</x:v>
      </x:c>
      <x:c r="D2525" s="274" t="n">
        <x:v>0</x:v>
      </x:c>
      <x:c r="F2525" s="274" t="s">
        <x:v>333</x:v>
      </x:c>
      <x:c r="G2525" s="274" t="s">
        <x:v>209</x:v>
      </x:c>
      <x:c r="I2525" s="274" t="n">
        <x:v>1.2</x:v>
      </x:c>
      <x:c r="J2525" s="274" t="n">
        <x:v>162</x:v>
      </x:c>
      <x:c r="K2525" s="274" t="n">
        <x:v>1050</x:v>
      </x:c>
      <x:c r="M2525" s="274" t="s">
        <x:v>4823</x:v>
      </x:c>
      <x:c r="N2525" s="274" t="s">
        <x:v>3671</x:v>
      </x:c>
    </x:row>
    <x:row r="2526" spans="1:14">
      <x:c r="A2526" s="274" t="s">
        <x:v>4824</x:v>
      </x:c>
      <x:c r="B2526" s="274" t="n">
        <x:v>1.99</x:v>
      </x:c>
      <x:c r="C2526" s="274" t="n">
        <x:v>0</x:v>
      </x:c>
      <x:c r="D2526" s="274" t="n">
        <x:v>0</x:v>
      </x:c>
      <x:c r="F2526" s="274" t="s">
        <x:v>333</x:v>
      </x:c>
      <x:c r="G2526" s="274" t="s">
        <x:v>209</x:v>
      </x:c>
      <x:c r="I2526" s="274" t="n">
        <x:v>1.4</x:v>
      </x:c>
      <x:c r="J2526" s="274" t="n">
        <x:v>174</x:v>
      </x:c>
      <x:c r="K2526" s="274" t="n">
        <x:v>1040</x:v>
      </x:c>
      <x:c r="M2526" s="274" t="s">
        <x:v>4825</x:v>
      </x:c>
      <x:c r="N2526" s="274" t="s">
        <x:v>3671</x:v>
      </x:c>
    </x:row>
    <x:row r="2527" spans="1:14">
      <x:c r="A2527" s="274" t="s">
        <x:v>4826</x:v>
      </x:c>
      <x:c r="B2527" s="274" t="n">
        <x:v>3.87</x:v>
      </x:c>
      <x:c r="C2527" s="274" t="n">
        <x:v>0</x:v>
      </x:c>
      <x:c r="D2527" s="274" t="n">
        <x:v>0</x:v>
      </x:c>
      <x:c r="F2527" s="274" t="s">
        <x:v>333</x:v>
      </x:c>
      <x:c r="G2527" s="274" t="s">
        <x:v>209</x:v>
      </x:c>
      <x:c r="I2527" s="274" t="n">
        <x:v>1.6</x:v>
      </x:c>
      <x:c r="J2527" s="274" t="n">
        <x:v>295</x:v>
      </x:c>
      <x:c r="K2527" s="274" t="n">
        <x:v>1044</x:v>
      </x:c>
      <x:c r="M2527" s="274" t="s">
        <x:v>4827</x:v>
      </x:c>
      <x:c r="N2527" s="274" t="s">
        <x:v>3671</x:v>
      </x:c>
    </x:row>
    <x:row r="2528" spans="1:14">
      <x:c r="A2528" s="274" t="s">
        <x:v>4828</x:v>
      </x:c>
      <x:c r="B2528" s="274" t="n">
        <x:v>4.58</x:v>
      </x:c>
      <x:c r="C2528" s="274" t="n">
        <x:v>0</x:v>
      </x:c>
      <x:c r="D2528" s="274" t="n">
        <x:v>0</x:v>
      </x:c>
      <x:c r="F2528" s="274" t="s">
        <x:v>133</x:v>
      </x:c>
      <x:c r="G2528" s="274" t="s">
        <x:v>134</x:v>
      </x:c>
      <x:c r="I2528" s="274" t="n">
        <x:v>2</x:v>
      </x:c>
      <x:c r="J2528" s="274" t="n">
        <x:v>275</x:v>
      </x:c>
      <x:c r="K2528" s="274" t="n">
        <x:v>1062</x:v>
      </x:c>
      <x:c r="M2528" s="274" t="s">
        <x:v>4829</x:v>
      </x:c>
      <x:c r="N2528" s="274" t="s">
        <x:v>3671</x:v>
      </x:c>
    </x:row>
    <x:row r="2529" spans="1:14">
      <x:c r="A2529" s="274" t="s">
        <x:v>4830</x:v>
      </x:c>
      <x:c r="B2529" s="274" t="n">
        <x:v>1.33</x:v>
      </x:c>
      <x:c r="C2529" s="274" t="n">
        <x:v>0</x:v>
      </x:c>
      <x:c r="D2529" s="274" t="n">
        <x:v>0</x:v>
      </x:c>
      <x:c r="F2529" s="274" t="s">
        <x:v>333</x:v>
      </x:c>
      <x:c r="G2529" s="274" t="s">
        <x:v>209</x:v>
      </x:c>
      <x:c r="I2529" s="274" t="n">
        <x:v>1.2</x:v>
      </x:c>
      <x:c r="J2529" s="274" t="n">
        <x:v>135</x:v>
      </x:c>
      <x:c r="K2529" s="274" t="n">
        <x:v>1045</x:v>
      </x:c>
      <x:c r="M2529" s="274" t="s">
        <x:v>4831</x:v>
      </x:c>
      <x:c r="N2529" s="274" t="s">
        <x:v>3671</x:v>
      </x:c>
    </x:row>
    <x:row r="2530" spans="1:14">
      <x:c r="A2530" s="274" t="s">
        <x:v>4832</x:v>
      </x:c>
      <x:c r="B2530" s="274" t="n">
        <x:v>1.36</x:v>
      </x:c>
      <x:c r="C2530" s="274" t="n">
        <x:v>0</x:v>
      </x:c>
      <x:c r="D2530" s="274" t="n">
        <x:v>0</x:v>
      </x:c>
      <x:c r="F2530" s="274" t="s">
        <x:v>333</x:v>
      </x:c>
      <x:c r="G2530" s="274" t="s">
        <x:v>209</x:v>
      </x:c>
      <x:c r="I2530" s="274" t="n">
        <x:v>1.2</x:v>
      </x:c>
      <x:c r="J2530" s="274" t="n">
        <x:v>137</x:v>
      </x:c>
      <x:c r="K2530" s="274" t="n">
        <x:v>1054</x:v>
      </x:c>
      <x:c r="M2530" s="274" t="s">
        <x:v>4833</x:v>
      </x:c>
      <x:c r="N2530" s="274" t="s">
        <x:v>3671</x:v>
      </x:c>
    </x:row>
    <x:row r="2531" spans="1:14">
      <x:c r="A2531" s="274" t="s">
        <x:v>4834</x:v>
      </x:c>
      <x:c r="B2531" s="274" t="n">
        <x:v>1.28</x:v>
      </x:c>
      <x:c r="C2531" s="274" t="n">
        <x:v>0</x:v>
      </x:c>
      <x:c r="D2531" s="274" t="n">
        <x:v>0</x:v>
      </x:c>
      <x:c r="F2531" s="274" t="s">
        <x:v>133</x:v>
      </x:c>
      <x:c r="G2531" s="274" t="s">
        <x:v>134</x:v>
      </x:c>
      <x:c r="I2531" s="274" t="n">
        <x:v>2</x:v>
      </x:c>
      <x:c r="J2531" s="274" t="n">
        <x:v>75</x:v>
      </x:c>
      <x:c r="K2531" s="274" t="n">
        <x:v>1088</x:v>
      </x:c>
      <x:c r="M2531" s="274" t="s">
        <x:v>4835</x:v>
      </x:c>
      <x:c r="N2531" s="274" t="s">
        <x:v>3671</x:v>
      </x:c>
    </x:row>
    <x:row r="2532" spans="1:14">
      <x:c r="A2532" s="274" t="s">
        <x:v>4836</x:v>
      </x:c>
      <x:c r="B2532" s="274" t="n">
        <x:v>2.73</x:v>
      </x:c>
      <x:c r="C2532" s="274" t="n">
        <x:v>0</x:v>
      </x:c>
      <x:c r="D2532" s="274" t="n">
        <x:v>0</x:v>
      </x:c>
      <x:c r="F2532" s="274" t="s">
        <x:v>333</x:v>
      </x:c>
      <x:c r="G2532" s="274" t="s">
        <x:v>334</x:v>
      </x:c>
      <x:c r="I2532" s="274" t="n">
        <x:v>1.2</x:v>
      </x:c>
      <x:c r="J2532" s="274" t="n">
        <x:v>643</x:v>
      </x:c>
      <x:c r="K2532" s="274" t="n">
        <x:v>450</x:v>
      </x:c>
      <x:c r="M2532" s="274" t="s">
        <x:v>4837</x:v>
      </x:c>
      <x:c r="N2532" s="274" t="s">
        <x:v>3671</x:v>
      </x:c>
    </x:row>
    <x:row r="2533" spans="1:14">
      <x:c r="A2533" s="274" t="s">
        <x:v>4838</x:v>
      </x:c>
      <x:c r="B2533" s="274" t="n">
        <x:v>0.37</x:v>
      </x:c>
      <x:c r="C2533" s="274" t="n">
        <x:v>0</x:v>
      </x:c>
      <x:c r="D2533" s="274" t="n">
        <x:v>0</x:v>
      </x:c>
      <x:c r="F2533" s="274" t="s">
        <x:v>333</x:v>
      </x:c>
      <x:c r="G2533" s="274" t="s">
        <x:v>124</x:v>
      </x:c>
      <x:c r="I2533" s="274" t="n">
        <x:v>1.2</x:v>
      </x:c>
      <x:c r="J2533" s="274" t="n">
        <x:v>67</x:v>
      </x:c>
      <x:c r="K2533" s="274" t="n">
        <x:v>587</x:v>
      </x:c>
      <x:c r="M2533" s="274" t="s">
        <x:v>4839</x:v>
      </x:c>
      <x:c r="N2533" s="274" t="s">
        <x:v>3671</x:v>
      </x:c>
    </x:row>
    <x:row r="2534" spans="1:14">
      <x:c r="A2534" s="274" t="s">
        <x:v>4840</x:v>
      </x:c>
      <x:c r="B2534" s="274" t="n">
        <x:v>0.4</x:v>
      </x:c>
      <x:c r="C2534" s="274" t="n">
        <x:v>0</x:v>
      </x:c>
      <x:c r="D2534" s="274" t="n">
        <x:v>0</x:v>
      </x:c>
      <x:c r="F2534" s="274" t="s">
        <x:v>333</x:v>
      </x:c>
      <x:c r="G2534" s="274" t="s">
        <x:v>124</x:v>
      </x:c>
      <x:c r="I2534" s="274" t="n">
        <x:v>1.2</x:v>
      </x:c>
      <x:c r="J2534" s="274" t="n">
        <x:v>184</x:v>
      </x:c>
      <x:c r="K2534" s="274" t="n">
        <x:v>231</x:v>
      </x:c>
      <x:c r="M2534" s="274" t="s">
        <x:v>4841</x:v>
      </x:c>
      <x:c r="N2534" s="274" t="s">
        <x:v>3671</x:v>
      </x:c>
    </x:row>
    <x:row r="2535" spans="1:14">
      <x:c r="A2535" s="274" t="s">
        <x:v>4842</x:v>
      </x:c>
      <x:c r="B2535" s="274" t="n">
        <x:v>0.91</x:v>
      </x:c>
      <x:c r="C2535" s="274" t="n">
        <x:v>0</x:v>
      </x:c>
      <x:c r="D2535" s="274" t="n">
        <x:v>0</x:v>
      </x:c>
      <x:c r="F2535" s="274" t="s">
        <x:v>333</x:v>
      </x:c>
      <x:c r="G2535" s="274" t="s">
        <x:v>124</x:v>
      </x:c>
      <x:c r="I2535" s="274" t="n">
        <x:v>1.2</x:v>
      </x:c>
      <x:c r="J2535" s="274" t="n">
        <x:v>183</x:v>
      </x:c>
      <x:c r="K2535" s="274" t="n">
        <x:v>529</x:v>
      </x:c>
      <x:c r="M2535" s="274" t="s">
        <x:v>4843</x:v>
      </x:c>
      <x:c r="N2535" s="274" t="s">
        <x:v>3671</x:v>
      </x:c>
    </x:row>
    <x:row r="2536" spans="1:14">
      <x:c r="A2536" s="274" t="s">
        <x:v>4844</x:v>
      </x:c>
      <x:c r="B2536" s="274" t="n">
        <x:v>1.35</x:v>
      </x:c>
      <x:c r="C2536" s="274" t="n">
        <x:v>0</x:v>
      </x:c>
      <x:c r="D2536" s="274" t="n">
        <x:v>0</x:v>
      </x:c>
      <x:c r="F2536" s="274" t="s">
        <x:v>333</x:v>
      </x:c>
      <x:c r="G2536" s="274" t="s">
        <x:v>124</x:v>
      </x:c>
      <x:c r="I2536" s="274" t="n">
        <x:v>1.2</x:v>
      </x:c>
      <x:c r="J2536" s="274" t="n">
        <x:v>187</x:v>
      </x:c>
      <x:c r="K2536" s="274" t="n">
        <x:v>769</x:v>
      </x:c>
      <x:c r="M2536" s="274" t="s">
        <x:v>4845</x:v>
      </x:c>
      <x:c r="N2536" s="274" t="s">
        <x:v>3671</x:v>
      </x:c>
    </x:row>
    <x:row r="2537" spans="1:14">
      <x:c r="A2537" s="274" t="s">
        <x:v>4846</x:v>
      </x:c>
      <x:c r="B2537" s="274" t="n">
        <x:v>0.27</x:v>
      </x:c>
      <x:c r="C2537" s="274" t="n">
        <x:v>0</x:v>
      </x:c>
      <x:c r="D2537" s="274" t="n">
        <x:v>0</x:v>
      </x:c>
      <x:c r="F2537" s="274" t="s">
        <x:v>133</x:v>
      </x:c>
      <x:c r="G2537" s="274" t="s">
        <x:v>136</x:v>
      </x:c>
      <x:c r="H2537" s="274" t="n">
        <x:v>45</x:v>
      </x:c>
      <x:c r="I2537" s="274" t="n">
        <x:v>1.2</x:v>
      </x:c>
      <x:c r="J2537" s="274" t="n">
        <x:v>136</x:v>
      </x:c>
      <x:c r="K2537" s="274" t="n">
        <x:v>212</x:v>
      </x:c>
      <x:c r="M2537" s="274" t="s">
        <x:v>4847</x:v>
      </x:c>
      <x:c r="N2537" s="274" t="s">
        <x:v>3671</x:v>
      </x:c>
    </x:row>
    <x:row r="2538" spans="1:14">
      <x:c r="A2538" s="274" t="s">
        <x:v>4848</x:v>
      </x:c>
      <x:c r="B2538" s="274" t="n">
        <x:v>0.67</x:v>
      </x:c>
      <x:c r="C2538" s="274" t="n">
        <x:v>0</x:v>
      </x:c>
      <x:c r="D2538" s="274" t="n">
        <x:v>0</x:v>
      </x:c>
      <x:c r="F2538" s="274" t="s">
        <x:v>133</x:v>
      </x:c>
      <x:c r="G2538" s="274" t="s">
        <x:v>144</x:v>
      </x:c>
      <x:c r="H2538" s="274" t="n">
        <x:v>45</x:v>
      </x:c>
      <x:c r="I2538" s="274" t="n">
        <x:v>1.2</x:v>
      </x:c>
      <x:c r="J2538" s="274" t="n">
        <x:v>259</x:v>
      </x:c>
      <x:c r="K2538" s="274" t="n">
        <x:v>270</x:v>
      </x:c>
      <x:c r="M2538" s="274" t="s">
        <x:v>4849</x:v>
      </x:c>
      <x:c r="N2538" s="274" t="s">
        <x:v>3671</x:v>
      </x:c>
    </x:row>
    <x:row r="2539" spans="1:14">
      <x:c r="A2539" s="274" t="s">
        <x:v>4850</x:v>
      </x:c>
      <x:c r="B2539" s="274" t="n">
        <x:v>0.82</x:v>
      </x:c>
      <x:c r="C2539" s="274" t="n">
        <x:v>0</x:v>
      </x:c>
      <x:c r="D2539" s="274" t="n">
        <x:v>0</x:v>
      </x:c>
      <x:c r="F2539" s="274" t="s">
        <x:v>133</x:v>
      </x:c>
      <x:c r="G2539" s="274" t="s">
        <x:v>144</x:v>
      </x:c>
      <x:c r="H2539" s="274" t="n">
        <x:v>45</x:v>
      </x:c>
      <x:c r="I2539" s="274" t="n">
        <x:v>1.2</x:v>
      </x:c>
      <x:c r="J2539" s="274" t="n">
        <x:v>153</x:v>
      </x:c>
      <x:c r="K2539" s="274" t="n">
        <x:v>566</x:v>
      </x:c>
      <x:c r="M2539" s="274" t="s">
        <x:v>4851</x:v>
      </x:c>
      <x:c r="N2539" s="274" t="s">
        <x:v>3671</x:v>
      </x:c>
    </x:row>
    <x:row r="2540" spans="1:14">
      <x:c r="A2540" s="274" t="s">
        <x:v>4852</x:v>
      </x:c>
      <x:c r="B2540" s="274" t="n">
        <x:v>2.55</x:v>
      </x:c>
      <x:c r="C2540" s="274" t="n">
        <x:v>0</x:v>
      </x:c>
      <x:c r="D2540" s="274" t="n">
        <x:v>0</x:v>
      </x:c>
      <x:c r="F2540" s="274" t="s">
        <x:v>133</x:v>
      </x:c>
      <x:c r="G2540" s="274" t="s">
        <x:v>144</x:v>
      </x:c>
      <x:c r="H2540" s="274" t="n">
        <x:v>45</x:v>
      </x:c>
      <x:c r="I2540" s="274" t="n">
        <x:v>1.2</x:v>
      </x:c>
      <x:c r="J2540" s="274" t="n">
        <x:v>292</x:v>
      </x:c>
      <x:c r="K2540" s="274" t="n">
        <x:v>919</x:v>
      </x:c>
      <x:c r="M2540" s="274" t="s">
        <x:v>4853</x:v>
      </x:c>
      <x:c r="N2540" s="274" t="s">
        <x:v>3671</x:v>
      </x:c>
    </x:row>
    <x:row r="2541" spans="1:14">
      <x:c r="A2541" s="274" t="s">
        <x:v>4854</x:v>
      </x:c>
      <x:c r="B2541" s="274" t="n">
        <x:v>0.44</x:v>
      </x:c>
      <x:c r="C2541" s="274" t="n">
        <x:v>0</x:v>
      </x:c>
      <x:c r="D2541" s="274" t="n">
        <x:v>0</x:v>
      </x:c>
      <x:c r="F2541" s="274" t="s">
        <x:v>133</x:v>
      </x:c>
      <x:c r="G2541" s="274" t="s">
        <x:v>144</x:v>
      </x:c>
      <x:c r="H2541" s="274" t="n">
        <x:v>45</x:v>
      </x:c>
      <x:c r="I2541" s="274" t="n">
        <x:v>1.2</x:v>
      </x:c>
      <x:c r="J2541" s="274" t="n">
        <x:v>183</x:v>
      </x:c>
      <x:c r="K2541" s="274" t="n">
        <x:v>250</x:v>
      </x:c>
      <x:c r="M2541" s="274" t="s">
        <x:v>4855</x:v>
      </x:c>
      <x:c r="N2541" s="274" t="s">
        <x:v>3671</x:v>
      </x:c>
    </x:row>
    <x:row r="2542" spans="1:14">
      <x:c r="A2542" s="274" t="s">
        <x:v>4856</x:v>
      </x:c>
      <x:c r="B2542" s="274" t="n">
        <x:v>0.54</x:v>
      </x:c>
      <x:c r="C2542" s="274" t="n">
        <x:v>0</x:v>
      </x:c>
      <x:c r="D2542" s="274" t="n">
        <x:v>0</x:v>
      </x:c>
      <x:c r="F2542" s="274" t="s">
        <x:v>133</x:v>
      </x:c>
      <x:c r="G2542" s="274" t="s">
        <x:v>144</x:v>
      </x:c>
      <x:c r="H2542" s="274" t="n">
        <x:v>45</x:v>
      </x:c>
      <x:c r="I2542" s="274" t="n">
        <x:v>1.2</x:v>
      </x:c>
      <x:c r="J2542" s="274" t="n">
        <x:v>206</x:v>
      </x:c>
      <x:c r="K2542" s="274" t="n">
        <x:v>277</x:v>
      </x:c>
      <x:c r="M2542" s="274" t="s">
        <x:v>4857</x:v>
      </x:c>
      <x:c r="N2542" s="274" t="s">
        <x:v>3671</x:v>
      </x:c>
    </x:row>
    <x:row r="2543" spans="1:14">
      <x:c r="A2543" s="274" t="s">
        <x:v>4858</x:v>
      </x:c>
      <x:c r="B2543" s="274" t="n">
        <x:v>0.51</x:v>
      </x:c>
      <x:c r="C2543" s="274" t="n">
        <x:v>0</x:v>
      </x:c>
      <x:c r="D2543" s="274" t="n">
        <x:v>0</x:v>
      </x:c>
      <x:c r="F2543" s="274" t="s">
        <x:v>333</x:v>
      </x:c>
      <x:c r="G2543" s="274" t="s">
        <x:v>209</x:v>
      </x:c>
      <x:c r="I2543" s="274" t="n">
        <x:v>1.2</x:v>
      </x:c>
      <x:c r="J2543" s="274" t="n">
        <x:v>308</x:v>
      </x:c>
      <x:c r="K2543" s="274" t="n">
        <x:v>175</x:v>
      </x:c>
      <x:c r="M2543" s="274" t="s">
        <x:v>4859</x:v>
      </x:c>
      <x:c r="N2543" s="274" t="s">
        <x:v>3671</x:v>
      </x:c>
    </x:row>
    <x:row r="2544" spans="1:14">
      <x:c r="A2544" s="274" t="s">
        <x:v>4860</x:v>
      </x:c>
      <x:c r="B2544" s="274" t="n">
        <x:v>3.6</x:v>
      </x:c>
      <x:c r="C2544" s="274" t="n">
        <x:v>0</x:v>
      </x:c>
      <x:c r="D2544" s="274" t="n">
        <x:v>0</x:v>
      </x:c>
      <x:c r="F2544" s="274" t="s">
        <x:v>133</x:v>
      </x:c>
      <x:c r="G2544" s="274" t="s">
        <x:v>136</x:v>
      </x:c>
      <x:c r="H2544" s="274" t="n">
        <x:v>45</x:v>
      </x:c>
      <x:c r="I2544" s="274" t="n">
        <x:v>1.2</x:v>
      </x:c>
      <x:c r="J2544" s="274" t="n">
        <x:v>655</x:v>
      </x:c>
      <x:c r="K2544" s="274" t="n">
        <x:v>578</x:v>
      </x:c>
      <x:c r="M2544" s="274" t="s">
        <x:v>4861</x:v>
      </x:c>
      <x:c r="N2544" s="274" t="s">
        <x:v>3671</x:v>
      </x:c>
    </x:row>
    <x:row r="2545" spans="1:14">
      <x:c r="A2545" s="274" t="s">
        <x:v>4862</x:v>
      </x:c>
      <x:c r="B2545" s="274" t="n">
        <x:v>2.65</x:v>
      </x:c>
      <x:c r="C2545" s="274" t="n">
        <x:v>0</x:v>
      </x:c>
      <x:c r="D2545" s="274" t="n">
        <x:v>0</x:v>
      </x:c>
      <x:c r="F2545" s="274" t="s">
        <x:v>184</x:v>
      </x:c>
      <x:c r="G2545" s="274" t="s">
        <x:v>4782</x:v>
      </x:c>
      <x:c r="H2545" s="274" t="s">
        <x:v>4471</x:v>
      </x:c>
      <x:c r="I2545" s="274" t="n">
        <x:v>1.2</x:v>
      </x:c>
      <x:c r="J2545" s="274" t="n">
        <x:v>234</x:v>
      </x:c>
      <x:c r="K2545" s="274" t="n">
        <x:v>1200</x:v>
      </x:c>
      <x:c r="M2545" s="274" t="s">
        <x:v>4863</x:v>
      </x:c>
      <x:c r="N2545" s="274" t="s">
        <x:v>4258</x:v>
      </x:c>
    </x:row>
    <x:row r="2546" spans="1:14">
      <x:c r="A2546" s="274" t="s">
        <x:v>4864</x:v>
      </x:c>
      <x:c r="B2546" s="274" t="n">
        <x:v>3.87</x:v>
      </x:c>
      <x:c r="C2546" s="274" t="n">
        <x:v>0</x:v>
      </x:c>
      <x:c r="D2546" s="274" t="n">
        <x:v>0</x:v>
      </x:c>
      <x:c r="F2546" s="274" t="s">
        <x:v>184</x:v>
      </x:c>
      <x:c r="G2546" s="274" t="s">
        <x:v>4782</x:v>
      </x:c>
      <x:c r="H2546" s="274" t="s">
        <x:v>4471</x:v>
      </x:c>
      <x:c r="I2546" s="274" t="n">
        <x:v>1.8</x:v>
      </x:c>
      <x:c r="J2546" s="274" t="n">
        <x:v>228</x:v>
      </x:c>
      <x:c r="K2546" s="274" t="n">
        <x:v>1200</x:v>
      </x:c>
      <x:c r="M2546" s="274" t="s">
        <x:v>4865</x:v>
      </x:c>
      <x:c r="N2546" s="274" t="s">
        <x:v>4258</x:v>
      </x:c>
    </x:row>
    <x:row r="2547" spans="1:14">
      <x:c r="A2547" s="274" t="s">
        <x:v>4866</x:v>
      </x:c>
      <x:c r="B2547" s="274" t="n">
        <x:v>4.47</x:v>
      </x:c>
      <x:c r="C2547" s="274" t="n">
        <x:v>0</x:v>
      </x:c>
      <x:c r="D2547" s="274" t="n">
        <x:v>0</x:v>
      </x:c>
      <x:c r="F2547" s="274" t="s">
        <x:v>333</x:v>
      </x:c>
      <x:c r="G2547" s="274" t="s">
        <x:v>4796</x:v>
      </x:c>
      <x:c r="I2547" s="274" t="n">
        <x:v>1</x:v>
      </x:c>
      <x:c r="J2547" s="274" t="n">
        <x:v>475</x:v>
      </x:c>
      <x:c r="K2547" s="274" t="n">
        <x:v>1200</x:v>
      </x:c>
      <x:c r="M2547" s="274" t="s">
        <x:v>4867</x:v>
      </x:c>
      <x:c r="N2547" s="274" t="s">
        <x:v>4258</x:v>
      </x:c>
    </x:row>
    <x:row r="2548" spans="1:14">
      <x:c r="A2548" s="274" t="s">
        <x:v>4868</x:v>
      </x:c>
      <x:c r="B2548" s="274" t="n">
        <x:v>1.73</x:v>
      </x:c>
      <x:c r="C2548" s="274" t="n">
        <x:v>0</x:v>
      </x:c>
      <x:c r="D2548" s="274" t="n">
        <x:v>0</x:v>
      </x:c>
      <x:c r="F2548" s="274" t="s">
        <x:v>184</x:v>
      </x:c>
      <x:c r="G2548" s="274" t="s">
        <x:v>4782</x:v>
      </x:c>
      <x:c r="H2548" s="274" t="s">
        <x:v>4471</x:v>
      </x:c>
      <x:c r="I2548" s="274" t="n">
        <x:v>1.6</x:v>
      </x:c>
      <x:c r="J2548" s="274" t="n">
        <x:v>115</x:v>
      </x:c>
      <x:c r="K2548" s="274" t="n">
        <x:v>1200</x:v>
      </x:c>
      <x:c r="M2548" s="274" t="s">
        <x:v>4869</x:v>
      </x:c>
      <x:c r="N2548" s="274" t="s">
        <x:v>4258</x:v>
      </x:c>
    </x:row>
    <x:row r="2549" spans="1:14">
      <x:c r="A2549" s="274" t="s">
        <x:v>4870</x:v>
      </x:c>
      <x:c r="B2549" s="274" t="n">
        <x:v>0.74</x:v>
      </x:c>
      <x:c r="C2549" s="274" t="n">
        <x:v>0</x:v>
      </x:c>
      <x:c r="D2549" s="274" t="n">
        <x:v>0</x:v>
      </x:c>
      <x:c r="F2549" s="274" t="s">
        <x:v>333</x:v>
      </x:c>
      <x:c r="G2549" s="274" t="s">
        <x:v>4663</x:v>
      </x:c>
      <x:c r="I2549" s="274" t="n">
        <x:v>1</x:v>
      </x:c>
      <x:c r="J2549" s="274" t="n">
        <x:v>375</x:v>
      </x:c>
      <x:c r="K2549" s="274" t="n">
        <x:v>250</x:v>
      </x:c>
      <x:c r="M2549" s="274" t="s">
        <x:v>4871</x:v>
      </x:c>
      <x:c r="N2549" s="274" t="s">
        <x:v>4258</x:v>
      </x:c>
    </x:row>
    <x:row r="2550" spans="1:14">
      <x:c r="A2550" s="274" t="s">
        <x:v>4872</x:v>
      </x:c>
      <x:c r="B2550" s="274" t="n">
        <x:v>2.72</x:v>
      </x:c>
      <x:c r="C2550" s="274" t="n">
        <x:v>0</x:v>
      </x:c>
      <x:c r="D2550" s="274" t="n">
        <x:v>0</x:v>
      </x:c>
      <x:c r="F2550" s="274" t="s">
        <x:v>333</x:v>
      </x:c>
      <x:c r="G2550" s="274" t="s">
        <x:v>4663</x:v>
      </x:c>
      <x:c r="I2550" s="274" t="n">
        <x:v>1.4</x:v>
      </x:c>
      <x:c r="J2550" s="274" t="n">
        <x:v>275</x:v>
      </x:c>
      <x:c r="K2550" s="274" t="n">
        <x:v>900</x:v>
      </x:c>
      <x:c r="M2550" s="274" t="s">
        <x:v>4873</x:v>
      </x:c>
      <x:c r="N2550" s="274" t="s">
        <x:v>4258</x:v>
      </x:c>
    </x:row>
    <x:row r="2551" spans="1:14">
      <x:c r="A2551" s="274" t="s">
        <x:v>4874</x:v>
      </x:c>
      <x:c r="B2551" s="274" t="n">
        <x:v>2.35</x:v>
      </x:c>
      <x:c r="C2551" s="274" t="n">
        <x:v>0</x:v>
      </x:c>
      <x:c r="D2551" s="274" t="n">
        <x:v>0</x:v>
      </x:c>
      <x:c r="F2551" s="274" t="s">
        <x:v>333</x:v>
      </x:c>
      <x:c r="G2551" s="274" t="s">
        <x:v>209</x:v>
      </x:c>
      <x:c r="I2551" s="274" t="n">
        <x:v>1.4</x:v>
      </x:c>
      <x:c r="J2551" s="274" t="n">
        <x:v>210</x:v>
      </x:c>
      <x:c r="K2551" s="274" t="n">
        <x:v>1020</x:v>
      </x:c>
      <x:c r="M2551" s="274" t="s">
        <x:v>4875</x:v>
      </x:c>
      <x:c r="N2551" s="274" t="s">
        <x:v>3671</x:v>
      </x:c>
    </x:row>
    <x:row r="2552" spans="1:14">
      <x:c r="A2552" s="274" t="s">
        <x:v>4876</x:v>
      </x:c>
      <x:c r="B2552" s="274" t="n">
        <x:v>2.03</x:v>
      </x:c>
      <x:c r="C2552" s="274" t="n">
        <x:v>0</x:v>
      </x:c>
      <x:c r="D2552" s="274" t="n">
        <x:v>0</x:v>
      </x:c>
      <x:c r="F2552" s="274" t="s">
        <x:v>333</x:v>
      </x:c>
      <x:c r="G2552" s="274" t="s">
        <x:v>153</x:v>
      </x:c>
      <x:c r="I2552" s="274" t="n">
        <x:v>1.4</x:v>
      </x:c>
      <x:c r="J2552" s="274" t="n">
        <x:v>185</x:v>
      </x:c>
      <x:c r="K2552" s="274" t="n">
        <x:v>996</x:v>
      </x:c>
      <x:c r="M2552" s="274" t="s">
        <x:v>4877</x:v>
      </x:c>
      <x:c r="N2552" s="274" t="s">
        <x:v>3671</x:v>
      </x:c>
    </x:row>
    <x:row r="2553" spans="1:14">
      <x:c r="A2553" s="274" t="s">
        <x:v>4878</x:v>
      </x:c>
      <x:c r="B2553" s="274" t="n">
        <x:v>3.15</x:v>
      </x:c>
      <x:c r="C2553" s="274" t="n">
        <x:v>0</x:v>
      </x:c>
      <x:c r="D2553" s="274" t="n">
        <x:v>0</x:v>
      </x:c>
      <x:c r="F2553" s="274" t="s">
        <x:v>333</x:v>
      </x:c>
      <x:c r="G2553" s="274" t="s">
        <x:v>209</x:v>
      </x:c>
      <x:c r="I2553" s="274" t="n">
        <x:v>1.2</x:v>
      </x:c>
      <x:c r="J2553" s="274" t="n">
        <x:v>310</x:v>
      </x:c>
      <x:c r="K2553" s="274" t="n">
        <x:v>1080</x:v>
      </x:c>
      <x:c r="M2553" s="274" t="s">
        <x:v>4879</x:v>
      </x:c>
      <x:c r="N2553" s="274" t="s">
        <x:v>3671</x:v>
      </x:c>
    </x:row>
    <x:row r="2554" spans="1:14">
      <x:c r="A2554" s="274" t="s">
        <x:v>4880</x:v>
      </x:c>
      <x:c r="B2554" s="274" t="n">
        <x:v>1.26</x:v>
      </x:c>
      <x:c r="C2554" s="274" t="n">
        <x:v>0</x:v>
      </x:c>
      <x:c r="D2554" s="274" t="n">
        <x:v>0</x:v>
      </x:c>
      <x:c r="F2554" s="274" t="s">
        <x:v>333</x:v>
      </x:c>
      <x:c r="G2554" s="274" t="s">
        <x:v>209</x:v>
      </x:c>
      <x:c r="I2554" s="274" t="n">
        <x:v>1.2</x:v>
      </x:c>
      <x:c r="J2554" s="274" t="n">
        <x:v>133</x:v>
      </x:c>
      <x:c r="K2554" s="274" t="n">
        <x:v>1008</x:v>
      </x:c>
      <x:c r="M2554" s="274" t="s">
        <x:v>4881</x:v>
      </x:c>
      <x:c r="N2554" s="274" t="s">
        <x:v>3671</x:v>
      </x:c>
    </x:row>
    <x:row r="2555" spans="1:14">
      <x:c r="A2555" s="274" t="s">
        <x:v>4882</x:v>
      </x:c>
      <x:c r="B2555" s="274" t="n">
        <x:v>1.34</x:v>
      </x:c>
      <x:c r="C2555" s="274" t="n">
        <x:v>0</x:v>
      </x:c>
      <x:c r="D2555" s="274" t="n">
        <x:v>0</x:v>
      </x:c>
      <x:c r="F2555" s="274" t="s">
        <x:v>333</x:v>
      </x:c>
      <x:c r="G2555" s="274" t="s">
        <x:v>209</x:v>
      </x:c>
      <x:c r="I2555" s="274" t="n">
        <x:v>1.2</x:v>
      </x:c>
      <x:c r="J2555" s="274" t="n">
        <x:v>137</x:v>
      </x:c>
      <x:c r="K2555" s="274" t="n">
        <x:v>1040</x:v>
      </x:c>
      <x:c r="M2555" s="274" t="s">
        <x:v>4883</x:v>
      </x:c>
      <x:c r="N2555" s="274" t="s">
        <x:v>3671</x:v>
      </x:c>
    </x:row>
    <x:row r="2556" spans="1:14">
      <x:c r="A2556" s="274" t="s">
        <x:v>4884</x:v>
      </x:c>
      <x:c r="B2556" s="274" t="n">
        <x:v>2.37</x:v>
      </x:c>
      <x:c r="C2556" s="274" t="n">
        <x:v>0</x:v>
      </x:c>
      <x:c r="D2556" s="274" t="n">
        <x:v>0</x:v>
      </x:c>
      <x:c r="F2556" s="274" t="s">
        <x:v>333</x:v>
      </x:c>
      <x:c r="G2556" s="274" t="s">
        <x:v>209</x:v>
      </x:c>
      <x:c r="I2556" s="274" t="n">
        <x:v>1.4</x:v>
      </x:c>
      <x:c r="J2556" s="274" t="n">
        <x:v>200</x:v>
      </x:c>
      <x:c r="K2556" s="274" t="n">
        <x:v>1078</x:v>
      </x:c>
      <x:c r="M2556" s="274" t="s">
        <x:v>4885</x:v>
      </x:c>
      <x:c r="N2556" s="274" t="s">
        <x:v>3671</x:v>
      </x:c>
    </x:row>
    <x:row r="2557" spans="1:14">
      <x:c r="A2557" s="274" t="s">
        <x:v>4886</x:v>
      </x:c>
      <x:c r="B2557" s="274" t="n">
        <x:v>2.3</x:v>
      </x:c>
      <x:c r="C2557" s="274" t="n">
        <x:v>0</x:v>
      </x:c>
      <x:c r="D2557" s="274" t="n">
        <x:v>0</x:v>
      </x:c>
      <x:c r="F2557" s="274" t="s">
        <x:v>333</x:v>
      </x:c>
      <x:c r="G2557" s="274" t="s">
        <x:v>209</x:v>
      </x:c>
      <x:c r="I2557" s="274" t="n">
        <x:v>1.4</x:v>
      </x:c>
      <x:c r="J2557" s="274" t="n">
        <x:v>200</x:v>
      </x:c>
      <x:c r="K2557" s="274" t="n">
        <x:v>1045</x:v>
      </x:c>
      <x:c r="M2557" s="274" t="s">
        <x:v>4887</x:v>
      </x:c>
      <x:c r="N2557" s="274" t="s">
        <x:v>3671</x:v>
      </x:c>
    </x:row>
    <x:row r="2558" spans="1:14">
      <x:c r="A2558" s="274" t="s">
        <x:v>4888</x:v>
      </x:c>
      <x:c r="B2558" s="274" t="n">
        <x:v>0.59</x:v>
      </x:c>
      <x:c r="C2558" s="274" t="n">
        <x:v>0</x:v>
      </x:c>
      <x:c r="D2558" s="274" t="n">
        <x:v>0</x:v>
      </x:c>
      <x:c r="F2558" s="274" t="s">
        <x:v>333</x:v>
      </x:c>
      <x:c r="G2558" s="274" t="s">
        <x:v>209</x:v>
      </x:c>
      <x:c r="I2558" s="274" t="n">
        <x:v>1</x:v>
      </x:c>
      <x:c r="J2558" s="274" t="n">
        <x:v>70</x:v>
      </x:c>
      <x:c r="K2558" s="274" t="n">
        <x:v>1078</x:v>
      </x:c>
      <x:c r="M2558" s="274" t="s">
        <x:v>4889</x:v>
      </x:c>
      <x:c r="N2558" s="274" t="s">
        <x:v>3671</x:v>
      </x:c>
    </x:row>
    <x:row r="2559" spans="1:14">
      <x:c r="A2559" s="274" t="s">
        <x:v>4890</x:v>
      </x:c>
      <x:c r="B2559" s="274" t="n">
        <x:v>2.67</x:v>
      </x:c>
      <x:c r="C2559" s="274" t="n">
        <x:v>0</x:v>
      </x:c>
      <x:c r="D2559" s="274" t="n">
        <x:v>0</x:v>
      </x:c>
      <x:c r="F2559" s="274" t="s">
        <x:v>133</x:v>
      </x:c>
      <x:c r="G2559" s="274" t="s">
        <x:v>134</x:v>
      </x:c>
      <x:c r="I2559" s="274" t="n">
        <x:v>2</x:v>
      </x:c>
      <x:c r="J2559" s="274" t="n">
        <x:v>158</x:v>
      </x:c>
      <x:c r="K2559" s="274" t="n">
        <x:v>1078</x:v>
      </x:c>
      <x:c r="M2559" s="274" t="s">
        <x:v>4891</x:v>
      </x:c>
      <x:c r="N2559" s="274" t="s">
        <x:v>3671</x:v>
      </x:c>
    </x:row>
    <x:row r="2560" spans="1:14">
      <x:c r="A2560" s="274" t="s">
        <x:v>4892</x:v>
      </x:c>
      <x:c r="B2560" s="274" t="n">
        <x:v>10.49</x:v>
      </x:c>
      <x:c r="C2560" s="274" t="n">
        <x:v>0</x:v>
      </x:c>
      <x:c r="D2560" s="274" t="n">
        <x:v>0</x:v>
      </x:c>
      <x:c r="F2560" s="274" t="s">
        <x:v>133</x:v>
      </x:c>
      <x:c r="G2560" s="274" t="s">
        <x:v>4893</x:v>
      </x:c>
      <x:c r="I2560" s="274" t="n">
        <x:v>3.2</x:v>
      </x:c>
      <x:c r="J2560" s="274" t="n">
        <x:v>348</x:v>
      </x:c>
      <x:c r="K2560" s="274" t="n">
        <x:v>1200</x:v>
      </x:c>
      <x:c r="M2560" s="274" t="s">
        <x:v>4894</x:v>
      </x:c>
      <x:c r="N2560" s="274" t="s">
        <x:v>4258</x:v>
      </x:c>
    </x:row>
    <x:row r="2561" spans="1:14">
      <x:c r="A2561" s="274" t="s">
        <x:v>4895</x:v>
      </x:c>
      <x:c r="B2561" s="274" t="n">
        <x:v>2.13</x:v>
      </x:c>
      <x:c r="C2561" s="274" t="n">
        <x:v>0</x:v>
      </x:c>
      <x:c r="D2561" s="274" t="n">
        <x:v>0</x:v>
      </x:c>
      <x:c r="F2561" s="274" t="s">
        <x:v>133</x:v>
      </x:c>
      <x:c r="G2561" s="274" t="s">
        <x:v>4329</x:v>
      </x:c>
      <x:c r="I2561" s="274" t="n">
        <x:v>2</x:v>
      </x:c>
      <x:c r="J2561" s="274" t="n">
        <x:v>113</x:v>
      </x:c>
      <x:c r="K2561" s="274" t="n">
        <x:v>1200</x:v>
      </x:c>
      <x:c r="M2561" s="274" t="s">
        <x:v>4896</x:v>
      </x:c>
      <x:c r="N2561" s="274" t="s">
        <x:v>4258</x:v>
      </x:c>
    </x:row>
    <x:row r="2562" spans="1:14">
      <x:c r="A2562" s="274" t="s">
        <x:v>4897</x:v>
      </x:c>
      <x:c r="B2562" s="274" t="n">
        <x:v>2.61</x:v>
      </x:c>
      <x:c r="C2562" s="274" t="n">
        <x:v>0</x:v>
      </x:c>
      <x:c r="D2562" s="274" t="n">
        <x:v>0</x:v>
      </x:c>
      <x:c r="F2562" s="274" t="s">
        <x:v>184</x:v>
      </x:c>
      <x:c r="G2562" s="274" t="s">
        <x:v>4782</x:v>
      </x:c>
      <x:c r="H2562" s="274" t="s">
        <x:v>4471</x:v>
      </x:c>
      <x:c r="I2562" s="274" t="n">
        <x:v>1.4</x:v>
      </x:c>
      <x:c r="J2562" s="274" t="n">
        <x:v>198</x:v>
      </x:c>
      <x:c r="K2562" s="274" t="n">
        <x:v>1200</x:v>
      </x:c>
      <x:c r="M2562" s="274" t="s">
        <x:v>4898</x:v>
      </x:c>
      <x:c r="N2562" s="274" t="s">
        <x:v>4258</x:v>
      </x:c>
    </x:row>
    <x:row r="2563" spans="1:14">
      <x:c r="A2563" s="274" t="s">
        <x:v>4899</x:v>
      </x:c>
      <x:c r="B2563" s="274" t="n">
        <x:v>2.86</x:v>
      </x:c>
      <x:c r="C2563" s="274" t="n">
        <x:v>0</x:v>
      </x:c>
      <x:c r="D2563" s="274" t="n">
        <x:v>0</x:v>
      </x:c>
      <x:c r="F2563" s="274" t="s">
        <x:v>133</x:v>
      </x:c>
      <x:c r="G2563" s="274" t="s">
        <x:v>134</x:v>
      </x:c>
      <x:c r="I2563" s="274" t="n">
        <x:v>2</x:v>
      </x:c>
      <x:c r="J2563" s="274" t="n">
        <x:v>176</x:v>
      </x:c>
      <x:c r="K2563" s="274" t="n">
        <x:v>1035</x:v>
      </x:c>
      <x:c r="M2563" s="274" t="s">
        <x:v>4900</x:v>
      </x:c>
      <x:c r="N2563" s="274" t="s">
        <x:v>3671</x:v>
      </x:c>
    </x:row>
    <x:row r="2564" spans="1:14">
      <x:c r="A2564" s="274" t="s">
        <x:v>4901</x:v>
      </x:c>
      <x:c r="B2564" s="274" t="n">
        <x:v>1</x:v>
      </x:c>
      <x:c r="C2564" s="274" t="n">
        <x:v>0</x:v>
      </x:c>
      <x:c r="D2564" s="274" t="n">
        <x:v>0</x:v>
      </x:c>
      <x:c r="F2564" s="274" t="s">
        <x:v>333</x:v>
      </x:c>
      <x:c r="G2564" s="274" t="s">
        <x:v>209</x:v>
      </x:c>
      <x:c r="I2564" s="274" t="n">
        <x:v>1.2</x:v>
      </x:c>
      <x:c r="J2564" s="274" t="n">
        <x:v>100</x:v>
      </x:c>
      <x:c r="K2564" s="274" t="n">
        <x:v>1064</x:v>
      </x:c>
      <x:c r="M2564" s="274" t="s">
        <x:v>4902</x:v>
      </x:c>
      <x:c r="N2564" s="274" t="s">
        <x:v>3671</x:v>
      </x:c>
    </x:row>
    <x:row r="2565" spans="1:14">
      <x:c r="A2565" s="274" t="s">
        <x:v>4903</x:v>
      </x:c>
      <x:c r="B2565" s="274" t="n">
        <x:v>2.76</x:v>
      </x:c>
      <x:c r="C2565" s="274" t="n">
        <x:v>0</x:v>
      </x:c>
      <x:c r="D2565" s="274" t="n">
        <x:v>0</x:v>
      </x:c>
      <x:c r="F2565" s="274" t="s">
        <x:v>333</x:v>
      </x:c>
      <x:c r="G2565" s="274" t="s">
        <x:v>209</x:v>
      </x:c>
      <x:c r="I2565" s="274" t="n">
        <x:v>1.4</x:v>
      </x:c>
      <x:c r="J2565" s="274" t="n">
        <x:v>246</x:v>
      </x:c>
      <x:c r="K2565" s="274" t="n">
        <x:v>1020</x:v>
      </x:c>
      <x:c r="M2565" s="274" t="s">
        <x:v>4904</x:v>
      </x:c>
      <x:c r="N2565" s="274" t="s">
        <x:v>3671</x:v>
      </x:c>
    </x:row>
    <x:row r="2566" spans="1:14">
      <x:c r="A2566" s="274" t="s">
        <x:v>4905</x:v>
      </x:c>
      <x:c r="B2566" s="274" t="n">
        <x:v>4.92</x:v>
      </x:c>
      <x:c r="C2566" s="274" t="n">
        <x:v>0</x:v>
      </x:c>
      <x:c r="D2566" s="274" t="n">
        <x:v>0</x:v>
      </x:c>
      <x:c r="F2566" s="274" t="s">
        <x:v>133</x:v>
      </x:c>
      <x:c r="G2566" s="274" t="s">
        <x:v>4329</x:v>
      </x:c>
      <x:c r="I2566" s="274" t="n">
        <x:v>2.6</x:v>
      </x:c>
      <x:c r="J2566" s="274" t="n">
        <x:v>201</x:v>
      </x:c>
      <x:c r="K2566" s="274" t="n">
        <x:v>1200</x:v>
      </x:c>
      <x:c r="M2566" s="274" t="s">
        <x:v>4906</x:v>
      </x:c>
      <x:c r="N2566" s="274" t="s">
        <x:v>4258</x:v>
      </x:c>
    </x:row>
    <x:row r="2567" spans="1:14">
      <x:c r="A2567" s="274" t="s">
        <x:v>4907</x:v>
      </x:c>
      <x:c r="B2567" s="274" t="n">
        <x:v>2.65</x:v>
      </x:c>
      <x:c r="C2567" s="274" t="n">
        <x:v>0</x:v>
      </x:c>
      <x:c r="D2567" s="274" t="n">
        <x:v>0</x:v>
      </x:c>
      <x:c r="F2567" s="274" t="s">
        <x:v>133</x:v>
      </x:c>
      <x:c r="G2567" s="274" t="s">
        <x:v>148</x:v>
      </x:c>
      <x:c r="I2567" s="274" t="n">
        <x:v>2</x:v>
      </x:c>
      <x:c r="J2567" s="274" t="n">
        <x:v>156</x:v>
      </x:c>
      <x:c r="K2567" s="274" t="n">
        <x:v>1080</x:v>
      </x:c>
      <x:c r="M2567" s="274" t="s">
        <x:v>4908</x:v>
      </x:c>
      <x:c r="N2567" s="274" t="s">
        <x:v>3671</x:v>
      </x:c>
    </x:row>
    <x:row r="2568" spans="1:14">
      <x:c r="A2568" s="274" t="s">
        <x:v>4909</x:v>
      </x:c>
      <x:c r="B2568" s="274" t="n">
        <x:v>0.8</x:v>
      </x:c>
      <x:c r="C2568" s="274" t="n">
        <x:v>0</x:v>
      </x:c>
      <x:c r="D2568" s="274" t="n">
        <x:v>0</x:v>
      </x:c>
      <x:c r="F2568" s="274" t="s">
        <x:v>333</x:v>
      </x:c>
      <x:c r="G2568" s="274" t="s">
        <x:v>209</x:v>
      </x:c>
      <x:c r="I2568" s="274" t="n">
        <x:v>1.2</x:v>
      </x:c>
      <x:c r="J2568" s="274" t="n">
        <x:v>80</x:v>
      </x:c>
      <x:c r="K2568" s="274" t="n">
        <x:v>1062</x:v>
      </x:c>
      <x:c r="M2568" s="274" t="s">
        <x:v>4910</x:v>
      </x:c>
      <x:c r="N2568" s="274" t="s">
        <x:v>3671</x:v>
      </x:c>
    </x:row>
    <x:row r="2569" spans="1:14">
      <x:c r="A2569" s="274" t="s">
        <x:v>4911</x:v>
      </x:c>
      <x:c r="B2569" s="274" t="n">
        <x:v>0.77</x:v>
      </x:c>
      <x:c r="C2569" s="274" t="n">
        <x:v>0</x:v>
      </x:c>
      <x:c r="D2569" s="274" t="n">
        <x:v>0</x:v>
      </x:c>
      <x:c r="F2569" s="274" t="s">
        <x:v>133</x:v>
      </x:c>
      <x:c r="G2569" s="274" t="s">
        <x:v>4893</x:v>
      </x:c>
      <x:c r="I2569" s="274" t="n">
        <x:v>3.2</x:v>
      </x:c>
      <x:c r="J2569" s="274" t="n">
        <x:v>70</x:v>
      </x:c>
      <x:c r="K2569" s="274" t="n">
        <x:v>440</x:v>
      </x:c>
      <x:c r="M2569" s="274" t="s">
        <x:v>4912</x:v>
      </x:c>
      <x:c r="N2569" s="274" t="s">
        <x:v>4258</x:v>
      </x:c>
    </x:row>
    <x:row r="2570" spans="1:14">
      <x:c r="A2570" s="274" t="s">
        <x:v>4913</x:v>
      </x:c>
      <x:c r="B2570" s="274" t="n">
        <x:v>1.75</x:v>
      </x:c>
      <x:c r="C2570" s="274" t="n">
        <x:v>0</x:v>
      </x:c>
      <x:c r="D2570" s="274" t="n">
        <x:v>0</x:v>
      </x:c>
      <x:c r="F2570" s="274" t="s">
        <x:v>133</x:v>
      </x:c>
      <x:c r="G2570" s="274" t="s">
        <x:v>4329</x:v>
      </x:c>
      <x:c r="I2570" s="274" t="n">
        <x:v>2.6</x:v>
      </x:c>
      <x:c r="J2570" s="274" t="n">
        <x:v>217</x:v>
      </x:c>
      <x:c r="K2570" s="274" t="n">
        <x:v>395</x:v>
      </x:c>
      <x:c r="M2570" s="274" t="s">
        <x:v>4914</x:v>
      </x:c>
      <x:c r="N2570" s="274" t="s">
        <x:v>4258</x:v>
      </x:c>
    </x:row>
    <x:row r="2571" spans="1:14">
      <x:c r="A2571" s="274" t="s">
        <x:v>4915</x:v>
      </x:c>
      <x:c r="B2571" s="274" t="n">
        <x:v>1.22</x:v>
      </x:c>
      <x:c r="C2571" s="274" t="n">
        <x:v>0</x:v>
      </x:c>
      <x:c r="D2571" s="274" t="n">
        <x:v>0</x:v>
      </x:c>
      <x:c r="F2571" s="274" t="s">
        <x:v>333</x:v>
      </x:c>
      <x:c r="G2571" s="274" t="s">
        <x:v>209</x:v>
      </x:c>
      <x:c r="I2571" s="274" t="n">
        <x:v>1</x:v>
      </x:c>
      <x:c r="J2571" s="274" t="n">
        <x:v>148</x:v>
      </x:c>
      <x:c r="K2571" s="274" t="n">
        <x:v>1050</x:v>
      </x:c>
      <x:c r="M2571" s="274" t="s">
        <x:v>4916</x:v>
      </x:c>
      <x:c r="N2571" s="274" t="s">
        <x:v>3671</x:v>
      </x:c>
    </x:row>
    <x:row r="2572" spans="1:14">
      <x:c r="A2572" s="274" t="s">
        <x:v>4917</x:v>
      </x:c>
      <x:c r="B2572" s="274" t="n">
        <x:v>4.6</x:v>
      </x:c>
      <x:c r="C2572" s="274" t="n">
        <x:v>0</x:v>
      </x:c>
      <x:c r="D2572" s="274" t="n">
        <x:v>0</x:v>
      </x:c>
      <x:c r="F2572" s="274" t="s">
        <x:v>333</x:v>
      </x:c>
      <x:c r="G2572" s="274" t="s">
        <x:v>4663</x:v>
      </x:c>
      <x:c r="I2572" s="274" t="n">
        <x:v>1.6</x:v>
      </x:c>
      <x:c r="J2572" s="274" t="n">
        <x:v>440</x:v>
      </x:c>
      <x:c r="K2572" s="274" t="n">
        <x:v>832</x:v>
      </x:c>
      <x:c r="M2572" s="274" t="s">
        <x:v>4918</x:v>
      </x:c>
      <x:c r="N2572" s="274" t="s">
        <x:v>4258</x:v>
      </x:c>
    </x:row>
    <x:row r="2573" spans="1:14">
      <x:c r="A2573" s="274" t="s">
        <x:v>4919</x:v>
      </x:c>
      <x:c r="B2573" s="274" t="n">
        <x:v>0.71</x:v>
      </x:c>
      <x:c r="C2573" s="274" t="n">
        <x:v>0</x:v>
      </x:c>
      <x:c r="D2573" s="274" t="n">
        <x:v>0</x:v>
      </x:c>
      <x:c r="F2573" s="274" t="s">
        <x:v>123</x:v>
      </x:c>
      <x:c r="G2573" s="274" t="s">
        <x:v>4256</x:v>
      </x:c>
      <x:c r="I2573" s="274" t="n">
        <x:v>2.3</x:v>
      </x:c>
      <x:c r="J2573" s="274" t="n">
        <x:v>88</x:v>
      </x:c>
      <x:c r="K2573" s="274" t="n">
        <x:v>447</x:v>
      </x:c>
      <x:c r="M2573" s="274" t="s">
        <x:v>4920</x:v>
      </x:c>
      <x:c r="N2573" s="274" t="s">
        <x:v>4258</x:v>
      </x:c>
    </x:row>
    <x:row r="2574" spans="1:14">
      <x:c r="A2574" s="274" t="s">
        <x:v>4921</x:v>
      </x:c>
      <x:c r="B2574" s="274" t="n">
        <x:v>0.69</x:v>
      </x:c>
      <x:c r="C2574" s="274" t="n">
        <x:v>0</x:v>
      </x:c>
      <x:c r="D2574" s="274" t="n">
        <x:v>0</x:v>
      </x:c>
      <x:c r="F2574" s="274" t="s">
        <x:v>333</x:v>
      </x:c>
      <x:c r="G2574" s="274" t="s">
        <x:v>4663</x:v>
      </x:c>
      <x:c r="I2574" s="274" t="n">
        <x:v>1</x:v>
      </x:c>
      <x:c r="J2574" s="274" t="n">
        <x:v>325</x:v>
      </x:c>
      <x:c r="K2574" s="274" t="n">
        <x:v>270</x:v>
      </x:c>
      <x:c r="M2574" s="274" t="s">
        <x:v>4922</x:v>
      </x:c>
      <x:c r="N2574" s="274" t="s">
        <x:v>4258</x:v>
      </x:c>
    </x:row>
    <x:row r="2575" spans="1:14">
      <x:c r="A2575" s="274" t="s">
        <x:v>4923</x:v>
      </x:c>
      <x:c r="B2575" s="274" t="n">
        <x:v>0.6</x:v>
      </x:c>
      <x:c r="C2575" s="274" t="n">
        <x:v>0</x:v>
      </x:c>
      <x:c r="D2575" s="274" t="n">
        <x:v>0</x:v>
      </x:c>
      <x:c r="F2575" s="274" t="s">
        <x:v>184</x:v>
      </x:c>
      <x:c r="G2575" s="274" t="s">
        <x:v>4782</x:v>
      </x:c>
      <x:c r="H2575" s="274" t="s">
        <x:v>4471</x:v>
      </x:c>
      <x:c r="I2575" s="274" t="n">
        <x:v>1</x:v>
      </x:c>
      <x:c r="J2575" s="274" t="n">
        <x:v>125</x:v>
      </x:c>
      <x:c r="K2575" s="274" t="n">
        <x:v>611</x:v>
      </x:c>
      <x:c r="M2575" s="274" t="s">
        <x:v>4924</x:v>
      </x:c>
      <x:c r="N2575" s="274" t="s">
        <x:v>4258</x:v>
      </x:c>
    </x:row>
    <x:row r="2576" spans="1:14">
      <x:c r="A2576" s="274" t="s">
        <x:v>4925</x:v>
      </x:c>
      <x:c r="B2576" s="274" t="n">
        <x:v>0.61</x:v>
      </x:c>
      <x:c r="C2576" s="274" t="n">
        <x:v>0</x:v>
      </x:c>
      <x:c r="D2576" s="274" t="n">
        <x:v>0</x:v>
      </x:c>
      <x:c r="F2576" s="274" t="s">
        <x:v>333</x:v>
      </x:c>
      <x:c r="G2576" s="274" t="s">
        <x:v>4663</x:v>
      </x:c>
      <x:c r="I2576" s="274" t="n">
        <x:v>0.6</x:v>
      </x:c>
      <x:c r="J2576" s="274" t="n">
        <x:v>260</x:v>
      </x:c>
      <x:c r="K2576" s="274" t="n">
        <x:v>500</x:v>
      </x:c>
      <x:c r="M2576" s="274" t="s">
        <x:v>4926</x:v>
      </x:c>
      <x:c r="N2576" s="274" t="s">
        <x:v>4258</x:v>
      </x:c>
    </x:row>
    <x:row r="2577" spans="1:14">
      <x:c r="A2577" s="274" t="s">
        <x:v>4927</x:v>
      </x:c>
      <x:c r="B2577" s="274" t="n">
        <x:v>0.24</x:v>
      </x:c>
      <x:c r="C2577" s="274" t="n">
        <x:v>0</x:v>
      </x:c>
      <x:c r="D2577" s="274" t="n">
        <x:v>0</x:v>
      </x:c>
      <x:c r="F2577" s="274" t="s">
        <x:v>333</x:v>
      </x:c>
      <x:c r="G2577" s="274" t="s">
        <x:v>4663</x:v>
      </x:c>
      <x:c r="I2577" s="274" t="n">
        <x:v>0.6</x:v>
      </x:c>
      <x:c r="J2577" s="274" t="n">
        <x:v>850</x:v>
      </x:c>
      <x:c r="K2577" s="274" t="n">
        <x:v>60</x:v>
      </x:c>
      <x:c r="M2577" s="274" t="s">
        <x:v>4928</x:v>
      </x:c>
      <x:c r="N2577" s="274" t="s">
        <x:v>4258</x:v>
      </x:c>
    </x:row>
    <x:row r="2578" spans="1:14">
      <x:c r="A2578" s="274" t="s">
        <x:v>4929</x:v>
      </x:c>
      <x:c r="B2578" s="274" t="n">
        <x:v>1.14</x:v>
      </x:c>
      <x:c r="C2578" s="274" t="n">
        <x:v>0</x:v>
      </x:c>
      <x:c r="D2578" s="274" t="n">
        <x:v>0</x:v>
      </x:c>
      <x:c r="F2578" s="274" t="s">
        <x:v>333</x:v>
      </x:c>
      <x:c r="G2578" s="274" t="s">
        <x:v>209</x:v>
      </x:c>
      <x:c r="I2578" s="274" t="n">
        <x:v>1</x:v>
      </x:c>
      <x:c r="J2578" s="274" t="n">
        <x:v>138</x:v>
      </x:c>
      <x:c r="K2578" s="274" t="n">
        <x:v>1056</x:v>
      </x:c>
      <x:c r="M2578" s="274" t="s">
        <x:v>4930</x:v>
      </x:c>
      <x:c r="N2578" s="274" t="s">
        <x:v>3671</x:v>
      </x:c>
    </x:row>
    <x:row r="2579" spans="1:14">
      <x:c r="A2579" s="274" t="s">
        <x:v>4931</x:v>
      </x:c>
      <x:c r="B2579" s="274" t="n">
        <x:v>2.91</x:v>
      </x:c>
      <x:c r="C2579" s="274" t="n">
        <x:v>0</x:v>
      </x:c>
      <x:c r="D2579" s="274" t="n">
        <x:v>45</x:v>
      </x:c>
      <x:c r="E2579" s="274" t="n">
        <x:v>40</x:v>
      </x:c>
      <x:c r="F2579" s="274" t="s">
        <x:v>333</x:v>
      </x:c>
      <x:c r="G2579" s="274" t="s">
        <x:v>4796</x:v>
      </x:c>
      <x:c r="I2579" s="274" t="n">
        <x:v>1</x:v>
      </x:c>
      <x:c r="J2579" s="274" t="n">
        <x:v>1153</x:v>
      </x:c>
      <x:c r="K2579" s="274" t="n">
        <x:v>322</x:v>
      </x:c>
      <x:c r="M2579" s="274" t="s">
        <x:v>4932</x:v>
      </x:c>
      <x:c r="N2579" s="274" t="s">
        <x:v>4258</x:v>
      </x:c>
    </x:row>
    <x:row r="2580" spans="1:14">
      <x:c r="A2580" s="274" t="s">
        <x:v>4933</x:v>
      </x:c>
      <x:c r="B2580" s="274" t="n">
        <x:v>1.27</x:v>
      </x:c>
      <x:c r="C2580" s="274" t="n">
        <x:v>0</x:v>
      </x:c>
      <x:c r="D2580" s="274" t="n">
        <x:v>0</x:v>
      </x:c>
      <x:c r="F2580" s="274" t="s">
        <x:v>333</x:v>
      </x:c>
      <x:c r="G2580" s="274" t="s">
        <x:v>209</x:v>
      </x:c>
      <x:c r="I2580" s="274" t="n">
        <x:v>1.2</x:v>
      </x:c>
      <x:c r="J2580" s="274" t="n">
        <x:v>128</x:v>
      </x:c>
      <x:c r="K2580" s="274" t="n">
        <x:v>1056</x:v>
      </x:c>
      <x:c r="M2580" s="274" t="s">
        <x:v>4934</x:v>
      </x:c>
      <x:c r="N2580" s="274" t="s">
        <x:v>3671</x:v>
      </x:c>
    </x:row>
    <x:row r="2581" spans="1:14">
      <x:c r="A2581" s="274" t="s">
        <x:v>4935</x:v>
      </x:c>
      <x:c r="B2581" s="274" t="n">
        <x:v>6.85</x:v>
      </x:c>
      <x:c r="C2581" s="274" t="n">
        <x:v>0</x:v>
      </x:c>
      <x:c r="D2581" s="274" t="n">
        <x:v>45</x:v>
      </x:c>
      <x:c r="E2581" s="274" t="n">
        <x:v>40</x:v>
      </x:c>
      <x:c r="F2581" s="274" t="s">
        <x:v>123</x:v>
      </x:c>
      <x:c r="G2581" s="274" t="s">
        <x:v>4470</x:v>
      </x:c>
      <x:c r="H2581" s="274" t="s">
        <x:v>4471</x:v>
      </x:c>
      <x:c r="I2581" s="274" t="n">
        <x:v>1.4</x:v>
      </x:c>
      <x:c r="J2581" s="274" t="n">
        <x:v>1404</x:v>
      </x:c>
      <x:c r="K2581" s="274" t="n">
        <x:v>444</x:v>
      </x:c>
      <x:c r="M2581" s="274" t="s">
        <x:v>4936</x:v>
      </x:c>
      <x:c r="N2581" s="274" t="s">
        <x:v>4258</x:v>
      </x:c>
    </x:row>
    <x:row r="2582" spans="1:14">
      <x:c r="A2582" s="274" t="s">
        <x:v>4937</x:v>
      </x:c>
      <x:c r="B2582" s="274" t="n">
        <x:v>0.55</x:v>
      </x:c>
      <x:c r="C2582" s="274" t="n">
        <x:v>0</x:v>
      </x:c>
      <x:c r="D2582" s="274" t="n">
        <x:v>0</x:v>
      </x:c>
      <x:c r="F2582" s="274" t="s">
        <x:v>333</x:v>
      </x:c>
      <x:c r="G2582" s="274" t="s">
        <x:v>209</x:v>
      </x:c>
      <x:c r="I2582" s="274" t="n">
        <x:v>1</x:v>
      </x:c>
      <x:c r="J2582" s="274" t="n">
        <x:v>64</x:v>
      </x:c>
      <x:c r="K2582" s="274" t="n">
        <x:v>1085</x:v>
      </x:c>
      <x:c r="M2582" s="274" t="s">
        <x:v>4938</x:v>
      </x:c>
      <x:c r="N2582" s="274" t="s">
        <x:v>3671</x:v>
      </x:c>
    </x:row>
    <x:row r="2583" spans="1:14">
      <x:c r="A2583" s="274" t="s">
        <x:v>4939</x:v>
      </x:c>
      <x:c r="B2583" s="274" t="n">
        <x:v>1.86</x:v>
      </x:c>
      <x:c r="C2583" s="274" t="n">
        <x:v>0</x:v>
      </x:c>
      <x:c r="D2583" s="274" t="n">
        <x:v>0</x:v>
      </x:c>
      <x:c r="F2583" s="274" t="s">
        <x:v>333</x:v>
      </x:c>
      <x:c r="G2583" s="274" t="s">
        <x:v>4663</x:v>
      </x:c>
      <x:c r="I2583" s="274" t="n">
        <x:v>1.8</x:v>
      </x:c>
      <x:c r="J2583" s="274" t="n">
        <x:v>366</x:v>
      </x:c>
      <x:c r="K2583" s="274" t="n">
        <x:v>360</x:v>
      </x:c>
      <x:c r="M2583" s="274" t="s">
        <x:v>4940</x:v>
      </x:c>
      <x:c r="N2583" s="274" t="s">
        <x:v>4258</x:v>
      </x:c>
    </x:row>
    <x:row r="2584" spans="1:14">
      <x:c r="A2584" s="274" t="s">
        <x:v>4941</x:v>
      </x:c>
      <x:c r="B2584" s="274" t="n">
        <x:v>0.7</x:v>
      </x:c>
      <x:c r="C2584" s="274" t="n">
        <x:v>0</x:v>
      </x:c>
      <x:c r="D2584" s="274" t="n">
        <x:v>0</x:v>
      </x:c>
      <x:c r="F2584" s="274" t="s">
        <x:v>333</x:v>
      </x:c>
      <x:c r="G2584" s="274" t="s">
        <x:v>209</x:v>
      </x:c>
      <x:c r="I2584" s="274" t="n">
        <x:v>1</x:v>
      </x:c>
      <x:c r="J2584" s="274" t="n">
        <x:v>84</x:v>
      </x:c>
      <x:c r="K2584" s="274" t="n">
        <x:v>1058</x:v>
      </x:c>
      <x:c r="M2584" s="274" t="s">
        <x:v>4942</x:v>
      </x:c>
      <x:c r="N2584" s="274" t="s">
        <x:v>3671</x:v>
      </x:c>
    </x:row>
    <x:row r="2585" spans="1:14">
      <x:c r="A2585" s="274" t="s">
        <x:v>4943</x:v>
      </x:c>
      <x:c r="B2585" s="274" t="n">
        <x:v>0.61</x:v>
      </x:c>
      <x:c r="C2585" s="274" t="n">
        <x:v>0</x:v>
      </x:c>
      <x:c r="D2585" s="274" t="n">
        <x:v>0</x:v>
      </x:c>
      <x:c r="F2585" s="274" t="s">
        <x:v>333</x:v>
      </x:c>
      <x:c r="G2585" s="274" t="s">
        <x:v>209</x:v>
      </x:c>
      <x:c r="I2585" s="274" t="n">
        <x:v>1</x:v>
      </x:c>
      <x:c r="J2585" s="274" t="n">
        <x:v>72</x:v>
      </x:c>
      <x:c r="K2585" s="274" t="n">
        <x:v>1085</x:v>
      </x:c>
      <x:c r="M2585" s="274" t="s">
        <x:v>4944</x:v>
      </x:c>
      <x:c r="N2585" s="274" t="s">
        <x:v>3671</x:v>
      </x:c>
    </x:row>
    <x:row r="2586" spans="1:14">
      <x:c r="A2586" s="274" t="s">
        <x:v>4945</x:v>
      </x:c>
      <x:c r="B2586" s="274" t="n">
        <x:v>2.46</x:v>
      </x:c>
      <x:c r="C2586" s="274" t="n">
        <x:v>0</x:v>
      </x:c>
      <x:c r="D2586" s="274" t="n">
        <x:v>0</x:v>
      </x:c>
      <x:c r="F2586" s="274" t="s">
        <x:v>333</x:v>
      </x:c>
      <x:c r="G2586" s="274" t="s">
        <x:v>4663</x:v>
      </x:c>
      <x:c r="I2586" s="274" t="n">
        <x:v>2</x:v>
      </x:c>
      <x:c r="J2586" s="274" t="n">
        <x:v>165</x:v>
      </x:c>
      <x:c r="K2586" s="274" t="n">
        <x:v>950</x:v>
      </x:c>
      <x:c r="M2586" s="274" t="s">
        <x:v>4946</x:v>
      </x:c>
      <x:c r="N2586" s="274" t="s">
        <x:v>4258</x:v>
      </x:c>
    </x:row>
    <x:row r="2587" spans="1:14">
      <x:c r="A2587" s="274" t="s">
        <x:v>4947</x:v>
      </x:c>
      <x:c r="B2587" s="274" t="n">
        <x:v>0.59</x:v>
      </x:c>
      <x:c r="C2587" s="274" t="n">
        <x:v>0</x:v>
      </x:c>
      <x:c r="D2587" s="274" t="n">
        <x:v>0</x:v>
      </x:c>
      <x:c r="F2587" s="274" t="s">
        <x:v>333</x:v>
      </x:c>
      <x:c r="G2587" s="274" t="s">
        <x:v>209</x:v>
      </x:c>
      <x:c r="I2587" s="274" t="n">
        <x:v>1</x:v>
      </x:c>
      <x:c r="J2587" s="274" t="n">
        <x:v>70</x:v>
      </x:c>
      <x:c r="K2587" s="274" t="n">
        <x:v>1080</x:v>
      </x:c>
      <x:c r="M2587" s="274" t="s">
        <x:v>4948</x:v>
      </x:c>
      <x:c r="N2587" s="274" t="s">
        <x:v>3671</x:v>
      </x:c>
    </x:row>
    <x:row r="2588" spans="1:14">
      <x:c r="A2588" s="274" t="s">
        <x:v>4949</x:v>
      </x:c>
      <x:c r="B2588" s="274" t="n">
        <x:v>1.79</x:v>
      </x:c>
      <x:c r="C2588" s="274" t="n">
        <x:v>0</x:v>
      </x:c>
      <x:c r="D2588" s="274" t="n">
        <x:v>0</x:v>
      </x:c>
      <x:c r="F2588" s="274" t="s">
        <x:v>333</x:v>
      </x:c>
      <x:c r="G2588" s="274" t="s">
        <x:v>4663</x:v>
      </x:c>
      <x:c r="I2588" s="274" t="n">
        <x:v>1.8</x:v>
      </x:c>
      <x:c r="J2588" s="274" t="n">
        <x:v>262</x:v>
      </x:c>
      <x:c r="K2588" s="274" t="n">
        <x:v>484</x:v>
      </x:c>
      <x:c r="M2588" s="274" t="s">
        <x:v>4950</x:v>
      </x:c>
      <x:c r="N2588" s="274" t="s">
        <x:v>4258</x:v>
      </x:c>
    </x:row>
    <x:row r="2589" spans="1:14">
      <x:c r="A2589" s="274" t="s">
        <x:v>4951</x:v>
      </x:c>
      <x:c r="B2589" s="274" t="n">
        <x:v>1.22</x:v>
      </x:c>
      <x:c r="C2589" s="274" t="n">
        <x:v>0</x:v>
      </x:c>
      <x:c r="D2589" s="274" t="n">
        <x:v>0</x:v>
      </x:c>
      <x:c r="F2589" s="274" t="s">
        <x:v>333</x:v>
      </x:c>
      <x:c r="G2589" s="274" t="s">
        <x:v>4286</x:v>
      </x:c>
      <x:c r="I2589" s="274" t="n">
        <x:v>0.8</x:v>
      </x:c>
      <x:c r="J2589" s="274" t="n">
        <x:v>406</x:v>
      </x:c>
      <x:c r="K2589" s="274" t="n">
        <x:v>480</x:v>
      </x:c>
      <x:c r="M2589" s="274" t="s">
        <x:v>4952</x:v>
      </x:c>
      <x:c r="N2589" s="274" t="s">
        <x:v>4258</x:v>
      </x:c>
    </x:row>
    <x:row r="2590" spans="1:14">
      <x:c r="A2590" s="274" t="s">
        <x:v>4953</x:v>
      </x:c>
      <x:c r="B2590" s="274" t="n">
        <x:v>1.59</x:v>
      </x:c>
      <x:c r="C2590" s="274" t="n">
        <x:v>0</x:v>
      </x:c>
      <x:c r="D2590" s="274" t="n">
        <x:v>0</x:v>
      </x:c>
      <x:c r="F2590" s="274" t="s">
        <x:v>333</x:v>
      </x:c>
      <x:c r="G2590" s="274" t="s">
        <x:v>4663</x:v>
      </x:c>
      <x:c r="I2590" s="274" t="n">
        <x:v>1</x:v>
      </x:c>
      <x:c r="J2590" s="274" t="n">
        <x:v>710</x:v>
      </x:c>
      <x:c r="K2590" s="274" t="n">
        <x:v>285</x:v>
      </x:c>
      <x:c r="M2590" s="274" t="s">
        <x:v>4954</x:v>
      </x:c>
      <x:c r="N2590" s="274" t="s">
        <x:v>4258</x:v>
      </x:c>
    </x:row>
    <x:row r="2591" spans="1:14">
      <x:c r="A2591" s="274" t="s">
        <x:v>4955</x:v>
      </x:c>
      <x:c r="B2591" s="274" t="n">
        <x:v>1.73</x:v>
      </x:c>
      <x:c r="C2591" s="274" t="n">
        <x:v>0</x:v>
      </x:c>
      <x:c r="D2591" s="274" t="n">
        <x:v>0</x:v>
      </x:c>
      <x:c r="F2591" s="274" t="s">
        <x:v>333</x:v>
      </x:c>
      <x:c r="G2591" s="274" t="s">
        <x:v>4663</x:v>
      </x:c>
      <x:c r="I2591" s="274" t="n">
        <x:v>1</x:v>
      </x:c>
      <x:c r="J2591" s="274" t="n">
        <x:v>1110</x:v>
      </x:c>
      <x:c r="K2591" s="274" t="n">
        <x:v>198</x:v>
      </x:c>
      <x:c r="M2591" s="274" t="s">
        <x:v>4956</x:v>
      </x:c>
      <x:c r="N2591" s="274" t="s">
        <x:v>4258</x:v>
      </x:c>
    </x:row>
    <x:row r="2592" spans="1:14">
      <x:c r="A2592" s="274" t="s">
        <x:v>4957</x:v>
      </x:c>
      <x:c r="B2592" s="274" t="n">
        <x:v>1.57</x:v>
      </x:c>
      <x:c r="C2592" s="274" t="n">
        <x:v>0</x:v>
      </x:c>
      <x:c r="D2592" s="274" t="n">
        <x:v>0</x:v>
      </x:c>
      <x:c r="F2592" s="274" t="s">
        <x:v>333</x:v>
      </x:c>
      <x:c r="G2592" s="274" t="s">
        <x:v>4958</x:v>
      </x:c>
      <x:c r="I2592" s="274" t="n">
        <x:v>1.2</x:v>
      </x:c>
      <x:c r="J2592" s="274" t="n">
        <x:v>139</x:v>
      </x:c>
      <x:c r="K2592" s="274" t="n">
        <x:v>1200</x:v>
      </x:c>
      <x:c r="M2592" s="274" t="s">
        <x:v>4959</x:v>
      </x:c>
      <x:c r="N2592" s="274" t="s">
        <x:v>4258</x:v>
      </x:c>
    </x:row>
    <x:row r="2593" spans="1:14">
      <x:c r="A2593" s="274" t="s">
        <x:v>4960</x:v>
      </x:c>
      <x:c r="B2593" s="274" t="n">
        <x:v>2.69</x:v>
      </x:c>
      <x:c r="C2593" s="274" t="n">
        <x:v>0</x:v>
      </x:c>
      <x:c r="D2593" s="274" t="n">
        <x:v>0</x:v>
      </x:c>
      <x:c r="F2593" s="274" t="s">
        <x:v>133</x:v>
      </x:c>
      <x:c r="G2593" s="274" t="s">
        <x:v>4329</x:v>
      </x:c>
      <x:c r="I2593" s="274" t="n">
        <x:v>5</x:v>
      </x:c>
      <x:c r="J2593" s="274" t="n">
        <x:v>185</x:v>
      </x:c>
      <x:c r="K2593" s="274" t="n">
        <x:v>370</x:v>
      </x:c>
      <x:c r="M2593" s="274" t="s">
        <x:v>4731</x:v>
      </x:c>
      <x:c r="N2593" s="274" t="s">
        <x:v>4258</x:v>
      </x:c>
    </x:row>
    <x:row r="2594" spans="1:14">
      <x:c r="A2594" s="274" t="s">
        <x:v>4961</x:v>
      </x:c>
      <x:c r="B2594" s="274" t="n">
        <x:v>0.98</x:v>
      </x:c>
      <x:c r="C2594" s="274" t="n">
        <x:v>0</x:v>
      </x:c>
      <x:c r="D2594" s="274" t="n">
        <x:v>0</x:v>
      </x:c>
      <x:c r="F2594" s="274" t="s">
        <x:v>333</x:v>
      </x:c>
      <x:c r="G2594" s="274" t="s">
        <x:v>209</x:v>
      </x:c>
      <x:c r="I2594" s="274" t="n">
        <x:v>1.2</x:v>
      </x:c>
      <x:c r="J2594" s="274" t="n">
        <x:v>72</x:v>
      </x:c>
      <x:c r="K2594" s="274" t="n">
        <x:v>1450</x:v>
      </x:c>
      <x:c r="M2594" s="274" t="s">
        <x:v>4962</x:v>
      </x:c>
      <x:c r="N2594" s="274" t="s">
        <x:v>3671</x:v>
      </x:c>
    </x:row>
    <x:row r="2595" spans="1:14">
      <x:c r="A2595" s="274" t="s">
        <x:v>4963</x:v>
      </x:c>
      <x:c r="B2595" s="274" t="n">
        <x:v>0.77</x:v>
      </x:c>
      <x:c r="C2595" s="274" t="n">
        <x:v>0</x:v>
      </x:c>
      <x:c r="D2595" s="274" t="n">
        <x:v>0</x:v>
      </x:c>
      <x:c r="F2595" s="274" t="s">
        <x:v>333</x:v>
      </x:c>
      <x:c r="G2595" s="274" t="s">
        <x:v>209</x:v>
      </x:c>
      <x:c r="I2595" s="274" t="n">
        <x:v>1</x:v>
      </x:c>
      <x:c r="J2595" s="274" t="n">
        <x:v>80</x:v>
      </x:c>
      <x:c r="K2595" s="274" t="n">
        <x:v>1225</x:v>
      </x:c>
      <x:c r="M2595" s="274" t="s">
        <x:v>4964</x:v>
      </x:c>
      <x:c r="N2595" s="274" t="s">
        <x:v>3671</x:v>
      </x:c>
    </x:row>
    <x:row r="2596" spans="1:14">
      <x:c r="A2596" s="274" t="s">
        <x:v>4965</x:v>
      </x:c>
      <x:c r="B2596" s="274" t="n">
        <x:v>1.1</x:v>
      </x:c>
      <x:c r="C2596" s="274" t="n">
        <x:v>0</x:v>
      </x:c>
      <x:c r="D2596" s="274" t="n">
        <x:v>0</x:v>
      </x:c>
      <x:c r="F2596" s="274" t="s">
        <x:v>333</x:v>
      </x:c>
      <x:c r="G2596" s="274" t="s">
        <x:v>153</x:v>
      </x:c>
      <x:c r="I2596" s="274" t="n">
        <x:v>1.2</x:v>
      </x:c>
      <x:c r="J2596" s="274" t="n">
        <x:v>294</x:v>
      </x:c>
      <x:c r="K2596" s="274" t="n">
        <x:v>397</x:v>
      </x:c>
      <x:c r="M2596" s="274" t="s">
        <x:v>4966</x:v>
      </x:c>
      <x:c r="N2596" s="274" t="s">
        <x:v>3671</x:v>
      </x:c>
    </x:row>
    <x:row r="2597" spans="1:14">
      <x:c r="A2597" s="274" t="s">
        <x:v>4967</x:v>
      </x:c>
      <x:c r="B2597" s="274" t="n">
        <x:v>0.57</x:v>
      </x:c>
      <x:c r="C2597" s="274" t="n">
        <x:v>0</x:v>
      </x:c>
      <x:c r="D2597" s="274" t="n">
        <x:v>0</x:v>
      </x:c>
      <x:c r="F2597" s="274" t="s">
        <x:v>333</x:v>
      </x:c>
      <x:c r="G2597" s="274" t="s">
        <x:v>153</x:v>
      </x:c>
      <x:c r="I2597" s="274" t="n">
        <x:v>1.4</x:v>
      </x:c>
      <x:c r="J2597" s="274" t="n">
        <x:v>198</x:v>
      </x:c>
      <x:c r="K2597" s="274" t="n">
        <x:v>260</x:v>
      </x:c>
      <x:c r="M2597" s="274" t="s">
        <x:v>4968</x:v>
      </x:c>
      <x:c r="N2597" s="274" t="s">
        <x:v>3671</x:v>
      </x:c>
    </x:row>
    <x:row r="2598" spans="1:14">
      <x:c r="A2598" s="274" t="s">
        <x:v>4969</x:v>
      </x:c>
      <x:c r="B2598" s="274" t="n">
        <x:v>2.82</x:v>
      </x:c>
      <x:c r="C2598" s="274" t="n">
        <x:v>0</x:v>
      </x:c>
      <x:c r="D2598" s="274" t="n">
        <x:v>0</x:v>
      </x:c>
      <x:c r="F2598" s="274" t="s">
        <x:v>333</x:v>
      </x:c>
      <x:c r="G2598" s="274" t="s">
        <x:v>4286</x:v>
      </x:c>
      <x:c r="I2598" s="274" t="n">
        <x:v>1</x:v>
      </x:c>
      <x:c r="J2598" s="274" t="n">
        <x:v>476</x:v>
      </x:c>
      <x:c r="K2598" s="274" t="n">
        <x:v>756</x:v>
      </x:c>
      <x:c r="M2598" s="274" t="s">
        <x:v>4970</x:v>
      </x:c>
      <x:c r="N2598" s="274" t="s">
        <x:v>4258</x:v>
      </x:c>
    </x:row>
    <x:row r="2599" spans="1:14">
      <x:c r="A2599" s="274" t="s">
        <x:v>4971</x:v>
      </x:c>
      <x:c r="B2599" s="274" t="n">
        <x:v>2.56</x:v>
      </x:c>
      <x:c r="C2599" s="274" t="n">
        <x:v>0</x:v>
      </x:c>
      <x:c r="D2599" s="274" t="n">
        <x:v>0</x:v>
      </x:c>
      <x:c r="F2599" s="274" t="s">
        <x:v>333</x:v>
      </x:c>
      <x:c r="G2599" s="274" t="s">
        <x:v>4286</x:v>
      </x:c>
      <x:c r="I2599" s="274" t="n">
        <x:v>1</x:v>
      </x:c>
      <x:c r="J2599" s="274" t="n">
        <x:v>460</x:v>
      </x:c>
      <x:c r="K2599" s="274" t="n">
        <x:v>710</x:v>
      </x:c>
      <x:c r="M2599" s="274" t="s">
        <x:v>4972</x:v>
      </x:c>
      <x:c r="N2599" s="274" t="s">
        <x:v>4258</x:v>
      </x:c>
    </x:row>
    <x:row r="2600" spans="1:14">
      <x:c r="A2600" s="274" t="s">
        <x:v>4973</x:v>
      </x:c>
      <x:c r="B2600" s="274" t="n">
        <x:v>1.59</x:v>
      </x:c>
      <x:c r="C2600" s="274" t="n">
        <x:v>0</x:v>
      </x:c>
      <x:c r="D2600" s="274" t="n">
        <x:v>0</x:v>
      </x:c>
      <x:c r="F2600" s="274" t="s">
        <x:v>333</x:v>
      </x:c>
      <x:c r="G2600" s="274" t="s">
        <x:v>4663</x:v>
      </x:c>
      <x:c r="I2600" s="274" t="n">
        <x:v>1</x:v>
      </x:c>
      <x:c r="J2600" s="274" t="n">
        <x:v>1010</x:v>
      </x:c>
      <x:c r="K2600" s="274" t="n">
        <x:v>200</x:v>
      </x:c>
      <x:c r="M2600" s="274" t="s">
        <x:v>4974</x:v>
      </x:c>
      <x:c r="N2600" s="274" t="s">
        <x:v>4258</x:v>
      </x:c>
    </x:row>
    <x:row r="2601" spans="1:14">
      <x:c r="A2601" s="274" t="s">
        <x:v>4975</x:v>
      </x:c>
      <x:c r="B2601" s="274" t="n">
        <x:v>0.33</x:v>
      </x:c>
      <x:c r="C2601" s="274" t="n">
        <x:v>0</x:v>
      </x:c>
      <x:c r="D2601" s="274" t="n">
        <x:v>0</x:v>
      </x:c>
      <x:c r="F2601" s="274" t="s">
        <x:v>333</x:v>
      </x:c>
      <x:c r="G2601" s="274" t="s">
        <x:v>4663</x:v>
      </x:c>
      <x:c r="I2601" s="274" t="n">
        <x:v>1</x:v>
      </x:c>
      <x:c r="J2601" s="274" t="n">
        <x:v>169</x:v>
      </x:c>
      <x:c r="K2601" s="274" t="n">
        <x:v>252</x:v>
      </x:c>
      <x:c r="M2601" s="274" t="s">
        <x:v>4976</x:v>
      </x:c>
      <x:c r="N2601" s="274" t="s">
        <x:v>4258</x:v>
      </x:c>
    </x:row>
    <x:row r="2602" spans="1:14">
      <x:c r="A2602" s="274" t="s">
        <x:v>4977</x:v>
      </x:c>
      <x:c r="B2602" s="274" t="n">
        <x:v>1.16</x:v>
      </x:c>
      <x:c r="C2602" s="274" t="n">
        <x:v>0</x:v>
      </x:c>
      <x:c r="D2602" s="274" t="n">
        <x:v>0</x:v>
      </x:c>
      <x:c r="F2602" s="274" t="s">
        <x:v>128</x:v>
      </x:c>
      <x:c r="G2602" s="274" t="s">
        <x:v>312</x:v>
      </x:c>
      <x:c r="H2602" s="274" t="n">
        <x:v>45</x:v>
      </x:c>
      <x:c r="I2602" s="274" t="n">
        <x:v>1.2</x:v>
      </x:c>
      <x:c r="J2602" s="274" t="n">
        <x:v>360</x:v>
      </x:c>
      <x:c r="K2602" s="274" t="n">
        <x:v>340</x:v>
      </x:c>
      <x:c r="M2602" s="274" t="s">
        <x:v>3935</x:v>
      </x:c>
      <x:c r="N2602" s="274" t="s">
        <x:v>4082</x:v>
      </x:c>
    </x:row>
    <x:row r="2603" spans="1:14">
      <x:c r="A2603" s="274" t="s">
        <x:v>4978</x:v>
      </x:c>
      <x:c r="B2603" s="274" t="n">
        <x:v>1.6</x:v>
      </x:c>
      <x:c r="C2603" s="274" t="n">
        <x:v>0</x:v>
      </x:c>
      <x:c r="D2603" s="274" t="n">
        <x:v>0</x:v>
      </x:c>
      <x:c r="F2603" s="274" t="s">
        <x:v>133</x:v>
      </x:c>
      <x:c r="G2603" s="274" t="s">
        <x:v>148</x:v>
      </x:c>
      <x:c r="I2603" s="274" t="n">
        <x:v>3.6</x:v>
      </x:c>
      <x:c r="J2603" s="274" t="n">
        <x:v>314</x:v>
      </x:c>
      <x:c r="K2603" s="274" t="n">
        <x:v>180</x:v>
      </x:c>
      <x:c r="M2603" s="274" t="s">
        <x:v>4066</x:v>
      </x:c>
      <x:c r="N2603" s="274" t="s">
        <x:v>3671</x:v>
      </x:c>
    </x:row>
    <x:row r="2604" spans="1:14">
      <x:c r="A2604" s="274" t="s">
        <x:v>4979</x:v>
      </x:c>
      <x:c r="B2604" s="274" t="n">
        <x:v>1.76</x:v>
      </x:c>
      <x:c r="C2604" s="274" t="n">
        <x:v>0</x:v>
      </x:c>
      <x:c r="D2604" s="274" t="n">
        <x:v>0</x:v>
      </x:c>
      <x:c r="F2604" s="274" t="s">
        <x:v>184</x:v>
      </x:c>
      <x:c r="G2604" s="274" t="s">
        <x:v>4782</x:v>
      </x:c>
      <x:c r="H2604" s="274" t="s">
        <x:v>4471</x:v>
      </x:c>
      <x:c r="I2604" s="274" t="n">
        <x:v>1</x:v>
      </x:c>
      <x:c r="J2604" s="274" t="n">
        <x:v>1071</x:v>
      </x:c>
      <x:c r="K2604" s="274" t="n">
        <x:v>209</x:v>
      </x:c>
      <x:c r="M2604" s="274" t="s">
        <x:v>4980</x:v>
      </x:c>
      <x:c r="N2604" s="274" t="s">
        <x:v>4258</x:v>
      </x:c>
    </x:row>
    <x:row r="2605" spans="1:14">
      <x:c r="A2605" s="274" t="s">
        <x:v>4981</x:v>
      </x:c>
      <x:c r="B2605" s="274" t="n">
        <x:v>0.81</x:v>
      </x:c>
      <x:c r="C2605" s="274" t="n">
        <x:v>0</x:v>
      </x:c>
      <x:c r="D2605" s="274" t="n">
        <x:v>0</x:v>
      </x:c>
      <x:c r="F2605" s="274" t="s">
        <x:v>333</x:v>
      </x:c>
      <x:c r="G2605" s="274" t="s">
        <x:v>4663</x:v>
      </x:c>
      <x:c r="I2605" s="274" t="n">
        <x:v>1.2</x:v>
      </x:c>
      <x:c r="J2605" s="274" t="n">
        <x:v>220</x:v>
      </x:c>
      <x:c r="K2605" s="274" t="n">
        <x:v>390</x:v>
      </x:c>
      <x:c r="M2605" s="274" t="s">
        <x:v>4719</x:v>
      </x:c>
      <x:c r="N2605" s="274" t="s">
        <x:v>4258</x:v>
      </x:c>
    </x:row>
    <x:row r="2606" spans="1:14">
      <x:c r="A2606" s="274" t="s">
        <x:v>4982</x:v>
      </x:c>
      <x:c r="B2606" s="274" t="n">
        <x:v>0.94</x:v>
      </x:c>
      <x:c r="C2606" s="274" t="n">
        <x:v>0</x:v>
      </x:c>
      <x:c r="D2606" s="274" t="n">
        <x:v>0</x:v>
      </x:c>
      <x:c r="F2606" s="274" t="s">
        <x:v>333</x:v>
      </x:c>
      <x:c r="G2606" s="274" t="s">
        <x:v>4663</x:v>
      </x:c>
      <x:c r="I2606" s="274" t="n">
        <x:v>1.4</x:v>
      </x:c>
      <x:c r="J2606" s="274" t="n">
        <x:v>141</x:v>
      </x:c>
      <x:c r="K2606" s="274" t="n">
        <x:v>608</x:v>
      </x:c>
      <x:c r="M2606" s="274" t="s">
        <x:v>4983</x:v>
      </x:c>
      <x:c r="N2606" s="274" t="s">
        <x:v>4258</x:v>
      </x:c>
    </x:row>
    <x:row r="2607" spans="1:14">
      <x:c r="A2607" s="274" t="s">
        <x:v>4984</x:v>
      </x:c>
      <x:c r="B2607" s="274" t="n">
        <x:v>2.18</x:v>
      </x:c>
      <x:c r="C2607" s="274" t="n">
        <x:v>0</x:v>
      </x:c>
      <x:c r="D2607" s="274" t="n">
        <x:v>0</x:v>
      </x:c>
      <x:c r="F2607" s="274" t="s">
        <x:v>333</x:v>
      </x:c>
      <x:c r="G2607" s="274" t="s">
        <x:v>124</x:v>
      </x:c>
      <x:c r="I2607" s="274" t="n">
        <x:v>0.8</x:v>
      </x:c>
      <x:c r="J2607" s="274" t="n">
        <x:v>315</x:v>
      </x:c>
      <x:c r="K2607" s="274" t="n">
        <x:v>1100</x:v>
      </x:c>
      <x:c r="M2607" s="274" t="s">
        <x:v>4985</x:v>
      </x:c>
      <x:c r="N2607" s="274" t="s">
        <x:v>3671</x:v>
      </x:c>
    </x:row>
    <x:row r="2608" spans="1:14">
      <x:c r="A2608" s="274" t="s">
        <x:v>4986</x:v>
      </x:c>
      <x:c r="B2608" s="274" t="n">
        <x:v>2.14</x:v>
      </x:c>
      <x:c r="C2608" s="274" t="n">
        <x:v>0</x:v>
      </x:c>
      <x:c r="D2608" s="274" t="n">
        <x:v>0</x:v>
      </x:c>
      <x:c r="F2608" s="274" t="s">
        <x:v>333</x:v>
      </x:c>
      <x:c r="G2608" s="274" t="s">
        <x:v>124</x:v>
      </x:c>
      <x:c r="I2608" s="274" t="n">
        <x:v>0.8</x:v>
      </x:c>
      <x:c r="J2608" s="274" t="n">
        <x:v>315</x:v>
      </x:c>
      <x:c r="K2608" s="274" t="n">
        <x:v>1080</x:v>
      </x:c>
      <x:c r="M2608" s="274" t="s">
        <x:v>4987</x:v>
      </x:c>
      <x:c r="N2608" s="274" t="s">
        <x:v>3671</x:v>
      </x:c>
    </x:row>
    <x:row r="2609" spans="1:14">
      <x:c r="A2609" s="274" t="s">
        <x:v>4988</x:v>
      </x:c>
      <x:c r="B2609" s="274" t="n">
        <x:v>0.3</x:v>
      </x:c>
      <x:c r="C2609" s="274" t="n">
        <x:v>0</x:v>
      </x:c>
      <x:c r="D2609" s="274" t="n">
        <x:v>0</x:v>
      </x:c>
      <x:c r="F2609" s="274" t="s">
        <x:v>184</x:v>
      </x:c>
      <x:c r="G2609" s="274" t="s">
        <x:v>4782</x:v>
      </x:c>
      <x:c r="H2609" s="274" t="s">
        <x:v>4471</x:v>
      </x:c>
      <x:c r="I2609" s="274" t="n">
        <x:v>1.2</x:v>
      </x:c>
      <x:c r="J2609" s="274" t="n">
        <x:v>254</x:v>
      </x:c>
      <x:c r="K2609" s="274" t="n">
        <x:v>125</x:v>
      </x:c>
      <x:c r="M2609" s="274" t="s">
        <x:v>4989</x:v>
      </x:c>
      <x:c r="N2609" s="274" t="s">
        <x:v>4258</x:v>
      </x:c>
    </x:row>
    <x:row r="2610" spans="1:14">
      <x:c r="A2610" s="274" t="s">
        <x:v>4990</x:v>
      </x:c>
      <x:c r="B2610" s="274" t="n">
        <x:v>0.37</x:v>
      </x:c>
      <x:c r="C2610" s="274" t="n">
        <x:v>0</x:v>
      </x:c>
      <x:c r="D2610" s="274" t="n">
        <x:v>0</x:v>
      </x:c>
      <x:c r="F2610" s="274" t="s">
        <x:v>184</x:v>
      </x:c>
      <x:c r="G2610" s="274" t="s">
        <x:v>4782</x:v>
      </x:c>
      <x:c r="H2610" s="274" t="s">
        <x:v>4471</x:v>
      </x:c>
      <x:c r="I2610" s="274" t="n">
        <x:v>2</x:v>
      </x:c>
      <x:c r="J2610" s="274" t="n">
        <x:v>199</x:v>
      </x:c>
      <x:c r="K2610" s="274" t="n">
        <x:v>120</x:v>
      </x:c>
      <x:c r="M2610" s="274" t="s">
        <x:v>4991</x:v>
      </x:c>
      <x:c r="N2610" s="274" t="s">
        <x:v>4258</x:v>
      </x:c>
    </x:row>
    <x:row r="2611" spans="1:14">
      <x:c r="A2611" s="274" t="s">
        <x:v>4992</x:v>
      </x:c>
      <x:c r="B2611" s="274" t="n">
        <x:v>0.67</x:v>
      </x:c>
      <x:c r="C2611" s="274" t="n">
        <x:v>0</x:v>
      </x:c>
      <x:c r="D2611" s="274" t="n">
        <x:v>0</x:v>
      </x:c>
      <x:c r="F2611" s="274" t="s">
        <x:v>184</x:v>
      </x:c>
      <x:c r="G2611" s="274" t="s">
        <x:v>4782</x:v>
      </x:c>
      <x:c r="H2611" s="274" t="s">
        <x:v>4471</x:v>
      </x:c>
      <x:c r="I2611" s="274" t="n">
        <x:v>2</x:v>
      </x:c>
      <x:c r="J2611" s="274" t="n">
        <x:v>106</x:v>
      </x:c>
      <x:c r="K2611" s="274" t="n">
        <x:v>403</x:v>
      </x:c>
      <x:c r="M2611" s="274" t="s">
        <x:v>4993</x:v>
      </x:c>
      <x:c r="N2611" s="274" t="s">
        <x:v>4258</x:v>
      </x:c>
    </x:row>
    <x:row r="2612" spans="1:14">
      <x:c r="A2612" s="274" t="s">
        <x:v>4994</x:v>
      </x:c>
      <x:c r="B2612" s="274" t="n">
        <x:v>2.33</x:v>
      </x:c>
      <x:c r="C2612" s="274" t="n">
        <x:v>0</x:v>
      </x:c>
      <x:c r="D2612" s="274" t="n">
        <x:v>0</x:v>
      </x:c>
      <x:c r="F2612" s="274" t="s">
        <x:v>333</x:v>
      </x:c>
      <x:c r="G2612" s="274" t="s">
        <x:v>4663</x:v>
      </x:c>
      <x:c r="I2612" s="274" t="n">
        <x:v>1.6</x:v>
      </x:c>
      <x:c r="J2612" s="274" t="n">
        <x:v>422</x:v>
      </x:c>
      <x:c r="K2612" s="274" t="n">
        <x:v>439</x:v>
      </x:c>
      <x:c r="M2612" s="274" t="s">
        <x:v>4995</x:v>
      </x:c>
      <x:c r="N2612" s="274" t="s">
        <x:v>4258</x:v>
      </x:c>
    </x:row>
    <x:row r="2613" spans="1:14">
      <x:c r="A2613" s="274" t="s">
        <x:v>4996</x:v>
      </x:c>
      <x:c r="B2613" s="274" t="n">
        <x:v>0.35</x:v>
      </x:c>
      <x:c r="C2613" s="274" t="n">
        <x:v>0</x:v>
      </x:c>
      <x:c r="D2613" s="274" t="n">
        <x:v>0</x:v>
      </x:c>
      <x:c r="F2613" s="274" t="s">
        <x:v>333</x:v>
      </x:c>
      <x:c r="G2613" s="274" t="s">
        <x:v>4663</x:v>
      </x:c>
      <x:c r="I2613" s="274" t="n">
        <x:v>1.6</x:v>
      </x:c>
      <x:c r="J2613" s="274" t="n">
        <x:v>160</x:v>
      </x:c>
      <x:c r="K2613" s="274" t="n">
        <x:v>175</x:v>
      </x:c>
      <x:c r="M2613" s="274" t="s">
        <x:v>4997</x:v>
      </x:c>
      <x:c r="N2613" s="274" t="s">
        <x:v>4258</x:v>
      </x:c>
    </x:row>
    <x:row r="2614" spans="1:14">
      <x:c r="A2614" s="274" t="s">
        <x:v>4998</x:v>
      </x:c>
      <x:c r="B2614" s="274" t="n">
        <x:v>0.85</x:v>
      </x:c>
      <x:c r="C2614" s="274" t="n">
        <x:v>0</x:v>
      </x:c>
      <x:c r="D2614" s="274" t="n">
        <x:v>0</x:v>
      </x:c>
      <x:c r="F2614" s="274" t="s">
        <x:v>333</x:v>
      </x:c>
      <x:c r="G2614" s="274" t="s">
        <x:v>4663</x:v>
      </x:c>
      <x:c r="I2614" s="274" t="n">
        <x:v>1.6</x:v>
      </x:c>
      <x:c r="J2614" s="274" t="n">
        <x:v>550</x:v>
      </x:c>
      <x:c r="K2614" s="274" t="n">
        <x:v>123</x:v>
      </x:c>
      <x:c r="M2614" s="274" t="s">
        <x:v>4999</x:v>
      </x:c>
      <x:c r="N2614" s="274" t="s">
        <x:v>4258</x:v>
      </x:c>
    </x:row>
    <x:row r="2615" spans="1:14">
      <x:c r="A2615" s="274" t="s">
        <x:v>5000</x:v>
      </x:c>
      <x:c r="B2615" s="274" t="n">
        <x:v>2.32</x:v>
      </x:c>
      <x:c r="C2615" s="274" t="n">
        <x:v>0</x:v>
      </x:c>
      <x:c r="D2615" s="274" t="n">
        <x:v>0</x:v>
      </x:c>
      <x:c r="F2615" s="274" t="s">
        <x:v>333</x:v>
      </x:c>
      <x:c r="G2615" s="274" t="s">
        <x:v>4663</x:v>
      </x:c>
      <x:c r="I2615" s="274" t="n">
        <x:v>1.6</x:v>
      </x:c>
      <x:c r="J2615" s="274" t="n">
        <x:v>459</x:v>
      </x:c>
      <x:c r="K2615" s="274" t="n">
        <x:v>402</x:v>
      </x:c>
      <x:c r="M2615" s="274" t="s">
        <x:v>5001</x:v>
      </x:c>
      <x:c r="N2615" s="274" t="s">
        <x:v>4258</x:v>
      </x:c>
    </x:row>
    <x:row r="2616" spans="1:14">
      <x:c r="A2616" s="274" t="s">
        <x:v>5002</x:v>
      </x:c>
      <x:c r="B2616" s="274" t="n">
        <x:v>4.2</x:v>
      </x:c>
      <x:c r="C2616" s="274" t="n">
        <x:v>0</x:v>
      </x:c>
      <x:c r="D2616" s="274" t="n">
        <x:v>0</x:v>
      </x:c>
      <x:c r="F2616" s="274" t="s">
        <x:v>133</x:v>
      </x:c>
      <x:c r="G2616" s="274" t="s">
        <x:v>4299</x:v>
      </x:c>
      <x:c r="I2616" s="274" t="n">
        <x:v>2.3</x:v>
      </x:c>
      <x:c r="J2616" s="274" t="n">
        <x:v>452</x:v>
      </x:c>
      <x:c r="K2616" s="274" t="n">
        <x:v>515</x:v>
      </x:c>
      <x:c r="M2616" s="274" t="s">
        <x:v>5003</x:v>
      </x:c>
      <x:c r="N2616" s="274" t="s">
        <x:v>4258</x:v>
      </x:c>
    </x:row>
    <x:row r="2617" spans="1:14">
      <x:c r="A2617" s="274" t="s">
        <x:v>5004</x:v>
      </x:c>
      <x:c r="B2617" s="274" t="n">
        <x:v>4.37</x:v>
      </x:c>
      <x:c r="C2617" s="274" t="n">
        <x:v>0</x:v>
      </x:c>
      <x:c r="D2617" s="274" t="n">
        <x:v>0</x:v>
      </x:c>
      <x:c r="F2617" s="274" t="s">
        <x:v>133</x:v>
      </x:c>
      <x:c r="G2617" s="274" t="s">
        <x:v>4299</x:v>
      </x:c>
      <x:c r="I2617" s="274" t="n">
        <x:v>2.3</x:v>
      </x:c>
      <x:c r="J2617" s="274" t="n">
        <x:v>470</x:v>
      </x:c>
      <x:c r="K2617" s="274" t="n">
        <x:v>515</x:v>
      </x:c>
      <x:c r="M2617" s="274" t="s">
        <x:v>5005</x:v>
      </x:c>
      <x:c r="N2617" s="274" t="s">
        <x:v>4258</x:v>
      </x:c>
    </x:row>
    <x:row r="2618" spans="1:14">
      <x:c r="A2618" s="274" t="s">
        <x:v>5006</x:v>
      </x:c>
      <x:c r="B2618" s="274" t="n">
        <x:v>3.88</x:v>
      </x:c>
      <x:c r="C2618" s="274" t="n">
        <x:v>0</x:v>
      </x:c>
      <x:c r="D2618" s="274" t="n">
        <x:v>0</x:v>
      </x:c>
      <x:c r="F2618" s="274" t="s">
        <x:v>184</x:v>
      </x:c>
      <x:c r="G2618" s="274" t="s">
        <x:v>4782</x:v>
      </x:c>
      <x:c r="H2618" s="274" t="s">
        <x:v>4471</x:v>
      </x:c>
      <x:c r="I2618" s="274" t="n">
        <x:v>2</x:v>
      </x:c>
      <x:c r="J2618" s="274" t="n">
        <x:v>260</x:v>
      </x:c>
      <x:c r="K2618" s="274" t="n">
        <x:v>950</x:v>
      </x:c>
      <x:c r="M2618" s="274" t="s">
        <x:v>5007</x:v>
      </x:c>
      <x:c r="N2618" s="274" t="s">
        <x:v>4258</x:v>
      </x:c>
    </x:row>
    <x:row r="2619" spans="1:14">
      <x:c r="A2619" s="274" t="s">
        <x:v>5008</x:v>
      </x:c>
      <x:c r="B2619" s="274" t="n">
        <x:v>3.13</x:v>
      </x:c>
      <x:c r="C2619" s="274" t="n">
        <x:v>0</x:v>
      </x:c>
      <x:c r="D2619" s="274" t="n">
        <x:v>0</x:v>
      </x:c>
      <x:c r="F2619" s="274" t="s">
        <x:v>184</x:v>
      </x:c>
      <x:c r="G2619" s="274" t="s">
        <x:v>4782</x:v>
      </x:c>
      <x:c r="H2619" s="274" t="s">
        <x:v>4471</x:v>
      </x:c>
      <x:c r="I2619" s="274" t="n">
        <x:v>2</x:v>
      </x:c>
      <x:c r="J2619" s="274" t="n">
        <x:v>210</x:v>
      </x:c>
      <x:c r="K2619" s="274" t="n">
        <x:v>950</x:v>
      </x:c>
      <x:c r="M2619" s="274" t="s">
        <x:v>5009</x:v>
      </x:c>
      <x:c r="N2619" s="274" t="s">
        <x:v>4258</x:v>
      </x:c>
    </x:row>
    <x:row r="2620" spans="1:14">
      <x:c r="A2620" s="274" t="s">
        <x:v>5010</x:v>
      </x:c>
      <x:c r="B2620" s="274" t="n">
        <x:v>3.4</x:v>
      </x:c>
      <x:c r="C2620" s="274" t="n">
        <x:v>0</x:v>
      </x:c>
      <x:c r="D2620" s="274" t="n">
        <x:v>0</x:v>
      </x:c>
      <x:c r="F2620" s="274" t="s">
        <x:v>184</x:v>
      </x:c>
      <x:c r="G2620" s="274" t="s">
        <x:v>4782</x:v>
      </x:c>
      <x:c r="H2620" s="274" t="s">
        <x:v>4471</x:v>
      </x:c>
      <x:c r="I2620" s="274" t="n">
        <x:v>1.4</x:v>
      </x:c>
      <x:c r="J2620" s="274" t="n">
        <x:v>258</x:v>
      </x:c>
      <x:c r="K2620" s="274" t="n">
        <x:v>1200</x:v>
      </x:c>
      <x:c r="M2620" s="274" t="s">
        <x:v>5011</x:v>
      </x:c>
      <x:c r="N2620" s="274" t="s">
        <x:v>4258</x:v>
      </x:c>
    </x:row>
    <x:row r="2621" spans="1:14">
      <x:c r="A2621" s="274" t="s">
        <x:v>5012</x:v>
      </x:c>
      <x:c r="B2621" s="274" t="n">
        <x:v>2.64</x:v>
      </x:c>
      <x:c r="C2621" s="274" t="n">
        <x:v>0</x:v>
      </x:c>
      <x:c r="D2621" s="274" t="n">
        <x:v>0</x:v>
      </x:c>
      <x:c r="F2621" s="274" t="s">
        <x:v>184</x:v>
      </x:c>
      <x:c r="G2621" s="274" t="s">
        <x:v>4782</x:v>
      </x:c>
      <x:c r="H2621" s="274" t="s">
        <x:v>4471</x:v>
      </x:c>
      <x:c r="I2621" s="274" t="n">
        <x:v>1.4</x:v>
      </x:c>
      <x:c r="J2621" s="274" t="n">
        <x:v>200</x:v>
      </x:c>
      <x:c r="K2621" s="274" t="n">
        <x:v>1200</x:v>
      </x:c>
      <x:c r="M2621" s="274" t="s">
        <x:v>5013</x:v>
      </x:c>
      <x:c r="N2621" s="274" t="s">
        <x:v>4258</x:v>
      </x:c>
    </x:row>
    <x:row r="2622" spans="1:14">
      <x:c r="A2622" s="274" t="s">
        <x:v>5014</x:v>
      </x:c>
      <x:c r="B2622" s="274" t="n">
        <x:v>1.26</x:v>
      </x:c>
      <x:c r="C2622" s="274" t="n">
        <x:v>0</x:v>
      </x:c>
      <x:c r="D2622" s="274" t="n">
        <x:v>0</x:v>
      </x:c>
      <x:c r="F2622" s="274" t="s">
        <x:v>123</x:v>
      </x:c>
      <x:c r="G2622" s="274" t="s">
        <x:v>5015</x:v>
      </x:c>
      <x:c r="I2622" s="274" t="n">
        <x:v>1.2</x:v>
      </x:c>
      <x:c r="J2622" s="274" t="n">
        <x:v>785</x:v>
      </x:c>
      <x:c r="K2622" s="274" t="n">
        <x:v>171</x:v>
      </x:c>
      <x:c r="M2622" s="274" t="s">
        <x:v>5016</x:v>
      </x:c>
      <x:c r="N2622" s="274" t="s">
        <x:v>4258</x:v>
      </x:c>
    </x:row>
    <x:row r="2623" spans="1:14">
      <x:c r="A2623" s="274" t="s">
        <x:v>5017</x:v>
      </x:c>
      <x:c r="B2623" s="274" t="n">
        <x:v>2.86</x:v>
      </x:c>
      <x:c r="C2623" s="274" t="n">
        <x:v>0</x:v>
      </x:c>
      <x:c r="D2623" s="274" t="n">
        <x:v>0</x:v>
      </x:c>
      <x:c r="F2623" s="274" t="s">
        <x:v>184</x:v>
      </x:c>
      <x:c r="G2623" s="274" t="s">
        <x:v>4782</x:v>
      </x:c>
      <x:c r="H2623" s="274" t="s">
        <x:v>4471</x:v>
      </x:c>
      <x:c r="I2623" s="274" t="n">
        <x:v>1.4</x:v>
      </x:c>
      <x:c r="J2623" s="274" t="n">
        <x:v>710</x:v>
      </x:c>
      <x:c r="K2623" s="274" t="n">
        <x:v>367</x:v>
      </x:c>
      <x:c r="M2623" s="274" t="s">
        <x:v>5018</x:v>
      </x:c>
      <x:c r="N2623" s="274" t="s">
        <x:v>4258</x:v>
      </x:c>
    </x:row>
    <x:row r="2624" spans="1:14">
      <x:c r="A2624" s="274" t="s">
        <x:v>5019</x:v>
      </x:c>
      <x:c r="B2624" s="274" t="n">
        <x:v>9.08</x:v>
      </x:c>
      <x:c r="C2624" s="274" t="n">
        <x:v>0</x:v>
      </x:c>
      <x:c r="D2624" s="274" t="n">
        <x:v>0</x:v>
      </x:c>
      <x:c r="F2624" s="274" t="s">
        <x:v>333</x:v>
      </x:c>
      <x:c r="G2624" s="274" t="s">
        <x:v>4796</x:v>
      </x:c>
      <x:c r="I2624" s="274" t="n">
        <x:v>1.2</x:v>
      </x:c>
      <x:c r="J2624" s="274" t="n">
        <x:v>964</x:v>
      </x:c>
      <x:c r="K2624" s="274" t="n">
        <x:v>1000</x:v>
      </x:c>
      <x:c r="M2624" s="274" t="s">
        <x:v>5020</x:v>
      </x:c>
      <x:c r="N2624" s="274" t="s">
        <x:v>4258</x:v>
      </x:c>
    </x:row>
    <x:row r="2625" spans="1:14">
      <x:c r="A2625" s="274" t="s">
        <x:v>5021</x:v>
      </x:c>
      <x:c r="B2625" s="274" t="n">
        <x:v>4.27</x:v>
      </x:c>
      <x:c r="C2625" s="274" t="n">
        <x:v>0</x:v>
      </x:c>
      <x:c r="D2625" s="274" t="n">
        <x:v>0</x:v>
      </x:c>
      <x:c r="F2625" s="274" t="s">
        <x:v>333</x:v>
      </x:c>
      <x:c r="G2625" s="274" t="s">
        <x:v>4286</x:v>
      </x:c>
      <x:c r="I2625" s="274" t="n">
        <x:v>1</x:v>
      </x:c>
      <x:c r="J2625" s="274" t="n">
        <x:v>879</x:v>
      </x:c>
      <x:c r="K2625" s="274" t="n">
        <x:v>619</x:v>
      </x:c>
      <x:c r="M2625" s="274" t="s">
        <x:v>5022</x:v>
      </x:c>
      <x:c r="N2625" s="274" t="s">
        <x:v>4258</x:v>
      </x:c>
    </x:row>
    <x:row r="2626" spans="1:14">
      <x:c r="A2626" s="274" t="s">
        <x:v>5023</x:v>
      </x:c>
      <x:c r="B2626" s="274" t="n">
        <x:v>1.51</x:v>
      </x:c>
      <x:c r="C2626" s="274" t="n">
        <x:v>0</x:v>
      </x:c>
      <x:c r="D2626" s="274" t="n">
        <x:v>0</x:v>
      </x:c>
      <x:c r="F2626" s="274" t="s">
        <x:v>184</x:v>
      </x:c>
      <x:c r="G2626" s="274" t="s">
        <x:v>4782</x:v>
      </x:c>
      <x:c r="H2626" s="274" t="s">
        <x:v>4471</x:v>
      </x:c>
      <x:c r="I2626" s="274" t="n">
        <x:v>1</x:v>
      </x:c>
      <x:c r="J2626" s="274" t="n">
        <x:v>1077</x:v>
      </x:c>
      <x:c r="K2626" s="274" t="n">
        <x:v>179</x:v>
      </x:c>
      <x:c r="M2626" s="274" t="s">
        <x:v>5024</x:v>
      </x:c>
      <x:c r="N2626" s="274" t="s">
        <x:v>4258</x:v>
      </x:c>
    </x:row>
    <x:row r="2627" spans="1:14">
      <x:c r="A2627" s="274" t="s">
        <x:v>5025</x:v>
      </x:c>
      <x:c r="B2627" s="274" t="n">
        <x:v>11.17</x:v>
      </x:c>
      <x:c r="C2627" s="274" t="n">
        <x:v>0</x:v>
      </x:c>
      <x:c r="D2627" s="274" t="n">
        <x:v>0</x:v>
      </x:c>
      <x:c r="F2627" s="274" t="s">
        <x:v>123</x:v>
      </x:c>
      <x:c r="G2627" s="274" t="s">
        <x:v>4787</x:v>
      </x:c>
      <x:c r="H2627" s="274" t="s">
        <x:v>4471</x:v>
      </x:c>
      <x:c r="I2627" s="274" t="n">
        <x:v>1.4</x:v>
      </x:c>
      <x:c r="J2627" s="274" t="n">
        <x:v>847</x:v>
      </x:c>
      <x:c r="K2627" s="274" t="n">
        <x:v>1200</x:v>
      </x:c>
      <x:c r="M2627" s="274" t="s">
        <x:v>5026</x:v>
      </x:c>
      <x:c r="N2627" s="274" t="s">
        <x:v>4258</x:v>
      </x:c>
    </x:row>
    <x:row r="2628" spans="1:14">
      <x:c r="A2628" s="274" t="s">
        <x:v>5027</x:v>
      </x:c>
      <x:c r="B2628" s="274" t="n">
        <x:v>1.67</x:v>
      </x:c>
      <x:c r="C2628" s="274" t="n">
        <x:v>0</x:v>
      </x:c>
      <x:c r="D2628" s="274" t="n">
        <x:v>0</x:v>
      </x:c>
      <x:c r="F2628" s="274" t="s">
        <x:v>123</x:v>
      </x:c>
      <x:c r="G2628" s="274" t="s">
        <x:v>4256</x:v>
      </x:c>
      <x:c r="I2628" s="274" t="n">
        <x:v>1.2</x:v>
      </x:c>
      <x:c r="J2628" s="274" t="n">
        <x:v>296</x:v>
      </x:c>
      <x:c r="K2628" s="274" t="n">
        <x:v>600</x:v>
      </x:c>
      <x:c r="M2628" s="274" t="s">
        <x:v>5028</x:v>
      </x:c>
      <x:c r="N2628" s="274" t="s">
        <x:v>4258</x:v>
      </x:c>
    </x:row>
    <x:row r="2629" spans="1:14">
      <x:c r="A2629" s="274" t="s">
        <x:v>5029</x:v>
      </x:c>
      <x:c r="B2629" s="274" t="n">
        <x:v>0.54</x:v>
      </x:c>
      <x:c r="C2629" s="274" t="n">
        <x:v>0</x:v>
      </x:c>
      <x:c r="D2629" s="274" t="n">
        <x:v>0</x:v>
      </x:c>
      <x:c r="F2629" s="274" t="s">
        <x:v>333</x:v>
      </x:c>
      <x:c r="G2629" s="274" t="s">
        <x:v>4663</x:v>
      </x:c>
      <x:c r="I2629" s="274" t="n">
        <x:v>1.2</x:v>
      </x:c>
      <x:c r="J2629" s="274" t="n">
        <x:v>474</x:v>
      </x:c>
      <x:c r="K2629" s="274" t="n">
        <x:v>120</x:v>
      </x:c>
      <x:c r="M2629" s="274" t="s">
        <x:v>5030</x:v>
      </x:c>
      <x:c r="N2629" s="274" t="s">
        <x:v>4258</x:v>
      </x:c>
    </x:row>
    <x:row r="2630" spans="1:14">
      <x:c r="A2630" s="274" t="s">
        <x:v>5031</x:v>
      </x:c>
      <x:c r="B2630" s="274" t="n">
        <x:v>0.77</x:v>
      </x:c>
      <x:c r="C2630" s="274" t="n">
        <x:v>0</x:v>
      </x:c>
      <x:c r="D2630" s="274" t="n">
        <x:v>0</x:v>
      </x:c>
      <x:c r="F2630" s="274" t="s">
        <x:v>123</x:v>
      </x:c>
      <x:c r="G2630" s="274" t="s">
        <x:v>4256</x:v>
      </x:c>
      <x:c r="I2630" s="274" t="n">
        <x:v>1.2</x:v>
      </x:c>
      <x:c r="J2630" s="274" t="n">
        <x:v>380</x:v>
      </x:c>
      <x:c r="K2630" s="274" t="n">
        <x:v>216</x:v>
      </x:c>
      <x:c r="M2630" s="274" t="s">
        <x:v>5032</x:v>
      </x:c>
      <x:c r="N2630" s="274" t="s">
        <x:v>4258</x:v>
      </x:c>
    </x:row>
    <x:row r="2631" spans="1:14">
      <x:c r="A2631" s="274" t="s">
        <x:v>5033</x:v>
      </x:c>
      <x:c r="B2631" s="274" t="n">
        <x:v>2.53</x:v>
      </x:c>
      <x:c r="C2631" s="274" t="n">
        <x:v>0</x:v>
      </x:c>
      <x:c r="D2631" s="274" t="n">
        <x:v>0</x:v>
      </x:c>
      <x:c r="F2631" s="274" t="s">
        <x:v>333</x:v>
      </x:c>
      <x:c r="G2631" s="274" t="s">
        <x:v>4286</x:v>
      </x:c>
      <x:c r="I2631" s="274" t="n">
        <x:v>1.2</x:v>
      </x:c>
      <x:c r="J2631" s="274" t="n">
        <x:v>693</x:v>
      </x:c>
      <x:c r="K2631" s="274" t="n">
        <x:v>387</x:v>
      </x:c>
      <x:c r="M2631" s="274" t="s">
        <x:v>5034</x:v>
      </x:c>
      <x:c r="N2631" s="274" t="s">
        <x:v>4258</x:v>
      </x:c>
    </x:row>
    <x:row r="2632" spans="1:14">
      <x:c r="A2632" s="274" t="s">
        <x:v>5035</x:v>
      </x:c>
      <x:c r="B2632" s="274" t="n">
        <x:v>0.58</x:v>
      </x:c>
      <x:c r="C2632" s="274" t="n">
        <x:v>0</x:v>
      </x:c>
      <x:c r="D2632" s="274" t="n">
        <x:v>0</x:v>
      </x:c>
      <x:c r="F2632" s="274" t="s">
        <x:v>184</x:v>
      </x:c>
      <x:c r="G2632" s="274" t="s">
        <x:v>4782</x:v>
      </x:c>
      <x:c r="H2632" s="274" t="s">
        <x:v>4471</x:v>
      </x:c>
      <x:c r="I2632" s="274" t="n">
        <x:v>1</x:v>
      </x:c>
      <x:c r="J2632" s="274" t="n">
        <x:v>211</x:v>
      </x:c>
      <x:c r="K2632" s="274" t="n">
        <x:v>352</x:v>
      </x:c>
      <x:c r="M2632" s="274" t="s">
        <x:v>5036</x:v>
      </x:c>
      <x:c r="N2632" s="274" t="s">
        <x:v>4258</x:v>
      </x:c>
    </x:row>
    <x:row r="2633" spans="1:14">
      <x:c r="A2633" s="274" t="s">
        <x:v>5037</x:v>
      </x:c>
      <x:c r="B2633" s="274" t="n">
        <x:v>1.18</x:v>
      </x:c>
      <x:c r="C2633" s="274" t="n">
        <x:v>0</x:v>
      </x:c>
      <x:c r="D2633" s="274" t="n">
        <x:v>0</x:v>
      </x:c>
      <x:c r="F2633" s="274" t="s">
        <x:v>333</x:v>
      </x:c>
      <x:c r="G2633" s="274" t="s">
        <x:v>4663</x:v>
      </x:c>
      <x:c r="I2633" s="274" t="n">
        <x:v>1.2</x:v>
      </x:c>
      <x:c r="J2633" s="274" t="n">
        <x:v>520</x:v>
      </x:c>
      <x:c r="K2633" s="274" t="n">
        <x:v>240</x:v>
      </x:c>
      <x:c r="M2633" s="274" t="s">
        <x:v>5038</x:v>
      </x:c>
      <x:c r="N2633" s="274" t="s">
        <x:v>4258</x:v>
      </x:c>
    </x:row>
    <x:row r="2634" spans="1:14">
      <x:c r="A2634" s="274" t="s">
        <x:v>5039</x:v>
      </x:c>
      <x:c r="B2634" s="274" t="n">
        <x:v>1.3</x:v>
      </x:c>
      <x:c r="C2634" s="274" t="n">
        <x:v>0</x:v>
      </x:c>
      <x:c r="D2634" s="274" t="n">
        <x:v>0</x:v>
      </x:c>
      <x:c r="F2634" s="274" t="s">
        <x:v>133</x:v>
      </x:c>
      <x:c r="G2634" s="274" t="s">
        <x:v>4470</x:v>
      </x:c>
      <x:c r="H2634" s="274" t="s">
        <x:v>4471</x:v>
      </x:c>
      <x:c r="I2634" s="274" t="n">
        <x:v>2</x:v>
      </x:c>
      <x:c r="J2634" s="274" t="n">
        <x:v>230</x:v>
      </x:c>
      <x:c r="K2634" s="274" t="n">
        <x:v>360</x:v>
      </x:c>
      <x:c r="M2634" s="274" t="s">
        <x:v>5040</x:v>
      </x:c>
      <x:c r="N2634" s="274" t="s">
        <x:v>4258</x:v>
      </x:c>
    </x:row>
    <x:row r="2635" spans="1:14">
      <x:c r="A2635" s="274" t="s">
        <x:v>5041</x:v>
      </x:c>
      <x:c r="B2635" s="274" t="n">
        <x:v>1.27</x:v>
      </x:c>
      <x:c r="C2635" s="274" t="n">
        <x:v>0</x:v>
      </x:c>
      <x:c r="D2635" s="274" t="n">
        <x:v>0</x:v>
      </x:c>
      <x:c r="F2635" s="274" t="s">
        <x:v>123</x:v>
      </x:c>
      <x:c r="G2635" s="274" t="s">
        <x:v>4787</x:v>
      </x:c>
      <x:c r="H2635" s="274" t="s">
        <x:v>4471</x:v>
      </x:c>
      <x:c r="I2635" s="274" t="n">
        <x:v>1.4</x:v>
      </x:c>
      <x:c r="J2635" s="274" t="n">
        <x:v>96</x:v>
      </x:c>
      <x:c r="K2635" s="274" t="n">
        <x:v>1200</x:v>
      </x:c>
      <x:c r="M2635" s="274" t="s">
        <x:v>5042</x:v>
      </x:c>
      <x:c r="N2635" s="274" t="s">
        <x:v>4258</x:v>
      </x:c>
    </x:row>
    <x:row r="2636" spans="1:14">
      <x:c r="A2636" s="274" t="s">
        <x:v>5043</x:v>
      </x:c>
      <x:c r="B2636" s="274" t="n">
        <x:v>0.85</x:v>
      </x:c>
      <x:c r="C2636" s="274" t="n">
        <x:v>0</x:v>
      </x:c>
      <x:c r="D2636" s="274" t="n">
        <x:v>0</x:v>
      </x:c>
      <x:c r="F2636" s="274" t="s">
        <x:v>184</x:v>
      </x:c>
      <x:c r="G2636" s="274" t="s">
        <x:v>4782</x:v>
      </x:c>
      <x:c r="H2636" s="274" t="s">
        <x:v>4471</x:v>
      </x:c>
      <x:c r="I2636" s="274" t="n">
        <x:v>2</x:v>
      </x:c>
      <x:c r="J2636" s="274" t="n">
        <x:v>137</x:v>
      </x:c>
      <x:c r="K2636" s="274" t="n">
        <x:v>397</x:v>
      </x:c>
      <x:c r="M2636" s="274" t="s">
        <x:v>5044</x:v>
      </x:c>
      <x:c r="N2636" s="274" t="s">
        <x:v>4258</x:v>
      </x:c>
    </x:row>
    <x:row r="2637" spans="1:14">
      <x:c r="A2637" s="274" t="s">
        <x:v>5045</x:v>
      </x:c>
      <x:c r="B2637" s="274" t="n">
        <x:v>2.31</x:v>
      </x:c>
      <x:c r="C2637" s="274" t="n">
        <x:v>0</x:v>
      </x:c>
      <x:c r="D2637" s="274" t="n">
        <x:v>0</x:v>
      </x:c>
      <x:c r="F2637" s="274" t="s">
        <x:v>184</x:v>
      </x:c>
      <x:c r="G2637" s="274" t="s">
        <x:v>4782</x:v>
      </x:c>
      <x:c r="H2637" s="274" t="s">
        <x:v>4471</x:v>
      </x:c>
      <x:c r="I2637" s="274" t="n">
        <x:v>1.6</x:v>
      </x:c>
      <x:c r="J2637" s="274" t="n">
        <x:v>153</x:v>
      </x:c>
      <x:c r="K2637" s="274" t="n">
        <x:v>1200</x:v>
      </x:c>
      <x:c r="M2637" s="274" t="s">
        <x:v>5046</x:v>
      </x:c>
      <x:c r="N2637" s="274" t="s">
        <x:v>5047</x:v>
      </x:c>
    </x:row>
    <x:row r="2638" spans="1:14">
      <x:c r="A2638" s="274" t="s">
        <x:v>5048</x:v>
      </x:c>
      <x:c r="B2638" s="274" t="n">
        <x:v>0.66</x:v>
      </x:c>
      <x:c r="C2638" s="274" t="n">
        <x:v>0</x:v>
      </x:c>
      <x:c r="D2638" s="274" t="n">
        <x:v>0</x:v>
      </x:c>
      <x:c r="F2638" s="274" t="s">
        <x:v>184</x:v>
      </x:c>
      <x:c r="G2638" s="274" t="s">
        <x:v>4782</x:v>
      </x:c>
      <x:c r="H2638" s="274" t="s">
        <x:v>4471</x:v>
      </x:c>
      <x:c r="I2638" s="274" t="n">
        <x:v>2</x:v>
      </x:c>
      <x:c r="J2638" s="274" t="n">
        <x:v>145</x:v>
      </x:c>
      <x:c r="K2638" s="274" t="n">
        <x:v>290</x:v>
      </x:c>
      <x:c r="M2638" s="274" t="s">
        <x:v>5049</x:v>
      </x:c>
      <x:c r="N2638" s="274" t="s">
        <x:v>4258</x:v>
      </x:c>
    </x:row>
    <x:row r="2639" spans="1:14">
      <x:c r="A2639" s="274" t="s">
        <x:v>5050</x:v>
      </x:c>
      <x:c r="B2639" s="274" t="n">
        <x:v>4.02</x:v>
      </x:c>
      <x:c r="C2639" s="274" t="n">
        <x:v>0</x:v>
      </x:c>
      <x:c r="D2639" s="274" t="n">
        <x:v>0</x:v>
      </x:c>
      <x:c r="F2639" s="274" t="s">
        <x:v>184</x:v>
      </x:c>
      <x:c r="G2639" s="274" t="s">
        <x:v>4782</x:v>
      </x:c>
      <x:c r="H2639" s="274" t="s">
        <x:v>4471</x:v>
      </x:c>
      <x:c r="I2639" s="274" t="n">
        <x:v>1.8</x:v>
      </x:c>
      <x:c r="J2639" s="274" t="n">
        <x:v>237</x:v>
      </x:c>
      <x:c r="K2639" s="274" t="n">
        <x:v>1200</x:v>
      </x:c>
      <x:c r="M2639" s="274" t="s">
        <x:v>5051</x:v>
      </x:c>
      <x:c r="N2639" s="274" t="s">
        <x:v>4258</x:v>
      </x:c>
    </x:row>
    <x:row r="2640" spans="1:14">
      <x:c r="A2640" s="274" t="s">
        <x:v>5052</x:v>
      </x:c>
      <x:c r="B2640" s="274" t="n">
        <x:v>1.39</x:v>
      </x:c>
      <x:c r="C2640" s="274" t="n">
        <x:v>0</x:v>
      </x:c>
      <x:c r="D2640" s="274" t="n">
        <x:v>0</x:v>
      </x:c>
      <x:c r="F2640" s="274" t="s">
        <x:v>184</x:v>
      </x:c>
      <x:c r="G2640" s="274" t="s">
        <x:v>4782</x:v>
      </x:c>
      <x:c r="H2640" s="274" t="s">
        <x:v>4471</x:v>
      </x:c>
      <x:c r="I2640" s="274" t="n">
        <x:v>1.4</x:v>
      </x:c>
      <x:c r="J2640" s="274" t="n">
        <x:v>463</x:v>
      </x:c>
      <x:c r="K2640" s="274" t="n">
        <x:v>274</x:v>
      </x:c>
      <x:c r="M2640" s="274" t="s">
        <x:v>5053</x:v>
      </x:c>
      <x:c r="N2640" s="274" t="s">
        <x:v>4258</x:v>
      </x:c>
    </x:row>
    <x:row r="2641" spans="1:14">
      <x:c r="A2641" s="274" t="s">
        <x:v>5054</x:v>
      </x:c>
      <x:c r="B2641" s="274" t="n">
        <x:v>0.93</x:v>
      </x:c>
      <x:c r="C2641" s="274" t="n">
        <x:v>0</x:v>
      </x:c>
      <x:c r="D2641" s="274" t="n">
        <x:v>0</x:v>
      </x:c>
      <x:c r="F2641" s="274" t="s">
        <x:v>133</x:v>
      </x:c>
      <x:c r="G2641" s="274" t="s">
        <x:v>4470</x:v>
      </x:c>
      <x:c r="H2641" s="274" t="s">
        <x:v>4471</x:v>
      </x:c>
      <x:c r="I2641" s="274" t="n">
        <x:v>1.4</x:v>
      </x:c>
      <x:c r="J2641" s="274" t="n">
        <x:v>452</x:v>
      </x:c>
      <x:c r="K2641" s="274" t="n">
        <x:v>188</x:v>
      </x:c>
      <x:c r="M2641" s="274" t="s">
        <x:v>5055</x:v>
      </x:c>
      <x:c r="N2641" s="274" t="s">
        <x:v>4258</x:v>
      </x:c>
    </x:row>
    <x:row r="2642" spans="1:14">
      <x:c r="A2642" s="274" t="s">
        <x:v>5056</x:v>
      </x:c>
      <x:c r="B2642" s="274" t="n">
        <x:v>1.08</x:v>
      </x:c>
      <x:c r="C2642" s="274" t="n">
        <x:v>0</x:v>
      </x:c>
      <x:c r="D2642" s="274" t="n">
        <x:v>0</x:v>
      </x:c>
      <x:c r="F2642" s="274" t="s">
        <x:v>133</x:v>
      </x:c>
      <x:c r="G2642" s="274" t="s">
        <x:v>4470</x:v>
      </x:c>
      <x:c r="H2642" s="274" t="s">
        <x:v>4471</x:v>
      </x:c>
      <x:c r="I2642" s="274" t="n">
        <x:v>1.4</x:v>
      </x:c>
      <x:c r="J2642" s="274" t="n">
        <x:v>176</x:v>
      </x:c>
      <x:c r="K2642" s="274" t="n">
        <x:v>560</x:v>
      </x:c>
      <x:c r="M2642" s="274" t="s">
        <x:v>5057</x:v>
      </x:c>
      <x:c r="N2642" s="274" t="s">
        <x:v>4258</x:v>
      </x:c>
    </x:row>
    <x:row r="2643" spans="1:14">
      <x:c r="A2643" s="274" t="s">
        <x:v>5058</x:v>
      </x:c>
      <x:c r="B2643" s="274" t="n">
        <x:v>1.91</x:v>
      </x:c>
      <x:c r="C2643" s="274" t="n">
        <x:v>0</x:v>
      </x:c>
      <x:c r="D2643" s="274" t="n">
        <x:v>0</x:v>
      </x:c>
      <x:c r="F2643" s="274" t="s">
        <x:v>333</x:v>
      </x:c>
      <x:c r="G2643" s="274" t="s">
        <x:v>2468</x:v>
      </x:c>
      <x:c r="I2643" s="274" t="n">
        <x:v>0.7</x:v>
      </x:c>
      <x:c r="J2643" s="274" t="n">
        <x:v>995</x:v>
      </x:c>
      <x:c r="K2643" s="274" t="n">
        <x:v>350</x:v>
      </x:c>
      <x:c r="M2643" s="274" t="s">
        <x:v>5059</x:v>
      </x:c>
      <x:c r="N2643" s="274" t="s">
        <x:v>3984</x:v>
      </x:c>
    </x:row>
    <x:row r="2644" spans="1:14">
      <x:c r="A2644" s="274" t="s">
        <x:v>5060</x:v>
      </x:c>
      <x:c r="B2644" s="274" t="n">
        <x:v>0.97</x:v>
      </x:c>
      <x:c r="C2644" s="274" t="n">
        <x:v>0</x:v>
      </x:c>
      <x:c r="D2644" s="274" t="n">
        <x:v>0</x:v>
      </x:c>
      <x:c r="F2644" s="274" t="s">
        <x:v>333</x:v>
      </x:c>
      <x:c r="G2644" s="274" t="s">
        <x:v>2468</x:v>
      </x:c>
      <x:c r="I2644" s="274" t="n">
        <x:v>0.7</x:v>
      </x:c>
      <x:c r="J2644" s="274" t="n">
        <x:v>603</x:v>
      </x:c>
      <x:c r="K2644" s="274" t="n">
        <x:v>293</x:v>
      </x:c>
      <x:c r="M2644" s="274" t="s">
        <x:v>5061</x:v>
      </x:c>
      <x:c r="N2644" s="274" t="s">
        <x:v>3984</x:v>
      </x:c>
    </x:row>
    <x:row r="2645" spans="1:14">
      <x:c r="A2645" s="274" t="s">
        <x:v>5062</x:v>
      </x:c>
      <x:c r="B2645" s="274" t="n">
        <x:v>0.56</x:v>
      </x:c>
      <x:c r="C2645" s="274" t="n">
        <x:v>0</x:v>
      </x:c>
      <x:c r="D2645" s="274" t="n">
        <x:v>0</x:v>
      </x:c>
      <x:c r="F2645" s="274" t="s">
        <x:v>333</x:v>
      </x:c>
      <x:c r="G2645" s="274" t="s">
        <x:v>2157</x:v>
      </x:c>
      <x:c r="I2645" s="274" t="n">
        <x:v>0.6</x:v>
      </x:c>
      <x:c r="J2645" s="274" t="n">
        <x:v>103</x:v>
      </x:c>
      <x:c r="K2645" s="274" t="n">
        <x:v>1145</x:v>
      </x:c>
      <x:c r="M2645" s="274" t="s">
        <x:v>3989</x:v>
      </x:c>
      <x:c r="N2645" s="274" t="s">
        <x:v>3984</x:v>
      </x:c>
    </x:row>
    <x:row r="2646" spans="1:14">
      <x:c r="A2646" s="274" t="s">
        <x:v>5063</x:v>
      </x:c>
      <x:c r="B2646" s="274" t="n">
        <x:v>0.72</x:v>
      </x:c>
      <x:c r="C2646" s="274" t="n">
        <x:v>0</x:v>
      </x:c>
      <x:c r="D2646" s="274" t="n">
        <x:v>0</x:v>
      </x:c>
      <x:c r="F2646" s="274" t="s">
        <x:v>333</x:v>
      </x:c>
      <x:c r="G2646" s="274" t="s">
        <x:v>2157</x:v>
      </x:c>
      <x:c r="I2646" s="274" t="n">
        <x:v>0.6</x:v>
      </x:c>
      <x:c r="J2646" s="274" t="n">
        <x:v>1110</x:v>
      </x:c>
      <x:c r="K2646" s="274" t="n">
        <x:v>138</x:v>
      </x:c>
      <x:c r="M2646" s="274" t="s">
        <x:v>3993</x:v>
      </x:c>
      <x:c r="N2646" s="274" t="s">
        <x:v>3984</x:v>
      </x:c>
    </x:row>
    <x:row r="2647" spans="1:14">
      <x:c r="A2647" s="274" t="s">
        <x:v>5064</x:v>
      </x:c>
      <x:c r="B2647" s="274" t="n">
        <x:v>0.57</x:v>
      </x:c>
      <x:c r="C2647" s="274" t="n">
        <x:v>0</x:v>
      </x:c>
      <x:c r="D2647" s="274" t="n">
        <x:v>0</x:v>
      </x:c>
      <x:c r="F2647" s="274" t="s">
        <x:v>333</x:v>
      </x:c>
      <x:c r="G2647" s="274" t="s">
        <x:v>2468</x:v>
      </x:c>
      <x:c r="I2647" s="274" t="n">
        <x:v>0.6</x:v>
      </x:c>
      <x:c r="J2647" s="274" t="n">
        <x:v>1065</x:v>
      </x:c>
      <x:c r="K2647" s="274" t="n">
        <x:v>113</x:v>
      </x:c>
      <x:c r="M2647" s="274" t="s">
        <x:v>3997</x:v>
      </x:c>
      <x:c r="N2647" s="274" t="s">
        <x:v>3984</x:v>
      </x:c>
    </x:row>
    <x:row r="2648" spans="1:14">
      <x:c r="A2648" s="274" t="s">
        <x:v>5065</x:v>
      </x:c>
      <x:c r="B2648" s="274" t="n">
        <x:v>0.58</x:v>
      </x:c>
      <x:c r="C2648" s="274" t="n">
        <x:v>0</x:v>
      </x:c>
      <x:c r="D2648" s="274" t="n">
        <x:v>0</x:v>
      </x:c>
      <x:c r="F2648" s="274" t="s">
        <x:v>333</x:v>
      </x:c>
      <x:c r="G2648" s="274" t="s">
        <x:v>2157</x:v>
      </x:c>
      <x:c r="I2648" s="274" t="n">
        <x:v>0.6</x:v>
      </x:c>
      <x:c r="J2648" s="274" t="n">
        <x:v>1091</x:v>
      </x:c>
      <x:c r="K2648" s="274" t="n">
        <x:v>113</x:v>
      </x:c>
      <x:c r="M2648" s="274" t="s">
        <x:v>3999</x:v>
      </x:c>
      <x:c r="N2648" s="274" t="s">
        <x:v>5066</x:v>
      </x:c>
    </x:row>
    <x:row r="2649" spans="1:14">
      <x:c r="A2649" s="274" t="s">
        <x:v>5067</x:v>
      </x:c>
      <x:c r="B2649" s="274" t="n">
        <x:v>1.94</x:v>
      </x:c>
      <x:c r="C2649" s="274" t="n">
        <x:v>0</x:v>
      </x:c>
      <x:c r="D2649" s="274" t="n">
        <x:v>0</x:v>
      </x:c>
      <x:c r="F2649" s="274" t="s">
        <x:v>333</x:v>
      </x:c>
      <x:c r="G2649" s="274" t="s">
        <x:v>2468</x:v>
      </x:c>
      <x:c r="I2649" s="274" t="n">
        <x:v>0.7</x:v>
      </x:c>
      <x:c r="J2649" s="274" t="n">
        <x:v>1035</x:v>
      </x:c>
      <x:c r="K2649" s="274" t="n">
        <x:v>341</x:v>
      </x:c>
      <x:c r="M2649" s="274" t="s">
        <x:v>5068</x:v>
      </x:c>
      <x:c r="N2649" s="274" t="s">
        <x:v>3984</x:v>
      </x:c>
    </x:row>
    <x:row r="2650" spans="1:14">
      <x:c r="A2650" s="274" t="s">
        <x:v>5069</x:v>
      </x:c>
      <x:c r="B2650" s="274" t="n">
        <x:v>0.36</x:v>
      </x:c>
      <x:c r="C2650" s="274" t="n">
        <x:v>0</x:v>
      </x:c>
      <x:c r="D2650" s="274" t="n">
        <x:v>0</x:v>
      </x:c>
      <x:c r="F2650" s="274" t="s">
        <x:v>333</x:v>
      </x:c>
      <x:c r="G2650" s="274" t="s">
        <x:v>124</x:v>
      </x:c>
      <x:c r="I2650" s="274" t="n">
        <x:v>2</x:v>
      </x:c>
      <x:c r="J2650" s="274" t="n">
        <x:v>270</x:v>
      </x:c>
      <x:c r="K2650" s="274" t="n">
        <x:v>85</x:v>
      </x:c>
      <x:c r="M2650" s="274" t="s">
        <x:v>4009</x:v>
      </x:c>
      <x:c r="N2650" s="274" t="s">
        <x:v>3984</x:v>
      </x:c>
    </x:row>
    <x:row r="2651" spans="1:14">
      <x:c r="A2651" s="274" t="s">
        <x:v>5070</x:v>
      </x:c>
      <x:c r="B2651" s="274" t="n">
        <x:v>0.46</x:v>
      </x:c>
      <x:c r="C2651" s="274" t="n">
        <x:v>0</x:v>
      </x:c>
      <x:c r="D2651" s="274" t="n">
        <x:v>0</x:v>
      </x:c>
      <x:c r="F2651" s="274" t="s">
        <x:v>333</x:v>
      </x:c>
      <x:c r="G2651" s="274" t="s">
        <x:v>124</x:v>
      </x:c>
      <x:c r="I2651" s="274" t="n">
        <x:v>1.2</x:v>
      </x:c>
      <x:c r="J2651" s="274" t="n">
        <x:v>239</x:v>
      </x:c>
      <x:c r="K2651" s="274" t="n">
        <x:v>205</x:v>
      </x:c>
      <x:c r="M2651" s="274" t="s">
        <x:v>4011</x:v>
      </x:c>
      <x:c r="N2651" s="274" t="s">
        <x:v>3984</x:v>
      </x:c>
    </x:row>
    <x:row r="2652" spans="1:14">
      <x:c r="A2652" s="274" t="s">
        <x:v>5071</x:v>
      </x:c>
      <x:c r="B2652" s="274" t="n">
        <x:v>0.9</x:v>
      </x:c>
      <x:c r="C2652" s="274" t="n">
        <x:v>0</x:v>
      </x:c>
      <x:c r="D2652" s="274" t="n">
        <x:v>0</x:v>
      </x:c>
      <x:c r="F2652" s="274" t="s">
        <x:v>333</x:v>
      </x:c>
      <x:c r="G2652" s="274" t="s">
        <x:v>124</x:v>
      </x:c>
      <x:c r="I2652" s="274" t="n">
        <x:v>1</x:v>
      </x:c>
      <x:c r="J2652" s="274" t="n">
        <x:v>215</x:v>
      </x:c>
      <x:c r="K2652" s="274" t="n">
        <x:v>535</x:v>
      </x:c>
      <x:c r="M2652" s="274" t="s">
        <x:v>5072</x:v>
      </x:c>
      <x:c r="N2652" s="274" t="s">
        <x:v>5073</x:v>
      </x:c>
    </x:row>
    <x:row r="2653" spans="1:14">
      <x:c r="A2653" s="274" t="s">
        <x:v>5074</x:v>
      </x:c>
      <x:c r="B2653" s="274" t="n">
        <x:v>2.91</x:v>
      </x:c>
      <x:c r="C2653" s="274" t="n">
        <x:v>0</x:v>
      </x:c>
      <x:c r="D2653" s="274" t="n">
        <x:v>0</x:v>
      </x:c>
      <x:c r="F2653" s="274" t="s">
        <x:v>333</x:v>
      </x:c>
      <x:c r="G2653" s="274" t="s">
        <x:v>124</x:v>
      </x:c>
      <x:c r="I2653" s="274" t="n">
        <x:v>1</x:v>
      </x:c>
      <x:c r="J2653" s="274" t="n">
        <x:v>1153</x:v>
      </x:c>
      <x:c r="K2653" s="274" t="n">
        <x:v>322</x:v>
      </x:c>
      <x:c r="M2653" s="274" t="s">
        <x:v>4932</x:v>
      </x:c>
      <x:c r="N2653" s="274" t="s">
        <x:v>5073</x:v>
      </x:c>
    </x:row>
    <x:row r="2654" spans="1:14">
      <x:c r="A2654" s="274" t="s">
        <x:v>5075</x:v>
      </x:c>
      <x:c r="B2654" s="274" t="n">
        <x:v>2.67</x:v>
      </x:c>
      <x:c r="C2654" s="274" t="n">
        <x:v>0</x:v>
      </x:c>
      <x:c r="D2654" s="274" t="n">
        <x:v>0</x:v>
      </x:c>
      <x:c r="F2654" s="274" t="s">
        <x:v>184</x:v>
      </x:c>
      <x:c r="G2654" s="274" t="s">
        <x:v>129</x:v>
      </x:c>
      <x:c r="H2654" s="274" t="n">
        <x:v>45</x:v>
      </x:c>
      <x:c r="I2654" s="274" t="n">
        <x:v>1.2</x:v>
      </x:c>
      <x:c r="J2654" s="274" t="n">
        <x:v>234</x:v>
      </x:c>
      <x:c r="K2654" s="274" t="n">
        <x:v>1200</x:v>
      </x:c>
      <x:c r="M2654" s="274" t="s">
        <x:v>5076</x:v>
      </x:c>
      <x:c r="N2654" s="274" t="s">
        <x:v>5073</x:v>
      </x:c>
    </x:row>
    <x:row r="2655" spans="1:14">
      <x:c r="A2655" s="274" t="s">
        <x:v>5077</x:v>
      </x:c>
      <x:c r="B2655" s="274" t="n">
        <x:v>0.3</x:v>
      </x:c>
      <x:c r="C2655" s="274" t="n">
        <x:v>0</x:v>
      </x:c>
      <x:c r="D2655" s="274" t="n">
        <x:v>0</x:v>
      </x:c>
      <x:c r="F2655" s="274" t="s">
        <x:v>184</x:v>
      </x:c>
      <x:c r="G2655" s="274" t="s">
        <x:v>129</x:v>
      </x:c>
      <x:c r="H2655" s="274" t="n">
        <x:v>45</x:v>
      </x:c>
      <x:c r="I2655" s="274" t="n">
        <x:v>1.2</x:v>
      </x:c>
      <x:c r="J2655" s="274" t="n">
        <x:v>254</x:v>
      </x:c>
      <x:c r="K2655" s="274" t="n">
        <x:v>125</x:v>
      </x:c>
      <x:c r="M2655" s="274" t="s">
        <x:v>5078</x:v>
      </x:c>
      <x:c r="N2655" s="274" t="s">
        <x:v>5073</x:v>
      </x:c>
    </x:row>
    <x:row r="2656" spans="1:14">
      <x:c r="A2656" s="274" t="s">
        <x:v>5079</x:v>
      </x:c>
      <x:c r="B2656" s="274" t="n">
        <x:v>1.38</x:v>
      </x:c>
      <x:c r="C2656" s="274" t="n">
        <x:v>0</x:v>
      </x:c>
      <x:c r="D2656" s="274" t="n">
        <x:v>0</x:v>
      </x:c>
      <x:c r="F2656" s="274" t="s">
        <x:v>123</x:v>
      </x:c>
      <x:c r="G2656" s="274" t="s">
        <x:v>136</x:v>
      </x:c>
      <x:c r="H2656" s="274" t="n">
        <x:v>45</x:v>
      </x:c>
      <x:c r="I2656" s="274" t="n">
        <x:v>0.55</x:v>
      </x:c>
      <x:c r="J2656" s="274" t="n">
        <x:v>285</x:v>
      </x:c>
      <x:c r="K2656" s="274" t="n">
        <x:v>1100</x:v>
      </x:c>
      <x:c r="M2656" s="274" t="s">
        <x:v>5080</x:v>
      </x:c>
      <x:c r="N2656" s="274" t="s">
        <x:v>3671</x:v>
      </x:c>
    </x:row>
    <x:row r="2657" spans="1:14">
      <x:c r="A2657" s="274" t="s">
        <x:v>5081</x:v>
      </x:c>
      <x:c r="B2657" s="274" t="n">
        <x:v>1.02</x:v>
      </x:c>
      <x:c r="C2657" s="274" t="n">
        <x:v>0</x:v>
      </x:c>
      <x:c r="D2657" s="274" t="n">
        <x:v>0</x:v>
      </x:c>
      <x:c r="F2657" s="274" t="s">
        <x:v>333</x:v>
      </x:c>
      <x:c r="G2657" s="274" t="s">
        <x:v>209</x:v>
      </x:c>
      <x:c r="I2657" s="274" t="n">
        <x:v>1</x:v>
      </x:c>
      <x:c r="J2657" s="274" t="n">
        <x:v>108</x:v>
      </x:c>
      <x:c r="K2657" s="274" t="n">
        <x:v>1200</x:v>
      </x:c>
      <x:c r="M2657" s="274" t="s">
        <x:v>4801</x:v>
      </x:c>
      <x:c r="N2657" s="274" t="s">
        <x:v>5073</x:v>
      </x:c>
    </x:row>
    <x:row r="2658" spans="1:14">
      <x:c r="A2658" s="274" t="s">
        <x:v>5082</x:v>
      </x:c>
      <x:c r="B2658" s="274" t="n">
        <x:v>1.61</x:v>
      </x:c>
      <x:c r="C2658" s="274" t="n">
        <x:v>0</x:v>
      </x:c>
      <x:c r="D2658" s="274" t="n">
        <x:v>0</x:v>
      </x:c>
      <x:c r="F2658" s="274" t="s">
        <x:v>333</x:v>
      </x:c>
      <x:c r="G2658" s="274" t="s">
        <x:v>124</x:v>
      </x:c>
      <x:c r="I2658" s="274" t="n">
        <x:v>1</x:v>
      </x:c>
      <x:c r="J2658" s="274" t="n">
        <x:v>175</x:v>
      </x:c>
      <x:c r="K2658" s="274" t="n">
        <x:v>1175</x:v>
      </x:c>
      <x:c r="M2658" s="274" t="s">
        <x:v>5083</x:v>
      </x:c>
      <x:c r="N2658" s="274" t="s">
        <x:v>3671</x:v>
      </x:c>
    </x:row>
    <x:row r="2659" spans="1:14">
      <x:c r="A2659" s="274" t="s">
        <x:v>5084</x:v>
      </x:c>
      <x:c r="B2659" s="274" t="n">
        <x:v>0.57</x:v>
      </x:c>
      <x:c r="C2659" s="274" t="n">
        <x:v>0</x:v>
      </x:c>
      <x:c r="D2659" s="274" t="n">
        <x:v>0</x:v>
      </x:c>
      <x:c r="F2659" s="274" t="s">
        <x:v>133</x:v>
      </x:c>
      <x:c r="G2659" s="274" t="s">
        <x:v>144</x:v>
      </x:c>
      <x:c r="H2659" s="274" t="n">
        <x:v>45</x:v>
      </x:c>
      <x:c r="I2659" s="274" t="n">
        <x:v>1</x:v>
      </x:c>
      <x:c r="J2659" s="274" t="n">
        <x:v>275</x:v>
      </x:c>
      <x:c r="K2659" s="274" t="n">
        <x:v>260</x:v>
      </x:c>
      <x:c r="M2659" s="274" t="s">
        <x:v>5085</x:v>
      </x:c>
      <x:c r="N2659" s="274" t="s">
        <x:v>3671</x:v>
      </x:c>
    </x:row>
    <x:row r="2660" spans="1:14">
      <x:c r="A2660" s="274" t="s">
        <x:v>5086</x:v>
      </x:c>
      <x:c r="B2660" s="274" t="n">
        <x:v>0.74</x:v>
      </x:c>
      <x:c r="C2660" s="274" t="n">
        <x:v>0</x:v>
      </x:c>
      <x:c r="D2660" s="274" t="n">
        <x:v>0</x:v>
      </x:c>
      <x:c r="F2660" s="274" t="s">
        <x:v>333</x:v>
      </x:c>
      <x:c r="G2660" s="274" t="s">
        <x:v>209</x:v>
      </x:c>
      <x:c r="I2660" s="274" t="n">
        <x:v>1</x:v>
      </x:c>
      <x:c r="J2660" s="274" t="n">
        <x:v>375</x:v>
      </x:c>
      <x:c r="K2660" s="274" t="n">
        <x:v>250</x:v>
      </x:c>
      <x:c r="M2660" s="274" t="s">
        <x:v>5087</x:v>
      </x:c>
      <x:c r="N2660" s="274" t="s">
        <x:v>5073</x:v>
      </x:c>
    </x:row>
    <x:row r="2661" spans="1:14">
      <x:c r="A2661" s="274" t="s">
        <x:v>5088</x:v>
      </x:c>
      <x:c r="B2661" s="274" t="n">
        <x:v>1.98</x:v>
      </x:c>
      <x:c r="C2661" s="274" t="n">
        <x:v>0</x:v>
      </x:c>
      <x:c r="D2661" s="274" t="n">
        <x:v>0</x:v>
      </x:c>
      <x:c r="F2661" s="274" t="s">
        <x:v>333</x:v>
      </x:c>
      <x:c r="G2661" s="274" t="s">
        <x:v>209</x:v>
      </x:c>
      <x:c r="I2661" s="274" t="n">
        <x:v>1</x:v>
      </x:c>
      <x:c r="J2661" s="274" t="n">
        <x:v>600</x:v>
      </x:c>
      <x:c r="K2661" s="274" t="n">
        <x:v>421</x:v>
      </x:c>
      <x:c r="M2661" s="274" t="s">
        <x:v>5089</x:v>
      </x:c>
      <x:c r="N2661" s="274" t="s">
        <x:v>5073</x:v>
      </x:c>
    </x:row>
    <x:row r="2662" spans="1:14">
      <x:c r="A2662" s="274" t="s">
        <x:v>5090</x:v>
      </x:c>
      <x:c r="B2662" s="274" t="n">
        <x:v>0.69</x:v>
      </x:c>
      <x:c r="C2662" s="274" t="n">
        <x:v>0</x:v>
      </x:c>
      <x:c r="D2662" s="274" t="n">
        <x:v>0</x:v>
      </x:c>
      <x:c r="F2662" s="274" t="s">
        <x:v>333</x:v>
      </x:c>
      <x:c r="G2662" s="274" t="s">
        <x:v>209</x:v>
      </x:c>
      <x:c r="I2662" s="274" t="n">
        <x:v>1</x:v>
      </x:c>
      <x:c r="J2662" s="274" t="n">
        <x:v>325</x:v>
      </x:c>
      <x:c r="K2662" s="274" t="n">
        <x:v>270</x:v>
      </x:c>
      <x:c r="M2662" s="274" t="s">
        <x:v>4922</x:v>
      </x:c>
      <x:c r="N2662" s="274" t="s">
        <x:v>5073</x:v>
      </x:c>
    </x:row>
    <x:row r="2663" spans="1:14">
      <x:c r="A2663" s="274" t="s">
        <x:v>5091</x:v>
      </x:c>
      <x:c r="B2663" s="274" t="n">
        <x:v>1.9</x:v>
      </x:c>
      <x:c r="C2663" s="274" t="n">
        <x:v>0</x:v>
      </x:c>
      <x:c r="D2663" s="274" t="n">
        <x:v>0</x:v>
      </x:c>
      <x:c r="F2663" s="274" t="s">
        <x:v>333</x:v>
      </x:c>
      <x:c r="G2663" s="274" t="s">
        <x:v>209</x:v>
      </x:c>
      <x:c r="I2663" s="274" t="n">
        <x:v>1</x:v>
      </x:c>
      <x:c r="J2663" s="274" t="n">
        <x:v>202</x:v>
      </x:c>
      <x:c r="K2663" s="274" t="n">
        <x:v>1200</x:v>
      </x:c>
      <x:c r="M2663" s="274" t="s">
        <x:v>4794</x:v>
      </x:c>
      <x:c r="N2663" s="274" t="s">
        <x:v>5073</x:v>
      </x:c>
    </x:row>
    <x:row r="2664" spans="1:14">
      <x:c r="A2664" s="274" t="s">
        <x:v>5092</x:v>
      </x:c>
      <x:c r="B2664" s="274" t="n">
        <x:v>2.04</x:v>
      </x:c>
      <x:c r="C2664" s="274" t="n">
        <x:v>0</x:v>
      </x:c>
      <x:c r="D2664" s="274" t="n">
        <x:v>0</x:v>
      </x:c>
      <x:c r="F2664" s="274" t="s">
        <x:v>333</x:v>
      </x:c>
      <x:c r="G2664" s="274" t="s">
        <x:v>209</x:v>
      </x:c>
      <x:c r="I2664" s="274" t="n">
        <x:v>1</x:v>
      </x:c>
      <x:c r="J2664" s="274" t="n">
        <x:v>217</x:v>
      </x:c>
      <x:c r="K2664" s="274" t="n">
        <x:v>1200</x:v>
      </x:c>
      <x:c r="M2664" s="274" t="s">
        <x:v>4770</x:v>
      </x:c>
      <x:c r="N2664" s="274" t="s">
        <x:v>5073</x:v>
      </x:c>
    </x:row>
    <x:row r="2665" spans="1:14">
      <x:c r="A2665" s="274" t="s">
        <x:v>5093</x:v>
      </x:c>
      <x:c r="B2665" s="274" t="n">
        <x:v>3.65</x:v>
      </x:c>
      <x:c r="C2665" s="274" t="n">
        <x:v>0</x:v>
      </x:c>
      <x:c r="D2665" s="274" t="n">
        <x:v>0</x:v>
      </x:c>
      <x:c r="F2665" s="274" t="s">
        <x:v>333</x:v>
      </x:c>
      <x:c r="G2665" s="274" t="s">
        <x:v>124</x:v>
      </x:c>
      <x:c r="I2665" s="274" t="n">
        <x:v>1</x:v>
      </x:c>
      <x:c r="J2665" s="274" t="n">
        <x:v>346</x:v>
      </x:c>
      <x:c r="K2665" s="274" t="n">
        <x:v>1344</x:v>
      </x:c>
      <x:c r="M2665" s="274" t="s">
        <x:v>5094</x:v>
      </x:c>
      <x:c r="N2665" s="274" t="s">
        <x:v>5073</x:v>
      </x:c>
    </x:row>
    <x:row r="2666" spans="1:14">
      <x:c r="A2666" s="274" t="s">
        <x:v>5095</x:v>
      </x:c>
      <x:c r="B2666" s="274" t="n">
        <x:v>1.73</x:v>
      </x:c>
      <x:c r="C2666" s="274" t="n">
        <x:v>0</x:v>
      </x:c>
      <x:c r="D2666" s="274" t="n">
        <x:v>0</x:v>
      </x:c>
      <x:c r="F2666" s="274" t="s">
        <x:v>333</x:v>
      </x:c>
      <x:c r="G2666" s="274" t="s">
        <x:v>209</x:v>
      </x:c>
      <x:c r="I2666" s="274" t="n">
        <x:v>1</x:v>
      </x:c>
      <x:c r="J2666" s="274" t="n">
        <x:v>1110</x:v>
      </x:c>
      <x:c r="K2666" s="274" t="n">
        <x:v>198</x:v>
      </x:c>
      <x:c r="M2666" s="274" t="s">
        <x:v>5096</x:v>
      </x:c>
      <x:c r="N2666" s="274" t="s">
        <x:v>5073</x:v>
      </x:c>
    </x:row>
    <x:row r="2667" spans="1:14">
      <x:c r="A2667" s="274" t="s">
        <x:v>5097</x:v>
      </x:c>
      <x:c r="B2667" s="274" t="n">
        <x:v>15.66</x:v>
      </x:c>
      <x:c r="C2667" s="274" t="n">
        <x:v>0</x:v>
      </x:c>
      <x:c r="D2667" s="274" t="n">
        <x:v>0</x:v>
      </x:c>
      <x:c r="F2667" s="274" t="s">
        <x:v>333</x:v>
      </x:c>
      <x:c r="G2667" s="274" t="s">
        <x:v>124</x:v>
      </x:c>
      <x:c r="I2667" s="274" t="n">
        <x:v>1.2</x:v>
      </x:c>
      <x:c r="J2667" s="274" t="n">
        <x:v>1200</x:v>
      </x:c>
      <x:c r="K2667" s="274" t="n">
        <x:v>1385</x:v>
      </x:c>
      <x:c r="M2667" s="274" t="s">
        <x:v>5098</x:v>
      </x:c>
      <x:c r="N2667" s="274" t="s">
        <x:v>5073</x:v>
      </x:c>
    </x:row>
    <x:row r="2668" spans="1:14">
      <x:c r="A2668" s="274" t="s">
        <x:v>5099</x:v>
      </x:c>
      <x:c r="B2668" s="274" t="n">
        <x:v>3.43</x:v>
      </x:c>
      <x:c r="C2668" s="274" t="n">
        <x:v>0</x:v>
      </x:c>
      <x:c r="D2668" s="274" t="n">
        <x:v>0</x:v>
      </x:c>
      <x:c r="F2668" s="274" t="s">
        <x:v>184</x:v>
      </x:c>
      <x:c r="G2668" s="274" t="s">
        <x:v>129</x:v>
      </x:c>
      <x:c r="H2668" s="274" t="n">
        <x:v>45</x:v>
      </x:c>
      <x:c r="I2668" s="274" t="n">
        <x:v>1.4</x:v>
      </x:c>
      <x:c r="J2668" s="274" t="n">
        <x:v>258</x:v>
      </x:c>
      <x:c r="K2668" s="274" t="n">
        <x:v>1200</x:v>
      </x:c>
      <x:c r="M2668" s="274" t="s">
        <x:v>5100</x:v>
      </x:c>
      <x:c r="N2668" s="274" t="s">
        <x:v>5073</x:v>
      </x:c>
    </x:row>
    <x:row r="2669" spans="1:14">
      <x:c r="A2669" s="274" t="s">
        <x:v>5101</x:v>
      </x:c>
      <x:c r="B2669" s="274" t="n">
        <x:v>2.66</x:v>
      </x:c>
      <x:c r="C2669" s="274" t="n">
        <x:v>0</x:v>
      </x:c>
      <x:c r="D2669" s="274" t="n">
        <x:v>0</x:v>
      </x:c>
      <x:c r="F2669" s="274" t="s">
        <x:v>184</x:v>
      </x:c>
      <x:c r="G2669" s="274" t="s">
        <x:v>129</x:v>
      </x:c>
      <x:c r="H2669" s="274" t="n">
        <x:v>45</x:v>
      </x:c>
      <x:c r="I2669" s="274" t="n">
        <x:v>1.4</x:v>
      </x:c>
      <x:c r="J2669" s="274" t="n">
        <x:v>200</x:v>
      </x:c>
      <x:c r="K2669" s="274" t="n">
        <x:v>1200</x:v>
      </x:c>
      <x:c r="M2669" s="274" t="s">
        <x:v>5102</x:v>
      </x:c>
      <x:c r="N2669" s="274" t="s">
        <x:v>5073</x:v>
      </x:c>
    </x:row>
    <x:row r="2670" spans="1:14">
      <x:c r="A2670" s="274" t="s">
        <x:v>5103</x:v>
      </x:c>
      <x:c r="B2670" s="274" t="n">
        <x:v>1.41</x:v>
      </x:c>
      <x:c r="C2670" s="274" t="n">
        <x:v>0</x:v>
      </x:c>
      <x:c r="D2670" s="274" t="n">
        <x:v>0</x:v>
      </x:c>
      <x:c r="F2670" s="274" t="s">
        <x:v>184</x:v>
      </x:c>
      <x:c r="G2670" s="274" t="s">
        <x:v>129</x:v>
      </x:c>
      <x:c r="H2670" s="274" t="n">
        <x:v>45</x:v>
      </x:c>
      <x:c r="I2670" s="274" t="n">
        <x:v>1.4</x:v>
      </x:c>
      <x:c r="J2670" s="274" t="n">
        <x:v>463</x:v>
      </x:c>
      <x:c r="K2670" s="274" t="n">
        <x:v>274</x:v>
      </x:c>
      <x:c r="M2670" s="274" t="s">
        <x:v>5104</x:v>
      </x:c>
      <x:c r="N2670" s="274" t="s">
        <x:v>5073</x:v>
      </x:c>
    </x:row>
    <x:row r="2671" spans="1:14">
      <x:c r="A2671" s="274" t="s">
        <x:v>5105</x:v>
      </x:c>
      <x:c r="B2671" s="274" t="n">
        <x:v>2.63</x:v>
      </x:c>
      <x:c r="C2671" s="274" t="n">
        <x:v>0</x:v>
      </x:c>
      <x:c r="D2671" s="274" t="n">
        <x:v>0</x:v>
      </x:c>
      <x:c r="F2671" s="274" t="s">
        <x:v>184</x:v>
      </x:c>
      <x:c r="G2671" s="274" t="s">
        <x:v>129</x:v>
      </x:c>
      <x:c r="H2671" s="274" t="n">
        <x:v>45</x:v>
      </x:c>
      <x:c r="I2671" s="274" t="n">
        <x:v>1.4</x:v>
      </x:c>
      <x:c r="J2671" s="274" t="n">
        <x:v>198</x:v>
      </x:c>
      <x:c r="K2671" s="274" t="n">
        <x:v>1200</x:v>
      </x:c>
      <x:c r="M2671" s="274" t="s">
        <x:v>4898</x:v>
      </x:c>
      <x:c r="N2671" s="274" t="s">
        <x:v>5073</x:v>
      </x:c>
    </x:row>
    <x:row r="2672" spans="1:14">
      <x:c r="A2672" s="274" t="s">
        <x:v>5106</x:v>
      </x:c>
      <x:c r="B2672" s="274" t="n">
        <x:v>2.24</x:v>
      </x:c>
      <x:c r="C2672" s="274" t="n">
        <x:v>24</x:v>
      </x:c>
      <x:c r="D2672" s="274" t="n">
        <x:v>28</x:v>
      </x:c>
      <x:c r="E2672" s="274" t="n">
        <x:v>30</x:v>
      </x:c>
      <x:c r="F2672" s="274" t="s">
        <x:v>184</x:v>
      </x:c>
      <x:c r="G2672" s="274" t="s">
        <x:v>129</x:v>
      </x:c>
      <x:c r="H2672" s="274" t="n">
        <x:v>45</x:v>
      </x:c>
      <x:c r="I2672" s="274" t="n">
        <x:v>1</x:v>
      </x:c>
      <x:c r="J2672" s="274" t="n">
        <x:v>360</x:v>
      </x:c>
      <x:c r="K2672" s="274" t="n">
        <x:v>785</x:v>
      </x:c>
      <x:c r="M2672" s="274" t="s">
        <x:v>3231</x:v>
      </x:c>
      <x:c r="N2672" s="274" t="s">
        <x:v>299</x:v>
      </x:c>
    </x:row>
    <x:row r="2673" spans="1:14">
      <x:c r="A2673" s="274" t="s">
        <x:v>5107</x:v>
      </x:c>
      <x:c r="B2673" s="274" t="n">
        <x:v>0.13</x:v>
      </x:c>
      <x:c r="C2673" s="274" t="n">
        <x:v>34</x:v>
      </x:c>
      <x:c r="D2673" s="274" t="n">
        <x:v>33</x:v>
      </x:c>
      <x:c r="E2673" s="274" t="n">
        <x:v>36</x:v>
      </x:c>
      <x:c r="F2673" s="274" t="s">
        <x:v>184</x:v>
      </x:c>
      <x:c r="G2673" s="274" t="s">
        <x:v>129</x:v>
      </x:c>
      <x:c r="H2673" s="274" t="n">
        <x:v>45</x:v>
      </x:c>
      <x:c r="I2673" s="274" t="n">
        <x:v>1</x:v>
      </x:c>
      <x:c r="J2673" s="274" t="n">
        <x:v>97</x:v>
      </x:c>
      <x:c r="K2673" s="274" t="n">
        <x:v>168</x:v>
      </x:c>
      <x:c r="M2673" s="274" t="s">
        <x:v>185</x:v>
      </x:c>
      <x:c r="N2673" s="274" t="s">
        <x:v>4250</x:v>
      </x:c>
    </x:row>
    <x:row r="2674" spans="1:14">
      <x:c r="A2674" s="274" t="s">
        <x:v>5108</x:v>
      </x:c>
      <x:c r="B2674" s="274" t="n">
        <x:v>0.46</x:v>
      </x:c>
      <x:c r="C2674" s="274" t="n">
        <x:v>0</x:v>
      </x:c>
      <x:c r="D2674" s="274" t="n">
        <x:v>0</x:v>
      </x:c>
      <x:c r="F2674" s="274" t="s">
        <x:v>133</x:v>
      </x:c>
      <x:c r="G2674" s="274" t="s">
        <x:v>144</x:v>
      </x:c>
      <x:c r="H2674" s="274" t="n">
        <x:v>45</x:v>
      </x:c>
      <x:c r="I2674" s="274" t="n">
        <x:v>1.2</x:v>
      </x:c>
      <x:c r="J2674" s="274" t="n">
        <x:v>220</x:v>
      </x:c>
      <x:c r="K2674" s="274" t="n">
        <x:v>220</x:v>
      </x:c>
      <x:c r="M2674" s="274" t="s">
        <x:v>5109</x:v>
      </x:c>
      <x:c r="N2674" s="274" t="s">
        <x:v>3671</x:v>
      </x:c>
    </x:row>
    <x:row r="2675" spans="1:14">
      <x:c r="A2675" s="274" t="s">
        <x:v>5110</x:v>
      </x:c>
      <x:c r="B2675" s="274" t="n">
        <x:v>0.77</x:v>
      </x:c>
      <x:c r="C2675" s="274" t="n">
        <x:v>0</x:v>
      </x:c>
      <x:c r="D2675" s="274" t="n">
        <x:v>0</x:v>
      </x:c>
      <x:c r="F2675" s="274" t="s">
        <x:v>133</x:v>
      </x:c>
      <x:c r="G2675" s="274" t="s">
        <x:v>144</x:v>
      </x:c>
      <x:c r="H2675" s="274" t="n">
        <x:v>45</x:v>
      </x:c>
      <x:c r="I2675" s="274" t="n">
        <x:v>1.2</x:v>
      </x:c>
      <x:c r="J2675" s="274" t="n">
        <x:v>375</x:v>
      </x:c>
      <x:c r="K2675" s="274" t="n">
        <x:v>215</x:v>
      </x:c>
      <x:c r="M2675" s="274" t="s">
        <x:v>5111</x:v>
      </x:c>
      <x:c r="N2675" s="274" t="s">
        <x:v>3671</x:v>
      </x:c>
    </x:row>
    <x:row r="2676" spans="1:14">
      <x:c r="A2676" s="274" t="s">
        <x:v>5112</x:v>
      </x:c>
      <x:c r="B2676" s="274" t="n">
        <x:v>0.24</x:v>
      </x:c>
      <x:c r="C2676" s="274" t="n">
        <x:v>0</x:v>
      </x:c>
      <x:c r="D2676" s="274" t="n">
        <x:v>0</x:v>
      </x:c>
      <x:c r="F2676" s="274" t="s">
        <x:v>333</x:v>
      </x:c>
      <x:c r="G2676" s="274" t="s">
        <x:v>209</x:v>
      </x:c>
      <x:c r="I2676" s="274" t="n">
        <x:v>1.2</x:v>
      </x:c>
      <x:c r="J2676" s="274" t="n">
        <x:v>120</x:v>
      </x:c>
      <x:c r="K2676" s="274" t="n">
        <x:v>210</x:v>
      </x:c>
      <x:c r="M2676" s="274" t="s">
        <x:v>5113</x:v>
      </x:c>
      <x:c r="N2676" s="274" t="s">
        <x:v>3671</x:v>
      </x:c>
    </x:row>
    <x:row r="2677" spans="1:14">
      <x:c r="A2677" s="274" t="s">
        <x:v>5114</x:v>
      </x:c>
      <x:c r="B2677" s="274" t="n">
        <x:v>3.5</x:v>
      </x:c>
      <x:c r="C2677" s="274" t="n">
        <x:v>0</x:v>
      </x:c>
      <x:c r="D2677" s="274" t="n">
        <x:v>0</x:v>
      </x:c>
      <x:c r="F2677" s="274" t="s">
        <x:v>333</x:v>
      </x:c>
      <x:c r="G2677" s="274" t="s">
        <x:v>153</x:v>
      </x:c>
      <x:c r="I2677" s="274" t="n">
        <x:v>1.4</x:v>
      </x:c>
      <x:c r="J2677" s="274" t="n">
        <x:v>455</x:v>
      </x:c>
      <x:c r="K2677" s="274" t="n">
        <x:v>700</x:v>
      </x:c>
      <x:c r="M2677" s="274" t="s">
        <x:v>5115</x:v>
      </x:c>
      <x:c r="N2677" s="274" t="s">
        <x:v>3671</x:v>
      </x:c>
    </x:row>
    <x:row r="2678" spans="1:14">
      <x:c r="A2678" s="274" t="s">
        <x:v>5116</x:v>
      </x:c>
      <x:c r="B2678" s="274" t="n">
        <x:v>6.05</x:v>
      </x:c>
      <x:c r="C2678" s="274" t="n">
        <x:v>0</x:v>
      </x:c>
      <x:c r="D2678" s="274" t="n">
        <x:v>0</x:v>
      </x:c>
      <x:c r="F2678" s="274" t="s">
        <x:v>133</x:v>
      </x:c>
      <x:c r="G2678" s="274" t="s">
        <x:v>136</x:v>
      </x:c>
      <x:c r="H2678" s="274" t="n">
        <x:v>45</x:v>
      </x:c>
      <x:c r="I2678" s="274" t="n">
        <x:v>1.4</x:v>
      </x:c>
      <x:c r="J2678" s="274" t="n">
        <x:v>530</x:v>
      </x:c>
      <x:c r="K2678" s="274" t="n">
        <x:v>1030</x:v>
      </x:c>
      <x:c r="M2678" s="274" t="s">
        <x:v>5117</x:v>
      </x:c>
      <x:c r="N2678" s="274" t="s">
        <x:v>3671</x:v>
      </x:c>
    </x:row>
    <x:row r="2679" spans="1:14">
      <x:c r="A2679" s="274" t="s">
        <x:v>5118</x:v>
      </x:c>
      <x:c r="B2679" s="274" t="n">
        <x:v>14.69</x:v>
      </x:c>
      <x:c r="C2679" s="274" t="n">
        <x:v>0</x:v>
      </x:c>
      <x:c r="D2679" s="274" t="n">
        <x:v>30</x:v>
      </x:c>
      <x:c r="F2679" s="274" t="s">
        <x:v>133</x:v>
      </x:c>
      <x:c r="G2679" s="274" t="s">
        <x:v>136</x:v>
      </x:c>
      <x:c r="H2679" s="274" t="n">
        <x:v>45</x:v>
      </x:c>
      <x:c r="I2679" s="274" t="n">
        <x:v>1.6</x:v>
      </x:c>
      <x:c r="J2679" s="274" t="n">
        <x:v>695</x:v>
      </x:c>
      <x:c r="K2679" s="274" t="n">
        <x:v>1670</x:v>
      </x:c>
      <x:c r="M2679" s="274" t="s">
        <x:v>5119</x:v>
      </x:c>
      <x:c r="N2679" s="274" t="s">
        <x:v>3671</x:v>
      </x:c>
    </x:row>
    <x:row r="2680" spans="1:14">
      <x:c r="A2680" s="274" t="s">
        <x:v>5120</x:v>
      </x:c>
      <x:c r="B2680" s="274" t="n">
        <x:v>1.07</x:v>
      </x:c>
      <x:c r="C2680" s="274" t="n">
        <x:v>0</x:v>
      </x:c>
      <x:c r="D2680" s="274" t="n">
        <x:v>0</x:v>
      </x:c>
      <x:c r="F2680" s="274" t="s">
        <x:v>333</x:v>
      </x:c>
      <x:c r="G2680" s="274" t="s">
        <x:v>124</x:v>
      </x:c>
      <x:c r="I2680" s="274" t="n">
        <x:v>1.6</x:v>
      </x:c>
      <x:c r="J2680" s="274" t="n">
        <x:v>68</x:v>
      </x:c>
      <x:c r="K2680" s="274" t="n">
        <x:v>1250</x:v>
      </x:c>
      <x:c r="M2680" s="274" t="s">
        <x:v>5121</x:v>
      </x:c>
      <x:c r="N2680" s="274" t="s">
        <x:v>3671</x:v>
      </x:c>
    </x:row>
    <x:row r="2681" spans="1:14">
      <x:c r="A2681" s="274" t="s">
        <x:v>5122</x:v>
      </x:c>
      <x:c r="B2681" s="274" t="n">
        <x:v>21.36</x:v>
      </x:c>
      <x:c r="C2681" s="274" t="n">
        <x:v>0</x:v>
      </x:c>
      <x:c r="D2681" s="274" t="n">
        <x:v>37</x:v>
      </x:c>
      <x:c r="E2681" s="274" t="n">
        <x:v>32</x:v>
      </x:c>
      <x:c r="F2681" s="274" t="s">
        <x:v>133</x:v>
      </x:c>
      <x:c r="G2681" s="274" t="s">
        <x:v>4299</x:v>
      </x:c>
      <x:c r="I2681" s="274" t="n">
        <x:v>2.3</x:v>
      </x:c>
      <x:c r="J2681" s="274" t="n">
        <x:v>986</x:v>
      </x:c>
      <x:c r="K2681" s="274" t="n">
        <x:v>1200</x:v>
      </x:c>
      <x:c r="M2681" s="274" t="s">
        <x:v>5123</x:v>
      </x:c>
      <x:c r="N2681" s="274" t="s">
        <x:v>4258</x:v>
      </x:c>
    </x:row>
    <x:row r="2682" spans="1:14">
      <x:c r="A2682" s="274" t="s">
        <x:v>5124</x:v>
      </x:c>
      <x:c r="B2682" s="274" t="n">
        <x:v>1.14</x:v>
      </x:c>
      <x:c r="C2682" s="274" t="n">
        <x:v>0</x:v>
      </x:c>
      <x:c r="D2682" s="274" t="n">
        <x:v>0</x:v>
      </x:c>
      <x:c r="F2682" s="274" t="s">
        <x:v>333</x:v>
      </x:c>
      <x:c r="G2682" s="274" t="s">
        <x:v>4663</x:v>
      </x:c>
      <x:c r="I2682" s="274" t="n">
        <x:v>1.2</x:v>
      </x:c>
      <x:c r="J2682" s="274" t="n">
        <x:v>473</x:v>
      </x:c>
      <x:c r="K2682" s="274" t="n">
        <x:v>255</x:v>
      </x:c>
      <x:c r="M2682" s="274" t="s">
        <x:v>5125</x:v>
      </x:c>
      <x:c r="N2682" s="274" t="s">
        <x:v>4258</x:v>
      </x:c>
    </x:row>
    <x:row r="2683" spans="1:14">
      <x:c r="A2683" s="274" t="s">
        <x:v>5126</x:v>
      </x:c>
      <x:c r="B2683" s="274" t="n">
        <x:v>0.86</x:v>
      </x:c>
      <x:c r="C2683" s="274" t="n">
        <x:v>0</x:v>
      </x:c>
      <x:c r="D2683" s="274" t="n">
        <x:v>0</x:v>
      </x:c>
      <x:c r="F2683" s="274" t="s">
        <x:v>333</x:v>
      </x:c>
      <x:c r="G2683" s="274" t="s">
        <x:v>4663</x:v>
      </x:c>
      <x:c r="I2683" s="274" t="n">
        <x:v>1.2</x:v>
      </x:c>
      <x:c r="J2683" s="274" t="n">
        <x:v>462</x:v>
      </x:c>
      <x:c r="K2683" s="274" t="n">
        <x:v>197</x:v>
      </x:c>
      <x:c r="M2683" s="274" t="s">
        <x:v>5127</x:v>
      </x:c>
      <x:c r="N2683" s="274" t="s">
        <x:v>4258</x:v>
      </x:c>
    </x:row>
    <x:row r="2684" spans="1:14">
      <x:c r="A2684" s="274" t="s">
        <x:v>5128</x:v>
      </x:c>
      <x:c r="B2684" s="274" t="n">
        <x:v>2.94</x:v>
      </x:c>
      <x:c r="C2684" s="274" t="n">
        <x:v>0</x:v>
      </x:c>
      <x:c r="D2684" s="274" t="n">
        <x:v>0</x:v>
      </x:c>
      <x:c r="F2684" s="274" t="s">
        <x:v>333</x:v>
      </x:c>
      <x:c r="G2684" s="274" t="s">
        <x:v>4663</x:v>
      </x:c>
      <x:c r="I2684" s="274" t="n">
        <x:v>1.2</x:v>
      </x:c>
      <x:c r="J2684" s="274" t="n">
        <x:v>1394</x:v>
      </x:c>
      <x:c r="K2684" s="274" t="n">
        <x:v>224</x:v>
      </x:c>
      <x:c r="M2684" s="274" t="s">
        <x:v>5129</x:v>
      </x:c>
      <x:c r="N2684" s="274" t="s">
        <x:v>4258</x:v>
      </x:c>
    </x:row>
    <x:row r="2685" spans="1:14">
      <x:c r="A2685" s="274" t="s">
        <x:v>5130</x:v>
      </x:c>
      <x:c r="B2685" s="274" t="n">
        <x:v>0.82</x:v>
      </x:c>
      <x:c r="C2685" s="274" t="n">
        <x:v>0</x:v>
      </x:c>
      <x:c r="D2685" s="274" t="n">
        <x:v>0</x:v>
      </x:c>
      <x:c r="F2685" s="274" t="s">
        <x:v>333</x:v>
      </x:c>
      <x:c r="G2685" s="274" t="s">
        <x:v>4663</x:v>
      </x:c>
      <x:c r="I2685" s="274" t="n">
        <x:v>1.2</x:v>
      </x:c>
      <x:c r="J2685" s="274" t="n">
        <x:v>239</x:v>
      </x:c>
      <x:c r="K2685" s="274" t="n">
        <x:v>362</x:v>
      </x:c>
      <x:c r="M2685" s="274" t="s">
        <x:v>5131</x:v>
      </x:c>
      <x:c r="N2685" s="274" t="s">
        <x:v>4258</x:v>
      </x:c>
    </x:row>
    <x:row r="2686" spans="1:14">
      <x:c r="A2686" s="274" t="s">
        <x:v>5132</x:v>
      </x:c>
      <x:c r="B2686" s="274" t="n">
        <x:v>0.73</x:v>
      </x:c>
      <x:c r="C2686" s="274" t="n">
        <x:v>0</x:v>
      </x:c>
      <x:c r="D2686" s="274" t="n">
        <x:v>0</x:v>
      </x:c>
      <x:c r="F2686" s="274" t="s">
        <x:v>333</x:v>
      </x:c>
      <x:c r="G2686" s="274" t="s">
        <x:v>4663</x:v>
      </x:c>
      <x:c r="I2686" s="274" t="n">
        <x:v>1.2</x:v>
      </x:c>
      <x:c r="J2686" s="274" t="n">
        <x:v>350</x:v>
      </x:c>
      <x:c r="K2686" s="274" t="n">
        <x:v>222</x:v>
      </x:c>
      <x:c r="M2686" s="274" t="s">
        <x:v>5133</x:v>
      </x:c>
      <x:c r="N2686" s="274" t="s">
        <x:v>4258</x:v>
      </x:c>
    </x:row>
    <x:row r="2687" spans="1:14">
      <x:c r="A2687" s="274" t="s">
        <x:v>5134</x:v>
      </x:c>
      <x:c r="B2687" s="274" t="n">
        <x:v>4.69</x:v>
      </x:c>
      <x:c r="C2687" s="274" t="n">
        <x:v>0</x:v>
      </x:c>
      <x:c r="D2687" s="274" t="n">
        <x:v>45</x:v>
      </x:c>
      <x:c r="F2687" s="274" t="s">
        <x:v>333</x:v>
      </x:c>
      <x:c r="G2687" s="274" t="s">
        <x:v>153</x:v>
      </x:c>
      <x:c r="I2687" s="274" t="n">
        <x:v>1.6</x:v>
      </x:c>
      <x:c r="J2687" s="274" t="n">
        <x:v>840</x:v>
      </x:c>
      <x:c r="K2687" s="274" t="n">
        <x:v>490</x:v>
      </x:c>
      <x:c r="L2687" s="274" t="n">
        <x:v>400</x:v>
      </x:c>
      <x:c r="M2687" s="274" t="s">
        <x:v>5135</x:v>
      </x:c>
      <x:c r="N2687" s="274" t="s">
        <x:v>3671</x:v>
      </x:c>
    </x:row>
    <x:row r="2688" spans="1:14">
      <x:c r="A2688" s="274" t="s">
        <x:v>5136</x:v>
      </x:c>
      <x:c r="B2688" s="274" t="n">
        <x:v>0.68</x:v>
      </x:c>
      <x:c r="C2688" s="274" t="n">
        <x:v>0</x:v>
      </x:c>
      <x:c r="D2688" s="274" t="n">
        <x:v>0</x:v>
      </x:c>
      <x:c r="F2688" s="274" t="s">
        <x:v>133</x:v>
      </x:c>
      <x:c r="G2688" s="274" t="s">
        <x:v>4299</x:v>
      </x:c>
      <x:c r="I2688" s="274" t="n">
        <x:v>2.3</x:v>
      </x:c>
      <x:c r="J2688" s="274" t="n">
        <x:v>178</x:v>
      </x:c>
      <x:c r="K2688" s="274" t="n">
        <x:v>210</x:v>
      </x:c>
      <x:c r="M2688" s="274" t="s">
        <x:v>5137</x:v>
      </x:c>
      <x:c r="N2688" s="274" t="s">
        <x:v>4258</x:v>
      </x:c>
    </x:row>
    <x:row r="2689" spans="1:14">
      <x:c r="A2689" s="274" t="s">
        <x:v>5138</x:v>
      </x:c>
      <x:c r="B2689" s="274" t="n">
        <x:v>1.43</x:v>
      </x:c>
      <x:c r="C2689" s="274" t="n">
        <x:v>0</x:v>
      </x:c>
      <x:c r="D2689" s="274" t="n">
        <x:v>0</x:v>
      </x:c>
      <x:c r="F2689" s="274" t="s">
        <x:v>333</x:v>
      </x:c>
      <x:c r="G2689" s="274" t="s">
        <x:v>5139</x:v>
      </x:c>
      <x:c r="I2689" s="274" t="n">
        <x:v>2</x:v>
      </x:c>
      <x:c r="J2689" s="274" t="n">
        <x:v>280</x:v>
      </x:c>
      <x:c r="K2689" s="274" t="n">
        <x:v>325</x:v>
      </x:c>
      <x:c r="M2689" s="274" t="s">
        <x:v>5140</x:v>
      </x:c>
      <x:c r="N2689" s="274" t="s">
        <x:v>4258</x:v>
      </x:c>
    </x:row>
    <x:row r="2690" spans="1:14">
      <x:c r="A2690" s="274" t="s">
        <x:v>5141</x:v>
      </x:c>
      <x:c r="B2690" s="274" t="n">
        <x:v>2.98</x:v>
      </x:c>
      <x:c r="C2690" s="274" t="n">
        <x:v>0</x:v>
      </x:c>
      <x:c r="D2690" s="274" t="n">
        <x:v>0</x:v>
      </x:c>
      <x:c r="F2690" s="274" t="s">
        <x:v>184</x:v>
      </x:c>
      <x:c r="G2690" s="274" t="s">
        <x:v>881</x:v>
      </x:c>
      <x:c r="H2690" s="274" t="n">
        <x:v>45</x:v>
      </x:c>
      <x:c r="I2690" s="274" t="n">
        <x:v>1.6</x:v>
      </x:c>
      <x:c r="J2690" s="274" t="n">
        <x:v>340</x:v>
      </x:c>
      <x:c r="K2690" s="274" t="n">
        <x:v>693</x:v>
      </x:c>
      <x:c r="M2690" s="274" t="s">
        <x:v>5142</x:v>
      </x:c>
      <x:c r="N2690" s="274" t="s">
        <x:v>3671</x:v>
      </x:c>
    </x:row>
    <x:row r="2691" spans="1:14">
      <x:c r="A2691" s="274" t="s">
        <x:v>5143</x:v>
      </x:c>
      <x:c r="B2691" s="274" t="n">
        <x:v>0.33</x:v>
      </x:c>
      <x:c r="C2691" s="274" t="n">
        <x:v>0</x:v>
      </x:c>
      <x:c r="D2691" s="274" t="n">
        <x:v>0</x:v>
      </x:c>
      <x:c r="F2691" s="274" t="s">
        <x:v>123</x:v>
      </x:c>
      <x:c r="G2691" s="274" t="s">
        <x:v>148</x:v>
      </x:c>
      <x:c r="I2691" s="274" t="n">
        <x:v>1.6</x:v>
      </x:c>
      <x:c r="J2691" s="274" t="n">
        <x:v>140</x:v>
      </x:c>
      <x:c r="K2691" s="274" t="n">
        <x:v>190</x:v>
      </x:c>
      <x:c r="M2691" s="274" t="s">
        <x:v>5144</x:v>
      </x:c>
      <x:c r="N2691" s="274" t="s">
        <x:v>3671</x:v>
      </x:c>
    </x:row>
    <x:row r="2692" spans="1:14">
      <x:c r="A2692" s="274" t="s">
        <x:v>5145</x:v>
      </x:c>
      <x:c r="B2692" s="274" t="n">
        <x:v>3.35</x:v>
      </x:c>
      <x:c r="C2692" s="274" t="n">
        <x:v>0</x:v>
      </x:c>
      <x:c r="D2692" s="274" t="n">
        <x:v>0</x:v>
      </x:c>
      <x:c r="F2692" s="274" t="s">
        <x:v>133</x:v>
      </x:c>
      <x:c r="G2692" s="274" t="s">
        <x:v>144</x:v>
      </x:c>
      <x:c r="H2692" s="274" t="n">
        <x:v>45</x:v>
      </x:c>
      <x:c r="I2692" s="274" t="n">
        <x:v>1.6</x:v>
      </x:c>
      <x:c r="J2692" s="274" t="n">
        <x:v>245</x:v>
      </x:c>
      <x:c r="K2692" s="274" t="n">
        <x:v>1080</x:v>
      </x:c>
      <x:c r="M2692" s="274" t="s">
        <x:v>5146</x:v>
      </x:c>
      <x:c r="N2692" s="274" t="s">
        <x:v>3671</x:v>
      </x:c>
    </x:row>
    <x:row r="2693" spans="1:14">
      <x:c r="A2693" s="274" t="s">
        <x:v>5147</x:v>
      </x:c>
      <x:c r="B2693" s="274" t="n">
        <x:v>0.41</x:v>
      </x:c>
      <x:c r="C2693" s="274" t="n">
        <x:v>0</x:v>
      </x:c>
      <x:c r="D2693" s="274" t="n">
        <x:v>0</x:v>
      </x:c>
      <x:c r="F2693" s="274" t="s">
        <x:v>333</x:v>
      </x:c>
      <x:c r="G2693" s="274" t="s">
        <x:v>209</x:v>
      </x:c>
      <x:c r="I2693" s="274" t="n">
        <x:v>1.6</x:v>
      </x:c>
      <x:c r="J2693" s="274" t="n">
        <x:v>180</x:v>
      </x:c>
      <x:c r="K2693" s="274" t="n">
        <x:v>180</x:v>
      </x:c>
      <x:c r="M2693" s="274" t="s">
        <x:v>5148</x:v>
      </x:c>
      <x:c r="N2693" s="274" t="s">
        <x:v>3671</x:v>
      </x:c>
    </x:row>
    <x:row r="2694" spans="1:14">
      <x:c r="A2694" s="274" t="s">
        <x:v>5149</x:v>
      </x:c>
      <x:c r="B2694" s="274" t="n">
        <x:v>15.83</x:v>
      </x:c>
      <x:c r="C2694" s="274" t="n">
        <x:v>0</x:v>
      </x:c>
      <x:c r="D2694" s="274" t="n">
        <x:v>0</x:v>
      </x:c>
      <x:c r="F2694" s="274" t="s">
        <x:v>128</x:v>
      </x:c>
      <x:c r="G2694" s="274" t="s">
        <x:v>136</x:v>
      </x:c>
      <x:c r="H2694" s="274" t="n">
        <x:v>45</x:v>
      </x:c>
      <x:c r="I2694" s="274" t="n">
        <x:v>2.6</x:v>
      </x:c>
      <x:c r="J2694" s="274" t="n">
        <x:v>468</x:v>
      </x:c>
      <x:c r="K2694" s="274" t="n">
        <x:v>1650</x:v>
      </x:c>
      <x:c r="M2694" s="274" t="s">
        <x:v>5150</x:v>
      </x:c>
      <x:c r="N2694" s="274" t="s">
        <x:v>3671</x:v>
      </x:c>
    </x:row>
    <x:row r="2695" spans="1:14">
      <x:c r="A2695" s="274" t="s">
        <x:v>5151</x:v>
      </x:c>
      <x:c r="B2695" s="274" t="n">
        <x:v>9.33</x:v>
      </x:c>
      <x:c r="C2695" s="274" t="n">
        <x:v>0</x:v>
      </x:c>
      <x:c r="D2695" s="274" t="n">
        <x:v>0</x:v>
      </x:c>
      <x:c r="F2695" s="274" t="s">
        <x:v>133</x:v>
      </x:c>
      <x:c r="G2695" s="274" t="s">
        <x:v>134</x:v>
      </x:c>
      <x:c r="I2695" s="274" t="n">
        <x:v>5</x:v>
      </x:c>
      <x:c r="J2695" s="274" t="n">
        <x:v>245</x:v>
      </x:c>
      <x:c r="K2695" s="274" t="n">
        <x:v>970</x:v>
      </x:c>
      <x:c r="M2695" s="274" t="s">
        <x:v>5152</x:v>
      </x:c>
      <x:c r="N2695" s="274" t="s">
        <x:v>3671</x:v>
      </x:c>
    </x:row>
    <x:row r="2696" spans="1:14">
      <x:c r="A2696" s="274" t="s">
        <x:v>5153</x:v>
      </x:c>
      <x:c r="B2696" s="274" t="n">
        <x:v>5.67</x:v>
      </x:c>
      <x:c r="C2696" s="274" t="n">
        <x:v>0</x:v>
      </x:c>
      <x:c r="D2696" s="274" t="n">
        <x:v>0</x:v>
      </x:c>
      <x:c r="F2696" s="274" t="s">
        <x:v>133</x:v>
      </x:c>
      <x:c r="G2696" s="274" t="s">
        <x:v>284</x:v>
      </x:c>
      <x:c r="H2696" s="274" t="n">
        <x:v>45</x:v>
      </x:c>
      <x:c r="I2696" s="274" t="n">
        <x:v>0.7</x:v>
      </x:c>
      <x:c r="J2696" s="274" t="n">
        <x:v>1356</x:v>
      </x:c>
      <x:c r="K2696" s="274" t="n">
        <x:v>1498</x:v>
      </x:c>
      <x:c r="M2696" s="274" t="s">
        <x:v>5154</x:v>
      </x:c>
      <x:c r="N2696" s="274" t="s">
        <x:v>155</x:v>
      </x:c>
    </x:row>
    <x:row r="2697" spans="1:14">
      <x:c r="A2697" s="274" t="s">
        <x:v>5155</x:v>
      </x:c>
      <x:c r="B2697" s="274" t="n">
        <x:v>5.67</x:v>
      </x:c>
      <x:c r="C2697" s="274" t="n">
        <x:v>0</x:v>
      </x:c>
      <x:c r="D2697" s="274" t="n">
        <x:v>0</x:v>
      </x:c>
      <x:c r="F2697" s="274" t="s">
        <x:v>133</x:v>
      </x:c>
      <x:c r="G2697" s="274" t="s">
        <x:v>284</x:v>
      </x:c>
      <x:c r="H2697" s="274" t="n">
        <x:v>45</x:v>
      </x:c>
      <x:c r="I2697" s="274" t="n">
        <x:v>0.7</x:v>
      </x:c>
      <x:c r="J2697" s="274" t="n">
        <x:v>1356</x:v>
      </x:c>
      <x:c r="K2697" s="274" t="n">
        <x:v>1498</x:v>
      </x:c>
      <x:c r="M2697" s="274" t="s">
        <x:v>5156</x:v>
      </x:c>
      <x:c r="N2697" s="274" t="s">
        <x:v>155</x:v>
      </x:c>
    </x:row>
    <x:row r="2698" spans="1:14">
      <x:c r="A2698" s="274" t="s">
        <x:v>5157</x:v>
      </x:c>
      <x:c r="B2698" s="274" t="n">
        <x:v>1.47</x:v>
      </x:c>
      <x:c r="C2698" s="274" t="n">
        <x:v>0</x:v>
      </x:c>
      <x:c r="D2698" s="274" t="n">
        <x:v>0</x:v>
      </x:c>
      <x:c r="F2698" s="274" t="s">
        <x:v>184</x:v>
      </x:c>
      <x:c r="G2698" s="274" t="s">
        <x:v>4782</x:v>
      </x:c>
      <x:c r="H2698" s="274" t="s">
        <x:v>4471</x:v>
      </x:c>
      <x:c r="I2698" s="274" t="n">
        <x:v>1</x:v>
      </x:c>
      <x:c r="J2698" s="274" t="n">
        <x:v>150</x:v>
      </x:c>
      <x:c r="K2698" s="274" t="n">
        <x:v>1250</x:v>
      </x:c>
      <x:c r="M2698" s="274" t="s">
        <x:v>5158</x:v>
      </x:c>
      <x:c r="N2698" s="274" t="s">
        <x:v>4258</x:v>
      </x:c>
    </x:row>
    <x:row r="2699" spans="1:14">
      <x:c r="A2699" s="274" t="s">
        <x:v>5159</x:v>
      </x:c>
      <x:c r="B2699" s="274" t="n">
        <x:v>2.18</x:v>
      </x:c>
      <x:c r="C2699" s="274" t="n">
        <x:v>0</x:v>
      </x:c>
      <x:c r="D2699" s="274" t="n">
        <x:v>0</x:v>
      </x:c>
      <x:c r="F2699" s="274" t="s">
        <x:v>333</x:v>
      </x:c>
      <x:c r="G2699" s="274" t="s">
        <x:v>4663</x:v>
      </x:c>
      <x:c r="I2699" s="274" t="n">
        <x:v>1.2</x:v>
      </x:c>
      <x:c r="J2699" s="274" t="n">
        <x:v>185</x:v>
      </x:c>
      <x:c r="K2699" s="274" t="n">
        <x:v>1250</x:v>
      </x:c>
      <x:c r="M2699" s="274" t="s">
        <x:v>5160</x:v>
      </x:c>
      <x:c r="N2699" s="274" t="s">
        <x:v>4258</x:v>
      </x:c>
    </x:row>
    <x:row r="2700" spans="1:14">
      <x:c r="A2700" s="274" t="s">
        <x:v>5161</x:v>
      </x:c>
      <x:c r="B2700" s="274" t="n">
        <x:v>4.24</x:v>
      </x:c>
      <x:c r="C2700" s="274" t="n">
        <x:v>0</x:v>
      </x:c>
      <x:c r="D2700" s="274" t="n">
        <x:v>0</x:v>
      </x:c>
      <x:c r="F2700" s="274" t="s">
        <x:v>333</x:v>
      </x:c>
      <x:c r="G2700" s="274" t="s">
        <x:v>4663</x:v>
      </x:c>
      <x:c r="I2700" s="274" t="n">
        <x:v>1.2</x:v>
      </x:c>
      <x:c r="J2700" s="274" t="n">
        <x:v>360</x:v>
      </x:c>
      <x:c r="K2700" s="274" t="n">
        <x:v>1250</x:v>
      </x:c>
      <x:c r="M2700" s="274" t="s">
        <x:v>5162</x:v>
      </x:c>
      <x:c r="N2700" s="274" t="s">
        <x:v>4258</x:v>
      </x:c>
    </x:row>
    <x:row r="2701" spans="1:14">
      <x:c r="A2701" s="274" t="s">
        <x:v>5163</x:v>
      </x:c>
      <x:c r="B2701" s="274" t="n">
        <x:v>1.62</x:v>
      </x:c>
      <x:c r="C2701" s="274" t="n">
        <x:v>0</x:v>
      </x:c>
      <x:c r="D2701" s="274" t="n">
        <x:v>0</x:v>
      </x:c>
      <x:c r="F2701" s="274" t="s">
        <x:v>333</x:v>
      </x:c>
      <x:c r="G2701" s="274" t="s">
        <x:v>5164</x:v>
      </x:c>
      <x:c r="I2701" s="274" t="n">
        <x:v>0.65</x:v>
      </x:c>
      <x:c r="J2701" s="274" t="n">
        <x:v>455</x:v>
      </x:c>
      <x:c r="K2701" s="274" t="n">
        <x:v>700</x:v>
      </x:c>
      <x:c r="M2701" s="274" t="s">
        <x:v>5165</x:v>
      </x:c>
      <x:c r="N2701" s="274" t="s">
        <x:v>4258</x:v>
      </x:c>
    </x:row>
    <x:row r="2702" spans="1:14">
      <x:c r="A2702" s="274" t="s">
        <x:v>5166</x:v>
      </x:c>
      <x:c r="B2702" s="274" t="n">
        <x:v>2.24</x:v>
      </x:c>
      <x:c r="C2702" s="274" t="n">
        <x:v>0</x:v>
      </x:c>
      <x:c r="D2702" s="274" t="n">
        <x:v>0</x:v>
      </x:c>
      <x:c r="F2702" s="274" t="s">
        <x:v>333</x:v>
      </x:c>
      <x:c r="G2702" s="274" t="s">
        <x:v>5139</x:v>
      </x:c>
      <x:c r="I2702" s="274" t="n">
        <x:v>0.6</x:v>
      </x:c>
      <x:c r="J2702" s="274" t="n">
        <x:v>380</x:v>
      </x:c>
      <x:c r="K2702" s="274" t="n">
        <x:v>1250</x:v>
      </x:c>
      <x:c r="M2702" s="274" t="s">
        <x:v>5167</x:v>
      </x:c>
      <x:c r="N2702" s="274" t="s">
        <x:v>4258</x:v>
      </x:c>
    </x:row>
    <x:row r="2703" spans="1:14">
      <x:c r="A2703" s="274" t="s">
        <x:v>5168</x:v>
      </x:c>
      <x:c r="B2703" s="274" t="n">
        <x:v>4</x:v>
      </x:c>
      <x:c r="C2703" s="274" t="n">
        <x:v>0</x:v>
      </x:c>
      <x:c r="D2703" s="274" t="n">
        <x:v>0</x:v>
      </x:c>
      <x:c r="F2703" s="274" t="s">
        <x:v>333</x:v>
      </x:c>
      <x:c r="G2703" s="274" t="s">
        <x:v>4663</x:v>
      </x:c>
      <x:c r="I2703" s="274" t="n">
        <x:v>1.2</x:v>
      </x:c>
      <x:c r="J2703" s="274" t="n">
        <x:v>340</x:v>
      </x:c>
      <x:c r="K2703" s="274" t="n">
        <x:v>1250</x:v>
      </x:c>
      <x:c r="M2703" s="274" t="s">
        <x:v>5169</x:v>
      </x:c>
      <x:c r="N2703" s="274" t="s">
        <x:v>4258</x:v>
      </x:c>
    </x:row>
    <x:row r="2704" spans="1:14">
      <x:c r="A2704" s="274" t="s">
        <x:v>5170</x:v>
      </x:c>
      <x:c r="B2704" s="274" t="n">
        <x:v>1.23</x:v>
      </x:c>
      <x:c r="C2704" s="274" t="n">
        <x:v>0</x:v>
      </x:c>
      <x:c r="D2704" s="274" t="n">
        <x:v>0</x:v>
      </x:c>
      <x:c r="F2704" s="274" t="s">
        <x:v>333</x:v>
      </x:c>
      <x:c r="G2704" s="274" t="s">
        <x:v>4663</x:v>
      </x:c>
      <x:c r="I2704" s="274" t="n">
        <x:v>1.4</x:v>
      </x:c>
      <x:c r="J2704" s="274" t="n">
        <x:v>500</x:v>
      </x:c>
      <x:c r="K2704" s="274" t="n">
        <x:v>224</x:v>
      </x:c>
      <x:c r="M2704" s="274" t="s">
        <x:v>5171</x:v>
      </x:c>
      <x:c r="N2704" s="274" t="s">
        <x:v>4258</x:v>
      </x:c>
    </x:row>
    <x:row r="2705" spans="1:14">
      <x:c r="A2705" s="274" t="s">
        <x:v>5172</x:v>
      </x:c>
      <x:c r="B2705" s="274" t="n">
        <x:v>3.38</x:v>
      </x:c>
      <x:c r="C2705" s="274" t="n">
        <x:v>0</x:v>
      </x:c>
      <x:c r="D2705" s="274" t="n">
        <x:v>0</x:v>
      </x:c>
      <x:c r="F2705" s="274" t="s">
        <x:v>184</x:v>
      </x:c>
      <x:c r="G2705" s="274" t="s">
        <x:v>4782</x:v>
      </x:c>
      <x:c r="H2705" s="274" t="s">
        <x:v>4471</x:v>
      </x:c>
      <x:c r="I2705" s="274" t="n">
        <x:v>1</x:v>
      </x:c>
      <x:c r="J2705" s="274" t="n">
        <x:v>345</x:v>
      </x:c>
      <x:c r="K2705" s="274" t="n">
        <x:v>1250</x:v>
      </x:c>
      <x:c r="M2705" s="274" t="s">
        <x:v>5173</x:v>
      </x:c>
      <x:c r="N2705" s="274" t="s">
        <x:v>4258</x:v>
      </x:c>
    </x:row>
    <x:row r="2706" spans="1:14">
      <x:c r="A2706" s="274" t="s">
        <x:v>5174</x:v>
      </x:c>
      <x:c r="B2706" s="274" t="n">
        <x:v>1.13</x:v>
      </x:c>
      <x:c r="C2706" s="274" t="n">
        <x:v>0</x:v>
      </x:c>
      <x:c r="D2706" s="274" t="n">
        <x:v>0</x:v>
      </x:c>
      <x:c r="F2706" s="274" t="s">
        <x:v>333</x:v>
      </x:c>
      <x:c r="G2706" s="274" t="s">
        <x:v>4663</x:v>
      </x:c>
      <x:c r="I2706" s="274" t="n">
        <x:v>1.4</x:v>
      </x:c>
      <x:c r="J2706" s="274" t="n">
        <x:v>500</x:v>
      </x:c>
      <x:c r="K2706" s="274" t="n">
        <x:v>205</x:v>
      </x:c>
      <x:c r="M2706" s="274" t="s">
        <x:v>5175</x:v>
      </x:c>
      <x:c r="N2706" s="274" t="s">
        <x:v>4258</x:v>
      </x:c>
    </x:row>
    <x:row r="2707" spans="1:14">
      <x:c r="A2707" s="274" t="s">
        <x:v>5176</x:v>
      </x:c>
      <x:c r="B2707" s="274" t="n">
        <x:v>1.13</x:v>
      </x:c>
      <x:c r="C2707" s="274" t="n">
        <x:v>0</x:v>
      </x:c>
      <x:c r="D2707" s="274" t="n">
        <x:v>0</x:v>
      </x:c>
      <x:c r="F2707" s="274" t="s">
        <x:v>184</x:v>
      </x:c>
      <x:c r="G2707" s="274" t="s">
        <x:v>4782</x:v>
      </x:c>
      <x:c r="H2707" s="274" t="s">
        <x:v>4471</x:v>
      </x:c>
      <x:c r="I2707" s="274" t="n">
        <x:v>1</x:v>
      </x:c>
      <x:c r="J2707" s="274" t="n">
        <x:v>115</x:v>
      </x:c>
      <x:c r="K2707" s="274" t="n">
        <x:v>1250</x:v>
      </x:c>
      <x:c r="M2707" s="274" t="s">
        <x:v>5177</x:v>
      </x:c>
      <x:c r="N2707" s="274" t="s">
        <x:v>4258</x:v>
      </x:c>
    </x:row>
    <x:row r="2708" spans="1:14">
      <x:c r="A2708" s="274" t="s">
        <x:v>5178</x:v>
      </x:c>
      <x:c r="B2708" s="274" t="n">
        <x:v>3.47</x:v>
      </x:c>
      <x:c r="C2708" s="274" t="n">
        <x:v>0</x:v>
      </x:c>
      <x:c r="D2708" s="274" t="n">
        <x:v>0</x:v>
      </x:c>
      <x:c r="F2708" s="274" t="s">
        <x:v>333</x:v>
      </x:c>
      <x:c r="G2708" s="274" t="s">
        <x:v>4663</x:v>
      </x:c>
      <x:c r="I2708" s="274" t="n">
        <x:v>1.4</x:v>
      </x:c>
      <x:c r="J2708" s="274" t="n">
        <x:v>263</x:v>
      </x:c>
      <x:c r="K2708" s="274" t="n">
        <x:v>1200</x:v>
      </x:c>
      <x:c r="M2708" s="274" t="s">
        <x:v>5179</x:v>
      </x:c>
      <x:c r="N2708" s="274" t="s">
        <x:v>4258</x:v>
      </x:c>
    </x:row>
    <x:row r="2709" spans="1:14">
      <x:c r="A2709" s="274" t="s">
        <x:v>5180</x:v>
      </x:c>
      <x:c r="B2709" s="274" t="n">
        <x:v>2.94</x:v>
      </x:c>
      <x:c r="C2709" s="274" t="n">
        <x:v>0</x:v>
      </x:c>
      <x:c r="D2709" s="274" t="n">
        <x:v>0</x:v>
      </x:c>
      <x:c r="F2709" s="274" t="s">
        <x:v>184</x:v>
      </x:c>
      <x:c r="G2709" s="274" t="s">
        <x:v>4782</x:v>
      </x:c>
      <x:c r="H2709" s="274" t="s">
        <x:v>4471</x:v>
      </x:c>
      <x:c r="I2709" s="274" t="n">
        <x:v>1</x:v>
      </x:c>
      <x:c r="J2709" s="274" t="n">
        <x:v>300</x:v>
      </x:c>
      <x:c r="K2709" s="274" t="n">
        <x:v>1250</x:v>
      </x:c>
      <x:c r="M2709" s="274" t="s">
        <x:v>5181</x:v>
      </x:c>
      <x:c r="N2709" s="274" t="s">
        <x:v>4258</x:v>
      </x:c>
    </x:row>
    <x:row r="2710" spans="1:14">
      <x:c r="A2710" s="274" t="s">
        <x:v>5182</x:v>
      </x:c>
      <x:c r="B2710" s="274" t="n">
        <x:v>1.05</x:v>
      </x:c>
      <x:c r="C2710" s="274" t="n">
        <x:v>0</x:v>
      </x:c>
      <x:c r="D2710" s="274" t="n">
        <x:v>0</x:v>
      </x:c>
      <x:c r="F2710" s="274" t="s">
        <x:v>333</x:v>
      </x:c>
      <x:c r="G2710" s="274" t="s">
        <x:v>4663</x:v>
      </x:c>
      <x:c r="I2710" s="274" t="n">
        <x:v>1.4</x:v>
      </x:c>
      <x:c r="J2710" s="274" t="n">
        <x:v>198</x:v>
      </x:c>
      <x:c r="K2710" s="274" t="n">
        <x:v>483</x:v>
      </x:c>
      <x:c r="M2710" s="274" t="s">
        <x:v>5183</x:v>
      </x:c>
      <x:c r="N2710" s="274" t="s">
        <x:v>4258</x:v>
      </x:c>
    </x:row>
    <x:row r="2711" spans="1:14">
      <x:c r="A2711" s="274" t="s">
        <x:v>5184</x:v>
      </x:c>
      <x:c r="B2711" s="274" t="n">
        <x:v>1.22</x:v>
      </x:c>
      <x:c r="C2711" s="274" t="n">
        <x:v>0</x:v>
      </x:c>
      <x:c r="D2711" s="274" t="n">
        <x:v>0</x:v>
      </x:c>
      <x:c r="F2711" s="274" t="s">
        <x:v>333</x:v>
      </x:c>
      <x:c r="G2711" s="274" t="s">
        <x:v>4663</x:v>
      </x:c>
      <x:c r="I2711" s="274" t="n">
        <x:v>1.4</x:v>
      </x:c>
      <x:c r="J2711" s="274" t="n">
        <x:v>225</x:v>
      </x:c>
      <x:c r="K2711" s="274" t="n">
        <x:v>495</x:v>
      </x:c>
      <x:c r="M2711" s="274" t="s">
        <x:v>5185</x:v>
      </x:c>
      <x:c r="N2711" s="274" t="s">
        <x:v>4258</x:v>
      </x:c>
    </x:row>
    <x:row r="2712" spans="1:14">
      <x:c r="A2712" s="274" t="s">
        <x:v>5186</x:v>
      </x:c>
      <x:c r="B2712" s="274" t="n">
        <x:v>1.27</x:v>
      </x:c>
      <x:c r="C2712" s="274" t="n">
        <x:v>0</x:v>
      </x:c>
      <x:c r="D2712" s="274" t="n">
        <x:v>0</x:v>
      </x:c>
      <x:c r="F2712" s="274" t="s">
        <x:v>333</x:v>
      </x:c>
      <x:c r="G2712" s="274" t="s">
        <x:v>4663</x:v>
      </x:c>
      <x:c r="I2712" s="274" t="n">
        <x:v>1.4</x:v>
      </x:c>
      <x:c r="J2712" s="274" t="n">
        <x:v>502</x:v>
      </x:c>
      <x:c r="K2712" s="274" t="n">
        <x:v>230</x:v>
      </x:c>
      <x:c r="M2712" s="274" t="s">
        <x:v>5187</x:v>
      </x:c>
      <x:c r="N2712" s="274" t="s">
        <x:v>4258</x:v>
      </x:c>
    </x:row>
    <x:row r="2713" spans="1:14">
      <x:c r="A2713" s="274" t="s">
        <x:v>5188</x:v>
      </x:c>
      <x:c r="B2713" s="274" t="n">
        <x:v>2.16</x:v>
      </x:c>
      <x:c r="C2713" s="274" t="n">
        <x:v>0</x:v>
      </x:c>
      <x:c r="D2713" s="274" t="n">
        <x:v>0</x:v>
      </x:c>
      <x:c r="F2713" s="274" t="s">
        <x:v>333</x:v>
      </x:c>
      <x:c r="G2713" s="274" t="s">
        <x:v>4663</x:v>
      </x:c>
      <x:c r="I2713" s="274" t="n">
        <x:v>1.4</x:v>
      </x:c>
      <x:c r="J2713" s="274" t="n">
        <x:v>393</x:v>
      </x:c>
      <x:c r="K2713" s="274" t="n">
        <x:v>500</x:v>
      </x:c>
      <x:c r="M2713" s="274" t="s">
        <x:v>5189</x:v>
      </x:c>
      <x:c r="N2713" s="274" t="s">
        <x:v>4258</x:v>
      </x:c>
    </x:row>
    <x:row r="2714" spans="1:14">
      <x:c r="A2714" s="274" t="s">
        <x:v>5190</x:v>
      </x:c>
      <x:c r="B2714" s="274" t="n">
        <x:v>0.99</x:v>
      </x:c>
      <x:c r="C2714" s="274" t="n">
        <x:v>0</x:v>
      </x:c>
      <x:c r="D2714" s="274" t="n">
        <x:v>0</x:v>
      </x:c>
      <x:c r="F2714" s="274" t="s">
        <x:v>333</x:v>
      </x:c>
      <x:c r="G2714" s="274" t="s">
        <x:v>4663</x:v>
      </x:c>
      <x:c r="I2714" s="274" t="n">
        <x:v>1.4</x:v>
      </x:c>
      <x:c r="J2714" s="274" t="n">
        <x:v>194</x:v>
      </x:c>
      <x:c r="K2714" s="274" t="n">
        <x:v>465</x:v>
      </x:c>
      <x:c r="M2714" s="274" t="s">
        <x:v>5191</x:v>
      </x:c>
      <x:c r="N2714" s="274" t="s">
        <x:v>4258</x:v>
      </x:c>
    </x:row>
    <x:row r="2715" spans="1:14">
      <x:c r="A2715" s="274" t="s">
        <x:v>5192</x:v>
      </x:c>
      <x:c r="B2715" s="274" t="n">
        <x:v>1.19</x:v>
      </x:c>
      <x:c r="C2715" s="274" t="n">
        <x:v>0</x:v>
      </x:c>
      <x:c r="D2715" s="274" t="n">
        <x:v>0</x:v>
      </x:c>
      <x:c r="F2715" s="274" t="s">
        <x:v>333</x:v>
      </x:c>
      <x:c r="G2715" s="274" t="s">
        <x:v>4663</x:v>
      </x:c>
      <x:c r="I2715" s="274" t="n">
        <x:v>1.4</x:v>
      </x:c>
      <x:c r="J2715" s="274" t="n">
        <x:v>257</x:v>
      </x:c>
      <x:c r="K2715" s="274" t="n">
        <x:v>420</x:v>
      </x:c>
      <x:c r="M2715" s="274" t="s">
        <x:v>5193</x:v>
      </x:c>
      <x:c r="N2715" s="274" t="s">
        <x:v>4258</x:v>
      </x:c>
    </x:row>
    <x:row r="2716" spans="1:14">
      <x:c r="A2716" s="274" t="s">
        <x:v>5194</x:v>
      </x:c>
      <x:c r="B2716" s="274" t="n">
        <x:v>1.81</x:v>
      </x:c>
      <x:c r="C2716" s="274" t="n">
        <x:v>0</x:v>
      </x:c>
      <x:c r="D2716" s="274" t="n">
        <x:v>0</x:v>
      </x:c>
      <x:c r="F2716" s="274" t="s">
        <x:v>333</x:v>
      </x:c>
      <x:c r="G2716" s="274" t="s">
        <x:v>4663</x:v>
      </x:c>
      <x:c r="I2716" s="274" t="n">
        <x:v>1.4</x:v>
      </x:c>
      <x:c r="J2716" s="274" t="n">
        <x:v>137</x:v>
      </x:c>
      <x:c r="K2716" s="274" t="n">
        <x:v>1200</x:v>
      </x:c>
      <x:c r="M2716" s="274" t="s">
        <x:v>5195</x:v>
      </x:c>
      <x:c r="N2716" s="274" t="s">
        <x:v>4258</x:v>
      </x:c>
    </x:row>
    <x:row r="2717" spans="1:14">
      <x:c r="A2717" s="274" t="s">
        <x:v>5196</x:v>
      </x:c>
      <x:c r="B2717" s="274" t="n">
        <x:v>0.72</x:v>
      </x:c>
      <x:c r="C2717" s="274" t="n">
        <x:v>0</x:v>
      </x:c>
      <x:c r="D2717" s="274" t="n">
        <x:v>0</x:v>
      </x:c>
      <x:c r="F2717" s="274" t="s">
        <x:v>133</x:v>
      </x:c>
      <x:c r="G2717" s="274" t="s">
        <x:v>4329</x:v>
      </x:c>
      <x:c r="I2717" s="274" t="n">
        <x:v>1.6</x:v>
      </x:c>
      <x:c r="J2717" s="274" t="n">
        <x:v>118</x:v>
      </x:c>
      <x:c r="K2717" s="274" t="n">
        <x:v>484</x:v>
      </x:c>
      <x:c r="M2717" s="274" t="s">
        <x:v>5197</x:v>
      </x:c>
      <x:c r="N2717" s="274" t="s">
        <x:v>4258</x:v>
      </x:c>
    </x:row>
    <x:row r="2718" spans="1:14">
      <x:c r="A2718" s="274" t="s">
        <x:v>5198</x:v>
      </x:c>
      <x:c r="B2718" s="274" t="n">
        <x:v>4.67</x:v>
      </x:c>
      <x:c r="C2718" s="274" t="n">
        <x:v>0</x:v>
      </x:c>
      <x:c r="D2718" s="274" t="n">
        <x:v>37</x:v>
      </x:c>
      <x:c r="E2718" s="274" t="n">
        <x:v>32</x:v>
      </x:c>
      <x:c r="F2718" s="274" t="s">
        <x:v>333</x:v>
      </x:c>
      <x:c r="G2718" s="274" t="s">
        <x:v>4663</x:v>
      </x:c>
      <x:c r="I2718" s="274" t="n">
        <x:v>1.6</x:v>
      </x:c>
      <x:c r="J2718" s="274" t="n">
        <x:v>310</x:v>
      </x:c>
      <x:c r="K2718" s="274" t="n">
        <x:v>1200</x:v>
      </x:c>
      <x:c r="M2718" s="274" t="s">
        <x:v>5199</x:v>
      </x:c>
      <x:c r="N2718" s="274" t="s">
        <x:v>4258</x:v>
      </x:c>
    </x:row>
    <x:row r="2719" spans="1:14">
      <x:c r="A2719" s="274" t="s">
        <x:v>5200</x:v>
      </x:c>
      <x:c r="B2719" s="274" t="n">
        <x:v>7.46</x:v>
      </x:c>
      <x:c r="C2719" s="274" t="n">
        <x:v>0</x:v>
      </x:c>
      <x:c r="D2719" s="274" t="n">
        <x:v>30</x:v>
      </x:c>
      <x:c r="F2719" s="274" t="s">
        <x:v>133</x:v>
      </x:c>
      <x:c r="G2719" s="274" t="s">
        <x:v>136</x:v>
      </x:c>
      <x:c r="H2719" s="274" t="n">
        <x:v>45</x:v>
      </x:c>
      <x:c r="I2719" s="274" t="n">
        <x:v>0.6</x:v>
      </x:c>
      <x:c r="J2719" s="274" t="n">
        <x:v>966</x:v>
      </x:c>
      <x:c r="K2719" s="274" t="n">
        <x:v>1610</x:v>
      </x:c>
      <x:c r="M2719" s="274" t="s">
        <x:v>5201</x:v>
      </x:c>
      <x:c r="N2719" s="274" t="s">
        <x:v>847</x:v>
      </x:c>
    </x:row>
    <x:row r="2720" spans="1:14">
      <x:c r="A2720" s="274" t="s">
        <x:v>5202</x:v>
      </x:c>
      <x:c r="B2720" s="274" t="n">
        <x:v>2.05</x:v>
      </x:c>
      <x:c r="C2720" s="274" t="n">
        <x:v>0</x:v>
      </x:c>
      <x:c r="D2720" s="274" t="n">
        <x:v>0</x:v>
      </x:c>
      <x:c r="F2720" s="274" t="s">
        <x:v>333</x:v>
      </x:c>
      <x:c r="G2720" s="274" t="s">
        <x:v>153</x:v>
      </x:c>
      <x:c r="I2720" s="274" t="n">
        <x:v>1.8</x:v>
      </x:c>
      <x:c r="J2720" s="274" t="n">
        <x:v>577.5</x:v>
      </x:c>
      <x:c r="K2720" s="274" t="n">
        <x:v>342</x:v>
      </x:c>
      <x:c r="L2720" s="274" t="n">
        <x:v>160</x:v>
      </x:c>
      <x:c r="M2720" s="274" t="s">
        <x:v>3180</x:v>
      </x:c>
      <x:c r="N2720" s="274" t="s">
        <x:v>1178</x:v>
      </x:c>
    </x:row>
    <x:row r="2721" spans="1:14">
      <x:c r="A2721" s="274" t="s">
        <x:v>5203</x:v>
      </x:c>
      <x:c r="B2721" s="274" t="n">
        <x:v>2.98</x:v>
      </x:c>
      <x:c r="C2721" s="274" t="n">
        <x:v>0</x:v>
      </x:c>
      <x:c r="D2721" s="274" t="n">
        <x:v>0</x:v>
      </x:c>
      <x:c r="F2721" s="274" t="s">
        <x:v>184</x:v>
      </x:c>
      <x:c r="G2721" s="274" t="s">
        <x:v>881</x:v>
      </x:c>
      <x:c r="H2721" s="274" t="n">
        <x:v>45</x:v>
      </x:c>
      <x:c r="I2721" s="274" t="n">
        <x:v>1.6</x:v>
      </x:c>
      <x:c r="J2721" s="274" t="n">
        <x:v>340</x:v>
      </x:c>
      <x:c r="K2721" s="274" t="n">
        <x:v>693</x:v>
      </x:c>
      <x:c r="M2721" s="274" t="s">
        <x:v>5142</x:v>
      </x:c>
      <x:c r="N2721" s="274" t="s">
        <x:v>3671</x:v>
      </x:c>
    </x:row>
    <x:row r="2722" spans="1:14">
      <x:c r="A2722" s="274" t="s">
        <x:v>5204</x:v>
      </x:c>
      <x:c r="B2722" s="274" t="n">
        <x:v>1.98</x:v>
      </x:c>
      <x:c r="C2722" s="274" t="n">
        <x:v>0</x:v>
      </x:c>
      <x:c r="D2722" s="274" t="n">
        <x:v>0</x:v>
      </x:c>
      <x:c r="F2722" s="274" t="s">
        <x:v>333</x:v>
      </x:c>
      <x:c r="G2722" s="274" t="s">
        <x:v>4663</x:v>
      </x:c>
      <x:c r="I2722" s="274" t="n">
        <x:v>1</x:v>
      </x:c>
      <x:c r="J2722" s="274" t="n">
        <x:v>600</x:v>
      </x:c>
      <x:c r="K2722" s="274" t="n">
        <x:v>421</x:v>
      </x:c>
      <x:c r="M2722" s="274" t="s">
        <x:v>5089</x:v>
      </x:c>
      <x:c r="N2722" s="274" t="s">
        <x:v>4258</x:v>
      </x:c>
    </x:row>
    <x:row r="2723" spans="1:14">
      <x:c r="A2723" s="274" t="s">
        <x:v>5205</x:v>
      </x:c>
      <x:c r="B2723" s="274" t="n">
        <x:v>1.48</x:v>
      </x:c>
      <x:c r="C2723" s="274" t="n">
        <x:v>0</x:v>
      </x:c>
      <x:c r="D2723" s="274" t="n">
        <x:v>0</x:v>
      </x:c>
      <x:c r="F2723" s="274" t="s">
        <x:v>133</x:v>
      </x:c>
      <x:c r="G2723" s="274" t="s">
        <x:v>134</x:v>
      </x:c>
      <x:c r="I2723" s="274" t="n">
        <x:v>1.8</x:v>
      </x:c>
      <x:c r="J2723" s="274" t="n">
        <x:v>84</x:v>
      </x:c>
      <x:c r="K2723" s="274" t="n">
        <x:v>1250</x:v>
      </x:c>
      <x:c r="M2723" s="274" t="s">
        <x:v>5206</x:v>
      </x:c>
      <x:c r="N2723" s="274" t="s">
        <x:v>3671</x:v>
      </x:c>
    </x:row>
    <x:row r="2724" spans="1:14">
      <x:c r="A2724" s="274" t="s">
        <x:v>5207</x:v>
      </x:c>
      <x:c r="B2724" s="274" t="n">
        <x:v>1.88</x:v>
      </x:c>
      <x:c r="C2724" s="274" t="n">
        <x:v>0</x:v>
      </x:c>
      <x:c r="D2724" s="274" t="n">
        <x:v>0</x:v>
      </x:c>
      <x:c r="F2724" s="274" t="s">
        <x:v>133</x:v>
      </x:c>
      <x:c r="G2724" s="274" t="s">
        <x:v>134</x:v>
      </x:c>
      <x:c r="I2724" s="274" t="n">
        <x:v>3.2</x:v>
      </x:c>
      <x:c r="J2724" s="274" t="n">
        <x:v>60</x:v>
      </x:c>
      <x:c r="K2724" s="274" t="n">
        <x:v>1250</x:v>
      </x:c>
      <x:c r="M2724" s="274" t="s">
        <x:v>5208</x:v>
      </x:c>
      <x:c r="N2724" s="274" t="s">
        <x:v>3671</x:v>
      </x:c>
    </x:row>
    <x:row r="2725" spans="1:14">
      <x:c r="A2725" s="274" t="s">
        <x:v>5209</x:v>
      </x:c>
      <x:c r="B2725" s="274" t="n">
        <x:v>1.03</x:v>
      </x:c>
      <x:c r="C2725" s="274" t="n">
        <x:v>0</x:v>
      </x:c>
      <x:c r="D2725" s="274" t="n">
        <x:v>0</x:v>
      </x:c>
      <x:c r="F2725" s="274" t="s">
        <x:v>333</x:v>
      </x:c>
      <x:c r="G2725" s="274" t="s">
        <x:v>209</x:v>
      </x:c>
      <x:c r="I2725" s="274" t="n">
        <x:v>1.2</x:v>
      </x:c>
      <x:c r="J2725" s="274" t="n">
        <x:v>89</x:v>
      </x:c>
      <x:c r="K2725" s="274" t="n">
        <x:v>1225</x:v>
      </x:c>
      <x:c r="M2725" s="274" t="s">
        <x:v>5210</x:v>
      </x:c>
      <x:c r="N2725" s="274" t="s">
        <x:v>3671</x:v>
      </x:c>
    </x:row>
    <x:row r="2726" spans="1:14">
      <x:c r="A2726" s="274" t="s">
        <x:v>5211</x:v>
      </x:c>
      <x:c r="B2726" s="274" t="n">
        <x:v>1.57</x:v>
      </x:c>
      <x:c r="C2726" s="274" t="n">
        <x:v>0</x:v>
      </x:c>
      <x:c r="D2726" s="274" t="n">
        <x:v>0</x:v>
      </x:c>
      <x:c r="F2726" s="274" t="s">
        <x:v>133</x:v>
      </x:c>
      <x:c r="G2726" s="274" t="s">
        <x:v>134</x:v>
      </x:c>
      <x:c r="I2726" s="274" t="n">
        <x:v>2</x:v>
      </x:c>
      <x:c r="J2726" s="274" t="n">
        <x:v>80</x:v>
      </x:c>
      <x:c r="K2726" s="274" t="n">
        <x:v>1250</x:v>
      </x:c>
      <x:c r="M2726" s="274" t="s">
        <x:v>5212</x:v>
      </x:c>
      <x:c r="N2726" s="274" t="s">
        <x:v>3671</x:v>
      </x:c>
    </x:row>
    <x:row r="2727" spans="1:14">
      <x:c r="A2727" s="274" t="s">
        <x:v>5213</x:v>
      </x:c>
      <x:c r="B2727" s="274" t="n">
        <x:v>1.65</x:v>
      </x:c>
      <x:c r="C2727" s="274" t="n">
        <x:v>0</x:v>
      </x:c>
      <x:c r="D2727" s="274" t="n">
        <x:v>0</x:v>
      </x:c>
      <x:c r="F2727" s="274" t="s">
        <x:v>333</x:v>
      </x:c>
      <x:c r="G2727" s="274" t="s">
        <x:v>209</x:v>
      </x:c>
      <x:c r="I2727" s="274" t="n">
        <x:v>1.2</x:v>
      </x:c>
      <x:c r="J2727" s="274" t="n">
        <x:v>140</x:v>
      </x:c>
      <x:c r="K2727" s="274" t="n">
        <x:v>1250</x:v>
      </x:c>
      <x:c r="M2727" s="274" t="s">
        <x:v>5214</x:v>
      </x:c>
      <x:c r="N2727" s="274" t="s">
        <x:v>3671</x:v>
      </x:c>
    </x:row>
    <x:row r="2728" spans="1:14">
      <x:c r="A2728" s="274" t="s">
        <x:v>5215</x:v>
      </x:c>
      <x:c r="B2728" s="274" t="n">
        <x:v>1.35</x:v>
      </x:c>
      <x:c r="C2728" s="274" t="n">
        <x:v>0</x:v>
      </x:c>
      <x:c r="D2728" s="274" t="n">
        <x:v>0</x:v>
      </x:c>
      <x:c r="F2728" s="274" t="s">
        <x:v>333</x:v>
      </x:c>
      <x:c r="G2728" s="274" t="s">
        <x:v>209</x:v>
      </x:c>
      <x:c r="I2728" s="274" t="n">
        <x:v>1.2</x:v>
      </x:c>
      <x:c r="J2728" s="274" t="n">
        <x:v>115</x:v>
      </x:c>
      <x:c r="K2728" s="274" t="n">
        <x:v>1250</x:v>
      </x:c>
      <x:c r="M2728" s="274" t="s">
        <x:v>5216</x:v>
      </x:c>
      <x:c r="N2728" s="274" t="s">
        <x:v>3671</x:v>
      </x:c>
    </x:row>
    <x:row r="2729" spans="1:14">
      <x:c r="A2729" s="274" t="s">
        <x:v>5217</x:v>
      </x:c>
      <x:c r="B2729" s="274" t="n">
        <x:v>12.77</x:v>
      </x:c>
      <x:c r="C2729" s="274" t="n">
        <x:v>0</x:v>
      </x:c>
      <x:c r="D2729" s="274" t="n">
        <x:v>33</x:v>
      </x:c>
      <x:c r="E2729" s="274" t="n">
        <x:v>29</x:v>
      </x:c>
      <x:c r="F2729" s="274" t="s">
        <x:v>1980</x:v>
      </x:c>
      <x:c r="G2729" s="274" t="s">
        <x:v>1981</x:v>
      </x:c>
      <x:c r="I2729" s="274" t="n">
        <x:v>0.9</x:v>
      </x:c>
      <x:c r="J2729" s="274" t="n">
        <x:v>1370</x:v>
      </x:c>
      <x:c r="K2729" s="274" t="n">
        <x:v>1320</x:v>
      </x:c>
      <x:c r="M2729" s="274" t="s">
        <x:v>5218</x:v>
      </x:c>
    </x:row>
    <x:row r="2730" spans="1:14">
      <x:c r="A2730" s="274" t="s">
        <x:v>5219</x:v>
      </x:c>
      <x:c r="B2730" s="274" t="n">
        <x:v>11.35</x:v>
      </x:c>
      <x:c r="C2730" s="274" t="n">
        <x:v>0</x:v>
      </x:c>
      <x:c r="D2730" s="274" t="n">
        <x:v>37</x:v>
      </x:c>
      <x:c r="E2730" s="274" t="n">
        <x:v>32</x:v>
      </x:c>
      <x:c r="F2730" s="274" t="s">
        <x:v>1980</x:v>
      </x:c>
      <x:c r="G2730" s="274" t="s">
        <x:v>1981</x:v>
      </x:c>
      <x:c r="I2730" s="274" t="n">
        <x:v>0.9</x:v>
      </x:c>
      <x:c r="J2730" s="274" t="n">
        <x:v>1385</x:v>
      </x:c>
      <x:c r="K2730" s="274" t="n">
        <x:v>1160</x:v>
      </x:c>
      <x:c r="M2730" s="274" t="s">
        <x:v>5220</x:v>
      </x:c>
    </x:row>
    <x:row r="2731" spans="1:14">
      <x:c r="A2731" s="274" t="s">
        <x:v>5221</x:v>
      </x:c>
      <x:c r="B2731" s="274" t="n">
        <x:v>9.06</x:v>
      </x:c>
      <x:c r="C2731" s="274" t="n">
        <x:v>38</x:v>
      </x:c>
      <x:c r="D2731" s="274" t="n">
        <x:v>38</x:v>
      </x:c>
      <x:c r="E2731" s="274" t="n">
        <x:v>30</x:v>
      </x:c>
      <x:c r="F2731" s="274" t="s">
        <x:v>133</x:v>
      </x:c>
      <x:c r="G2731" s="274" t="s">
        <x:v>136</x:v>
      </x:c>
      <x:c r="H2731" s="274" t="n">
        <x:v>45</x:v>
      </x:c>
      <x:c r="I2731" s="274" t="n">
        <x:v>0.6</x:v>
      </x:c>
      <x:c r="J2731" s="274" t="n">
        <x:v>1165</x:v>
      </x:c>
      <x:c r="K2731" s="274" t="n">
        <x:v>1620</x:v>
      </x:c>
      <x:c r="M2731" s="274" t="s">
        <x:v>5201</x:v>
      </x:c>
      <x:c r="N2731" s="274" t="s">
        <x:v>5222</x:v>
      </x:c>
    </x:row>
    <x:row r="2732" spans="1:14">
      <x:c r="A2732" s="274" t="s">
        <x:v>5223</x:v>
      </x:c>
      <x:c r="B2732" s="274" t="n">
        <x:v>1.03</x:v>
      </x:c>
      <x:c r="C2732" s="274" t="n">
        <x:v>0</x:v>
      </x:c>
      <x:c r="D2732" s="274" t="n">
        <x:v>0</x:v>
      </x:c>
      <x:c r="F2732" s="274" t="s">
        <x:v>123</x:v>
      </x:c>
      <x:c r="G2732" s="274" t="s">
        <x:v>5224</x:v>
      </x:c>
      <x:c r="I2732" s="274" t="n">
        <x:v>2.5</x:v>
      </x:c>
      <x:c r="J2732" s="274" t="n">
        <x:v>100</x:v>
      </x:c>
      <x:c r="K2732" s="274" t="n">
        <x:v>525</x:v>
      </x:c>
      <x:c r="M2732" s="274" t="s">
        <x:v>5225</x:v>
      </x:c>
      <x:c r="N2732" s="274" t="s">
        <x:v>4258</x:v>
      </x:c>
    </x:row>
    <x:row r="2733" spans="1:14">
      <x:c r="A2733" s="274" t="s">
        <x:v>5226</x:v>
      </x:c>
      <x:c r="B2733" s="274" t="n">
        <x:v>3.46</x:v>
      </x:c>
      <x:c r="C2733" s="274" t="n">
        <x:v>0</x:v>
      </x:c>
      <x:c r="D2733" s="274" t="n">
        <x:v>0</x:v>
      </x:c>
      <x:c r="F2733" s="274" t="s">
        <x:v>123</x:v>
      </x:c>
      <x:c r="G2733" s="274" t="s">
        <x:v>4286</x:v>
      </x:c>
      <x:c r="I2733" s="274" t="n">
        <x:v>0.5</x:v>
      </x:c>
      <x:c r="J2733" s="274" t="n">
        <x:v>1260</x:v>
      </x:c>
      <x:c r="K2733" s="274" t="n">
        <x:v>700</x:v>
      </x:c>
      <x:c r="M2733" s="274" t="s">
        <x:v>5227</x:v>
      </x:c>
      <x:c r="N2733" s="274" t="s">
        <x:v>4258</x:v>
      </x:c>
    </x:row>
    <x:row r="2734" spans="1:14">
      <x:c r="A2734" s="274" t="s">
        <x:v>5228</x:v>
      </x:c>
      <x:c r="B2734" s="274" t="n">
        <x:v>1.57</x:v>
      </x:c>
      <x:c r="C2734" s="274" t="n">
        <x:v>0</x:v>
      </x:c>
      <x:c r="D2734" s="274" t="n">
        <x:v>0</x:v>
      </x:c>
      <x:c r="F2734" s="274" t="s">
        <x:v>123</x:v>
      </x:c>
      <x:c r="G2734" s="274" t="s">
        <x:v>4299</x:v>
      </x:c>
      <x:c r="I2734" s="274" t="n">
        <x:v>1.6</x:v>
      </x:c>
      <x:c r="J2734" s="274" t="n">
        <x:v>100</x:v>
      </x:c>
      <x:c r="K2734" s="274" t="n">
        <x:v>1250</x:v>
      </x:c>
      <x:c r="M2734" s="274" t="s">
        <x:v>5229</x:v>
      </x:c>
      <x:c r="N2734" s="274" t="s">
        <x:v>4258</x:v>
      </x:c>
    </x:row>
    <x:row r="2735" spans="1:14">
      <x:c r="A2735" s="274" t="s">
        <x:v>5230</x:v>
      </x:c>
      <x:c r="B2735" s="274" t="n">
        <x:v>11.69</x:v>
      </x:c>
      <x:c r="C2735" s="274" t="n">
        <x:v>38</x:v>
      </x:c>
      <x:c r="D2735" s="274" t="n">
        <x:v>38</x:v>
      </x:c>
      <x:c r="F2735" s="274" t="s">
        <x:v>133</x:v>
      </x:c>
      <x:c r="G2735" s="274" t="s">
        <x:v>4487</x:v>
      </x:c>
      <x:c r="I2735" s="274" t="n">
        <x:v>0.9</x:v>
      </x:c>
      <x:c r="J2735" s="274" t="n">
        <x:v>1300</x:v>
      </x:c>
      <x:c r="K2735" s="274" t="n">
        <x:v>1046</x:v>
      </x:c>
      <x:c r="L2735" s="274" t="n">
        <x:v>1500</x:v>
      </x:c>
      <x:c r="M2735" s="274" t="s">
        <x:v>5231</x:v>
      </x:c>
    </x:row>
    <x:row r="2736" spans="1:14">
      <x:c r="A2736" s="274" t="s">
        <x:v>5232</x:v>
      </x:c>
      <x:c r="B2736" s="274" t="n">
        <x:v>1.18</x:v>
      </x:c>
      <x:c r="C2736" s="274" t="n">
        <x:v>0</x:v>
      </x:c>
      <x:c r="D2736" s="274" t="n">
        <x:v>0</x:v>
      </x:c>
      <x:c r="F2736" s="274" t="s">
        <x:v>333</x:v>
      </x:c>
      <x:c r="G2736" s="274" t="s">
        <x:v>209</x:v>
      </x:c>
      <x:c r="I2736" s="274" t="n">
        <x:v>1.2</x:v>
      </x:c>
      <x:c r="J2736" s="274" t="n">
        <x:v>100</x:v>
      </x:c>
      <x:c r="K2736" s="274" t="n">
        <x:v>1250</x:v>
      </x:c>
      <x:c r="M2736" s="274" t="s">
        <x:v>5233</x:v>
      </x:c>
      <x:c r="N2736" s="274" t="s">
        <x:v>3671</x:v>
      </x:c>
    </x:row>
    <x:row r="2737" spans="1:14">
      <x:c r="A2737" s="274" t="s">
        <x:v>5234</x:v>
      </x:c>
      <x:c r="B2737" s="274" t="n">
        <x:v>1.18</x:v>
      </x:c>
      <x:c r="C2737" s="274" t="n">
        <x:v>0</x:v>
      </x:c>
      <x:c r="D2737" s="274" t="n">
        <x:v>0</x:v>
      </x:c>
      <x:c r="F2737" s="274" t="s">
        <x:v>333</x:v>
      </x:c>
      <x:c r="G2737" s="274" t="s">
        <x:v>209</x:v>
      </x:c>
      <x:c r="I2737" s="274" t="n">
        <x:v>1.2</x:v>
      </x:c>
      <x:c r="J2737" s="274" t="n">
        <x:v>100</x:v>
      </x:c>
      <x:c r="K2737" s="274" t="n">
        <x:v>1250</x:v>
      </x:c>
      <x:c r="M2737" s="274" t="s">
        <x:v>5235</x:v>
      </x:c>
      <x:c r="N2737" s="274" t="s">
        <x:v>3671</x:v>
      </x:c>
    </x:row>
    <x:row r="2738" spans="1:14">
      <x:c r="A2738" s="274" t="s">
        <x:v>5236</x:v>
      </x:c>
      <x:c r="B2738" s="274" t="n">
        <x:v>1.59</x:v>
      </x:c>
      <x:c r="C2738" s="274" t="n">
        <x:v>0</x:v>
      </x:c>
      <x:c r="D2738" s="274" t="n">
        <x:v>0</x:v>
      </x:c>
      <x:c r="F2738" s="274" t="s">
        <x:v>333</x:v>
      </x:c>
      <x:c r="G2738" s="274" t="s">
        <x:v>209</x:v>
      </x:c>
      <x:c r="I2738" s="274" t="n">
        <x:v>1.2</x:v>
      </x:c>
      <x:c r="J2738" s="274" t="n">
        <x:v>135</x:v>
      </x:c>
      <x:c r="K2738" s="274" t="n">
        <x:v>1250</x:v>
      </x:c>
      <x:c r="M2738" s="274" t="s">
        <x:v>5237</x:v>
      </x:c>
      <x:c r="N2738" s="274" t="s">
        <x:v>3671</x:v>
      </x:c>
    </x:row>
    <x:row r="2739" spans="1:14">
      <x:c r="A2739" s="274" t="s">
        <x:v>5238</x:v>
      </x:c>
      <x:c r="B2739" s="274" t="n">
        <x:v>1.65</x:v>
      </x:c>
      <x:c r="C2739" s="274" t="n">
        <x:v>0</x:v>
      </x:c>
      <x:c r="D2739" s="274" t="n">
        <x:v>0</x:v>
      </x:c>
      <x:c r="F2739" s="274" t="s">
        <x:v>333</x:v>
      </x:c>
      <x:c r="G2739" s="274" t="s">
        <x:v>209</x:v>
      </x:c>
      <x:c r="I2739" s="274" t="n">
        <x:v>1.2</x:v>
      </x:c>
      <x:c r="J2739" s="274" t="n">
        <x:v>140</x:v>
      </x:c>
      <x:c r="K2739" s="274" t="n">
        <x:v>1250</x:v>
      </x:c>
      <x:c r="M2739" s="274" t="s">
        <x:v>5239</x:v>
      </x:c>
      <x:c r="N2739" s="274" t="s">
        <x:v>3671</x:v>
      </x:c>
    </x:row>
    <x:row r="2740" spans="1:14">
      <x:c r="A2740" s="274" t="s">
        <x:v>5240</x:v>
      </x:c>
      <x:c r="B2740" s="274" t="n">
        <x:v>1.88</x:v>
      </x:c>
      <x:c r="C2740" s="274" t="n">
        <x:v>0</x:v>
      </x:c>
      <x:c r="D2740" s="274" t="n">
        <x:v>0</x:v>
      </x:c>
      <x:c r="F2740" s="274" t="s">
        <x:v>333</x:v>
      </x:c>
      <x:c r="G2740" s="274" t="s">
        <x:v>209</x:v>
      </x:c>
      <x:c r="I2740" s="274" t="n">
        <x:v>1.2</x:v>
      </x:c>
      <x:c r="J2740" s="274" t="n">
        <x:v>160</x:v>
      </x:c>
      <x:c r="K2740" s="274" t="n">
        <x:v>1250</x:v>
      </x:c>
      <x:c r="M2740" s="274" t="s">
        <x:v>5241</x:v>
      </x:c>
      <x:c r="N2740" s="274" t="s">
        <x:v>3671</x:v>
      </x:c>
    </x:row>
    <x:row r="2741" spans="1:14">
      <x:c r="A2741" s="274" t="s">
        <x:v>5242</x:v>
      </x:c>
      <x:c r="B2741" s="274" t="n">
        <x:v>2.36</x:v>
      </x:c>
      <x:c r="C2741" s="274" t="n">
        <x:v>0</x:v>
      </x:c>
      <x:c r="D2741" s="274" t="n">
        <x:v>0</x:v>
      </x:c>
      <x:c r="F2741" s="274" t="s">
        <x:v>333</x:v>
      </x:c>
      <x:c r="G2741" s="274" t="s">
        <x:v>209</x:v>
      </x:c>
      <x:c r="I2741" s="274" t="n">
        <x:v>1.2</x:v>
      </x:c>
      <x:c r="J2741" s="274" t="n">
        <x:v>200</x:v>
      </x:c>
      <x:c r="K2741" s="274" t="n">
        <x:v>1250</x:v>
      </x:c>
      <x:c r="M2741" s="274" t="s">
        <x:v>5243</x:v>
      </x:c>
      <x:c r="N2741" s="274" t="s">
        <x:v>3671</x:v>
      </x:c>
    </x:row>
    <x:row r="2742" spans="1:14">
      <x:c r="A2742" s="274" t="s">
        <x:v>5244</x:v>
      </x:c>
      <x:c r="B2742" s="274" t="n">
        <x:v>1.77</x:v>
      </x:c>
      <x:c r="C2742" s="274" t="n">
        <x:v>0</x:v>
      </x:c>
      <x:c r="D2742" s="274" t="n">
        <x:v>0</x:v>
      </x:c>
      <x:c r="F2742" s="274" t="s">
        <x:v>333</x:v>
      </x:c>
      <x:c r="G2742" s="274" t="s">
        <x:v>209</x:v>
      </x:c>
      <x:c r="I2742" s="274" t="n">
        <x:v>1.2</x:v>
      </x:c>
      <x:c r="J2742" s="274" t="n">
        <x:v>150</x:v>
      </x:c>
      <x:c r="K2742" s="274" t="n">
        <x:v>1250</x:v>
      </x:c>
      <x:c r="M2742" s="274" t="s">
        <x:v>5245</x:v>
      </x:c>
      <x:c r="N2742" s="274" t="s">
        <x:v>3671</x:v>
      </x:c>
    </x:row>
    <x:row r="2743" spans="1:14">
      <x:c r="A2743" s="274" t="s">
        <x:v>5246</x:v>
      </x:c>
      <x:c r="B2743" s="274" t="n">
        <x:v>0.95</x:v>
      </x:c>
      <x:c r="C2743" s="274" t="n">
        <x:v>0</x:v>
      </x:c>
      <x:c r="D2743" s="274" t="n">
        <x:v>0</x:v>
      </x:c>
      <x:c r="F2743" s="274" t="s">
        <x:v>333</x:v>
      </x:c>
      <x:c r="G2743" s="274" t="s">
        <x:v>209</x:v>
      </x:c>
      <x:c r="I2743" s="274" t="n">
        <x:v>1.2</x:v>
      </x:c>
      <x:c r="J2743" s="274" t="n">
        <x:v>82</x:v>
      </x:c>
      <x:c r="K2743" s="274" t="n">
        <x:v>1225</x:v>
      </x:c>
      <x:c r="M2743" s="274" t="s">
        <x:v>5247</x:v>
      </x:c>
      <x:c r="N2743" s="274" t="s">
        <x:v>3671</x:v>
      </x:c>
    </x:row>
    <x:row r="2744" spans="1:14">
      <x:c r="A2744" s="274" t="s">
        <x:v>5248</x:v>
      </x:c>
      <x:c r="B2744" s="274" t="n">
        <x:v>0.65</x:v>
      </x:c>
      <x:c r="C2744" s="274" t="n">
        <x:v>0</x:v>
      </x:c>
      <x:c r="D2744" s="274" t="n">
        <x:v>0</x:v>
      </x:c>
      <x:c r="F2744" s="274" t="s">
        <x:v>333</x:v>
      </x:c>
      <x:c r="G2744" s="274" t="s">
        <x:v>209</x:v>
      </x:c>
      <x:c r="I2744" s="274" t="n">
        <x:v>1</x:v>
      </x:c>
      <x:c r="J2744" s="274" t="n">
        <x:v>66</x:v>
      </x:c>
      <x:c r="K2744" s="274" t="n">
        <x:v>1250</x:v>
      </x:c>
      <x:c r="M2744" s="274" t="s">
        <x:v>5249</x:v>
      </x:c>
      <x:c r="N2744" s="274" t="s">
        <x:v>3671</x:v>
      </x:c>
    </x:row>
    <x:row r="2745" spans="1:14">
      <x:c r="A2745" s="274" t="s">
        <x:v>5250</x:v>
      </x:c>
      <x:c r="B2745" s="274" t="n">
        <x:v>1.02</x:v>
      </x:c>
      <x:c r="C2745" s="274" t="n">
        <x:v>0</x:v>
      </x:c>
      <x:c r="D2745" s="274" t="n">
        <x:v>0</x:v>
      </x:c>
      <x:c r="F2745" s="274" t="s">
        <x:v>333</x:v>
      </x:c>
      <x:c r="G2745" s="274" t="s">
        <x:v>209</x:v>
      </x:c>
      <x:c r="I2745" s="274" t="n">
        <x:v>1</x:v>
      </x:c>
      <x:c r="J2745" s="274" t="n">
        <x:v>104</x:v>
      </x:c>
      <x:c r="K2745" s="274" t="n">
        <x:v>1250</x:v>
      </x:c>
      <x:c r="M2745" s="274" t="s">
        <x:v>5251</x:v>
      </x:c>
      <x:c r="N2745" s="274" t="s">
        <x:v>3671</x:v>
      </x:c>
    </x:row>
    <x:row r="2746" spans="1:14">
      <x:c r="A2746" s="274" t="s">
        <x:v>5252</x:v>
      </x:c>
      <x:c r="B2746" s="274" t="n">
        <x:v>0.86</x:v>
      </x:c>
      <x:c r="C2746" s="274" t="n">
        <x:v>0</x:v>
      </x:c>
      <x:c r="D2746" s="274" t="n">
        <x:v>0</x:v>
      </x:c>
      <x:c r="F2746" s="274" t="s">
        <x:v>333</x:v>
      </x:c>
      <x:c r="G2746" s="274" t="s">
        <x:v>209</x:v>
      </x:c>
      <x:c r="I2746" s="274" t="n">
        <x:v>1</x:v>
      </x:c>
      <x:c r="J2746" s="274" t="n">
        <x:v>88</x:v>
      </x:c>
      <x:c r="K2746" s="274" t="n">
        <x:v>1250</x:v>
      </x:c>
      <x:c r="M2746" s="274" t="s">
        <x:v>5253</x:v>
      </x:c>
      <x:c r="N2746" s="274" t="s">
        <x:v>3671</x:v>
      </x:c>
    </x:row>
    <x:row r="2747" spans="1:14">
      <x:c r="A2747" s="274" t="s">
        <x:v>5254</x:v>
      </x:c>
      <x:c r="B2747" s="274" t="n">
        <x:v>0.94</x:v>
      </x:c>
      <x:c r="C2747" s="274" t="n">
        <x:v>0</x:v>
      </x:c>
      <x:c r="D2747" s="274" t="n">
        <x:v>0</x:v>
      </x:c>
      <x:c r="F2747" s="274" t="s">
        <x:v>333</x:v>
      </x:c>
      <x:c r="G2747" s="274" t="s">
        <x:v>209</x:v>
      </x:c>
      <x:c r="I2747" s="274" t="n">
        <x:v>1.2</x:v>
      </x:c>
      <x:c r="J2747" s="274" t="n">
        <x:v>80</x:v>
      </x:c>
      <x:c r="K2747" s="274" t="n">
        <x:v>1250</x:v>
      </x:c>
      <x:c r="M2747" s="274" t="s">
        <x:v>5255</x:v>
      </x:c>
      <x:c r="N2747" s="274" t="s">
        <x:v>3671</x:v>
      </x:c>
    </x:row>
    <x:row r="2748" spans="1:14">
      <x:c r="A2748" s="274" t="s">
        <x:v>5256</x:v>
      </x:c>
      <x:c r="B2748" s="274" t="n">
        <x:v>1.87</x:v>
      </x:c>
      <x:c r="C2748" s="274" t="n">
        <x:v>0</x:v>
      </x:c>
      <x:c r="D2748" s="274" t="n">
        <x:v>0</x:v>
      </x:c>
      <x:c r="F2748" s="274" t="s">
        <x:v>333</x:v>
      </x:c>
      <x:c r="G2748" s="274" t="s">
        <x:v>209</x:v>
      </x:c>
      <x:c r="I2748" s="274" t="n">
        <x:v>1.4</x:v>
      </x:c>
      <x:c r="J2748" s="274" t="n">
        <x:v>162</x:v>
      </x:c>
      <x:c r="K2748" s="274" t="n">
        <x:v>1050</x:v>
      </x:c>
      <x:c r="M2748" s="274" t="s">
        <x:v>5257</x:v>
      </x:c>
      <x:c r="N2748" s="274" t="s">
        <x:v>3671</x:v>
      </x:c>
    </x:row>
    <x:row r="2749" spans="1:14">
      <x:c r="A2749" s="274" t="s">
        <x:v>5258</x:v>
      </x:c>
      <x:c r="B2749" s="274" t="n">
        <x:v>1.1</x:v>
      </x:c>
      <x:c r="C2749" s="274" t="n">
        <x:v>0</x:v>
      </x:c>
      <x:c r="D2749" s="274" t="n">
        <x:v>0</x:v>
      </x:c>
      <x:c r="F2749" s="274" t="s">
        <x:v>333</x:v>
      </x:c>
      <x:c r="G2749" s="274" t="s">
        <x:v>209</x:v>
      </x:c>
      <x:c r="I2749" s="274" t="n">
        <x:v>1.4</x:v>
      </x:c>
      <x:c r="J2749" s="274" t="n">
        <x:v>80</x:v>
      </x:c>
      <x:c r="K2749" s="274" t="n">
        <x:v>1250</x:v>
      </x:c>
      <x:c r="M2749" s="274" t="s">
        <x:v>5259</x:v>
      </x:c>
      <x:c r="N2749" s="274" t="s">
        <x:v>3671</x:v>
      </x:c>
    </x:row>
    <x:row r="2750" spans="1:14">
      <x:c r="A2750" s="274" t="s">
        <x:v>5260</x:v>
      </x:c>
      <x:c r="B2750" s="274" t="n">
        <x:v>2.55</x:v>
      </x:c>
      <x:c r="C2750" s="274" t="n">
        <x:v>0</x:v>
      </x:c>
      <x:c r="D2750" s="274" t="n">
        <x:v>0</x:v>
      </x:c>
      <x:c r="F2750" s="274" t="s">
        <x:v>133</x:v>
      </x:c>
      <x:c r="G2750" s="274" t="s">
        <x:v>134</x:v>
      </x:c>
      <x:c r="I2750" s="274" t="n">
        <x:v>2</x:v>
      </x:c>
      <x:c r="J2750" s="274" t="n">
        <x:v>130</x:v>
      </x:c>
      <x:c r="K2750" s="274" t="n">
        <x:v>1250</x:v>
      </x:c>
      <x:c r="M2750" s="274" t="s">
        <x:v>5261</x:v>
      </x:c>
      <x:c r="N2750" s="274" t="s">
        <x:v>3671</x:v>
      </x:c>
    </x:row>
    <x:row r="2751" spans="1:14">
      <x:c r="A2751" s="274" t="s">
        <x:v>5262</x:v>
      </x:c>
      <x:c r="B2751" s="274" t="n">
        <x:v>1.67</x:v>
      </x:c>
      <x:c r="C2751" s="274" t="n">
        <x:v>0</x:v>
      </x:c>
      <x:c r="D2751" s="274" t="n">
        <x:v>0</x:v>
      </x:c>
      <x:c r="F2751" s="274" t="s">
        <x:v>133</x:v>
      </x:c>
      <x:c r="G2751" s="274" t="s">
        <x:v>134</x:v>
      </x:c>
      <x:c r="I2751" s="274" t="n">
        <x:v>2</x:v>
      </x:c>
      <x:c r="J2751" s="274" t="n">
        <x:v>85</x:v>
      </x:c>
      <x:c r="K2751" s="274" t="n">
        <x:v>1250</x:v>
      </x:c>
      <x:c r="M2751" s="274" t="s">
        <x:v>5263</x:v>
      </x:c>
      <x:c r="N2751" s="274" t="s">
        <x:v>3671</x:v>
      </x:c>
    </x:row>
    <x:row r="2752" spans="1:14">
      <x:c r="A2752" s="274" t="s">
        <x:v>5264</x:v>
      </x:c>
      <x:c r="B2752" s="274" t="n">
        <x:v>2.3</x:v>
      </x:c>
      <x:c r="C2752" s="274" t="n">
        <x:v>0</x:v>
      </x:c>
      <x:c r="D2752" s="274" t="n">
        <x:v>45</x:v>
      </x:c>
      <x:c r="E2752" s="274" t="n">
        <x:v>40</x:v>
      </x:c>
      <x:c r="F2752" s="274" t="s">
        <x:v>128</x:v>
      </x:c>
      <x:c r="G2752" s="274" t="s">
        <x:v>3314</x:v>
      </x:c>
      <x:c r="H2752" s="274" t="n">
        <x:v>45</x:v>
      </x:c>
      <x:c r="I2752" s="274" t="n">
        <x:v>2.9</x:v>
      </x:c>
      <x:c r="J2752" s="274" t="n">
        <x:v>419</x:v>
      </x:c>
      <x:c r="K2752" s="274" t="n">
        <x:v>240</x:v>
      </x:c>
      <x:c r="M2752" s="274" t="s">
        <x:v>4043</x:v>
      </x:c>
      <x:c r="N2752" s="274" t="s">
        <x:v>3671</x:v>
      </x:c>
    </x:row>
    <x:row r="2753" spans="1:14">
      <x:c r="A2753" s="274" t="s">
        <x:v>5265</x:v>
      </x:c>
      <x:c r="B2753" s="274" t="n">
        <x:v>0.55</x:v>
      </x:c>
      <x:c r="C2753" s="274" t="n">
        <x:v>0</x:v>
      </x:c>
      <x:c r="D2753" s="274" t="n">
        <x:v>0</x:v>
      </x:c>
      <x:c r="F2753" s="274" t="s">
        <x:v>184</x:v>
      </x:c>
      <x:c r="G2753" s="274" t="s">
        <x:v>4782</x:v>
      </x:c>
      <x:c r="H2753" s="274" t="s">
        <x:v>4471</x:v>
      </x:c>
      <x:c r="I2753" s="274" t="n">
        <x:v>1</x:v>
      </x:c>
      <x:c r="J2753" s="274" t="n">
        <x:v>140</x:v>
      </x:c>
      <x:c r="K2753" s="274" t="n">
        <x:v>500</x:v>
      </x:c>
      <x:c r="M2753" s="274" t="s">
        <x:v>5266</x:v>
      </x:c>
      <x:c r="N2753" s="274" t="s">
        <x:v>4258</x:v>
      </x:c>
    </x:row>
    <x:row r="2754" spans="1:14">
      <x:c r="A2754" s="274" t="s">
        <x:v>5267</x:v>
      </x:c>
      <x:c r="B2754" s="274" t="n">
        <x:v>7.44</x:v>
      </x:c>
      <x:c r="C2754" s="274" t="n">
        <x:v>38</x:v>
      </x:c>
      <x:c r="D2754" s="274" t="n">
        <x:v>38</x:v>
      </x:c>
      <x:c r="F2754" s="274" t="s">
        <x:v>184</x:v>
      </x:c>
      <x:c r="G2754" s="274" t="s">
        <x:v>878</x:v>
      </x:c>
      <x:c r="H2754" s="274" t="s">
        <x:v>285</x:v>
      </x:c>
      <x:c r="I2754" s="274" t="n">
        <x:v>0.6</x:v>
      </x:c>
      <x:c r="J2754" s="274" t="n">
        <x:v>1605</x:v>
      </x:c>
      <x:c r="K2754" s="274" t="n">
        <x:v>966</x:v>
      </x:c>
      <x:c r="M2754" s="274" t="s">
        <x:v>5201</x:v>
      </x:c>
      <x:c r="N2754" s="274" t="s">
        <x:v>847</x:v>
      </x:c>
    </x:row>
    <x:row r="2755" spans="1:14">
      <x:c r="A2755" s="274" t="s">
        <x:v>5268</x:v>
      </x:c>
      <x:c r="B2755" s="274" t="n">
        <x:v>4.22</x:v>
      </x:c>
      <x:c r="C2755" s="274" t="n">
        <x:v>0</x:v>
      </x:c>
      <x:c r="D2755" s="274" t="n">
        <x:v>0</x:v>
      </x:c>
      <x:c r="F2755" s="274" t="s">
        <x:v>333</x:v>
      </x:c>
      <x:c r="G2755" s="274" t="s">
        <x:v>124</x:v>
      </x:c>
      <x:c r="I2755" s="274" t="n">
        <x:v>1</x:v>
      </x:c>
      <x:c r="J2755" s="274" t="n">
        <x:v>430</x:v>
      </x:c>
      <x:c r="K2755" s="274" t="n">
        <x:v>1250</x:v>
      </x:c>
      <x:c r="M2755" s="274" t="s">
        <x:v>5269</x:v>
      </x:c>
      <x:c r="N2755" s="274" t="s">
        <x:v>3671</x:v>
      </x:c>
    </x:row>
    <x:row r="2756" spans="1:14">
      <x:c r="A2756" s="274" t="s">
        <x:v>5270</x:v>
      </x:c>
      <x:c r="B2756" s="274" t="n">
        <x:v>4.42</x:v>
      </x:c>
      <x:c r="C2756" s="274" t="n">
        <x:v>0</x:v>
      </x:c>
      <x:c r="D2756" s="274" t="n">
        <x:v>0</x:v>
      </x:c>
      <x:c r="F2756" s="274" t="s">
        <x:v>333</x:v>
      </x:c>
      <x:c r="G2756" s="274" t="s">
        <x:v>124</x:v>
      </x:c>
      <x:c r="I2756" s="274" t="n">
        <x:v>1</x:v>
      </x:c>
      <x:c r="J2756" s="274" t="n">
        <x:v>450</x:v>
      </x:c>
      <x:c r="K2756" s="274" t="n">
        <x:v>1250</x:v>
      </x:c>
      <x:c r="M2756" s="274" t="s">
        <x:v>5271</x:v>
      </x:c>
      <x:c r="N2756" s="274" t="s">
        <x:v>3671</x:v>
      </x:c>
    </x:row>
    <x:row r="2757" spans="1:14">
      <x:c r="A2757" s="274" t="s">
        <x:v>5272</x:v>
      </x:c>
      <x:c r="B2757" s="274" t="n">
        <x:v>2.36</x:v>
      </x:c>
      <x:c r="C2757" s="274" t="n">
        <x:v>0</x:v>
      </x:c>
      <x:c r="D2757" s="274" t="n">
        <x:v>0</x:v>
      </x:c>
      <x:c r="F2757" s="274" t="s">
        <x:v>333</x:v>
      </x:c>
      <x:c r="G2757" s="274" t="s">
        <x:v>124</x:v>
      </x:c>
      <x:c r="I2757" s="274" t="n">
        <x:v>1</x:v>
      </x:c>
      <x:c r="J2757" s="274" t="n">
        <x:v>240</x:v>
      </x:c>
      <x:c r="K2757" s="274" t="n">
        <x:v>1250</x:v>
      </x:c>
      <x:c r="M2757" s="274" t="s">
        <x:v>5273</x:v>
      </x:c>
      <x:c r="N2757" s="274" t="s">
        <x:v>3671</x:v>
      </x:c>
    </x:row>
    <x:row r="2758" spans="1:14">
      <x:c r="A2758" s="274" t="s">
        <x:v>5274</x:v>
      </x:c>
      <x:c r="B2758" s="274" t="n">
        <x:v>4.71</x:v>
      </x:c>
      <x:c r="C2758" s="274" t="n">
        <x:v>0</x:v>
      </x:c>
      <x:c r="D2758" s="274" t="n">
        <x:v>0</x:v>
      </x:c>
      <x:c r="F2758" s="274" t="s">
        <x:v>333</x:v>
      </x:c>
      <x:c r="G2758" s="274" t="s">
        <x:v>124</x:v>
      </x:c>
      <x:c r="I2758" s="274" t="n">
        <x:v>1</x:v>
      </x:c>
      <x:c r="J2758" s="274" t="n">
        <x:v>480</x:v>
      </x:c>
      <x:c r="K2758" s="274" t="n">
        <x:v>1250</x:v>
      </x:c>
      <x:c r="M2758" s="274" t="s">
        <x:v>5275</x:v>
      </x:c>
      <x:c r="N2758" s="274" t="s">
        <x:v>3671</x:v>
      </x:c>
    </x:row>
    <x:row r="2759" spans="1:14">
      <x:c r="A2759" s="274" t="s">
        <x:v>5276</x:v>
      </x:c>
      <x:c r="B2759" s="274" t="n">
        <x:v>4.81</x:v>
      </x:c>
      <x:c r="C2759" s="274" t="n">
        <x:v>0</x:v>
      </x:c>
      <x:c r="D2759" s="274" t="n">
        <x:v>0</x:v>
      </x:c>
      <x:c r="F2759" s="274" t="s">
        <x:v>333</x:v>
      </x:c>
      <x:c r="G2759" s="274" t="s">
        <x:v>124</x:v>
      </x:c>
      <x:c r="I2759" s="274" t="n">
        <x:v>1</x:v>
      </x:c>
      <x:c r="J2759" s="274" t="n">
        <x:v>490</x:v>
      </x:c>
      <x:c r="K2759" s="274" t="n">
        <x:v>1250</x:v>
      </x:c>
      <x:c r="M2759" s="274" t="s">
        <x:v>5277</x:v>
      </x:c>
      <x:c r="N2759" s="274" t="s">
        <x:v>3671</x:v>
      </x:c>
    </x:row>
    <x:row r="2760" spans="1:14">
      <x:c r="A2760" s="274" t="s">
        <x:v>5278</x:v>
      </x:c>
      <x:c r="B2760" s="274" t="n">
        <x:v>1.08</x:v>
      </x:c>
      <x:c r="C2760" s="274" t="n">
        <x:v>0</x:v>
      </x:c>
      <x:c r="D2760" s="274" t="n">
        <x:v>0</x:v>
      </x:c>
      <x:c r="F2760" s="274" t="s">
        <x:v>333</x:v>
      </x:c>
      <x:c r="G2760" s="274" t="s">
        <x:v>209</x:v>
      </x:c>
      <x:c r="I2760" s="274" t="n">
        <x:v>1</x:v>
      </x:c>
      <x:c r="J2760" s="274" t="n">
        <x:v>110</x:v>
      </x:c>
      <x:c r="K2760" s="274" t="n">
        <x:v>1250</x:v>
      </x:c>
      <x:c r="M2760" s="274" t="s">
        <x:v>5279</x:v>
      </x:c>
      <x:c r="N2760" s="274" t="s">
        <x:v>3671</x:v>
      </x:c>
    </x:row>
    <x:row r="2761" spans="1:14">
      <x:c r="A2761" s="274" t="s">
        <x:v>5280</x:v>
      </x:c>
      <x:c r="B2761" s="274" t="n">
        <x:v>5.65</x:v>
      </x:c>
      <x:c r="C2761" s="274" t="n">
        <x:v>0</x:v>
      </x:c>
      <x:c r="D2761" s="274" t="n">
        <x:v>0</x:v>
      </x:c>
      <x:c r="F2761" s="274" t="s">
        <x:v>333</x:v>
      </x:c>
      <x:c r="G2761" s="274" t="s">
        <x:v>124</x:v>
      </x:c>
      <x:c r="I2761" s="274" t="n">
        <x:v>1.2</x:v>
      </x:c>
      <x:c r="J2761" s="274" t="n">
        <x:v>480</x:v>
      </x:c>
      <x:c r="K2761" s="274" t="n">
        <x:v>1250</x:v>
      </x:c>
      <x:c r="M2761" s="274" t="s">
        <x:v>5281</x:v>
      </x:c>
      <x:c r="N2761" s="274" t="s">
        <x:v>3671</x:v>
      </x:c>
    </x:row>
    <x:row r="2762" spans="1:14">
      <x:c r="A2762" s="274" t="s">
        <x:v>5282</x:v>
      </x:c>
      <x:c r="B2762" s="274" t="n">
        <x:v>5.42</x:v>
      </x:c>
      <x:c r="C2762" s="274" t="n">
        <x:v>0</x:v>
      </x:c>
      <x:c r="D2762" s="274" t="n">
        <x:v>0</x:v>
      </x:c>
      <x:c r="F2762" s="274" t="s">
        <x:v>333</x:v>
      </x:c>
      <x:c r="G2762" s="274" t="s">
        <x:v>124</x:v>
      </x:c>
      <x:c r="I2762" s="274" t="n">
        <x:v>1.2</x:v>
      </x:c>
      <x:c r="J2762" s="274" t="n">
        <x:v>460</x:v>
      </x:c>
      <x:c r="K2762" s="274" t="n">
        <x:v>1250</x:v>
      </x:c>
      <x:c r="M2762" s="274" t="s">
        <x:v>5283</x:v>
      </x:c>
      <x:c r="N2762" s="274" t="s">
        <x:v>3671</x:v>
      </x:c>
    </x:row>
    <x:row r="2763" spans="1:14">
      <x:c r="A2763" s="274" t="s">
        <x:v>5284</x:v>
      </x:c>
      <x:c r="B2763" s="274" t="n">
        <x:v>2.94</x:v>
      </x:c>
      <x:c r="C2763" s="274" t="n">
        <x:v>0</x:v>
      </x:c>
      <x:c r="D2763" s="274" t="n">
        <x:v>0</x:v>
      </x:c>
      <x:c r="F2763" s="274" t="s">
        <x:v>123</x:v>
      </x:c>
      <x:c r="G2763" s="274" t="s">
        <x:v>139</x:v>
      </x:c>
      <x:c r="I2763" s="274" t="n">
        <x:v>2</x:v>
      </x:c>
      <x:c r="J2763" s="274" t="n">
        <x:v>150</x:v>
      </x:c>
      <x:c r="K2763" s="274" t="n">
        <x:v>1250</x:v>
      </x:c>
      <x:c r="M2763" s="274" t="s">
        <x:v>5285</x:v>
      </x:c>
      <x:c r="N2763" s="274" t="s">
        <x:v>3671</x:v>
      </x:c>
    </x:row>
    <x:row r="2764" spans="1:14">
      <x:c r="A2764" s="274" t="s">
        <x:v>5286</x:v>
      </x:c>
      <x:c r="B2764" s="274" t="n">
        <x:v>5.69</x:v>
      </x:c>
      <x:c r="C2764" s="274" t="n">
        <x:v>0</x:v>
      </x:c>
      <x:c r="D2764" s="274" t="n">
        <x:v>0</x:v>
      </x:c>
      <x:c r="F2764" s="274" t="s">
        <x:v>123</x:v>
      </x:c>
      <x:c r="G2764" s="274" t="s">
        <x:v>139</x:v>
      </x:c>
      <x:c r="I2764" s="274" t="n">
        <x:v>2</x:v>
      </x:c>
      <x:c r="J2764" s="274" t="n">
        <x:v>290</x:v>
      </x:c>
      <x:c r="K2764" s="274" t="n">
        <x:v>1250</x:v>
      </x:c>
      <x:c r="M2764" s="274" t="s">
        <x:v>5287</x:v>
      </x:c>
      <x:c r="N2764" s="274" t="s">
        <x:v>3671</x:v>
      </x:c>
    </x:row>
    <x:row r="2765" spans="1:14">
      <x:c r="A2765" s="274" t="s">
        <x:v>5288</x:v>
      </x:c>
      <x:c r="B2765" s="274" t="n">
        <x:v>4.91</x:v>
      </x:c>
      <x:c r="C2765" s="274" t="n">
        <x:v>0</x:v>
      </x:c>
      <x:c r="D2765" s="274" t="n">
        <x:v>0</x:v>
      </x:c>
      <x:c r="F2765" s="274" t="s">
        <x:v>123</x:v>
      </x:c>
      <x:c r="G2765" s="274" t="s">
        <x:v>139</x:v>
      </x:c>
      <x:c r="I2765" s="274" t="n">
        <x:v>2</x:v>
      </x:c>
      <x:c r="J2765" s="274" t="n">
        <x:v>250</x:v>
      </x:c>
      <x:c r="K2765" s="274" t="n">
        <x:v>1250</x:v>
      </x:c>
      <x:c r="M2765" s="274" t="s">
        <x:v>5289</x:v>
      </x:c>
      <x:c r="N2765" s="274" t="s">
        <x:v>3671</x:v>
      </x:c>
    </x:row>
    <x:row r="2766" spans="1:14">
      <x:c r="A2766" s="274" t="s">
        <x:v>5290</x:v>
      </x:c>
      <x:c r="B2766" s="274" t="n">
        <x:v>1.57</x:v>
      </x:c>
      <x:c r="C2766" s="274" t="n">
        <x:v>0</x:v>
      </x:c>
      <x:c r="D2766" s="274" t="n">
        <x:v>0</x:v>
      </x:c>
      <x:c r="F2766" s="274" t="s">
        <x:v>133</x:v>
      </x:c>
      <x:c r="G2766" s="274" t="s">
        <x:v>148</x:v>
      </x:c>
      <x:c r="I2766" s="274" t="n">
        <x:v>2</x:v>
      </x:c>
      <x:c r="J2766" s="274" t="n">
        <x:v>80</x:v>
      </x:c>
      <x:c r="K2766" s="274" t="n">
        <x:v>1250</x:v>
      </x:c>
      <x:c r="M2766" s="274" t="s">
        <x:v>5291</x:v>
      </x:c>
      <x:c r="N2766" s="274" t="s">
        <x:v>3671</x:v>
      </x:c>
    </x:row>
    <x:row r="2767" spans="1:14">
      <x:c r="A2767" s="274" t="s">
        <x:v>5292</x:v>
      </x:c>
      <x:c r="B2767" s="274" t="n">
        <x:v>6</x:v>
      </x:c>
      <x:c r="C2767" s="274" t="n">
        <x:v>0</x:v>
      </x:c>
      <x:c r="D2767" s="274" t="n">
        <x:v>0</x:v>
      </x:c>
      <x:c r="F2767" s="274" t="s">
        <x:v>133</x:v>
      </x:c>
      <x:c r="G2767" s="274" t="s">
        <x:v>148</x:v>
      </x:c>
      <x:c r="I2767" s="274" t="n">
        <x:v>2.6</x:v>
      </x:c>
      <x:c r="J2767" s="274" t="n">
        <x:v>235</x:v>
      </x:c>
      <x:c r="K2767" s="274" t="n">
        <x:v>1250</x:v>
      </x:c>
      <x:c r="M2767" s="274" t="s">
        <x:v>5293</x:v>
      </x:c>
      <x:c r="N2767" s="274" t="s">
        <x:v>3671</x:v>
      </x:c>
    </x:row>
    <x:row r="2768" spans="1:14">
      <x:c r="A2768" s="274" t="s">
        <x:v>5294</x:v>
      </x:c>
      <x:c r="B2768" s="274" t="n">
        <x:v>3.06</x:v>
      </x:c>
      <x:c r="C2768" s="274" t="n">
        <x:v>0</x:v>
      </x:c>
      <x:c r="D2768" s="274" t="n">
        <x:v>0</x:v>
      </x:c>
      <x:c r="F2768" s="274" t="s">
        <x:v>133</x:v>
      </x:c>
      <x:c r="G2768" s="274" t="s">
        <x:v>148</x:v>
      </x:c>
      <x:c r="I2768" s="274" t="n">
        <x:v>2.6</x:v>
      </x:c>
      <x:c r="J2768" s="274" t="n">
        <x:v>120</x:v>
      </x:c>
      <x:c r="K2768" s="274" t="n">
        <x:v>1250</x:v>
      </x:c>
      <x:c r="M2768" s="274" t="s">
        <x:v>5295</x:v>
      </x:c>
      <x:c r="N2768" s="274" t="s">
        <x:v>3671</x:v>
      </x:c>
    </x:row>
    <x:row r="2769" spans="1:14">
      <x:c r="A2769" s="274" t="s">
        <x:v>5296</x:v>
      </x:c>
      <x:c r="B2769" s="274" t="n">
        <x:v>2.67</x:v>
      </x:c>
      <x:c r="C2769" s="274" t="n">
        <x:v>0</x:v>
      </x:c>
      <x:c r="D2769" s="274" t="n">
        <x:v>0</x:v>
      </x:c>
      <x:c r="F2769" s="274" t="s">
        <x:v>133</x:v>
      </x:c>
      <x:c r="G2769" s="274" t="s">
        <x:v>148</x:v>
      </x:c>
      <x:c r="I2769" s="274" t="n">
        <x:v>3.2</x:v>
      </x:c>
      <x:c r="J2769" s="274" t="n">
        <x:v>85</x:v>
      </x:c>
      <x:c r="K2769" s="274" t="n">
        <x:v>1250</x:v>
      </x:c>
      <x:c r="M2769" s="274" t="s">
        <x:v>5297</x:v>
      </x:c>
      <x:c r="N2769" s="274" t="s">
        <x:v>3671</x:v>
      </x:c>
    </x:row>
    <x:row r="2770" spans="1:14">
      <x:c r="A2770" s="274" t="s">
        <x:v>5298</x:v>
      </x:c>
      <x:c r="B2770" s="274" t="n">
        <x:v>3.77</x:v>
      </x:c>
      <x:c r="C2770" s="274" t="n">
        <x:v>0</x:v>
      </x:c>
      <x:c r="D2770" s="274" t="n">
        <x:v>0</x:v>
      </x:c>
      <x:c r="F2770" s="274" t="s">
        <x:v>133</x:v>
      </x:c>
      <x:c r="G2770" s="274" t="s">
        <x:v>148</x:v>
      </x:c>
      <x:c r="I2770" s="274" t="n">
        <x:v>3.2</x:v>
      </x:c>
      <x:c r="J2770" s="274" t="n">
        <x:v>120</x:v>
      </x:c>
      <x:c r="K2770" s="274" t="n">
        <x:v>1250</x:v>
      </x:c>
      <x:c r="M2770" s="274" t="s">
        <x:v>5299</x:v>
      </x:c>
      <x:c r="N2770" s="274" t="s">
        <x:v>3671</x:v>
      </x:c>
    </x:row>
    <x:row r="2771" spans="1:14">
      <x:c r="A2771" s="274" t="s">
        <x:v>5300</x:v>
      </x:c>
      <x:c r="B2771" s="274" t="n">
        <x:v>6.28</x:v>
      </x:c>
      <x:c r="C2771" s="274" t="n">
        <x:v>0</x:v>
      </x:c>
      <x:c r="D2771" s="274" t="n">
        <x:v>0</x:v>
      </x:c>
      <x:c r="F2771" s="274" t="s">
        <x:v>123</x:v>
      </x:c>
      <x:c r="G2771" s="274" t="s">
        <x:v>139</x:v>
      </x:c>
      <x:c r="I2771" s="274" t="n">
        <x:v>4</x:v>
      </x:c>
      <x:c r="J2771" s="274" t="n">
        <x:v>200</x:v>
      </x:c>
      <x:c r="K2771" s="274" t="n">
        <x:v>1000</x:v>
      </x:c>
      <x:c r="M2771" s="274" t="s">
        <x:v>5301</x:v>
      </x:c>
      <x:c r="N2771" s="274" t="s">
        <x:v>3671</x:v>
      </x:c>
    </x:row>
    <x:row r="2772" spans="1:14">
      <x:c r="A2772" s="274" t="s">
        <x:v>5302</x:v>
      </x:c>
      <x:c r="B2772" s="274" t="n">
        <x:v>5.28</x:v>
      </x:c>
      <x:c r="C2772" s="274" t="n">
        <x:v>0</x:v>
      </x:c>
      <x:c r="D2772" s="274" t="n">
        <x:v>0</x:v>
      </x:c>
      <x:c r="F2772" s="274" t="s">
        <x:v>133</x:v>
      </x:c>
      <x:c r="G2772" s="274" t="s">
        <x:v>148</x:v>
      </x:c>
      <x:c r="I2772" s="274" t="n">
        <x:v>4</x:v>
      </x:c>
      <x:c r="J2772" s="274" t="n">
        <x:v>145</x:v>
      </x:c>
      <x:c r="K2772" s="274" t="n">
        <x:v>1160</x:v>
      </x:c>
      <x:c r="M2772" s="274" t="s">
        <x:v>5303</x:v>
      </x:c>
      <x:c r="N2772" s="274" t="s">
        <x:v>3671</x:v>
      </x:c>
    </x:row>
    <x:row r="2773" spans="1:14">
      <x:c r="A2773" s="274" t="s">
        <x:v>5304</x:v>
      </x:c>
      <x:c r="B2773" s="274" t="n">
        <x:v>3.43</x:v>
      </x:c>
      <x:c r="C2773" s="274" t="n">
        <x:v>0</x:v>
      </x:c>
      <x:c r="D2773" s="274" t="n">
        <x:v>0</x:v>
      </x:c>
      <x:c r="F2773" s="274" t="s">
        <x:v>333</x:v>
      </x:c>
      <x:c r="G2773" s="274" t="s">
        <x:v>124</x:v>
      </x:c>
      <x:c r="I2773" s="274" t="n">
        <x:v>1.4</x:v>
      </x:c>
      <x:c r="J2773" s="274" t="n">
        <x:v>250</x:v>
      </x:c>
      <x:c r="K2773" s="274" t="n">
        <x:v>1250</x:v>
      </x:c>
      <x:c r="M2773" s="274" t="s">
        <x:v>5305</x:v>
      </x:c>
      <x:c r="N2773" s="274" t="s">
        <x:v>3671</x:v>
      </x:c>
    </x:row>
    <x:row r="2774" spans="1:14">
      <x:c r="A2774" s="274" t="s">
        <x:v>5306</x:v>
      </x:c>
      <x:c r="B2774" s="274" t="n">
        <x:v>3.45</x:v>
      </x:c>
      <x:c r="C2774" s="274" t="n">
        <x:v>0</x:v>
      </x:c>
      <x:c r="D2774" s="274" t="n">
        <x:v>0</x:v>
      </x:c>
      <x:c r="F2774" s="274" t="s">
        <x:v>333</x:v>
      </x:c>
      <x:c r="G2774" s="274" t="s">
        <x:v>5307</x:v>
      </x:c>
      <x:c r="I2774" s="274" t="n">
        <x:v>1.6</x:v>
      </x:c>
      <x:c r="J2774" s="274" t="n">
        <x:v>220</x:v>
      </x:c>
      <x:c r="K2774" s="274" t="n">
        <x:v>1250</x:v>
      </x:c>
      <x:c r="M2774" s="274" t="s">
        <x:v>5308</x:v>
      </x:c>
      <x:c r="N2774" s="274" t="s">
        <x:v>3671</x:v>
      </x:c>
    </x:row>
    <x:row r="2775" spans="1:14">
      <x:c r="A2775" s="274" t="s">
        <x:v>5309</x:v>
      </x:c>
      <x:c r="B2775" s="274" t="n">
        <x:v>5.03</x:v>
      </x:c>
      <x:c r="C2775" s="274" t="n">
        <x:v>0</x:v>
      </x:c>
      <x:c r="D2775" s="274" t="n">
        <x:v>0</x:v>
      </x:c>
      <x:c r="F2775" s="274" t="s">
        <x:v>123</x:v>
      </x:c>
      <x:c r="G2775" s="274" t="s">
        <x:v>148</x:v>
      </x:c>
      <x:c r="I2775" s="274" t="n">
        <x:v>1.8</x:v>
      </x:c>
      <x:c r="J2775" s="274" t="n">
        <x:v>285</x:v>
      </x:c>
      <x:c r="K2775" s="274" t="n">
        <x:v>1250</x:v>
      </x:c>
      <x:c r="M2775" s="274" t="s">
        <x:v>5310</x:v>
      </x:c>
      <x:c r="N2775" s="274" t="s">
        <x:v>3671</x:v>
      </x:c>
    </x:row>
    <x:row r="2776" spans="1:14">
      <x:c r="A2776" s="274" t="s">
        <x:v>5311</x:v>
      </x:c>
      <x:c r="B2776" s="274" t="n">
        <x:v>4.86</x:v>
      </x:c>
      <x:c r="C2776" s="274" t="n">
        <x:v>0</x:v>
      </x:c>
      <x:c r="D2776" s="274" t="n">
        <x:v>0</x:v>
      </x:c>
      <x:c r="F2776" s="274" t="s">
        <x:v>123</x:v>
      </x:c>
      <x:c r="G2776" s="274" t="s">
        <x:v>148</x:v>
      </x:c>
      <x:c r="I2776" s="274" t="n">
        <x:v>1.8</x:v>
      </x:c>
      <x:c r="J2776" s="274" t="n">
        <x:v>275</x:v>
      </x:c>
      <x:c r="K2776" s="274" t="n">
        <x:v>1250</x:v>
      </x:c>
      <x:c r="M2776" s="274" t="s">
        <x:v>5312</x:v>
      </x:c>
      <x:c r="N2776" s="274" t="s">
        <x:v>3671</x:v>
      </x:c>
    </x:row>
    <x:row r="2777" spans="1:14">
      <x:c r="A2777" s="274" t="s">
        <x:v>5313</x:v>
      </x:c>
      <x:c r="B2777" s="274" t="n">
        <x:v>0.9</x:v>
      </x:c>
      <x:c r="C2777" s="274" t="n">
        <x:v>0</x:v>
      </x:c>
      <x:c r="D2777" s="274" t="n">
        <x:v>0</x:v>
      </x:c>
      <x:c r="F2777" s="274" t="s">
        <x:v>123</x:v>
      </x:c>
      <x:c r="G2777" s="274" t="s">
        <x:v>153</x:v>
      </x:c>
      <x:c r="I2777" s="274" t="n">
        <x:v>2.6</x:v>
      </x:c>
      <x:c r="J2777" s="274" t="n">
        <x:v>553</x:v>
      </x:c>
      <x:c r="K2777" s="274" t="n">
        <x:v>80</x:v>
      </x:c>
      <x:c r="M2777" s="274" t="s">
        <x:v>5314</x:v>
      </x:c>
      <x:c r="N2777" s="274" t="s">
        <x:v>155</x:v>
      </x:c>
    </x:row>
    <x:row r="2778" spans="1:14">
      <x:c r="A2778" s="274" t="s">
        <x:v>5315</x:v>
      </x:c>
      <x:c r="B2778" s="274" t="n">
        <x:v>0.8</x:v>
      </x:c>
      <x:c r="C2778" s="274" t="n">
        <x:v>0</x:v>
      </x:c>
      <x:c r="D2778" s="274" t="n">
        <x:v>0</x:v>
      </x:c>
      <x:c r="F2778" s="274" t="s">
        <x:v>333</x:v>
      </x:c>
      <x:c r="G2778" s="274" t="s">
        <x:v>209</x:v>
      </x:c>
      <x:c r="I2778" s="274" t="n">
        <x:v>0.6</x:v>
      </x:c>
      <x:c r="J2778" s="274" t="n">
        <x:v>948</x:v>
      </x:c>
      <x:c r="K2778" s="274" t="n">
        <x:v>179</x:v>
      </x:c>
      <x:c r="M2778" s="274" t="s">
        <x:v>5316</x:v>
      </x:c>
      <x:c r="N2778" s="274" t="s">
        <x:v>3671</x:v>
      </x:c>
    </x:row>
    <x:row r="2779" spans="1:14">
      <x:c r="A2779" s="274" t="s">
        <x:v>5317</x:v>
      </x:c>
      <x:c r="B2779" s="274" t="n">
        <x:v>2.63</x:v>
      </x:c>
      <x:c r="C2779" s="274" t="n">
        <x:v>0</x:v>
      </x:c>
      <x:c r="D2779" s="274" t="n">
        <x:v>0</x:v>
      </x:c>
      <x:c r="F2779" s="274" t="s">
        <x:v>333</x:v>
      </x:c>
      <x:c r="G2779" s="274" t="s">
        <x:v>124</x:v>
      </x:c>
      <x:c r="I2779" s="274" t="n">
        <x:v>1</x:v>
      </x:c>
      <x:c r="J2779" s="274" t="n">
        <x:v>422</x:v>
      </x:c>
      <x:c r="K2779" s="274" t="n">
        <x:v>795</x:v>
      </x:c>
      <x:c r="M2779" s="274" t="s">
        <x:v>5318</x:v>
      </x:c>
      <x:c r="N2779" s="274" t="s">
        <x:v>3671</x:v>
      </x:c>
    </x:row>
    <x:row r="2780" spans="1:14">
      <x:c r="A2780" s="274" t="s">
        <x:v>5319</x:v>
      </x:c>
      <x:c r="B2780" s="274" t="n">
        <x:v>2.73</x:v>
      </x:c>
      <x:c r="C2780" s="274" t="n">
        <x:v>0</x:v>
      </x:c>
      <x:c r="D2780" s="274" t="n">
        <x:v>0</x:v>
      </x:c>
      <x:c r="F2780" s="274" t="s">
        <x:v>333</x:v>
      </x:c>
      <x:c r="G2780" s="274" t="s">
        <x:v>124</x:v>
      </x:c>
      <x:c r="I2780" s="274" t="n">
        <x:v>1</x:v>
      </x:c>
      <x:c r="J2780" s="274" t="n">
        <x:v>432</x:v>
      </x:c>
      <x:c r="K2780" s="274" t="n">
        <x:v>805</x:v>
      </x:c>
      <x:c r="M2780" s="274" t="s">
        <x:v>5320</x:v>
      </x:c>
      <x:c r="N2780" s="274" t="s">
        <x:v>3671</x:v>
      </x:c>
    </x:row>
    <x:row r="2781" spans="1:14">
      <x:c r="A2781" s="274" t="s">
        <x:v>5321</x:v>
      </x:c>
      <x:c r="B2781" s="274" t="n">
        <x:v>3.75</x:v>
      </x:c>
      <x:c r="C2781" s="274" t="n">
        <x:v>0</x:v>
      </x:c>
      <x:c r="D2781" s="274" t="n">
        <x:v>0</x:v>
      </x:c>
      <x:c r="F2781" s="274" t="s">
        <x:v>133</x:v>
      </x:c>
      <x:c r="G2781" s="274" t="s">
        <x:v>136</x:v>
      </x:c>
      <x:c r="H2781" s="274" t="n">
        <x:v>45</x:v>
      </x:c>
      <x:c r="I2781" s="274" t="n">
        <x:v>1.2</x:v>
      </x:c>
      <x:c r="J2781" s="274" t="n">
        <x:v>984</x:v>
      </x:c>
      <x:c r="K2781" s="274" t="n">
        <x:v>401</x:v>
      </x:c>
      <x:c r="M2781" s="274" t="s">
        <x:v>5322</x:v>
      </x:c>
      <x:c r="N2781" s="274" t="s">
        <x:v>3671</x:v>
      </x:c>
    </x:row>
    <x:row r="2782" spans="1:14">
      <x:c r="A2782" s="274" t="s">
        <x:v>5323</x:v>
      </x:c>
      <x:c r="B2782" s="274" t="n">
        <x:v>3.66</x:v>
      </x:c>
      <x:c r="C2782" s="274" t="n">
        <x:v>0</x:v>
      </x:c>
      <x:c r="D2782" s="274" t="n">
        <x:v>0</x:v>
      </x:c>
      <x:c r="F2782" s="274" t="s">
        <x:v>123</x:v>
      </x:c>
      <x:c r="G2782" s="274" t="s">
        <x:v>139</x:v>
      </x:c>
      <x:c r="I2782" s="274" t="n">
        <x:v>6</x:v>
      </x:c>
      <x:c r="J2782" s="274" t="n">
        <x:v>180</x:v>
      </x:c>
      <x:c r="K2782" s="274" t="n">
        <x:v>432</x:v>
      </x:c>
      <x:c r="M2782" s="274" t="s">
        <x:v>5324</x:v>
      </x:c>
      <x:c r="N2782" s="274" t="s">
        <x:v>3671</x:v>
      </x:c>
    </x:row>
    <x:row r="2783" spans="1:14">
      <x:c r="A2783" s="274" t="s">
        <x:v>5325</x:v>
      </x:c>
      <x:c r="B2783" s="274" t="n">
        <x:v>4.11</x:v>
      </x:c>
      <x:c r="C2783" s="274" t="n">
        <x:v>0</x:v>
      </x:c>
      <x:c r="D2783" s="274" t="n">
        <x:v>0</x:v>
      </x:c>
      <x:c r="F2783" s="274" t="s">
        <x:v>333</x:v>
      </x:c>
      <x:c r="G2783" s="274" t="s">
        <x:v>124</x:v>
      </x:c>
      <x:c r="I2783" s="274" t="n">
        <x:v>1.4</x:v>
      </x:c>
      <x:c r="J2783" s="274" t="n">
        <x:v>415</x:v>
      </x:c>
      <x:c r="K2783" s="274" t="n">
        <x:v>902</x:v>
      </x:c>
      <x:c r="M2783" s="274" t="s">
        <x:v>5326</x:v>
      </x:c>
      <x:c r="N2783" s="274" t="s">
        <x:v>3671</x:v>
      </x:c>
    </x:row>
    <x:row r="2784" spans="1:14">
      <x:c r="A2784" s="274" t="s">
        <x:v>5327</x:v>
      </x:c>
      <x:c r="B2784" s="274" t="n">
        <x:v>0.85</x:v>
      </x:c>
      <x:c r="C2784" s="274" t="n">
        <x:v>0</x:v>
      </x:c>
      <x:c r="D2784" s="274" t="n">
        <x:v>0</x:v>
      </x:c>
      <x:c r="F2784" s="274" t="s">
        <x:v>333</x:v>
      </x:c>
      <x:c r="G2784" s="274" t="s">
        <x:v>153</x:v>
      </x:c>
      <x:c r="I2784" s="274" t="n">
        <x:v>1.4</x:v>
      </x:c>
      <x:c r="J2784" s="274" t="n">
        <x:v>177</x:v>
      </x:c>
      <x:c r="K2784" s="274" t="n">
        <x:v>435</x:v>
      </x:c>
      <x:c r="M2784" s="274" t="s">
        <x:v>5328</x:v>
      </x:c>
      <x:c r="N2784" s="274" t="s">
        <x:v>3671</x:v>
      </x:c>
    </x:row>
    <x:row r="2785" spans="1:14">
      <x:c r="A2785" s="274" t="s">
        <x:v>5329</x:v>
      </x:c>
      <x:c r="B2785" s="274" t="n">
        <x:v>1.07</x:v>
      </x:c>
      <x:c r="C2785" s="274" t="n">
        <x:v>0</x:v>
      </x:c>
      <x:c r="D2785" s="274" t="n">
        <x:v>0</x:v>
      </x:c>
      <x:c r="F2785" s="274" t="s">
        <x:v>333</x:v>
      </x:c>
      <x:c r="G2785" s="274" t="s">
        <x:v>153</x:v>
      </x:c>
      <x:c r="I2785" s="274" t="n">
        <x:v>1.4</x:v>
      </x:c>
      <x:c r="J2785" s="274" t="n">
        <x:v>274</x:v>
      </x:c>
      <x:c r="K2785" s="274" t="n">
        <x:v>356</x:v>
      </x:c>
      <x:c r="M2785" s="274" t="s">
        <x:v>5330</x:v>
      </x:c>
      <x:c r="N2785" s="274" t="s">
        <x:v>3671</x:v>
      </x:c>
    </x:row>
    <x:row r="2786" spans="1:14">
      <x:c r="A2786" s="274" t="s">
        <x:v>5331</x:v>
      </x:c>
      <x:c r="B2786" s="274" t="n">
        <x:v>5.91</x:v>
      </x:c>
      <x:c r="C2786" s="274" t="n">
        <x:v>0</x:v>
      </x:c>
      <x:c r="D2786" s="274" t="n">
        <x:v>0</x:v>
      </x:c>
      <x:c r="F2786" s="274" t="s">
        <x:v>333</x:v>
      </x:c>
      <x:c r="G2786" s="274" t="s">
        <x:v>124</x:v>
      </x:c>
      <x:c r="I2786" s="274" t="n">
        <x:v>1.6</x:v>
      </x:c>
      <x:c r="J2786" s="274" t="n">
        <x:v>392</x:v>
      </x:c>
      <x:c r="K2786" s="274" t="n">
        <x:v>1200</x:v>
      </x:c>
      <x:c r="M2786" s="274" t="s">
        <x:v>5332</x:v>
      </x:c>
      <x:c r="N2786" s="274" t="s">
        <x:v>3671</x:v>
      </x:c>
    </x:row>
    <x:row r="2787" spans="1:14">
      <x:c r="A2787" s="274" t="s">
        <x:v>5333</x:v>
      </x:c>
      <x:c r="B2787" s="274" t="n">
        <x:v>0.64</x:v>
      </x:c>
      <x:c r="C2787" s="274" t="n">
        <x:v>0</x:v>
      </x:c>
      <x:c r="D2787" s="274" t="n">
        <x:v>0</x:v>
      </x:c>
      <x:c r="F2787" s="274" t="s">
        <x:v>333</x:v>
      </x:c>
      <x:c r="G2787" s="274" t="s">
        <x:v>153</x:v>
      </x:c>
      <x:c r="I2787" s="274" t="n">
        <x:v>1.6</x:v>
      </x:c>
      <x:c r="J2787" s="274" t="n">
        <x:v>121</x:v>
      </x:c>
      <x:c r="K2787" s="274" t="n">
        <x:v>424</x:v>
      </x:c>
      <x:c r="M2787" s="274" t="s">
        <x:v>5334</x:v>
      </x:c>
      <x:c r="N2787" s="274" t="s">
        <x:v>3671</x:v>
      </x:c>
    </x:row>
    <x:row r="2788" spans="1:14">
      <x:c r="A2788" s="274" t="s">
        <x:v>5335</x:v>
      </x:c>
      <x:c r="B2788" s="274" t="n">
        <x:v>1.13</x:v>
      </x:c>
      <x:c r="C2788" s="274" t="n">
        <x:v>0</x:v>
      </x:c>
      <x:c r="D2788" s="274" t="n">
        <x:v>0</x:v>
      </x:c>
      <x:c r="F2788" s="274" t="s">
        <x:v>184</x:v>
      </x:c>
      <x:c r="G2788" s="274" t="s">
        <x:v>4782</x:v>
      </x:c>
      <x:c r="H2788" s="274" t="s">
        <x:v>4471</x:v>
      </x:c>
      <x:c r="I2788" s="274" t="n">
        <x:v>1.6</x:v>
      </x:c>
      <x:c r="J2788" s="274" t="n">
        <x:v>487</x:v>
      </x:c>
      <x:c r="K2788" s="274" t="n">
        <x:v>185</x:v>
      </x:c>
      <x:c r="M2788" s="274" t="s">
        <x:v>5336</x:v>
      </x:c>
      <x:c r="N2788" s="274" t="s">
        <x:v>4258</x:v>
      </x:c>
    </x:row>
    <x:row r="2789" spans="1:14">
      <x:c r="A2789" s="274" t="s">
        <x:v>5337</x:v>
      </x:c>
      <x:c r="B2789" s="274" t="n">
        <x:v>2.51</x:v>
      </x:c>
      <x:c r="C2789" s="274" t="n">
        <x:v>0</x:v>
      </x:c>
      <x:c r="D2789" s="274" t="n">
        <x:v>0</x:v>
      </x:c>
      <x:c r="F2789" s="274" t="s">
        <x:v>184</x:v>
      </x:c>
      <x:c r="G2789" s="274" t="s">
        <x:v>4782</x:v>
      </x:c>
      <x:c r="H2789" s="274" t="s">
        <x:v>4471</x:v>
      </x:c>
      <x:c r="I2789" s="274" t="n">
        <x:v>2</x:v>
      </x:c>
      <x:c r="J2789" s="274" t="n">
        <x:v>215</x:v>
      </x:c>
      <x:c r="K2789" s="274" t="n">
        <x:v>743</x:v>
      </x:c>
      <x:c r="M2789" s="274" t="s">
        <x:v>5338</x:v>
      </x:c>
      <x:c r="N2789" s="274" t="s">
        <x:v>4258</x:v>
      </x:c>
    </x:row>
    <x:row r="2790" spans="1:14">
      <x:c r="A2790" s="274" t="s">
        <x:v>5339</x:v>
      </x:c>
      <x:c r="B2790" s="274" t="n">
        <x:v>2.12</x:v>
      </x:c>
      <x:c r="C2790" s="274" t="n">
        <x:v>0</x:v>
      </x:c>
      <x:c r="D2790" s="274" t="n">
        <x:v>0</x:v>
      </x:c>
      <x:c r="F2790" s="274" t="s">
        <x:v>333</x:v>
      </x:c>
      <x:c r="G2790" s="274" t="s">
        <x:v>124</x:v>
      </x:c>
      <x:c r="I2790" s="274" t="n">
        <x:v>1.2</x:v>
      </x:c>
      <x:c r="J2790" s="274" t="n">
        <x:v>180</x:v>
      </x:c>
      <x:c r="K2790" s="274" t="n">
        <x:v>1250</x:v>
      </x:c>
      <x:c r="M2790" s="274" t="s">
        <x:v>5340</x:v>
      </x:c>
      <x:c r="N2790" s="274" t="s">
        <x:v>3671</x:v>
      </x:c>
    </x:row>
    <x:row r="2791" spans="1:14">
      <x:c r="A2791" s="274" t="s">
        <x:v>5341</x:v>
      </x:c>
      <x:c r="B2791" s="274" t="n">
        <x:v>2</x:v>
      </x:c>
      <x:c r="C2791" s="274" t="n">
        <x:v>0</x:v>
      </x:c>
      <x:c r="D2791" s="274" t="n">
        <x:v>0</x:v>
      </x:c>
      <x:c r="F2791" s="274" t="s">
        <x:v>333</x:v>
      </x:c>
      <x:c r="G2791" s="274" t="s">
        <x:v>124</x:v>
      </x:c>
      <x:c r="I2791" s="274" t="n">
        <x:v>1.2</x:v>
      </x:c>
      <x:c r="J2791" s="274" t="n">
        <x:v>170</x:v>
      </x:c>
      <x:c r="K2791" s="274" t="n">
        <x:v>1250</x:v>
      </x:c>
      <x:c r="M2791" s="274" t="s">
        <x:v>5342</x:v>
      </x:c>
      <x:c r="N2791" s="274" t="s">
        <x:v>3671</x:v>
      </x:c>
    </x:row>
    <x:row r="2792" spans="1:14">
      <x:c r="A2792" s="274" t="s">
        <x:v>5343</x:v>
      </x:c>
      <x:c r="B2792" s="274" t="n">
        <x:v>4.12</x:v>
      </x:c>
      <x:c r="C2792" s="274" t="n">
        <x:v>0</x:v>
      </x:c>
      <x:c r="D2792" s="274" t="n">
        <x:v>0</x:v>
      </x:c>
      <x:c r="F2792" s="274" t="s">
        <x:v>333</x:v>
      </x:c>
      <x:c r="G2792" s="274" t="s">
        <x:v>124</x:v>
      </x:c>
      <x:c r="I2792" s="274" t="n">
        <x:v>1.4</x:v>
      </x:c>
      <x:c r="J2792" s="274" t="n">
        <x:v>300</x:v>
      </x:c>
      <x:c r="K2792" s="274" t="n">
        <x:v>1250</x:v>
      </x:c>
      <x:c r="M2792" s="274" t="s">
        <x:v>5344</x:v>
      </x:c>
      <x:c r="N2792" s="274" t="s">
        <x:v>3671</x:v>
      </x:c>
    </x:row>
    <x:row r="2793" spans="1:14">
      <x:c r="A2793" s="274" t="s">
        <x:v>5345</x:v>
      </x:c>
      <x:c r="B2793" s="274" t="n">
        <x:v>3.43</x:v>
      </x:c>
      <x:c r="C2793" s="274" t="n">
        <x:v>0</x:v>
      </x:c>
      <x:c r="D2793" s="274" t="n">
        <x:v>0</x:v>
      </x:c>
      <x:c r="F2793" s="274" t="s">
        <x:v>333</x:v>
      </x:c>
      <x:c r="G2793" s="274" t="s">
        <x:v>209</x:v>
      </x:c>
      <x:c r="I2793" s="274" t="n">
        <x:v>1.4</x:v>
      </x:c>
      <x:c r="J2793" s="274" t="n">
        <x:v>250</x:v>
      </x:c>
      <x:c r="K2793" s="274" t="n">
        <x:v>1250</x:v>
      </x:c>
      <x:c r="M2793" s="274" t="s">
        <x:v>5346</x:v>
      </x:c>
      <x:c r="N2793" s="274" t="s">
        <x:v>3671</x:v>
      </x:c>
    </x:row>
    <x:row r="2794" spans="1:14">
      <x:c r="A2794" s="274" t="s">
        <x:v>5347</x:v>
      </x:c>
      <x:c r="B2794" s="274" t="n">
        <x:v>1.65</x:v>
      </x:c>
      <x:c r="C2794" s="274" t="n">
        <x:v>0</x:v>
      </x:c>
      <x:c r="D2794" s="274" t="n">
        <x:v>0</x:v>
      </x:c>
      <x:c r="F2794" s="274" t="s">
        <x:v>333</x:v>
      </x:c>
      <x:c r="G2794" s="274" t="s">
        <x:v>124</x:v>
      </x:c>
      <x:c r="I2794" s="274" t="n">
        <x:v>1.4</x:v>
      </x:c>
      <x:c r="J2794" s="274" t="n">
        <x:v>120</x:v>
      </x:c>
      <x:c r="K2794" s="274" t="n">
        <x:v>1250</x:v>
      </x:c>
      <x:c r="M2794" s="274" t="s">
        <x:v>5348</x:v>
      </x:c>
      <x:c r="N2794" s="274" t="s">
        <x:v>3671</x:v>
      </x:c>
    </x:row>
    <x:row r="2795" spans="1:14">
      <x:c r="A2795" s="274" t="s">
        <x:v>5349</x:v>
      </x:c>
      <x:c r="B2795" s="274" t="n">
        <x:v>2.36</x:v>
      </x:c>
      <x:c r="C2795" s="274" t="n">
        <x:v>0</x:v>
      </x:c>
      <x:c r="D2795" s="274" t="n">
        <x:v>0</x:v>
      </x:c>
      <x:c r="F2795" s="274" t="s">
        <x:v>123</x:v>
      </x:c>
      <x:c r="G2795" s="274" t="s">
        <x:v>148</x:v>
      </x:c>
      <x:c r="I2795" s="274" t="n">
        <x:v>1.6</x:v>
      </x:c>
      <x:c r="J2795" s="274" t="n">
        <x:v>150</x:v>
      </x:c>
      <x:c r="K2795" s="274" t="n">
        <x:v>1250</x:v>
      </x:c>
      <x:c r="M2795" s="274" t="s">
        <x:v>5350</x:v>
      </x:c>
      <x:c r="N2795" s="274" t="s">
        <x:v>3671</x:v>
      </x:c>
    </x:row>
    <x:row r="2796" spans="1:14">
      <x:c r="A2796" s="274" t="s">
        <x:v>5351</x:v>
      </x:c>
      <x:c r="B2796" s="274" t="n">
        <x:v>2.51</x:v>
      </x:c>
      <x:c r="C2796" s="274" t="n">
        <x:v>0</x:v>
      </x:c>
      <x:c r="D2796" s="274" t="n">
        <x:v>0</x:v>
      </x:c>
      <x:c r="F2796" s="274" t="s">
        <x:v>123</x:v>
      </x:c>
      <x:c r="G2796" s="274" t="s">
        <x:v>148</x:v>
      </x:c>
      <x:c r="I2796" s="274" t="n">
        <x:v>1.6</x:v>
      </x:c>
      <x:c r="J2796" s="274" t="n">
        <x:v>160</x:v>
      </x:c>
      <x:c r="K2796" s="274" t="n">
        <x:v>1250</x:v>
      </x:c>
      <x:c r="M2796" s="274" t="s">
        <x:v>5352</x:v>
      </x:c>
      <x:c r="N2796" s="274" t="s">
        <x:v>3671</x:v>
      </x:c>
    </x:row>
    <x:row r="2797" spans="1:14">
      <x:c r="A2797" s="274" t="s">
        <x:v>5353</x:v>
      </x:c>
      <x:c r="B2797" s="274" t="n">
        <x:v>2.55</x:v>
      </x:c>
      <x:c r="C2797" s="274" t="n">
        <x:v>0</x:v>
      </x:c>
      <x:c r="D2797" s="274" t="n">
        <x:v>0</x:v>
      </x:c>
      <x:c r="F2797" s="274" t="s">
        <x:v>133</x:v>
      </x:c>
      <x:c r="G2797" s="274" t="s">
        <x:v>148</x:v>
      </x:c>
      <x:c r="I2797" s="274" t="n">
        <x:v>2</x:v>
      </x:c>
      <x:c r="J2797" s="274" t="n">
        <x:v>130</x:v>
      </x:c>
      <x:c r="K2797" s="274" t="n">
        <x:v>1250</x:v>
      </x:c>
      <x:c r="M2797" s="274" t="s">
        <x:v>5354</x:v>
      </x:c>
      <x:c r="N2797" s="274" t="s">
        <x:v>3671</x:v>
      </x:c>
    </x:row>
    <x:row r="2798" spans="1:14">
      <x:c r="A2798" s="274" t="s">
        <x:v>5355</x:v>
      </x:c>
      <x:c r="B2798" s="274" t="n">
        <x:v>3.04</x:v>
      </x:c>
      <x:c r="C2798" s="274" t="n">
        <x:v>0</x:v>
      </x:c>
      <x:c r="D2798" s="274" t="n">
        <x:v>0</x:v>
      </x:c>
      <x:c r="F2798" s="274" t="s">
        <x:v>133</x:v>
      </x:c>
      <x:c r="G2798" s="274" t="s">
        <x:v>148</x:v>
      </x:c>
      <x:c r="I2798" s="274" t="n">
        <x:v>2</x:v>
      </x:c>
      <x:c r="J2798" s="274" t="n">
        <x:v>155</x:v>
      </x:c>
      <x:c r="K2798" s="274" t="n">
        <x:v>1250</x:v>
      </x:c>
      <x:c r="M2798" s="274" t="s">
        <x:v>5356</x:v>
      </x:c>
      <x:c r="N2798" s="274" t="s">
        <x:v>3671</x:v>
      </x:c>
    </x:row>
    <x:row r="2799" spans="1:14">
      <x:c r="A2799" s="274" t="s">
        <x:v>5357</x:v>
      </x:c>
      <x:c r="B2799" s="274" t="n">
        <x:v>2.16</x:v>
      </x:c>
      <x:c r="C2799" s="274" t="n">
        <x:v>0</x:v>
      </x:c>
      <x:c r="D2799" s="274" t="n">
        <x:v>0</x:v>
      </x:c>
      <x:c r="F2799" s="274" t="s">
        <x:v>133</x:v>
      </x:c>
      <x:c r="G2799" s="274" t="s">
        <x:v>134</x:v>
      </x:c>
      <x:c r="I2799" s="274" t="n">
        <x:v>2</x:v>
      </x:c>
      <x:c r="J2799" s="274" t="n">
        <x:v>110</x:v>
      </x:c>
      <x:c r="K2799" s="274" t="n">
        <x:v>1250</x:v>
      </x:c>
      <x:c r="M2799" s="274" t="s">
        <x:v>5358</x:v>
      </x:c>
      <x:c r="N2799" s="274" t="s">
        <x:v>3671</x:v>
      </x:c>
    </x:row>
    <x:row r="2800" spans="1:14">
      <x:c r="A2800" s="274" t="s">
        <x:v>5359</x:v>
      </x:c>
      <x:c r="B2800" s="274" t="n">
        <x:v>3.14</x:v>
      </x:c>
      <x:c r="C2800" s="274" t="n">
        <x:v>0</x:v>
      </x:c>
      <x:c r="D2800" s="274" t="n">
        <x:v>0</x:v>
      </x:c>
      <x:c r="F2800" s="274" t="s">
        <x:v>133</x:v>
      </x:c>
      <x:c r="G2800" s="274" t="s">
        <x:v>134</x:v>
      </x:c>
      <x:c r="I2800" s="274" t="n">
        <x:v>2</x:v>
      </x:c>
      <x:c r="J2800" s="274" t="n">
        <x:v>160</x:v>
      </x:c>
      <x:c r="K2800" s="274" t="n">
        <x:v>1250</x:v>
      </x:c>
      <x:c r="M2800" s="274" t="s">
        <x:v>5360</x:v>
      </x:c>
      <x:c r="N2800" s="274" t="s">
        <x:v>3671</x:v>
      </x:c>
    </x:row>
    <x:row r="2801" spans="1:14">
      <x:c r="A2801" s="274" t="s">
        <x:v>5361</x:v>
      </x:c>
      <x:c r="B2801" s="274" t="n">
        <x:v>3.16</x:v>
      </x:c>
      <x:c r="C2801" s="274" t="n">
        <x:v>0</x:v>
      </x:c>
      <x:c r="D2801" s="274" t="n">
        <x:v>0</x:v>
      </x:c>
      <x:c r="F2801" s="274" t="s">
        <x:v>133</x:v>
      </x:c>
      <x:c r="G2801" s="274" t="s">
        <x:v>148</x:v>
      </x:c>
      <x:c r="I2801" s="274" t="n">
        <x:v>2.3</x:v>
      </x:c>
      <x:c r="J2801" s="274" t="n">
        <x:v>140</x:v>
      </x:c>
      <x:c r="K2801" s="274" t="n">
        <x:v>1250</x:v>
      </x:c>
      <x:c r="M2801" s="274" t="s">
        <x:v>5362</x:v>
      </x:c>
      <x:c r="N2801" s="274" t="s">
        <x:v>3671</x:v>
      </x:c>
    </x:row>
    <x:row r="2802" spans="1:14">
      <x:c r="A2802" s="274" t="s">
        <x:v>5363</x:v>
      </x:c>
      <x:c r="B2802" s="274" t="n">
        <x:v>2.71</x:v>
      </x:c>
      <x:c r="C2802" s="274" t="n">
        <x:v>0</x:v>
      </x:c>
      <x:c r="D2802" s="274" t="n">
        <x:v>0</x:v>
      </x:c>
      <x:c r="F2802" s="274" t="s">
        <x:v>123</x:v>
      </x:c>
      <x:c r="G2802" s="274" t="s">
        <x:v>209</x:v>
      </x:c>
      <x:c r="I2802" s="274" t="n">
        <x:v>2.3</x:v>
      </x:c>
      <x:c r="J2802" s="274" t="n">
        <x:v>120</x:v>
      </x:c>
      <x:c r="K2802" s="274" t="n">
        <x:v>1250</x:v>
      </x:c>
      <x:c r="M2802" s="274" t="s">
        <x:v>5364</x:v>
      </x:c>
      <x:c r="N2802" s="274" t="s">
        <x:v>3671</x:v>
      </x:c>
    </x:row>
    <x:row r="2803" spans="1:14">
      <x:c r="A2803" s="274" t="s">
        <x:v>5365</x:v>
      </x:c>
      <x:c r="B2803" s="274" t="n">
        <x:v>6.69</x:v>
      </x:c>
      <x:c r="C2803" s="274" t="n">
        <x:v>0</x:v>
      </x:c>
      <x:c r="D2803" s="274" t="n">
        <x:v>0</x:v>
      </x:c>
      <x:c r="E2803" s="274" t="n">
        <x:v>0</x:v>
      </x:c>
      <x:c r="F2803" s="274" t="s">
        <x:v>184</x:v>
      </x:c>
      <x:c r="G2803" s="274" t="s">
        <x:v>1718</x:v>
      </x:c>
      <x:c r="H2803" s="274" t="s">
        <x:v>285</x:v>
      </x:c>
      <x:c r="I2803" s="274" t="n">
        <x:v>0.65</x:v>
      </x:c>
      <x:c r="J2803" s="274" t="n">
        <x:v>1465</x:v>
      </x:c>
      <x:c r="K2803" s="274" t="n">
        <x:v>880</x:v>
      </x:c>
      <x:c r="M2803" s="274" t="s">
        <x:v>2064</x:v>
      </x:c>
      <x:c r="N2803" s="274" t="s">
        <x:v>421</x:v>
      </x:c>
    </x:row>
    <x:row r="2804" spans="1:14">
      <x:c r="A2804" s="274" t="s">
        <x:v>5366</x:v>
      </x:c>
      <x:c r="B2804" s="274" t="n">
        <x:v>1.11</x:v>
      </x:c>
      <x:c r="C2804" s="274" t="n">
        <x:v>0</x:v>
      </x:c>
      <x:c r="D2804" s="274" t="n">
        <x:v>0</x:v>
      </x:c>
      <x:c r="F2804" s="274" t="s">
        <x:v>3412</x:v>
      </x:c>
      <x:c r="G2804" s="274" t="s">
        <x:v>5367</x:v>
      </x:c>
      <x:c r="H2804" s="274" t="s">
        <x:v>4471</x:v>
      </x:c>
      <x:c r="I2804" s="274" t="n">
        <x:v>1.6</x:v>
      </x:c>
      <x:c r="J2804" s="274" t="n">
        <x:v>343</x:v>
      </x:c>
      <x:c r="K2804" s="274" t="n">
        <x:v>258</x:v>
      </x:c>
      <x:c r="M2804" s="274" t="s">
        <x:v>5368</x:v>
      </x:c>
      <x:c r="N2804" s="274" t="s">
        <x:v>4258</x:v>
      </x:c>
    </x:row>
    <x:row r="2805" spans="1:14">
      <x:c r="A2805" s="274" t="s">
        <x:v>5369</x:v>
      </x:c>
      <x:c r="B2805" s="274" t="n">
        <x:v>4.12</x:v>
      </x:c>
      <x:c r="C2805" s="274" t="n">
        <x:v>0</x:v>
      </x:c>
      <x:c r="D2805" s="274" t="n">
        <x:v>0</x:v>
      </x:c>
      <x:c r="F2805" s="274" t="s">
        <x:v>3412</x:v>
      </x:c>
      <x:c r="G2805" s="274" t="s">
        <x:v>5370</x:v>
      </x:c>
      <x:c r="H2805" s="274" t="s">
        <x:v>4471</x:v>
      </x:c>
      <x:c r="I2805" s="274" t="n">
        <x:v>2</x:v>
      </x:c>
      <x:c r="J2805" s="274" t="n">
        <x:v>350</x:v>
      </x:c>
      <x:c r="K2805" s="274" t="n">
        <x:v>750</x:v>
      </x:c>
      <x:c r="M2805" s="274" t="s">
        <x:v>5371</x:v>
      </x:c>
      <x:c r="N2805" s="274" t="s">
        <x:v>4258</x:v>
      </x:c>
    </x:row>
    <x:row r="2806" spans="1:14">
      <x:c r="A2806" s="274" t="s">
        <x:v>5372</x:v>
      </x:c>
      <x:c r="B2806" s="274" t="n">
        <x:v>2.68</x:v>
      </x:c>
      <x:c r="C2806" s="274" t="n">
        <x:v>0</x:v>
      </x:c>
      <x:c r="D2806" s="274" t="n">
        <x:v>0</x:v>
      </x:c>
      <x:c r="F2806" s="274" t="s">
        <x:v>3412</x:v>
      </x:c>
      <x:c r="G2806" s="274" t="s">
        <x:v>5370</x:v>
      </x:c>
      <x:c r="H2806" s="274" t="s">
        <x:v>4471</x:v>
      </x:c>
      <x:c r="I2806" s="274" t="n">
        <x:v>2</x:v>
      </x:c>
      <x:c r="J2806" s="274" t="n">
        <x:v>180</x:v>
      </x:c>
      <x:c r="K2806" s="274" t="n">
        <x:v>950</x:v>
      </x:c>
      <x:c r="M2806" s="274" t="s">
        <x:v>5373</x:v>
      </x:c>
      <x:c r="N2806" s="274" t="s">
        <x:v>4258</x:v>
      </x:c>
    </x:row>
    <x:row r="2807" spans="1:14">
      <x:c r="A2807" s="274" t="s">
        <x:v>5374</x:v>
      </x:c>
      <x:c r="B2807" s="274" t="n">
        <x:v>0.85</x:v>
      </x:c>
      <x:c r="C2807" s="274" t="n">
        <x:v>0</x:v>
      </x:c>
      <x:c r="D2807" s="274" t="n">
        <x:v>0</x:v>
      </x:c>
      <x:c r="F2807" s="274" t="s">
        <x:v>184</x:v>
      </x:c>
      <x:c r="G2807" s="274" t="s">
        <x:v>4782</x:v>
      </x:c>
      <x:c r="H2807" s="274" t="s">
        <x:v>4471</x:v>
      </x:c>
      <x:c r="I2807" s="274" t="n">
        <x:v>2</x:v>
      </x:c>
      <x:c r="J2807" s="274" t="n">
        <x:v>137</x:v>
      </x:c>
      <x:c r="K2807" s="274" t="n">
        <x:v>397</x:v>
      </x:c>
      <x:c r="M2807" s="274" t="s">
        <x:v>5044</x:v>
      </x:c>
      <x:c r="N2807" s="274" t="s">
        <x:v>4258</x:v>
      </x:c>
    </x:row>
    <x:row r="2808" spans="1:14">
      <x:c r="A2808" s="274" t="s">
        <x:v>5375</x:v>
      </x:c>
      <x:c r="B2808" s="274" t="n">
        <x:v>3.81</x:v>
      </x:c>
      <x:c r="C2808" s="274" t="n">
        <x:v>0</x:v>
      </x:c>
      <x:c r="D2808" s="274" t="n">
        <x:v>0</x:v>
      </x:c>
      <x:c r="F2808" s="274" t="s">
        <x:v>3412</x:v>
      </x:c>
      <x:c r="G2808" s="274" t="s">
        <x:v>5370</x:v>
      </x:c>
      <x:c r="H2808" s="274" t="s">
        <x:v>4471</x:v>
      </x:c>
      <x:c r="I2808" s="274" t="n">
        <x:v>2.3</x:v>
      </x:c>
      <x:c r="J2808" s="274" t="n">
        <x:v>176</x:v>
      </x:c>
      <x:c r="K2808" s="274" t="n">
        <x:v>1200</x:v>
      </x:c>
      <x:c r="M2808" s="274" t="s">
        <x:v>5376</x:v>
      </x:c>
      <x:c r="N2808" s="274" t="s">
        <x:v>4258</x:v>
      </x:c>
    </x:row>
    <x:row r="2809" spans="1:14">
      <x:c r="A2809" s="274" t="s">
        <x:v>5377</x:v>
      </x:c>
      <x:c r="B2809" s="274" t="n">
        <x:v>2.22</x:v>
      </x:c>
      <x:c r="C2809" s="274" t="n">
        <x:v>0</x:v>
      </x:c>
      <x:c r="D2809" s="274" t="n">
        <x:v>0</x:v>
      </x:c>
      <x:c r="F2809" s="274" t="s">
        <x:v>3412</x:v>
      </x:c>
      <x:c r="G2809" s="274" t="s">
        <x:v>5378</x:v>
      </x:c>
      <x:c r="H2809" s="274" t="s">
        <x:v>4471</x:v>
      </x:c>
      <x:c r="I2809" s="274" t="n">
        <x:v>2.6</x:v>
      </x:c>
      <x:c r="J2809" s="274" t="n">
        <x:v>290</x:v>
      </x:c>
      <x:c r="K2809" s="274" t="n">
        <x:v>375</x:v>
      </x:c>
      <x:c r="M2809" s="274" t="s">
        <x:v>5379</x:v>
      </x:c>
      <x:c r="N2809" s="274" t="s">
        <x:v>4258</x:v>
      </x:c>
    </x:row>
    <x:row r="2810" spans="1:14">
      <x:c r="A2810" s="274" t="s">
        <x:v>5380</x:v>
      </x:c>
      <x:c r="B2810" s="274" t="n">
        <x:v>5.34</x:v>
      </x:c>
      <x:c r="C2810" s="274" t="n">
        <x:v>0</x:v>
      </x:c>
      <x:c r="D2810" s="274" t="n">
        <x:v>40</x:v>
      </x:c>
      <x:c r="E2810" s="274" t="n">
        <x:v>35</x:v>
      </x:c>
      <x:c r="F2810" s="274" t="s">
        <x:v>333</x:v>
      </x:c>
      <x:c r="G2810" s="274" t="s">
        <x:v>153</x:v>
      </x:c>
      <x:c r="I2810" s="274" t="n">
        <x:v>0.9</x:v>
      </x:c>
      <x:c r="J2810" s="274" t="n">
        <x:v>683</x:v>
      </x:c>
      <x:c r="K2810" s="274" t="n">
        <x:v>1107</x:v>
      </x:c>
      <x:c r="M2810" s="274" t="s">
        <x:v>5381</x:v>
      </x:c>
      <x:c r="N2810" s="274" t="s">
        <x:v>3671</x:v>
      </x:c>
    </x:row>
    <x:row r="2811" spans="1:14">
      <x:c r="A2811" s="274" t="s">
        <x:v>5382</x:v>
      </x:c>
      <x:c r="B2811" s="274" t="n">
        <x:v>0.75</x:v>
      </x:c>
      <x:c r="C2811" s="274" t="n">
        <x:v>0</x:v>
      </x:c>
      <x:c r="D2811" s="274" t="n">
        <x:v>0</x:v>
      </x:c>
      <x:c r="F2811" s="274" t="s">
        <x:v>333</x:v>
      </x:c>
      <x:c r="G2811" s="274" t="s">
        <x:v>5164</x:v>
      </x:c>
      <x:c r="I2811" s="274" t="n">
        <x:v>0.65</x:v>
      </x:c>
      <x:c r="J2811" s="274" t="n">
        <x:v>450</x:v>
      </x:c>
      <x:c r="K2811" s="274" t="n">
        <x:v>326</x:v>
      </x:c>
      <x:c r="M2811" s="274" t="s">
        <x:v>5383</x:v>
      </x:c>
      <x:c r="N2811" s="274" t="s">
        <x:v>4258</x:v>
      </x:c>
    </x:row>
    <x:row r="2812" spans="1:14">
      <x:c r="A2812" s="274" t="s">
        <x:v>5384</x:v>
      </x:c>
      <x:c r="B2812" s="274" t="n">
        <x:v>0.72</x:v>
      </x:c>
      <x:c r="C2812" s="274" t="n">
        <x:v>0</x:v>
      </x:c>
      <x:c r="D2812" s="274" t="n">
        <x:v>0</x:v>
      </x:c>
      <x:c r="F2812" s="274" t="s">
        <x:v>333</x:v>
      </x:c>
      <x:c r="G2812" s="274" t="s">
        <x:v>153</x:v>
      </x:c>
      <x:c r="I2812" s="274" t="n">
        <x:v>0.65</x:v>
      </x:c>
      <x:c r="J2812" s="274" t="n">
        <x:v>552</x:v>
      </x:c>
      <x:c r="K2812" s="274" t="n">
        <x:v>254</x:v>
      </x:c>
      <x:c r="M2812" s="274" t="s">
        <x:v>5385</x:v>
      </x:c>
      <x:c r="N2812" s="274" t="s">
        <x:v>3671</x:v>
      </x:c>
    </x:row>
    <x:row r="2813" spans="1:14">
      <x:c r="A2813" s="274" t="s">
        <x:v>5386</x:v>
      </x:c>
      <x:c r="B2813" s="274" t="n">
        <x:v>6.12</x:v>
      </x:c>
      <x:c r="C2813" s="274" t="n">
        <x:v>0</x:v>
      </x:c>
      <x:c r="D2813" s="274" t="n">
        <x:v>18</x:v>
      </x:c>
      <x:c r="E2813" s="274" t="n">
        <x:v>18</x:v>
      </x:c>
      <x:c r="F2813" s="274" t="s">
        <x:v>123</x:v>
      </x:c>
      <x:c r="G2813" s="274" t="s">
        <x:v>2796</x:v>
      </x:c>
      <x:c r="I2813" s="274" t="n">
        <x:v>2</x:v>
      </x:c>
      <x:c r="J2813" s="274" t="n">
        <x:v>311</x:v>
      </x:c>
      <x:c r="K2813" s="274" t="n">
        <x:v>1240</x:v>
      </x:c>
    </x:row>
    <x:row r="2814" spans="1:14">
      <x:c r="A2814" s="274" t="s">
        <x:v>5387</x:v>
      </x:c>
      <x:c r="B2814" s="274" t="n">
        <x:v>1.94</x:v>
      </x:c>
      <x:c r="C2814" s="274" t="n">
        <x:v>0</x:v>
      </x:c>
      <x:c r="D2814" s="274" t="n">
        <x:v>18</x:v>
      </x:c>
      <x:c r="E2814" s="274" t="n">
        <x:v>18</x:v>
      </x:c>
      <x:c r="F2814" s="274" t="s">
        <x:v>123</x:v>
      </x:c>
      <x:c r="G2814" s="274" t="s">
        <x:v>2637</x:v>
      </x:c>
      <x:c r="I2814" s="274" t="n">
        <x:v>1.6</x:v>
      </x:c>
      <x:c r="J2814" s="274" t="n">
        <x:v>121</x:v>
      </x:c>
      <x:c r="K2814" s="274" t="n">
        <x:v>1250</x:v>
      </x:c>
    </x:row>
    <x:row r="2815" spans="1:14">
      <x:c r="A2815" s="274" t="s">
        <x:v>5388</x:v>
      </x:c>
      <x:c r="B2815" s="274" t="n">
        <x:v>0.93</x:v>
      </x:c>
      <x:c r="C2815" s="274" t="n">
        <x:v>0</x:v>
      </x:c>
      <x:c r="D2815" s="274" t="n">
        <x:v>0</x:v>
      </x:c>
      <x:c r="F2815" s="274" t="s">
        <x:v>333</x:v>
      </x:c>
      <x:c r="G2815" s="274" t="s">
        <x:v>153</x:v>
      </x:c>
      <x:c r="I2815" s="274" t="n">
        <x:v>0.65</x:v>
      </x:c>
      <x:c r="J2815" s="274" t="n">
        <x:v>305</x:v>
      </x:c>
      <x:c r="K2815" s="274" t="n">
        <x:v>600</x:v>
      </x:c>
      <x:c r="M2815" s="274" t="s">
        <x:v>1230</x:v>
      </x:c>
      <x:c r="N2815" s="274" t="s">
        <x:v>421</x:v>
      </x:c>
    </x:row>
    <x:row r="2816" spans="1:14">
      <x:c r="A2816" s="274" t="s">
        <x:v>5389</x:v>
      </x:c>
      <x:c r="B2816" s="274" t="n">
        <x:v>0.7</x:v>
      </x:c>
      <x:c r="C2816" s="274" t="n">
        <x:v>0</x:v>
      </x:c>
      <x:c r="D2816" s="274" t="n">
        <x:v>0</x:v>
      </x:c>
      <x:c r="F2816" s="274" t="s">
        <x:v>128</x:v>
      </x:c>
      <x:c r="G2816" s="274" t="s">
        <x:v>136</x:v>
      </x:c>
      <x:c r="H2816" s="274" t="n">
        <x:v>45</x:v>
      </x:c>
      <x:c r="I2816" s="274" t="n">
        <x:v>2.6</x:v>
      </x:c>
      <x:c r="J2816" s="274" t="n">
        <x:v>40</x:v>
      </x:c>
      <x:c r="K2816" s="274" t="n">
        <x:v>851</x:v>
      </x:c>
      <x:c r="M2816" s="274" t="s">
        <x:v>5390</x:v>
      </x:c>
      <x:c r="N2816" s="274" t="s">
        <x:v>3671</x:v>
      </x:c>
    </x:row>
    <x:row r="2817" spans="1:14">
      <x:c r="A2817" s="274" t="s">
        <x:v>5391</x:v>
      </x:c>
      <x:c r="B2817" s="274" t="n">
        <x:v>0.7</x:v>
      </x:c>
      <x:c r="C2817" s="274" t="n">
        <x:v>0</x:v>
      </x:c>
      <x:c r="D2817" s="274" t="n">
        <x:v>0</x:v>
      </x:c>
      <x:c r="F2817" s="274" t="s">
        <x:v>128</x:v>
      </x:c>
      <x:c r="G2817" s="274" t="s">
        <x:v>136</x:v>
      </x:c>
      <x:c r="H2817" s="274" t="n">
        <x:v>45</x:v>
      </x:c>
      <x:c r="I2817" s="274" t="n">
        <x:v>2.6</x:v>
      </x:c>
      <x:c r="J2817" s="274" t="n">
        <x:v>40</x:v>
      </x:c>
      <x:c r="K2817" s="274" t="n">
        <x:v>851</x:v>
      </x:c>
      <x:c r="M2817" s="274" t="s">
        <x:v>5392</x:v>
      </x:c>
      <x:c r="N2817" s="274" t="s">
        <x:v>3671</x:v>
      </x:c>
    </x:row>
    <x:row r="2818" spans="1:14">
      <x:c r="A2818" s="274" t="s">
        <x:v>5393</x:v>
      </x:c>
      <x:c r="B2818" s="274" t="n">
        <x:v>4.72</x:v>
      </x:c>
      <x:c r="C2818" s="274" t="n">
        <x:v>0</x:v>
      </x:c>
      <x:c r="D2818" s="274" t="n">
        <x:v>0</x:v>
      </x:c>
      <x:c r="F2818" s="274" t="s">
        <x:v>133</x:v>
      </x:c>
      <x:c r="G2818" s="274" t="s">
        <x:v>136</x:v>
      </x:c>
      <x:c r="H2818" s="274" t="n">
        <x:v>45</x:v>
      </x:c>
      <x:c r="I2818" s="274" t="n">
        <x:v>1.4</x:v>
      </x:c>
      <x:c r="J2818" s="274" t="n">
        <x:v>979</x:v>
      </x:c>
      <x:c r="K2818" s="274" t="n">
        <x:v>435</x:v>
      </x:c>
      <x:c r="M2818" s="274" t="s">
        <x:v>5394</x:v>
      </x:c>
      <x:c r="N2818" s="274" t="s">
        <x:v>3671</x:v>
      </x:c>
    </x:row>
    <x:row r="2819" spans="1:14">
      <x:c r="A2819" s="274" t="s">
        <x:v>5395</x:v>
      </x:c>
      <x:c r="B2819" s="274" t="n">
        <x:v>0.81</x:v>
      </x:c>
      <x:c r="C2819" s="274" t="n">
        <x:v>0</x:v>
      </x:c>
      <x:c r="D2819" s="274" t="n">
        <x:v>0</x:v>
      </x:c>
      <x:c r="F2819" s="274" t="s">
        <x:v>133</x:v>
      </x:c>
      <x:c r="G2819" s="274" t="s">
        <x:v>144</x:v>
      </x:c>
      <x:c r="H2819" s="274" t="n">
        <x:v>45</x:v>
      </x:c>
      <x:c r="I2819" s="274" t="n">
        <x:v>1.4</x:v>
      </x:c>
      <x:c r="J2819" s="274" t="n">
        <x:v>138</x:v>
      </x:c>
      <x:c r="K2819" s="274" t="n">
        <x:v>532</x:v>
      </x:c>
      <x:c r="M2819" s="274" t="s">
        <x:v>5396</x:v>
      </x:c>
      <x:c r="N2819" s="274" t="s">
        <x:v>3671</x:v>
      </x:c>
    </x:row>
    <x:row r="2820" spans="1:14">
      <x:c r="A2820" s="274" t="s">
        <x:v>5397</x:v>
      </x:c>
      <x:c r="B2820" s="274" t="n">
        <x:v>0.15</x:v>
      </x:c>
      <x:c r="C2820" s="274" t="n">
        <x:v>0</x:v>
      </x:c>
      <x:c r="D2820" s="274" t="n">
        <x:v>0</x:v>
      </x:c>
      <x:c r="F2820" s="274" t="s">
        <x:v>133</x:v>
      </x:c>
      <x:c r="G2820" s="274" t="s">
        <x:v>136</x:v>
      </x:c>
      <x:c r="H2820" s="274" t="n">
        <x:v>45</x:v>
      </x:c>
      <x:c r="I2820" s="274" t="n">
        <x:v>1.4</x:v>
      </x:c>
      <x:c r="J2820" s="274" t="n">
        <x:v>67</x:v>
      </x:c>
      <x:c r="K2820" s="274" t="n">
        <x:v>196</x:v>
      </x:c>
      <x:c r="M2820" s="274" t="s">
        <x:v>5398</x:v>
      </x:c>
      <x:c r="N2820" s="274" t="s">
        <x:v>3671</x:v>
      </x:c>
    </x:row>
    <x:row r="2821" spans="1:14">
      <x:c r="A2821" s="274" t="s">
        <x:v>5399</x:v>
      </x:c>
      <x:c r="B2821" s="274" t="n">
        <x:v>0.73</x:v>
      </x:c>
      <x:c r="C2821" s="274" t="n">
        <x:v>0</x:v>
      </x:c>
      <x:c r="D2821" s="274" t="n">
        <x:v>0</x:v>
      </x:c>
      <x:c r="F2821" s="274" t="s">
        <x:v>333</x:v>
      </x:c>
      <x:c r="G2821" s="274" t="s">
        <x:v>124</x:v>
      </x:c>
      <x:c r="I2821" s="274" t="n">
        <x:v>1.4</x:v>
      </x:c>
      <x:c r="J2821" s="274" t="n">
        <x:v>140</x:v>
      </x:c>
      <x:c r="K2821" s="274" t="n">
        <x:v>474</x:v>
      </x:c>
      <x:c r="M2821" s="274" t="s">
        <x:v>5400</x:v>
      </x:c>
      <x:c r="N2821" s="274" t="s">
        <x:v>3671</x:v>
      </x:c>
    </x:row>
    <x:row r="2822" spans="1:14">
      <x:c r="A2822" s="274" t="s">
        <x:v>5401</x:v>
      </x:c>
      <x:c r="B2822" s="274" t="n">
        <x:v>0.33</x:v>
      </x:c>
      <x:c r="C2822" s="274" t="n">
        <x:v>0</x:v>
      </x:c>
      <x:c r="D2822" s="274" t="n">
        <x:v>0</x:v>
      </x:c>
      <x:c r="F2822" s="274" t="s">
        <x:v>333</x:v>
      </x:c>
      <x:c r="G2822" s="274" t="s">
        <x:v>334</x:v>
      </x:c>
      <x:c r="I2822" s="274" t="n">
        <x:v>1.4</x:v>
      </x:c>
      <x:c r="J2822" s="274" t="n">
        <x:v>157</x:v>
      </x:c>
      <x:c r="K2822" s="274" t="n">
        <x:v>189</x:v>
      </x:c>
      <x:c r="M2822" s="274" t="s">
        <x:v>5402</x:v>
      </x:c>
      <x:c r="N2822" s="274" t="s">
        <x:v>3671</x:v>
      </x:c>
    </x:row>
    <x:row r="2823" spans="1:14">
      <x:c r="A2823" s="274" t="s">
        <x:v>5403</x:v>
      </x:c>
      <x:c r="B2823" s="274" t="n">
        <x:v>0.42</x:v>
      </x:c>
      <x:c r="C2823" s="274" t="n">
        <x:v>0</x:v>
      </x:c>
      <x:c r="D2823" s="274" t="n">
        <x:v>0</x:v>
      </x:c>
      <x:c r="F2823" s="274" t="s">
        <x:v>333</x:v>
      </x:c>
      <x:c r="G2823" s="274" t="s">
        <x:v>124</x:v>
      </x:c>
      <x:c r="I2823" s="274" t="n">
        <x:v>1.4</x:v>
      </x:c>
      <x:c r="J2823" s="274" t="n">
        <x:v>159</x:v>
      </x:c>
      <x:c r="K2823" s="274" t="n">
        <x:v>239</x:v>
      </x:c>
      <x:c r="M2823" s="274" t="s">
        <x:v>5404</x:v>
      </x:c>
      <x:c r="N2823" s="274" t="s">
        <x:v>3671</x:v>
      </x:c>
    </x:row>
    <x:row r="2824" spans="1:14">
      <x:c r="A2824" s="274" t="s">
        <x:v>5405</x:v>
      </x:c>
      <x:c r="B2824" s="274" t="n">
        <x:v>3.57</x:v>
      </x:c>
      <x:c r="C2824" s="274" t="n">
        <x:v>0</x:v>
      </x:c>
      <x:c r="D2824" s="274" t="n">
        <x:v>0</x:v>
      </x:c>
      <x:c r="F2824" s="274" t="s">
        <x:v>333</x:v>
      </x:c>
      <x:c r="G2824" s="274" t="s">
        <x:v>334</x:v>
      </x:c>
      <x:c r="I2824" s="274" t="n">
        <x:v>1.4</x:v>
      </x:c>
      <x:c r="J2824" s="274" t="n">
        <x:v>200</x:v>
      </x:c>
      <x:c r="K2824" s="274" t="n">
        <x:v>1626</x:v>
      </x:c>
      <x:c r="M2824" s="274" t="s">
        <x:v>5406</x:v>
      </x:c>
      <x:c r="N2824" s="274" t="s">
        <x:v>3671</x:v>
      </x:c>
    </x:row>
    <x:row r="2825" spans="1:14">
      <x:c r="A2825" s="274" t="s">
        <x:v>5407</x:v>
      </x:c>
      <x:c r="B2825" s="274" t="n">
        <x:v>0.8</x:v>
      </x:c>
      <x:c r="C2825" s="274" t="n">
        <x:v>0</x:v>
      </x:c>
      <x:c r="D2825" s="274" t="n">
        <x:v>0</x:v>
      </x:c>
      <x:c r="F2825" s="274" t="s">
        <x:v>333</x:v>
      </x:c>
      <x:c r="G2825" s="274" t="s">
        <x:v>209</x:v>
      </x:c>
      <x:c r="I2825" s="274" t="n">
        <x:v>1.4</x:v>
      </x:c>
      <x:c r="J2825" s="274" t="n">
        <x:v>273</x:v>
      </x:c>
      <x:c r="K2825" s="274" t="n">
        <x:v>268</x:v>
      </x:c>
      <x:c r="M2825" s="274" t="s">
        <x:v>4420</x:v>
      </x:c>
      <x:c r="N2825" s="274" t="s">
        <x:v>3671</x:v>
      </x:c>
    </x:row>
    <x:row r="2826" spans="1:14">
      <x:c r="A2826" s="274" t="s">
        <x:v>5408</x:v>
      </x:c>
      <x:c r="B2826" s="274" t="n">
        <x:v>0.3</x:v>
      </x:c>
      <x:c r="C2826" s="274" t="n">
        <x:v>0</x:v>
      </x:c>
      <x:c r="D2826" s="274" t="n">
        <x:v>0</x:v>
      </x:c>
      <x:c r="F2826" s="274" t="s">
        <x:v>133</x:v>
      </x:c>
      <x:c r="G2826" s="274" t="s">
        <x:v>144</x:v>
      </x:c>
      <x:c r="H2826" s="274" t="n">
        <x:v>45</x:v>
      </x:c>
      <x:c r="I2826" s="274" t="n">
        <x:v>1.4</x:v>
      </x:c>
      <x:c r="J2826" s="274" t="n">
        <x:v>116</x:v>
      </x:c>
      <x:c r="K2826" s="274" t="n">
        <x:v>230</x:v>
      </x:c>
      <x:c r="M2826" s="274" t="s">
        <x:v>5409</x:v>
      </x:c>
      <x:c r="N2826" s="274" t="s">
        <x:v>3671</x:v>
      </x:c>
    </x:row>
    <x:row r="2827" spans="1:14">
      <x:c r="A2827" s="274" t="s">
        <x:v>5410</x:v>
      </x:c>
      <x:c r="B2827" s="274" t="n">
        <x:v>0.94</x:v>
      </x:c>
      <x:c r="C2827" s="274" t="n">
        <x:v>0</x:v>
      </x:c>
      <x:c r="D2827" s="274" t="n">
        <x:v>0</x:v>
      </x:c>
      <x:c r="F2827" s="274" t="s">
        <x:v>133</x:v>
      </x:c>
      <x:c r="G2827" s="274" t="s">
        <x:v>136</x:v>
      </x:c>
      <x:c r="H2827" s="274" t="n">
        <x:v>45</x:v>
      </x:c>
      <x:c r="I2827" s="274" t="n">
        <x:v>1.6</x:v>
      </x:c>
      <x:c r="J2827" s="274" t="n">
        <x:v>219</x:v>
      </x:c>
      <x:c r="K2827" s="274" t="n">
        <x:v>340</x:v>
      </x:c>
      <x:c r="M2827" s="274" t="s">
        <x:v>5411</x:v>
      </x:c>
      <x:c r="N2827" s="274" t="s">
        <x:v>3671</x:v>
      </x:c>
    </x:row>
    <x:row r="2828" spans="1:14">
      <x:c r="A2828" s="274" t="s">
        <x:v>5412</x:v>
      </x:c>
      <x:c r="B2828" s="274" t="n">
        <x:v>1.35</x:v>
      </x:c>
      <x:c r="C2828" s="274" t="n">
        <x:v>0</x:v>
      </x:c>
      <x:c r="D2828" s="274" t="n">
        <x:v>0</x:v>
      </x:c>
      <x:c r="F2828" s="274" t="s">
        <x:v>133</x:v>
      </x:c>
      <x:c r="G2828" s="274" t="s">
        <x:v>136</x:v>
      </x:c>
      <x:c r="H2828" s="274" t="n">
        <x:v>45</x:v>
      </x:c>
      <x:c r="I2828" s="274" t="n">
        <x:v>1.6</x:v>
      </x:c>
      <x:c r="J2828" s="274" t="n">
        <x:v>224</x:v>
      </x:c>
      <x:c r="K2828" s="274" t="n">
        <x:v>475</x:v>
      </x:c>
      <x:c r="M2828" s="274" t="s">
        <x:v>5413</x:v>
      </x:c>
      <x:c r="N2828" s="274" t="s">
        <x:v>3671</x:v>
      </x:c>
    </x:row>
    <x:row r="2829" spans="1:14">
      <x:c r="A2829" s="274" t="s">
        <x:v>5414</x:v>
      </x:c>
      <x:c r="B2829" s="274" t="n">
        <x:v>0.45</x:v>
      </x:c>
      <x:c r="C2829" s="274" t="n">
        <x:v>0</x:v>
      </x:c>
      <x:c r="D2829" s="274" t="n">
        <x:v>0</x:v>
      </x:c>
      <x:c r="F2829" s="274" t="s">
        <x:v>133</x:v>
      </x:c>
      <x:c r="G2829" s="274" t="s">
        <x:v>136</x:v>
      </x:c>
      <x:c r="H2829" s="274" t="n">
        <x:v>45</x:v>
      </x:c>
      <x:c r="I2829" s="274" t="n">
        <x:v>1.6</x:v>
      </x:c>
      <x:c r="J2829" s="274" t="n">
        <x:v>204</x:v>
      </x:c>
      <x:c r="K2829" s="274" t="n">
        <x:v>174</x:v>
      </x:c>
      <x:c r="M2829" s="274" t="s">
        <x:v>5415</x:v>
      </x:c>
      <x:c r="N2829" s="274" t="s">
        <x:v>3671</x:v>
      </x:c>
    </x:row>
    <x:row r="2830" spans="1:14">
      <x:c r="A2830" s="274" t="s">
        <x:v>5416</x:v>
      </x:c>
      <x:c r="B2830" s="274" t="n">
        <x:v>1.15</x:v>
      </x:c>
      <x:c r="C2830" s="274" t="n">
        <x:v>0</x:v>
      </x:c>
      <x:c r="D2830" s="274" t="n">
        <x:v>0</x:v>
      </x:c>
      <x:c r="F2830" s="274" t="s">
        <x:v>133</x:v>
      </x:c>
      <x:c r="G2830" s="274" t="s">
        <x:v>144</x:v>
      </x:c>
      <x:c r="H2830" s="274" t="n">
        <x:v>45</x:v>
      </x:c>
      <x:c r="I2830" s="274" t="n">
        <x:v>1.6</x:v>
      </x:c>
      <x:c r="J2830" s="274" t="n">
        <x:v>168</x:v>
      </x:c>
      <x:c r="K2830" s="274" t="n">
        <x:v>543</x:v>
      </x:c>
      <x:c r="M2830" s="274" t="s">
        <x:v>5417</x:v>
      </x:c>
      <x:c r="N2830" s="274" t="s">
        <x:v>3671</x:v>
      </x:c>
    </x:row>
    <x:row r="2831" spans="1:14">
      <x:c r="A2831" s="274" t="s">
        <x:v>5418</x:v>
      </x:c>
      <x:c r="B2831" s="274" t="n">
        <x:v>0.26</x:v>
      </x:c>
      <x:c r="C2831" s="274" t="n">
        <x:v>0</x:v>
      </x:c>
      <x:c r="D2831" s="274" t="n">
        <x:v>0</x:v>
      </x:c>
      <x:c r="F2831" s="274" t="s">
        <x:v>133</x:v>
      </x:c>
      <x:c r="G2831" s="274" t="s">
        <x:v>144</x:v>
      </x:c>
      <x:c r="H2831" s="274" t="n">
        <x:v>45</x:v>
      </x:c>
      <x:c r="I2831" s="274" t="n">
        <x:v>1.6</x:v>
      </x:c>
      <x:c r="J2831" s="274" t="n">
        <x:v>154</x:v>
      </x:c>
      <x:c r="K2831" s="274" t="n">
        <x:v>135</x:v>
      </x:c>
      <x:c r="M2831" s="274" t="s">
        <x:v>5419</x:v>
      </x:c>
      <x:c r="N2831" s="274" t="s">
        <x:v>3671</x:v>
      </x:c>
    </x:row>
    <x:row r="2832" spans="1:14">
      <x:c r="A2832" s="274" t="s">
        <x:v>5420</x:v>
      </x:c>
      <x:c r="B2832" s="274" t="n">
        <x:v>0.65</x:v>
      </x:c>
      <x:c r="C2832" s="274" t="n">
        <x:v>0</x:v>
      </x:c>
      <x:c r="D2832" s="274" t="n">
        <x:v>0</x:v>
      </x:c>
      <x:c r="F2832" s="274" t="s">
        <x:v>133</x:v>
      </x:c>
      <x:c r="G2832" s="274" t="s">
        <x:v>136</x:v>
      </x:c>
      <x:c r="H2832" s="274" t="n">
        <x:v>45</x:v>
      </x:c>
      <x:c r="I2832" s="274" t="n">
        <x:v>1.6</x:v>
      </x:c>
      <x:c r="J2832" s="274" t="n">
        <x:v>173</x:v>
      </x:c>
      <x:c r="K2832" s="274" t="n">
        <x:v>295</x:v>
      </x:c>
      <x:c r="M2832" s="274" t="s">
        <x:v>5421</x:v>
      </x:c>
      <x:c r="N2832" s="274" t="s">
        <x:v>3671</x:v>
      </x:c>
    </x:row>
    <x:row r="2833" spans="1:14">
      <x:c r="A2833" s="274" t="s">
        <x:v>5422</x:v>
      </x:c>
      <x:c r="B2833" s="274" t="n">
        <x:v>4.13</x:v>
      </x:c>
      <x:c r="C2833" s="274" t="n">
        <x:v>0</x:v>
      </x:c>
      <x:c r="D2833" s="274" t="n">
        <x:v>0</x:v>
      </x:c>
      <x:c r="F2833" s="274" t="s">
        <x:v>333</x:v>
      </x:c>
      <x:c r="G2833" s="274" t="s">
        <x:v>153</x:v>
      </x:c>
      <x:c r="I2833" s="274" t="n">
        <x:v>1.6</x:v>
      </x:c>
      <x:c r="J2833" s="274" t="n">
        <x:v>490</x:v>
      </x:c>
      <x:c r="K2833" s="274" t="n">
        <x:v>671</x:v>
      </x:c>
      <x:c r="M2833" s="274" t="s">
        <x:v>5423</x:v>
      </x:c>
      <x:c r="N2833" s="274" t="s">
        <x:v>3671</x:v>
      </x:c>
    </x:row>
    <x:row r="2834" spans="1:14">
      <x:c r="A2834" s="274" t="s">
        <x:v>5424</x:v>
      </x:c>
      <x:c r="B2834" s="274" t="n">
        <x:v>1.9</x:v>
      </x:c>
      <x:c r="C2834" s="274" t="n">
        <x:v>0</x:v>
      </x:c>
      <x:c r="D2834" s="274" t="n">
        <x:v>0</x:v>
      </x:c>
      <x:c r="F2834" s="274" t="s">
        <x:v>333</x:v>
      </x:c>
      <x:c r="G2834" s="274" t="s">
        <x:v>124</x:v>
      </x:c>
      <x:c r="I2834" s="274" t="n">
        <x:v>1.6</x:v>
      </x:c>
      <x:c r="J2834" s="274" t="n">
        <x:v>316</x:v>
      </x:c>
      <x:c r="K2834" s="274" t="n">
        <x:v>478</x:v>
      </x:c>
      <x:c r="M2834" s="274" t="s">
        <x:v>5425</x:v>
      </x:c>
      <x:c r="N2834" s="274" t="s">
        <x:v>3671</x:v>
      </x:c>
    </x:row>
    <x:row r="2835" spans="1:14">
      <x:c r="A2835" s="274" t="s">
        <x:v>5426</x:v>
      </x:c>
      <x:c r="B2835" s="274" t="n">
        <x:v>0.34</x:v>
      </x:c>
      <x:c r="C2835" s="274" t="n">
        <x:v>0</x:v>
      </x:c>
      <x:c r="D2835" s="274" t="n">
        <x:v>0</x:v>
      </x:c>
      <x:c r="F2835" s="274" t="s">
        <x:v>333</x:v>
      </x:c>
      <x:c r="G2835" s="274" t="s">
        <x:v>124</x:v>
      </x:c>
      <x:c r="I2835" s="274" t="n">
        <x:v>1.6</x:v>
      </x:c>
      <x:c r="J2835" s="274" t="n">
        <x:v>154</x:v>
      </x:c>
      <x:c r="K2835" s="274" t="n">
        <x:v>177</x:v>
      </x:c>
      <x:c r="M2835" s="274" t="s">
        <x:v>5427</x:v>
      </x:c>
      <x:c r="N2835" s="274" t="s">
        <x:v>3671</x:v>
      </x:c>
    </x:row>
    <x:row r="2836" spans="1:14">
      <x:c r="A2836" s="274" t="s">
        <x:v>5428</x:v>
      </x:c>
      <x:c r="B2836" s="274" t="n">
        <x:v>1.1</x:v>
      </x:c>
      <x:c r="C2836" s="274" t="n">
        <x:v>0</x:v>
      </x:c>
      <x:c r="D2836" s="274" t="n">
        <x:v>0</x:v>
      </x:c>
      <x:c r="F2836" s="274" t="s">
        <x:v>333</x:v>
      </x:c>
      <x:c r="G2836" s="274" t="s">
        <x:v>209</x:v>
      </x:c>
      <x:c r="I2836" s="274" t="n">
        <x:v>1.6</x:v>
      </x:c>
      <x:c r="J2836" s="274" t="n">
        <x:v>166</x:v>
      </x:c>
      <x:c r="K2836" s="274" t="n">
        <x:v>528</x:v>
      </x:c>
      <x:c r="M2836" s="274" t="s">
        <x:v>5429</x:v>
      </x:c>
      <x:c r="N2836" s="274" t="s">
        <x:v>3671</x:v>
      </x:c>
    </x:row>
    <x:row r="2837" spans="1:14">
      <x:c r="A2837" s="274" t="s">
        <x:v>5430</x:v>
      </x:c>
      <x:c r="B2837" s="274" t="n">
        <x:v>1.61</x:v>
      </x:c>
      <x:c r="C2837" s="274" t="n">
        <x:v>0</x:v>
      </x:c>
      <x:c r="D2837" s="274" t="n">
        <x:v>0</x:v>
      </x:c>
      <x:c r="F2837" s="274" t="s">
        <x:v>333</x:v>
      </x:c>
      <x:c r="G2837" s="274" t="s">
        <x:v>334</x:v>
      </x:c>
      <x:c r="I2837" s="274" t="n">
        <x:v>1.8</x:v>
      </x:c>
      <x:c r="J2837" s="274" t="n">
        <x:v>187</x:v>
      </x:c>
      <x:c r="K2837" s="274" t="n">
        <x:v>609</x:v>
      </x:c>
      <x:c r="M2837" s="274" t="s">
        <x:v>5431</x:v>
      </x:c>
      <x:c r="N2837" s="274" t="s">
        <x:v>3671</x:v>
      </x:c>
    </x:row>
    <x:row r="2838" spans="1:14">
      <x:c r="A2838" s="274" t="s">
        <x:v>5432</x:v>
      </x:c>
      <x:c r="B2838" s="274" t="n">
        <x:v>1.38</x:v>
      </x:c>
      <x:c r="C2838" s="274" t="n">
        <x:v>0</x:v>
      </x:c>
      <x:c r="D2838" s="274" t="n">
        <x:v>0</x:v>
      </x:c>
      <x:c r="F2838" s="274" t="s">
        <x:v>333</x:v>
      </x:c>
      <x:c r="G2838" s="274" t="s">
        <x:v>153</x:v>
      </x:c>
      <x:c r="I2838" s="274" t="n">
        <x:v>1.8</x:v>
      </x:c>
      <x:c r="J2838" s="274" t="n">
        <x:v>339</x:v>
      </x:c>
      <x:c r="K2838" s="274" t="n">
        <x:v>289</x:v>
      </x:c>
      <x:c r="M2838" s="274" t="s">
        <x:v>5433</x:v>
      </x:c>
      <x:c r="N2838" s="274" t="s">
        <x:v>3671</x:v>
      </x:c>
    </x:row>
    <x:row r="2839" spans="1:14">
      <x:c r="A2839" s="274" t="s">
        <x:v>5434</x:v>
      </x:c>
      <x:c r="B2839" s="274" t="n">
        <x:v>0.56</x:v>
      </x:c>
      <x:c r="C2839" s="274" t="n">
        <x:v>0</x:v>
      </x:c>
      <x:c r="D2839" s="274" t="n">
        <x:v>0</x:v>
      </x:c>
      <x:c r="F2839" s="274" t="s">
        <x:v>133</x:v>
      </x:c>
      <x:c r="G2839" s="274" t="s">
        <x:v>144</x:v>
      </x:c>
      <x:c r="H2839" s="274" t="n">
        <x:v>45</x:v>
      </x:c>
      <x:c r="I2839" s="274" t="n">
        <x:v>2</x:v>
      </x:c>
      <x:c r="J2839" s="274" t="n">
        <x:v>177</x:v>
      </x:c>
      <x:c r="K2839" s="274" t="n">
        <x:v>200</x:v>
      </x:c>
      <x:c r="M2839" s="274" t="s">
        <x:v>5435</x:v>
      </x:c>
      <x:c r="N2839" s="274" t="s">
        <x:v>3671</x:v>
      </x:c>
    </x:row>
    <x:row r="2840" spans="1:14">
      <x:c r="A2840" s="274" t="s">
        <x:v>5436</x:v>
      </x:c>
      <x:c r="B2840" s="274" t="n">
        <x:v>0.66</x:v>
      </x:c>
      <x:c r="C2840" s="274" t="n">
        <x:v>0</x:v>
      </x:c>
      <x:c r="D2840" s="274" t="n">
        <x:v>0</x:v>
      </x:c>
      <x:c r="F2840" s="274" t="s">
        <x:v>133</x:v>
      </x:c>
      <x:c r="G2840" s="274" t="s">
        <x:v>144</x:v>
      </x:c>
      <x:c r="H2840" s="274" t="n">
        <x:v>45</x:v>
      </x:c>
      <x:c r="I2840" s="274" t="n">
        <x:v>2</x:v>
      </x:c>
      <x:c r="J2840" s="274" t="n">
        <x:v>207</x:v>
      </x:c>
      <x:c r="K2840" s="274" t="n">
        <x:v>202</x:v>
      </x:c>
      <x:c r="M2840" s="274" t="s">
        <x:v>5437</x:v>
      </x:c>
      <x:c r="N2840" s="274" t="s">
        <x:v>3671</x:v>
      </x:c>
    </x:row>
    <x:row r="2841" spans="1:14">
      <x:c r="A2841" s="274" t="s">
        <x:v>5438</x:v>
      </x:c>
      <x:c r="B2841" s="274" t="n">
        <x:v>2.16</x:v>
      </x:c>
      <x:c r="C2841" s="274" t="n">
        <x:v>0</x:v>
      </x:c>
      <x:c r="D2841" s="274" t="n">
        <x:v>0</x:v>
      </x:c>
      <x:c r="F2841" s="274" t="s">
        <x:v>333</x:v>
      </x:c>
      <x:c r="G2841" s="274" t="s">
        <x:v>4663</x:v>
      </x:c>
      <x:c r="I2841" s="274" t="n">
        <x:v>0.65</x:v>
      </x:c>
      <x:c r="J2841" s="274" t="n">
        <x:v>339</x:v>
      </x:c>
      <x:c r="K2841" s="274" t="n">
        <x:v>1250</x:v>
      </x:c>
      <x:c r="M2841" s="274" t="s">
        <x:v>5439</x:v>
      </x:c>
      <x:c r="N2841" s="274" t="s">
        <x:v>4258</x:v>
      </x:c>
    </x:row>
    <x:row r="2842" spans="1:14">
      <x:c r="A2842" s="274" t="s">
        <x:v>5440</x:v>
      </x:c>
      <x:c r="B2842" s="274" t="n">
        <x:v>2.19</x:v>
      </x:c>
      <x:c r="C2842" s="274" t="n">
        <x:v>0</x:v>
      </x:c>
      <x:c r="D2842" s="274" t="n">
        <x:v>0</x:v>
      </x:c>
      <x:c r="F2842" s="274" t="s">
        <x:v>333</x:v>
      </x:c>
      <x:c r="G2842" s="274" t="s">
        <x:v>4663</x:v>
      </x:c>
      <x:c r="I2842" s="274" t="n">
        <x:v>0.65</x:v>
      </x:c>
      <x:c r="J2842" s="274" t="n">
        <x:v>344</x:v>
      </x:c>
      <x:c r="K2842" s="274" t="n">
        <x:v>1250</x:v>
      </x:c>
      <x:c r="M2842" s="274" t="s">
        <x:v>5441</x:v>
      </x:c>
      <x:c r="N2842" s="274" t="s">
        <x:v>4258</x:v>
      </x:c>
    </x:row>
    <x:row r="2843" spans="1:14">
      <x:c r="A2843" s="274" t="s">
        <x:v>5442</x:v>
      </x:c>
      <x:c r="B2843" s="274" t="n">
        <x:v>3.7</x:v>
      </x:c>
      <x:c r="C2843" s="274" t="n">
        <x:v>0</x:v>
      </x:c>
      <x:c r="D2843" s="274" t="n">
        <x:v>0</x:v>
      </x:c>
      <x:c r="F2843" s="274" t="s">
        <x:v>333</x:v>
      </x:c>
      <x:c r="G2843" s="274" t="s">
        <x:v>4663</x:v>
      </x:c>
      <x:c r="I2843" s="274" t="n">
        <x:v>0.65</x:v>
      </x:c>
      <x:c r="J2843" s="274" t="n">
        <x:v>580</x:v>
      </x:c>
      <x:c r="K2843" s="274" t="n">
        <x:v>1250</x:v>
      </x:c>
      <x:c r="M2843" s="274" t="s">
        <x:v>5443</x:v>
      </x:c>
      <x:c r="N2843" s="274" t="s">
        <x:v>4258</x:v>
      </x:c>
    </x:row>
    <x:row r="2844" spans="1:14">
      <x:c r="A2844" s="274" t="s">
        <x:v>5444</x:v>
      </x:c>
      <x:c r="B2844" s="274" t="n">
        <x:v>2.59</x:v>
      </x:c>
      <x:c r="C2844" s="274" t="n">
        <x:v>0</x:v>
      </x:c>
      <x:c r="D2844" s="274" t="n">
        <x:v>0</x:v>
      </x:c>
      <x:c r="F2844" s="274" t="s">
        <x:v>333</x:v>
      </x:c>
      <x:c r="G2844" s="274" t="s">
        <x:v>4663</x:v>
      </x:c>
      <x:c r="I2844" s="274" t="n">
        <x:v>0.65</x:v>
      </x:c>
      <x:c r="J2844" s="274" t="n">
        <x:v>406</x:v>
      </x:c>
      <x:c r="K2844" s="274" t="n">
        <x:v>1250</x:v>
      </x:c>
      <x:c r="M2844" s="274" t="s">
        <x:v>5445</x:v>
      </x:c>
      <x:c r="N2844" s="274" t="s">
        <x:v>4258</x:v>
      </x:c>
    </x:row>
    <x:row r="2845" spans="1:14">
      <x:c r="A2845" s="274" t="s">
        <x:v>5446</x:v>
      </x:c>
      <x:c r="B2845" s="274" t="n">
        <x:v>0.86</x:v>
      </x:c>
      <x:c r="C2845" s="274" t="n">
        <x:v>0</x:v>
      </x:c>
      <x:c r="D2845" s="274" t="n">
        <x:v>0</x:v>
      </x:c>
      <x:c r="F2845" s="274" t="s">
        <x:v>333</x:v>
      </x:c>
      <x:c r="G2845" s="274" t="s">
        <x:v>4663</x:v>
      </x:c>
      <x:c r="I2845" s="274" t="n">
        <x:v>0.65</x:v>
      </x:c>
      <x:c r="J2845" s="274" t="n">
        <x:v>135</x:v>
      </x:c>
      <x:c r="K2845" s="274" t="n">
        <x:v>1250</x:v>
      </x:c>
      <x:c r="M2845" s="274" t="s">
        <x:v>5447</x:v>
      </x:c>
      <x:c r="N2845" s="274" t="s">
        <x:v>4258</x:v>
      </x:c>
    </x:row>
    <x:row r="2846" spans="1:14">
      <x:c r="A2846" s="274" t="s">
        <x:v>5448</x:v>
      </x:c>
      <x:c r="B2846" s="274" t="n">
        <x:v>1.78</x:v>
      </x:c>
      <x:c r="C2846" s="274" t="n">
        <x:v>0</x:v>
      </x:c>
      <x:c r="D2846" s="274" t="n">
        <x:v>0</x:v>
      </x:c>
      <x:c r="F2846" s="274" t="s">
        <x:v>3412</x:v>
      </x:c>
      <x:c r="G2846" s="274" t="s">
        <x:v>5449</x:v>
      </x:c>
      <x:c r="I2846" s="274" t="n">
        <x:v>0.8</x:v>
      </x:c>
      <x:c r="J2846" s="274" t="n">
        <x:v>230</x:v>
      </x:c>
      <x:c r="K2846" s="274" t="n">
        <x:v>1250</x:v>
      </x:c>
      <x:c r="M2846" s="274" t="s">
        <x:v>5450</x:v>
      </x:c>
      <x:c r="N2846" s="274" t="s">
        <x:v>4258</x:v>
      </x:c>
    </x:row>
    <x:row r="2847" spans="1:14">
      <x:c r="A2847" s="274" t="s">
        <x:v>5451</x:v>
      </x:c>
      <x:c r="B2847" s="274" t="n">
        <x:v>1.64</x:v>
      </x:c>
      <x:c r="C2847" s="274" t="n">
        <x:v>0</x:v>
      </x:c>
      <x:c r="D2847" s="274" t="n">
        <x:v>0</x:v>
      </x:c>
      <x:c r="F2847" s="274" t="s">
        <x:v>3412</x:v>
      </x:c>
      <x:c r="G2847" s="274" t="s">
        <x:v>5449</x:v>
      </x:c>
      <x:c r="I2847" s="274" t="n">
        <x:v>1</x:v>
      </x:c>
      <x:c r="J2847" s="274" t="n">
        <x:v>170</x:v>
      </x:c>
      <x:c r="K2847" s="274" t="n">
        <x:v>1250</x:v>
      </x:c>
      <x:c r="M2847" s="274" t="s">
        <x:v>5452</x:v>
      </x:c>
      <x:c r="N2847" s="274" t="s">
        <x:v>4258</x:v>
      </x:c>
    </x:row>
    <x:row r="2848" spans="1:14">
      <x:c r="A2848" s="274" t="s">
        <x:v>5453</x:v>
      </x:c>
      <x:c r="B2848" s="274" t="n">
        <x:v>0.69</x:v>
      </x:c>
      <x:c r="C2848" s="274" t="n">
        <x:v>0</x:v>
      </x:c>
      <x:c r="D2848" s="274" t="n">
        <x:v>0</x:v>
      </x:c>
      <x:c r="F2848" s="274" t="s">
        <x:v>333</x:v>
      </x:c>
      <x:c r="G2848" s="274" t="s">
        <x:v>4663</x:v>
      </x:c>
      <x:c r="I2848" s="274" t="n">
        <x:v>0.65</x:v>
      </x:c>
      <x:c r="J2848" s="274" t="n">
        <x:v>510</x:v>
      </x:c>
      <x:c r="K2848" s="274" t="n">
        <x:v>264</x:v>
      </x:c>
      <x:c r="M2848" s="274" t="s">
        <x:v>5454</x:v>
      </x:c>
      <x:c r="N2848" s="274" t="s">
        <x:v>4258</x:v>
      </x:c>
    </x:row>
    <x:row r="2849" spans="1:14">
      <x:c r="A2849" s="274" t="s">
        <x:v>5455</x:v>
      </x:c>
      <x:c r="B2849" s="274" t="n">
        <x:v>1.74</x:v>
      </x:c>
      <x:c r="C2849" s="274" t="n">
        <x:v>0</x:v>
      </x:c>
      <x:c r="D2849" s="274" t="n">
        <x:v>0</x:v>
      </x:c>
      <x:c r="F2849" s="274" t="s">
        <x:v>184</x:v>
      </x:c>
      <x:c r="G2849" s="274" t="s">
        <x:v>4782</x:v>
      </x:c>
      <x:c r="H2849" s="274" t="s">
        <x:v>4471</x:v>
      </x:c>
      <x:c r="I2849" s="274" t="n">
        <x:v>0.7</x:v>
      </x:c>
      <x:c r="J2849" s="274" t="n">
        <x:v>254</x:v>
      </x:c>
      <x:c r="K2849" s="274" t="n">
        <x:v>1250</x:v>
      </x:c>
      <x:c r="M2849" s="274" t="s">
        <x:v>5456</x:v>
      </x:c>
      <x:c r="N2849" s="274" t="s">
        <x:v>4258</x:v>
      </x:c>
    </x:row>
    <x:row r="2850" spans="1:14">
      <x:c r="A2850" s="274" t="s">
        <x:v>5457</x:v>
      </x:c>
      <x:c r="B2850" s="274" t="n">
        <x:v>1.37</x:v>
      </x:c>
      <x:c r="C2850" s="274" t="n">
        <x:v>0</x:v>
      </x:c>
      <x:c r="D2850" s="274" t="n">
        <x:v>0</x:v>
      </x:c>
      <x:c r="F2850" s="274" t="s">
        <x:v>3412</x:v>
      </x:c>
      <x:c r="G2850" s="274" t="s">
        <x:v>5449</x:v>
      </x:c>
      <x:c r="I2850" s="274" t="n">
        <x:v>1</x:v>
      </x:c>
      <x:c r="J2850" s="274" t="n">
        <x:v>142</x:v>
      </x:c>
      <x:c r="K2850" s="274" t="n">
        <x:v>1250</x:v>
      </x:c>
      <x:c r="M2850" s="274" t="s">
        <x:v>5458</x:v>
      </x:c>
      <x:c r="N2850" s="274" t="s">
        <x:v>4258</x:v>
      </x:c>
    </x:row>
    <x:row r="2851" spans="1:14">
      <x:c r="A2851" s="274" t="s">
        <x:v>5459</x:v>
      </x:c>
      <x:c r="B2851" s="274" t="n">
        <x:v>1.94</x:v>
      </x:c>
      <x:c r="C2851" s="274" t="n">
        <x:v>0</x:v>
      </x:c>
      <x:c r="D2851" s="274" t="n">
        <x:v>0</x:v>
      </x:c>
      <x:c r="F2851" s="274" t="s">
        <x:v>3412</x:v>
      </x:c>
      <x:c r="G2851" s="274" t="s">
        <x:v>5449</x:v>
      </x:c>
      <x:c r="I2851" s="274" t="n">
        <x:v>1</x:v>
      </x:c>
      <x:c r="J2851" s="274" t="n">
        <x:v>200</x:v>
      </x:c>
      <x:c r="K2851" s="274" t="n">
        <x:v>1250</x:v>
      </x:c>
      <x:c r="M2851" s="274" t="s">
        <x:v>5460</x:v>
      </x:c>
      <x:c r="N2851" s="274" t="s">
        <x:v>4258</x:v>
      </x:c>
    </x:row>
    <x:row r="2852" spans="1:14">
      <x:c r="A2852" s="274" t="s">
        <x:v>5461</x:v>
      </x:c>
      <x:c r="B2852" s="274" t="n">
        <x:v>2.09</x:v>
      </x:c>
      <x:c r="C2852" s="274" t="n">
        <x:v>0</x:v>
      </x:c>
      <x:c r="D2852" s="274" t="n">
        <x:v>0</x:v>
      </x:c>
      <x:c r="F2852" s="274" t="s">
        <x:v>3412</x:v>
      </x:c>
      <x:c r="G2852" s="274" t="s">
        <x:v>5449</x:v>
      </x:c>
      <x:c r="I2852" s="274" t="n">
        <x:v>2</x:v>
      </x:c>
      <x:c r="J2852" s="274" t="n">
        <x:v>108</x:v>
      </x:c>
      <x:c r="K2852" s="274" t="n">
        <x:v>1250</x:v>
      </x:c>
      <x:c r="M2852" s="274" t="s">
        <x:v>5462</x:v>
      </x:c>
      <x:c r="N2852" s="274" t="s">
        <x:v>4258</x:v>
      </x:c>
    </x:row>
    <x:row r="2853" spans="1:14">
      <x:c r="A2853" s="274" t="s">
        <x:v>5463</x:v>
      </x:c>
      <x:c r="B2853" s="274" t="n">
        <x:v>1.29</x:v>
      </x:c>
      <x:c r="C2853" s="274" t="n">
        <x:v>0</x:v>
      </x:c>
      <x:c r="D2853" s="274" t="n">
        <x:v>0</x:v>
      </x:c>
      <x:c r="F2853" s="274" t="s">
        <x:v>184</x:v>
      </x:c>
      <x:c r="G2853" s="274" t="s">
        <x:v>4782</x:v>
      </x:c>
      <x:c r="H2853" s="274" t="s">
        <x:v>4471</x:v>
      </x:c>
      <x:c r="I2853" s="274" t="n">
        <x:v>0.7</x:v>
      </x:c>
      <x:c r="J2853" s="274" t="n">
        <x:v>242</x:v>
      </x:c>
      <x:c r="K2853" s="274" t="n">
        <x:v>968</x:v>
      </x:c>
      <x:c r="M2853" s="274" t="s">
        <x:v>5464</x:v>
      </x:c>
      <x:c r="N2853" s="274" t="s">
        <x:v>4258</x:v>
      </x:c>
    </x:row>
    <x:row r="2854" spans="1:14">
      <x:c r="A2854" s="274" t="s">
        <x:v>5465</x:v>
      </x:c>
      <x:c r="B2854" s="274" t="n">
        <x:v>1.92</x:v>
      </x:c>
      <x:c r="C2854" s="274" t="n">
        <x:v>0</x:v>
      </x:c>
      <x:c r="D2854" s="274" t="n">
        <x:v>0</x:v>
      </x:c>
      <x:c r="F2854" s="274" t="s">
        <x:v>3412</x:v>
      </x:c>
      <x:c r="G2854" s="274" t="s">
        <x:v>5449</x:v>
      </x:c>
      <x:c r="I2854" s="274" t="n">
        <x:v>2</x:v>
      </x:c>
      <x:c r="J2854" s="274" t="n">
        <x:v>99</x:v>
      </x:c>
      <x:c r="K2854" s="274" t="n">
        <x:v>1250</x:v>
      </x:c>
      <x:c r="M2854" s="274" t="s">
        <x:v>5466</x:v>
      </x:c>
      <x:c r="N2854" s="274" t="s">
        <x:v>4258</x:v>
      </x:c>
    </x:row>
    <x:row r="2855" spans="1:14">
      <x:c r="A2855" s="274" t="s">
        <x:v>5467</x:v>
      </x:c>
      <x:c r="B2855" s="274" t="n">
        <x:v>0.6</x:v>
      </x:c>
      <x:c r="C2855" s="274" t="n">
        <x:v>0</x:v>
      </x:c>
      <x:c r="D2855" s="274" t="n">
        <x:v>0</x:v>
      </x:c>
      <x:c r="F2855" s="274" t="s">
        <x:v>184</x:v>
      </x:c>
      <x:c r="G2855" s="274" t="s">
        <x:v>4782</x:v>
      </x:c>
      <x:c r="H2855" s="274" t="s">
        <x:v>4471</x:v>
      </x:c>
      <x:c r="I2855" s="274" t="n">
        <x:v>0.7</x:v>
      </x:c>
      <x:c r="J2855" s="274" t="n">
        <x:v>87</x:v>
      </x:c>
      <x:c r="K2855" s="274" t="n">
        <x:v>1250</x:v>
      </x:c>
      <x:c r="M2855" s="274" t="s">
        <x:v>5468</x:v>
      </x:c>
      <x:c r="N2855" s="274" t="s">
        <x:v>4258</x:v>
      </x:c>
    </x:row>
    <x:row r="2856" spans="1:14">
      <x:c r="A2856" s="274" t="s">
        <x:v>5469</x:v>
      </x:c>
      <x:c r="B2856" s="274" t="n">
        <x:v>0.58</x:v>
      </x:c>
      <x:c r="C2856" s="274" t="n">
        <x:v>0</x:v>
      </x:c>
      <x:c r="D2856" s="274" t="n">
        <x:v>0</x:v>
      </x:c>
      <x:c r="F2856" s="274" t="s">
        <x:v>184</x:v>
      </x:c>
      <x:c r="G2856" s="274" t="s">
        <x:v>4782</x:v>
      </x:c>
      <x:c r="H2856" s="274" t="s">
        <x:v>4471</x:v>
      </x:c>
      <x:c r="I2856" s="274" t="n">
        <x:v>0.7</x:v>
      </x:c>
      <x:c r="J2856" s="274" t="n">
        <x:v>84</x:v>
      </x:c>
      <x:c r="K2856" s="274" t="n">
        <x:v>1250</x:v>
      </x:c>
      <x:c r="M2856" s="274" t="s">
        <x:v>5470</x:v>
      </x:c>
      <x:c r="N2856" s="274" t="s">
        <x:v>4258</x:v>
      </x:c>
    </x:row>
    <x:row r="2857" spans="1:14">
      <x:c r="A2857" s="274" t="s">
        <x:v>5471</x:v>
      </x:c>
      <x:c r="B2857" s="274" t="n">
        <x:v>1.39</x:v>
      </x:c>
      <x:c r="C2857" s="274" t="n">
        <x:v>0</x:v>
      </x:c>
      <x:c r="D2857" s="274" t="n">
        <x:v>0</x:v>
      </x:c>
      <x:c r="F2857" s="274" t="s">
        <x:v>3412</x:v>
      </x:c>
      <x:c r="G2857" s="274" t="s">
        <x:v>5449</x:v>
      </x:c>
      <x:c r="I2857" s="274" t="n">
        <x:v>2</x:v>
      </x:c>
      <x:c r="J2857" s="274" t="n">
        <x:v>72</x:v>
      </x:c>
      <x:c r="K2857" s="274" t="n">
        <x:v>1250</x:v>
      </x:c>
      <x:c r="M2857" s="274" t="s">
        <x:v>5472</x:v>
      </x:c>
      <x:c r="N2857" s="274" t="s">
        <x:v>4258</x:v>
      </x:c>
    </x:row>
    <x:row r="2858" spans="1:14">
      <x:c r="A2858" s="274" t="s">
        <x:v>5473</x:v>
      </x:c>
      <x:c r="B2858" s="274" t="n">
        <x:v>0.63</x:v>
      </x:c>
      <x:c r="C2858" s="274" t="n">
        <x:v>0</x:v>
      </x:c>
      <x:c r="D2858" s="274" t="n">
        <x:v>0</x:v>
      </x:c>
      <x:c r="F2858" s="274" t="s">
        <x:v>184</x:v>
      </x:c>
      <x:c r="G2858" s="274" t="s">
        <x:v>4782</x:v>
      </x:c>
      <x:c r="H2858" s="274" t="s">
        <x:v>4471</x:v>
      </x:c>
      <x:c r="I2858" s="274" t="n">
        <x:v>0.7</x:v>
      </x:c>
      <x:c r="J2858" s="274" t="n">
        <x:v>91</x:v>
      </x:c>
      <x:c r="K2858" s="274" t="n">
        <x:v>1250</x:v>
      </x:c>
      <x:c r="M2858" s="274" t="s">
        <x:v>5474</x:v>
      </x:c>
      <x:c r="N2858" s="274" t="s">
        <x:v>4258</x:v>
      </x:c>
    </x:row>
    <x:row r="2859" spans="1:14">
      <x:c r="A2859" s="274" t="s">
        <x:v>5475</x:v>
      </x:c>
      <x:c r="B2859" s="274" t="n">
        <x:v>2.91</x:v>
      </x:c>
      <x:c r="C2859" s="274" t="n">
        <x:v>0</x:v>
      </x:c>
      <x:c r="D2859" s="274" t="n">
        <x:v>0</x:v>
      </x:c>
      <x:c r="F2859" s="274" t="s">
        <x:v>3412</x:v>
      </x:c>
      <x:c r="G2859" s="274" t="s">
        <x:v>5476</x:v>
      </x:c>
      <x:c r="I2859" s="274" t="n">
        <x:v>1.2</x:v>
      </x:c>
      <x:c r="J2859" s="274" t="n">
        <x:v>251</x:v>
      </x:c>
      <x:c r="K2859" s="274" t="n">
        <x:v>1250</x:v>
      </x:c>
      <x:c r="M2859" s="274" t="s">
        <x:v>5477</x:v>
      </x:c>
      <x:c r="N2859" s="274" t="s">
        <x:v>4258</x:v>
      </x:c>
    </x:row>
    <x:row r="2860" spans="1:14">
      <x:c r="A2860" s="274" t="s">
        <x:v>5478</x:v>
      </x:c>
      <x:c r="B2860" s="274" t="n">
        <x:v>1.37</x:v>
      </x:c>
      <x:c r="C2860" s="274" t="n">
        <x:v>0</x:v>
      </x:c>
      <x:c r="D2860" s="274" t="n">
        <x:v>0</x:v>
      </x:c>
      <x:c r="F2860" s="274" t="s">
        <x:v>184</x:v>
      </x:c>
      <x:c r="G2860" s="274" t="s">
        <x:v>4782</x:v>
      </x:c>
      <x:c r="H2860" s="274" t="s">
        <x:v>4471</x:v>
      </x:c>
      <x:c r="I2860" s="274" t="n">
        <x:v>1</x:v>
      </x:c>
      <x:c r="J2860" s="274" t="n">
        <x:v>140</x:v>
      </x:c>
      <x:c r="K2860" s="274" t="n">
        <x:v>1250</x:v>
      </x:c>
      <x:c r="M2860" s="274" t="s">
        <x:v>5479</x:v>
      </x:c>
      <x:c r="N2860" s="274" t="s">
        <x:v>4258</x:v>
      </x:c>
    </x:row>
    <x:row r="2861" spans="1:14">
      <x:c r="A2861" s="274" t="s">
        <x:v>5480</x:v>
      </x:c>
      <x:c r="B2861" s="274" t="n">
        <x:v>1.81</x:v>
      </x:c>
      <x:c r="C2861" s="274" t="n">
        <x:v>0</x:v>
      </x:c>
      <x:c r="D2861" s="274" t="n">
        <x:v>0</x:v>
      </x:c>
      <x:c r="F2861" s="274" t="s">
        <x:v>333</x:v>
      </x:c>
      <x:c r="G2861" s="274" t="s">
        <x:v>4663</x:v>
      </x:c>
      <x:c r="I2861" s="274" t="n">
        <x:v>1</x:v>
      </x:c>
      <x:c r="J2861" s="274" t="n">
        <x:v>184</x:v>
      </x:c>
      <x:c r="K2861" s="274" t="n">
        <x:v>1250</x:v>
      </x:c>
      <x:c r="M2861" s="274" t="s">
        <x:v>5481</x:v>
      </x:c>
      <x:c r="N2861" s="274" t="s">
        <x:v>4258</x:v>
      </x:c>
    </x:row>
    <x:row r="2862" spans="1:14">
      <x:c r="A2862" s="274" t="s">
        <x:v>5482</x:v>
      </x:c>
      <x:c r="B2862" s="274" t="n">
        <x:v>2.34</x:v>
      </x:c>
      <x:c r="C2862" s="274" t="n">
        <x:v>0</x:v>
      </x:c>
      <x:c r="D2862" s="274" t="n">
        <x:v>0</x:v>
      </x:c>
      <x:c r="F2862" s="274" t="s">
        <x:v>333</x:v>
      </x:c>
      <x:c r="G2862" s="274" t="s">
        <x:v>4663</x:v>
      </x:c>
      <x:c r="I2862" s="274" t="n">
        <x:v>1</x:v>
      </x:c>
      <x:c r="J2862" s="274" t="n">
        <x:v>238</x:v>
      </x:c>
      <x:c r="K2862" s="274" t="n">
        <x:v>1250</x:v>
      </x:c>
      <x:c r="M2862" s="274" t="s">
        <x:v>5483</x:v>
      </x:c>
      <x:c r="N2862" s="274" t="s">
        <x:v>4258</x:v>
      </x:c>
    </x:row>
    <x:row r="2863" spans="1:14">
      <x:c r="A2863" s="274" t="s">
        <x:v>5484</x:v>
      </x:c>
      <x:c r="B2863" s="274" t="n">
        <x:v>0.84</x:v>
      </x:c>
      <x:c r="C2863" s="274" t="n">
        <x:v>0</x:v>
      </x:c>
      <x:c r="D2863" s="274" t="n">
        <x:v>0</x:v>
      </x:c>
      <x:c r="F2863" s="274" t="s">
        <x:v>333</x:v>
      </x:c>
      <x:c r="G2863" s="274" t="s">
        <x:v>153</x:v>
      </x:c>
      <x:c r="I2863" s="274" t="n">
        <x:v>0.6</x:v>
      </x:c>
      <x:c r="J2863" s="274" t="n">
        <x:v>940</x:v>
      </x:c>
      <x:c r="K2863" s="274" t="n">
        <x:v>190</x:v>
      </x:c>
      <x:c r="M2863" s="274" t="s">
        <x:v>5485</x:v>
      </x:c>
      <x:c r="N2863" s="274" t="s">
        <x:v>3671</x:v>
      </x:c>
    </x:row>
    <x:row r="2864" spans="1:14">
      <x:c r="A2864" s="274" t="s">
        <x:v>5486</x:v>
      </x:c>
      <x:c r="B2864" s="274" t="n">
        <x:v>1.18</x:v>
      </x:c>
      <x:c r="C2864" s="274" t="n">
        <x:v>0</x:v>
      </x:c>
      <x:c r="D2864" s="274" t="n">
        <x:v>0</x:v>
      </x:c>
      <x:c r="F2864" s="274" t="s">
        <x:v>333</x:v>
      </x:c>
      <x:c r="G2864" s="274" t="s">
        <x:v>209</x:v>
      </x:c>
      <x:c r="I2864" s="274" t="n">
        <x:v>0.6</x:v>
      </x:c>
      <x:c r="J2864" s="274" t="n">
        <x:v>213</x:v>
      </x:c>
      <x:c r="K2864" s="274" t="n">
        <x:v>1175</x:v>
      </x:c>
      <x:c r="M2864" s="274" t="s">
        <x:v>5487</x:v>
      </x:c>
      <x:c r="N2864" s="274" t="s">
        <x:v>3671</x:v>
      </x:c>
    </x:row>
    <x:row r="2865" spans="1:14">
      <x:c r="A2865" s="274" t="s">
        <x:v>5488</x:v>
      </x:c>
      <x:c r="B2865" s="274" t="n">
        <x:v>0.68</x:v>
      </x:c>
      <x:c r="C2865" s="274" t="n">
        <x:v>0</x:v>
      </x:c>
      <x:c r="D2865" s="274" t="n">
        <x:v>0</x:v>
      </x:c>
      <x:c r="F2865" s="274" t="s">
        <x:v>333</x:v>
      </x:c>
      <x:c r="G2865" s="274" t="s">
        <x:v>209</x:v>
      </x:c>
      <x:c r="I2865" s="274" t="n">
        <x:v>0.6</x:v>
      </x:c>
      <x:c r="J2865" s="274" t="n">
        <x:v>120</x:v>
      </x:c>
      <x:c r="K2865" s="274" t="n">
        <x:v>1205</x:v>
      </x:c>
      <x:c r="M2865" s="274" t="s">
        <x:v>5489</x:v>
      </x:c>
      <x:c r="N2865" s="274" t="s">
        <x:v>3671</x:v>
      </x:c>
    </x:row>
    <x:row r="2866" spans="1:14">
      <x:c r="A2866" s="274" t="s">
        <x:v>5490</x:v>
      </x:c>
      <x:c r="B2866" s="274" t="n">
        <x:v>0.72</x:v>
      </x:c>
      <x:c r="C2866" s="274" t="n">
        <x:v>0</x:v>
      </x:c>
      <x:c r="D2866" s="274" t="n">
        <x:v>0</x:v>
      </x:c>
      <x:c r="F2866" s="274" t="s">
        <x:v>333</x:v>
      </x:c>
      <x:c r="G2866" s="274" t="s">
        <x:v>153</x:v>
      </x:c>
      <x:c r="I2866" s="274" t="n">
        <x:v>0.65</x:v>
      </x:c>
      <x:c r="J2866" s="274" t="n">
        <x:v>552</x:v>
      </x:c>
      <x:c r="K2866" s="274" t="n">
        <x:v>254</x:v>
      </x:c>
      <x:c r="M2866" s="274" t="s">
        <x:v>5385</x:v>
      </x:c>
      <x:c r="N2866" s="274" t="s">
        <x:v>3671</x:v>
      </x:c>
    </x:row>
    <x:row r="2867" spans="1:14">
      <x:c r="A2867" s="274" t="s">
        <x:v>5491</x:v>
      </x:c>
      <x:c r="B2867" s="274" t="n">
        <x:v>0.12</x:v>
      </x:c>
      <x:c r="C2867" s="274" t="n">
        <x:v>0</x:v>
      </x:c>
      <x:c r="D2867" s="274" t="n">
        <x:v>0</x:v>
      </x:c>
      <x:c r="F2867" s="274" t="s">
        <x:v>133</x:v>
      </x:c>
      <x:c r="G2867" s="274" t="s">
        <x:v>136</x:v>
      </x:c>
      <x:c r="H2867" s="274" t="n">
        <x:v>45</x:v>
      </x:c>
      <x:c r="I2867" s="274" t="n">
        <x:v>0.7</x:v>
      </x:c>
      <x:c r="J2867" s="274" t="n">
        <x:v>166</x:v>
      </x:c>
      <x:c r="K2867" s="274" t="n">
        <x:v>127</x:v>
      </x:c>
      <x:c r="M2867" s="274" t="s">
        <x:v>5492</x:v>
      </x:c>
      <x:c r="N2867" s="274" t="s">
        <x:v>3671</x:v>
      </x:c>
    </x:row>
    <x:row r="2868" spans="1:14">
      <x:c r="A2868" s="274" t="s">
        <x:v>5493</x:v>
      </x:c>
      <x:c r="B2868" s="274" t="n">
        <x:v>0.28</x:v>
      </x:c>
      <x:c r="C2868" s="274" t="n">
        <x:v>0</x:v>
      </x:c>
      <x:c r="D2868" s="274" t="n">
        <x:v>0</x:v>
      </x:c>
      <x:c r="F2868" s="274" t="s">
        <x:v>333</x:v>
      </x:c>
      <x:c r="G2868" s="274" t="s">
        <x:v>153</x:v>
      </x:c>
      <x:c r="I2868" s="274" t="n">
        <x:v>0.7</x:v>
      </x:c>
      <x:c r="J2868" s="274" t="n">
        <x:v>208</x:v>
      </x:c>
      <x:c r="K2868" s="274" t="n">
        <x:v>248</x:v>
      </x:c>
      <x:c r="M2868" s="274" t="s">
        <x:v>5494</x:v>
      </x:c>
      <x:c r="N2868" s="274" t="s">
        <x:v>3671</x:v>
      </x:c>
    </x:row>
    <x:row r="2869" spans="1:14">
      <x:c r="A2869" s="274" t="s">
        <x:v>5495</x:v>
      </x:c>
      <x:c r="B2869" s="274" t="n">
        <x:v>0.61</x:v>
      </x:c>
      <x:c r="C2869" s="274" t="n">
        <x:v>0</x:v>
      </x:c>
      <x:c r="D2869" s="274" t="n">
        <x:v>0</x:v>
      </x:c>
      <x:c r="F2869" s="274" t="s">
        <x:v>133</x:v>
      </x:c>
      <x:c r="G2869" s="274" t="s">
        <x:v>136</x:v>
      </x:c>
      <x:c r="H2869" s="274" t="n">
        <x:v>45</x:v>
      </x:c>
      <x:c r="I2869" s="274" t="n">
        <x:v>0.75</x:v>
      </x:c>
      <x:c r="J2869" s="274" t="n">
        <x:v>223</x:v>
      </x:c>
      <x:c r="K2869" s="274" t="n">
        <x:v>459</x:v>
      </x:c>
      <x:c r="M2869" s="274" t="s">
        <x:v>5496</x:v>
      </x:c>
      <x:c r="N2869" s="274" t="s">
        <x:v>3671</x:v>
      </x:c>
    </x:row>
    <x:row r="2870" spans="1:14">
      <x:c r="A2870" s="274" t="s">
        <x:v>5497</x:v>
      </x:c>
      <x:c r="B2870" s="274" t="n">
        <x:v>0.85</x:v>
      </x:c>
      <x:c r="C2870" s="274" t="n">
        <x:v>0</x:v>
      </x:c>
      <x:c r="D2870" s="274" t="n">
        <x:v>0</x:v>
      </x:c>
      <x:c r="F2870" s="274" t="s">
        <x:v>311</x:v>
      </x:c>
      <x:c r="G2870" s="274" t="s">
        <x:v>5498</x:v>
      </x:c>
      <x:c r="H2870" s="274" t="s">
        <x:v>5499</x:v>
      </x:c>
      <x:c r="I2870" s="274" t="n">
        <x:v>0.6</x:v>
      </x:c>
      <x:c r="J2870" s="274" t="n">
        <x:v>143</x:v>
      </x:c>
      <x:c r="K2870" s="274" t="n">
        <x:v>1250</x:v>
      </x:c>
      <x:c r="N2870" s="274" t="s">
        <x:v>5500</x:v>
      </x:c>
    </x:row>
    <x:row r="2871" spans="1:14">
      <x:c r="A2871" s="274" t="s">
        <x:v>5501</x:v>
      </x:c>
      <x:c r="B2871" s="274" t="n">
        <x:v>0.86</x:v>
      </x:c>
      <x:c r="C2871" s="274" t="n">
        <x:v>0</x:v>
      </x:c>
      <x:c r="D2871" s="274" t="n">
        <x:v>0</x:v>
      </x:c>
      <x:c r="F2871" s="274" t="s">
        <x:v>311</x:v>
      </x:c>
      <x:c r="G2871" s="274" t="s">
        <x:v>5498</x:v>
      </x:c>
      <x:c r="H2871" s="274" t="s">
        <x:v>5499</x:v>
      </x:c>
      <x:c r="I2871" s="274" t="n">
        <x:v>0.6</x:v>
      </x:c>
      <x:c r="J2871" s="274" t="n">
        <x:v>143</x:v>
      </x:c>
      <x:c r="K2871" s="274" t="n">
        <x:v>1260</x:v>
      </x:c>
      <x:c r="N2871" s="274" t="s">
        <x:v>5500</x:v>
      </x:c>
    </x:row>
    <x:row r="2872" spans="1:14">
      <x:c r="A2872" s="274" t="s">
        <x:v>5502</x:v>
      </x:c>
      <x:c r="B2872" s="274" t="n">
        <x:v>2.94</x:v>
      </x:c>
      <x:c r="C2872" s="274" t="n">
        <x:v>0</x:v>
      </x:c>
      <x:c r="D2872" s="274" t="n">
        <x:v>0</x:v>
      </x:c>
      <x:c r="F2872" s="274" t="s">
        <x:v>333</x:v>
      </x:c>
      <x:c r="G2872" s="274" t="s">
        <x:v>4663</x:v>
      </x:c>
      <x:c r="I2872" s="274" t="n">
        <x:v>1</x:v>
      </x:c>
      <x:c r="J2872" s="274" t="n">
        <x:v>300</x:v>
      </x:c>
      <x:c r="K2872" s="274" t="n">
        <x:v>1250</x:v>
      </x:c>
      <x:c r="M2872" s="274" t="s">
        <x:v>5503</x:v>
      </x:c>
      <x:c r="N2872" s="274" t="s">
        <x:v>4258</x:v>
      </x:c>
    </x:row>
    <x:row r="2873" spans="1:14">
      <x:c r="A2873" s="274" t="s">
        <x:v>5504</x:v>
      </x:c>
      <x:c r="B2873" s="274" t="n">
        <x:v>2.88</x:v>
      </x:c>
      <x:c r="C2873" s="274" t="n">
        <x:v>0</x:v>
      </x:c>
      <x:c r="D2873" s="274" t="n">
        <x:v>0</x:v>
      </x:c>
      <x:c r="F2873" s="274" t="s">
        <x:v>333</x:v>
      </x:c>
      <x:c r="G2873" s="274" t="s">
        <x:v>4796</x:v>
      </x:c>
      <x:c r="I2873" s="274" t="n">
        <x:v>1.2</x:v>
      </x:c>
      <x:c r="J2873" s="274" t="n">
        <x:v>245</x:v>
      </x:c>
      <x:c r="K2873" s="274" t="n">
        <x:v>1250</x:v>
      </x:c>
      <x:c r="M2873" s="274" t="s">
        <x:v>5505</x:v>
      </x:c>
      <x:c r="N2873" s="274" t="s">
        <x:v>4258</x:v>
      </x:c>
    </x:row>
    <x:row r="2874" spans="1:14">
      <x:c r="A2874" s="274" t="s">
        <x:v>5506</x:v>
      </x:c>
      <x:c r="B2874" s="274" t="n">
        <x:v>2.59</x:v>
      </x:c>
      <x:c r="C2874" s="274" t="n">
        <x:v>0</x:v>
      </x:c>
      <x:c r="D2874" s="274" t="n">
        <x:v>0</x:v>
      </x:c>
      <x:c r="F2874" s="274" t="s">
        <x:v>333</x:v>
      </x:c>
      <x:c r="G2874" s="274" t="s">
        <x:v>4796</x:v>
      </x:c>
      <x:c r="I2874" s="274" t="n">
        <x:v>1.2</x:v>
      </x:c>
      <x:c r="J2874" s="274" t="n">
        <x:v>220</x:v>
      </x:c>
      <x:c r="K2874" s="274" t="n">
        <x:v>1250</x:v>
      </x:c>
      <x:c r="M2874" s="274" t="s">
        <x:v>5507</x:v>
      </x:c>
      <x:c r="N2874" s="274" t="s">
        <x:v>4258</x:v>
      </x:c>
    </x:row>
    <x:row r="2875" spans="1:14">
      <x:c r="A2875" s="274" t="s">
        <x:v>5508</x:v>
      </x:c>
      <x:c r="B2875" s="274" t="n">
        <x:v>0.54</x:v>
      </x:c>
      <x:c r="C2875" s="274" t="n">
        <x:v>0</x:v>
      </x:c>
      <x:c r="D2875" s="274" t="n">
        <x:v>0</x:v>
      </x:c>
      <x:c r="F2875" s="274" t="s">
        <x:v>133</x:v>
      </x:c>
      <x:c r="G2875" s="274" t="s">
        <x:v>136</x:v>
      </x:c>
      <x:c r="H2875" s="274" t="n">
        <x:v>45</x:v>
      </x:c>
      <x:c r="I2875" s="274" t="n">
        <x:v>0.75</x:v>
      </x:c>
      <x:c r="J2875" s="274" t="n">
        <x:v>375</x:v>
      </x:c>
      <x:c r="K2875" s="274" t="n">
        <x:v>243</x:v>
      </x:c>
      <x:c r="M2875" s="274" t="s">
        <x:v>5509</x:v>
      </x:c>
      <x:c r="N2875" s="274" t="s">
        <x:v>3671</x:v>
      </x:c>
    </x:row>
    <x:row r="2876" spans="1:14">
      <x:c r="A2876" s="274" t="s">
        <x:v>5510</x:v>
      </x:c>
      <x:c r="B2876" s="274" t="n">
        <x:v>0.23</x:v>
      </x:c>
      <x:c r="C2876" s="274" t="n">
        <x:v>0</x:v>
      </x:c>
      <x:c r="D2876" s="274" t="n">
        <x:v>0</x:v>
      </x:c>
      <x:c r="F2876" s="274" t="s">
        <x:v>133</x:v>
      </x:c>
      <x:c r="G2876" s="274" t="s">
        <x:v>136</x:v>
      </x:c>
      <x:c r="H2876" s="274" t="n">
        <x:v>45</x:v>
      </x:c>
      <x:c r="I2876" s="274" t="n">
        <x:v>0.75</x:v>
      </x:c>
      <x:c r="J2876" s="274" t="n">
        <x:v>307</x:v>
      </x:c>
      <x:c r="K2876" s="274" t="n">
        <x:v>125</x:v>
      </x:c>
      <x:c r="M2876" s="274" t="s">
        <x:v>5511</x:v>
      </x:c>
      <x:c r="N2876" s="274" t="s">
        <x:v>3671</x:v>
      </x:c>
    </x:row>
    <x:row r="2877" spans="1:14">
      <x:c r="A2877" s="274" t="s">
        <x:v>5512</x:v>
      </x:c>
      <x:c r="B2877" s="274" t="n">
        <x:v>0.08</x:v>
      </x:c>
      <x:c r="C2877" s="274" t="n">
        <x:v>0</x:v>
      </x:c>
      <x:c r="D2877" s="274" t="n">
        <x:v>0</x:v>
      </x:c>
      <x:c r="F2877" s="274" t="s">
        <x:v>133</x:v>
      </x:c>
      <x:c r="G2877" s="274" t="s">
        <x:v>136</x:v>
      </x:c>
      <x:c r="H2877" s="274" t="n">
        <x:v>45</x:v>
      </x:c>
      <x:c r="I2877" s="274" t="n">
        <x:v>0.75</x:v>
      </x:c>
      <x:c r="J2877" s="274" t="n">
        <x:v>102</x:v>
      </x:c>
      <x:c r="K2877" s="274" t="n">
        <x:v>134</x:v>
      </x:c>
      <x:c r="M2877" s="274" t="s">
        <x:v>5513</x:v>
      </x:c>
      <x:c r="N2877" s="274" t="s">
        <x:v>3671</x:v>
      </x:c>
    </x:row>
    <x:row r="2878" spans="1:14">
      <x:c r="A2878" s="274" t="s">
        <x:v>5514</x:v>
      </x:c>
      <x:c r="B2878" s="274" t="n">
        <x:v>3.41</x:v>
      </x:c>
      <x:c r="C2878" s="274" t="n">
        <x:v>0</x:v>
      </x:c>
      <x:c r="D2878" s="274" t="n">
        <x:v>0</x:v>
      </x:c>
      <x:c r="F2878" s="274" t="s">
        <x:v>333</x:v>
      </x:c>
      <x:c r="G2878" s="274" t="s">
        <x:v>4796</x:v>
      </x:c>
      <x:c r="I2878" s="274" t="n">
        <x:v>1.2</x:v>
      </x:c>
      <x:c r="J2878" s="274" t="n">
        <x:v>290</x:v>
      </x:c>
      <x:c r="K2878" s="274" t="n">
        <x:v>1250</x:v>
      </x:c>
      <x:c r="M2878" s="274" t="s">
        <x:v>5515</x:v>
      </x:c>
      <x:c r="N2878" s="274" t="s">
        <x:v>4258</x:v>
      </x:c>
    </x:row>
    <x:row r="2879" spans="1:14">
      <x:c r="A2879" s="274" t="s">
        <x:v>5516</x:v>
      </x:c>
      <x:c r="B2879" s="274" t="n">
        <x:v>0.39</x:v>
      </x:c>
      <x:c r="C2879" s="274" t="n">
        <x:v>0</x:v>
      </x:c>
      <x:c r="D2879" s="274" t="n">
        <x:v>0</x:v>
      </x:c>
      <x:c r="F2879" s="274" t="s">
        <x:v>133</x:v>
      </x:c>
      <x:c r="G2879" s="274" t="s">
        <x:v>136</x:v>
      </x:c>
      <x:c r="H2879" s="274" t="n">
        <x:v>45</x:v>
      </x:c>
      <x:c r="I2879" s="274" t="n">
        <x:v>0.75</x:v>
      </x:c>
      <x:c r="J2879" s="274" t="n">
        <x:v>120</x:v>
      </x:c>
      <x:c r="K2879" s="274" t="n">
        <x:v>547</x:v>
      </x:c>
      <x:c r="M2879" s="274" t="s">
        <x:v>5517</x:v>
      </x:c>
      <x:c r="N2879" s="274" t="s">
        <x:v>3671</x:v>
      </x:c>
    </x:row>
    <x:row r="2880" spans="1:14">
      <x:c r="A2880" s="274" t="s">
        <x:v>5518</x:v>
      </x:c>
      <x:c r="B2880" s="274" t="n">
        <x:v>3.11</x:v>
      </x:c>
      <x:c r="C2880" s="274" t="n">
        <x:v>0</x:v>
      </x:c>
      <x:c r="D2880" s="274" t="n">
        <x:v>0</x:v>
      </x:c>
      <x:c r="F2880" s="274" t="s">
        <x:v>133</x:v>
      </x:c>
      <x:c r="G2880" s="274" t="s">
        <x:v>4329</x:v>
      </x:c>
      <x:c r="I2880" s="274" t="n">
        <x:v>2</x:v>
      </x:c>
      <x:c r="J2880" s="274" t="n">
        <x:v>165</x:v>
      </x:c>
      <x:c r="K2880" s="274" t="n">
        <x:v>1200</x:v>
      </x:c>
      <x:c r="M2880" s="274" t="s">
        <x:v>5519</x:v>
      </x:c>
      <x:c r="N2880" s="274" t="s">
        <x:v>4258</x:v>
      </x:c>
    </x:row>
    <x:row r="2881" spans="1:14">
      <x:c r="A2881" s="274" t="s">
        <x:v>5520</x:v>
      </x:c>
      <x:c r="B2881" s="274" t="n">
        <x:v>5.28</x:v>
      </x:c>
      <x:c r="C2881" s="274" t="n">
        <x:v>0</x:v>
      </x:c>
      <x:c r="D2881" s="274" t="n">
        <x:v>0</x:v>
      </x:c>
      <x:c r="F2881" s="274" t="s">
        <x:v>133</x:v>
      </x:c>
      <x:c r="G2881" s="274" t="s">
        <x:v>4329</x:v>
      </x:c>
      <x:c r="I2881" s="274" t="n">
        <x:v>2</x:v>
      </x:c>
      <x:c r="J2881" s="274" t="n">
        <x:v>280</x:v>
      </x:c>
      <x:c r="K2881" s="274" t="n">
        <x:v>1200</x:v>
      </x:c>
      <x:c r="M2881" s="274" t="s">
        <x:v>5521</x:v>
      </x:c>
      <x:c r="N2881" s="274" t="s">
        <x:v>4258</x:v>
      </x:c>
    </x:row>
    <x:row r="2882" spans="1:14">
      <x:c r="A2882" s="274" t="s">
        <x:v>5522</x:v>
      </x:c>
      <x:c r="B2882" s="274" t="n">
        <x:v>2.06</x:v>
      </x:c>
      <x:c r="C2882" s="274" t="n">
        <x:v>0</x:v>
      </x:c>
      <x:c r="D2882" s="274" t="n">
        <x:v>0</x:v>
      </x:c>
      <x:c r="F2882" s="274" t="s">
        <x:v>333</x:v>
      </x:c>
      <x:c r="G2882" s="274" t="s">
        <x:v>4663</x:v>
      </x:c>
      <x:c r="I2882" s="274" t="n">
        <x:v>2.3</x:v>
      </x:c>
      <x:c r="J2882" s="274" t="n">
        <x:v>91</x:v>
      </x:c>
      <x:c r="K2882" s="274" t="n">
        <x:v>1250</x:v>
      </x:c>
      <x:c r="M2882" s="274" t="s">
        <x:v>5523</x:v>
      </x:c>
      <x:c r="N2882" s="274" t="s">
        <x:v>4258</x:v>
      </x:c>
    </x:row>
    <x:row r="2883" spans="1:14">
      <x:c r="A2883" s="274" t="s">
        <x:v>5524</x:v>
      </x:c>
      <x:c r="B2883" s="274" t="n">
        <x:v>4.31</x:v>
      </x:c>
      <x:c r="C2883" s="274" t="n">
        <x:v>0</x:v>
      </x:c>
      <x:c r="D2883" s="274" t="n">
        <x:v>0</x:v>
      </x:c>
      <x:c r="F2883" s="274" t="s">
        <x:v>184</x:v>
      </x:c>
      <x:c r="G2883" s="274" t="s">
        <x:v>4782</x:v>
      </x:c>
      <x:c r="H2883" s="274" t="s">
        <x:v>4471</x:v>
      </x:c>
      <x:c r="I2883" s="274" t="n">
        <x:v>1.2</x:v>
      </x:c>
      <x:c r="J2883" s="274" t="n">
        <x:v>366</x:v>
      </x:c>
      <x:c r="K2883" s="274" t="n">
        <x:v>1250</x:v>
      </x:c>
      <x:c r="M2883" s="274" t="s">
        <x:v>5525</x:v>
      </x:c>
      <x:c r="N2883" s="274" t="s">
        <x:v>4258</x:v>
      </x:c>
    </x:row>
    <x:row r="2884" spans="1:14">
      <x:c r="A2884" s="274" t="s">
        <x:v>5526</x:v>
      </x:c>
      <x:c r="B2884" s="274" t="n">
        <x:v>2.83</x:v>
      </x:c>
      <x:c r="C2884" s="274" t="n">
        <x:v>0</x:v>
      </x:c>
      <x:c r="D2884" s="274" t="n">
        <x:v>0</x:v>
      </x:c>
      <x:c r="F2884" s="274" t="s">
        <x:v>184</x:v>
      </x:c>
      <x:c r="G2884" s="274" t="s">
        <x:v>4782</x:v>
      </x:c>
      <x:c r="H2884" s="274" t="s">
        <x:v>4471</x:v>
      </x:c>
      <x:c r="I2884" s="274" t="n">
        <x:v>1.2</x:v>
      </x:c>
      <x:c r="J2884" s="274" t="n">
        <x:v>240</x:v>
      </x:c>
      <x:c r="K2884" s="274" t="n">
        <x:v>1250</x:v>
      </x:c>
      <x:c r="M2884" s="274" t="s">
        <x:v>5527</x:v>
      </x:c>
      <x:c r="N2884" s="274" t="s">
        <x:v>4258</x:v>
      </x:c>
    </x:row>
    <x:row r="2885" spans="1:14">
      <x:c r="A2885" s="274" t="s">
        <x:v>5528</x:v>
      </x:c>
      <x:c r="B2885" s="274" t="n">
        <x:v>3.95</x:v>
      </x:c>
      <x:c r="C2885" s="274" t="n">
        <x:v>0</x:v>
      </x:c>
      <x:c r="D2885" s="274" t="n">
        <x:v>0</x:v>
      </x:c>
      <x:c r="F2885" s="274" t="s">
        <x:v>184</x:v>
      </x:c>
      <x:c r="G2885" s="274" t="s">
        <x:v>4782</x:v>
      </x:c>
      <x:c r="H2885" s="274" t="s">
        <x:v>4471</x:v>
      </x:c>
      <x:c r="I2885" s="274" t="n">
        <x:v>1.2</x:v>
      </x:c>
      <x:c r="J2885" s="274" t="n">
        <x:v>335</x:v>
      </x:c>
      <x:c r="K2885" s="274" t="n">
        <x:v>1250</x:v>
      </x:c>
      <x:c r="M2885" s="274" t="s">
        <x:v>5529</x:v>
      </x:c>
      <x:c r="N2885" s="274" t="s">
        <x:v>4258</x:v>
      </x:c>
    </x:row>
    <x:row r="2886" spans="1:14">
      <x:c r="A2886" s="274" t="s">
        <x:v>5530</x:v>
      </x:c>
      <x:c r="B2886" s="274" t="n">
        <x:v>2.03</x:v>
      </x:c>
      <x:c r="C2886" s="274" t="n">
        <x:v>0</x:v>
      </x:c>
      <x:c r="D2886" s="274" t="n">
        <x:v>0</x:v>
      </x:c>
      <x:c r="F2886" s="274" t="s">
        <x:v>184</x:v>
      </x:c>
      <x:c r="G2886" s="274" t="s">
        <x:v>4782</x:v>
      </x:c>
      <x:c r="H2886" s="274" t="s">
        <x:v>4471</x:v>
      </x:c>
      <x:c r="I2886" s="274" t="n">
        <x:v>1.2</x:v>
      </x:c>
      <x:c r="J2886" s="274" t="n">
        <x:v>172</x:v>
      </x:c>
      <x:c r="K2886" s="274" t="n">
        <x:v>1250</x:v>
      </x:c>
      <x:c r="M2886" s="274" t="s">
        <x:v>5531</x:v>
      </x:c>
      <x:c r="N2886" s="274" t="s">
        <x:v>4258</x:v>
      </x:c>
    </x:row>
    <x:row r="2887" spans="1:14">
      <x:c r="A2887" s="274" t="s">
        <x:v>5532</x:v>
      </x:c>
      <x:c r="B2887" s="274" t="n">
        <x:v>0.83</x:v>
      </x:c>
      <x:c r="C2887" s="274" t="n">
        <x:v>0</x:v>
      </x:c>
      <x:c r="D2887" s="274" t="n">
        <x:v>0</x:v>
      </x:c>
      <x:c r="F2887" s="274" t="s">
        <x:v>333</x:v>
      </x:c>
      <x:c r="G2887" s="274" t="s">
        <x:v>4663</x:v>
      </x:c>
      <x:c r="I2887" s="274" t="n">
        <x:v>1</x:v>
      </x:c>
      <x:c r="J2887" s="274" t="n">
        <x:v>85</x:v>
      </x:c>
      <x:c r="K2887" s="274" t="n">
        <x:v>1250</x:v>
      </x:c>
      <x:c r="M2887" s="274" t="s">
        <x:v>5533</x:v>
      </x:c>
      <x:c r="N2887" s="274" t="s">
        <x:v>4258</x:v>
      </x:c>
    </x:row>
    <x:row r="2888" spans="1:14">
      <x:c r="A2888" s="274" t="s">
        <x:v>5534</x:v>
      </x:c>
      <x:c r="B2888" s="274" t="n">
        <x:v>1.75</x:v>
      </x:c>
      <x:c r="C2888" s="274" t="n">
        <x:v>0</x:v>
      </x:c>
      <x:c r="D2888" s="274" t="n">
        <x:v>0</x:v>
      </x:c>
      <x:c r="F2888" s="274" t="s">
        <x:v>333</x:v>
      </x:c>
      <x:c r="G2888" s="274" t="s">
        <x:v>4663</x:v>
      </x:c>
      <x:c r="I2888" s="274" t="n">
        <x:v>1</x:v>
      </x:c>
      <x:c r="J2888" s="274" t="n">
        <x:v>178</x:v>
      </x:c>
      <x:c r="K2888" s="274" t="n">
        <x:v>1250</x:v>
      </x:c>
      <x:c r="M2888" s="274" t="s">
        <x:v>5535</x:v>
      </x:c>
      <x:c r="N2888" s="274" t="s">
        <x:v>4258</x:v>
      </x:c>
    </x:row>
    <x:row r="2889" spans="1:14">
      <x:c r="A2889" s="274" t="s">
        <x:v>5536</x:v>
      </x:c>
      <x:c r="B2889" s="274" t="n">
        <x:v>1.49</x:v>
      </x:c>
      <x:c r="C2889" s="274" t="n">
        <x:v>0</x:v>
      </x:c>
      <x:c r="D2889" s="274" t="n">
        <x:v>0</x:v>
      </x:c>
      <x:c r="F2889" s="274" t="s">
        <x:v>333</x:v>
      </x:c>
      <x:c r="G2889" s="274" t="s">
        <x:v>4663</x:v>
      </x:c>
      <x:c r="I2889" s="274" t="n">
        <x:v>1</x:v>
      </x:c>
      <x:c r="J2889" s="274" t="n">
        <x:v>730</x:v>
      </x:c>
      <x:c r="K2889" s="274" t="n">
        <x:v>260</x:v>
      </x:c>
      <x:c r="M2889" s="274" t="s">
        <x:v>5537</x:v>
      </x:c>
      <x:c r="N2889" s="274" t="s">
        <x:v>4258</x:v>
      </x:c>
    </x:row>
    <x:row r="2890" spans="1:14">
      <x:c r="A2890" s="274" t="s">
        <x:v>5538</x:v>
      </x:c>
      <x:c r="B2890" s="274" t="n">
        <x:v>2.27</x:v>
      </x:c>
      <x:c r="C2890" s="274" t="n">
        <x:v>0</x:v>
      </x:c>
      <x:c r="D2890" s="274" t="n">
        <x:v>0</x:v>
      </x:c>
      <x:c r="F2890" s="274" t="s">
        <x:v>333</x:v>
      </x:c>
      <x:c r="G2890" s="274" t="s">
        <x:v>4663</x:v>
      </x:c>
      <x:c r="I2890" s="274" t="n">
        <x:v>1</x:v>
      </x:c>
      <x:c r="J2890" s="274" t="n">
        <x:v>231</x:v>
      </x:c>
      <x:c r="K2890" s="274" t="n">
        <x:v>1250</x:v>
      </x:c>
      <x:c r="M2890" s="274" t="s">
        <x:v>5539</x:v>
      </x:c>
      <x:c r="N2890" s="274" t="s">
        <x:v>4258</x:v>
      </x:c>
    </x:row>
    <x:row r="2891" spans="1:14">
      <x:c r="A2891" s="274" t="s">
        <x:v>5540</x:v>
      </x:c>
      <x:c r="B2891" s="274" t="n">
        <x:v>1.46</x:v>
      </x:c>
      <x:c r="C2891" s="274" t="n">
        <x:v>0</x:v>
      </x:c>
      <x:c r="D2891" s="274" t="n">
        <x:v>0</x:v>
      </x:c>
      <x:c r="F2891" s="274" t="s">
        <x:v>333</x:v>
      </x:c>
      <x:c r="G2891" s="274" t="s">
        <x:v>4958</x:v>
      </x:c>
      <x:c r="I2891" s="274" t="n">
        <x:v>1.2</x:v>
      </x:c>
      <x:c r="J2891" s="274" t="n">
        <x:v>129</x:v>
      </x:c>
      <x:c r="K2891" s="274" t="n">
        <x:v>1200</x:v>
      </x:c>
      <x:c r="M2891" s="274" t="s">
        <x:v>5541</x:v>
      </x:c>
      <x:c r="N2891" s="274" t="s">
        <x:v>4258</x:v>
      </x:c>
    </x:row>
    <x:row r="2892" spans="1:14">
      <x:c r="A2892" s="274" t="s">
        <x:v>5542</x:v>
      </x:c>
      <x:c r="B2892" s="274" t="n">
        <x:v>2.88</x:v>
      </x:c>
      <x:c r="C2892" s="274" t="n">
        <x:v>0</x:v>
      </x:c>
      <x:c r="D2892" s="274" t="n">
        <x:v>0</x:v>
      </x:c>
      <x:c r="F2892" s="274" t="s">
        <x:v>133</x:v>
      </x:c>
      <x:c r="G2892" s="274" t="s">
        <x:v>4470</x:v>
      </x:c>
      <x:c r="H2892" s="274" t="s">
        <x:v>4471</x:v>
      </x:c>
      <x:c r="I2892" s="274" t="n">
        <x:v>1.4</x:v>
      </x:c>
      <x:c r="J2892" s="274" t="n">
        <x:v>210</x:v>
      </x:c>
      <x:c r="K2892" s="274" t="n">
        <x:v>1250</x:v>
      </x:c>
      <x:c r="M2892" s="274" t="s">
        <x:v>5543</x:v>
      </x:c>
      <x:c r="N2892" s="274" t="s">
        <x:v>4258</x:v>
      </x:c>
    </x:row>
    <x:row r="2893" spans="1:14">
      <x:c r="A2893" s="274" t="s">
        <x:v>5544</x:v>
      </x:c>
      <x:c r="B2893" s="274" t="n">
        <x:v>1.18</x:v>
      </x:c>
      <x:c r="C2893" s="274" t="n">
        <x:v>0</x:v>
      </x:c>
      <x:c r="D2893" s="274" t="n">
        <x:v>0</x:v>
      </x:c>
      <x:c r="F2893" s="274" t="s">
        <x:v>184</x:v>
      </x:c>
      <x:c r="G2893" s="274" t="s">
        <x:v>4782</x:v>
      </x:c>
      <x:c r="H2893" s="274" t="s">
        <x:v>4471</x:v>
      </x:c>
      <x:c r="I2893" s="274" t="n">
        <x:v>1</x:v>
      </x:c>
      <x:c r="J2893" s="274" t="n">
        <x:v>120</x:v>
      </x:c>
      <x:c r="K2893" s="274" t="n">
        <x:v>1250</x:v>
      </x:c>
      <x:c r="M2893" s="274" t="s">
        <x:v>5545</x:v>
      </x:c>
      <x:c r="N2893" s="274" t="s">
        <x:v>4258</x:v>
      </x:c>
    </x:row>
    <x:row r="2894" spans="1:14">
      <x:c r="A2894" s="274" t="s">
        <x:v>5546</x:v>
      </x:c>
      <x:c r="B2894" s="274" t="n">
        <x:v>2.85</x:v>
      </x:c>
      <x:c r="C2894" s="274" t="n">
        <x:v>0</x:v>
      </x:c>
      <x:c r="D2894" s="274" t="n">
        <x:v>0</x:v>
      </x:c>
      <x:c r="F2894" s="274" t="s">
        <x:v>184</x:v>
      </x:c>
      <x:c r="G2894" s="274" t="s">
        <x:v>4782</x:v>
      </x:c>
      <x:c r="H2894" s="274" t="s">
        <x:v>4471</x:v>
      </x:c>
      <x:c r="I2894" s="274" t="n">
        <x:v>1</x:v>
      </x:c>
      <x:c r="J2894" s="274" t="n">
        <x:v>290</x:v>
      </x:c>
      <x:c r="K2894" s="274" t="n">
        <x:v>1250</x:v>
      </x:c>
      <x:c r="M2894" s="274" t="s">
        <x:v>5547</x:v>
      </x:c>
      <x:c r="N2894" s="274" t="s">
        <x:v>4258</x:v>
      </x:c>
    </x:row>
    <x:row r="2895" spans="1:14">
      <x:c r="A2895" s="274" t="s">
        <x:v>5548</x:v>
      </x:c>
      <x:c r="B2895" s="274" t="n">
        <x:v>2.25</x:v>
      </x:c>
      <x:c r="C2895" s="274" t="n">
        <x:v>0</x:v>
      </x:c>
      <x:c r="D2895" s="274" t="n">
        <x:v>0</x:v>
      </x:c>
      <x:c r="F2895" s="274" t="s">
        <x:v>184</x:v>
      </x:c>
      <x:c r="G2895" s="274" t="s">
        <x:v>4782</x:v>
      </x:c>
      <x:c r="H2895" s="274" t="s">
        <x:v>4471</x:v>
      </x:c>
      <x:c r="I2895" s="274" t="n">
        <x:v>1</x:v>
      </x:c>
      <x:c r="J2895" s="274" t="n">
        <x:v>229</x:v>
      </x:c>
      <x:c r="K2895" s="274" t="n">
        <x:v>1250</x:v>
      </x:c>
      <x:c r="M2895" s="274" t="s">
        <x:v>5549</x:v>
      </x:c>
      <x:c r="N2895" s="274" t="s">
        <x:v>4258</x:v>
      </x:c>
    </x:row>
    <x:row r="2896" spans="1:14">
      <x:c r="A2896" s="274" t="s">
        <x:v>5550</x:v>
      </x:c>
      <x:c r="B2896" s="274" t="n">
        <x:v>1.28</x:v>
      </x:c>
      <x:c r="C2896" s="274" t="n">
        <x:v>0</x:v>
      </x:c>
      <x:c r="D2896" s="274" t="n">
        <x:v>0</x:v>
      </x:c>
      <x:c r="F2896" s="274" t="s">
        <x:v>184</x:v>
      </x:c>
      <x:c r="G2896" s="274" t="s">
        <x:v>4782</x:v>
      </x:c>
      <x:c r="H2896" s="274" t="s">
        <x:v>4471</x:v>
      </x:c>
      <x:c r="I2896" s="274" t="n">
        <x:v>1</x:v>
      </x:c>
      <x:c r="J2896" s="274" t="n">
        <x:v>130</x:v>
      </x:c>
      <x:c r="K2896" s="274" t="n">
        <x:v>1250</x:v>
      </x:c>
      <x:c r="M2896" s="274" t="s">
        <x:v>5177</x:v>
      </x:c>
      <x:c r="N2896" s="274" t="s">
        <x:v>4258</x:v>
      </x:c>
    </x:row>
    <x:row r="2897" spans="1:14">
      <x:c r="A2897" s="274" t="s">
        <x:v>5551</x:v>
      </x:c>
      <x:c r="B2897" s="274" t="n">
        <x:v>3.08</x:v>
      </x:c>
      <x:c r="C2897" s="274" t="n">
        <x:v>0</x:v>
      </x:c>
      <x:c r="D2897" s="274" t="n">
        <x:v>0</x:v>
      </x:c>
      <x:c r="F2897" s="274" t="s">
        <x:v>133</x:v>
      </x:c>
      <x:c r="G2897" s="274" t="s">
        <x:v>4642</x:v>
      </x:c>
      <x:c r="H2897" s="274" t="s">
        <x:v>4471</x:v>
      </x:c>
      <x:c r="I2897" s="274" t="n">
        <x:v>1</x:v>
      </x:c>
      <x:c r="J2897" s="274" t="n">
        <x:v>944</x:v>
      </x:c>
      <x:c r="K2897" s="274" t="n">
        <x:v>415</x:v>
      </x:c>
      <x:c r="M2897" s="274" t="s">
        <x:v>4643</x:v>
      </x:c>
      <x:c r="N2897" s="274" t="s">
        <x:v>4258</x:v>
      </x:c>
    </x:row>
    <x:row r="2898" spans="1:14">
      <x:c r="A2898" s="274" t="s">
        <x:v>5552</x:v>
      </x:c>
      <x:c r="B2898" s="274" t="n">
        <x:v>1.31</x:v>
      </x:c>
      <x:c r="C2898" s="274" t="n">
        <x:v>0</x:v>
      </x:c>
      <x:c r="D2898" s="274" t="n">
        <x:v>0</x:v>
      </x:c>
      <x:c r="F2898" s="274" t="s">
        <x:v>184</x:v>
      </x:c>
      <x:c r="G2898" s="274" t="s">
        <x:v>4782</x:v>
      </x:c>
      <x:c r="H2898" s="274" t="s">
        <x:v>4471</x:v>
      </x:c>
      <x:c r="I2898" s="274" t="n">
        <x:v>1</x:v>
      </x:c>
      <x:c r="J2898" s="274" t="n">
        <x:v>134</x:v>
      </x:c>
      <x:c r="K2898" s="274" t="n">
        <x:v>1250</x:v>
      </x:c>
      <x:c r="M2898" s="274" t="s">
        <x:v>5553</x:v>
      </x:c>
      <x:c r="N2898" s="274" t="s">
        <x:v>4258</x:v>
      </x:c>
    </x:row>
    <x:row r="2899" spans="1:14">
      <x:c r="A2899" s="274" t="s">
        <x:v>5554</x:v>
      </x:c>
      <x:c r="B2899" s="274" t="n">
        <x:v>2.94</x:v>
      </x:c>
      <x:c r="C2899" s="274" t="n">
        <x:v>0</x:v>
      </x:c>
      <x:c r="D2899" s="274" t="n">
        <x:v>0</x:v>
      </x:c>
      <x:c r="F2899" s="274" t="s">
        <x:v>184</x:v>
      </x:c>
      <x:c r="G2899" s="274" t="s">
        <x:v>4782</x:v>
      </x:c>
      <x:c r="H2899" s="274" t="s">
        <x:v>4471</x:v>
      </x:c>
      <x:c r="I2899" s="274" t="n">
        <x:v>2</x:v>
      </x:c>
      <x:c r="J2899" s="274" t="n">
        <x:v>150</x:v>
      </x:c>
      <x:c r="K2899" s="274" t="n">
        <x:v>1250</x:v>
      </x:c>
      <x:c r="M2899" s="274" t="s">
        <x:v>5555</x:v>
      </x:c>
      <x:c r="N2899" s="274" t="s">
        <x:v>4258</x:v>
      </x:c>
    </x:row>
    <x:row r="2900" spans="1:14">
      <x:c r="A2900" s="274" t="s">
        <x:v>5556</x:v>
      </x:c>
      <x:c r="B2900" s="274" t="n">
        <x:v>4.49</x:v>
      </x:c>
      <x:c r="C2900" s="274" t="n">
        <x:v>0</x:v>
      </x:c>
      <x:c r="D2900" s="274" t="n">
        <x:v>0</x:v>
      </x:c>
      <x:c r="F2900" s="274" t="s">
        <x:v>333</x:v>
      </x:c>
      <x:c r="G2900" s="274" t="s">
        <x:v>4663</x:v>
      </x:c>
      <x:c r="I2900" s="274" t="n">
        <x:v>1.6</x:v>
      </x:c>
      <x:c r="J2900" s="274" t="n">
        <x:v>286</x:v>
      </x:c>
      <x:c r="K2900" s="274" t="n">
        <x:v>1250</x:v>
      </x:c>
      <x:c r="M2900" s="274" t="s">
        <x:v>5557</x:v>
      </x:c>
      <x:c r="N2900" s="274" t="s">
        <x:v>4258</x:v>
      </x:c>
    </x:row>
    <x:row r="2901" spans="1:14">
      <x:c r="A2901" s="274" t="s">
        <x:v>5558</x:v>
      </x:c>
      <x:c r="B2901" s="274" t="n">
        <x:v>3.77</x:v>
      </x:c>
      <x:c r="C2901" s="274" t="n">
        <x:v>0</x:v>
      </x:c>
      <x:c r="D2901" s="274" t="n">
        <x:v>0</x:v>
      </x:c>
      <x:c r="F2901" s="274" t="s">
        <x:v>133</x:v>
      </x:c>
      <x:c r="G2901" s="274" t="s">
        <x:v>4329</x:v>
      </x:c>
      <x:c r="I2901" s="274" t="n">
        <x:v>3.2</x:v>
      </x:c>
      <x:c r="J2901" s="274" t="n">
        <x:v>120</x:v>
      </x:c>
      <x:c r="K2901" s="274" t="n">
        <x:v>1250</x:v>
      </x:c>
      <x:c r="M2901" s="274" t="s">
        <x:v>5559</x:v>
      </x:c>
      <x:c r="N2901" s="274" t="s">
        <x:v>4258</x:v>
      </x:c>
    </x:row>
    <x:row r="2902" spans="1:14">
      <x:c r="A2902" s="274" t="s">
        <x:v>5560</x:v>
      </x:c>
      <x:c r="B2902" s="274" t="n">
        <x:v>0.6</x:v>
      </x:c>
      <x:c r="C2902" s="274" t="n">
        <x:v>31</x:v>
      </x:c>
      <x:c r="D2902" s="274" t="n">
        <x:v>35</x:v>
      </x:c>
      <x:c r="E2902" s="274" t="n">
        <x:v>33</x:v>
      </x:c>
      <x:c r="F2902" s="274" t="s">
        <x:v>184</x:v>
      </x:c>
      <x:c r="G2902" s="274" t="s">
        <x:v>129</x:v>
      </x:c>
      <x:c r="H2902" s="274" t="n">
        <x:v>45</x:v>
      </x:c>
      <x:c r="I2902" s="274" t="n">
        <x:v>1.4</x:v>
      </x:c>
      <x:c r="J2902" s="274" t="n">
        <x:v>190</x:v>
      </x:c>
      <x:c r="K2902" s="274" t="n">
        <x:v>285</x:v>
      </x:c>
      <x:c r="M2902" s="274" t="s">
        <x:v>428</x:v>
      </x:c>
      <x:c r="N2902" s="274" t="s">
        <x:v>131</x:v>
      </x:c>
    </x:row>
    <x:row r="2903" spans="1:14">
      <x:c r="A2903" s="274" t="s">
        <x:v>5561</x:v>
      </x:c>
      <x:c r="B2903" s="274" t="n">
        <x:v>13.23</x:v>
      </x:c>
      <x:c r="C2903" s="274" t="n">
        <x:v>0</x:v>
      </x:c>
      <x:c r="D2903" s="274" t="n">
        <x:v>25</x:v>
      </x:c>
      <x:c r="F2903" s="274" t="s">
        <x:v>1980</x:v>
      </x:c>
      <x:c r="G2903" s="274" t="s">
        <x:v>1985</x:v>
      </x:c>
      <x:c r="I2903" s="274" t="n">
        <x:v>0.8</x:v>
      </x:c>
      <x:c r="J2903" s="274" t="n">
        <x:v>1350</x:v>
      </x:c>
      <x:c r="K2903" s="274" t="n">
        <x:v>1320</x:v>
      </x:c>
      <x:c r="L2903" s="274" t="n">
        <x:v>1800</x:v>
      </x:c>
      <x:c r="M2903" s="274" t="s">
        <x:v>5562</x:v>
      </x:c>
    </x:row>
    <x:row r="2904" spans="1:14">
      <x:c r="A2904" s="274" t="s">
        <x:v>5563</x:v>
      </x:c>
      <x:c r="B2904" s="274" t="n">
        <x:v>2.41</x:v>
      </x:c>
      <x:c r="C2904" s="274" t="n">
        <x:v>0</x:v>
      </x:c>
      <x:c r="D2904" s="274" t="n">
        <x:v>35</x:v>
      </x:c>
      <x:c r="F2904" s="274" t="s">
        <x:v>333</x:v>
      </x:c>
      <x:c r="G2904" s="274" t="s">
        <x:v>4663</x:v>
      </x:c>
      <x:c r="I2904" s="274" t="n">
        <x:v>1</x:v>
      </x:c>
      <x:c r="J2904" s="274" t="n">
        <x:v>453</x:v>
      </x:c>
      <x:c r="K2904" s="274" t="n">
        <x:v>929</x:v>
      </x:c>
      <x:c r="L2904" s="274" t="n">
        <x:v>429</x:v>
      </x:c>
      <x:c r="M2904" s="274" t="s">
        <x:v>5564</x:v>
      </x:c>
      <x:c r="N2904" s="274" t="s">
        <x:v>4258</x:v>
      </x:c>
    </x:row>
    <x:row r="2905" spans="1:14">
      <x:c r="A2905" s="274" t="s">
        <x:v>5565</x:v>
      </x:c>
      <x:c r="B2905" s="274" t="n">
        <x:v>0.3</x:v>
      </x:c>
      <x:c r="C2905" s="274" t="n">
        <x:v>0</x:v>
      </x:c>
      <x:c r="D2905" s="274" t="n">
        <x:v>0</x:v>
      </x:c>
      <x:c r="F2905" s="274" t="s">
        <x:v>184</x:v>
      </x:c>
      <x:c r="G2905" s="274" t="s">
        <x:v>129</x:v>
      </x:c>
      <x:c r="H2905" s="274" t="n">
        <x:v>45</x:v>
      </x:c>
      <x:c r="I2905" s="274" t="n">
        <x:v>1</x:v>
      </x:c>
      <x:c r="J2905" s="274" t="n">
        <x:v>100</x:v>
      </x:c>
      <x:c r="K2905" s="274" t="n">
        <x:v>380</x:v>
      </x:c>
      <x:c r="M2905" s="274" t="s">
        <x:v>2113</x:v>
      </x:c>
      <x:c r="N2905" s="274" t="s">
        <x:v>131</x:v>
      </x:c>
    </x:row>
    <x:row r="2906" spans="1:14">
      <x:c r="A2906" s="274" t="s">
        <x:v>5566</x:v>
      </x:c>
      <x:c r="B2906" s="274" t="n">
        <x:v>2.15</x:v>
      </x:c>
      <x:c r="C2906" s="274" t="n">
        <x:v>0</x:v>
      </x:c>
      <x:c r="D2906" s="274" t="n">
        <x:v>0</x:v>
      </x:c>
      <x:c r="F2906" s="274" t="s">
        <x:v>333</x:v>
      </x:c>
      <x:c r="G2906" s="274" t="s">
        <x:v>4796</x:v>
      </x:c>
      <x:c r="I2906" s="274" t="n">
        <x:v>1.2</x:v>
      </x:c>
      <x:c r="J2906" s="274" t="n">
        <x:v>1018</x:v>
      </x:c>
      <x:c r="K2906" s="274" t="n">
        <x:v>224</x:v>
      </x:c>
      <x:c r="M2906" s="274" t="s">
        <x:v>5567</x:v>
      </x:c>
      <x:c r="N2906" s="274" t="s">
        <x:v>4258</x:v>
      </x:c>
    </x:row>
    <x:row r="2907" spans="1:14">
      <x:c r="A2907" s="274" t="s">
        <x:v>5568</x:v>
      </x:c>
      <x:c r="B2907" s="274" t="n">
        <x:v>0.9</x:v>
      </x:c>
      <x:c r="C2907" s="274" t="n">
        <x:v>0</x:v>
      </x:c>
      <x:c r="D2907" s="274" t="n">
        <x:v>0</x:v>
      </x:c>
      <x:c r="F2907" s="274" t="s">
        <x:v>123</x:v>
      </x:c>
      <x:c r="G2907" s="274" t="s">
        <x:v>129</x:v>
      </x:c>
      <x:c r="H2907" s="274" t="n">
        <x:v>45</x:v>
      </x:c>
      <x:c r="I2907" s="274" t="n">
        <x:v>0.8</x:v>
      </x:c>
      <x:c r="J2907" s="274" t="n">
        <x:v>155</x:v>
      </x:c>
      <x:c r="K2907" s="274" t="n">
        <x:v>915</x:v>
      </x:c>
      <x:c r="M2907" s="274" t="s">
        <x:v>5569</x:v>
      </x:c>
      <x:c r="N2907" s="274" t="s">
        <x:v>3671</x:v>
      </x:c>
    </x:row>
    <x:row r="2908" spans="1:14">
      <x:c r="A2908" s="274" t="s">
        <x:v>5570</x:v>
      </x:c>
      <x:c r="B2908" s="274" t="n">
        <x:v>1.91</x:v>
      </x:c>
      <x:c r="C2908" s="274" t="n">
        <x:v>25</x:v>
      </x:c>
      <x:c r="D2908" s="274" t="n">
        <x:v>28</x:v>
      </x:c>
      <x:c r="E2908" s="274" t="n">
        <x:v>26</x:v>
      </x:c>
      <x:c r="F2908" s="274" t="s">
        <x:v>4735</x:v>
      </x:c>
      <x:c r="G2908" s="274" t="s">
        <x:v>4749</x:v>
      </x:c>
      <x:c r="I2908" s="274" t="n">
        <x:v>1</x:v>
      </x:c>
      <x:c r="J2908" s="274" t="n">
        <x:v>198</x:v>
      </x:c>
      <x:c r="K2908" s="274" t="n">
        <x:v>1239.5</x:v>
      </x:c>
      <x:c r="M2908" s="274" t="s">
        <x:v>5571</x:v>
      </x:c>
      <x:c r="N2908" s="274" t="s">
        <x:v>3671</x:v>
      </x:c>
    </x:row>
    <x:row r="2909" spans="1:14">
      <x:c r="A2909" s="274" t="s">
        <x:v>5572</x:v>
      </x:c>
      <x:c r="B2909" s="274" t="n">
        <x:v>2.07</x:v>
      </x:c>
      <x:c r="C2909" s="274" t="n">
        <x:v>25</x:v>
      </x:c>
      <x:c r="D2909" s="274" t="n">
        <x:v>28</x:v>
      </x:c>
      <x:c r="E2909" s="274" t="n">
        <x:v>26</x:v>
      </x:c>
      <x:c r="F2909" s="274" t="s">
        <x:v>4735</x:v>
      </x:c>
      <x:c r="G2909" s="274" t="s">
        <x:v>4749</x:v>
      </x:c>
      <x:c r="I2909" s="274" t="n">
        <x:v>1</x:v>
      </x:c>
      <x:c r="J2909" s="274" t="n">
        <x:v>214</x:v>
      </x:c>
      <x:c r="K2909" s="274" t="n">
        <x:v>1239.5</x:v>
      </x:c>
      <x:c r="M2909" s="274" t="s">
        <x:v>5573</x:v>
      </x:c>
      <x:c r="N2909" s="274" t="s">
        <x:v>3671</x:v>
      </x:c>
    </x:row>
    <x:row r="2910" spans="1:14">
      <x:c r="A2910" s="274" t="s">
        <x:v>5574</x:v>
      </x:c>
      <x:c r="B2910" s="274" t="n">
        <x:v>0.82</x:v>
      </x:c>
      <x:c r="C2910" s="274" t="n">
        <x:v>25</x:v>
      </x:c>
      <x:c r="D2910" s="274" t="n">
        <x:v>28</x:v>
      </x:c>
      <x:c r="E2910" s="274" t="n">
        <x:v>26</x:v>
      </x:c>
      <x:c r="F2910" s="274" t="s">
        <x:v>4735</x:v>
      </x:c>
      <x:c r="G2910" s="274" t="s">
        <x:v>4736</x:v>
      </x:c>
      <x:c r="I2910" s="274" t="n">
        <x:v>1.5</x:v>
      </x:c>
      <x:c r="J2910" s="274" t="n">
        <x:v>356</x:v>
      </x:c>
      <x:c r="K2910" s="274" t="n">
        <x:v>196</x:v>
      </x:c>
      <x:c r="M2910" s="274" t="s">
        <x:v>4743</x:v>
      </x:c>
      <x:c r="N2910" s="274" t="s">
        <x:v>3671</x:v>
      </x:c>
    </x:row>
    <x:row r="2911" spans="1:14">
      <x:c r="A2911" s="274" t="s">
        <x:v>5575</x:v>
      </x:c>
      <x:c r="B2911" s="274" t="n">
        <x:v>0.87</x:v>
      </x:c>
      <x:c r="C2911" s="274" t="n">
        <x:v>0</x:v>
      </x:c>
      <x:c r="D2911" s="274" t="n">
        <x:v>0</x:v>
      </x:c>
      <x:c r="F2911" s="274" t="s">
        <x:v>4735</x:v>
      </x:c>
      <x:c r="G2911" s="274" t="s">
        <x:v>4736</x:v>
      </x:c>
      <x:c r="I2911" s="274" t="n">
        <x:v>1</x:v>
      </x:c>
      <x:c r="J2911" s="274" t="n">
        <x:v>90</x:v>
      </x:c>
      <x:c r="K2911" s="274" t="n">
        <x:v>1240</x:v>
      </x:c>
      <x:c r="M2911" s="274" t="s">
        <x:v>5576</x:v>
      </x:c>
      <x:c r="N2911" s="274" t="s">
        <x:v>3671</x:v>
      </x:c>
    </x:row>
    <x:row r="2912" spans="1:14">
      <x:c r="A2912" s="274" t="s">
        <x:v>5577</x:v>
      </x:c>
      <x:c r="B2912" s="274" t="n">
        <x:v>1.88</x:v>
      </x:c>
      <x:c r="C2912" s="274" t="n">
        <x:v>0</x:v>
      </x:c>
      <x:c r="D2912" s="274" t="n">
        <x:v>0</x:v>
      </x:c>
      <x:c r="F2912" s="274" t="s">
        <x:v>4735</x:v>
      </x:c>
      <x:c r="G2912" s="274" t="s">
        <x:v>4736</x:v>
      </x:c>
      <x:c r="I2912" s="274" t="n">
        <x:v>1.2</x:v>
      </x:c>
      <x:c r="J2912" s="274" t="n">
        <x:v>162</x:v>
      </x:c>
      <x:c r="K2912" s="274" t="n">
        <x:v>1240</x:v>
      </x:c>
      <x:c r="M2912" s="274" t="s">
        <x:v>4745</x:v>
      </x:c>
      <x:c r="N2912" s="274" t="s">
        <x:v>3671</x:v>
      </x:c>
    </x:row>
    <x:row r="2913" spans="1:14">
      <x:c r="A2913" s="274" t="s">
        <x:v>5578</x:v>
      </x:c>
      <x:c r="B2913" s="274" t="n">
        <x:v>3.69</x:v>
      </x:c>
      <x:c r="C2913" s="274" t="n">
        <x:v>0</x:v>
      </x:c>
      <x:c r="D2913" s="274" t="n">
        <x:v>0</x:v>
      </x:c>
      <x:c r="F2913" s="274" t="s">
        <x:v>4735</x:v>
      </x:c>
      <x:c r="G2913" s="274" t="s">
        <x:v>4736</x:v>
      </x:c>
      <x:c r="I2913" s="274" t="n">
        <x:v>1.5</x:v>
      </x:c>
      <x:c r="J2913" s="274" t="n">
        <x:v>254</x:v>
      </x:c>
      <x:c r="K2913" s="274" t="n">
        <x:v>1240</x:v>
      </x:c>
      <x:c r="M2913" s="274" t="s">
        <x:v>4737</x:v>
      </x:c>
      <x:c r="N2913" s="274" t="s">
        <x:v>3671</x:v>
      </x:c>
    </x:row>
    <x:row r="2914" spans="1:14">
      <x:c r="A2914" s="274" t="s">
        <x:v>5579</x:v>
      </x:c>
      <x:c r="B2914" s="274" t="n">
        <x:v>2.06</x:v>
      </x:c>
      <x:c r="C2914" s="274" t="n">
        <x:v>0</x:v>
      </x:c>
      <x:c r="D2914" s="274" t="n">
        <x:v>0</x:v>
      </x:c>
      <x:c r="F2914" s="274" t="s">
        <x:v>4735</x:v>
      </x:c>
      <x:c r="G2914" s="274" t="s">
        <x:v>4736</x:v>
      </x:c>
      <x:c r="I2914" s="274" t="n">
        <x:v>1.5</x:v>
      </x:c>
      <x:c r="J2914" s="274" t="n">
        <x:v>142</x:v>
      </x:c>
      <x:c r="K2914" s="274" t="n">
        <x:v>1240</x:v>
      </x:c>
      <x:c r="M2914" s="274" t="s">
        <x:v>4741</x:v>
      </x:c>
      <x:c r="N2914" s="274" t="s">
        <x:v>3671</x:v>
      </x:c>
    </x:row>
    <x:row r="2915" spans="1:14">
      <x:c r="A2915" s="274" t="s">
        <x:v>5580</x:v>
      </x:c>
      <x:c r="B2915" s="274" t="n">
        <x:v>2.13</x:v>
      </x:c>
      <x:c r="C2915" s="274" t="n">
        <x:v>0</x:v>
      </x:c>
      <x:c r="D2915" s="274" t="n">
        <x:v>0</x:v>
      </x:c>
      <x:c r="F2915" s="274" t="s">
        <x:v>4735</x:v>
      </x:c>
      <x:c r="G2915" s="274" t="s">
        <x:v>4736</x:v>
      </x:c>
      <x:c r="I2915" s="274" t="n">
        <x:v>2</x:v>
      </x:c>
      <x:c r="J2915" s="274" t="n">
        <x:v>110</x:v>
      </x:c>
      <x:c r="K2915" s="274" t="n">
        <x:v>1240</x:v>
      </x:c>
      <x:c r="M2915" s="274" t="s">
        <x:v>4747</x:v>
      </x:c>
      <x:c r="N2915" s="274" t="s">
        <x:v>3671</x:v>
      </x:c>
    </x:row>
    <x:row r="2916" spans="1:14">
      <x:c r="A2916" s="274" t="s">
        <x:v>5581</x:v>
      </x:c>
      <x:c r="B2916" s="274" t="n">
        <x:v>0.11</x:v>
      </x:c>
      <x:c r="C2916" s="274" t="n">
        <x:v>0</x:v>
      </x:c>
      <x:c r="D2916" s="274" t="n">
        <x:v>0</x:v>
      </x:c>
      <x:c r="F2916" s="274" t="s">
        <x:v>133</x:v>
      </x:c>
      <x:c r="G2916" s="274" t="s">
        <x:v>136</x:v>
      </x:c>
      <x:c r="H2916" s="274" t="n">
        <x:v>45</x:v>
      </x:c>
      <x:c r="I2916" s="274" t="n">
        <x:v>0.8</x:v>
      </x:c>
      <x:c r="J2916" s="274" t="n">
        <x:v>115</x:v>
      </x:c>
      <x:c r="K2916" s="274" t="n">
        <x:v>152</x:v>
      </x:c>
      <x:c r="M2916" s="274" t="s">
        <x:v>5582</x:v>
      </x:c>
      <x:c r="N2916" s="274" t="s">
        <x:v>3671</x:v>
      </x:c>
    </x:row>
    <x:row r="2917" spans="1:14">
      <x:c r="A2917" s="274" t="s">
        <x:v>5583</x:v>
      </x:c>
      <x:c r="B2917" s="274" t="n">
        <x:v>0.18</x:v>
      </x:c>
      <x:c r="C2917" s="274" t="n">
        <x:v>0</x:v>
      </x:c>
      <x:c r="D2917" s="274" t="n">
        <x:v>0</x:v>
      </x:c>
      <x:c r="F2917" s="274" t="s">
        <x:v>133</x:v>
      </x:c>
      <x:c r="G2917" s="274" t="s">
        <x:v>136</x:v>
      </x:c>
      <x:c r="H2917" s="274" t="n">
        <x:v>45</x:v>
      </x:c>
      <x:c r="I2917" s="274" t="n">
        <x:v>0.8</x:v>
      </x:c>
      <x:c r="J2917" s="274" t="n">
        <x:v>155</x:v>
      </x:c>
      <x:c r="K2917" s="274" t="n">
        <x:v>178</x:v>
      </x:c>
      <x:c r="M2917" s="274" t="s">
        <x:v>5584</x:v>
      </x:c>
      <x:c r="N2917" s="274" t="s">
        <x:v>3671</x:v>
      </x:c>
    </x:row>
    <x:row r="2918" spans="1:14">
      <x:c r="A2918" s="274" t="s">
        <x:v>5585</x:v>
      </x:c>
      <x:c r="B2918" s="274" t="n">
        <x:v>0.07</x:v>
      </x:c>
      <x:c r="C2918" s="274" t="n">
        <x:v>0</x:v>
      </x:c>
      <x:c r="D2918" s="274" t="n">
        <x:v>0</x:v>
      </x:c>
      <x:c r="F2918" s="274" t="s">
        <x:v>333</x:v>
      </x:c>
      <x:c r="G2918" s="274" t="s">
        <x:v>124</x:v>
      </x:c>
      <x:c r="I2918" s="274" t="n">
        <x:v>1</x:v>
      </x:c>
      <x:c r="J2918" s="274" t="n">
        <x:v>74</x:v>
      </x:c>
      <x:c r="K2918" s="274" t="n">
        <x:v>113</x:v>
      </x:c>
      <x:c r="M2918" s="274" t="s">
        <x:v>5586</x:v>
      </x:c>
      <x:c r="N2918" s="274" t="s">
        <x:v>3671</x:v>
      </x:c>
    </x:row>
    <x:row r="2919" spans="1:14">
      <x:c r="A2919" s="274" t="s">
        <x:v>5587</x:v>
      </x:c>
      <x:c r="B2919" s="274" t="n">
        <x:v>0.44</x:v>
      </x:c>
      <x:c r="C2919" s="274" t="n">
        <x:v>0</x:v>
      </x:c>
      <x:c r="D2919" s="274" t="n">
        <x:v>0</x:v>
      </x:c>
      <x:c r="F2919" s="274" t="s">
        <x:v>333</x:v>
      </x:c>
      <x:c r="G2919" s="274" t="s">
        <x:v>153</x:v>
      </x:c>
      <x:c r="I2919" s="274" t="n">
        <x:v>1</x:v>
      </x:c>
      <x:c r="J2919" s="274" t="n">
        <x:v>402</x:v>
      </x:c>
      <x:c r="K2919" s="274" t="n">
        <x:v>141</x:v>
      </x:c>
      <x:c r="M2919" s="274" t="s">
        <x:v>5588</x:v>
      </x:c>
      <x:c r="N2919" s="274" t="s">
        <x:v>3671</x:v>
      </x:c>
    </x:row>
    <x:row r="2920" spans="1:14">
      <x:c r="A2920" s="274" t="s">
        <x:v>5589</x:v>
      </x:c>
      <x:c r="B2920" s="274" t="n">
        <x:v>0.6</x:v>
      </x:c>
      <x:c r="C2920" s="274" t="n">
        <x:v>0</x:v>
      </x:c>
      <x:c r="D2920" s="274" t="n">
        <x:v>0</x:v>
      </x:c>
      <x:c r="F2920" s="274" t="s">
        <x:v>333</x:v>
      </x:c>
      <x:c r="G2920" s="274" t="s">
        <x:v>153</x:v>
      </x:c>
      <x:c r="I2920" s="274" t="n">
        <x:v>1</x:v>
      </x:c>
      <x:c r="J2920" s="274" t="n">
        <x:v>230</x:v>
      </x:c>
      <x:c r="K2920" s="274" t="n">
        <x:v>332</x:v>
      </x:c>
      <x:c r="M2920" s="274" t="s">
        <x:v>5590</x:v>
      </x:c>
      <x:c r="N2920" s="274" t="s">
        <x:v>3671</x:v>
      </x:c>
    </x:row>
    <x:row r="2921" spans="1:14">
      <x:c r="A2921" s="274" t="s">
        <x:v>5591</x:v>
      </x:c>
      <x:c r="B2921" s="274" t="n">
        <x:v>3</x:v>
      </x:c>
      <x:c r="C2921" s="274" t="n">
        <x:v>0</x:v>
      </x:c>
      <x:c r="D2921" s="274" t="n">
        <x:v>0</x:v>
      </x:c>
      <x:c r="F2921" s="274" t="s">
        <x:v>133</x:v>
      </x:c>
      <x:c r="G2921" s="274" t="s">
        <x:v>136</x:v>
      </x:c>
      <x:c r="H2921" s="274" t="n">
        <x:v>45</x:v>
      </x:c>
      <x:c r="I2921" s="274" t="n">
        <x:v>1</x:v>
      </x:c>
      <x:c r="J2921" s="274" t="n">
        <x:v>840</x:v>
      </x:c>
      <x:c r="K2921" s="274" t="n">
        <x:v>450</x:v>
      </x:c>
      <x:c r="M2921" s="274" t="s">
        <x:v>5592</x:v>
      </x:c>
      <x:c r="N2921" s="274" t="s">
        <x:v>3671</x:v>
      </x:c>
    </x:row>
    <x:row r="2922" spans="1:14">
      <x:c r="A2922" s="274" t="s">
        <x:v>5593</x:v>
      </x:c>
      <x:c r="B2922" s="274" t="n">
        <x:v>2.07</x:v>
      </x:c>
      <x:c r="C2922" s="274" t="n">
        <x:v>0</x:v>
      </x:c>
      <x:c r="D2922" s="274" t="n">
        <x:v>0</x:v>
      </x:c>
      <x:c r="F2922" s="274" t="s">
        <x:v>133</x:v>
      </x:c>
      <x:c r="G2922" s="274" t="s">
        <x:v>144</x:v>
      </x:c>
      <x:c r="H2922" s="274" t="n">
        <x:v>45</x:v>
      </x:c>
      <x:c r="I2922" s="274" t="n">
        <x:v>1</x:v>
      </x:c>
      <x:c r="J2922" s="274" t="n">
        <x:v>274</x:v>
      </x:c>
      <x:c r="K2922" s="274" t="n">
        <x:v>951</x:v>
      </x:c>
      <x:c r="M2922" s="274" t="s">
        <x:v>5594</x:v>
      </x:c>
      <x:c r="N2922" s="274" t="s">
        <x:v>3671</x:v>
      </x:c>
    </x:row>
    <x:row r="2923" spans="1:14">
      <x:c r="A2923" s="274" t="s">
        <x:v>5595</x:v>
      </x:c>
      <x:c r="B2923" s="274" t="n">
        <x:v>0.21</x:v>
      </x:c>
      <x:c r="C2923" s="274" t="n">
        <x:v>0</x:v>
      </x:c>
      <x:c r="D2923" s="274" t="n">
        <x:v>0</x:v>
      </x:c>
      <x:c r="F2923" s="274" t="s">
        <x:v>133</x:v>
      </x:c>
      <x:c r="G2923" s="274" t="s">
        <x:v>136</x:v>
      </x:c>
      <x:c r="H2923" s="274" t="n">
        <x:v>45</x:v>
      </x:c>
      <x:c r="I2923" s="274" t="n">
        <x:v>1</x:v>
      </x:c>
      <x:c r="J2923" s="274" t="n">
        <x:v>150</x:v>
      </x:c>
      <x:c r="K2923" s="274" t="n">
        <x:v>179</x:v>
      </x:c>
      <x:c r="M2923" s="274" t="s">
        <x:v>5596</x:v>
      </x:c>
      <x:c r="N2923" s="274" t="s">
        <x:v>3671</x:v>
      </x:c>
    </x:row>
    <x:row r="2924" spans="1:14">
      <x:c r="A2924" s="274" t="s">
        <x:v>5597</x:v>
      </x:c>
      <x:c r="B2924" s="274" t="n">
        <x:v>0.27</x:v>
      </x:c>
      <x:c r="C2924" s="274" t="n">
        <x:v>0</x:v>
      </x:c>
      <x:c r="D2924" s="274" t="n">
        <x:v>0</x:v>
      </x:c>
      <x:c r="F2924" s="274" t="s">
        <x:v>133</x:v>
      </x:c>
      <x:c r="G2924" s="274" t="s">
        <x:v>136</x:v>
      </x:c>
      <x:c r="H2924" s="274" t="n">
        <x:v>45</x:v>
      </x:c>
      <x:c r="I2924" s="274" t="n">
        <x:v>1</x:v>
      </x:c>
      <x:c r="J2924" s="274" t="n">
        <x:v>162</x:v>
      </x:c>
      <x:c r="K2924" s="274" t="n">
        <x:v>209</x:v>
      </x:c>
      <x:c r="M2924" s="274" t="s">
        <x:v>5598</x:v>
      </x:c>
      <x:c r="N2924" s="274" t="s">
        <x:v>3671</x:v>
      </x:c>
    </x:row>
    <x:row r="2925" spans="1:14">
      <x:c r="A2925" s="274" t="s">
        <x:v>5599</x:v>
      </x:c>
      <x:c r="B2925" s="274" t="n">
        <x:v>1.98</x:v>
      </x:c>
      <x:c r="C2925" s="274" t="n">
        <x:v>0</x:v>
      </x:c>
      <x:c r="D2925" s="274" t="n">
        <x:v>0</x:v>
      </x:c>
      <x:c r="F2925" s="274" t="s">
        <x:v>133</x:v>
      </x:c>
      <x:c r="G2925" s="274" t="s">
        <x:v>136</x:v>
      </x:c>
      <x:c r="H2925" s="274" t="n">
        <x:v>45</x:v>
      </x:c>
      <x:c r="I2925" s="274" t="n">
        <x:v>1</x:v>
      </x:c>
      <x:c r="J2925" s="274" t="n">
        <x:v>370</x:v>
      </x:c>
      <x:c r="K2925" s="274" t="n">
        <x:v>673</x:v>
      </x:c>
      <x:c r="M2925" s="274" t="s">
        <x:v>5600</x:v>
      </x:c>
      <x:c r="N2925" s="274" t="s">
        <x:v>3671</x:v>
      </x:c>
    </x:row>
    <x:row r="2926" spans="1:14">
      <x:c r="A2926" s="274" t="s">
        <x:v>5601</x:v>
      </x:c>
      <x:c r="B2926" s="274" t="n">
        <x:v>1</x:v>
      </x:c>
      <x:c r="C2926" s="274" t="n">
        <x:v>0</x:v>
      </x:c>
      <x:c r="D2926" s="274" t="n">
        <x:v>0</x:v>
      </x:c>
      <x:c r="F2926" s="274" t="s">
        <x:v>133</x:v>
      </x:c>
      <x:c r="G2926" s="274" t="s">
        <x:v>136</x:v>
      </x:c>
      <x:c r="H2926" s="274" t="n">
        <x:v>45</x:v>
      </x:c>
      <x:c r="I2926" s="274" t="n">
        <x:v>1</x:v>
      </x:c>
      <x:c r="J2926" s="274" t="n">
        <x:v>144</x:v>
      </x:c>
      <x:c r="K2926" s="274" t="n">
        <x:v>875</x:v>
      </x:c>
      <x:c r="M2926" s="274" t="s">
        <x:v>5602</x:v>
      </x:c>
      <x:c r="N2926" s="274" t="s">
        <x:v>3671</x:v>
      </x:c>
    </x:row>
    <x:row r="2927" spans="1:14">
      <x:c r="A2927" s="274" t="s">
        <x:v>5603</x:v>
      </x:c>
      <x:c r="B2927" s="274" t="n">
        <x:v>1.32</x:v>
      </x:c>
      <x:c r="C2927" s="274" t="n">
        <x:v>0</x:v>
      </x:c>
      <x:c r="D2927" s="274" t="n">
        <x:v>0</x:v>
      </x:c>
      <x:c r="F2927" s="274" t="s">
        <x:v>133</x:v>
      </x:c>
      <x:c r="G2927" s="274" t="s">
        <x:v>136</x:v>
      </x:c>
      <x:c r="H2927" s="274" t="n">
        <x:v>45</x:v>
      </x:c>
      <x:c r="I2927" s="274" t="n">
        <x:v>1.2</x:v>
      </x:c>
      <x:c r="J2927" s="274" t="n">
        <x:v>702</x:v>
      </x:c>
      <x:c r="K2927" s="274" t="n">
        <x:v>197</x:v>
      </x:c>
      <x:c r="M2927" s="274" t="s">
        <x:v>5604</x:v>
      </x:c>
      <x:c r="N2927" s="274" t="s">
        <x:v>3671</x:v>
      </x:c>
    </x:row>
    <x:row r="2928" spans="1:14">
      <x:c r="A2928" s="274" t="s">
        <x:v>5605</x:v>
      </x:c>
      <x:c r="B2928" s="274" t="n">
        <x:v>0.79</x:v>
      </x:c>
      <x:c r="C2928" s="274" t="n">
        <x:v>0</x:v>
      </x:c>
      <x:c r="D2928" s="274" t="n">
        <x:v>0</x:v>
      </x:c>
      <x:c r="F2928" s="274" t="s">
        <x:v>333</x:v>
      </x:c>
      <x:c r="G2928" s="274" t="s">
        <x:v>4663</x:v>
      </x:c>
      <x:c r="I2928" s="274" t="n">
        <x:v>1</x:v>
      </x:c>
      <x:c r="J2928" s="274" t="n">
        <x:v>225</x:v>
      </x:c>
      <x:c r="K2928" s="274" t="n">
        <x:v>445</x:v>
      </x:c>
      <x:c r="M2928" s="274" t="s">
        <x:v>5606</x:v>
      </x:c>
      <x:c r="N2928" s="274" t="s">
        <x:v>4258</x:v>
      </x:c>
    </x:row>
    <x:row r="2929" spans="1:14">
      <x:c r="A2929" s="274" t="s">
        <x:v>5607</x:v>
      </x:c>
      <x:c r="B2929" s="274" t="n">
        <x:v>2.16</x:v>
      </x:c>
      <x:c r="C2929" s="274" t="n">
        <x:v>0</x:v>
      </x:c>
      <x:c r="D2929" s="274" t="n">
        <x:v>0</x:v>
      </x:c>
      <x:c r="F2929" s="274" t="s">
        <x:v>333</x:v>
      </x:c>
      <x:c r="G2929" s="274" t="s">
        <x:v>4663</x:v>
      </x:c>
      <x:c r="I2929" s="274" t="n">
        <x:v>1</x:v>
      </x:c>
      <x:c r="J2929" s="274" t="n">
        <x:v>220</x:v>
      </x:c>
      <x:c r="K2929" s="274" t="n">
        <x:v>1250</x:v>
      </x:c>
      <x:c r="M2929" s="274" t="s">
        <x:v>5608</x:v>
      </x:c>
      <x:c r="N2929" s="274" t="s">
        <x:v>4258</x:v>
      </x:c>
    </x:row>
    <x:row r="2930" spans="1:14">
      <x:c r="A2930" s="274" t="s">
        <x:v>5609</x:v>
      </x:c>
      <x:c r="B2930" s="274" t="n">
        <x:v>6.04</x:v>
      </x:c>
      <x:c r="C2930" s="274" t="n">
        <x:v>0</x:v>
      </x:c>
      <x:c r="D2930" s="274" t="n">
        <x:v>0</x:v>
      </x:c>
      <x:c r="F2930" s="274" t="s">
        <x:v>333</x:v>
      </x:c>
      <x:c r="G2930" s="274" t="s">
        <x:v>4663</x:v>
      </x:c>
      <x:c r="I2930" s="274" t="n">
        <x:v>1.4</x:v>
      </x:c>
      <x:c r="J2930" s="274" t="n">
        <x:v>440</x:v>
      </x:c>
      <x:c r="K2930" s="274" t="n">
        <x:v>1250</x:v>
      </x:c>
      <x:c r="M2930" s="274" t="s">
        <x:v>5610</x:v>
      </x:c>
      <x:c r="N2930" s="274" t="s">
        <x:v>4258</x:v>
      </x:c>
    </x:row>
    <x:row r="2931" spans="1:14">
      <x:c r="A2931" s="274" t="s">
        <x:v>5611</x:v>
      </x:c>
      <x:c r="B2931" s="274" t="n">
        <x:v>1.94</x:v>
      </x:c>
      <x:c r="C2931" s="274" t="n">
        <x:v>0</x:v>
      </x:c>
      <x:c r="D2931" s="274" t="n">
        <x:v>0</x:v>
      </x:c>
      <x:c r="F2931" s="274" t="s">
        <x:v>133</x:v>
      </x:c>
      <x:c r="G2931" s="274" t="s">
        <x:v>136</x:v>
      </x:c>
      <x:c r="H2931" s="274" t="n">
        <x:v>45</x:v>
      </x:c>
      <x:c r="I2931" s="274" t="n">
        <x:v>1.4</x:v>
      </x:c>
      <x:c r="J2931" s="274" t="n">
        <x:v>256</x:v>
      </x:c>
      <x:c r="K2931" s="274" t="n">
        <x:v>683</x:v>
      </x:c>
      <x:c r="M2931" s="274" t="s">
        <x:v>5612</x:v>
      </x:c>
      <x:c r="N2931" s="274" t="s">
        <x:v>3671</x:v>
      </x:c>
    </x:row>
    <x:row r="2932" spans="1:14">
      <x:c r="A2932" s="274" t="s">
        <x:v>5613</x:v>
      </x:c>
      <x:c r="B2932" s="274" t="n">
        <x:v>5.5</x:v>
      </x:c>
      <x:c r="C2932" s="274" t="n">
        <x:v>0</x:v>
      </x:c>
      <x:c r="D2932" s="274" t="n">
        <x:v>0</x:v>
      </x:c>
      <x:c r="F2932" s="274" t="s">
        <x:v>184</x:v>
      </x:c>
      <x:c r="G2932" s="274" t="s">
        <x:v>4782</x:v>
      </x:c>
      <x:c r="H2932" s="274" t="s">
        <x:v>4471</x:v>
      </x:c>
      <x:c r="I2932" s="274" t="n">
        <x:v>2</x:v>
      </x:c>
      <x:c r="J2932" s="274" t="n">
        <x:v>280</x:v>
      </x:c>
      <x:c r="K2932" s="274" t="n">
        <x:v>1250</x:v>
      </x:c>
      <x:c r="M2932" s="274" t="s">
        <x:v>5614</x:v>
      </x:c>
      <x:c r="N2932" s="274" t="s">
        <x:v>4258</x:v>
      </x:c>
    </x:row>
    <x:row r="2933" spans="1:14">
      <x:c r="A2933" s="274" t="s">
        <x:v>5615</x:v>
      </x:c>
      <x:c r="B2933" s="274" t="n">
        <x:v>0.94</x:v>
      </x:c>
      <x:c r="C2933" s="274" t="n">
        <x:v>0</x:v>
      </x:c>
      <x:c r="D2933" s="274" t="n">
        <x:v>0</x:v>
      </x:c>
      <x:c r="F2933" s="274" t="s">
        <x:v>133</x:v>
      </x:c>
      <x:c r="G2933" s="274" t="s">
        <x:v>136</x:v>
      </x:c>
      <x:c r="H2933" s="274" t="n">
        <x:v>45</x:v>
      </x:c>
      <x:c r="I2933" s="274" t="n">
        <x:v>1.4</x:v>
      </x:c>
      <x:c r="J2933" s="274" t="n">
        <x:v>210</x:v>
      </x:c>
      <x:c r="K2933" s="274" t="n">
        <x:v>402</x:v>
      </x:c>
      <x:c r="M2933" s="274" t="s">
        <x:v>5616</x:v>
      </x:c>
      <x:c r="N2933" s="274" t="s">
        <x:v>3671</x:v>
      </x:c>
    </x:row>
    <x:row r="2934" spans="1:14">
      <x:c r="A2934" s="274" t="s">
        <x:v>5617</x:v>
      </x:c>
      <x:c r="B2934" s="274" t="n">
        <x:v>0.25</x:v>
      </x:c>
      <x:c r="C2934" s="274" t="n">
        <x:v>0</x:v>
      </x:c>
      <x:c r="D2934" s="274" t="n">
        <x:v>0</x:v>
      </x:c>
      <x:c r="F2934" s="274" t="s">
        <x:v>133</x:v>
      </x:c>
      <x:c r="G2934" s="274" t="s">
        <x:v>136</x:v>
      </x:c>
      <x:c r="H2934" s="274" t="n">
        <x:v>45</x:v>
      </x:c>
      <x:c r="I2934" s="274" t="n">
        <x:v>1.4</x:v>
      </x:c>
      <x:c r="J2934" s="274" t="n">
        <x:v>122</x:v>
      </x:c>
      <x:c r="K2934" s="274" t="n">
        <x:v>186</x:v>
      </x:c>
      <x:c r="M2934" s="274" t="s">
        <x:v>5618</x:v>
      </x:c>
      <x:c r="N2934" s="274" t="s">
        <x:v>3671</x:v>
      </x:c>
    </x:row>
    <x:row r="2935" spans="1:14">
      <x:c r="A2935" s="274" t="s">
        <x:v>5619</x:v>
      </x:c>
      <x:c r="B2935" s="274" t="n">
        <x:v>9.62</x:v>
      </x:c>
      <x:c r="C2935" s="274" t="n">
        <x:v>0</x:v>
      </x:c>
      <x:c r="D2935" s="274" t="n">
        <x:v>0</x:v>
      </x:c>
      <x:c r="F2935" s="274" t="s">
        <x:v>311</x:v>
      </x:c>
      <x:c r="G2935" s="274" t="s">
        <x:v>124</x:v>
      </x:c>
      <x:c r="I2935" s="274" t="n">
        <x:v>1</x:v>
      </x:c>
      <x:c r="J2935" s="274" t="n">
        <x:v>1505</x:v>
      </x:c>
      <x:c r="K2935" s="274" t="n">
        <x:v>815</x:v>
      </x:c>
      <x:c r="M2935" s="274" t="s">
        <x:v>5620</x:v>
      </x:c>
      <x:c r="N2935" s="274" t="s">
        <x:v>3671</x:v>
      </x:c>
    </x:row>
    <x:row r="2936" spans="1:14">
      <x:c r="A2936" s="274" t="s">
        <x:v>5621</x:v>
      </x:c>
      <x:c r="B2936" s="274" t="n">
        <x:v>1.22</x:v>
      </x:c>
      <x:c r="C2936" s="274" t="n">
        <x:v>0</x:v>
      </x:c>
      <x:c r="D2936" s="274" t="n">
        <x:v>0</x:v>
      </x:c>
      <x:c r="F2936" s="274" t="s">
        <x:v>333</x:v>
      </x:c>
      <x:c r="G2936" s="274" t="s">
        <x:v>153</x:v>
      </x:c>
      <x:c r="I2936" s="274" t="n">
        <x:v>0.8</x:v>
      </x:c>
      <x:c r="J2936" s="274" t="n">
        <x:v>406</x:v>
      </x:c>
      <x:c r="K2936" s="274" t="n">
        <x:v>480</x:v>
      </x:c>
      <x:c r="M2936" s="274" t="s">
        <x:v>4952</x:v>
      </x:c>
      <x:c r="N2936" s="274" t="s">
        <x:v>4258</x:v>
      </x:c>
    </x:row>
    <x:row r="2937" spans="1:14">
      <x:c r="A2937" s="274" t="s">
        <x:v>5622</x:v>
      </x:c>
      <x:c r="B2937" s="274" t="n">
        <x:v>9.08</x:v>
      </x:c>
      <x:c r="C2937" s="274" t="n">
        <x:v>0</x:v>
      </x:c>
      <x:c r="D2937" s="274" t="n">
        <x:v>0</x:v>
      </x:c>
      <x:c r="F2937" s="274" t="s">
        <x:v>333</x:v>
      </x:c>
      <x:c r="G2937" s="274" t="s">
        <x:v>124</x:v>
      </x:c>
      <x:c r="I2937" s="274" t="n">
        <x:v>1.2</x:v>
      </x:c>
      <x:c r="J2937" s="274" t="n">
        <x:v>964</x:v>
      </x:c>
      <x:c r="K2937" s="274" t="n">
        <x:v>1000</x:v>
      </x:c>
      <x:c r="M2937" s="274" t="s">
        <x:v>5623</x:v>
      </x:c>
      <x:c r="N2937" s="274" t="s">
        <x:v>4258</x:v>
      </x:c>
    </x:row>
    <x:row r="2938" spans="1:14">
      <x:c r="A2938" s="274" t="s">
        <x:v>5624</x:v>
      </x:c>
      <x:c r="B2938" s="274" t="n">
        <x:v>4.14</x:v>
      </x:c>
      <x:c r="C2938" s="274" t="n">
        <x:v>0</x:v>
      </x:c>
      <x:c r="D2938" s="274" t="n">
        <x:v>0</x:v>
      </x:c>
      <x:c r="F2938" s="274" t="s">
        <x:v>128</x:v>
      </x:c>
      <x:c r="G2938" s="274" t="s">
        <x:v>177</x:v>
      </x:c>
      <x:c r="H2938" s="274" t="n">
        <x:v>45</x:v>
      </x:c>
      <x:c r="I2938" s="274" t="n">
        <x:v>2</x:v>
      </x:c>
      <x:c r="J2938" s="274" t="n">
        <x:v>350</x:v>
      </x:c>
      <x:c r="K2938" s="274" t="n">
        <x:v>750</x:v>
      </x:c>
      <x:c r="M2938" s="274" t="s">
        <x:v>5371</x:v>
      </x:c>
      <x:c r="N2938" s="274" t="s">
        <x:v>4258</x:v>
      </x:c>
    </x:row>
    <x:row r="2939" spans="1:14">
      <x:c r="A2939" s="274" t="s">
        <x:v>5625</x:v>
      </x:c>
      <x:c r="B2939" s="274" t="n">
        <x:v>2.7</x:v>
      </x:c>
      <x:c r="C2939" s="274" t="n">
        <x:v>0</x:v>
      </x:c>
      <x:c r="D2939" s="274" t="n">
        <x:v>0</x:v>
      </x:c>
      <x:c r="F2939" s="274" t="s">
        <x:v>128</x:v>
      </x:c>
      <x:c r="G2939" s="274" t="s">
        <x:v>177</x:v>
      </x:c>
      <x:c r="H2939" s="274" t="n">
        <x:v>45</x:v>
      </x:c>
      <x:c r="I2939" s="274" t="n">
        <x:v>2</x:v>
      </x:c>
      <x:c r="J2939" s="274" t="n">
        <x:v>180</x:v>
      </x:c>
      <x:c r="K2939" s="274" t="n">
        <x:v>950</x:v>
      </x:c>
      <x:c r="M2939" s="274" t="s">
        <x:v>5373</x:v>
      </x:c>
      <x:c r="N2939" s="274" t="s">
        <x:v>4258</x:v>
      </x:c>
    </x:row>
    <x:row r="2940" spans="1:14">
      <x:c r="A2940" s="274" t="s">
        <x:v>5626</x:v>
      </x:c>
      <x:c r="B2940" s="274" t="n">
        <x:v>1.38</x:v>
      </x:c>
      <x:c r="C2940" s="274" t="n">
        <x:v>0</x:v>
      </x:c>
      <x:c r="D2940" s="274" t="n">
        <x:v>0</x:v>
      </x:c>
      <x:c r="F2940" s="274" t="s">
        <x:v>128</x:v>
      </x:c>
      <x:c r="G2940" s="274" t="s">
        <x:v>177</x:v>
      </x:c>
      <x:c r="H2940" s="274" t="n">
        <x:v>45</x:v>
      </x:c>
      <x:c r="I2940" s="274" t="n">
        <x:v>2</x:v>
      </x:c>
      <x:c r="J2940" s="274" t="n">
        <x:v>248</x:v>
      </x:c>
      <x:c r="K2940" s="274" t="n">
        <x:v>353</x:v>
      </x:c>
      <x:c r="M2940" s="274" t="s">
        <x:v>5627</x:v>
      </x:c>
      <x:c r="N2940" s="274" t="s">
        <x:v>4258</x:v>
      </x:c>
    </x:row>
    <x:row r="2941" spans="1:14">
      <x:c r="A2941" s="274" t="s">
        <x:v>5628</x:v>
      </x:c>
      <x:c r="B2941" s="274" t="n">
        <x:v>3.83</x:v>
      </x:c>
      <x:c r="C2941" s="274" t="n">
        <x:v>0</x:v>
      </x:c>
      <x:c r="D2941" s="274" t="n">
        <x:v>0</x:v>
      </x:c>
      <x:c r="F2941" s="274" t="s">
        <x:v>128</x:v>
      </x:c>
      <x:c r="G2941" s="274" t="s">
        <x:v>496</x:v>
      </x:c>
      <x:c r="H2941" s="274" t="n">
        <x:v>45</x:v>
      </x:c>
      <x:c r="I2941" s="274" t="n">
        <x:v>2.3</x:v>
      </x:c>
      <x:c r="J2941" s="274" t="n">
        <x:v>176</x:v>
      </x:c>
      <x:c r="K2941" s="274" t="n">
        <x:v>1200</x:v>
      </x:c>
      <x:c r="M2941" s="274" t="s">
        <x:v>5376</x:v>
      </x:c>
      <x:c r="N2941" s="274" t="s">
        <x:v>4258</x:v>
      </x:c>
    </x:row>
    <x:row r="2942" spans="1:14">
      <x:c r="A2942" s="274" t="s">
        <x:v>5629</x:v>
      </x:c>
      <x:c r="B2942" s="274" t="n">
        <x:v>2.23</x:v>
      </x:c>
      <x:c r="C2942" s="274" t="n">
        <x:v>0</x:v>
      </x:c>
      <x:c r="D2942" s="274" t="n">
        <x:v>0</x:v>
      </x:c>
      <x:c r="F2942" s="274" t="s">
        <x:v>128</x:v>
      </x:c>
      <x:c r="G2942" s="274" t="s">
        <x:v>3314</x:v>
      </x:c>
      <x:c r="H2942" s="274" t="n">
        <x:v>45</x:v>
      </x:c>
      <x:c r="I2942" s="274" t="n">
        <x:v>2.6</x:v>
      </x:c>
      <x:c r="J2942" s="274" t="n">
        <x:v>290</x:v>
      </x:c>
      <x:c r="K2942" s="274" t="n">
        <x:v>375</x:v>
      </x:c>
      <x:c r="M2942" s="274" t="s">
        <x:v>5630</x:v>
      </x:c>
      <x:c r="N2942" s="274" t="s">
        <x:v>4258</x:v>
      </x:c>
    </x:row>
    <x:row r="2943" spans="1:14">
      <x:c r="A2943" s="274" t="s">
        <x:v>5631</x:v>
      </x:c>
      <x:c r="B2943" s="274" t="n">
        <x:v>0.2</x:v>
      </x:c>
      <x:c r="C2943" s="274" t="n">
        <x:v>0</x:v>
      </x:c>
      <x:c r="D2943" s="274" t="n">
        <x:v>0</x:v>
      </x:c>
      <x:c r="F2943" s="274" t="s">
        <x:v>333</x:v>
      </x:c>
      <x:c r="G2943" s="274" t="s">
        <x:v>209</x:v>
      </x:c>
      <x:c r="I2943" s="274" t="n">
        <x:v>1</x:v>
      </x:c>
      <x:c r="J2943" s="274" t="n">
        <x:v>296</x:v>
      </x:c>
      <x:c r="K2943" s="274" t="n">
        <x:v>86</x:v>
      </x:c>
      <x:c r="M2943" s="274" t="s">
        <x:v>5632</x:v>
      </x:c>
      <x:c r="N2943" s="274" t="s">
        <x:v>3671</x:v>
      </x:c>
    </x:row>
    <x:row r="2944" spans="1:14">
      <x:c r="A2944" s="274" t="s">
        <x:v>5633</x:v>
      </x:c>
      <x:c r="B2944" s="274" t="n">
        <x:v>0.46</x:v>
      </x:c>
      <x:c r="C2944" s="274" t="n">
        <x:v>0</x:v>
      </x:c>
      <x:c r="D2944" s="274" t="n">
        <x:v>0</x:v>
      </x:c>
      <x:c r="F2944" s="274" t="s">
        <x:v>333</x:v>
      </x:c>
      <x:c r="G2944" s="274" t="s">
        <x:v>209</x:v>
      </x:c>
      <x:c r="I2944" s="274" t="n">
        <x:v>1</x:v>
      </x:c>
      <x:c r="J2944" s="274" t="n">
        <x:v>319</x:v>
      </x:c>
      <x:c r="K2944" s="274" t="n">
        <x:v>183</x:v>
      </x:c>
      <x:c r="M2944" s="274" t="s">
        <x:v>5634</x:v>
      </x:c>
      <x:c r="N2944" s="274" t="s">
        <x:v>3671</x:v>
      </x:c>
    </x:row>
    <x:row r="2945" spans="1:14">
      <x:c r="A2945" s="274" t="s">
        <x:v>5635</x:v>
      </x:c>
      <x:c r="B2945" s="274" t="n">
        <x:v>0.85</x:v>
      </x:c>
      <x:c r="C2945" s="274" t="n">
        <x:v>0</x:v>
      </x:c>
      <x:c r="D2945" s="274" t="n">
        <x:v>0</x:v>
      </x:c>
      <x:c r="F2945" s="274" t="s">
        <x:v>333</x:v>
      </x:c>
      <x:c r="G2945" s="274" t="s">
        <x:v>209</x:v>
      </x:c>
      <x:c r="I2945" s="274" t="n">
        <x:v>1</x:v>
      </x:c>
      <x:c r="J2945" s="274" t="n">
        <x:v>201</x:v>
      </x:c>
      <x:c r="K2945" s="274" t="n">
        <x:v>536</x:v>
      </x:c>
      <x:c r="M2945" s="274" t="s">
        <x:v>5636</x:v>
      </x:c>
      <x:c r="N2945" s="274" t="s">
        <x:v>3671</x:v>
      </x:c>
    </x:row>
    <x:row r="2946" spans="1:14">
      <x:c r="A2946" s="274" t="s">
        <x:v>5637</x:v>
      </x:c>
      <x:c r="B2946" s="274" t="n">
        <x:v>0.54</x:v>
      </x:c>
      <x:c r="C2946" s="274" t="n">
        <x:v>0</x:v>
      </x:c>
      <x:c r="D2946" s="274" t="n">
        <x:v>0</x:v>
      </x:c>
      <x:c r="F2946" s="274" t="s">
        <x:v>333</x:v>
      </x:c>
      <x:c r="G2946" s="274" t="s">
        <x:v>209</x:v>
      </x:c>
      <x:c r="I2946" s="274" t="n">
        <x:v>1</x:v>
      </x:c>
      <x:c r="J2946" s="274" t="n">
        <x:v>459</x:v>
      </x:c>
      <x:c r="K2946" s="274" t="n">
        <x:v>149</x:v>
      </x:c>
      <x:c r="M2946" s="274" t="s">
        <x:v>5638</x:v>
      </x:c>
      <x:c r="N2946" s="274" t="s">
        <x:v>3671</x:v>
      </x:c>
    </x:row>
    <x:row r="2947" spans="1:14">
      <x:c r="A2947" s="274" t="s">
        <x:v>5639</x:v>
      </x:c>
      <x:c r="B2947" s="274" t="n">
        <x:v>3.91</x:v>
      </x:c>
      <x:c r="C2947" s="274" t="n">
        <x:v>0</x:v>
      </x:c>
      <x:c r="D2947" s="274" t="n">
        <x:v>0</x:v>
      </x:c>
      <x:c r="F2947" s="274" t="s">
        <x:v>3412</x:v>
      </x:c>
      <x:c r="G2947" s="274" t="s">
        <x:v>5449</x:v>
      </x:c>
      <x:c r="I2947" s="274" t="n">
        <x:v>2</x:v>
      </x:c>
      <x:c r="J2947" s="274" t="n">
        <x:v>202</x:v>
      </x:c>
      <x:c r="K2947" s="274" t="n">
        <x:v>1250</x:v>
      </x:c>
      <x:c r="M2947" s="274" t="s">
        <x:v>5640</x:v>
      </x:c>
      <x:c r="N2947" s="274" t="s">
        <x:v>4258</x:v>
      </x:c>
    </x:row>
    <x:row r="2948" spans="1:14">
      <x:c r="A2948" s="274" t="s">
        <x:v>5641</x:v>
      </x:c>
      <x:c r="B2948" s="274" t="n">
        <x:v>2.71</x:v>
      </x:c>
      <x:c r="C2948" s="274" t="n">
        <x:v>0</x:v>
      </x:c>
      <x:c r="D2948" s="274" t="n">
        <x:v>0</x:v>
      </x:c>
      <x:c r="F2948" s="274" t="s">
        <x:v>3412</x:v>
      </x:c>
      <x:c r="G2948" s="274" t="s">
        <x:v>5449</x:v>
      </x:c>
      <x:c r="I2948" s="274" t="n">
        <x:v>2</x:v>
      </x:c>
      <x:c r="J2948" s="274" t="n">
        <x:v>140</x:v>
      </x:c>
      <x:c r="K2948" s="274" t="n">
        <x:v>1250</x:v>
      </x:c>
      <x:c r="M2948" s="274" t="s">
        <x:v>5472</x:v>
      </x:c>
      <x:c r="N2948" s="274" t="s">
        <x:v>4258</x:v>
      </x:c>
    </x:row>
    <x:row r="2949" spans="1:14">
      <x:c r="A2949" s="274" t="s">
        <x:v>5642</x:v>
      </x:c>
      <x:c r="B2949" s="274" t="n">
        <x:v>0.34</x:v>
      </x:c>
      <x:c r="C2949" s="274" t="n">
        <x:v>0</x:v>
      </x:c>
      <x:c r="D2949" s="274" t="n">
        <x:v>0</x:v>
      </x:c>
      <x:c r="F2949" s="274" t="s">
        <x:v>133</x:v>
      </x:c>
      <x:c r="G2949" s="274" t="s">
        <x:v>144</x:v>
      </x:c>
      <x:c r="H2949" s="274" t="n">
        <x:v>45</x:v>
      </x:c>
      <x:c r="I2949" s="274" t="n">
        <x:v>2</x:v>
      </x:c>
      <x:c r="J2949" s="274" t="n">
        <x:v>103</x:v>
      </x:c>
      <x:c r="K2949" s="274" t="n">
        <x:v>207</x:v>
      </x:c>
      <x:c r="M2949" s="274" t="s">
        <x:v>5643</x:v>
      </x:c>
      <x:c r="N2949" s="274" t="s">
        <x:v>3671</x:v>
      </x:c>
    </x:row>
    <x:row r="2950" spans="1:14">
      <x:c r="A2950" s="274" t="s">
        <x:v>5644</x:v>
      </x:c>
      <x:c r="B2950" s="274" t="n">
        <x:v>0.61</x:v>
      </x:c>
      <x:c r="C2950" s="274" t="n">
        <x:v>0</x:v>
      </x:c>
      <x:c r="D2950" s="274" t="n">
        <x:v>0</x:v>
      </x:c>
      <x:c r="F2950" s="274" t="s">
        <x:v>133</x:v>
      </x:c>
      <x:c r="G2950" s="274" t="s">
        <x:v>144</x:v>
      </x:c>
      <x:c r="H2950" s="274" t="n">
        <x:v>45</x:v>
      </x:c>
      <x:c r="I2950" s="274" t="n">
        <x:v>2</x:v>
      </x:c>
      <x:c r="J2950" s="274" t="n">
        <x:v>185</x:v>
      </x:c>
      <x:c r="K2950" s="274" t="n">
        <x:v>209</x:v>
      </x:c>
      <x:c r="M2950" s="274" t="s">
        <x:v>5645</x:v>
      </x:c>
      <x:c r="N2950" s="274" t="s">
        <x:v>3671</x:v>
      </x:c>
    </x:row>
    <x:row r="2951" spans="1:14">
      <x:c r="A2951" s="274" t="s">
        <x:v>5646</x:v>
      </x:c>
      <x:c r="B2951" s="274" t="n">
        <x:v>0.71</x:v>
      </x:c>
      <x:c r="C2951" s="274" t="n">
        <x:v>0</x:v>
      </x:c>
      <x:c r="D2951" s="274" t="n">
        <x:v>0</x:v>
      </x:c>
      <x:c r="F2951" s="274" t="s">
        <x:v>133</x:v>
      </x:c>
      <x:c r="G2951" s="274" t="s">
        <x:v>144</x:v>
      </x:c>
      <x:c r="H2951" s="274" t="n">
        <x:v>45</x:v>
      </x:c>
      <x:c r="I2951" s="274" t="n">
        <x:v>2</x:v>
      </x:c>
      <x:c r="J2951" s="274" t="n">
        <x:v>213</x:v>
      </x:c>
      <x:c r="K2951" s="274" t="n">
        <x:v>211</x:v>
      </x:c>
      <x:c r="M2951" s="274" t="s">
        <x:v>5647</x:v>
      </x:c>
      <x:c r="N2951" s="274" t="s">
        <x:v>3671</x:v>
      </x:c>
    </x:row>
    <x:row r="2952" spans="1:14">
      <x:c r="A2952" s="274" t="s">
        <x:v>5648</x:v>
      </x:c>
      <x:c r="B2952" s="274" t="n">
        <x:v>1.34</x:v>
      </x:c>
      <x:c r="C2952" s="274" t="n">
        <x:v>0</x:v>
      </x:c>
      <x:c r="D2952" s="274" t="n">
        <x:v>0</x:v>
      </x:c>
      <x:c r="F2952" s="274" t="s">
        <x:v>128</x:v>
      </x:c>
      <x:c r="G2952" s="274" t="s">
        <x:v>496</x:v>
      </x:c>
      <x:c r="H2952" s="274" t="n">
        <x:v>45</x:v>
      </x:c>
      <x:c r="I2952" s="274" t="n">
        <x:v>2.8</x:v>
      </x:c>
      <x:c r="J2952" s="274" t="n">
        <x:v>147</x:v>
      </x:c>
      <x:c r="K2952" s="274" t="n">
        <x:v>414</x:v>
      </x:c>
      <x:c r="M2952" s="274" t="s">
        <x:v>5649</x:v>
      </x:c>
      <x:c r="N2952" s="274" t="s">
        <x:v>3671</x:v>
      </x:c>
    </x:row>
    <x:row r="2953" spans="1:14">
      <x:c r="A2953" s="274" t="s">
        <x:v>5650</x:v>
      </x:c>
      <x:c r="B2953" s="274" t="n">
        <x:v>2.45</x:v>
      </x:c>
      <x:c r="C2953" s="274" t="n">
        <x:v>0</x:v>
      </x:c>
      <x:c r="D2953" s="274" t="n">
        <x:v>0</x:v>
      </x:c>
      <x:c r="F2953" s="274" t="s">
        <x:v>184</x:v>
      </x:c>
      <x:c r="G2953" s="274" t="s">
        <x:v>144</x:v>
      </x:c>
      <x:c r="H2953" s="274" t="n">
        <x:v>45</x:v>
      </x:c>
      <x:c r="I2953" s="274" t="n">
        <x:v>2.3</x:v>
      </x:c>
      <x:c r="J2953" s="274" t="n">
        <x:v>351</x:v>
      </x:c>
      <x:c r="K2953" s="274" t="n">
        <x:v>384</x:v>
      </x:c>
      <x:c r="M2953" s="274" t="s">
        <x:v>5651</x:v>
      </x:c>
      <x:c r="N2953" s="274" t="s">
        <x:v>3671</x:v>
      </x:c>
    </x:row>
    <x:row r="2954" spans="1:14">
      <x:c r="A2954" s="274" t="s">
        <x:v>5652</x:v>
      </x:c>
      <x:c r="B2954" s="274" t="n">
        <x:v>1.42</x:v>
      </x:c>
      <x:c r="C2954" s="274" t="n">
        <x:v>0</x:v>
      </x:c>
      <x:c r="D2954" s="274" t="n">
        <x:v>0</x:v>
      </x:c>
      <x:c r="F2954" s="274" t="s">
        <x:v>123</x:v>
      </x:c>
      <x:c r="G2954" s="274" t="s">
        <x:v>209</x:v>
      </x:c>
      <x:c r="I2954" s="274" t="n">
        <x:v>2</x:v>
      </x:c>
      <x:c r="J2954" s="274" t="n">
        <x:v>571</x:v>
      </x:c>
      <x:c r="K2954" s="274" t="n">
        <x:v>158</x:v>
      </x:c>
      <x:c r="M2954" s="274" t="s">
        <x:v>5653</x:v>
      </x:c>
      <x:c r="N2954" s="274" t="s">
        <x:v>3671</x:v>
      </x:c>
    </x:row>
    <x:row r="2955" spans="1:14">
      <x:c r="A2955" s="274" t="s">
        <x:v>5654</x:v>
      </x:c>
      <x:c r="B2955" s="274" t="n">
        <x:v>1.26</x:v>
      </x:c>
      <x:c r="C2955" s="274" t="n">
        <x:v>0</x:v>
      </x:c>
      <x:c r="D2955" s="274" t="n">
        <x:v>0</x:v>
      </x:c>
      <x:c r="F2955" s="274" t="s">
        <x:v>128</x:v>
      </x:c>
      <x:c r="G2955" s="274" t="s">
        <x:v>496</x:v>
      </x:c>
      <x:c r="H2955" s="274" t="n">
        <x:v>45</x:v>
      </x:c>
      <x:c r="I2955" s="274" t="n">
        <x:v>2.9</x:v>
      </x:c>
      <x:c r="J2955" s="274" t="n">
        <x:v>89</x:v>
      </x:c>
      <x:c r="K2955" s="274" t="n">
        <x:v>620</x:v>
      </x:c>
      <x:c r="M2955" s="274" t="s">
        <x:v>5655</x:v>
      </x:c>
      <x:c r="N2955" s="274" t="s">
        <x:v>3671</x:v>
      </x:c>
    </x:row>
    <x:row r="2956" spans="1:14">
      <x:c r="A2956" s="274" t="s">
        <x:v>5656</x:v>
      </x:c>
      <x:c r="B2956" s="274" t="n">
        <x:v>2.9</x:v>
      </x:c>
      <x:c r="C2956" s="274" t="n">
        <x:v>0</x:v>
      </x:c>
      <x:c r="D2956" s="274" t="n">
        <x:v>0</x:v>
      </x:c>
      <x:c r="F2956" s="274" t="s">
        <x:v>333</x:v>
      </x:c>
      <x:c r="G2956" s="274" t="s">
        <x:v>209</x:v>
      </x:c>
      <x:c r="I2956" s="274" t="n">
        <x:v>1.8</x:v>
      </x:c>
      <x:c r="J2956" s="274" t="n">
        <x:v>190</x:v>
      </x:c>
      <x:c r="K2956" s="274" t="n">
        <x:v>1080</x:v>
      </x:c>
      <x:c r="M2956" s="274" t="s">
        <x:v>5657</x:v>
      </x:c>
      <x:c r="N2956" s="274" t="s">
        <x:v>3671</x:v>
      </x:c>
    </x:row>
    <x:row r="2957" spans="1:14">
      <x:c r="A2957" s="274" t="s">
        <x:v>5658</x:v>
      </x:c>
      <x:c r="B2957" s="274" t="n">
        <x:v>4.58</x:v>
      </x:c>
      <x:c r="C2957" s="274" t="n">
        <x:v>0</x:v>
      </x:c>
      <x:c r="D2957" s="274" t="n">
        <x:v>0</x:v>
      </x:c>
      <x:c r="F2957" s="274" t="s">
        <x:v>333</x:v>
      </x:c>
      <x:c r="G2957" s="274" t="s">
        <x:v>209</x:v>
      </x:c>
      <x:c r="I2957" s="274" t="n">
        <x:v>1.8</x:v>
      </x:c>
      <x:c r="J2957" s="274" t="n">
        <x:v>300</x:v>
      </x:c>
      <x:c r="K2957" s="274" t="n">
        <x:v>1080</x:v>
      </x:c>
      <x:c r="M2957" s="274" t="s">
        <x:v>5659</x:v>
      </x:c>
      <x:c r="N2957" s="274" t="s">
        <x:v>3671</x:v>
      </x:c>
    </x:row>
    <x:row r="2958" spans="1:14">
      <x:c r="A2958" s="274" t="s">
        <x:v>5660</x:v>
      </x:c>
      <x:c r="B2958" s="274" t="n">
        <x:v>0.63</x:v>
      </x:c>
      <x:c r="C2958" s="274" t="n">
        <x:v>0</x:v>
      </x:c>
      <x:c r="D2958" s="274" t="n">
        <x:v>0</x:v>
      </x:c>
      <x:c r="F2958" s="274" t="s">
        <x:v>128</x:v>
      </x:c>
      <x:c r="G2958" s="274" t="s">
        <x:v>3314</x:v>
      </x:c>
      <x:c r="H2958" s="274" t="n">
        <x:v>45</x:v>
      </x:c>
      <x:c r="I2958" s="274" t="n">
        <x:v>2.6</x:v>
      </x:c>
      <x:c r="J2958" s="274" t="n">
        <x:v>180</x:v>
      </x:c>
      <x:c r="K2958" s="274" t="n">
        <x:v>170</x:v>
      </x:c>
      <x:c r="M2958" s="274" t="s">
        <x:v>4337</x:v>
      </x:c>
      <x:c r="N2958" s="274" t="s">
        <x:v>3671</x:v>
      </x:c>
    </x:row>
    <x:row r="2959" spans="1:14">
      <x:c r="A2959" s="274" t="s">
        <x:v>5661</x:v>
      </x:c>
      <x:c r="B2959" s="274" t="n">
        <x:v>35.18</x:v>
      </x:c>
      <x:c r="C2959" s="274" t="n">
        <x:v>0</x:v>
      </x:c>
      <x:c r="D2959" s="274" t="n">
        <x:v>28</x:v>
      </x:c>
      <x:c r="E2959" s="274" t="n">
        <x:v>23</x:v>
      </x:c>
      <x:c r="F2959" s="274" t="s">
        <x:v>133</x:v>
      </x:c>
      <x:c r="G2959" s="274" t="s">
        <x:v>148</x:v>
      </x:c>
      <x:c r="I2959" s="274" t="n">
        <x:v>3</x:v>
      </x:c>
      <x:c r="J2959" s="274" t="n">
        <x:v>1195</x:v>
      </x:c>
      <x:c r="K2959" s="274" t="n">
        <x:v>1250</x:v>
      </x:c>
    </x:row>
    <x:row r="2960" spans="1:14">
      <x:c r="A2960" s="274" t="s">
        <x:v>5662</x:v>
      </x:c>
      <x:c r="B2960" s="274" t="n">
        <x:v>3.65</x:v>
      </x:c>
      <x:c r="C2960" s="274" t="n">
        <x:v>0</x:v>
      </x:c>
      <x:c r="D2960" s="274" t="n">
        <x:v>0</x:v>
      </x:c>
      <x:c r="F2960" s="274" t="s">
        <x:v>333</x:v>
      </x:c>
      <x:c r="G2960" s="274" t="s">
        <x:v>4796</x:v>
      </x:c>
      <x:c r="I2960" s="274" t="n">
        <x:v>1</x:v>
      </x:c>
      <x:c r="J2960" s="274" t="n">
        <x:v>346</x:v>
      </x:c>
      <x:c r="K2960" s="274" t="n">
        <x:v>1344</x:v>
      </x:c>
      <x:c r="M2960" s="274" t="s">
        <x:v>5663</x:v>
      </x:c>
      <x:c r="N2960" s="274" t="s">
        <x:v>4258</x:v>
      </x:c>
    </x:row>
    <x:row r="2961" spans="1:14">
      <x:c r="A2961" s="274" t="s">
        <x:v>5664</x:v>
      </x:c>
      <x:c r="B2961" s="274" t="n">
        <x:v>3.24</x:v>
      </x:c>
      <x:c r="C2961" s="274" t="n">
        <x:v>0</x:v>
      </x:c>
      <x:c r="D2961" s="274" t="n">
        <x:v>0</x:v>
      </x:c>
      <x:c r="F2961" s="274" t="s">
        <x:v>333</x:v>
      </x:c>
      <x:c r="G2961" s="274" t="s">
        <x:v>4796</x:v>
      </x:c>
      <x:c r="I2961" s="274" t="n">
        <x:v>1.6</x:v>
      </x:c>
      <x:c r="J2961" s="274" t="n">
        <x:v>645</x:v>
      </x:c>
      <x:c r="K2961" s="274" t="n">
        <x:v>400</x:v>
      </x:c>
      <x:c r="M2961" s="274" t="s">
        <x:v>5665</x:v>
      </x:c>
      <x:c r="N2961" s="274" t="s">
        <x:v>4258</x:v>
      </x:c>
    </x:row>
    <x:row r="2962" spans="1:14">
      <x:c r="A2962" s="274" t="s">
        <x:v>5666</x:v>
      </x:c>
      <x:c r="B2962" s="274" t="n">
        <x:v>3.25</x:v>
      </x:c>
      <x:c r="C2962" s="274" t="n">
        <x:v>0</x:v>
      </x:c>
      <x:c r="D2962" s="274" t="n">
        <x:v>0</x:v>
      </x:c>
      <x:c r="F2962" s="274" t="s">
        <x:v>333</x:v>
      </x:c>
      <x:c r="G2962" s="274" t="s">
        <x:v>5164</x:v>
      </x:c>
      <x:c r="I2962" s="274" t="n">
        <x:v>1.2</x:v>
      </x:c>
      <x:c r="J2962" s="274" t="n">
        <x:v>1150</x:v>
      </x:c>
      <x:c r="K2962" s="274" t="n">
        <x:v>300</x:v>
      </x:c>
      <x:c r="M2962" s="274" t="s">
        <x:v>5667</x:v>
      </x:c>
      <x:c r="N2962" s="274" t="s">
        <x:v>4258</x:v>
      </x:c>
    </x:row>
    <x:row r="2963" spans="1:14">
      <x:c r="A2963" s="274" t="s">
        <x:v>5668</x:v>
      </x:c>
      <x:c r="B2963" s="274" t="n">
        <x:v>1.17</x:v>
      </x:c>
      <x:c r="C2963" s="274" t="n">
        <x:v>0</x:v>
      </x:c>
      <x:c r="D2963" s="274" t="n">
        <x:v>0</x:v>
      </x:c>
      <x:c r="F2963" s="274" t="s">
        <x:v>333</x:v>
      </x:c>
      <x:c r="G2963" s="274" t="s">
        <x:v>4796</x:v>
      </x:c>
      <x:c r="I2963" s="274" t="n">
        <x:v>1.2</x:v>
      </x:c>
      <x:c r="J2963" s="274" t="n">
        <x:v>540</x:v>
      </x:c>
      <x:c r="K2963" s="274" t="n">
        <x:v>230</x:v>
      </x:c>
      <x:c r="M2963" s="274" t="s">
        <x:v>5669</x:v>
      </x:c>
      <x:c r="N2963" s="274" t="s">
        <x:v>4258</x:v>
      </x:c>
    </x:row>
    <x:row r="2964" spans="1:14">
      <x:c r="A2964" s="274" t="s">
        <x:v>5670</x:v>
      </x:c>
      <x:c r="B2964" s="274" t="n">
        <x:v>0.94</x:v>
      </x:c>
      <x:c r="C2964" s="274" t="n">
        <x:v>0</x:v>
      </x:c>
      <x:c r="D2964" s="274" t="n">
        <x:v>0</x:v>
      </x:c>
      <x:c r="F2964" s="274" t="s">
        <x:v>333</x:v>
      </x:c>
      <x:c r="G2964" s="274" t="s">
        <x:v>124</x:v>
      </x:c>
      <x:c r="I2964" s="274" t="n">
        <x:v>0.8</x:v>
      </x:c>
      <x:c r="J2964" s="274" t="n">
        <x:v>120</x:v>
      </x:c>
      <x:c r="K2964" s="274" t="n">
        <x:v>1250</x:v>
      </x:c>
      <x:c r="M2964" s="274" t="s">
        <x:v>5671</x:v>
      </x:c>
      <x:c r="N2964" s="274" t="s">
        <x:v>3671</x:v>
      </x:c>
    </x:row>
    <x:row r="2965" spans="1:14">
      <x:c r="A2965" s="274" t="s">
        <x:v>5672</x:v>
      </x:c>
      <x:c r="B2965" s="274" t="n">
        <x:v>1.65</x:v>
      </x:c>
      <x:c r="C2965" s="274" t="n">
        <x:v>0</x:v>
      </x:c>
      <x:c r="D2965" s="274" t="n">
        <x:v>0</x:v>
      </x:c>
      <x:c r="F2965" s="274" t="s">
        <x:v>333</x:v>
      </x:c>
      <x:c r="G2965" s="274" t="s">
        <x:v>209</x:v>
      </x:c>
      <x:c r="I2965" s="274" t="n">
        <x:v>1.2</x:v>
      </x:c>
      <x:c r="J2965" s="274" t="n">
        <x:v>140</x:v>
      </x:c>
      <x:c r="K2965" s="274" t="n">
        <x:v>1250</x:v>
      </x:c>
      <x:c r="M2965" s="274" t="s">
        <x:v>5673</x:v>
      </x:c>
      <x:c r="N2965" s="274" t="s">
        <x:v>3671</x:v>
      </x:c>
    </x:row>
    <x:row r="2966" spans="1:14">
      <x:c r="A2966" s="274" t="s">
        <x:v>5674</x:v>
      </x:c>
      <x:c r="B2966" s="274" t="n">
        <x:v>10.02</x:v>
      </x:c>
      <x:c r="C2966" s="274" t="n">
        <x:v>0</x:v>
      </x:c>
      <x:c r="D2966" s="274" t="n">
        <x:v>0</x:v>
      </x:c>
      <x:c r="F2966" s="274" t="s">
        <x:v>133</x:v>
      </x:c>
      <x:c r="G2966" s="274" t="s">
        <x:v>4893</x:v>
      </x:c>
      <x:c r="I2966" s="274" t="n">
        <x:v>2</x:v>
      </x:c>
      <x:c r="J2966" s="274" t="n">
        <x:v>456</x:v>
      </x:c>
      <x:c r="K2966" s="274" t="n">
        <x:v>1400</x:v>
      </x:c>
      <x:c r="M2966" s="274" t="s">
        <x:v>5675</x:v>
      </x:c>
      <x:c r="N2966" s="274" t="s">
        <x:v>4258</x:v>
      </x:c>
    </x:row>
    <x:row r="2967" spans="1:14">
      <x:c r="A2967" s="274" t="s">
        <x:v>5676</x:v>
      </x:c>
      <x:c r="B2967" s="274" t="n">
        <x:v>0.51</x:v>
      </x:c>
      <x:c r="C2967" s="274" t="n">
        <x:v>0</x:v>
      </x:c>
      <x:c r="D2967" s="274" t="n">
        <x:v>0</x:v>
      </x:c>
      <x:c r="F2967" s="274" t="s">
        <x:v>333</x:v>
      </x:c>
      <x:c r="G2967" s="274" t="s">
        <x:v>4796</x:v>
      </x:c>
      <x:c r="I2967" s="274" t="n">
        <x:v>0.8</x:v>
      </x:c>
      <x:c r="J2967" s="274" t="n">
        <x:v>476</x:v>
      </x:c>
      <x:c r="K2967" s="274" t="n">
        <x:v>171</x:v>
      </x:c>
      <x:c r="M2967" s="274" t="s">
        <x:v>5677</x:v>
      </x:c>
      <x:c r="N2967" s="274" t="s">
        <x:v>4258</x:v>
      </x:c>
    </x:row>
    <x:row r="2968" spans="1:14">
      <x:c r="A2968" s="274" t="s">
        <x:v>5678</x:v>
      </x:c>
      <x:c r="B2968" s="274" t="n">
        <x:v>4.62</x:v>
      </x:c>
      <x:c r="C2968" s="274" t="n">
        <x:v>0</x:v>
      </x:c>
      <x:c r="D2968" s="274" t="n">
        <x:v>0</x:v>
      </x:c>
      <x:c r="F2968" s="274" t="s">
        <x:v>133</x:v>
      </x:c>
      <x:c r="G2968" s="274" t="s">
        <x:v>144</x:v>
      </x:c>
      <x:c r="H2968" s="274" t="n">
        <x:v>45</x:v>
      </x:c>
      <x:c r="I2968" s="274" t="n">
        <x:v>2</x:v>
      </x:c>
      <x:c r="J2968" s="274" t="n">
        <x:v>244</x:v>
      </x:c>
      <x:c r="K2968" s="274" t="n">
        <x:v>1200</x:v>
      </x:c>
      <x:c r="M2968" s="274" t="s">
        <x:v>4051</x:v>
      </x:c>
      <x:c r="N2968" s="274" t="s">
        <x:v>3671</x:v>
      </x:c>
    </x:row>
    <x:row r="2969" spans="1:14">
      <x:c r="A2969" s="274" t="s">
        <x:v>5679</x:v>
      </x:c>
      <x:c r="B2969" s="274" t="n">
        <x:v>0.58</x:v>
      </x:c>
      <x:c r="C2969" s="274" t="n">
        <x:v>0</x:v>
      </x:c>
      <x:c r="D2969" s="274" t="n">
        <x:v>0</x:v>
      </x:c>
      <x:c r="F2969" s="274" t="s">
        <x:v>123</x:v>
      </x:c>
      <x:c r="G2969" s="274" t="s">
        <x:v>153</x:v>
      </x:c>
      <x:c r="I2969" s="274" t="n">
        <x:v>2</x:v>
      </x:c>
      <x:c r="J2969" s="274" t="n">
        <x:v>423</x:v>
      </x:c>
      <x:c r="K2969" s="274" t="n">
        <x:v>88</x:v>
      </x:c>
      <x:c r="M2969" s="274" t="s">
        <x:v>4086</x:v>
      </x:c>
      <x:c r="N2969" s="274" t="s">
        <x:v>3671</x:v>
      </x:c>
    </x:row>
    <x:row r="2970" spans="1:14">
      <x:c r="A2970" s="274" t="s">
        <x:v>5680</x:v>
      </x:c>
      <x:c r="B2970" s="274" t="n">
        <x:v>0.76</x:v>
      </x:c>
      <x:c r="C2970" s="274" t="n">
        <x:v>0</x:v>
      </x:c>
      <x:c r="D2970" s="274" t="n">
        <x:v>0</x:v>
      </x:c>
      <x:c r="F2970" s="274" t="s">
        <x:v>123</x:v>
      </x:c>
      <x:c r="G2970" s="274" t="s">
        <x:v>153</x:v>
      </x:c>
      <x:c r="I2970" s="274" t="n">
        <x:v>2</x:v>
      </x:c>
      <x:c r="J2970" s="274" t="n">
        <x:v>403</x:v>
      </x:c>
      <x:c r="K2970" s="274" t="n">
        <x:v>120</x:v>
      </x:c>
      <x:c r="M2970" s="274" t="s">
        <x:v>4084</x:v>
      </x:c>
      <x:c r="N2970" s="274" t="s">
        <x:v>3671</x:v>
      </x:c>
    </x:row>
    <x:row r="2971" spans="1:14">
      <x:c r="A2971" s="274" t="s">
        <x:v>5681</x:v>
      </x:c>
      <x:c r="B2971" s="274" t="n">
        <x:v>1.24</x:v>
      </x:c>
      <x:c r="C2971" s="274" t="n">
        <x:v>0</x:v>
      </x:c>
      <x:c r="D2971" s="274" t="n">
        <x:v>0</x:v>
      </x:c>
      <x:c r="F2971" s="274" t="s">
        <x:v>133</x:v>
      </x:c>
      <x:c r="G2971" s="274" t="s">
        <x:v>134</x:v>
      </x:c>
      <x:c r="I2971" s="274" t="n">
        <x:v>2.8</x:v>
      </x:c>
      <x:c r="J2971" s="274" t="n">
        <x:v>128</x:v>
      </x:c>
      <x:c r="K2971" s="274" t="n">
        <x:v>439</x:v>
      </x:c>
      <x:c r="M2971" s="274" t="s">
        <x:v>4363</x:v>
      </x:c>
      <x:c r="N2971" s="274" t="s">
        <x:v>3671</x:v>
      </x:c>
    </x:row>
    <x:row r="2972" spans="1:14">
      <x:c r="A2972" s="274" t="s">
        <x:v>5682</x:v>
      </x:c>
      <x:c r="B2972" s="274" t="n">
        <x:v>0.47</x:v>
      </x:c>
      <x:c r="C2972" s="274" t="n">
        <x:v>0</x:v>
      </x:c>
      <x:c r="D2972" s="274" t="n">
        <x:v>0</x:v>
      </x:c>
      <x:c r="F2972" s="274" t="s">
        <x:v>123</x:v>
      </x:c>
      <x:c r="G2972" s="274" t="s">
        <x:v>148</x:v>
      </x:c>
      <x:c r="I2972" s="274" t="n">
        <x:v>1.6</x:v>
      </x:c>
      <x:c r="J2972" s="274" t="n">
        <x:v>205</x:v>
      </x:c>
      <x:c r="K2972" s="274" t="n">
        <x:v>181</x:v>
      </x:c>
      <x:c r="M2972" s="274" t="s">
        <x:v>5683</x:v>
      </x:c>
      <x:c r="N2972" s="274" t="s">
        <x:v>3671</x:v>
      </x:c>
    </x:row>
    <x:row r="2973" spans="1:14">
      <x:c r="A2973" s="274" t="s">
        <x:v>5684</x:v>
      </x:c>
      <x:c r="B2973" s="274" t="n">
        <x:v>0.59</x:v>
      </x:c>
      <x:c r="C2973" s="274" t="n">
        <x:v>0</x:v>
      </x:c>
      <x:c r="D2973" s="274" t="n">
        <x:v>0</x:v>
      </x:c>
      <x:c r="F2973" s="274" t="s">
        <x:v>133</x:v>
      </x:c>
      <x:c r="G2973" s="274" t="s">
        <x:v>144</x:v>
      </x:c>
      <x:c r="H2973" s="274" t="n">
        <x:v>45</x:v>
      </x:c>
      <x:c r="I2973" s="274" t="n">
        <x:v>1.4</x:v>
      </x:c>
      <x:c r="J2973" s="274" t="n">
        <x:v>226</x:v>
      </x:c>
      <x:c r="K2973" s="274" t="n">
        <x:v>235</x:v>
      </x:c>
      <x:c r="M2973" s="274" t="s">
        <x:v>5685</x:v>
      </x:c>
      <x:c r="N2973" s="274" t="s">
        <x:v>3671</x:v>
      </x:c>
    </x:row>
    <x:row r="2974" spans="1:14">
      <x:c r="A2974" s="274" t="s">
        <x:v>5686</x:v>
      </x:c>
      <x:c r="B2974" s="274" t="n">
        <x:v>1.49</x:v>
      </x:c>
      <x:c r="C2974" s="274" t="n">
        <x:v>0</x:v>
      </x:c>
      <x:c r="D2974" s="274" t="n">
        <x:v>0</x:v>
      </x:c>
      <x:c r="F2974" s="274" t="s">
        <x:v>333</x:v>
      </x:c>
      <x:c r="G2974" s="274" t="s">
        <x:v>124</x:v>
      </x:c>
      <x:c r="I2974" s="274" t="n">
        <x:v>0.8</x:v>
      </x:c>
      <x:c r="J2974" s="274" t="n">
        <x:v>190</x:v>
      </x:c>
      <x:c r="K2974" s="274" t="n">
        <x:v>1250</x:v>
      </x:c>
      <x:c r="M2974" s="274" t="s">
        <x:v>5687</x:v>
      </x:c>
      <x:c r="N2974" s="274" t="s">
        <x:v>3671</x:v>
      </x:c>
    </x:row>
    <x:row r="2975" spans="1:14">
      <x:c r="A2975" s="274" t="s">
        <x:v>5688</x:v>
      </x:c>
      <x:c r="B2975" s="274" t="n">
        <x:v>1.29</x:v>
      </x:c>
      <x:c r="C2975" s="274" t="n">
        <x:v>0</x:v>
      </x:c>
      <x:c r="D2975" s="274" t="n">
        <x:v>0</x:v>
      </x:c>
      <x:c r="F2975" s="274" t="s">
        <x:v>333</x:v>
      </x:c>
      <x:c r="G2975" s="274" t="s">
        <x:v>209</x:v>
      </x:c>
      <x:c r="I2975" s="274" t="n">
        <x:v>0.8</x:v>
      </x:c>
      <x:c r="J2975" s="274" t="n">
        <x:v>165</x:v>
      </x:c>
      <x:c r="K2975" s="274" t="n">
        <x:v>1250</x:v>
      </x:c>
      <x:c r="M2975" s="274" t="s">
        <x:v>5689</x:v>
      </x:c>
      <x:c r="N2975" s="274" t="s">
        <x:v>3671</x:v>
      </x:c>
    </x:row>
    <x:row r="2976" spans="1:14">
      <x:c r="A2976" s="274" t="s">
        <x:v>5690</x:v>
      </x:c>
      <x:c r="B2976" s="274" t="n">
        <x:v>1.77</x:v>
      </x:c>
      <x:c r="C2976" s="274" t="n">
        <x:v>0</x:v>
      </x:c>
      <x:c r="D2976" s="274" t="n">
        <x:v>0</x:v>
      </x:c>
      <x:c r="F2976" s="274" t="s">
        <x:v>333</x:v>
      </x:c>
      <x:c r="G2976" s="274" t="s">
        <x:v>5307</x:v>
      </x:c>
      <x:c r="I2976" s="274" t="n">
        <x:v>1.2</x:v>
      </x:c>
      <x:c r="J2976" s="274" t="n">
        <x:v>150</x:v>
      </x:c>
      <x:c r="K2976" s="274" t="n">
        <x:v>1250</x:v>
      </x:c>
      <x:c r="M2976" s="274" t="s">
        <x:v>5691</x:v>
      </x:c>
      <x:c r="N2976" s="274" t="s">
        <x:v>3671</x:v>
      </x:c>
    </x:row>
    <x:row r="2977" spans="1:14">
      <x:c r="A2977" s="274" t="s">
        <x:v>5692</x:v>
      </x:c>
      <x:c r="B2977" s="274" t="n">
        <x:v>5.06</x:v>
      </x:c>
      <x:c r="C2977" s="274" t="n">
        <x:v>0</x:v>
      </x:c>
      <x:c r="D2977" s="274" t="n">
        <x:v>30</x:v>
      </x:c>
      <x:c r="E2977" s="274" t="n">
        <x:v>0</x:v>
      </x:c>
      <x:c r="F2977" s="274" t="s">
        <x:v>333</x:v>
      </x:c>
      <x:c r="G2977" s="274" t="s">
        <x:v>4796</x:v>
      </x:c>
      <x:c r="I2977" s="274" t="n">
        <x:v>1.2</x:v>
      </x:c>
      <x:c r="J2977" s="274" t="n">
        <x:v>650</x:v>
      </x:c>
      <x:c r="K2977" s="274" t="n">
        <x:v>294</x:v>
      </x:c>
      <x:c r="L2977" s="274" t="n">
        <x:v>1360</x:v>
      </x:c>
      <x:c r="M2977" s="274" t="s">
        <x:v>5693</x:v>
      </x:c>
      <x:c r="N2977" s="274" t="s">
        <x:v>4258</x:v>
      </x:c>
    </x:row>
    <x:row r="2978" spans="1:14">
      <x:c r="A2978" s="274" t="s">
        <x:v>5694</x:v>
      </x:c>
      <x:c r="B2978" s="274" t="n">
        <x:v>7.31</x:v>
      </x:c>
      <x:c r="C2978" s="274" t="n">
        <x:v>0</x:v>
      </x:c>
      <x:c r="D2978" s="274" t="n">
        <x:v>0</x:v>
      </x:c>
      <x:c r="F2978" s="274" t="s">
        <x:v>133</x:v>
      </x:c>
      <x:c r="G2978" s="274" t="s">
        <x:v>4470</x:v>
      </x:c>
      <x:c r="H2978" s="274" t="s">
        <x:v>4471</x:v>
      </x:c>
      <x:c r="I2978" s="274" t="n">
        <x:v>1.4</x:v>
      </x:c>
      <x:c r="J2978" s="274" t="n">
        <x:v>465</x:v>
      </x:c>
      <x:c r="K2978" s="274" t="n">
        <x:v>1430</x:v>
      </x:c>
      <x:c r="M2978" s="274" t="s">
        <x:v>4936</x:v>
      </x:c>
      <x:c r="N2978" s="274" t="s">
        <x:v>4258</x:v>
      </x:c>
    </x:row>
    <x:row r="2979" spans="1:14">
      <x:c r="A2979" s="274" t="s">
        <x:v>5695</x:v>
      </x:c>
      <x:c r="B2979" s="274" t="n">
        <x:v>12.34</x:v>
      </x:c>
      <x:c r="C2979" s="274" t="n">
        <x:v>0</x:v>
      </x:c>
      <x:c r="D2979" s="274" t="n">
        <x:v>30</x:v>
      </x:c>
      <x:c r="E2979" s="274" t="n">
        <x:v>25</x:v>
      </x:c>
      <x:c r="F2979" s="274" t="s">
        <x:v>1980</x:v>
      </x:c>
      <x:c r="G2979" s="274" t="s">
        <x:v>1985</x:v>
      </x:c>
      <x:c r="I2979" s="274" t="n">
        <x:v>0.7</x:v>
      </x:c>
      <x:c r="J2979" s="274" t="n">
        <x:v>1290</x:v>
      </x:c>
      <x:c r="K2979" s="274" t="n">
        <x:v>1740</x:v>
      </x:c>
      <x:c r="M2979" s="274" t="s">
        <x:v>5696</x:v>
      </x:c>
      <x:c r="N2979" s="274" t="s">
        <x:v>1983</x:v>
      </x:c>
    </x:row>
    <x:row r="2980" spans="1:14">
      <x:c r="A2980" s="274" t="s">
        <x:v>5697</x:v>
      </x:c>
      <x:c r="B2980" s="274" t="n">
        <x:v>3.2</x:v>
      </x:c>
      <x:c r="C2980" s="274" t="n">
        <x:v>0</x:v>
      </x:c>
      <x:c r="D2980" s="274" t="n">
        <x:v>0</x:v>
      </x:c>
      <x:c r="F2980" s="274" t="s">
        <x:v>123</x:v>
      </x:c>
      <x:c r="G2980" s="274" t="s">
        <x:v>4256</x:v>
      </x:c>
      <x:c r="I2980" s="274" t="n">
        <x:v>2.3</x:v>
      </x:c>
      <x:c r="J2980" s="274" t="n">
        <x:v>732</x:v>
      </x:c>
      <x:c r="K2980" s="274" t="n">
        <x:v>242</x:v>
      </x:c>
      <x:c r="M2980" s="274" t="s">
        <x:v>5698</x:v>
      </x:c>
      <x:c r="N2980" s="274" t="s">
        <x:v>4258</x:v>
      </x:c>
    </x:row>
    <x:row r="2981" spans="1:14">
      <x:c r="A2981" s="274" t="s">
        <x:v>5699</x:v>
      </x:c>
      <x:c r="B2981" s="274" t="n">
        <x:v>1.71</x:v>
      </x:c>
      <x:c r="C2981" s="274" t="n">
        <x:v>0</x:v>
      </x:c>
      <x:c r="D2981" s="274" t="n">
        <x:v>0</x:v>
      </x:c>
      <x:c r="F2981" s="274" t="s">
        <x:v>184</x:v>
      </x:c>
      <x:c r="G2981" s="274" t="s">
        <x:v>4782</x:v>
      </x:c>
      <x:c r="H2981" s="274" t="s">
        <x:v>4471</x:v>
      </x:c>
      <x:c r="I2981" s="274" t="n">
        <x:v>0.7</x:v>
      </x:c>
      <x:c r="J2981" s="274" t="n">
        <x:v>290</x:v>
      </x:c>
      <x:c r="K2981" s="274" t="n">
        <x:v>1070</x:v>
      </x:c>
      <x:c r="M2981" s="274" t="s">
        <x:v>5700</x:v>
      </x:c>
      <x:c r="N2981" s="274" t="s">
        <x:v>4258</x:v>
      </x:c>
    </x:row>
    <x:row r="2982" spans="1:14">
      <x:c r="A2982" s="274" t="s">
        <x:v>5701</x:v>
      </x:c>
      <x:c r="B2982" s="274" t="n">
        <x:v>6.16</x:v>
      </x:c>
      <x:c r="C2982" s="274" t="n">
        <x:v>0</x:v>
      </x:c>
      <x:c r="D2982" s="274" t="n">
        <x:v>45</x:v>
      </x:c>
      <x:c r="E2982" s="274" t="n">
        <x:v>40</x:v>
      </x:c>
      <x:c r="F2982" s="274" t="s">
        <x:v>333</x:v>
      </x:c>
      <x:c r="G2982" s="274" t="s">
        <x:v>4286</x:v>
      </x:c>
      <x:c r="I2982" s="274" t="n">
        <x:v>1.2</x:v>
      </x:c>
      <x:c r="J2982" s="274" t="n">
        <x:v>1520</x:v>
      </x:c>
      <x:c r="K2982" s="274" t="n">
        <x:v>430</x:v>
      </x:c>
      <x:c r="M2982" s="274" t="s">
        <x:v>5702</x:v>
      </x:c>
      <x:c r="N2982" s="274" t="s">
        <x:v>4258</x:v>
      </x:c>
    </x:row>
    <x:row r="2983" spans="1:14">
      <x:c r="A2983" s="274" t="s">
        <x:v>5703</x:v>
      </x:c>
      <x:c r="B2983" s="274" t="n">
        <x:v>2.55</x:v>
      </x:c>
      <x:c r="C2983" s="274" t="n">
        <x:v>0</x:v>
      </x:c>
      <x:c r="D2983" s="274" t="n">
        <x:v>22</x:v>
      </x:c>
      <x:c r="E2983" s="274" t="n">
        <x:v>22</x:v>
      </x:c>
      <x:c r="F2983" s="274" t="s">
        <x:v>184</x:v>
      </x:c>
      <x:c r="G2983" s="274" t="s">
        <x:v>129</x:v>
      </x:c>
      <x:c r="H2983" s="274" t="n">
        <x:v>45</x:v>
      </x:c>
      <x:c r="I2983" s="274" t="n">
        <x:v>1</x:v>
      </x:c>
      <x:c r="J2983" s="274" t="n">
        <x:v>268</x:v>
      </x:c>
      <x:c r="K2983" s="274" t="n">
        <x:v>1200</x:v>
      </x:c>
      <x:c r="M2983" s="274" t="s">
        <x:v>4166</x:v>
      </x:c>
      <x:c r="N2983" s="274" t="s">
        <x:v>131</x:v>
      </x:c>
    </x:row>
    <x:row r="2984" spans="1:14">
      <x:c r="A2984" s="274" t="s">
        <x:v>5704</x:v>
      </x:c>
      <x:c r="B2984" s="274" t="n">
        <x:v>5.5</x:v>
      </x:c>
      <x:c r="C2984" s="274" t="n">
        <x:v>0</x:v>
      </x:c>
      <x:c r="D2984" s="274" t="n">
        <x:v>0</x:v>
      </x:c>
      <x:c r="F2984" s="274" t="s">
        <x:v>133</x:v>
      </x:c>
      <x:c r="G2984" s="274" t="s">
        <x:v>4299</x:v>
      </x:c>
      <x:c r="I2984" s="274" t="n">
        <x:v>4</x:v>
      </x:c>
      <x:c r="J2984" s="274" t="n">
        <x:v>140</x:v>
      </x:c>
      <x:c r="K2984" s="274" t="n">
        <x:v>1250</x:v>
      </x:c>
      <x:c r="M2984" s="274" t="s">
        <x:v>5705</x:v>
      </x:c>
      <x:c r="N2984" s="274" t="s">
        <x:v>4258</x:v>
      </x:c>
    </x:row>
    <x:row r="2985" spans="1:14">
      <x:c r="A2985" s="274" t="s">
        <x:v>5706</x:v>
      </x:c>
      <x:c r="B2985" s="274" t="n">
        <x:v>3.25</x:v>
      </x:c>
      <x:c r="C2985" s="274" t="n">
        <x:v>0</x:v>
      </x:c>
      <x:c r="D2985" s="274" t="n">
        <x:v>0</x:v>
      </x:c>
      <x:c r="F2985" s="274" t="s">
        <x:v>133</x:v>
      </x:c>
      <x:c r="G2985" s="274" t="s">
        <x:v>4329</x:v>
      </x:c>
      <x:c r="I2985" s="274" t="n">
        <x:v>2.3</x:v>
      </x:c>
      <x:c r="J2985" s="274" t="n">
        <x:v>150</x:v>
      </x:c>
      <x:c r="K2985" s="274" t="n">
        <x:v>1200</x:v>
      </x:c>
      <x:c r="M2985" s="274" t="s">
        <x:v>5707</x:v>
      </x:c>
      <x:c r="N2985" s="274" t="s">
        <x:v>4258</x:v>
      </x:c>
    </x:row>
    <x:row r="2986" spans="1:14">
      <x:c r="A2986" s="274" t="s">
        <x:v>5708</x:v>
      </x:c>
      <x:c r="B2986" s="274" t="n">
        <x:v>4.4</x:v>
      </x:c>
      <x:c r="C2986" s="274" t="n">
        <x:v>0</x:v>
      </x:c>
      <x:c r="D2986" s="274" t="n">
        <x:v>0</x:v>
      </x:c>
      <x:c r="F2986" s="274" t="s">
        <x:v>133</x:v>
      </x:c>
      <x:c r="G2986" s="274" t="s">
        <x:v>4329</x:v>
      </x:c>
      <x:c r="I2986" s="274" t="n">
        <x:v>3.2</x:v>
      </x:c>
      <x:c r="J2986" s="274" t="n">
        <x:v>140</x:v>
      </x:c>
      <x:c r="K2986" s="274" t="n">
        <x:v>1250</x:v>
      </x:c>
      <x:c r="M2986" s="274" t="s">
        <x:v>5709</x:v>
      </x:c>
      <x:c r="N2986" s="274" t="s">
        <x:v>4258</x:v>
      </x:c>
    </x:row>
    <x:row r="2987" spans="1:14">
      <x:c r="A2987" s="274" t="s">
        <x:v>5710</x:v>
      </x:c>
      <x:c r="B2987" s="274" t="n">
        <x:v>9.42</x:v>
      </x:c>
      <x:c r="C2987" s="274" t="n">
        <x:v>0</x:v>
      </x:c>
      <x:c r="D2987" s="274" t="n">
        <x:v>0</x:v>
      </x:c>
      <x:c r="F2987" s="274" t="s">
        <x:v>133</x:v>
      </x:c>
      <x:c r="G2987" s="274" t="s">
        <x:v>4299</x:v>
      </x:c>
      <x:c r="I2987" s="274" t="n">
        <x:v>4</x:v>
      </x:c>
      <x:c r="J2987" s="274" t="n">
        <x:v>240</x:v>
      </x:c>
      <x:c r="K2987" s="274" t="n">
        <x:v>1250</x:v>
      </x:c>
      <x:c r="M2987" s="274" t="s">
        <x:v>5711</x:v>
      </x:c>
      <x:c r="N2987" s="274" t="s">
        <x:v>4258</x:v>
      </x:c>
    </x:row>
    <x:row r="2988" spans="1:14">
      <x:c r="A2988" s="274" t="s">
        <x:v>5712</x:v>
      </x:c>
      <x:c r="B2988" s="274" t="n">
        <x:v>0.75</x:v>
      </x:c>
      <x:c r="C2988" s="274" t="n">
        <x:v>0</x:v>
      </x:c>
      <x:c r="D2988" s="274" t="n">
        <x:v>0</x:v>
      </x:c>
      <x:c r="F2988" s="274" t="s">
        <x:v>333</x:v>
      </x:c>
      <x:c r="G2988" s="274" t="s">
        <x:v>4796</x:v>
      </x:c>
      <x:c r="I2988" s="274" t="n">
        <x:v>1.2</x:v>
      </x:c>
      <x:c r="J2988" s="274" t="n">
        <x:v>80</x:v>
      </x:c>
      <x:c r="K2988" s="274" t="n">
        <x:v>1000</x:v>
      </x:c>
      <x:c r="M2988" s="274" t="s">
        <x:v>5713</x:v>
      </x:c>
      <x:c r="N2988" s="274" t="s">
        <x:v>4258</x:v>
      </x:c>
    </x:row>
    <x:row r="2989" spans="1:14">
      <x:c r="A2989" s="274" t="s">
        <x:v>5714</x:v>
      </x:c>
      <x:c r="B2989" s="274" t="n">
        <x:v>0.34</x:v>
      </x:c>
      <x:c r="C2989" s="274" t="n">
        <x:v>0</x:v>
      </x:c>
      <x:c r="D2989" s="274" t="n">
        <x:v>0</x:v>
      </x:c>
      <x:c r="F2989" s="274" t="s">
        <x:v>133</x:v>
      </x:c>
      <x:c r="G2989" s="274" t="s">
        <x:v>144</x:v>
      </x:c>
      <x:c r="H2989" s="274" t="n">
        <x:v>45</x:v>
      </x:c>
      <x:c r="I2989" s="274" t="n">
        <x:v>1.2</x:v>
      </x:c>
      <x:c r="J2989" s="274" t="n">
        <x:v>200</x:v>
      </x:c>
      <x:c r="K2989" s="274" t="n">
        <x:v>180</x:v>
      </x:c>
      <x:c r="M2989" s="274" t="s">
        <x:v>5715</x:v>
      </x:c>
      <x:c r="N2989" s="274" t="s">
        <x:v>3671</x:v>
      </x:c>
    </x:row>
    <x:row r="2990" spans="1:14">
      <x:c r="A2990" s="274" t="s">
        <x:v>5716</x:v>
      </x:c>
      <x:c r="B2990" s="274" t="n">
        <x:v>1.52</x:v>
      </x:c>
      <x:c r="C2990" s="274" t="n">
        <x:v>0</x:v>
      </x:c>
      <x:c r="D2990" s="274" t="n">
        <x:v>0</x:v>
      </x:c>
      <x:c r="F2990" s="274" t="s">
        <x:v>123</x:v>
      </x:c>
      <x:c r="G2990" s="274" t="s">
        <x:v>881</x:v>
      </x:c>
      <x:c r="H2990" s="274" t="n">
        <x:v>45</x:v>
      </x:c>
      <x:c r="I2990" s="274" t="n">
        <x:v>1</x:v>
      </x:c>
      <x:c r="J2990" s="274" t="n">
        <x:v>320</x:v>
      </x:c>
      <x:c r="K2990" s="274" t="n">
        <x:v>600</x:v>
      </x:c>
      <x:c r="M2990" s="274" t="s">
        <x:v>5717</x:v>
      </x:c>
      <x:c r="N2990" s="274" t="s">
        <x:v>3671</x:v>
      </x:c>
    </x:row>
    <x:row r="2991" spans="1:14">
      <x:c r="A2991" s="274" t="s">
        <x:v>5718</x:v>
      </x:c>
      <x:c r="B2991" s="274" t="n">
        <x:v>1.75</x:v>
      </x:c>
      <x:c r="C2991" s="274" t="n">
        <x:v>0</x:v>
      </x:c>
      <x:c r="D2991" s="274" t="n">
        <x:v>0</x:v>
      </x:c>
      <x:c r="F2991" s="274" t="s">
        <x:v>184</x:v>
      </x:c>
      <x:c r="G2991" s="274" t="s">
        <x:v>3413</x:v>
      </x:c>
      <x:c r="H2991" s="274" t="n">
        <x:v>45</x:v>
      </x:c>
      <x:c r="I2991" s="274" t="n">
        <x:v>1.4</x:v>
      </x:c>
      <x:c r="J2991" s="274" t="n">
        <x:v>175</x:v>
      </x:c>
      <x:c r="K2991" s="274" t="n">
        <x:v>900</x:v>
      </x:c>
      <x:c r="M2991" s="274" t="s">
        <x:v>5719</x:v>
      </x:c>
      <x:c r="N2991" s="274" t="s">
        <x:v>3671</x:v>
      </x:c>
    </x:row>
    <x:row r="2992" spans="1:14">
      <x:c r="A2992" s="274" t="s">
        <x:v>5720</x:v>
      </x:c>
      <x:c r="B2992" s="274" t="n">
        <x:v>0.62</x:v>
      </x:c>
      <x:c r="C2992" s="274" t="n">
        <x:v>0</x:v>
      </x:c>
      <x:c r="D2992" s="274" t="n">
        <x:v>0</x:v>
      </x:c>
      <x:c r="F2992" s="274" t="s">
        <x:v>133</x:v>
      </x:c>
      <x:c r="G2992" s="274" t="s">
        <x:v>136</x:v>
      </x:c>
      <x:c r="H2992" s="274" t="n">
        <x:v>45</x:v>
      </x:c>
      <x:c r="I2992" s="274" t="n">
        <x:v>1.6</x:v>
      </x:c>
      <x:c r="J2992" s="274" t="n">
        <x:v>175</x:v>
      </x:c>
      <x:c r="K2992" s="274" t="n">
        <x:v>280</x:v>
      </x:c>
      <x:c r="M2992" s="274" t="s">
        <x:v>5721</x:v>
      </x:c>
      <x:c r="N2992" s="274" t="s">
        <x:v>3671</x:v>
      </x:c>
    </x:row>
    <x:row r="2993" spans="1:14">
      <x:c r="A2993" s="274" t="s">
        <x:v>5722</x:v>
      </x:c>
      <x:c r="B2993" s="274" t="n">
        <x:v>1.64</x:v>
      </x:c>
      <x:c r="C2993" s="274" t="n">
        <x:v>0</x:v>
      </x:c>
      <x:c r="D2993" s="274" t="n">
        <x:v>0</x:v>
      </x:c>
      <x:c r="F2993" s="274" t="s">
        <x:v>123</x:v>
      </x:c>
      <x:c r="G2993" s="274" t="s">
        <x:v>136</x:v>
      </x:c>
      <x:c r="H2993" s="274" t="n">
        <x:v>45</x:v>
      </x:c>
      <x:c r="I2993" s="274" t="n">
        <x:v>0.55</x:v>
      </x:c>
      <x:c r="J2993" s="274" t="n">
        <x:v>1171</x:v>
      </x:c>
      <x:c r="K2993" s="274" t="n">
        <x:v>318</x:v>
      </x:c>
      <x:c r="M2993" s="274" t="s">
        <x:v>5723</x:v>
      </x:c>
      <x:c r="N2993" s="274" t="s">
        <x:v>3671</x:v>
      </x:c>
    </x:row>
    <x:row r="2994" spans="1:14">
      <x:c r="A2994" s="274" t="s">
        <x:v>5724</x:v>
      </x:c>
      <x:c r="B2994" s="274" t="n">
        <x:v>0.36</x:v>
      </x:c>
      <x:c r="C2994" s="274" t="n">
        <x:v>0</x:v>
      </x:c>
      <x:c r="D2994" s="274" t="n">
        <x:v>0</x:v>
      </x:c>
      <x:c r="F2994" s="274" t="s">
        <x:v>123</x:v>
      </x:c>
      <x:c r="G2994" s="274" t="s">
        <x:v>136</x:v>
      </x:c>
      <x:c r="H2994" s="274" t="n">
        <x:v>45</x:v>
      </x:c>
      <x:c r="I2994" s="274" t="n">
        <x:v>0.55</x:v>
      </x:c>
      <x:c r="J2994" s="274" t="n">
        <x:v>193</x:v>
      </x:c>
      <x:c r="K2994" s="274" t="n">
        <x:v>422</x:v>
      </x:c>
      <x:c r="M2994" s="274" t="s">
        <x:v>5725</x:v>
      </x:c>
      <x:c r="N2994" s="274" t="s">
        <x:v>3671</x:v>
      </x:c>
    </x:row>
    <x:row r="2995" spans="1:14">
      <x:c r="A2995" s="274" t="s">
        <x:v>5726</x:v>
      </x:c>
      <x:c r="B2995" s="274" t="n">
        <x:v>1.18</x:v>
      </x:c>
      <x:c r="C2995" s="274" t="n">
        <x:v>0</x:v>
      </x:c>
      <x:c r="D2995" s="274" t="n">
        <x:v>0</x:v>
      </x:c>
      <x:c r="F2995" s="274" t="s">
        <x:v>123</x:v>
      </x:c>
      <x:c r="G2995" s="274" t="s">
        <x:v>136</x:v>
      </x:c>
      <x:c r="H2995" s="274" t="n">
        <x:v>45</x:v>
      </x:c>
      <x:c r="I2995" s="274" t="n">
        <x:v>0.55</x:v>
      </x:c>
      <x:c r="J2995" s="274" t="n">
        <x:v>1000</x:v>
      </x:c>
      <x:c r="K2995" s="274" t="n">
        <x:v>268</x:v>
      </x:c>
      <x:c r="M2995" s="274" t="s">
        <x:v>5727</x:v>
      </x:c>
      <x:c r="N2995" s="274" t="s">
        <x:v>3671</x:v>
      </x:c>
    </x:row>
    <x:row r="2996" spans="1:14">
      <x:c r="A2996" s="274" t="s">
        <x:v>5728</x:v>
      </x:c>
      <x:c r="B2996" s="274" t="n">
        <x:v>0.65</x:v>
      </x:c>
      <x:c r="C2996" s="274" t="n">
        <x:v>0</x:v>
      </x:c>
      <x:c r="D2996" s="274" t="n">
        <x:v>0</x:v>
      </x:c>
      <x:c r="F2996" s="274" t="s">
        <x:v>333</x:v>
      </x:c>
      <x:c r="G2996" s="274" t="s">
        <x:v>153</x:v>
      </x:c>
      <x:c r="I2996" s="274" t="n">
        <x:v>0.65</x:v>
      </x:c>
      <x:c r="J2996" s="274" t="n">
        <x:v>571</x:v>
      </x:c>
      <x:c r="K2996" s="274" t="n">
        <x:v>222</x:v>
      </x:c>
      <x:c r="M2996" s="274" t="s">
        <x:v>5729</x:v>
      </x:c>
      <x:c r="N2996" s="274" t="s">
        <x:v>3671</x:v>
      </x:c>
    </x:row>
    <x:row r="2997" spans="1:14">
      <x:c r="A2997" s="274" t="s">
        <x:v>5730</x:v>
      </x:c>
      <x:c r="B2997" s="274" t="n">
        <x:v>0.48</x:v>
      </x:c>
      <x:c r="C2997" s="274" t="n">
        <x:v>0</x:v>
      </x:c>
      <x:c r="D2997" s="274" t="n">
        <x:v>0</x:v>
      </x:c>
      <x:c r="F2997" s="274" t="s">
        <x:v>123</x:v>
      </x:c>
      <x:c r="G2997" s="274" t="s">
        <x:v>129</x:v>
      </x:c>
      <x:c r="H2997" s="274" t="n">
        <x:v>45</x:v>
      </x:c>
      <x:c r="I2997" s="274" t="n">
        <x:v>0.65</x:v>
      </x:c>
      <x:c r="J2997" s="274" t="n">
        <x:v>192</x:v>
      </x:c>
      <x:c r="K2997" s="274" t="n">
        <x:v>477</x:v>
      </x:c>
      <x:c r="M2997" s="274" t="s">
        <x:v>5731</x:v>
      </x:c>
      <x:c r="N2997" s="274" t="s">
        <x:v>3671</x:v>
      </x:c>
    </x:row>
    <x:row r="2998" spans="1:14">
      <x:c r="A2998" s="274" t="s">
        <x:v>5732</x:v>
      </x:c>
      <x:c r="B2998" s="274" t="n">
        <x:v>0.26</x:v>
      </x:c>
      <x:c r="C2998" s="274" t="n">
        <x:v>0</x:v>
      </x:c>
      <x:c r="D2998" s="274" t="n">
        <x:v>0</x:v>
      </x:c>
      <x:c r="F2998" s="274" t="s">
        <x:v>333</x:v>
      </x:c>
      <x:c r="G2998" s="274" t="s">
        <x:v>153</x:v>
      </x:c>
      <x:c r="I2998" s="274" t="n">
        <x:v>0.7</x:v>
      </x:c>
      <x:c r="J2998" s="274" t="n">
        <x:v>300</x:v>
      </x:c>
      <x:c r="K2998" s="274" t="n">
        <x:v>159</x:v>
      </x:c>
      <x:c r="M2998" s="274" t="s">
        <x:v>5733</x:v>
      </x:c>
      <x:c r="N2998" s="274" t="s">
        <x:v>3671</x:v>
      </x:c>
    </x:row>
    <x:row r="2999" spans="1:14">
      <x:c r="A2999" s="274" t="s">
        <x:v>5734</x:v>
      </x:c>
      <x:c r="B2999" s="274" t="n">
        <x:v>0.34</x:v>
      </x:c>
      <x:c r="C2999" s="274" t="n">
        <x:v>0</x:v>
      </x:c>
      <x:c r="D2999" s="274" t="n">
        <x:v>0</x:v>
      </x:c>
      <x:c r="F2999" s="274" t="s">
        <x:v>333</x:v>
      </x:c>
      <x:c r="G2999" s="274" t="s">
        <x:v>209</x:v>
      </x:c>
      <x:c r="I2999" s="274" t="n">
        <x:v>0.7</x:v>
      </x:c>
      <x:c r="J2999" s="274" t="n">
        <x:v>127</x:v>
      </x:c>
      <x:c r="K2999" s="274" t="n">
        <x:v>481</x:v>
      </x:c>
      <x:c r="M2999" s="274" t="s">
        <x:v>5735</x:v>
      </x:c>
      <x:c r="N2999" s="274" t="s">
        <x:v>3671</x:v>
      </x:c>
    </x:row>
    <x:row r="3000" spans="1:14">
      <x:c r="A3000" s="274" t="s">
        <x:v>5736</x:v>
      </x:c>
      <x:c r="B3000" s="274" t="n">
        <x:v>2.65</x:v>
      </x:c>
      <x:c r="C3000" s="274" t="n">
        <x:v>0</x:v>
      </x:c>
      <x:c r="D3000" s="274" t="n">
        <x:v>0</x:v>
      </x:c>
      <x:c r="F3000" s="274" t="s">
        <x:v>123</x:v>
      </x:c>
      <x:c r="G3000" s="274" t="s">
        <x:v>148</x:v>
      </x:c>
      <x:c r="I3000" s="274" t="n">
        <x:v>1.8</x:v>
      </x:c>
      <x:c r="J3000" s="274" t="n">
        <x:v>150</x:v>
      </x:c>
      <x:c r="K3000" s="274" t="n">
        <x:v>1250</x:v>
      </x:c>
      <x:c r="M3000" s="274" t="s">
        <x:v>4546</x:v>
      </x:c>
      <x:c r="N3000" s="274" t="s">
        <x:v>3671</x:v>
      </x:c>
    </x:row>
    <x:row r="3001" spans="1:14">
      <x:c r="A3001" s="274" t="s">
        <x:v>5737</x:v>
      </x:c>
      <x:c r="B3001" s="274" t="n">
        <x:v>7.71</x:v>
      </x:c>
      <x:c r="C3001" s="274" t="n">
        <x:v>0</x:v>
      </x:c>
      <x:c r="D3001" s="274" t="n">
        <x:v>0</x:v>
      </x:c>
      <x:c r="F3001" s="274" t="s">
        <x:v>123</x:v>
      </x:c>
      <x:c r="G3001" s="274" t="s">
        <x:v>136</x:v>
      </x:c>
      <x:c r="H3001" s="274" t="n">
        <x:v>45</x:v>
      </x:c>
      <x:c r="I3001" s="274" t="n">
        <x:v>2.3</x:v>
      </x:c>
      <x:c r="J3001" s="274" t="n">
        <x:v>340</x:v>
      </x:c>
      <x:c r="K3001" s="274" t="n">
        <x:v>1250</x:v>
      </x:c>
      <x:c r="M3001" s="274" t="s">
        <x:v>5738</x:v>
      </x:c>
      <x:c r="N3001" s="274" t="s">
        <x:v>3671</x:v>
      </x:c>
    </x:row>
    <x:row r="3002" spans="1:14">
      <x:c r="A3002" s="274" t="s">
        <x:v>5739</x:v>
      </x:c>
      <x:c r="B3002" s="274" t="n">
        <x:v>3.26</x:v>
      </x:c>
      <x:c r="C3002" s="274" t="n">
        <x:v>0</x:v>
      </x:c>
      <x:c r="D3002" s="274" t="n">
        <x:v>0</x:v>
      </x:c>
      <x:c r="F3002" s="274" t="s">
        <x:v>123</x:v>
      </x:c>
      <x:c r="G3002" s="274" t="s">
        <x:v>129</x:v>
      </x:c>
      <x:c r="H3002" s="274" t="n">
        <x:v>45</x:v>
      </x:c>
      <x:c r="I3002" s="274" t="n">
        <x:v>2</x:v>
      </x:c>
      <x:c r="J3002" s="274" t="n">
        <x:v>165</x:v>
      </x:c>
      <x:c r="K3002" s="274" t="n">
        <x:v>1250</x:v>
      </x:c>
      <x:c r="M3002" s="274" t="s">
        <x:v>5740</x:v>
      </x:c>
      <x:c r="N3002" s="274" t="s">
        <x:v>3671</x:v>
      </x:c>
    </x:row>
    <x:row r="3003" spans="1:14">
      <x:c r="A3003" s="274" t="s">
        <x:v>5741</x:v>
      </x:c>
      <x:c r="B3003" s="274" t="n">
        <x:v>1.19</x:v>
      </x:c>
      <x:c r="C3003" s="274" t="n">
        <x:v>0</x:v>
      </x:c>
      <x:c r="D3003" s="274" t="n">
        <x:v>0</x:v>
      </x:c>
      <x:c r="F3003" s="274" t="s">
        <x:v>123</x:v>
      </x:c>
      <x:c r="G3003" s="274" t="s">
        <x:v>129</x:v>
      </x:c>
      <x:c r="H3003" s="274" t="n">
        <x:v>45</x:v>
      </x:c>
      <x:c r="I3003" s="274" t="n">
        <x:v>1.2</x:v>
      </x:c>
      <x:c r="J3003" s="274" t="n">
        <x:v>100</x:v>
      </x:c>
      <x:c r="K3003" s="274" t="n">
        <x:v>1250</x:v>
      </x:c>
      <x:c r="M3003" s="274" t="s">
        <x:v>5742</x:v>
      </x:c>
      <x:c r="N3003" s="274" t="s">
        <x:v>3671</x:v>
      </x:c>
    </x:row>
    <x:row r="3004" spans="1:14">
      <x:c r="A3004" s="274" t="s">
        <x:v>5743</x:v>
      </x:c>
      <x:c r="B3004" s="274" t="n">
        <x:v>1.29</x:v>
      </x:c>
      <x:c r="C3004" s="274" t="n">
        <x:v>0</x:v>
      </x:c>
      <x:c r="D3004" s="274" t="n">
        <x:v>0</x:v>
      </x:c>
      <x:c r="F3004" s="274" t="s">
        <x:v>123</x:v>
      </x:c>
      <x:c r="G3004" s="274" t="s">
        <x:v>129</x:v>
      </x:c>
      <x:c r="H3004" s="274" t="n">
        <x:v>45</x:v>
      </x:c>
      <x:c r="I3004" s="274" t="n">
        <x:v>1</x:v>
      </x:c>
      <x:c r="J3004" s="274" t="n">
        <x:v>130</x:v>
      </x:c>
      <x:c r="K3004" s="274" t="n">
        <x:v>1250</x:v>
      </x:c>
      <x:c r="M3004" s="274" t="s">
        <x:v>5744</x:v>
      </x:c>
      <x:c r="N3004" s="274" t="s">
        <x:v>3671</x:v>
      </x:c>
    </x:row>
    <x:row r="3005" spans="1:14">
      <x:c r="A3005" s="274" t="s">
        <x:v>5745</x:v>
      </x:c>
      <x:c r="B3005" s="274" t="n">
        <x:v>2.14</x:v>
      </x:c>
      <x:c r="C3005" s="274" t="n">
        <x:v>0</x:v>
      </x:c>
      <x:c r="D3005" s="274" t="n">
        <x:v>0</x:v>
      </x:c>
      <x:c r="F3005" s="274" t="s">
        <x:v>123</x:v>
      </x:c>
      <x:c r="G3005" s="274" t="s">
        <x:v>129</x:v>
      </x:c>
      <x:c r="H3005" s="274" t="n">
        <x:v>45</x:v>
      </x:c>
      <x:c r="I3005" s="274" t="n">
        <x:v>1.2</x:v>
      </x:c>
      <x:c r="J3005" s="274" t="n">
        <x:v>180</x:v>
      </x:c>
      <x:c r="K3005" s="274" t="n">
        <x:v>1250</x:v>
      </x:c>
      <x:c r="M3005" s="274" t="s">
        <x:v>5746</x:v>
      </x:c>
      <x:c r="N3005" s="274" t="s">
        <x:v>3671</x:v>
      </x:c>
    </x:row>
    <x:row r="3006" spans="1:14">
      <x:c r="A3006" s="274" t="s">
        <x:v>5747</x:v>
      </x:c>
      <x:c r="B3006" s="274" t="n">
        <x:v>1.01</x:v>
      </x:c>
      <x:c r="C3006" s="274" t="n">
        <x:v>0</x:v>
      </x:c>
      <x:c r="D3006" s="274" t="n">
        <x:v>0</x:v>
      </x:c>
      <x:c r="F3006" s="274" t="s">
        <x:v>123</x:v>
      </x:c>
      <x:c r="G3006" s="274" t="s">
        <x:v>129</x:v>
      </x:c>
      <x:c r="H3006" s="274" t="n">
        <x:v>45</x:v>
      </x:c>
      <x:c r="I3006" s="274" t="n">
        <x:v>1.2</x:v>
      </x:c>
      <x:c r="J3006" s="274" t="n">
        <x:v>85</x:v>
      </x:c>
      <x:c r="K3006" s="274" t="n">
        <x:v>1250</x:v>
      </x:c>
      <x:c r="M3006" s="274" t="s">
        <x:v>5748</x:v>
      </x:c>
      <x:c r="N3006" s="274" t="s">
        <x:v>3671</x:v>
      </x:c>
    </x:row>
    <x:row r="3007" spans="1:14">
      <x:c r="A3007" s="274" t="s">
        <x:v>5749</x:v>
      </x:c>
      <x:c r="B3007" s="274" t="n">
        <x:v>1.43</x:v>
      </x:c>
      <x:c r="C3007" s="274" t="n">
        <x:v>0</x:v>
      </x:c>
      <x:c r="D3007" s="274" t="n">
        <x:v>0</x:v>
      </x:c>
      <x:c r="F3007" s="274" t="s">
        <x:v>123</x:v>
      </x:c>
      <x:c r="G3007" s="274" t="s">
        <x:v>129</x:v>
      </x:c>
      <x:c r="H3007" s="274" t="n">
        <x:v>45</x:v>
      </x:c>
      <x:c r="I3007" s="274" t="n">
        <x:v>1.2</x:v>
      </x:c>
      <x:c r="J3007" s="274" t="n">
        <x:v>120</x:v>
      </x:c>
      <x:c r="K3007" s="274" t="n">
        <x:v>1250</x:v>
      </x:c>
      <x:c r="M3007" s="274" t="s">
        <x:v>5750</x:v>
      </x:c>
      <x:c r="N3007" s="274" t="s">
        <x:v>3671</x:v>
      </x:c>
    </x:row>
    <x:row r="3008" spans="1:14">
      <x:c r="A3008" s="274" t="s">
        <x:v>5751</x:v>
      </x:c>
      <x:c r="B3008" s="274" t="n">
        <x:v>1.39</x:v>
      </x:c>
      <x:c r="C3008" s="274" t="n">
        <x:v>0</x:v>
      </x:c>
      <x:c r="D3008" s="274" t="n">
        <x:v>0</x:v>
      </x:c>
      <x:c r="F3008" s="274" t="s">
        <x:v>123</x:v>
      </x:c>
      <x:c r="G3008" s="274" t="s">
        <x:v>129</x:v>
      </x:c>
      <x:c r="H3008" s="274" t="n">
        <x:v>45</x:v>
      </x:c>
      <x:c r="I3008" s="274" t="n">
        <x:v>1.4</x:v>
      </x:c>
      <x:c r="J3008" s="274" t="n">
        <x:v>100</x:v>
      </x:c>
      <x:c r="K3008" s="274" t="n">
        <x:v>1250</x:v>
      </x:c>
      <x:c r="M3008" s="274" t="s">
        <x:v>4602</x:v>
      </x:c>
      <x:c r="N3008" s="274" t="s">
        <x:v>3671</x:v>
      </x:c>
    </x:row>
    <x:row r="3009" spans="1:14">
      <x:c r="A3009" s="274" t="s">
        <x:v>5752</x:v>
      </x:c>
      <x:c r="B3009" s="274" t="n">
        <x:v>1.88</x:v>
      </x:c>
      <x:c r="C3009" s="274" t="n">
        <x:v>0</x:v>
      </x:c>
      <x:c r="D3009" s="274" t="n">
        <x:v>0</x:v>
      </x:c>
      <x:c r="F3009" s="274" t="s">
        <x:v>333</x:v>
      </x:c>
      <x:c r="G3009" s="274" t="s">
        <x:v>124</x:v>
      </x:c>
      <x:c r="I3009" s="274" t="n">
        <x:v>1.2</x:v>
      </x:c>
      <x:c r="J3009" s="274" t="n">
        <x:v>160</x:v>
      </x:c>
      <x:c r="K3009" s="274" t="n">
        <x:v>1250</x:v>
      </x:c>
      <x:c r="M3009" s="274" t="s">
        <x:v>4632</x:v>
      </x:c>
      <x:c r="N3009" s="274" t="s">
        <x:v>3671</x:v>
      </x:c>
    </x:row>
    <x:row r="3010" spans="1:14">
      <x:c r="A3010" s="274" t="s">
        <x:v>5753</x:v>
      </x:c>
      <x:c r="B3010" s="274" t="n">
        <x:v>1.3</x:v>
      </x:c>
      <x:c r="C3010" s="274" t="n">
        <x:v>0</x:v>
      </x:c>
      <x:c r="D3010" s="274" t="n">
        <x:v>0</x:v>
      </x:c>
      <x:c r="F3010" s="274" t="s">
        <x:v>333</x:v>
      </x:c>
      <x:c r="G3010" s="274" t="s">
        <x:v>124</x:v>
      </x:c>
      <x:c r="I3010" s="274" t="n">
        <x:v>1.2</x:v>
      </x:c>
      <x:c r="J3010" s="274" t="n">
        <x:v>110</x:v>
      </x:c>
      <x:c r="K3010" s="274" t="n">
        <x:v>1250</x:v>
      </x:c>
      <x:c r="M3010" s="274" t="s">
        <x:v>5358</x:v>
      </x:c>
      <x:c r="N3010" s="274" t="s">
        <x:v>3671</x:v>
      </x:c>
    </x:row>
    <x:row r="3011" spans="1:14">
      <x:c r="A3011" s="274" t="s">
        <x:v>5754</x:v>
      </x:c>
      <x:c r="B3011" s="274" t="n">
        <x:v>2.04</x:v>
      </x:c>
      <x:c r="C3011" s="274" t="n">
        <x:v>0</x:v>
      </x:c>
      <x:c r="D3011" s="274" t="n">
        <x:v>0</x:v>
      </x:c>
      <x:c r="F3011" s="274" t="s">
        <x:v>133</x:v>
      </x:c>
      <x:c r="G3011" s="274" t="s">
        <x:v>134</x:v>
      </x:c>
      <x:c r="I3011" s="274" t="n">
        <x:v>1.6</x:v>
      </x:c>
      <x:c r="J3011" s="274" t="n">
        <x:v>130</x:v>
      </x:c>
      <x:c r="K3011" s="274" t="n">
        <x:v>1250</x:v>
      </x:c>
      <x:c r="M3011" s="274" t="s">
        <x:v>5354</x:v>
      </x:c>
      <x:c r="N3011" s="274" t="s">
        <x:v>3671</x:v>
      </x:c>
    </x:row>
    <x:row r="3012" spans="1:14">
      <x:c r="A3012" s="274" t="s">
        <x:v>5755</x:v>
      </x:c>
      <x:c r="B3012" s="274" t="n">
        <x:v>2.43</x:v>
      </x:c>
      <x:c r="C3012" s="274" t="n">
        <x:v>0</x:v>
      </x:c>
      <x:c r="D3012" s="274" t="n">
        <x:v>0</x:v>
      </x:c>
      <x:c r="F3012" s="274" t="s">
        <x:v>133</x:v>
      </x:c>
      <x:c r="G3012" s="274" t="s">
        <x:v>134</x:v>
      </x:c>
      <x:c r="I3012" s="274" t="n">
        <x:v>1.6</x:v>
      </x:c>
      <x:c r="J3012" s="274" t="n">
        <x:v>155</x:v>
      </x:c>
      <x:c r="K3012" s="274" t="n">
        <x:v>1250</x:v>
      </x:c>
      <x:c r="M3012" s="274" t="s">
        <x:v>5356</x:v>
      </x:c>
      <x:c r="N3012" s="274" t="s">
        <x:v>3671</x:v>
      </x:c>
    </x:row>
    <x:row r="3013" spans="1:14">
      <x:c r="A3013" s="274" t="s">
        <x:v>5756</x:v>
      </x:c>
      <x:c r="B3013" s="274" t="n">
        <x:v>2.26</x:v>
      </x:c>
      <x:c r="C3013" s="274" t="n">
        <x:v>0</x:v>
      </x:c>
      <x:c r="D3013" s="274" t="n">
        <x:v>0</x:v>
      </x:c>
      <x:c r="F3013" s="274" t="s">
        <x:v>133</x:v>
      </x:c>
      <x:c r="G3013" s="274" t="s">
        <x:v>134</x:v>
      </x:c>
      <x:c r="I3013" s="274" t="n">
        <x:v>2</x:v>
      </x:c>
      <x:c r="J3013" s="274" t="n">
        <x:v>115</x:v>
      </x:c>
      <x:c r="K3013" s="274" t="n">
        <x:v>1250</x:v>
      </x:c>
      <x:c r="M3013" s="274" t="s">
        <x:v>4622</x:v>
      </x:c>
      <x:c r="N3013" s="274" t="s">
        <x:v>3671</x:v>
      </x:c>
    </x:row>
    <x:row r="3014" spans="1:14">
      <x:c r="A3014" s="274" t="s">
        <x:v>5757</x:v>
      </x:c>
      <x:c r="B3014" s="274" t="n">
        <x:v>2.75</x:v>
      </x:c>
      <x:c r="C3014" s="274" t="n">
        <x:v>0</x:v>
      </x:c>
      <x:c r="D3014" s="274" t="n">
        <x:v>0</x:v>
      </x:c>
      <x:c r="F3014" s="274" t="s">
        <x:v>133</x:v>
      </x:c>
      <x:c r="G3014" s="274" t="s">
        <x:v>134</x:v>
      </x:c>
      <x:c r="I3014" s="274" t="n">
        <x:v>2</x:v>
      </x:c>
      <x:c r="J3014" s="274" t="n">
        <x:v>140</x:v>
      </x:c>
      <x:c r="K3014" s="274" t="n">
        <x:v>1250</x:v>
      </x:c>
      <x:c r="M3014" s="274" t="s">
        <x:v>5758</x:v>
      </x:c>
      <x:c r="N3014" s="274" t="s">
        <x:v>3671</x:v>
      </x:c>
    </x:row>
    <x:row r="3015" spans="1:14">
      <x:c r="A3015" s="274" t="s">
        <x:v>5759</x:v>
      </x:c>
      <x:c r="B3015" s="274" t="n">
        <x:v>0.71</x:v>
      </x:c>
      <x:c r="C3015" s="274" t="n">
        <x:v>0</x:v>
      </x:c>
      <x:c r="D3015" s="274" t="n">
        <x:v>0</x:v>
      </x:c>
      <x:c r="F3015" s="274" t="s">
        <x:v>123</x:v>
      </x:c>
      <x:c r="G3015" s="274" t="s">
        <x:v>129</x:v>
      </x:c>
      <x:c r="H3015" s="274" t="n">
        <x:v>45</x:v>
      </x:c>
      <x:c r="I3015" s="274" t="n">
        <x:v>1.2</x:v>
      </x:c>
      <x:c r="J3015" s="274" t="n">
        <x:v>280</x:v>
      </x:c>
      <x:c r="K3015" s="274" t="n">
        <x:v>265</x:v>
      </x:c>
      <x:c r="M3015" s="274" t="s">
        <x:v>5760</x:v>
      </x:c>
      <x:c r="N3015" s="274" t="s">
        <x:v>3671</x:v>
      </x:c>
    </x:row>
    <x:row r="3016" spans="1:14">
      <x:c r="A3016" s="274" t="s">
        <x:v>5761</x:v>
      </x:c>
      <x:c r="B3016" s="274" t="n">
        <x:v>0.67</x:v>
      </x:c>
      <x:c r="C3016" s="274" t="n">
        <x:v>0</x:v>
      </x:c>
      <x:c r="D3016" s="274" t="n">
        <x:v>0</x:v>
      </x:c>
      <x:c r="F3016" s="274" t="s">
        <x:v>123</x:v>
      </x:c>
      <x:c r="G3016" s="274" t="s">
        <x:v>129</x:v>
      </x:c>
      <x:c r="H3016" s="274" t="n">
        <x:v>45</x:v>
      </x:c>
      <x:c r="I3016" s="274" t="n">
        <x:v>1</x:v>
      </x:c>
      <x:c r="J3016" s="274" t="n">
        <x:v>148</x:v>
      </x:c>
      <x:c r="K3016" s="274" t="n">
        <x:v>572</x:v>
      </x:c>
      <x:c r="M3016" s="274" t="s">
        <x:v>5762</x:v>
      </x:c>
      <x:c r="N3016" s="274" t="s">
        <x:v>3671</x:v>
      </x:c>
    </x:row>
    <x:row r="3017" spans="1:14">
      <x:c r="A3017" s="274" t="s">
        <x:v>5763</x:v>
      </x:c>
      <x:c r="B3017" s="274" t="n">
        <x:v>4.1</x:v>
      </x:c>
      <x:c r="C3017" s="274" t="n">
        <x:v>0</x:v>
      </x:c>
      <x:c r="D3017" s="274" t="n">
        <x:v>0</x:v>
      </x:c>
      <x:c r="F3017" s="274" t="s">
        <x:v>123</x:v>
      </x:c>
      <x:c r="G3017" s="274" t="s">
        <x:v>139</x:v>
      </x:c>
      <x:c r="I3017" s="274" t="n">
        <x:v>4</x:v>
      </x:c>
      <x:c r="J3017" s="274" t="n">
        <x:v>602</x:v>
      </x:c>
      <x:c r="K3017" s="274" t="n">
        <x:v>217</x:v>
      </x:c>
      <x:c r="M3017" s="274" t="s">
        <x:v>5764</x:v>
      </x:c>
      <x:c r="N3017" s="274" t="s">
        <x:v>3671</x:v>
      </x:c>
    </x:row>
    <x:row r="3018" spans="1:14">
      <x:c r="A3018" s="274" t="s">
        <x:v>5765</x:v>
      </x:c>
      <x:c r="B3018" s="274" t="n">
        <x:v>1.43</x:v>
      </x:c>
      <x:c r="C3018" s="274" t="n">
        <x:v>0</x:v>
      </x:c>
      <x:c r="D3018" s="274" t="n">
        <x:v>0</x:v>
      </x:c>
      <x:c r="F3018" s="274" t="s">
        <x:v>184</x:v>
      </x:c>
      <x:c r="G3018" s="274" t="s">
        <x:v>129</x:v>
      </x:c>
      <x:c r="H3018" s="274" t="n">
        <x:v>45</x:v>
      </x:c>
      <x:c r="I3018" s="274" t="n">
        <x:v>1.2</x:v>
      </x:c>
      <x:c r="J3018" s="274" t="n">
        <x:v>310</x:v>
      </x:c>
      <x:c r="K3018" s="274" t="n">
        <x:v>485</x:v>
      </x:c>
      <x:c r="M3018" s="274" t="s">
        <x:v>5766</x:v>
      </x:c>
      <x:c r="N3018" s="274" t="s">
        <x:v>1157</x:v>
      </x:c>
    </x:row>
    <x:row r="3019" spans="1:14">
      <x:c r="A3019" s="274" t="s">
        <x:v>5767</x:v>
      </x:c>
      <x:c r="B3019" s="274" t="n">
        <x:v>2.23</x:v>
      </x:c>
      <x:c r="C3019" s="274" t="n">
        <x:v>0</x:v>
      </x:c>
      <x:c r="D3019" s="274" t="n">
        <x:v>0</x:v>
      </x:c>
      <x:c r="F3019" s="274" t="s">
        <x:v>123</x:v>
      </x:c>
      <x:c r="G3019" s="274" t="s">
        <x:v>881</x:v>
      </x:c>
      <x:c r="H3019" s="274" t="n">
        <x:v>45</x:v>
      </x:c>
      <x:c r="I3019" s="274" t="n">
        <x:v>1.2</x:v>
      </x:c>
      <x:c r="J3019" s="274" t="n">
        <x:v>260</x:v>
      </x:c>
      <x:c r="K3019" s="274" t="n">
        <x:v>900</x:v>
      </x:c>
      <x:c r="M3019" s="274" t="s">
        <x:v>5768</x:v>
      </x:c>
      <x:c r="N3019" s="274" t="s">
        <x:v>3671</x:v>
      </x:c>
    </x:row>
    <x:row r="3020" spans="1:14">
      <x:c r="A3020" s="274" t="s">
        <x:v>5769</x:v>
      </x:c>
      <x:c r="B3020" s="274" t="n">
        <x:v>0.57</x:v>
      </x:c>
      <x:c r="C3020" s="274" t="n">
        <x:v>0</x:v>
      </x:c>
      <x:c r="D3020" s="274" t="n">
        <x:v>0</x:v>
      </x:c>
      <x:c r="F3020" s="274" t="s">
        <x:v>123</x:v>
      </x:c>
      <x:c r="G3020" s="274" t="s">
        <x:v>881</x:v>
      </x:c>
      <x:c r="H3020" s="274" t="n">
        <x:v>45</x:v>
      </x:c>
      <x:c r="I3020" s="274" t="n">
        <x:v>1</x:v>
      </x:c>
      <x:c r="J3020" s="274" t="n">
        <x:v>180</x:v>
      </x:c>
      <x:c r="K3020" s="274" t="n">
        <x:v>400</x:v>
      </x:c>
      <x:c r="M3020" s="274" t="s">
        <x:v>5770</x:v>
      </x:c>
      <x:c r="N3020" s="274" t="s">
        <x:v>3671</x:v>
      </x:c>
    </x:row>
    <x:row r="3021" spans="1:14">
      <x:c r="A3021" s="274" t="s">
        <x:v>5771</x:v>
      </x:c>
      <x:c r="B3021" s="274" t="n">
        <x:v>1.19</x:v>
      </x:c>
      <x:c r="C3021" s="274" t="n">
        <x:v>0</x:v>
      </x:c>
      <x:c r="D3021" s="274" t="n">
        <x:v>0</x:v>
      </x:c>
      <x:c r="F3021" s="274" t="s">
        <x:v>123</x:v>
      </x:c>
      <x:c r="G3021" s="274" t="s">
        <x:v>129</x:v>
      </x:c>
      <x:c r="H3021" s="274" t="n">
        <x:v>45</x:v>
      </x:c>
      <x:c r="I3021" s="274" t="n">
        <x:v>0.9</x:v>
      </x:c>
      <x:c r="J3021" s="274" t="n">
        <x:v>321</x:v>
      </x:c>
      <x:c r="K3021" s="274" t="n">
        <x:v>519</x:v>
      </x:c>
      <x:c r="M3021" s="274" t="s">
        <x:v>5772</x:v>
      </x:c>
      <x:c r="N3021" s="274" t="s">
        <x:v>3671</x:v>
      </x:c>
    </x:row>
    <x:row r="3022" spans="1:14">
      <x:c r="A3022" s="274" t="s">
        <x:v>5773</x:v>
      </x:c>
      <x:c r="B3022" s="274" t="n">
        <x:v>0.65</x:v>
      </x:c>
      <x:c r="C3022" s="274" t="n">
        <x:v>0</x:v>
      </x:c>
      <x:c r="D3022" s="274" t="n">
        <x:v>0</x:v>
      </x:c>
      <x:c r="F3022" s="274" t="s">
        <x:v>123</x:v>
      </x:c>
      <x:c r="G3022" s="274" t="s">
        <x:v>129</x:v>
      </x:c>
      <x:c r="H3022" s="274" t="n">
        <x:v>45</x:v>
      </x:c>
      <x:c r="I3022" s="274" t="n">
        <x:v>1</x:v>
      </x:c>
      <x:c r="J3022" s="274" t="n">
        <x:v>409</x:v>
      </x:c>
      <x:c r="K3022" s="274" t="n">
        <x:v>199</x:v>
      </x:c>
      <x:c r="M3022" s="274" t="s">
        <x:v>5774</x:v>
      </x:c>
      <x:c r="N3022" s="274" t="s">
        <x:v>3671</x:v>
      </x:c>
    </x:row>
    <x:row r="3023" spans="1:14">
      <x:c r="A3023" s="274" t="s">
        <x:v>5775</x:v>
      </x:c>
      <x:c r="B3023" s="274" t="n">
        <x:v>0.19</x:v>
      </x:c>
      <x:c r="C3023" s="274" t="n">
        <x:v>0</x:v>
      </x:c>
      <x:c r="D3023" s="274" t="n">
        <x:v>0</x:v>
      </x:c>
      <x:c r="F3023" s="274" t="s">
        <x:v>333</x:v>
      </x:c>
      <x:c r="G3023" s="274" t="s">
        <x:v>334</x:v>
      </x:c>
      <x:c r="I3023" s="274" t="n">
        <x:v>1.2</x:v>
      </x:c>
      <x:c r="J3023" s="274" t="n">
        <x:v>186</x:v>
      </x:c>
      <x:c r="K3023" s="274" t="n">
        <x:v>108</x:v>
      </x:c>
      <x:c r="M3023" s="274" t="s">
        <x:v>5776</x:v>
      </x:c>
      <x:c r="N3023" s="274" t="s">
        <x:v>3671</x:v>
      </x:c>
    </x:row>
    <x:row r="3024" spans="1:14">
      <x:c r="A3024" s="274" t="s">
        <x:v>5777</x:v>
      </x:c>
      <x:c r="B3024" s="274" t="n">
        <x:v>0.85</x:v>
      </x:c>
      <x:c r="C3024" s="274" t="n">
        <x:v>0</x:v>
      </x:c>
      <x:c r="D3024" s="274" t="n">
        <x:v>0</x:v>
      </x:c>
      <x:c r="F3024" s="274" t="s">
        <x:v>1964</x:v>
      </x:c>
      <x:c r="G3024" s="274" t="s">
        <x:v>3413</x:v>
      </x:c>
      <x:c r="H3024" s="274" t="n">
        <x:v>45</x:v>
      </x:c>
      <x:c r="I3024" s="274" t="n">
        <x:v>1.2</x:v>
      </x:c>
      <x:c r="J3024" s="274" t="n">
        <x:v>762</x:v>
      </x:c>
      <x:c r="K3024" s="274" t="n">
        <x:v>117</x:v>
      </x:c>
      <x:c r="M3024" s="274" t="s">
        <x:v>5778</x:v>
      </x:c>
      <x:c r="N3024" s="274" t="s">
        <x:v>3671</x:v>
      </x:c>
    </x:row>
    <x:row r="3025" spans="1:14">
      <x:c r="A3025" s="274" t="s">
        <x:v>5779</x:v>
      </x:c>
      <x:c r="B3025" s="274" t="n">
        <x:v>2.7</x:v>
      </x:c>
      <x:c r="C3025" s="274" t="n">
        <x:v>0</x:v>
      </x:c>
      <x:c r="D3025" s="274" t="n">
        <x:v>0</x:v>
      </x:c>
      <x:c r="F3025" s="274" t="s">
        <x:v>123</x:v>
      </x:c>
      <x:c r="G3025" s="274" t="s">
        <x:v>881</x:v>
      </x:c>
      <x:c r="H3025" s="274" t="n">
        <x:v>45</x:v>
      </x:c>
      <x:c r="I3025" s="274" t="n">
        <x:v>1.6</x:v>
      </x:c>
      <x:c r="J3025" s="274" t="n">
        <x:v>339</x:v>
      </x:c>
      <x:c r="K3025" s="274" t="n">
        <x:v>630</x:v>
      </x:c>
      <x:c r="M3025" s="274" t="s">
        <x:v>5780</x:v>
      </x:c>
      <x:c r="N3025" s="274" t="s">
        <x:v>3671</x:v>
      </x:c>
    </x:row>
    <x:row r="3026" spans="1:14">
      <x:c r="A3026" s="274" t="s">
        <x:v>5781</x:v>
      </x:c>
      <x:c r="B3026" s="274" t="n">
        <x:v>2.86</x:v>
      </x:c>
      <x:c r="C3026" s="274" t="n">
        <x:v>0</x:v>
      </x:c>
      <x:c r="D3026" s="274" t="n">
        <x:v>0</x:v>
      </x:c>
      <x:c r="F3026" s="274" t="s">
        <x:v>333</x:v>
      </x:c>
      <x:c r="G3026" s="274" t="s">
        <x:v>334</x:v>
      </x:c>
      <x:c r="I3026" s="274" t="n">
        <x:v>1.8</x:v>
      </x:c>
      <x:c r="J3026" s="274" t="n">
        <x:v>938</x:v>
      </x:c>
      <x:c r="K3026" s="274" t="n">
        <x:v>216</x:v>
      </x:c>
      <x:c r="M3026" s="274" t="s">
        <x:v>5782</x:v>
      </x:c>
      <x:c r="N3026" s="274" t="s">
        <x:v>3671</x:v>
      </x:c>
    </x:row>
    <x:row r="3027" spans="1:14">
      <x:c r="A3027" s="274" t="s">
        <x:v>5783</x:v>
      </x:c>
      <x:c r="B3027" s="274" t="n">
        <x:v>2.17</x:v>
      </x:c>
      <x:c r="C3027" s="274" t="n">
        <x:v>0</x:v>
      </x:c>
      <x:c r="D3027" s="274" t="n">
        <x:v>0</x:v>
      </x:c>
      <x:c r="F3027" s="274" t="s">
        <x:v>123</x:v>
      </x:c>
      <x:c r="G3027" s="274" t="s">
        <x:v>136</x:v>
      </x:c>
      <x:c r="H3027" s="274" t="n">
        <x:v>45</x:v>
      </x:c>
      <x:c r="I3027" s="274" t="n">
        <x:v>2.3</x:v>
      </x:c>
      <x:c r="J3027" s="274" t="n">
        <x:v>275</x:v>
      </x:c>
      <x:c r="K3027" s="274" t="n">
        <x:v>435</x:v>
      </x:c>
      <x:c r="M3027" s="274" t="s">
        <x:v>5784</x:v>
      </x:c>
      <x:c r="N3027" s="274" t="s">
        <x:v>3671</x:v>
      </x:c>
    </x:row>
    <x:row r="3028" spans="1:14">
      <x:c r="A3028" s="274" t="s">
        <x:v>5785</x:v>
      </x:c>
      <x:c r="B3028" s="274" t="n">
        <x:v>0.36</x:v>
      </x:c>
      <x:c r="C3028" s="274" t="n">
        <x:v>0</x:v>
      </x:c>
      <x:c r="D3028" s="274" t="n">
        <x:v>0</x:v>
      </x:c>
      <x:c r="F3028" s="274" t="s">
        <x:v>333</x:v>
      </x:c>
      <x:c r="G3028" s="274" t="s">
        <x:v>153</x:v>
      </x:c>
      <x:c r="I3028" s="274" t="n">
        <x:v>0.9</x:v>
      </x:c>
      <x:c r="J3028" s="274" t="n">
        <x:v>453</x:v>
      </x:c>
      <x:c r="K3028" s="274" t="n">
        <x:v>112</x:v>
      </x:c>
      <x:c r="M3028" s="274" t="s">
        <x:v>5786</x:v>
      </x:c>
      <x:c r="N3028" s="274" t="s">
        <x:v>3671</x:v>
      </x:c>
    </x:row>
    <x:row r="3029" spans="1:14">
      <x:c r="A3029" s="274" t="s">
        <x:v>5787</x:v>
      </x:c>
      <x:c r="B3029" s="274" t="n">
        <x:v>0.21</x:v>
      </x:c>
      <x:c r="C3029" s="274" t="n">
        <x:v>0</x:v>
      </x:c>
      <x:c r="D3029" s="274" t="n">
        <x:v>0</x:v>
      </x:c>
      <x:c r="F3029" s="274" t="s">
        <x:v>133</x:v>
      </x:c>
      <x:c r="G3029" s="274" t="s">
        <x:v>144</x:v>
      </x:c>
      <x:c r="H3029" s="274" t="n">
        <x:v>45</x:v>
      </x:c>
      <x:c r="I3029" s="274" t="n">
        <x:v>0.9</x:v>
      </x:c>
      <x:c r="J3029" s="274" t="n">
        <x:v>165</x:v>
      </x:c>
      <x:c r="K3029" s="274" t="n">
        <x:v>181</x:v>
      </x:c>
      <x:c r="M3029" s="274" t="s">
        <x:v>5788</x:v>
      </x:c>
      <x:c r="N3029" s="274" t="s">
        <x:v>3671</x:v>
      </x:c>
    </x:row>
    <x:row r="3030" spans="1:14">
      <x:c r="A3030" s="274" t="s">
        <x:v>5789</x:v>
      </x:c>
      <x:c r="B3030" s="274" t="n">
        <x:v>0.47</x:v>
      </x:c>
      <x:c r="C3030" s="274" t="n">
        <x:v>0</x:v>
      </x:c>
      <x:c r="D3030" s="274" t="n">
        <x:v>0</x:v>
      </x:c>
      <x:c r="F3030" s="274" t="s">
        <x:v>123</x:v>
      </x:c>
      <x:c r="G3030" s="274" t="s">
        <x:v>129</x:v>
      </x:c>
      <x:c r="H3030" s="274" t="n">
        <x:v>45</x:v>
      </x:c>
      <x:c r="I3030" s="274" t="n">
        <x:v>0.9</x:v>
      </x:c>
      <x:c r="J3030" s="274" t="n">
        <x:v>311</x:v>
      </x:c>
      <x:c r="K3030" s="274" t="n">
        <x:v>213</x:v>
      </x:c>
      <x:c r="M3030" s="274" t="s">
        <x:v>5790</x:v>
      </x:c>
      <x:c r="N3030" s="274" t="s">
        <x:v>3671</x:v>
      </x:c>
    </x:row>
    <x:row r="3031" spans="1:14">
      <x:c r="A3031" s="274" t="s">
        <x:v>5791</x:v>
      </x:c>
      <x:c r="B3031" s="274" t="n">
        <x:v>2.66</x:v>
      </x:c>
      <x:c r="C3031" s="274" t="n">
        <x:v>0</x:v>
      </x:c>
      <x:c r="D3031" s="274" t="n">
        <x:v>0</x:v>
      </x:c>
      <x:c r="F3031" s="274" t="s">
        <x:v>333</x:v>
      </x:c>
      <x:c r="G3031" s="274" t="s">
        <x:v>209</x:v>
      </x:c>
      <x:c r="I3031" s="274" t="n">
        <x:v>0.9</x:v>
      </x:c>
      <x:c r="J3031" s="274" t="n">
        <x:v>314</x:v>
      </x:c>
      <x:c r="K3031" s="274" t="n">
        <x:v>1200</x:v>
      </x:c>
      <x:c r="M3031" s="274" t="s">
        <x:v>5792</x:v>
      </x:c>
      <x:c r="N3031" s="274" t="s">
        <x:v>3671</x:v>
      </x:c>
    </x:row>
    <x:row r="3032" spans="1:14">
      <x:c r="A3032" s="274" t="s">
        <x:v>5793</x:v>
      </x:c>
      <x:c r="B3032" s="274" t="n">
        <x:v>0.63</x:v>
      </x:c>
      <x:c r="C3032" s="274" t="n">
        <x:v>0</x:v>
      </x:c>
      <x:c r="D3032" s="274" t="n">
        <x:v>0</x:v>
      </x:c>
      <x:c r="F3032" s="274" t="s">
        <x:v>133</x:v>
      </x:c>
      <x:c r="G3032" s="274" t="s">
        <x:v>136</x:v>
      </x:c>
      <x:c r="H3032" s="274" t="n">
        <x:v>45</x:v>
      </x:c>
      <x:c r="I3032" s="274" t="n">
        <x:v>0.9</x:v>
      </x:c>
      <x:c r="J3032" s="274" t="n">
        <x:v>305</x:v>
      </x:c>
      <x:c r="K3032" s="274" t="n">
        <x:v>290</x:v>
      </x:c>
      <x:c r="M3032" s="274" t="s">
        <x:v>5794</x:v>
      </x:c>
      <x:c r="N3032" s="274" t="s">
        <x:v>3671</x:v>
      </x:c>
    </x:row>
    <x:row r="3033" spans="1:14">
      <x:c r="A3033" s="274" t="s">
        <x:v>5795</x:v>
      </x:c>
      <x:c r="B3033" s="274" t="n">
        <x:v>2.91</x:v>
      </x:c>
      <x:c r="C3033" s="274" t="n">
        <x:v>0</x:v>
      </x:c>
      <x:c r="D3033" s="274" t="n">
        <x:v>43</x:v>
      </x:c>
      <x:c r="E3033" s="274" t="n">
        <x:v>40</x:v>
      </x:c>
      <x:c r="F3033" s="274" t="s">
        <x:v>123</x:v>
      </x:c>
      <x:c r="G3033" s="274" t="s">
        <x:v>3410</x:v>
      </x:c>
      <x:c r="I3033" s="274" t="n">
        <x:v>1</x:v>
      </x:c>
      <x:c r="J3033" s="274" t="n">
        <x:v>1015</x:v>
      </x:c>
      <x:c r="K3033" s="274" t="n">
        <x:v>365</x:v>
      </x:c>
      <x:c r="M3033" s="274" t="s">
        <x:v>5796</x:v>
      </x:c>
      <x:c r="N3033" s="274" t="s">
        <x:v>3671</x:v>
      </x:c>
    </x:row>
    <x:row r="3034" spans="1:14">
      <x:c r="A3034" s="274" t="s">
        <x:v>5797</x:v>
      </x:c>
      <x:c r="B3034" s="274" t="n">
        <x:v>4.86</x:v>
      </x:c>
      <x:c r="C3034" s="274" t="n">
        <x:v>0</x:v>
      </x:c>
      <x:c r="D3034" s="274" t="n">
        <x:v>43</x:v>
      </x:c>
      <x:c r="E3034" s="274" t="n">
        <x:v>40</x:v>
      </x:c>
      <x:c r="F3034" s="274" t="s">
        <x:v>133</x:v>
      </x:c>
      <x:c r="G3034" s="274" t="s">
        <x:v>144</x:v>
      </x:c>
      <x:c r="H3034" s="274" t="n">
        <x:v>45</x:v>
      </x:c>
      <x:c r="I3034" s="274" t="n">
        <x:v>1.2</x:v>
      </x:c>
      <x:c r="J3034" s="274" t="n">
        <x:v>1123</x:v>
      </x:c>
      <x:c r="K3034" s="274" t="n">
        <x:v>455</x:v>
      </x:c>
      <x:c r="M3034" s="274" t="s">
        <x:v>5798</x:v>
      </x:c>
      <x:c r="N3034" s="274" t="s">
        <x:v>3671</x:v>
      </x:c>
    </x:row>
    <x:row r="3035" spans="1:14">
      <x:c r="A3035" s="274" t="s">
        <x:v>5799</x:v>
      </x:c>
      <x:c r="B3035" s="274" t="n">
        <x:v>5.08</x:v>
      </x:c>
      <x:c r="C3035" s="274" t="n">
        <x:v>0</x:v>
      </x:c>
      <x:c r="D3035" s="274" t="n">
        <x:v>43</x:v>
      </x:c>
      <x:c r="E3035" s="274" t="n">
        <x:v>40</x:v>
      </x:c>
      <x:c r="F3035" s="274" t="s">
        <x:v>123</x:v>
      </x:c>
      <x:c r="G3035" s="274" t="s">
        <x:v>881</x:v>
      </x:c>
      <x:c r="H3035" s="274" t="n">
        <x:v>45</x:v>
      </x:c>
      <x:c r="I3035" s="274" t="n">
        <x:v>1.2</x:v>
      </x:c>
      <x:c r="J3035" s="274" t="n">
        <x:v>1011</x:v>
      </x:c>
      <x:c r="K3035" s="274" t="n">
        <x:v>528</x:v>
      </x:c>
      <x:c r="N3035" s="274" t="s">
        <x:v>3671</x:v>
      </x:c>
    </x:row>
    <x:row r="3036" spans="1:14">
      <x:c r="A3036" s="274" t="s">
        <x:v>5800</x:v>
      </x:c>
      <x:c r="B3036" s="274" t="n">
        <x:v>3.29</x:v>
      </x:c>
      <x:c r="C3036" s="274" t="n">
        <x:v>0</x:v>
      </x:c>
      <x:c r="D3036" s="274" t="n">
        <x:v>43</x:v>
      </x:c>
      <x:c r="E3036" s="274" t="n">
        <x:v>40</x:v>
      </x:c>
      <x:c r="F3036" s="274" t="s">
        <x:v>123</x:v>
      </x:c>
      <x:c r="G3036" s="274" t="s">
        <x:v>3410</x:v>
      </x:c>
      <x:c r="I3036" s="274" t="n">
        <x:v>1.4</x:v>
      </x:c>
      <x:c r="J3036" s="274" t="n">
        <x:v>724</x:v>
      </x:c>
      <x:c r="K3036" s="274" t="n">
        <x:v>414</x:v>
      </x:c>
      <x:c r="M3036" s="274" t="s">
        <x:v>5801</x:v>
      </x:c>
      <x:c r="N3036" s="274" t="s">
        <x:v>3671</x:v>
      </x:c>
    </x:row>
    <x:row r="3037" spans="1:14">
      <x:c r="A3037" s="274" t="s">
        <x:v>5802</x:v>
      </x:c>
      <x:c r="B3037" s="274" t="n">
        <x:v>4.79</x:v>
      </x:c>
      <x:c r="C3037" s="274" t="n">
        <x:v>0</x:v>
      </x:c>
      <x:c r="D3037" s="274" t="n">
        <x:v>43</x:v>
      </x:c>
      <x:c r="E3037" s="274" t="n">
        <x:v>40</x:v>
      </x:c>
      <x:c r="F3037" s="274" t="s">
        <x:v>333</x:v>
      </x:c>
      <x:c r="G3037" s="274" t="s">
        <x:v>334</x:v>
      </x:c>
      <x:c r="I3037" s="274" t="n">
        <x:v>1.4</x:v>
      </x:c>
      <x:c r="J3037" s="274" t="n">
        <x:v>914</x:v>
      </x:c>
      <x:c r="K3037" s="274" t="n">
        <x:v>477</x:v>
      </x:c>
      <x:c r="M3037" s="274" t="s">
        <x:v>5803</x:v>
      </x:c>
      <x:c r="N3037" s="274" t="s">
        <x:v>3671</x:v>
      </x:c>
    </x:row>
    <x:row r="3038" spans="1:14">
      <x:c r="A3038" s="274" t="s">
        <x:v>5804</x:v>
      </x:c>
      <x:c r="B3038" s="274" t="n">
        <x:v>5.67</x:v>
      </x:c>
      <x:c r="C3038" s="274" t="n">
        <x:v>0</x:v>
      </x:c>
      <x:c r="D3038" s="274" t="n">
        <x:v>43</x:v>
      </x:c>
      <x:c r="E3038" s="274" t="n">
        <x:v>40</x:v>
      </x:c>
      <x:c r="F3038" s="274" t="s">
        <x:v>133</x:v>
      </x:c>
      <x:c r="G3038" s="274" t="s">
        <x:v>148</x:v>
      </x:c>
      <x:c r="I3038" s="274" t="n">
        <x:v>3.2</x:v>
      </x:c>
      <x:c r="J3038" s="274" t="n">
        <x:v>664</x:v>
      </x:c>
      <x:c r="K3038" s="274" t="n">
        <x:v>340</x:v>
      </x:c>
      <x:c r="M3038" s="274" t="s">
        <x:v>5805</x:v>
      </x:c>
      <x:c r="N3038" s="274" t="s">
        <x:v>3671</x:v>
      </x:c>
    </x:row>
    <x:row r="3039" spans="1:14">
      <x:c r="A3039" s="274" t="s">
        <x:v>5806</x:v>
      </x:c>
      <x:c r="B3039" s="274" t="n">
        <x:v>7.26</x:v>
      </x:c>
      <x:c r="C3039" s="274" t="n">
        <x:v>0</x:v>
      </x:c>
      <x:c r="D3039" s="274" t="n">
        <x:v>32</x:v>
      </x:c>
      <x:c r="E3039" s="274" t="n">
        <x:v>29</x:v>
      </x:c>
      <x:c r="F3039" s="274" t="s">
        <x:v>123</x:v>
      </x:c>
      <x:c r="G3039" s="274" t="s">
        <x:v>881</x:v>
      </x:c>
      <x:c r="H3039" s="274" t="n">
        <x:v>45</x:v>
      </x:c>
      <x:c r="I3039" s="274" t="n">
        <x:v>0.9</x:v>
      </x:c>
      <x:c r="J3039" s="274" t="n">
        <x:v>725</x:v>
      </x:c>
      <x:c r="K3039" s="274" t="n">
        <x:v>1400</x:v>
      </x:c>
      <x:c r="M3039" s="274" t="s">
        <x:v>5807</x:v>
      </x:c>
      <x:c r="N3039" s="274" t="s">
        <x:v>3671</x:v>
      </x:c>
    </x:row>
    <x:row r="3040" spans="1:14">
      <x:c r="A3040" s="274" t="s">
        <x:v>5808</x:v>
      </x:c>
      <x:c r="B3040" s="274" t="n">
        <x:v>3.46</x:v>
      </x:c>
      <x:c r="C3040" s="274" t="n">
        <x:v>0</x:v>
      </x:c>
      <x:c r="D3040" s="274" t="n">
        <x:v>43</x:v>
      </x:c>
      <x:c r="E3040" s="274" t="n">
        <x:v>40</x:v>
      </x:c>
      <x:c r="F3040" s="274" t="s">
        <x:v>123</x:v>
      </x:c>
      <x:c r="G3040" s="274" t="s">
        <x:v>881</x:v>
      </x:c>
      <x:c r="H3040" s="274" t="n">
        <x:v>45</x:v>
      </x:c>
      <x:c r="I3040" s="274" t="n">
        <x:v>1</x:v>
      </x:c>
      <x:c r="J3040" s="274" t="n">
        <x:v>574</x:v>
      </x:c>
      <x:c r="K3040" s="274" t="n">
        <x:v>760</x:v>
      </x:c>
      <x:c r="M3040" s="274" t="s">
        <x:v>5809</x:v>
      </x:c>
      <x:c r="N3040" s="274" t="s">
        <x:v>3671</x:v>
      </x:c>
    </x:row>
    <x:row r="3041" spans="1:14">
      <x:c r="A3041" s="274" t="s">
        <x:v>5810</x:v>
      </x:c>
      <x:c r="B3041" s="274" t="n">
        <x:v>9.65</x:v>
      </x:c>
      <x:c r="C3041" s="274" t="n">
        <x:v>0</x:v>
      </x:c>
      <x:c r="D3041" s="274" t="n">
        <x:v>32</x:v>
      </x:c>
      <x:c r="E3041" s="274" t="n">
        <x:v>29</x:v>
      </x:c>
      <x:c r="F3041" s="274" t="s">
        <x:v>123</x:v>
      </x:c>
      <x:c r="G3041" s="274" t="s">
        <x:v>881</x:v>
      </x:c>
      <x:c r="H3041" s="274" t="n">
        <x:v>45</x:v>
      </x:c>
      <x:c r="I3041" s="274" t="n">
        <x:v>1.2</x:v>
      </x:c>
      <x:c r="J3041" s="274" t="n">
        <x:v>725</x:v>
      </x:c>
      <x:c r="K3041" s="274" t="n">
        <x:v>1400</x:v>
      </x:c>
      <x:c r="M3041" s="274" t="s">
        <x:v>5811</x:v>
      </x:c>
      <x:c r="N3041" s="274" t="s">
        <x:v>3671</x:v>
      </x:c>
    </x:row>
    <x:row r="3042" spans="1:14">
      <x:c r="A3042" s="274" t="s">
        <x:v>5812</x:v>
      </x:c>
      <x:c r="B3042" s="274" t="n">
        <x:v>0.94</x:v>
      </x:c>
      <x:c r="C3042" s="274" t="n">
        <x:v>0</x:v>
      </x:c>
      <x:c r="D3042" s="274" t="n">
        <x:v>0</x:v>
      </x:c>
      <x:c r="F3042" s="274" t="s">
        <x:v>333</x:v>
      </x:c>
      <x:c r="G3042" s="274" t="s">
        <x:v>153</x:v>
      </x:c>
      <x:c r="I3042" s="274" t="n">
        <x:v>1</x:v>
      </x:c>
      <x:c r="J3042" s="274" t="n">
        <x:v>235</x:v>
      </x:c>
      <x:c r="K3042" s="274" t="n">
        <x:v>509</x:v>
      </x:c>
      <x:c r="M3042" s="274" t="s">
        <x:v>4349</x:v>
      </x:c>
      <x:c r="N3042" s="274" t="s">
        <x:v>3671</x:v>
      </x:c>
    </x:row>
    <x:row r="3043" spans="1:14">
      <x:c r="A3043" s="274" t="s">
        <x:v>5813</x:v>
      </x:c>
      <x:c r="B3043" s="274" t="n">
        <x:v>1.36</x:v>
      </x:c>
      <x:c r="C3043" s="274" t="n">
        <x:v>0</x:v>
      </x:c>
      <x:c r="D3043" s="274" t="n">
        <x:v>0</x:v>
      </x:c>
      <x:c r="F3043" s="274" t="s">
        <x:v>333</x:v>
      </x:c>
      <x:c r="G3043" s="274" t="s">
        <x:v>153</x:v>
      </x:c>
      <x:c r="I3043" s="274" t="n">
        <x:v>1</x:v>
      </x:c>
      <x:c r="J3043" s="274" t="n">
        <x:v>703</x:v>
      </x:c>
      <x:c r="K3043" s="274" t="n">
        <x:v>247</x:v>
      </x:c>
      <x:c r="M3043" s="274" t="s">
        <x:v>5814</x:v>
      </x:c>
      <x:c r="N3043" s="274" t="s">
        <x:v>3671</x:v>
      </x:c>
    </x:row>
    <x:row r="3044" spans="1:14">
      <x:c r="A3044" s="274" t="s">
        <x:v>5815</x:v>
      </x:c>
      <x:c r="B3044" s="274" t="n">
        <x:v>0.5</x:v>
      </x:c>
      <x:c r="C3044" s="274" t="n">
        <x:v>0</x:v>
      </x:c>
      <x:c r="D3044" s="274" t="n">
        <x:v>0</x:v>
      </x:c>
      <x:c r="F3044" s="274" t="s">
        <x:v>333</x:v>
      </x:c>
      <x:c r="G3044" s="274" t="s">
        <x:v>153</x:v>
      </x:c>
      <x:c r="I3044" s="274" t="n">
        <x:v>1</x:v>
      </x:c>
      <x:c r="J3044" s="274" t="n">
        <x:v>204</x:v>
      </x:c>
      <x:c r="K3044" s="274" t="n">
        <x:v>311</x:v>
      </x:c>
      <x:c r="M3044" s="274" t="s">
        <x:v>5816</x:v>
      </x:c>
      <x:c r="N3044" s="274" t="s">
        <x:v>3671</x:v>
      </x:c>
    </x:row>
    <x:row r="3045" spans="1:14">
      <x:c r="A3045" s="274" t="s">
        <x:v>5817</x:v>
      </x:c>
      <x:c r="B3045" s="274" t="n">
        <x:v>0.56</x:v>
      </x:c>
      <x:c r="C3045" s="274" t="n">
        <x:v>0</x:v>
      </x:c>
      <x:c r="D3045" s="274" t="n">
        <x:v>0</x:v>
      </x:c>
      <x:c r="F3045" s="274" t="s">
        <x:v>133</x:v>
      </x:c>
      <x:c r="G3045" s="274" t="s">
        <x:v>136</x:v>
      </x:c>
      <x:c r="H3045" s="274" t="n">
        <x:v>45</x:v>
      </x:c>
      <x:c r="I3045" s="274" t="n">
        <x:v>1</x:v>
      </x:c>
      <x:c r="J3045" s="274" t="n">
        <x:v>466</x:v>
      </x:c>
      <x:c r="K3045" s="274" t="n">
        <x:v>151</x:v>
      </x:c>
      <x:c r="M3045" s="274" t="s">
        <x:v>5818</x:v>
      </x:c>
      <x:c r="N3045" s="274" t="s">
        <x:v>3671</x:v>
      </x:c>
    </x:row>
    <x:row r="3046" spans="1:14">
      <x:c r="A3046" s="274" t="s">
        <x:v>5819</x:v>
      </x:c>
      <x:c r="B3046" s="274" t="n">
        <x:v>0.74</x:v>
      </x:c>
      <x:c r="C3046" s="274" t="n">
        <x:v>0</x:v>
      </x:c>
      <x:c r="D3046" s="274" t="n">
        <x:v>0</x:v>
      </x:c>
      <x:c r="F3046" s="274" t="s">
        <x:v>123</x:v>
      </x:c>
      <x:c r="G3046" s="274" t="s">
        <x:v>129</x:v>
      </x:c>
      <x:c r="H3046" s="274" t="n">
        <x:v>45</x:v>
      </x:c>
      <x:c r="I3046" s="274" t="n">
        <x:v>1</x:v>
      </x:c>
      <x:c r="J3046" s="274" t="n">
        <x:v>431</x:v>
      </x:c>
      <x:c r="K3046" s="274" t="n">
        <x:v>216</x:v>
      </x:c>
      <x:c r="M3046" s="274" t="s">
        <x:v>5820</x:v>
      </x:c>
      <x:c r="N3046" s="274" t="s">
        <x:v>3671</x:v>
      </x:c>
    </x:row>
    <x:row r="3047" spans="1:14">
      <x:c r="A3047" s="274" t="s">
        <x:v>5821</x:v>
      </x:c>
      <x:c r="B3047" s="274" t="n">
        <x:v>2.03</x:v>
      </x:c>
      <x:c r="C3047" s="274" t="n">
        <x:v>0</x:v>
      </x:c>
      <x:c r="D3047" s="274" t="n">
        <x:v>0</x:v>
      </x:c>
      <x:c r="F3047" s="274" t="s">
        <x:v>333</x:v>
      </x:c>
      <x:c r="G3047" s="274" t="s">
        <x:v>124</x:v>
      </x:c>
      <x:c r="I3047" s="274" t="n">
        <x:v>1</x:v>
      </x:c>
      <x:c r="J3047" s="274" t="n">
        <x:v>1154</x:v>
      </x:c>
      <x:c r="K3047" s="274" t="n">
        <x:v>224</x:v>
      </x:c>
      <x:c r="M3047" s="274" t="s">
        <x:v>5822</x:v>
      </x:c>
      <x:c r="N3047" s="274" t="s">
        <x:v>3671</x:v>
      </x:c>
    </x:row>
    <x:row r="3048" spans="1:14">
      <x:c r="A3048" s="274" t="s">
        <x:v>5823</x:v>
      </x:c>
      <x:c r="B3048" s="274" t="n">
        <x:v>0.85</x:v>
      </x:c>
      <x:c r="C3048" s="274" t="n">
        <x:v>0</x:v>
      </x:c>
      <x:c r="D3048" s="274" t="n">
        <x:v>0</x:v>
      </x:c>
      <x:c r="F3048" s="274" t="s">
        <x:v>133</x:v>
      </x:c>
      <x:c r="G3048" s="274" t="s">
        <x:v>136</x:v>
      </x:c>
      <x:c r="H3048" s="274" t="n">
        <x:v>45</x:v>
      </x:c>
      <x:c r="I3048" s="274" t="n">
        <x:v>1</x:v>
      </x:c>
      <x:c r="J3048" s="274" t="n">
        <x:v>548</x:v>
      </x:c>
      <x:c r="K3048" s="274" t="n">
        <x:v>196</x:v>
      </x:c>
      <x:c r="M3048" s="274" t="s">
        <x:v>5824</x:v>
      </x:c>
      <x:c r="N3048" s="274" t="s">
        <x:v>3671</x:v>
      </x:c>
    </x:row>
    <x:row r="3049" spans="1:14">
      <x:c r="A3049" s="274" t="s">
        <x:v>5825</x:v>
      </x:c>
      <x:c r="B3049" s="274" t="n">
        <x:v>0.62</x:v>
      </x:c>
      <x:c r="C3049" s="274" t="n">
        <x:v>0</x:v>
      </x:c>
      <x:c r="D3049" s="274" t="n">
        <x:v>0</x:v>
      </x:c>
      <x:c r="F3049" s="274" t="s">
        <x:v>133</x:v>
      </x:c>
      <x:c r="G3049" s="274" t="s">
        <x:v>136</x:v>
      </x:c>
      <x:c r="H3049" s="274" t="n">
        <x:v>45</x:v>
      </x:c>
      <x:c r="I3049" s="274" t="n">
        <x:v>1</x:v>
      </x:c>
      <x:c r="J3049" s="274" t="n">
        <x:v>352</x:v>
      </x:c>
      <x:c r="K3049" s="274" t="n">
        <x:v>223</x:v>
      </x:c>
      <x:c r="M3049" s="274" t="s">
        <x:v>5826</x:v>
      </x:c>
      <x:c r="N3049" s="274" t="s">
        <x:v>3671</x:v>
      </x:c>
    </x:row>
    <x:row r="3050" spans="1:14">
      <x:c r="A3050" s="274" t="s">
        <x:v>5827</x:v>
      </x:c>
      <x:c r="B3050" s="274" t="n">
        <x:v>0.26</x:v>
      </x:c>
      <x:c r="C3050" s="274" t="n">
        <x:v>0</x:v>
      </x:c>
      <x:c r="D3050" s="274" t="n">
        <x:v>0</x:v>
      </x:c>
      <x:c r="F3050" s="274" t="s">
        <x:v>333</x:v>
      </x:c>
      <x:c r="G3050" s="274" t="s">
        <x:v>209</x:v>
      </x:c>
      <x:c r="I3050" s="274" t="n">
        <x:v>1</x:v>
      </x:c>
      <x:c r="J3050" s="274" t="n">
        <x:v>106</x:v>
      </x:c>
      <x:c r="K3050" s="274" t="n">
        <x:v>316</x:v>
      </x:c>
      <x:c r="M3050" s="274" t="s">
        <x:v>5828</x:v>
      </x:c>
      <x:c r="N3050" s="274" t="s">
        <x:v>3671</x:v>
      </x:c>
    </x:row>
    <x:row r="3051" spans="1:14">
      <x:c r="A3051" s="274" t="s">
        <x:v>5829</x:v>
      </x:c>
      <x:c r="B3051" s="274" t="n">
        <x:v>0.64</x:v>
      </x:c>
      <x:c r="C3051" s="274" t="n">
        <x:v>0</x:v>
      </x:c>
      <x:c r="D3051" s="274" t="n">
        <x:v>0</x:v>
      </x:c>
      <x:c r="F3051" s="274" t="s">
        <x:v>333</x:v>
      </x:c>
      <x:c r="G3051" s="274" t="s">
        <x:v>209</x:v>
      </x:c>
      <x:c r="I3051" s="274" t="n">
        <x:v>1</x:v>
      </x:c>
      <x:c r="J3051" s="274" t="n">
        <x:v>169</x:v>
      </x:c>
      <x:c r="K3051" s="274" t="n">
        <x:v>479</x:v>
      </x:c>
      <x:c r="M3051" s="274" t="s">
        <x:v>5830</x:v>
      </x:c>
      <x:c r="N3051" s="274" t="s">
        <x:v>3671</x:v>
      </x:c>
    </x:row>
    <x:row r="3052" spans="1:14">
      <x:c r="A3052" s="274" t="s">
        <x:v>5831</x:v>
      </x:c>
      <x:c r="B3052" s="274" t="n">
        <x:v>0.73</x:v>
      </x:c>
      <x:c r="C3052" s="274" t="n">
        <x:v>0</x:v>
      </x:c>
      <x:c r="D3052" s="274" t="n">
        <x:v>0</x:v>
      </x:c>
      <x:c r="F3052" s="274" t="s">
        <x:v>333</x:v>
      </x:c>
      <x:c r="G3052" s="274" t="s">
        <x:v>209</x:v>
      </x:c>
      <x:c r="I3052" s="274" t="n">
        <x:v>1</x:v>
      </x:c>
      <x:c r="J3052" s="274" t="n">
        <x:v>205</x:v>
      </x:c>
      <x:c r="K3052" s="274" t="n">
        <x:v>455</x:v>
      </x:c>
      <x:c r="M3052" s="274" t="s">
        <x:v>5832</x:v>
      </x:c>
      <x:c r="N3052" s="274" t="s">
        <x:v>3671</x:v>
      </x:c>
    </x:row>
    <x:row r="3053" spans="1:14">
      <x:c r="A3053" s="274" t="s">
        <x:v>5833</x:v>
      </x:c>
      <x:c r="B3053" s="274" t="n">
        <x:v>4.27</x:v>
      </x:c>
      <x:c r="C3053" s="274" t="n">
        <x:v>0</x:v>
      </x:c>
      <x:c r="D3053" s="274" t="n">
        <x:v>0</x:v>
      </x:c>
      <x:c r="F3053" s="274" t="s">
        <x:v>133</x:v>
      </x:c>
      <x:c r="G3053" s="274" t="s">
        <x:v>148</x:v>
      </x:c>
      <x:c r="I3053" s="274" t="n">
        <x:v>2.9</x:v>
      </x:c>
      <x:c r="J3053" s="274" t="n">
        <x:v>150</x:v>
      </x:c>
      <x:c r="K3053" s="274" t="n">
        <x:v>1250</x:v>
      </x:c>
      <x:c r="M3053" s="274" t="s">
        <x:v>5834</x:v>
      </x:c>
      <x:c r="N3053" s="274" t="s">
        <x:v>3671</x:v>
      </x:c>
    </x:row>
    <x:row r="3054" spans="1:14">
      <x:c r="A3054" s="274" t="s">
        <x:v>5835</x:v>
      </x:c>
      <x:c r="B3054" s="274" t="n">
        <x:v>0.41</x:v>
      </x:c>
      <x:c r="C3054" s="274" t="n">
        <x:v>0</x:v>
      </x:c>
      <x:c r="D3054" s="274" t="n">
        <x:v>0</x:v>
      </x:c>
      <x:c r="F3054" s="274" t="s">
        <x:v>333</x:v>
      </x:c>
      <x:c r="G3054" s="274" t="s">
        <x:v>209</x:v>
      </x:c>
      <x:c r="I3054" s="274" t="n">
        <x:v>1</x:v>
      </x:c>
      <x:c r="J3054" s="274" t="n">
        <x:v>120</x:v>
      </x:c>
      <x:c r="K3054" s="274" t="n">
        <x:v>430</x:v>
      </x:c>
      <x:c r="M3054" s="274" t="s">
        <x:v>5836</x:v>
      </x:c>
      <x:c r="N3054" s="274" t="s">
        <x:v>3671</x:v>
      </x:c>
    </x:row>
    <x:row r="3055" spans="1:14">
      <x:c r="A3055" s="274" t="s">
        <x:v>5837</x:v>
      </x:c>
      <x:c r="B3055" s="274" t="n">
        <x:v>2.06</x:v>
      </x:c>
      <x:c r="C3055" s="274" t="n">
        <x:v>0</x:v>
      </x:c>
      <x:c r="D3055" s="274" t="n">
        <x:v>0</x:v>
      </x:c>
      <x:c r="F3055" s="274" t="s">
        <x:v>133</x:v>
      </x:c>
      <x:c r="G3055" s="274" t="s">
        <x:v>136</x:v>
      </x:c>
      <x:c r="H3055" s="274" t="n">
        <x:v>45</x:v>
      </x:c>
      <x:c r="I3055" s="274" t="n">
        <x:v>1.2</x:v>
      </x:c>
      <x:c r="J3055" s="274" t="n">
        <x:v>782</x:v>
      </x:c>
      <x:c r="K3055" s="274" t="n">
        <x:v>277</x:v>
      </x:c>
      <x:c r="M3055" s="274" t="s">
        <x:v>5838</x:v>
      </x:c>
      <x:c r="N3055" s="274" t="s">
        <x:v>3671</x:v>
      </x:c>
    </x:row>
    <x:row r="3056" spans="1:14">
      <x:c r="A3056" s="274" t="s">
        <x:v>5839</x:v>
      </x:c>
      <x:c r="B3056" s="274" t="n">
        <x:v>1.13</x:v>
      </x:c>
      <x:c r="C3056" s="274" t="n">
        <x:v>0</x:v>
      </x:c>
      <x:c r="D3056" s="274" t="n">
        <x:v>0</x:v>
      </x:c>
      <x:c r="F3056" s="274" t="s">
        <x:v>133</x:v>
      </x:c>
      <x:c r="G3056" s="274" t="s">
        <x:v>136</x:v>
      </x:c>
      <x:c r="H3056" s="274" t="n">
        <x:v>45</x:v>
      </x:c>
      <x:c r="I3056" s="274" t="n">
        <x:v>1.2</x:v>
      </x:c>
      <x:c r="J3056" s="274" t="n">
        <x:v>338</x:v>
      </x:c>
      <x:c r="K3056" s="274" t="n">
        <x:v>350</x:v>
      </x:c>
      <x:c r="M3056" s="274" t="s">
        <x:v>5840</x:v>
      </x:c>
      <x:c r="N3056" s="274" t="s">
        <x:v>3671</x:v>
      </x:c>
    </x:row>
    <x:row r="3057" spans="1:14">
      <x:c r="A3057" s="274" t="s">
        <x:v>5841</x:v>
      </x:c>
      <x:c r="B3057" s="274" t="n">
        <x:v>0.71</x:v>
      </x:c>
      <x:c r="C3057" s="274" t="n">
        <x:v>0</x:v>
      </x:c>
      <x:c r="D3057" s="274" t="n">
        <x:v>0</x:v>
      </x:c>
      <x:c r="F3057" s="274" t="s">
        <x:v>133</x:v>
      </x:c>
      <x:c r="G3057" s="274" t="s">
        <x:v>136</x:v>
      </x:c>
      <x:c r="H3057" s="274" t="n">
        <x:v>45</x:v>
      </x:c>
      <x:c r="I3057" s="274" t="n">
        <x:v>1.2</x:v>
      </x:c>
      <x:c r="J3057" s="274" t="n">
        <x:v>172</x:v>
      </x:c>
      <x:c r="K3057" s="274" t="n">
        <x:v>436</x:v>
      </x:c>
      <x:c r="M3057" s="274" t="s">
        <x:v>5842</x:v>
      </x:c>
      <x:c r="N3057" s="274" t="s">
        <x:v>3671</x:v>
      </x:c>
    </x:row>
    <x:row r="3058" spans="1:14">
      <x:c r="A3058" s="274" t="s">
        <x:v>5843</x:v>
      </x:c>
      <x:c r="B3058" s="274" t="n">
        <x:v>0.73</x:v>
      </x:c>
      <x:c r="C3058" s="274" t="n">
        <x:v>0</x:v>
      </x:c>
      <x:c r="D3058" s="274" t="n">
        <x:v>0</x:v>
      </x:c>
      <x:c r="F3058" s="274" t="s">
        <x:v>333</x:v>
      </x:c>
      <x:c r="G3058" s="274" t="s">
        <x:v>124</x:v>
      </x:c>
      <x:c r="I3058" s="274" t="n">
        <x:v>1.2</x:v>
      </x:c>
      <x:c r="J3058" s="274" t="n">
        <x:v>224</x:v>
      </x:c>
      <x:c r="K3058" s="274" t="n">
        <x:v>348</x:v>
      </x:c>
      <x:c r="M3058" s="274" t="s">
        <x:v>5844</x:v>
      </x:c>
      <x:c r="N3058" s="274" t="s">
        <x:v>3671</x:v>
      </x:c>
    </x:row>
    <x:row r="3059" spans="1:14">
      <x:c r="A3059" s="274" t="s">
        <x:v>5845</x:v>
      </x:c>
      <x:c r="B3059" s="274" t="n">
        <x:v>0.6</x:v>
      </x:c>
      <x:c r="C3059" s="274" t="n">
        <x:v>0</x:v>
      </x:c>
      <x:c r="D3059" s="274" t="n">
        <x:v>0</x:v>
      </x:c>
      <x:c r="F3059" s="274" t="s">
        <x:v>333</x:v>
      </x:c>
      <x:c r="G3059" s="274" t="s">
        <x:v>209</x:v>
      </x:c>
      <x:c r="I3059" s="274" t="n">
        <x:v>1.2</x:v>
      </x:c>
      <x:c r="J3059" s="274" t="n">
        <x:v>195</x:v>
      </x:c>
      <x:c r="K3059" s="274" t="n">
        <x:v>328</x:v>
      </x:c>
      <x:c r="M3059" s="274" t="s">
        <x:v>5846</x:v>
      </x:c>
    </x:row>
    <x:row r="3060" spans="1:14">
      <x:c r="A3060" s="274" t="s">
        <x:v>5847</x:v>
      </x:c>
      <x:c r="B3060" s="274" t="n">
        <x:v>1.12</x:v>
      </x:c>
      <x:c r="C3060" s="274" t="n">
        <x:v>0</x:v>
      </x:c>
      <x:c r="D3060" s="274" t="n">
        <x:v>0</x:v>
      </x:c>
      <x:c r="F3060" s="274" t="s">
        <x:v>133</x:v>
      </x:c>
      <x:c r="G3060" s="274" t="s">
        <x:v>136</x:v>
      </x:c>
      <x:c r="H3060" s="274" t="n">
        <x:v>45</x:v>
      </x:c>
      <x:c r="I3060" s="274" t="n">
        <x:v>1.2</x:v>
      </x:c>
      <x:c r="J3060" s="274" t="n">
        <x:v>585</x:v>
      </x:c>
      <x:c r="K3060" s="274" t="n">
        <x:v>202</x:v>
      </x:c>
      <x:c r="M3060" s="274" t="s">
        <x:v>5848</x:v>
      </x:c>
      <x:c r="N3060" s="274" t="s">
        <x:v>3671</x:v>
      </x:c>
    </x:row>
    <x:row r="3061" spans="1:14">
      <x:c r="A3061" s="274" t="s">
        <x:v>5849</x:v>
      </x:c>
      <x:c r="B3061" s="274" t="n">
        <x:v>4.24</x:v>
      </x:c>
      <x:c r="C3061" s="274" t="n">
        <x:v>0</x:v>
      </x:c>
      <x:c r="D3061" s="274" t="n">
        <x:v>0</x:v>
      </x:c>
      <x:c r="F3061" s="274" t="s">
        <x:v>133</x:v>
      </x:c>
      <x:c r="G3061" s="274" t="s">
        <x:v>136</x:v>
      </x:c>
      <x:c r="H3061" s="274" t="n">
        <x:v>45</x:v>
      </x:c>
      <x:c r="I3061" s="274" t="n">
        <x:v>1.2</x:v>
      </x:c>
      <x:c r="J3061" s="274" t="n">
        <x:v>598</x:v>
      </x:c>
      <x:c r="K3061" s="274" t="n">
        <x:v>745</x:v>
      </x:c>
      <x:c r="M3061" s="274" t="s">
        <x:v>5850</x:v>
      </x:c>
      <x:c r="N3061" s="274" t="s">
        <x:v>3671</x:v>
      </x:c>
    </x:row>
    <x:row r="3062" spans="1:14">
      <x:c r="A3062" s="274" t="s">
        <x:v>5851</x:v>
      </x:c>
      <x:c r="B3062" s="274" t="n">
        <x:v>0.59</x:v>
      </x:c>
      <x:c r="C3062" s="274" t="n">
        <x:v>0</x:v>
      </x:c>
      <x:c r="D3062" s="274" t="n">
        <x:v>0</x:v>
      </x:c>
      <x:c r="F3062" s="274" t="s">
        <x:v>133</x:v>
      </x:c>
      <x:c r="G3062" s="274" t="s">
        <x:v>144</x:v>
      </x:c>
      <x:c r="H3062" s="274" t="n">
        <x:v>45</x:v>
      </x:c>
      <x:c r="I3062" s="274" t="n">
        <x:v>1.4</x:v>
      </x:c>
      <x:c r="J3062" s="274" t="n">
        <x:v>226</x:v>
      </x:c>
      <x:c r="K3062" s="274" t="n">
        <x:v>235</x:v>
      </x:c>
      <x:c r="M3062" s="274" t="s">
        <x:v>5685</x:v>
      </x:c>
    </x:row>
    <x:row r="3063" spans="1:14">
      <x:c r="A3063" s="274" t="s">
        <x:v>5852</x:v>
      </x:c>
      <x:c r="B3063" s="274" t="n">
        <x:v>0.98</x:v>
      </x:c>
      <x:c r="C3063" s="274" t="n">
        <x:v>0</x:v>
      </x:c>
      <x:c r="D3063" s="274" t="n">
        <x:v>0</x:v>
      </x:c>
      <x:c r="F3063" s="274" t="s">
        <x:v>333</x:v>
      </x:c>
      <x:c r="G3063" s="274" t="s">
        <x:v>153</x:v>
      </x:c>
      <x:c r="I3063" s="274" t="n">
        <x:v>1.4</x:v>
      </x:c>
      <x:c r="J3063" s="274" t="n">
        <x:v>320</x:v>
      </x:c>
      <x:c r="K3063" s="274" t="n">
        <x:v>280</x:v>
      </x:c>
      <x:c r="M3063" s="274" t="s">
        <x:v>5853</x:v>
      </x:c>
      <x:c r="N3063" s="274" t="s">
        <x:v>3671</x:v>
      </x:c>
    </x:row>
    <x:row r="3064" spans="1:14">
      <x:c r="A3064" s="274" t="s">
        <x:v>5854</x:v>
      </x:c>
      <x:c r="B3064" s="274" t="n">
        <x:v>0.3</x:v>
      </x:c>
      <x:c r="C3064" s="274" t="n">
        <x:v>0</x:v>
      </x:c>
      <x:c r="D3064" s="274" t="n">
        <x:v>0</x:v>
      </x:c>
      <x:c r="F3064" s="274" t="s">
        <x:v>123</x:v>
      </x:c>
      <x:c r="G3064" s="274" t="s">
        <x:v>129</x:v>
      </x:c>
      <x:c r="H3064" s="274" t="n">
        <x:v>45</x:v>
      </x:c>
      <x:c r="I3064" s="274" t="n">
        <x:v>1</x:v>
      </x:c>
      <x:c r="J3064" s="274" t="n">
        <x:v>128</x:v>
      </x:c>
      <x:c r="K3064" s="274" t="n">
        <x:v>292</x:v>
      </x:c>
      <x:c r="M3064" s="274" t="s">
        <x:v>5855</x:v>
      </x:c>
      <x:c r="N3064" s="274" t="s">
        <x:v>3671</x:v>
      </x:c>
    </x:row>
    <x:row r="3065" spans="1:14">
      <x:c r="A3065" s="274" t="s">
        <x:v>5856</x:v>
      </x:c>
      <x:c r="B3065" s="274" t="n">
        <x:v>0.55</x:v>
      </x:c>
      <x:c r="C3065" s="274" t="n">
        <x:v>0</x:v>
      </x:c>
      <x:c r="D3065" s="274" t="n">
        <x:v>0</x:v>
      </x:c>
      <x:c r="F3065" s="274" t="s">
        <x:v>123</x:v>
      </x:c>
      <x:c r="G3065" s="274" t="s">
        <x:v>129</x:v>
      </x:c>
      <x:c r="H3065" s="274" t="n">
        <x:v>45</x:v>
      </x:c>
      <x:c r="I3065" s="274" t="n">
        <x:v>1</x:v>
      </x:c>
      <x:c r="J3065" s="274" t="n">
        <x:v>147</x:v>
      </x:c>
      <x:c r="K3065" s="274" t="n">
        <x:v>475</x:v>
      </x:c>
      <x:c r="M3065" s="274" t="s">
        <x:v>5857</x:v>
      </x:c>
      <x:c r="N3065" s="274" t="s">
        <x:v>3671</x:v>
      </x:c>
    </x:row>
    <x:row r="3066" spans="1:14">
      <x:c r="A3066" s="274" t="s">
        <x:v>5858</x:v>
      </x:c>
      <x:c r="B3066" s="274" t="n">
        <x:v>4.36</x:v>
      </x:c>
      <x:c r="C3066" s="274" t="n">
        <x:v>0</x:v>
      </x:c>
      <x:c r="D3066" s="274" t="n">
        <x:v>0</x:v>
      </x:c>
      <x:c r="F3066" s="274" t="s">
        <x:v>123</x:v>
      </x:c>
      <x:c r="G3066" s="274" t="s">
        <x:v>129</x:v>
      </x:c>
      <x:c r="H3066" s="274" t="n">
        <x:v>45</x:v>
      </x:c>
      <x:c r="I3066" s="274" t="n">
        <x:v>1</x:v>
      </x:c>
      <x:c r="J3066" s="274" t="n">
        <x:v>667</x:v>
      </x:c>
      <x:c r="K3066" s="274" t="n">
        <x:v>823</x:v>
      </x:c>
      <x:c r="M3066" s="274" t="s">
        <x:v>5859</x:v>
      </x:c>
      <x:c r="N3066" s="274" t="s">
        <x:v>3671</x:v>
      </x:c>
    </x:row>
    <x:row r="3067" spans="1:14">
      <x:c r="A3067" s="274" t="s">
        <x:v>5860</x:v>
      </x:c>
      <x:c r="B3067" s="274" t="n">
        <x:v>0.55</x:v>
      </x:c>
      <x:c r="C3067" s="274" t="n">
        <x:v>0</x:v>
      </x:c>
      <x:c r="D3067" s="274" t="n">
        <x:v>0</x:v>
      </x:c>
      <x:c r="F3067" s="274" t="s">
        <x:v>123</x:v>
      </x:c>
      <x:c r="G3067" s="274" t="s">
        <x:v>129</x:v>
      </x:c>
      <x:c r="H3067" s="274" t="n">
        <x:v>45</x:v>
      </x:c>
      <x:c r="I3067" s="274" t="n">
        <x:v>1</x:v>
      </x:c>
      <x:c r="J3067" s="274" t="n">
        <x:v>229</x:v>
      </x:c>
      <x:c r="K3067" s="274" t="n">
        <x:v>305</x:v>
      </x:c>
      <x:c r="M3067" s="274" t="s">
        <x:v>5861</x:v>
      </x:c>
      <x:c r="N3067" s="274" t="s">
        <x:v>3671</x:v>
      </x:c>
    </x:row>
    <x:row r="3068" spans="1:14">
      <x:c r="A3068" s="274" t="s">
        <x:v>5862</x:v>
      </x:c>
      <x:c r="B3068" s="274" t="n">
        <x:v>0.91</x:v>
      </x:c>
      <x:c r="C3068" s="274" t="n">
        <x:v>0</x:v>
      </x:c>
      <x:c r="D3068" s="274" t="n">
        <x:v>0</x:v>
      </x:c>
      <x:c r="F3068" s="274" t="s">
        <x:v>123</x:v>
      </x:c>
      <x:c r="G3068" s="274" t="s">
        <x:v>129</x:v>
      </x:c>
      <x:c r="H3068" s="274" t="n">
        <x:v>45</x:v>
      </x:c>
      <x:c r="I3068" s="274" t="n">
        <x:v>1</x:v>
      </x:c>
      <x:c r="J3068" s="274" t="n">
        <x:v>133</x:v>
      </x:c>
      <x:c r="K3068" s="274" t="n">
        <x:v>865</x:v>
      </x:c>
      <x:c r="M3068" s="274" t="s">
        <x:v>5863</x:v>
      </x:c>
      <x:c r="N3068" s="274" t="s">
        <x:v>3671</x:v>
      </x:c>
    </x:row>
    <x:row r="3069" spans="1:14">
      <x:c r="A3069" s="274" t="s">
        <x:v>5864</x:v>
      </x:c>
      <x:c r="B3069" s="274" t="n">
        <x:v>0.18</x:v>
      </x:c>
      <x:c r="C3069" s="274" t="n">
        <x:v>0</x:v>
      </x:c>
      <x:c r="D3069" s="274" t="n">
        <x:v>0</x:v>
      </x:c>
      <x:c r="F3069" s="274" t="s">
        <x:v>123</x:v>
      </x:c>
      <x:c r="G3069" s="274" t="s">
        <x:v>129</x:v>
      </x:c>
      <x:c r="H3069" s="274" t="n">
        <x:v>45</x:v>
      </x:c>
      <x:c r="I3069" s="274" t="n">
        <x:v>1</x:v>
      </x:c>
      <x:c r="J3069" s="274" t="n">
        <x:v>143</x:v>
      </x:c>
      <x:c r="K3069" s="274" t="n">
        <x:v>157</x:v>
      </x:c>
      <x:c r="M3069" s="274" t="s">
        <x:v>5865</x:v>
      </x:c>
      <x:c r="N3069" s="274" t="s">
        <x:v>3671</x:v>
      </x:c>
    </x:row>
    <x:row r="3070" spans="1:14">
      <x:c r="A3070" s="274" t="s">
        <x:v>5866</x:v>
      </x:c>
      <x:c r="B3070" s="274" t="n">
        <x:v>0.31</x:v>
      </x:c>
      <x:c r="C3070" s="274" t="n">
        <x:v>0</x:v>
      </x:c>
      <x:c r="D3070" s="274" t="n">
        <x:v>0</x:v>
      </x:c>
      <x:c r="F3070" s="274" t="s">
        <x:v>123</x:v>
      </x:c>
      <x:c r="G3070" s="274" t="s">
        <x:v>129</x:v>
      </x:c>
      <x:c r="H3070" s="274" t="n">
        <x:v>45</x:v>
      </x:c>
      <x:c r="I3070" s="274" t="n">
        <x:v>1</x:v>
      </x:c>
      <x:c r="J3070" s="274" t="n">
        <x:v>88</x:v>
      </x:c>
      <x:c r="K3070" s="274" t="n">
        <x:v>446</x:v>
      </x:c>
      <x:c r="M3070" s="274" t="s">
        <x:v>5867</x:v>
      </x:c>
      <x:c r="N3070" s="274" t="s">
        <x:v>3671</x:v>
      </x:c>
    </x:row>
    <x:row r="3071" spans="1:14">
      <x:c r="A3071" s="274" t="s">
        <x:v>5868</x:v>
      </x:c>
      <x:c r="B3071" s="274" t="n">
        <x:v>1.7</x:v>
      </x:c>
      <x:c r="C3071" s="274" t="n">
        <x:v>0</x:v>
      </x:c>
      <x:c r="D3071" s="274" t="n">
        <x:v>0</x:v>
      </x:c>
      <x:c r="F3071" s="274" t="s">
        <x:v>123</x:v>
      </x:c>
      <x:c r="G3071" s="274" t="s">
        <x:v>881</x:v>
      </x:c>
      <x:c r="H3071" s="274" t="n">
        <x:v>45</x:v>
      </x:c>
      <x:c r="I3071" s="274" t="n">
        <x:v>1</x:v>
      </x:c>
      <x:c r="J3071" s="274" t="n">
        <x:v>564</x:v>
      </x:c>
      <x:c r="K3071" s="274" t="n">
        <x:v>380</x:v>
      </x:c>
      <x:c r="M3071" s="274" t="s">
        <x:v>5869</x:v>
      </x:c>
      <x:c r="N3071" s="274" t="s">
        <x:v>3671</x:v>
      </x:c>
    </x:row>
    <x:row r="3072" spans="1:14">
      <x:c r="A3072" s="274" t="s">
        <x:v>5870</x:v>
      </x:c>
      <x:c r="B3072" s="274" t="n">
        <x:v>9.62</x:v>
      </x:c>
      <x:c r="C3072" s="274" t="n">
        <x:v>0</x:v>
      </x:c>
      <x:c r="D3072" s="274" t="n">
        <x:v>0</x:v>
      </x:c>
      <x:c r="F3072" s="274" t="s">
        <x:v>311</x:v>
      </x:c>
      <x:c r="G3072" s="274" t="s">
        <x:v>124</x:v>
      </x:c>
      <x:c r="I3072" s="274" t="n">
        <x:v>1</x:v>
      </x:c>
      <x:c r="J3072" s="274" t="n">
        <x:v>1505</x:v>
      </x:c>
      <x:c r="K3072" s="274" t="n">
        <x:v>815</x:v>
      </x:c>
      <x:c r="M3072" s="274" t="s">
        <x:v>5871</x:v>
      </x:c>
      <x:c r="N3072" s="274" t="s">
        <x:v>3671</x:v>
      </x:c>
    </x:row>
    <x:row r="3073" spans="1:14">
      <x:c r="A3073" s="274" t="s">
        <x:v>5872</x:v>
      </x:c>
      <x:c r="B3073" s="274" t="n">
        <x:v>1.8</x:v>
      </x:c>
      <x:c r="C3073" s="274" t="n">
        <x:v>0</x:v>
      </x:c>
      <x:c r="D3073" s="274" t="n">
        <x:v>0</x:v>
      </x:c>
      <x:c r="F3073" s="274" t="s">
        <x:v>123</x:v>
      </x:c>
      <x:c r="G3073" s="274" t="s">
        <x:v>129</x:v>
      </x:c>
      <x:c r="H3073" s="274" t="n">
        <x:v>45</x:v>
      </x:c>
      <x:c r="I3073" s="274" t="n">
        <x:v>1.2</x:v>
      </x:c>
      <x:c r="J3073" s="274" t="n">
        <x:v>196</x:v>
      </x:c>
      <x:c r="K3073" s="274" t="n">
        <x:v>966</x:v>
      </x:c>
      <x:c r="M3073" s="274" t="s">
        <x:v>5873</x:v>
      </x:c>
      <x:c r="N3073" s="274" t="s">
        <x:v>3671</x:v>
      </x:c>
    </x:row>
    <x:row r="3074" spans="1:14">
      <x:c r="A3074" s="274" t="s">
        <x:v>5874</x:v>
      </x:c>
      <x:c r="B3074" s="274" t="n">
        <x:v>5.04</x:v>
      </x:c>
      <x:c r="C3074" s="274" t="n">
        <x:v>0</x:v>
      </x:c>
      <x:c r="D3074" s="274" t="n">
        <x:v>35</x:v>
      </x:c>
      <x:c r="E3074" s="274" t="n">
        <x:v>30</x:v>
      </x:c>
      <x:c r="F3074" s="274" t="s">
        <x:v>123</x:v>
      </x:c>
      <x:c r="G3074" s="274" t="s">
        <x:v>881</x:v>
      </x:c>
      <x:c r="H3074" s="274" t="n">
        <x:v>45</x:v>
      </x:c>
      <x:c r="I3074" s="274" t="n">
        <x:v>1.2</x:v>
      </x:c>
      <x:c r="J3074" s="274" t="n">
        <x:v>310</x:v>
      </x:c>
      <x:c r="K3074" s="274" t="n">
        <x:v>1710</x:v>
      </x:c>
      <x:c r="M3074" s="274" t="s">
        <x:v>5875</x:v>
      </x:c>
      <x:c r="N3074" s="274" t="s">
        <x:v>3671</x:v>
      </x:c>
    </x:row>
    <x:row r="3075" spans="1:14">
      <x:c r="A3075" s="274" t="s">
        <x:v>5876</x:v>
      </x:c>
      <x:c r="B3075" s="274" t="n">
        <x:v>0.92</x:v>
      </x:c>
      <x:c r="C3075" s="274" t="n">
        <x:v>0</x:v>
      </x:c>
      <x:c r="D3075" s="274" t="n">
        <x:v>0</x:v>
      </x:c>
      <x:c r="F3075" s="274" t="s">
        <x:v>123</x:v>
      </x:c>
      <x:c r="G3075" s="274" t="s">
        <x:v>881</x:v>
      </x:c>
      <x:c r="H3075" s="274" t="n">
        <x:v>45</x:v>
      </x:c>
      <x:c r="I3075" s="274" t="n">
        <x:v>1.2</x:v>
      </x:c>
      <x:c r="J3075" s="274" t="n">
        <x:v>341</x:v>
      </x:c>
      <x:c r="K3075" s="274" t="n">
        <x:v>285</x:v>
      </x:c>
      <x:c r="M3075" s="274" t="s">
        <x:v>5877</x:v>
      </x:c>
      <x:c r="N3075" s="274" t="s">
        <x:v>3671</x:v>
      </x:c>
    </x:row>
    <x:row r="3076" spans="1:14">
      <x:c r="A3076" s="274" t="s">
        <x:v>5878</x:v>
      </x:c>
      <x:c r="B3076" s="274" t="n">
        <x:v>1.38</x:v>
      </x:c>
      <x:c r="C3076" s="274" t="n">
        <x:v>0</x:v>
      </x:c>
      <x:c r="D3076" s="274" t="n">
        <x:v>0</x:v>
      </x:c>
      <x:c r="F3076" s="274" t="s">
        <x:v>123</x:v>
      </x:c>
      <x:c r="G3076" s="274" t="s">
        <x:v>881</x:v>
      </x:c>
      <x:c r="H3076" s="274" t="n">
        <x:v>45</x:v>
      </x:c>
      <x:c r="I3076" s="274" t="n">
        <x:v>1.2</x:v>
      </x:c>
      <x:c r="J3076" s="274" t="n">
        <x:v>309</x:v>
      </x:c>
      <x:c r="K3076" s="274" t="n">
        <x:v>470</x:v>
      </x:c>
      <x:c r="M3076" s="274" t="s">
        <x:v>5879</x:v>
      </x:c>
      <x:c r="N3076" s="274" t="s">
        <x:v>3671</x:v>
      </x:c>
    </x:row>
    <x:row r="3077" spans="1:14">
      <x:c r="A3077" s="274" t="s">
        <x:v>5880</x:v>
      </x:c>
      <x:c r="B3077" s="274" t="n">
        <x:v>5.31</x:v>
      </x:c>
      <x:c r="C3077" s="274" t="n">
        <x:v>0</x:v>
      </x:c>
      <x:c r="D3077" s="274" t="n">
        <x:v>0</x:v>
      </x:c>
      <x:c r="F3077" s="274" t="s">
        <x:v>123</x:v>
      </x:c>
      <x:c r="G3077" s="274" t="s">
        <x:v>129</x:v>
      </x:c>
      <x:c r="H3077" s="274" t="n">
        <x:v>45</x:v>
      </x:c>
      <x:c r="I3077" s="274" t="n">
        <x:v>1.4</x:v>
      </x:c>
      <x:c r="J3077" s="274" t="n">
        <x:v>399</x:v>
      </x:c>
      <x:c r="K3077" s="274" t="n">
        <x:v>1200</x:v>
      </x:c>
      <x:c r="M3077" s="274" t="s">
        <x:v>5881</x:v>
      </x:c>
      <x:c r="N3077" s="274" t="s">
        <x:v>3671</x:v>
      </x:c>
    </x:row>
    <x:row r="3078" spans="1:14">
      <x:c r="A3078" s="274" t="s">
        <x:v>5882</x:v>
      </x:c>
      <x:c r="B3078" s="274" t="n">
        <x:v>1.32</x:v>
      </x:c>
      <x:c r="C3078" s="274" t="n">
        <x:v>0</x:v>
      </x:c>
      <x:c r="D3078" s="274" t="n">
        <x:v>0</x:v>
      </x:c>
      <x:c r="F3078" s="274" t="s">
        <x:v>333</x:v>
      </x:c>
      <x:c r="G3078" s="274" t="s">
        <x:v>124</x:v>
      </x:c>
      <x:c r="I3078" s="274" t="n">
        <x:v>1.4</x:v>
      </x:c>
      <x:c r="J3078" s="274" t="n">
        <x:v>274</x:v>
      </x:c>
      <x:c r="K3078" s="274" t="n">
        <x:v>437</x:v>
      </x:c>
      <x:c r="M3078" s="274" t="s">
        <x:v>5883</x:v>
      </x:c>
    </x:row>
    <x:row r="3079" spans="1:14">
      <x:c r="A3079" s="274" t="s">
        <x:v>5884</x:v>
      </x:c>
      <x:c r="B3079" s="274" t="n">
        <x:v>1.48</x:v>
      </x:c>
      <x:c r="C3079" s="274" t="n">
        <x:v>0</x:v>
      </x:c>
      <x:c r="D3079" s="274" t="n">
        <x:v>0</x:v>
      </x:c>
      <x:c r="F3079" s="274" t="s">
        <x:v>123</x:v>
      </x:c>
      <x:c r="G3079" s="274" t="s">
        <x:v>881</x:v>
      </x:c>
      <x:c r="H3079" s="274" t="n">
        <x:v>45</x:v>
      </x:c>
      <x:c r="I3079" s="274" t="n">
        <x:v>1.4</x:v>
      </x:c>
      <x:c r="J3079" s="274" t="n">
        <x:v>272</x:v>
      </x:c>
      <x:c r="K3079" s="274" t="n">
        <x:v>492</x:v>
      </x:c>
      <x:c r="M3079" s="274" t="s">
        <x:v>5885</x:v>
      </x:c>
      <x:c r="N3079" s="274" t="s">
        <x:v>3671</x:v>
      </x:c>
    </x:row>
    <x:row r="3080" spans="1:14">
      <x:c r="A3080" s="274" t="s">
        <x:v>5886</x:v>
      </x:c>
      <x:c r="B3080" s="274" t="n">
        <x:v>0.3</x:v>
      </x:c>
      <x:c r="C3080" s="274" t="n">
        <x:v>0</x:v>
      </x:c>
      <x:c r="D3080" s="274" t="n">
        <x:v>0</x:v>
      </x:c>
      <x:c r="F3080" s="274" t="s">
        <x:v>133</x:v>
      </x:c>
      <x:c r="G3080" s="274" t="s">
        <x:v>136</x:v>
      </x:c>
      <x:c r="H3080" s="274" t="n">
        <x:v>45</x:v>
      </x:c>
      <x:c r="I3080" s="274" t="n">
        <x:v>1.4</x:v>
      </x:c>
      <x:c r="J3080" s="274" t="n">
        <x:v>183</x:v>
      </x:c>
      <x:c r="K3080" s="274" t="n">
        <x:v>146</x:v>
      </x:c>
      <x:c r="M3080" s="274" t="s">
        <x:v>5887</x:v>
      </x:c>
      <x:c r="N3080" s="274" t="s">
        <x:v>3671</x:v>
      </x:c>
    </x:row>
    <x:row r="3081" spans="1:14">
      <x:c r="A3081" s="274" t="s">
        <x:v>5888</x:v>
      </x:c>
      <x:c r="B3081" s="274" t="n">
        <x:v>1.52</x:v>
      </x:c>
      <x:c r="C3081" s="274" t="n">
        <x:v>0</x:v>
      </x:c>
      <x:c r="D3081" s="274" t="n">
        <x:v>0</x:v>
      </x:c>
      <x:c r="F3081" s="274" t="s">
        <x:v>333</x:v>
      </x:c>
      <x:c r="G3081" s="274" t="s">
        <x:v>124</x:v>
      </x:c>
      <x:c r="I3081" s="274" t="n">
        <x:v>1.6</x:v>
      </x:c>
      <x:c r="J3081" s="274" t="n">
        <x:v>309</x:v>
      </x:c>
      <x:c r="K3081" s="274" t="n">
        <x:v>393</x:v>
      </x:c>
      <x:c r="M3081" s="274" t="s">
        <x:v>5889</x:v>
      </x:c>
      <x:c r="N3081" s="274" t="s">
        <x:v>3671</x:v>
      </x:c>
    </x:row>
    <x:row r="3082" spans="1:14">
      <x:c r="A3082" s="274" t="s">
        <x:v>5890</x:v>
      </x:c>
      <x:c r="B3082" s="274" t="n">
        <x:v>1.23</x:v>
      </x:c>
      <x:c r="C3082" s="274" t="n">
        <x:v>0</x:v>
      </x:c>
      <x:c r="D3082" s="274" t="n">
        <x:v>0</x:v>
      </x:c>
      <x:c r="F3082" s="274" t="s">
        <x:v>333</x:v>
      </x:c>
      <x:c r="G3082" s="274" t="s">
        <x:v>334</x:v>
      </x:c>
      <x:c r="I3082" s="274" t="n">
        <x:v>1.6</x:v>
      </x:c>
      <x:c r="J3082" s="274" t="n">
        <x:v>283</x:v>
      </x:c>
      <x:c r="K3082" s="274" t="n">
        <x:v>345</x:v>
      </x:c>
      <x:c r="M3082" s="274" t="s">
        <x:v>5891</x:v>
      </x:c>
    </x:row>
    <x:row r="3083" spans="1:14">
      <x:c r="A3083" s="274" t="s">
        <x:v>5892</x:v>
      </x:c>
      <x:c r="B3083" s="274" t="n">
        <x:v>0.9</x:v>
      </x:c>
      <x:c r="C3083" s="274" t="n">
        <x:v>0</x:v>
      </x:c>
      <x:c r="D3083" s="274" t="n">
        <x:v>0</x:v>
      </x:c>
      <x:c r="F3083" s="274" t="s">
        <x:v>333</x:v>
      </x:c>
      <x:c r="G3083" s="274" t="s">
        <x:v>153</x:v>
      </x:c>
      <x:c r="I3083" s="274" t="n">
        <x:v>1.6</x:v>
      </x:c>
      <x:c r="J3083" s="274" t="n">
        <x:v>473</x:v>
      </x:c>
      <x:c r="K3083" s="274" t="n">
        <x:v>151</x:v>
      </x:c>
      <x:c r="M3083" s="274" t="s">
        <x:v>4373</x:v>
      </x:c>
      <x:c r="N3083" s="274" t="s">
        <x:v>3671</x:v>
      </x:c>
    </x:row>
    <x:row r="3084" spans="1:14">
      <x:c r="A3084" s="274" t="s">
        <x:v>5893</x:v>
      </x:c>
      <x:c r="B3084" s="274" t="n">
        <x:v>1.31</x:v>
      </x:c>
      <x:c r="C3084" s="274" t="n">
        <x:v>0</x:v>
      </x:c>
      <x:c r="D3084" s="274" t="n">
        <x:v>0</x:v>
      </x:c>
      <x:c r="F3084" s="274" t="s">
        <x:v>333</x:v>
      </x:c>
      <x:c r="G3084" s="274" t="s">
        <x:v>153</x:v>
      </x:c>
      <x:c r="I3084" s="274" t="n">
        <x:v>1.6</x:v>
      </x:c>
      <x:c r="J3084" s="274" t="n">
        <x:v>449</x:v>
      </x:c>
      <x:c r="K3084" s="274" t="n">
        <x:v>233</x:v>
      </x:c>
      <x:c r="M3084" s="274" t="s">
        <x:v>4387</x:v>
      </x:c>
      <x:c r="N3084" s="274" t="s">
        <x:v>3671</x:v>
      </x:c>
    </x:row>
    <x:row r="3085" spans="1:14">
      <x:c r="A3085" s="274" t="s">
        <x:v>5894</x:v>
      </x:c>
      <x:c r="B3085" s="274" t="n">
        <x:v>1.08</x:v>
      </x:c>
      <x:c r="C3085" s="274" t="n">
        <x:v>0</x:v>
      </x:c>
      <x:c r="D3085" s="274" t="n">
        <x:v>0</x:v>
      </x:c>
      <x:c r="F3085" s="274" t="s">
        <x:v>333</x:v>
      </x:c>
      <x:c r="G3085" s="274" t="s">
        <x:v>153</x:v>
      </x:c>
      <x:c r="I3085" s="274" t="n">
        <x:v>1.6</x:v>
      </x:c>
      <x:c r="J3085" s="274" t="n">
        <x:v>186</x:v>
      </x:c>
      <x:c r="K3085" s="274" t="n">
        <x:v>461</x:v>
      </x:c>
      <x:c r="M3085" s="274" t="s">
        <x:v>4389</x:v>
      </x:c>
    </x:row>
    <x:row r="3086" spans="1:14">
      <x:c r="A3086" s="274" t="s">
        <x:v>5895</x:v>
      </x:c>
      <x:c r="B3086" s="274" t="n">
        <x:v>0.37</x:v>
      </x:c>
      <x:c r="C3086" s="274" t="n">
        <x:v>0</x:v>
      </x:c>
      <x:c r="D3086" s="274" t="n">
        <x:v>0</x:v>
      </x:c>
      <x:c r="F3086" s="274" t="s">
        <x:v>333</x:v>
      </x:c>
      <x:c r="G3086" s="274" t="s">
        <x:v>209</x:v>
      </x:c>
      <x:c r="I3086" s="274" t="n">
        <x:v>1.6</x:v>
      </x:c>
      <x:c r="J3086" s="274" t="n">
        <x:v>193</x:v>
      </x:c>
      <x:c r="K3086" s="274" t="n">
        <x:v>151</x:v>
      </x:c>
      <x:c r="M3086" s="274" t="s">
        <x:v>5896</x:v>
      </x:c>
      <x:c r="N3086" s="274" t="s">
        <x:v>3671</x:v>
      </x:c>
    </x:row>
    <x:row r="3087" spans="1:14">
      <x:c r="A3087" s="274" t="s">
        <x:v>5897</x:v>
      </x:c>
      <x:c r="B3087" s="274" t="n">
        <x:v>1</x:v>
      </x:c>
      <x:c r="C3087" s="274" t="n">
        <x:v>0</x:v>
      </x:c>
      <x:c r="D3087" s="274" t="n">
        <x:v>0</x:v>
      </x:c>
      <x:c r="F3087" s="274" t="s">
        <x:v>123</x:v>
      </x:c>
      <x:c r="G3087" s="274" t="s">
        <x:v>129</x:v>
      </x:c>
      <x:c r="H3087" s="274" t="n">
        <x:v>45</x:v>
      </x:c>
      <x:c r="I3087" s="274" t="n">
        <x:v>1.6</x:v>
      </x:c>
      <x:c r="J3087" s="274" t="n">
        <x:v>162</x:v>
      </x:c>
      <x:c r="K3087" s="274" t="n">
        <x:v>488</x:v>
      </x:c>
      <x:c r="M3087" s="274" t="s">
        <x:v>5898</x:v>
      </x:c>
      <x:c r="N3087" s="274" t="s">
        <x:v>3671</x:v>
      </x:c>
    </x:row>
    <x:row r="3088" spans="1:14">
      <x:c r="A3088" s="274" t="s">
        <x:v>5899</x:v>
      </x:c>
      <x:c r="B3088" s="274" t="n">
        <x:v>1.24</x:v>
      </x:c>
      <x:c r="C3088" s="274" t="n">
        <x:v>0</x:v>
      </x:c>
      <x:c r="D3088" s="274" t="n">
        <x:v>0</x:v>
      </x:c>
      <x:c r="F3088" s="274" t="s">
        <x:v>333</x:v>
      </x:c>
      <x:c r="G3088" s="274" t="s">
        <x:v>153</x:v>
      </x:c>
      <x:c r="I3088" s="274" t="n">
        <x:v>1.8</x:v>
      </x:c>
      <x:c r="J3088" s="274" t="n">
        <x:v>205</x:v>
      </x:c>
      <x:c r="K3088" s="274" t="n">
        <x:v>429</x:v>
      </x:c>
      <x:c r="M3088" s="274" t="s">
        <x:v>4351</x:v>
      </x:c>
    </x:row>
    <x:row r="3089" spans="1:14">
      <x:c r="A3089" s="274" t="s">
        <x:v>5900</x:v>
      </x:c>
      <x:c r="B3089" s="274" t="n">
        <x:v>0.73</x:v>
      </x:c>
      <x:c r="C3089" s="274" t="n">
        <x:v>0</x:v>
      </x:c>
      <x:c r="D3089" s="274" t="n">
        <x:v>0</x:v>
      </x:c>
      <x:c r="F3089" s="274" t="s">
        <x:v>333</x:v>
      </x:c>
      <x:c r="G3089" s="274" t="s">
        <x:v>153</x:v>
      </x:c>
      <x:c r="I3089" s="274" t="n">
        <x:v>2</x:v>
      </x:c>
      <x:c r="J3089" s="274" t="n">
        <x:v>100</x:v>
      </x:c>
      <x:c r="K3089" s="274" t="n">
        <x:v>466</x:v>
      </x:c>
      <x:c r="M3089" s="274" t="s">
        <x:v>5901</x:v>
      </x:c>
      <x:c r="N3089" s="274" t="s">
        <x:v>3671</x:v>
      </x:c>
    </x:row>
    <x:row r="3090" spans="1:14">
      <x:c r="A3090" s="274" t="s">
        <x:v>5902</x:v>
      </x:c>
      <x:c r="B3090" s="274" t="n">
        <x:v>2.24</x:v>
      </x:c>
      <x:c r="C3090" s="274" t="n">
        <x:v>0</x:v>
      </x:c>
      <x:c r="D3090" s="274" t="n">
        <x:v>0</x:v>
      </x:c>
      <x:c r="F3090" s="274" t="s">
        <x:v>333</x:v>
      </x:c>
      <x:c r="G3090" s="274" t="s">
        <x:v>124</x:v>
      </x:c>
      <x:c r="I3090" s="274" t="n">
        <x:v>1.2</x:v>
      </x:c>
      <x:c r="J3090" s="274" t="n">
        <x:v>190</x:v>
      </x:c>
      <x:c r="K3090" s="274" t="n">
        <x:v>1250</x:v>
      </x:c>
      <x:c r="M3090" s="274" t="s">
        <x:v>5903</x:v>
      </x:c>
      <x:c r="N3090" s="274" t="s">
        <x:v>3671</x:v>
      </x:c>
    </x:row>
    <x:row r="3091" spans="1:14">
      <x:c r="A3091" s="274" t="s">
        <x:v>5904</x:v>
      </x:c>
      <x:c r="B3091" s="274" t="n">
        <x:v>2.12</x:v>
      </x:c>
      <x:c r="C3091" s="274" t="n">
        <x:v>0</x:v>
      </x:c>
      <x:c r="D3091" s="274" t="n">
        <x:v>0</x:v>
      </x:c>
      <x:c r="F3091" s="274" t="s">
        <x:v>333</x:v>
      </x:c>
      <x:c r="G3091" s="274" t="s">
        <x:v>124</x:v>
      </x:c>
      <x:c r="I3091" s="274" t="n">
        <x:v>1.2</x:v>
      </x:c>
      <x:c r="J3091" s="274" t="n">
        <x:v>180</x:v>
      </x:c>
      <x:c r="K3091" s="274" t="n">
        <x:v>1250</x:v>
      </x:c>
      <x:c r="M3091" s="274" t="s">
        <x:v>5905</x:v>
      </x:c>
      <x:c r="N3091" s="274" t="s">
        <x:v>3671</x:v>
      </x:c>
    </x:row>
    <x:row r="3092" spans="1:14">
      <x:c r="A3092" s="274" t="s">
        <x:v>5906</x:v>
      </x:c>
      <x:c r="B3092" s="274" t="n">
        <x:v>1.65</x:v>
      </x:c>
      <x:c r="C3092" s="274" t="n">
        <x:v>0</x:v>
      </x:c>
      <x:c r="D3092" s="274" t="n">
        <x:v>0</x:v>
      </x:c>
      <x:c r="F3092" s="274" t="s">
        <x:v>333</x:v>
      </x:c>
      <x:c r="G3092" s="274" t="s">
        <x:v>209</x:v>
      </x:c>
      <x:c r="I3092" s="274" t="n">
        <x:v>1.2</x:v>
      </x:c>
      <x:c r="J3092" s="274" t="n">
        <x:v>140</x:v>
      </x:c>
      <x:c r="K3092" s="274" t="n">
        <x:v>1250</x:v>
      </x:c>
      <x:c r="M3092" s="274" t="s">
        <x:v>5907</x:v>
      </x:c>
      <x:c r="N3092" s="274" t="s">
        <x:v>3671</x:v>
      </x:c>
    </x:row>
    <x:row r="3093" spans="1:14">
      <x:c r="A3093" s="274" t="s">
        <x:v>5908</x:v>
      </x:c>
      <x:c r="B3093" s="274" t="n">
        <x:v>1.65</x:v>
      </x:c>
      <x:c r="C3093" s="274" t="n">
        <x:v>0</x:v>
      </x:c>
      <x:c r="D3093" s="274" t="n">
        <x:v>0</x:v>
      </x:c>
      <x:c r="F3093" s="274" t="s">
        <x:v>333</x:v>
      </x:c>
      <x:c r="G3093" s="274" t="s">
        <x:v>124</x:v>
      </x:c>
      <x:c r="I3093" s="274" t="n">
        <x:v>1.4</x:v>
      </x:c>
      <x:c r="J3093" s="274" t="n">
        <x:v>120</x:v>
      </x:c>
      <x:c r="K3093" s="274" t="n">
        <x:v>1250</x:v>
      </x:c>
      <x:c r="M3093" s="274" t="s">
        <x:v>5909</x:v>
      </x:c>
      <x:c r="N3093" s="274" t="s">
        <x:v>3671</x:v>
      </x:c>
    </x:row>
    <x:row r="3094" spans="1:14">
      <x:c r="A3094" s="274" t="s">
        <x:v>5910</x:v>
      </x:c>
      <x:c r="B3094" s="274" t="n">
        <x:v>1.37</x:v>
      </x:c>
      <x:c r="C3094" s="274" t="n">
        <x:v>0</x:v>
      </x:c>
      <x:c r="D3094" s="274" t="n">
        <x:v>0</x:v>
      </x:c>
      <x:c r="F3094" s="274" t="s">
        <x:v>333</x:v>
      </x:c>
      <x:c r="G3094" s="274" t="s">
        <x:v>209</x:v>
      </x:c>
      <x:c r="I3094" s="274" t="n">
        <x:v>1.4</x:v>
      </x:c>
      <x:c r="J3094" s="274" t="n">
        <x:v>100</x:v>
      </x:c>
      <x:c r="K3094" s="274" t="n">
        <x:v>1250</x:v>
      </x:c>
      <x:c r="M3094" s="274" t="s">
        <x:v>5911</x:v>
      </x:c>
      <x:c r="N3094" s="274" t="s">
        <x:v>3671</x:v>
      </x:c>
    </x:row>
    <x:row r="3095" spans="1:14">
      <x:c r="A3095" s="274" t="s">
        <x:v>5912</x:v>
      </x:c>
      <x:c r="B3095" s="274" t="n">
        <x:v>4.32</x:v>
      </x:c>
      <x:c r="C3095" s="274" t="n">
        <x:v>0</x:v>
      </x:c>
      <x:c r="D3095" s="274" t="n">
        <x:v>0</x:v>
      </x:c>
      <x:c r="F3095" s="274" t="s">
        <x:v>123</x:v>
      </x:c>
      <x:c r="G3095" s="274" t="s">
        <x:v>139</x:v>
      </x:c>
      <x:c r="I3095" s="274" t="n">
        <x:v>2</x:v>
      </x:c>
      <x:c r="J3095" s="274" t="n">
        <x:v>220</x:v>
      </x:c>
      <x:c r="K3095" s="274" t="n">
        <x:v>1250</x:v>
      </x:c>
      <x:c r="M3095" s="274" t="s">
        <x:v>5913</x:v>
      </x:c>
      <x:c r="N3095" s="274" t="s">
        <x:v>3671</x:v>
      </x:c>
    </x:row>
    <x:row r="3096" spans="1:14">
      <x:c r="A3096" s="274" t="s">
        <x:v>5914</x:v>
      </x:c>
      <x:c r="B3096" s="274" t="n">
        <x:v>2.67</x:v>
      </x:c>
      <x:c r="C3096" s="274" t="n">
        <x:v>0</x:v>
      </x:c>
      <x:c r="D3096" s="274" t="n">
        <x:v>0</x:v>
      </x:c>
      <x:c r="F3096" s="274" t="s">
        <x:v>133</x:v>
      </x:c>
      <x:c r="G3096" s="274" t="s">
        <x:v>148</x:v>
      </x:c>
      <x:c r="I3096" s="274" t="n">
        <x:v>3.2</x:v>
      </x:c>
      <x:c r="J3096" s="274" t="n">
        <x:v>85</x:v>
      </x:c>
      <x:c r="K3096" s="274" t="n">
        <x:v>1250</x:v>
      </x:c>
      <x:c r="M3096" s="274" t="s">
        <x:v>5915</x:v>
      </x:c>
      <x:c r="N3096" s="274" t="s">
        <x:v>3671</x:v>
      </x:c>
    </x:row>
    <x:row r="3097" spans="1:14">
      <x:c r="A3097" s="274" t="s">
        <x:v>5916</x:v>
      </x:c>
      <x:c r="B3097" s="274" t="n">
        <x:v>3.77</x:v>
      </x:c>
      <x:c r="C3097" s="274" t="n">
        <x:v>0</x:v>
      </x:c>
      <x:c r="D3097" s="274" t="n">
        <x:v>0</x:v>
      </x:c>
      <x:c r="F3097" s="274" t="s">
        <x:v>133</x:v>
      </x:c>
      <x:c r="G3097" s="274" t="s">
        <x:v>148</x:v>
      </x:c>
      <x:c r="I3097" s="274" t="n">
        <x:v>3.2</x:v>
      </x:c>
      <x:c r="J3097" s="274" t="n">
        <x:v>120</x:v>
      </x:c>
      <x:c r="K3097" s="274" t="n">
        <x:v>1250</x:v>
      </x:c>
      <x:c r="M3097" s="274" t="s">
        <x:v>5917</x:v>
      </x:c>
      <x:c r="N3097" s="274" t="s">
        <x:v>3671</x:v>
      </x:c>
    </x:row>
    <x:row r="3098" spans="1:14">
      <x:c r="A3098" s="274" t="s">
        <x:v>5918</x:v>
      </x:c>
      <x:c r="B3098" s="274" t="n">
        <x:v>3.18</x:v>
      </x:c>
      <x:c r="C3098" s="274" t="n">
        <x:v>0</x:v>
      </x:c>
      <x:c r="D3098" s="274" t="n">
        <x:v>0</x:v>
      </x:c>
      <x:c r="F3098" s="274" t="s">
        <x:v>133</x:v>
      </x:c>
      <x:c r="G3098" s="274" t="s">
        <x:v>148</x:v>
      </x:c>
      <x:c r="I3098" s="274" t="n">
        <x:v>3.6</x:v>
      </x:c>
      <x:c r="J3098" s="274" t="n">
        <x:v>90</x:v>
      </x:c>
      <x:c r="K3098" s="274" t="n">
        <x:v>1250</x:v>
      </x:c>
      <x:c r="M3098" s="274" t="s">
        <x:v>5919</x:v>
      </x:c>
      <x:c r="N3098" s="274" t="s">
        <x:v>3671</x:v>
      </x:c>
    </x:row>
    <x:row r="3099" spans="1:14">
      <x:c r="A3099" s="274" t="s">
        <x:v>5920</x:v>
      </x:c>
      <x:c r="B3099" s="274" t="n">
        <x:v>4.85</x:v>
      </x:c>
      <x:c r="C3099" s="274" t="n">
        <x:v>0</x:v>
      </x:c>
      <x:c r="D3099" s="274" t="n">
        <x:v>0</x:v>
      </x:c>
      <x:c r="F3099" s="274" t="s">
        <x:v>133</x:v>
      </x:c>
      <x:c r="G3099" s="274" t="s">
        <x:v>136</x:v>
      </x:c>
      <x:c r="H3099" s="274" t="n">
        <x:v>45</x:v>
      </x:c>
      <x:c r="I3099" s="274" t="n">
        <x:v>1</x:v>
      </x:c>
      <x:c r="J3099" s="274" t="n">
        <x:v>407</x:v>
      </x:c>
      <x:c r="K3099" s="274" t="n">
        <x:v>1500</x:v>
      </x:c>
      <x:c r="M3099" s="274" t="s">
        <x:v>5921</x:v>
      </x:c>
    </x:row>
    <x:row r="3100" spans="1:14">
      <x:c r="A3100" s="274" t="s">
        <x:v>5922</x:v>
      </x:c>
      <x:c r="B3100" s="274" t="n">
        <x:v>1.57</x:v>
      </x:c>
      <x:c r="C3100" s="274" t="n">
        <x:v>0</x:v>
      </x:c>
      <x:c r="D3100" s="274" t="n">
        <x:v>0</x:v>
      </x:c>
      <x:c r="F3100" s="274" t="s">
        <x:v>133</x:v>
      </x:c>
      <x:c r="G3100" s="274" t="s">
        <x:v>136</x:v>
      </x:c>
      <x:c r="H3100" s="274" t="n">
        <x:v>45</x:v>
      </x:c>
      <x:c r="I3100" s="274" t="n">
        <x:v>1.2</x:v>
      </x:c>
      <x:c r="J3100" s="274" t="n">
        <x:v>138</x:v>
      </x:c>
      <x:c r="K3100" s="274" t="n">
        <x:v>1200</x:v>
      </x:c>
      <x:c r="M3100" s="274" t="s">
        <x:v>5923</x:v>
      </x:c>
    </x:row>
    <x:row r="3101" spans="1:14">
      <x:c r="A3101" s="274" t="s">
        <x:v>5924</x:v>
      </x:c>
      <x:c r="B3101" s="274" t="n">
        <x:v>7.81</x:v>
      </x:c>
      <x:c r="C3101" s="274" t="n">
        <x:v>0</x:v>
      </x:c>
      <x:c r="D3101" s="274" t="n">
        <x:v>0</x:v>
      </x:c>
      <x:c r="F3101" s="274" t="s">
        <x:v>133</x:v>
      </x:c>
      <x:c r="G3101" s="274" t="s">
        <x:v>136</x:v>
      </x:c>
      <x:c r="H3101" s="274" t="n">
        <x:v>45</x:v>
      </x:c>
      <x:c r="I3101" s="274" t="n">
        <x:v>1.4</x:v>
      </x:c>
      <x:c r="J3101" s="274" t="n">
        <x:v>470</x:v>
      </x:c>
      <x:c r="K3101" s="274" t="n">
        <x:v>1500</x:v>
      </x:c>
      <x:c r="M3101" s="274" t="s">
        <x:v>5925</x:v>
      </x:c>
    </x:row>
    <x:row r="3102" spans="1:14">
      <x:c r="A3102" s="274" t="s">
        <x:v>5926</x:v>
      </x:c>
      <x:c r="B3102" s="274" t="n">
        <x:v>8.62</x:v>
      </x:c>
      <x:c r="C3102" s="274" t="n">
        <x:v>0</x:v>
      </x:c>
      <x:c r="D3102" s="274" t="n">
        <x:v>0</x:v>
      </x:c>
      <x:c r="F3102" s="274" t="s">
        <x:v>133</x:v>
      </x:c>
      <x:c r="G3102" s="274" t="s">
        <x:v>136</x:v>
      </x:c>
      <x:c r="H3102" s="274" t="n">
        <x:v>45</x:v>
      </x:c>
      <x:c r="I3102" s="274" t="n">
        <x:v>2</x:v>
      </x:c>
      <x:c r="J3102" s="274" t="n">
        <x:v>364</x:v>
      </x:c>
      <x:c r="K3102" s="274" t="n">
        <x:v>1500</x:v>
      </x:c>
      <x:c r="M3102" s="274" t="s">
        <x:v>5927</x:v>
      </x:c>
      <x:c r="N3102" s="274" t="s">
        <x:v>3671</x:v>
      </x:c>
    </x:row>
    <x:row r="3103" spans="1:14">
      <x:c r="A3103" s="274" t="s">
        <x:v>5928</x:v>
      </x:c>
      <x:c r="B3103" s="274" t="n">
        <x:v>8.53</x:v>
      </x:c>
      <x:c r="C3103" s="274" t="n">
        <x:v>0</x:v>
      </x:c>
      <x:c r="D3103" s="274" t="n">
        <x:v>0</x:v>
      </x:c>
      <x:c r="F3103" s="274" t="s">
        <x:v>133</x:v>
      </x:c>
      <x:c r="G3103" s="274" t="s">
        <x:v>136</x:v>
      </x:c>
      <x:c r="H3103" s="274" t="n">
        <x:v>45</x:v>
      </x:c>
      <x:c r="I3103" s="274" t="n">
        <x:v>2</x:v>
      </x:c>
      <x:c r="J3103" s="274" t="n">
        <x:v>360</x:v>
      </x:c>
      <x:c r="K3103" s="274" t="n">
        <x:v>1500</x:v>
      </x:c>
      <x:c r="M3103" s="274" t="s">
        <x:v>5929</x:v>
      </x:c>
      <x:c r="N3103" s="274" t="s">
        <x:v>3671</x:v>
      </x:c>
    </x:row>
    <x:row r="3104" spans="1:14">
      <x:c r="A3104" s="274" t="s">
        <x:v>5930</x:v>
      </x:c>
      <x:c r="B3104" s="274" t="n">
        <x:v>4.68</x:v>
      </x:c>
      <x:c r="C3104" s="274" t="n">
        <x:v>0</x:v>
      </x:c>
      <x:c r="D3104" s="274" t="n">
        <x:v>0</x:v>
      </x:c>
      <x:c r="F3104" s="274" t="s">
        <x:v>133</x:v>
      </x:c>
      <x:c r="G3104" s="274" t="s">
        <x:v>134</x:v>
      </x:c>
      <x:c r="I3104" s="274" t="n">
        <x:v>3.2</x:v>
      </x:c>
      <x:c r="J3104" s="274" t="n">
        <x:v>149</x:v>
      </x:c>
      <x:c r="K3104" s="274" t="n">
        <x:v>1250</x:v>
      </x:c>
      <x:c r="M3104" s="274" t="s">
        <x:v>5931</x:v>
      </x:c>
      <x:c r="N3104" s="274" t="s">
        <x:v>3671</x:v>
      </x:c>
    </x:row>
    <x:row r="3105" spans="1:14">
      <x:c r="A3105" s="274" t="s">
        <x:v>5932</x:v>
      </x:c>
      <x:c r="B3105" s="274" t="n">
        <x:v>0.88</x:v>
      </x:c>
      <x:c r="C3105" s="274" t="n">
        <x:v>0</x:v>
      </x:c>
      <x:c r="D3105" s="274" t="n">
        <x:v>0</x:v>
      </x:c>
      <x:c r="F3105" s="274" t="s">
        <x:v>333</x:v>
      </x:c>
      <x:c r="G3105" s="274" t="s">
        <x:v>209</x:v>
      </x:c>
      <x:c r="I3105" s="274" t="n">
        <x:v>0.65</x:v>
      </x:c>
      <x:c r="J3105" s="274" t="n">
        <x:v>230</x:v>
      </x:c>
      <x:c r="K3105" s="274" t="n">
        <x:v>750</x:v>
      </x:c>
      <x:c r="M3105" s="274" t="s">
        <x:v>5933</x:v>
      </x:c>
      <x:c r="N3105" s="274" t="s">
        <x:v>3671</x:v>
      </x:c>
    </x:row>
    <x:row r="3106" spans="1:14">
      <x:c r="A3106" s="274" t="s">
        <x:v>5934</x:v>
      </x:c>
      <x:c r="B3106" s="274" t="n">
        <x:v>0.39</x:v>
      </x:c>
      <x:c r="C3106" s="274" t="n">
        <x:v>0</x:v>
      </x:c>
      <x:c r="D3106" s="274" t="n">
        <x:v>0</x:v>
      </x:c>
      <x:c r="F3106" s="274" t="s">
        <x:v>123</x:v>
      </x:c>
      <x:c r="G3106" s="274" t="s">
        <x:v>129</x:v>
      </x:c>
      <x:c r="H3106" s="274" t="n">
        <x:v>45</x:v>
      </x:c>
      <x:c r="I3106" s="274" t="n">
        <x:v>0.9</x:v>
      </x:c>
      <x:c r="J3106" s="274" t="n">
        <x:v>190</x:v>
      </x:c>
      <x:c r="K3106" s="274" t="n">
        <x:v>289</x:v>
      </x:c>
      <x:c r="M3106" s="274" t="s">
        <x:v>5935</x:v>
      </x:c>
      <x:c r="N3106" s="274" t="s">
        <x:v>3671</x:v>
      </x:c>
    </x:row>
    <x:row r="3107" spans="1:14">
      <x:c r="A3107" s="274" t="s">
        <x:v>5936</x:v>
      </x:c>
      <x:c r="B3107" s="274" t="n">
        <x:v>0.75</x:v>
      </x:c>
      <x:c r="C3107" s="274" t="n">
        <x:v>0</x:v>
      </x:c>
      <x:c r="D3107" s="274" t="n">
        <x:v>0</x:v>
      </x:c>
      <x:c r="F3107" s="274" t="s">
        <x:v>123</x:v>
      </x:c>
      <x:c r="G3107" s="274" t="s">
        <x:v>129</x:v>
      </x:c>
      <x:c r="H3107" s="274" t="n">
        <x:v>45</x:v>
      </x:c>
      <x:c r="I3107" s="274" t="n">
        <x:v>0.7</x:v>
      </x:c>
      <x:c r="J3107" s="274" t="n">
        <x:v>171</x:v>
      </x:c>
      <x:c r="K3107" s="274" t="n">
        <x:v>789</x:v>
      </x:c>
      <x:c r="M3107" s="274" t="s">
        <x:v>5937</x:v>
      </x:c>
      <x:c r="N3107" s="274" t="s">
        <x:v>3671</x:v>
      </x:c>
    </x:row>
    <x:row r="3108" spans="1:14">
      <x:c r="A3108" s="274" t="s">
        <x:v>5938</x:v>
      </x:c>
      <x:c r="B3108" s="274" t="n">
        <x:v>1.44</x:v>
      </x:c>
      <x:c r="C3108" s="274" t="n">
        <x:v>0</x:v>
      </x:c>
      <x:c r="D3108" s="274" t="n">
        <x:v>0</x:v>
      </x:c>
      <x:c r="F3108" s="274" t="s">
        <x:v>123</x:v>
      </x:c>
      <x:c r="G3108" s="274" t="s">
        <x:v>129</x:v>
      </x:c>
      <x:c r="H3108" s="274" t="n">
        <x:v>45</x:v>
      </x:c>
      <x:c r="I3108" s="274" t="n">
        <x:v>0.65</x:v>
      </x:c>
      <x:c r="J3108" s="274" t="n">
        <x:v>1470</x:v>
      </x:c>
      <x:c r="K3108" s="274" t="n">
        <x:v>189</x:v>
      </x:c>
      <x:c r="M3108" s="274" t="s">
        <x:v>5939</x:v>
      </x:c>
      <x:c r="N3108" s="274" t="s">
        <x:v>3671</x:v>
      </x:c>
    </x:row>
    <x:row r="3109" spans="1:14">
      <x:c r="A3109" s="274" t="s">
        <x:v>5940</x:v>
      </x:c>
      <x:c r="B3109" s="274" t="n">
        <x:v>1.14</x:v>
      </x:c>
      <x:c r="C3109" s="274" t="n">
        <x:v>0</x:v>
      </x:c>
      <x:c r="D3109" s="274" t="n">
        <x:v>0</x:v>
      </x:c>
      <x:c r="F3109" s="274" t="s">
        <x:v>333</x:v>
      </x:c>
      <x:c r="G3109" s="274" t="s">
        <x:v>124</x:v>
      </x:c>
      <x:c r="I3109" s="274" t="n">
        <x:v>0.8</x:v>
      </x:c>
      <x:c r="J3109" s="274" t="n">
        <x:v>398</x:v>
      </x:c>
      <x:c r="K3109" s="274" t="n">
        <x:v>455</x:v>
      </x:c>
      <x:c r="M3109" s="274" t="s">
        <x:v>5941</x:v>
      </x:c>
      <x:c r="N3109" s="274" t="s">
        <x:v>3671</x:v>
      </x:c>
    </x:row>
    <x:row r="3110" spans="1:14">
      <x:c r="A3110" s="274" t="s">
        <x:v>5942</x:v>
      </x:c>
      <x:c r="B3110" s="274" t="n">
        <x:v>0.53</x:v>
      </x:c>
      <x:c r="C3110" s="274" t="n">
        <x:v>0</x:v>
      </x:c>
      <x:c r="D3110" s="274" t="n">
        <x:v>0</x:v>
      </x:c>
      <x:c r="F3110" s="274" t="s">
        <x:v>333</x:v>
      </x:c>
      <x:c r="G3110" s="274" t="s">
        <x:v>209</x:v>
      </x:c>
      <x:c r="I3110" s="274" t="n">
        <x:v>0.6</x:v>
      </x:c>
      <x:c r="J3110" s="274" t="n">
        <x:v>1176</x:v>
      </x:c>
      <x:c r="K3110" s="274" t="n">
        <x:v>95</x:v>
      </x:c>
      <x:c r="M3110" s="274" t="s">
        <x:v>5943</x:v>
      </x:c>
      <x:c r="N3110" s="274" t="s">
        <x:v>3671</x:v>
      </x:c>
    </x:row>
    <x:row r="3111" spans="1:14">
      <x:c r="A3111" s="274" t="s">
        <x:v>5944</x:v>
      </x:c>
      <x:c r="B3111" s="274" t="n">
        <x:v>0.87</x:v>
      </x:c>
      <x:c r="C3111" s="274" t="n">
        <x:v>0</x:v>
      </x:c>
      <x:c r="D3111" s="274" t="n">
        <x:v>0</x:v>
      </x:c>
      <x:c r="F3111" s="274" t="s">
        <x:v>333</x:v>
      </x:c>
      <x:c r="G3111" s="274" t="s">
        <x:v>209</x:v>
      </x:c>
      <x:c r="I3111" s="274" t="n">
        <x:v>0.6</x:v>
      </x:c>
      <x:c r="J3111" s="274" t="n">
        <x:v>972</x:v>
      </x:c>
      <x:c r="K3111" s="274" t="n">
        <x:v>191</x:v>
      </x:c>
      <x:c r="M3111" s="274" t="s">
        <x:v>5945</x:v>
      </x:c>
      <x:c r="N3111" s="274" t="s">
        <x:v>3671</x:v>
      </x:c>
    </x:row>
    <x:row r="3112" spans="1:14">
      <x:c r="A3112" s="274" t="s">
        <x:v>5946</x:v>
      </x:c>
      <x:c r="B3112" s="274" t="n">
        <x:v>1.37</x:v>
      </x:c>
      <x:c r="C3112" s="274" t="n">
        <x:v>0</x:v>
      </x:c>
      <x:c r="D3112" s="274" t="n">
        <x:v>0</x:v>
      </x:c>
      <x:c r="F3112" s="274" t="s">
        <x:v>3412</x:v>
      </x:c>
      <x:c r="G3112" s="274" t="s">
        <x:v>5370</x:v>
      </x:c>
      <x:c r="H3112" s="274" t="s">
        <x:v>4471</x:v>
      </x:c>
      <x:c r="I3112" s="274" t="n">
        <x:v>2</x:v>
      </x:c>
      <x:c r="J3112" s="274" t="n">
        <x:v>248</x:v>
      </x:c>
      <x:c r="K3112" s="274" t="n">
        <x:v>353</x:v>
      </x:c>
      <x:c r="M3112" s="274" t="s">
        <x:v>5627</x:v>
      </x:c>
      <x:c r="N3112" s="274" t="s">
        <x:v>4258</x:v>
      </x:c>
    </x:row>
    <x:row r="3113" spans="1:14">
      <x:c r="A3113" s="274" t="s">
        <x:v>5947</x:v>
      </x:c>
      <x:c r="B3113" s="274" t="n">
        <x:v>0.77</x:v>
      </x:c>
      <x:c r="C3113" s="274" t="n">
        <x:v>0</x:v>
      </x:c>
      <x:c r="D3113" s="274" t="n">
        <x:v>0</x:v>
      </x:c>
      <x:c r="F3113" s="274" t="s">
        <x:v>128</x:v>
      </x:c>
      <x:c r="G3113" s="274" t="s">
        <x:v>136</x:v>
      </x:c>
      <x:c r="H3113" s="274" t="n">
        <x:v>45</x:v>
      </x:c>
      <x:c r="I3113" s="274" t="n">
        <x:v>2.6</x:v>
      </x:c>
      <x:c r="J3113" s="274" t="n">
        <x:v>40</x:v>
      </x:c>
      <x:c r="K3113" s="274" t="n">
        <x:v>940</x:v>
      </x:c>
      <x:c r="M3113" s="274" t="s">
        <x:v>5390</x:v>
      </x:c>
      <x:c r="N3113" s="274" t="s">
        <x:v>3671</x:v>
      </x:c>
    </x:row>
    <x:row r="3114" spans="1:14">
      <x:c r="A3114" s="274" t="s">
        <x:v>5948</x:v>
      </x:c>
      <x:c r="B3114" s="274" t="n">
        <x:v>0.72</x:v>
      </x:c>
      <x:c r="C3114" s="274" t="n">
        <x:v>0</x:v>
      </x:c>
      <x:c r="D3114" s="274" t="n">
        <x:v>0</x:v>
      </x:c>
      <x:c r="F3114" s="274" t="s">
        <x:v>128</x:v>
      </x:c>
      <x:c r="G3114" s="274" t="s">
        <x:v>136</x:v>
      </x:c>
      <x:c r="H3114" s="274" t="n">
        <x:v>45</x:v>
      </x:c>
      <x:c r="I3114" s="274" t="n">
        <x:v>2.6</x:v>
      </x:c>
      <x:c r="J3114" s="274" t="n">
        <x:v>40</x:v>
      </x:c>
      <x:c r="K3114" s="274" t="n">
        <x:v>872</x:v>
      </x:c>
      <x:c r="M3114" s="274" t="s">
        <x:v>5392</x:v>
      </x:c>
      <x:c r="N3114" s="274" t="s">
        <x:v>3671</x:v>
      </x:c>
    </x:row>
    <x:row r="3115" spans="1:14">
      <x:c r="A3115" s="274" t="s">
        <x:v>5949</x:v>
      </x:c>
      <x:c r="B3115" s="274" t="n">
        <x:v>2.8</x:v>
      </x:c>
      <x:c r="C3115" s="274" t="n">
        <x:v>0</x:v>
      </x:c>
      <x:c r="D3115" s="274" t="n">
        <x:v>0</x:v>
      </x:c>
      <x:c r="F3115" s="274" t="s">
        <x:v>123</x:v>
      </x:c>
      <x:c r="G3115" s="274" t="s">
        <x:v>437</x:v>
      </x:c>
      <x:c r="I3115" s="274" t="n">
        <x:v>3.2</x:v>
      </x:c>
      <x:c r="J3115" s="274" t="n">
        <x:v>267</x:v>
      </x:c>
      <x:c r="K3115" s="274" t="n">
        <x:v>418</x:v>
      </x:c>
      <x:c r="M3115" s="274" t="s">
        <x:v>5950</x:v>
      </x:c>
      <x:c r="N3115" s="274" t="s">
        <x:v>3671</x:v>
      </x:c>
    </x:row>
    <x:row r="3116" spans="1:14">
      <x:c r="A3116" s="274" t="s">
        <x:v>5951</x:v>
      </x:c>
      <x:c r="B3116" s="274" t="n">
        <x:v>0.8</x:v>
      </x:c>
      <x:c r="C3116" s="274" t="n">
        <x:v>0</x:v>
      </x:c>
      <x:c r="D3116" s="274" t="n">
        <x:v>0</x:v>
      </x:c>
      <x:c r="F3116" s="274" t="s">
        <x:v>123</x:v>
      </x:c>
      <x:c r="G3116" s="274" t="s">
        <x:v>129</x:v>
      </x:c>
      <x:c r="H3116" s="274" t="n">
        <x:v>45</x:v>
      </x:c>
      <x:c r="I3116" s="274" t="n">
        <x:v>1.4</x:v>
      </x:c>
      <x:c r="J3116" s="274" t="n">
        <x:v>192</x:v>
      </x:c>
      <x:c r="K3116" s="274" t="n">
        <x:v>378</x:v>
      </x:c>
      <x:c r="M3116" s="274" t="s">
        <x:v>5952</x:v>
      </x:c>
      <x:c r="N3116" s="274" t="s">
        <x:v>3671</x:v>
      </x:c>
    </x:row>
    <x:row r="3117" spans="1:14">
      <x:c r="A3117" s="274" t="s">
        <x:v>5953</x:v>
      </x:c>
      <x:c r="B3117" s="274" t="n">
        <x:v>0.68</x:v>
      </x:c>
      <x:c r="C3117" s="274" t="n">
        <x:v>0</x:v>
      </x:c>
      <x:c r="D3117" s="274" t="n">
        <x:v>0</x:v>
      </x:c>
      <x:c r="F3117" s="274" t="s">
        <x:v>184</x:v>
      </x:c>
      <x:c r="G3117" s="274" t="s">
        <x:v>129</x:v>
      </x:c>
      <x:c r="H3117" s="274" t="n">
        <x:v>45</x:v>
      </x:c>
      <x:c r="I3117" s="274" t="n">
        <x:v>1.2</x:v>
      </x:c>
      <x:c r="J3117" s="274" t="n">
        <x:v>58</x:v>
      </x:c>
      <x:c r="K3117" s="274" t="n">
        <x:v>1235</x:v>
      </x:c>
      <x:c r="M3117" s="274" t="s">
        <x:v>3283</x:v>
      </x:c>
      <x:c r="N3117" s="274" t="s">
        <x:v>155</x:v>
      </x:c>
    </x:row>
    <x:row r="3118" spans="1:14">
      <x:c r="A3118" s="274" t="s">
        <x:v>5954</x:v>
      </x:c>
      <x:c r="B3118" s="274" t="n">
        <x:v>1.63</x:v>
      </x:c>
      <x:c r="C3118" s="274" t="n">
        <x:v>0</x:v>
      </x:c>
      <x:c r="D3118" s="274" t="n">
        <x:v>0</x:v>
      </x:c>
      <x:c r="F3118" s="274" t="s">
        <x:v>184</x:v>
      </x:c>
      <x:c r="G3118" s="274" t="s">
        <x:v>129</x:v>
      </x:c>
      <x:c r="H3118" s="274" t="n">
        <x:v>45</x:v>
      </x:c>
      <x:c r="I3118" s="274" t="n">
        <x:v>1.2</x:v>
      </x:c>
      <x:c r="J3118" s="274" t="n">
        <x:v>143</x:v>
      </x:c>
      <x:c r="K3118" s="274" t="n">
        <x:v>1200</x:v>
      </x:c>
      <x:c r="M3118" s="274" t="s">
        <x:v>3285</x:v>
      </x:c>
      <x:c r="N3118" s="274" t="s">
        <x:v>155</x:v>
      </x:c>
    </x:row>
    <x:row r="3119" spans="1:14">
      <x:c r="A3119" s="274" t="s">
        <x:v>5955</x:v>
      </x:c>
      <x:c r="B3119" s="274" t="n">
        <x:v>0.41</x:v>
      </x:c>
      <x:c r="C3119" s="274" t="n">
        <x:v>0</x:v>
      </x:c>
      <x:c r="D3119" s="274" t="n">
        <x:v>0</x:v>
      </x:c>
      <x:c r="F3119" s="274" t="s">
        <x:v>123</x:v>
      </x:c>
      <x:c r="G3119" s="274" t="s">
        <x:v>129</x:v>
      </x:c>
      <x:c r="H3119" s="274" t="n">
        <x:v>45</x:v>
      </x:c>
      <x:c r="I3119" s="274" t="n">
        <x:v>1.4</x:v>
      </x:c>
      <x:c r="J3119" s="274" t="n">
        <x:v>186</x:v>
      </x:c>
      <x:c r="K3119" s="274" t="n">
        <x:v>200</x:v>
      </x:c>
      <x:c r="M3119" s="274" t="s">
        <x:v>5956</x:v>
      </x:c>
      <x:c r="N3119" s="274" t="s">
        <x:v>3671</x:v>
      </x:c>
    </x:row>
    <x:row r="3120" spans="1:14">
      <x:c r="A3120" s="274" t="s">
        <x:v>5957</x:v>
      </x:c>
      <x:c r="B3120" s="274" t="n">
        <x:v>0.39</x:v>
      </x:c>
      <x:c r="C3120" s="274" t="n">
        <x:v>0</x:v>
      </x:c>
      <x:c r="D3120" s="274" t="n">
        <x:v>0</x:v>
      </x:c>
      <x:c r="F3120" s="274" t="s">
        <x:v>123</x:v>
      </x:c>
      <x:c r="G3120" s="274" t="s">
        <x:v>129</x:v>
      </x:c>
      <x:c r="H3120" s="274" t="n">
        <x:v>45</x:v>
      </x:c>
      <x:c r="I3120" s="274" t="n">
        <x:v>1.4</x:v>
      </x:c>
      <x:c r="J3120" s="274" t="n">
        <x:v>244</x:v>
      </x:c>
      <x:c r="K3120" s="274" t="n">
        <x:v>145</x:v>
      </x:c>
      <x:c r="M3120" s="274" t="s">
        <x:v>5958</x:v>
      </x:c>
      <x:c r="N3120" s="274" t="s">
        <x:v>3671</x:v>
      </x:c>
    </x:row>
    <x:row r="3121" spans="1:14">
      <x:c r="A3121" s="274" t="s">
        <x:v>5959</x:v>
      </x:c>
      <x:c r="B3121" s="274" t="n">
        <x:v>0.74</x:v>
      </x:c>
      <x:c r="C3121" s="274" t="n">
        <x:v>0</x:v>
      </x:c>
      <x:c r="D3121" s="274" t="n">
        <x:v>0</x:v>
      </x:c>
      <x:c r="F3121" s="274" t="s">
        <x:v>123</x:v>
      </x:c>
      <x:c r="G3121" s="274" t="s">
        <x:v>129</x:v>
      </x:c>
      <x:c r="H3121" s="274" t="n">
        <x:v>45</x:v>
      </x:c>
      <x:c r="I3121" s="274" t="n">
        <x:v>1.4</x:v>
      </x:c>
      <x:c r="J3121" s="274" t="n">
        <x:v>85</x:v>
      </x:c>
      <x:c r="K3121" s="274" t="n">
        <x:v>788</x:v>
      </x:c>
      <x:c r="M3121" s="274" t="s">
        <x:v>5960</x:v>
      </x:c>
      <x:c r="N3121" s="274" t="s">
        <x:v>3671</x:v>
      </x:c>
    </x:row>
    <x:row r="3122" spans="1:14">
      <x:c r="A3122" s="274" t="s">
        <x:v>5961</x:v>
      </x:c>
      <x:c r="B3122" s="274" t="n">
        <x:v>0.63</x:v>
      </x:c>
      <x:c r="C3122" s="274" t="n">
        <x:v>0</x:v>
      </x:c>
      <x:c r="D3122" s="274" t="n">
        <x:v>0</x:v>
      </x:c>
      <x:c r="F3122" s="274" t="s">
        <x:v>123</x:v>
      </x:c>
      <x:c r="G3122" s="274" t="s">
        <x:v>129</x:v>
      </x:c>
      <x:c r="H3122" s="274" t="n">
        <x:v>45</x:v>
      </x:c>
      <x:c r="I3122" s="274" t="n">
        <x:v>1.4</x:v>
      </x:c>
      <x:c r="J3122" s="274" t="n">
        <x:v>125</x:v>
      </x:c>
      <x:c r="K3122" s="274" t="n">
        <x:v>455</x:v>
      </x:c>
      <x:c r="M3122" s="274" t="s">
        <x:v>5962</x:v>
      </x:c>
      <x:c r="N3122" s="274" t="s">
        <x:v>3671</x:v>
      </x:c>
    </x:row>
    <x:row r="3123" spans="1:14">
      <x:c r="A3123" s="274" t="s">
        <x:v>5963</x:v>
      </x:c>
      <x:c r="B3123" s="274" t="n">
        <x:v>0.25</x:v>
      </x:c>
      <x:c r="C3123" s="274" t="n">
        <x:v>0</x:v>
      </x:c>
      <x:c r="D3123" s="274" t="n">
        <x:v>0</x:v>
      </x:c>
      <x:c r="F3123" s="274" t="s">
        <x:v>123</x:v>
      </x:c>
      <x:c r="G3123" s="274" t="s">
        <x:v>129</x:v>
      </x:c>
      <x:c r="H3123" s="274" t="n">
        <x:v>45</x:v>
      </x:c>
      <x:c r="I3123" s="274" t="n">
        <x:v>1.4</x:v>
      </x:c>
      <x:c r="J3123" s="274" t="n">
        <x:v>208</x:v>
      </x:c>
      <x:c r="K3123" s="274" t="n">
        <x:v>109</x:v>
      </x:c>
      <x:c r="M3123" s="274" t="s">
        <x:v>5964</x:v>
      </x:c>
      <x:c r="N3123" s="274" t="s">
        <x:v>3671</x:v>
      </x:c>
    </x:row>
    <x:row r="3124" spans="1:14">
      <x:c r="A3124" s="274" t="s">
        <x:v>5965</x:v>
      </x:c>
      <x:c r="B3124" s="274" t="n">
        <x:v>0.83</x:v>
      </x:c>
      <x:c r="C3124" s="274" t="n">
        <x:v>0</x:v>
      </x:c>
      <x:c r="D3124" s="274" t="n">
        <x:v>0</x:v>
      </x:c>
      <x:c r="F3124" s="274" t="s">
        <x:v>123</x:v>
      </x:c>
      <x:c r="G3124" s="274" t="s">
        <x:v>129</x:v>
      </x:c>
      <x:c r="H3124" s="274" t="n">
        <x:v>45</x:v>
      </x:c>
      <x:c r="I3124" s="274" t="n">
        <x:v>1.4</x:v>
      </x:c>
      <x:c r="J3124" s="274" t="n">
        <x:v>112</x:v>
      </x:c>
      <x:c r="K3124" s="274" t="n">
        <x:v>666</x:v>
      </x:c>
      <x:c r="M3124" s="274" t="s">
        <x:v>5966</x:v>
      </x:c>
      <x:c r="N3124" s="274" t="s">
        <x:v>3671</x:v>
      </x:c>
    </x:row>
    <x:row r="3125" spans="1:14">
      <x:c r="A3125" s="274" t="s">
        <x:v>5967</x:v>
      </x:c>
      <x:c r="B3125" s="274" t="n">
        <x:v>1.21</x:v>
      </x:c>
      <x:c r="C3125" s="274" t="n">
        <x:v>0</x:v>
      </x:c>
      <x:c r="D3125" s="274" t="n">
        <x:v>0</x:v>
      </x:c>
      <x:c r="F3125" s="274" t="s">
        <x:v>123</x:v>
      </x:c>
      <x:c r="G3125" s="274" t="s">
        <x:v>129</x:v>
      </x:c>
      <x:c r="H3125" s="274" t="n">
        <x:v>45</x:v>
      </x:c>
      <x:c r="I3125" s="274" t="n">
        <x:v>1.4</x:v>
      </x:c>
      <x:c r="J3125" s="274" t="n">
        <x:v>148</x:v>
      </x:c>
      <x:c r="K3125" s="274" t="n">
        <x:v>739</x:v>
      </x:c>
      <x:c r="M3125" s="274" t="s">
        <x:v>5968</x:v>
      </x:c>
      <x:c r="N3125" s="274" t="s">
        <x:v>3671</x:v>
      </x:c>
    </x:row>
    <x:row r="3126" spans="1:14">
      <x:c r="A3126" s="274" t="s">
        <x:v>5969</x:v>
      </x:c>
      <x:c r="B3126" s="274" t="n">
        <x:v>3.21</x:v>
      </x:c>
      <x:c r="C3126" s="274" t="n">
        <x:v>0</x:v>
      </x:c>
      <x:c r="D3126" s="274" t="n">
        <x:v>0</x:v>
      </x:c>
      <x:c r="F3126" s="274" t="s">
        <x:v>333</x:v>
      </x:c>
      <x:c r="G3126" s="274" t="s">
        <x:v>153</x:v>
      </x:c>
      <x:c r="I3126" s="274" t="n">
        <x:v>1.4</x:v>
      </x:c>
      <x:c r="J3126" s="274" t="n">
        <x:v>1030</x:v>
      </x:c>
      <x:c r="K3126" s="274" t="n">
        <x:v>284</x:v>
      </x:c>
      <x:c r="M3126" s="274" t="s">
        <x:v>5970</x:v>
      </x:c>
      <x:c r="N3126" s="274" t="s">
        <x:v>3671</x:v>
      </x:c>
    </x:row>
    <x:row r="3127" spans="1:14">
      <x:c r="A3127" s="274" t="s">
        <x:v>5971</x:v>
      </x:c>
      <x:c r="B3127" s="274" t="n">
        <x:v>0.34</x:v>
      </x:c>
      <x:c r="C3127" s="274" t="n">
        <x:v>0</x:v>
      </x:c>
      <x:c r="D3127" s="274" t="n">
        <x:v>0</x:v>
      </x:c>
      <x:c r="F3127" s="274" t="s">
        <x:v>123</x:v>
      </x:c>
      <x:c r="G3127" s="274" t="s">
        <x:v>881</x:v>
      </x:c>
      <x:c r="H3127" s="274" t="n">
        <x:v>45</x:v>
      </x:c>
      <x:c r="I3127" s="274" t="n">
        <x:v>1.4</x:v>
      </x:c>
      <x:c r="J3127" s="274" t="n">
        <x:v>175</x:v>
      </x:c>
      <x:c r="K3127" s="274" t="n">
        <x:v>173</x:v>
      </x:c>
      <x:c r="M3127" s="274" t="s">
        <x:v>5972</x:v>
      </x:c>
      <x:c r="N3127" s="274" t="s">
        <x:v>3671</x:v>
      </x:c>
    </x:row>
    <x:row r="3128" spans="1:14">
      <x:c r="A3128" s="274" t="s">
        <x:v>5973</x:v>
      </x:c>
      <x:c r="B3128" s="274" t="n">
        <x:v>5.13</x:v>
      </x:c>
      <x:c r="C3128" s="274" t="n">
        <x:v>0</x:v>
      </x:c>
      <x:c r="D3128" s="274" t="n">
        <x:v>0</x:v>
      </x:c>
      <x:c r="F3128" s="274" t="s">
        <x:v>123</x:v>
      </x:c>
      <x:c r="G3128" s="274" t="s">
        <x:v>881</x:v>
      </x:c>
      <x:c r="H3128" s="274" t="n">
        <x:v>45</x:v>
      </x:c>
      <x:c r="I3128" s="274" t="n">
        <x:v>1.4</x:v>
      </x:c>
      <x:c r="J3128" s="274" t="n">
        <x:v>532</x:v>
      </x:c>
      <x:c r="K3128" s="274" t="n">
        <x:v>870</x:v>
      </x:c>
      <x:c r="M3128" s="274" t="s">
        <x:v>5974</x:v>
      </x:c>
      <x:c r="N3128" s="274" t="s">
        <x:v>3671</x:v>
      </x:c>
    </x:row>
    <x:row r="3129" spans="1:14">
      <x:c r="A3129" s="274" t="s">
        <x:v>5975</x:v>
      </x:c>
      <x:c r="B3129" s="274" t="n">
        <x:v>0.85</x:v>
      </x:c>
      <x:c r="C3129" s="274" t="n">
        <x:v>0</x:v>
      </x:c>
      <x:c r="D3129" s="274" t="n">
        <x:v>0</x:v>
      </x:c>
      <x:c r="F3129" s="274" t="s">
        <x:v>123</x:v>
      </x:c>
      <x:c r="G3129" s="274" t="s">
        <x:v>881</x:v>
      </x:c>
      <x:c r="H3129" s="274" t="n">
        <x:v>45</x:v>
      </x:c>
      <x:c r="I3129" s="274" t="n">
        <x:v>1.4</x:v>
      </x:c>
      <x:c r="J3129" s="274" t="n">
        <x:v>243</x:v>
      </x:c>
      <x:c r="K3129" s="274" t="n">
        <x:v>314</x:v>
      </x:c>
      <x:c r="M3129" s="274" t="s">
        <x:v>5976</x:v>
      </x:c>
      <x:c r="N3129" s="274" t="s">
        <x:v>3671</x:v>
      </x:c>
    </x:row>
    <x:row r="3130" spans="1:14">
      <x:c r="A3130" s="274" t="s">
        <x:v>5977</x:v>
      </x:c>
      <x:c r="B3130" s="274" t="n">
        <x:v>1.64</x:v>
      </x:c>
      <x:c r="C3130" s="274" t="n">
        <x:v>0</x:v>
      </x:c>
      <x:c r="D3130" s="274" t="n">
        <x:v>0</x:v>
      </x:c>
      <x:c r="F3130" s="274" t="s">
        <x:v>123</x:v>
      </x:c>
      <x:c r="G3130" s="274" t="s">
        <x:v>881</x:v>
      </x:c>
      <x:c r="H3130" s="274" t="n">
        <x:v>45</x:v>
      </x:c>
      <x:c r="I3130" s="274" t="n">
        <x:v>1.4</x:v>
      </x:c>
      <x:c r="J3130" s="274" t="n">
        <x:v>448</x:v>
      </x:c>
      <x:c r="K3130" s="274" t="n">
        <x:v>331</x:v>
      </x:c>
      <x:c r="M3130" s="274" t="s">
        <x:v>5978</x:v>
      </x:c>
      <x:c r="N3130" s="274" t="s">
        <x:v>3671</x:v>
      </x:c>
    </x:row>
    <x:row r="3131" spans="1:14">
      <x:c r="A3131" s="274" t="s">
        <x:v>5979</x:v>
      </x:c>
      <x:c r="B3131" s="274" t="n">
        <x:v>0.53</x:v>
      </x:c>
      <x:c r="C3131" s="274" t="n">
        <x:v>0</x:v>
      </x:c>
      <x:c r="D3131" s="274" t="n">
        <x:v>0</x:v>
      </x:c>
      <x:c r="F3131" s="274" t="s">
        <x:v>123</x:v>
      </x:c>
      <x:c r="G3131" s="274" t="s">
        <x:v>881</x:v>
      </x:c>
      <x:c r="H3131" s="274" t="n">
        <x:v>45</x:v>
      </x:c>
      <x:c r="I3131" s="274" t="n">
        <x:v>1.4</x:v>
      </x:c>
      <x:c r="J3131" s="274" t="n">
        <x:v>171</x:v>
      </x:c>
      <x:c r="K3131" s="274" t="n">
        <x:v>280</x:v>
      </x:c>
      <x:c r="M3131" s="274" t="s">
        <x:v>5980</x:v>
      </x:c>
      <x:c r="N3131" s="274" t="s">
        <x:v>3671</x:v>
      </x:c>
    </x:row>
    <x:row r="3132" spans="1:14">
      <x:c r="A3132" s="274" t="s">
        <x:v>5981</x:v>
      </x:c>
      <x:c r="B3132" s="274" t="n">
        <x:v>2.3</x:v>
      </x:c>
      <x:c r="C3132" s="274" t="n">
        <x:v>0</x:v>
      </x:c>
      <x:c r="D3132" s="274" t="n">
        <x:v>0</x:v>
      </x:c>
      <x:c r="F3132" s="274" t="s">
        <x:v>333</x:v>
      </x:c>
      <x:c r="G3132" s="274" t="s">
        <x:v>334</x:v>
      </x:c>
      <x:c r="I3132" s="274" t="n">
        <x:v>1.6</x:v>
      </x:c>
      <x:c r="J3132" s="274" t="n">
        <x:v>823</x:v>
      </x:c>
      <x:c r="K3132" s="274" t="n">
        <x:v>223</x:v>
      </x:c>
      <x:c r="M3132" s="274" t="s">
        <x:v>5982</x:v>
      </x:c>
      <x:c r="N3132" s="274" t="s">
        <x:v>3671</x:v>
      </x:c>
    </x:row>
    <x:row r="3133" spans="1:14">
      <x:c r="A3133" s="274" t="s">
        <x:v>5983</x:v>
      </x:c>
      <x:c r="B3133" s="274" t="n">
        <x:v>0.23</x:v>
      </x:c>
      <x:c r="C3133" s="274" t="n">
        <x:v>0</x:v>
      </x:c>
      <x:c r="D3133" s="274" t="n">
        <x:v>0</x:v>
      </x:c>
      <x:c r="F3133" s="274" t="s">
        <x:v>128</x:v>
      </x:c>
      <x:c r="G3133" s="274" t="s">
        <x:v>3314</x:v>
      </x:c>
      <x:c r="H3133" s="274" t="n">
        <x:v>45</x:v>
      </x:c>
      <x:c r="I3133" s="274" t="n">
        <x:v>1.6</x:v>
      </x:c>
      <x:c r="J3133" s="274" t="n">
        <x:v>169</x:v>
      </x:c>
      <x:c r="K3133" s="274" t="n">
        <x:v>106</x:v>
      </x:c>
      <x:c r="M3133" s="274" t="s">
        <x:v>5984</x:v>
      </x:c>
      <x:c r="N3133" s="274" t="s">
        <x:v>3671</x:v>
      </x:c>
    </x:row>
    <x:row r="3134" spans="1:14">
      <x:c r="A3134" s="274" t="s">
        <x:v>5985</x:v>
      </x:c>
      <x:c r="B3134" s="274" t="n">
        <x:v>0.23</x:v>
      </x:c>
      <x:c r="C3134" s="274" t="n">
        <x:v>0</x:v>
      </x:c>
      <x:c r="D3134" s="274" t="n">
        <x:v>0</x:v>
      </x:c>
      <x:c r="F3134" s="274" t="s">
        <x:v>128</x:v>
      </x:c>
      <x:c r="G3134" s="274" t="s">
        <x:v>177</x:v>
      </x:c>
      <x:c r="H3134" s="274" t="n">
        <x:v>45</x:v>
      </x:c>
      <x:c r="I3134" s="274" t="n">
        <x:v>1.6</x:v>
      </x:c>
      <x:c r="J3134" s="274" t="n">
        <x:v>138</x:v>
      </x:c>
      <x:c r="K3134" s="274" t="n">
        <x:v>130</x:v>
      </x:c>
      <x:c r="M3134" s="274" t="s">
        <x:v>5986</x:v>
      </x:c>
      <x:c r="N3134" s="274" t="s">
        <x:v>3671</x:v>
      </x:c>
    </x:row>
    <x:row r="3135" spans="1:14">
      <x:c r="A3135" s="274" t="s">
        <x:v>5987</x:v>
      </x:c>
      <x:c r="B3135" s="274" t="n">
        <x:v>3.13</x:v>
      </x:c>
      <x:c r="C3135" s="274" t="n">
        <x:v>0</x:v>
      </x:c>
      <x:c r="D3135" s="274" t="n">
        <x:v>0</x:v>
      </x:c>
      <x:c r="F3135" s="274" t="s">
        <x:v>123</x:v>
      </x:c>
      <x:c r="G3135" s="274" t="s">
        <x:v>3410</x:v>
      </x:c>
      <x:c r="I3135" s="274" t="n">
        <x:v>1.6</x:v>
      </x:c>
      <x:c r="J3135" s="274" t="n">
        <x:v>235</x:v>
      </x:c>
      <x:c r="K3135" s="274" t="n">
        <x:v>1060</x:v>
      </x:c>
      <x:c r="M3135" s="274" t="s">
        <x:v>5988</x:v>
      </x:c>
      <x:c r="N3135" s="274" t="s">
        <x:v>3671</x:v>
      </x:c>
    </x:row>
    <x:row r="3136" spans="1:14">
      <x:c r="A3136" s="274" t="s">
        <x:v>5989</x:v>
      </x:c>
      <x:c r="B3136" s="274" t="n">
        <x:v>1.48</x:v>
      </x:c>
      <x:c r="C3136" s="274" t="n">
        <x:v>0</x:v>
      </x:c>
      <x:c r="D3136" s="274" t="n">
        <x:v>0</x:v>
      </x:c>
      <x:c r="F3136" s="274" t="s">
        <x:v>123</x:v>
      </x:c>
      <x:c r="G3136" s="274" t="s">
        <x:v>881</x:v>
      </x:c>
      <x:c r="H3136" s="274" t="n">
        <x:v>45</x:v>
      </x:c>
      <x:c r="I3136" s="274" t="n">
        <x:v>1.6</x:v>
      </x:c>
      <x:c r="J3136" s="274" t="n">
        <x:v>268</x:v>
      </x:c>
      <x:c r="K3136" s="274" t="n">
        <x:v>436</x:v>
      </x:c>
      <x:c r="M3136" s="274" t="s">
        <x:v>5990</x:v>
      </x:c>
      <x:c r="N3136" s="274" t="s">
        <x:v>3671</x:v>
      </x:c>
    </x:row>
    <x:row r="3137" spans="1:14">
      <x:c r="A3137" s="274" t="s">
        <x:v>5991</x:v>
      </x:c>
      <x:c r="B3137" s="274" t="n">
        <x:v>4.43</x:v>
      </x:c>
      <x:c r="C3137" s="274" t="n">
        <x:v>0</x:v>
      </x:c>
      <x:c r="D3137" s="274" t="n">
        <x:v>0</x:v>
      </x:c>
      <x:c r="F3137" s="274" t="s">
        <x:v>123</x:v>
      </x:c>
      <x:c r="G3137" s="274" t="s">
        <x:v>881</x:v>
      </x:c>
      <x:c r="H3137" s="274" t="n">
        <x:v>45</x:v>
      </x:c>
      <x:c r="I3137" s="274" t="n">
        <x:v>1.6</x:v>
      </x:c>
      <x:c r="J3137" s="274" t="n">
        <x:v>348</x:v>
      </x:c>
      <x:c r="K3137" s="274" t="n">
        <x:v>1006</x:v>
      </x:c>
      <x:c r="M3137" s="274" t="s">
        <x:v>5992</x:v>
      </x:c>
      <x:c r="N3137" s="274" t="s">
        <x:v>3671</x:v>
      </x:c>
    </x:row>
    <x:row r="3138" spans="1:14">
      <x:c r="A3138" s="274" t="s">
        <x:v>5993</x:v>
      </x:c>
      <x:c r="B3138" s="274" t="n">
        <x:v>3.87</x:v>
      </x:c>
      <x:c r="C3138" s="274" t="n">
        <x:v>0</x:v>
      </x:c>
      <x:c r="D3138" s="274" t="n">
        <x:v>0</x:v>
      </x:c>
      <x:c r="F3138" s="274" t="s">
        <x:v>123</x:v>
      </x:c>
      <x:c r="G3138" s="274" t="s">
        <x:v>881</x:v>
      </x:c>
      <x:c r="H3138" s="274" t="n">
        <x:v>45</x:v>
      </x:c>
      <x:c r="I3138" s="274" t="n">
        <x:v>1.6</x:v>
      </x:c>
      <x:c r="J3138" s="274" t="n">
        <x:v>306</x:v>
      </x:c>
      <x:c r="K3138" s="274" t="n">
        <x:v>1001</x:v>
      </x:c>
      <x:c r="M3138" s="274" t="s">
        <x:v>5994</x:v>
      </x:c>
      <x:c r="N3138" s="274" t="s">
        <x:v>3671</x:v>
      </x:c>
    </x:row>
    <x:row r="3139" spans="1:14">
      <x:c r="A3139" s="274" t="s">
        <x:v>5995</x:v>
      </x:c>
      <x:c r="B3139" s="274" t="n">
        <x:v>0.48</x:v>
      </x:c>
      <x:c r="C3139" s="274" t="n">
        <x:v>0</x:v>
      </x:c>
      <x:c r="D3139" s="274" t="n">
        <x:v>0</x:v>
      </x:c>
      <x:c r="F3139" s="274" t="s">
        <x:v>123</x:v>
      </x:c>
      <x:c r="G3139" s="274" t="s">
        <x:v>129</x:v>
      </x:c>
      <x:c r="H3139" s="274" t="n">
        <x:v>45</x:v>
      </x:c>
      <x:c r="I3139" s="274" t="n">
        <x:v>1.6</x:v>
      </x:c>
      <x:c r="J3139" s="274" t="n">
        <x:v>258</x:v>
      </x:c>
      <x:c r="K3139" s="274" t="n">
        <x:v>146</x:v>
      </x:c>
      <x:c r="M3139" s="274" t="s">
        <x:v>5996</x:v>
      </x:c>
      <x:c r="N3139" s="274" t="s">
        <x:v>3671</x:v>
      </x:c>
    </x:row>
    <x:row r="3140" spans="1:14">
      <x:c r="A3140" s="274" t="s">
        <x:v>5997</x:v>
      </x:c>
      <x:c r="B3140" s="274" t="n">
        <x:v>1.64</x:v>
      </x:c>
      <x:c r="C3140" s="274" t="n">
        <x:v>0</x:v>
      </x:c>
      <x:c r="D3140" s="274" t="n">
        <x:v>0</x:v>
      </x:c>
      <x:c r="F3140" s="274" t="s">
        <x:v>123</x:v>
      </x:c>
      <x:c r="G3140" s="274" t="s">
        <x:v>129</x:v>
      </x:c>
      <x:c r="H3140" s="274" t="n">
        <x:v>45</x:v>
      </x:c>
      <x:c r="I3140" s="274" t="n">
        <x:v>1.6</x:v>
      </x:c>
      <x:c r="J3140" s="274" t="n">
        <x:v>268</x:v>
      </x:c>
      <x:c r="K3140" s="274" t="n">
        <x:v>485</x:v>
      </x:c>
      <x:c r="M3140" s="274" t="s">
        <x:v>5998</x:v>
      </x:c>
      <x:c r="N3140" s="274" t="s">
        <x:v>3671</x:v>
      </x:c>
    </x:row>
    <x:row r="3141" spans="1:14">
      <x:c r="A3141" s="274" t="s">
        <x:v>5999</x:v>
      </x:c>
      <x:c r="B3141" s="274" t="n">
        <x:v>0.27</x:v>
      </x:c>
      <x:c r="C3141" s="274" t="n">
        <x:v>0</x:v>
      </x:c>
      <x:c r="D3141" s="274" t="n">
        <x:v>0</x:v>
      </x:c>
      <x:c r="F3141" s="274" t="s">
        <x:v>123</x:v>
      </x:c>
      <x:c r="G3141" s="274" t="s">
        <x:v>129</x:v>
      </x:c>
      <x:c r="H3141" s="274" t="n">
        <x:v>45</x:v>
      </x:c>
      <x:c r="I3141" s="274" t="n">
        <x:v>1.6</x:v>
      </x:c>
      <x:c r="J3141" s="274" t="n">
        <x:v>140</x:v>
      </x:c>
      <x:c r="K3141" s="274" t="n">
        <x:v>155</x:v>
      </x:c>
      <x:c r="M3141" s="274" t="s">
        <x:v>6000</x:v>
      </x:c>
      <x:c r="N3141" s="274" t="s">
        <x:v>3671</x:v>
      </x:c>
    </x:row>
    <x:row r="3142" spans="1:14">
      <x:c r="A3142" s="274" t="s">
        <x:v>6001</x:v>
      </x:c>
      <x:c r="B3142" s="274" t="n">
        <x:v>1.09</x:v>
      </x:c>
      <x:c r="C3142" s="274" t="n">
        <x:v>0</x:v>
      </x:c>
      <x:c r="D3142" s="274" t="n">
        <x:v>0</x:v>
      </x:c>
      <x:c r="F3142" s="274" t="s">
        <x:v>123</x:v>
      </x:c>
      <x:c r="G3142" s="274" t="s">
        <x:v>129</x:v>
      </x:c>
      <x:c r="H3142" s="274" t="n">
        <x:v>45</x:v>
      </x:c>
      <x:c r="I3142" s="274" t="n">
        <x:v>1.6</x:v>
      </x:c>
      <x:c r="J3142" s="274" t="n">
        <x:v>126</x:v>
      </x:c>
      <x:c r="K3142" s="274" t="n">
        <x:v>686</x:v>
      </x:c>
      <x:c r="M3142" s="274" t="s">
        <x:v>6002</x:v>
      </x:c>
      <x:c r="N3142" s="274" t="s">
        <x:v>3671</x:v>
      </x:c>
    </x:row>
    <x:row r="3143" spans="1:14">
      <x:c r="A3143" s="274" t="s">
        <x:v>6003</x:v>
      </x:c>
      <x:c r="B3143" s="274" t="n">
        <x:v>0.62</x:v>
      </x:c>
      <x:c r="C3143" s="274" t="n">
        <x:v>0</x:v>
      </x:c>
      <x:c r="D3143" s="274" t="n">
        <x:v>0</x:v>
      </x:c>
      <x:c r="F3143" s="274" t="s">
        <x:v>133</x:v>
      </x:c>
      <x:c r="G3143" s="274" t="s">
        <x:v>136</x:v>
      </x:c>
      <x:c r="H3143" s="274" t="n">
        <x:v>45</x:v>
      </x:c>
      <x:c r="I3143" s="274" t="n">
        <x:v>1.6</x:v>
      </x:c>
      <x:c r="J3143" s="274" t="n">
        <x:v>175</x:v>
      </x:c>
      <x:c r="K3143" s="274" t="n">
        <x:v>280</x:v>
      </x:c>
      <x:c r="M3143" s="274" t="s">
        <x:v>6004</x:v>
      </x:c>
      <x:c r="N3143" s="274" t="s">
        <x:v>3671</x:v>
      </x:c>
    </x:row>
    <x:row r="3144" spans="1:14">
      <x:c r="A3144" s="274" t="s">
        <x:v>6005</x:v>
      </x:c>
      <x:c r="B3144" s="274" t="n">
        <x:v>0.25</x:v>
      </x:c>
      <x:c r="C3144" s="274" t="n">
        <x:v>0</x:v>
      </x:c>
      <x:c r="D3144" s="274" t="n">
        <x:v>0</x:v>
      </x:c>
      <x:c r="F3144" s="274" t="s">
        <x:v>133</x:v>
      </x:c>
      <x:c r="G3144" s="274" t="s">
        <x:v>136</x:v>
      </x:c>
      <x:c r="H3144" s="274" t="n">
        <x:v>45</x:v>
      </x:c>
      <x:c r="I3144" s="274" t="n">
        <x:v>1.6</x:v>
      </x:c>
      <x:c r="J3144" s="274" t="n">
        <x:v>150</x:v>
      </x:c>
      <x:c r="K3144" s="274" t="n">
        <x:v>132</x:v>
      </x:c>
      <x:c r="M3144" s="274" t="s">
        <x:v>6006</x:v>
      </x:c>
      <x:c r="N3144" s="274" t="s">
        <x:v>3671</x:v>
      </x:c>
    </x:row>
    <x:row r="3145" spans="1:14">
      <x:c r="A3145" s="274" t="s">
        <x:v>6007</x:v>
      </x:c>
      <x:c r="B3145" s="274" t="n">
        <x:v>1.56</x:v>
      </x:c>
      <x:c r="C3145" s="274" t="n">
        <x:v>0</x:v>
      </x:c>
      <x:c r="D3145" s="274" t="n">
        <x:v>0</x:v>
      </x:c>
      <x:c r="F3145" s="274" t="s">
        <x:v>123</x:v>
      </x:c>
      <x:c r="G3145" s="274" t="s">
        <x:v>129</x:v>
      </x:c>
      <x:c r="H3145" s="274" t="n">
        <x:v>45</x:v>
      </x:c>
      <x:c r="I3145" s="274" t="n">
        <x:v>1.8</x:v>
      </x:c>
      <x:c r="J3145" s="274" t="n">
        <x:v>212</x:v>
      </x:c>
      <x:c r="K3145" s="274" t="n">
        <x:v>518</x:v>
      </x:c>
      <x:c r="M3145" s="274" t="s">
        <x:v>6008</x:v>
      </x:c>
      <x:c r="N3145" s="274" t="s">
        <x:v>3671</x:v>
      </x:c>
    </x:row>
    <x:row r="3146" spans="1:14">
      <x:c r="A3146" s="274" t="s">
        <x:v>6009</x:v>
      </x:c>
      <x:c r="B3146" s="274" t="n">
        <x:v>2.01</x:v>
      </x:c>
      <x:c r="C3146" s="274" t="n">
        <x:v>0</x:v>
      </x:c>
      <x:c r="D3146" s="274" t="n">
        <x:v>0</x:v>
      </x:c>
      <x:c r="F3146" s="274" t="s">
        <x:v>123</x:v>
      </x:c>
      <x:c r="G3146" s="274" t="s">
        <x:v>129</x:v>
      </x:c>
      <x:c r="H3146" s="274" t="n">
        <x:v>45</x:v>
      </x:c>
      <x:c r="I3146" s="274" t="n">
        <x:v>1.8</x:v>
      </x:c>
      <x:c r="J3146" s="274" t="n">
        <x:v>189</x:v>
      </x:c>
      <x:c r="K3146" s="274" t="n">
        <x:v>746</x:v>
      </x:c>
      <x:c r="M3146" s="274" t="s">
        <x:v>6010</x:v>
      </x:c>
      <x:c r="N3146" s="274" t="s">
        <x:v>3671</x:v>
      </x:c>
    </x:row>
    <x:row r="3147" spans="1:14">
      <x:c r="A3147" s="274" t="s">
        <x:v>6011</x:v>
      </x:c>
      <x:c r="B3147" s="274" t="n">
        <x:v>0.58</x:v>
      </x:c>
      <x:c r="C3147" s="274" t="n">
        <x:v>0</x:v>
      </x:c>
      <x:c r="D3147" s="274" t="n">
        <x:v>0</x:v>
      </x:c>
      <x:c r="F3147" s="274" t="s">
        <x:v>128</x:v>
      </x:c>
      <x:c r="G3147" s="274" t="s">
        <x:v>3314</x:v>
      </x:c>
      <x:c r="H3147" s="274" t="n">
        <x:v>45</x:v>
      </x:c>
      <x:c r="I3147" s="274" t="n">
        <x:v>2</x:v>
      </x:c>
      <x:c r="J3147" s="274" t="n">
        <x:v>122</x:v>
      </x:c>
      <x:c r="K3147" s="274" t="n">
        <x:v>302</x:v>
      </x:c>
      <x:c r="M3147" s="274" t="s">
        <x:v>6012</x:v>
      </x:c>
      <x:c r="N3147" s="274" t="s">
        <x:v>3671</x:v>
      </x:c>
    </x:row>
    <x:row r="3148" spans="1:14">
      <x:c r="A3148" s="274" t="s">
        <x:v>6013</x:v>
      </x:c>
      <x:c r="B3148" s="274" t="n">
        <x:v>2.08</x:v>
      </x:c>
      <x:c r="C3148" s="274" t="n">
        <x:v>0</x:v>
      </x:c>
      <x:c r="D3148" s="274" t="n">
        <x:v>0</x:v>
      </x:c>
      <x:c r="F3148" s="274" t="s">
        <x:v>128</x:v>
      </x:c>
      <x:c r="G3148" s="274" t="s">
        <x:v>3314</x:v>
      </x:c>
      <x:c r="H3148" s="274" t="n">
        <x:v>45</x:v>
      </x:c>
      <x:c r="I3148" s="274" t="n">
        <x:v>2</x:v>
      </x:c>
      <x:c r="J3148" s="274" t="n">
        <x:v>329</x:v>
      </x:c>
      <x:c r="K3148" s="274" t="n">
        <x:v>401</x:v>
      </x:c>
      <x:c r="M3148" s="274" t="s">
        <x:v>6014</x:v>
      </x:c>
      <x:c r="N3148" s="274" t="s">
        <x:v>3671</x:v>
      </x:c>
    </x:row>
    <x:row r="3149" spans="1:14">
      <x:c r="A3149" s="274" t="s">
        <x:v>6015</x:v>
      </x:c>
      <x:c r="B3149" s="274" t="n">
        <x:v>2.98</x:v>
      </x:c>
      <x:c r="C3149" s="274" t="n">
        <x:v>0</x:v>
      </x:c>
      <x:c r="D3149" s="274" t="n">
        <x:v>0</x:v>
      </x:c>
      <x:c r="F3149" s="274" t="s">
        <x:v>123</x:v>
      </x:c>
      <x:c r="G3149" s="274" t="s">
        <x:v>881</x:v>
      </x:c>
      <x:c r="H3149" s="274" t="n">
        <x:v>45</x:v>
      </x:c>
      <x:c r="I3149" s="274" t="n">
        <x:v>2</x:v>
      </x:c>
      <x:c r="J3149" s="274" t="n">
        <x:v>958</x:v>
      </x:c>
      <x:c r="K3149" s="274" t="n">
        <x:v>197</x:v>
      </x:c>
      <x:c r="M3149" s="274" t="s">
        <x:v>6016</x:v>
      </x:c>
      <x:c r="N3149" s="274" t="s">
        <x:v>3671</x:v>
      </x:c>
    </x:row>
    <x:row r="3150" spans="1:14">
      <x:c r="A3150" s="274" t="s">
        <x:v>6017</x:v>
      </x:c>
      <x:c r="B3150" s="274" t="n">
        <x:v>3.24</x:v>
      </x:c>
      <x:c r="C3150" s="274" t="n">
        <x:v>0</x:v>
      </x:c>
      <x:c r="D3150" s="274" t="n">
        <x:v>0</x:v>
      </x:c>
      <x:c r="F3150" s="274" t="s">
        <x:v>123</x:v>
      </x:c>
      <x:c r="G3150" s="274" t="s">
        <x:v>881</x:v>
      </x:c>
      <x:c r="H3150" s="274" t="n">
        <x:v>45</x:v>
      </x:c>
      <x:c r="I3150" s="274" t="n">
        <x:v>2</x:v>
      </x:c>
      <x:c r="J3150" s="274" t="n">
        <x:v>969</x:v>
      </x:c>
      <x:c r="K3150" s="274" t="n">
        <x:v>212</x:v>
      </x:c>
      <x:c r="M3150" s="274" t="s">
        <x:v>6018</x:v>
      </x:c>
      <x:c r="N3150" s="274" t="s">
        <x:v>3671</x:v>
      </x:c>
    </x:row>
    <x:row r="3151" spans="1:14">
      <x:c r="A3151" s="274" t="s">
        <x:v>6019</x:v>
      </x:c>
      <x:c r="B3151" s="274" t="n">
        <x:v>3.93</x:v>
      </x:c>
      <x:c r="C3151" s="274" t="n">
        <x:v>0</x:v>
      </x:c>
      <x:c r="D3151" s="274" t="n">
        <x:v>0</x:v>
      </x:c>
      <x:c r="F3151" s="274" t="s">
        <x:v>123</x:v>
      </x:c>
      <x:c r="G3151" s="274" t="s">
        <x:v>881</x:v>
      </x:c>
      <x:c r="H3151" s="274" t="n">
        <x:v>45</x:v>
      </x:c>
      <x:c r="I3151" s="274" t="n">
        <x:v>2</x:v>
      </x:c>
      <x:c r="J3151" s="274" t="n">
        <x:v>259</x:v>
      </x:c>
      <x:c r="K3151" s="274" t="n">
        <x:v>960</x:v>
      </x:c>
      <x:c r="M3151" s="274" t="s">
        <x:v>6020</x:v>
      </x:c>
      <x:c r="N3151" s="274" t="s">
        <x:v>3671</x:v>
      </x:c>
    </x:row>
    <x:row r="3152" spans="1:14">
      <x:c r="A3152" s="274" t="s">
        <x:v>6021</x:v>
      </x:c>
      <x:c r="B3152" s="274" t="n">
        <x:v>3.31</x:v>
      </x:c>
      <x:c r="C3152" s="274" t="n">
        <x:v>0</x:v>
      </x:c>
      <x:c r="D3152" s="274" t="n">
        <x:v>0</x:v>
      </x:c>
      <x:c r="F3152" s="274" t="s">
        <x:v>123</x:v>
      </x:c>
      <x:c r="G3152" s="274" t="s">
        <x:v>136</x:v>
      </x:c>
      <x:c r="H3152" s="274" t="n">
        <x:v>45</x:v>
      </x:c>
      <x:c r="I3152" s="274" t="n">
        <x:v>2.3</x:v>
      </x:c>
      <x:c r="J3152" s="274" t="n">
        <x:v>235</x:v>
      </x:c>
      <x:c r="K3152" s="274" t="n">
        <x:v>776</x:v>
      </x:c>
      <x:c r="M3152" s="274" t="s">
        <x:v>6022</x:v>
      </x:c>
      <x:c r="N3152" s="274" t="s">
        <x:v>3671</x:v>
      </x:c>
    </x:row>
    <x:row r="3153" spans="1:14">
      <x:c r="A3153" s="274" t="s">
        <x:v>6023</x:v>
      </x:c>
      <x:c r="B3153" s="274" t="n">
        <x:v>0.47</x:v>
      </x:c>
      <x:c r="C3153" s="274" t="n">
        <x:v>0</x:v>
      </x:c>
      <x:c r="D3153" s="274" t="n">
        <x:v>0</x:v>
      </x:c>
      <x:c r="F3153" s="274" t="s">
        <x:v>123</x:v>
      </x:c>
      <x:c r="G3153" s="274" t="s">
        <x:v>209</x:v>
      </x:c>
      <x:c r="I3153" s="274" t="n">
        <x:v>0.6</x:v>
      </x:c>
      <x:c r="J3153" s="274" t="n">
        <x:v>1120</x:v>
      </x:c>
      <x:c r="K3153" s="274" t="n">
        <x:v>90</x:v>
      </x:c>
      <x:c r="M3153" s="274" t="s">
        <x:v>6024</x:v>
      </x:c>
      <x:c r="N3153" s="274" t="s">
        <x:v>299</x:v>
      </x:c>
    </x:row>
    <x:row r="3154" spans="1:14">
      <x:c r="A3154" s="274" t="s">
        <x:v>6025</x:v>
      </x:c>
      <x:c r="B3154" s="274" t="n">
        <x:v>0.42</x:v>
      </x:c>
      <x:c r="C3154" s="274" t="n">
        <x:v>0</x:v>
      </x:c>
      <x:c r="D3154" s="274" t="n">
        <x:v>0</x:v>
      </x:c>
      <x:c r="F3154" s="274" t="s">
        <x:v>123</x:v>
      </x:c>
      <x:c r="G3154" s="274" t="s">
        <x:v>209</x:v>
      </x:c>
      <x:c r="I3154" s="274" t="n">
        <x:v>0.6</x:v>
      </x:c>
      <x:c r="J3154" s="274" t="n">
        <x:v>1140</x:v>
      </x:c>
      <x:c r="K3154" s="274" t="n">
        <x:v>79</x:v>
      </x:c>
      <x:c r="M3154" s="274" t="s">
        <x:v>6026</x:v>
      </x:c>
      <x:c r="N3154" s="274" t="s">
        <x:v>4250</x:v>
      </x:c>
    </x:row>
    <x:row r="3155" spans="1:14">
      <x:c r="A3155" s="274" t="s">
        <x:v>6027</x:v>
      </x:c>
      <x:c r="B3155" s="274" t="n">
        <x:v>0.06</x:v>
      </x:c>
      <x:c r="C3155" s="274" t="n">
        <x:v>0</x:v>
      </x:c>
      <x:c r="D3155" s="274" t="n">
        <x:v>0</x:v>
      </x:c>
      <x:c r="F3155" s="274" t="s">
        <x:v>133</x:v>
      </x:c>
      <x:c r="G3155" s="274" t="s">
        <x:v>136</x:v>
      </x:c>
      <x:c r="H3155" s="274" t="n">
        <x:v>45</x:v>
      </x:c>
      <x:c r="I3155" s="274" t="n">
        <x:v>0.7</x:v>
      </x:c>
      <x:c r="J3155" s="274" t="n">
        <x:v>128</x:v>
      </x:c>
      <x:c r="K3155" s="274" t="n">
        <x:v>78</x:v>
      </x:c>
      <x:c r="M3155" s="274" t="s">
        <x:v>6028</x:v>
      </x:c>
      <x:c r="N3155" s="274" t="s">
        <x:v>299</x:v>
      </x:c>
    </x:row>
    <x:row r="3156" spans="1:14">
      <x:c r="A3156" s="274" t="s">
        <x:v>6029</x:v>
      </x:c>
      <x:c r="B3156" s="274" t="n">
        <x:v>0.18</x:v>
      </x:c>
      <x:c r="C3156" s="274" t="n">
        <x:v>0</x:v>
      </x:c>
      <x:c r="D3156" s="274" t="n">
        <x:v>0</x:v>
      </x:c>
      <x:c r="F3156" s="274" t="s">
        <x:v>128</x:v>
      </x:c>
      <x:c r="G3156" s="274" t="s">
        <x:v>129</x:v>
      </x:c>
      <x:c r="H3156" s="274" t="n">
        <x:v>45</x:v>
      </x:c>
      <x:c r="I3156" s="274" t="n">
        <x:v>0.8</x:v>
      </x:c>
      <x:c r="J3156" s="274" t="n">
        <x:v>302</x:v>
      </x:c>
      <x:c r="K3156" s="274" t="n">
        <x:v>92</x:v>
      </x:c>
      <x:c r="M3156" s="274" t="s">
        <x:v>6030</x:v>
      </x:c>
      <x:c r="N3156" s="274" t="s">
        <x:v>299</x:v>
      </x:c>
    </x:row>
    <x:row r="3157" spans="1:14">
      <x:c r="A3157" s="274" t="s">
        <x:v>6031</x:v>
      </x:c>
      <x:c r="B3157" s="274" t="n">
        <x:v>0.22</x:v>
      </x:c>
      <x:c r="C3157" s="274" t="n">
        <x:v>0</x:v>
      </x:c>
      <x:c r="D3157" s="274" t="n">
        <x:v>0</x:v>
      </x:c>
      <x:c r="F3157" s="274" t="s">
        <x:v>133</x:v>
      </x:c>
      <x:c r="G3157" s="274" t="s">
        <x:v>209</x:v>
      </x:c>
      <x:c r="I3157" s="274" t="n">
        <x:v>0.8</x:v>
      </x:c>
      <x:c r="J3157" s="274" t="n">
        <x:v>366</x:v>
      </x:c>
      <x:c r="K3157" s="274" t="n">
        <x:v>97</x:v>
      </x:c>
      <x:c r="M3157" s="274" t="s">
        <x:v>6032</x:v>
      </x:c>
      <x:c r="N3157" s="274" t="s">
        <x:v>299</x:v>
      </x:c>
    </x:row>
    <x:row r="3158" spans="1:14">
      <x:c r="A3158" s="274" t="s">
        <x:v>6033</x:v>
      </x:c>
      <x:c r="B3158" s="274" t="n">
        <x:v>0.37</x:v>
      </x:c>
      <x:c r="C3158" s="274" t="n">
        <x:v>0</x:v>
      </x:c>
      <x:c r="D3158" s="274" t="n">
        <x:v>0</x:v>
      </x:c>
      <x:c r="F3158" s="274" t="s">
        <x:v>333</x:v>
      </x:c>
      <x:c r="G3158" s="274" t="s">
        <x:v>209</x:v>
      </x:c>
      <x:c r="I3158" s="274" t="n">
        <x:v>1</x:v>
      </x:c>
      <x:c r="J3158" s="274" t="n">
        <x:v>372</x:v>
      </x:c>
      <x:c r="K3158" s="274" t="n">
        <x:v>128</x:v>
      </x:c>
      <x:c r="M3158" s="274" t="s">
        <x:v>1071</x:v>
      </x:c>
      <x:c r="N3158" s="274" t="s">
        <x:v>299</x:v>
      </x:c>
    </x:row>
    <x:row r="3159" spans="1:14">
      <x:c r="A3159" s="274" t="s">
        <x:v>6034</x:v>
      </x:c>
      <x:c r="B3159" s="274" t="n">
        <x:v>0.57</x:v>
      </x:c>
      <x:c r="C3159" s="274" t="n">
        <x:v>0</x:v>
      </x:c>
      <x:c r="D3159" s="274" t="n">
        <x:v>0</x:v>
      </x:c>
      <x:c r="F3159" s="274" t="s">
        <x:v>333</x:v>
      </x:c>
      <x:c r="G3159" s="274" t="s">
        <x:v>209</x:v>
      </x:c>
      <x:c r="I3159" s="274" t="n">
        <x:v>1.2</x:v>
      </x:c>
      <x:c r="J3159" s="274" t="n">
        <x:v>480</x:v>
      </x:c>
      <x:c r="K3159" s="274" t="n">
        <x:v>125</x:v>
      </x:c>
      <x:c r="M3159" s="274" t="s">
        <x:v>6035</x:v>
      </x:c>
      <x:c r="N3159" s="274" t="s">
        <x:v>299</x:v>
      </x:c>
    </x:row>
    <x:row r="3160" spans="1:14">
      <x:c r="A3160" s="274" t="s">
        <x:v>6036</x:v>
      </x:c>
      <x:c r="B3160" s="274" t="n">
        <x:v>1</x:v>
      </x:c>
      <x:c r="C3160" s="274" t="n">
        <x:v>0</x:v>
      </x:c>
      <x:c r="D3160" s="274" t="n">
        <x:v>0</x:v>
      </x:c>
      <x:c r="F3160" s="274" t="s">
        <x:v>333</x:v>
      </x:c>
      <x:c r="G3160" s="274" t="s">
        <x:v>209</x:v>
      </x:c>
      <x:c r="I3160" s="274" t="n">
        <x:v>1.2</x:v>
      </x:c>
      <x:c r="J3160" s="274" t="n">
        <x:v>1085</x:v>
      </x:c>
      <x:c r="K3160" s="274" t="n">
        <x:v>98</x:v>
      </x:c>
      <x:c r="M3160" s="274" t="s">
        <x:v>6037</x:v>
      </x:c>
      <x:c r="N3160" s="274" t="s">
        <x:v>299</x:v>
      </x:c>
    </x:row>
    <x:row r="3161" spans="1:14">
      <x:c r="A3161" s="274" t="s">
        <x:v>6038</x:v>
      </x:c>
      <x:c r="B3161" s="274" t="n">
        <x:v>0.46</x:v>
      </x:c>
      <x:c r="C3161" s="274" t="n">
        <x:v>0</x:v>
      </x:c>
      <x:c r="D3161" s="274" t="n">
        <x:v>0</x:v>
      </x:c>
      <x:c r="F3161" s="274" t="s">
        <x:v>333</x:v>
      </x:c>
      <x:c r="G3161" s="274" t="s">
        <x:v>334</x:v>
      </x:c>
      <x:c r="I3161" s="274" t="n">
        <x:v>1.8</x:v>
      </x:c>
      <x:c r="J3161" s="274" t="n">
        <x:v>265</x:v>
      </x:c>
      <x:c r="K3161" s="274" t="n">
        <x:v>122</x:v>
      </x:c>
      <x:c r="M3161" s="274" t="s">
        <x:v>6039</x:v>
      </x:c>
      <x:c r="N3161" s="274" t="s">
        <x:v>299</x:v>
      </x:c>
    </x:row>
    <x:row r="3162" spans="1:14">
      <x:c r="A3162" s="274" t="s">
        <x:v>6040</x:v>
      </x:c>
      <x:c r="B3162" s="274" t="n">
        <x:v>1.05</x:v>
      </x:c>
      <x:c r="C3162" s="274" t="n">
        <x:v>0</x:v>
      </x:c>
      <x:c r="D3162" s="274" t="n">
        <x:v>0</x:v>
      </x:c>
      <x:c r="F3162" s="274" t="s">
        <x:v>133</x:v>
      </x:c>
      <x:c r="G3162" s="274" t="s">
        <x:v>144</x:v>
      </x:c>
      <x:c r="H3162" s="274" t="n">
        <x:v>45</x:v>
      </x:c>
      <x:c r="I3162" s="274" t="n">
        <x:v>1.8</x:v>
      </x:c>
      <x:c r="J3162" s="274" t="n">
        <x:v>452</x:v>
      </x:c>
      <x:c r="K3162" s="274" t="n">
        <x:v>164</x:v>
      </x:c>
      <x:c r="M3162" s="274" t="s">
        <x:v>6041</x:v>
      </x:c>
      <x:c r="N3162" s="274" t="s">
        <x:v>299</x:v>
      </x:c>
    </x:row>
    <x:row r="3163" spans="1:14">
      <x:c r="A3163" s="274" t="s">
        <x:v>6042</x:v>
      </x:c>
      <x:c r="B3163" s="274" t="n">
        <x:v>0.1</x:v>
      </x:c>
      <x:c r="C3163" s="274" t="n">
        <x:v>0</x:v>
      </x:c>
      <x:c r="D3163" s="274" t="n">
        <x:v>0</x:v>
      </x:c>
      <x:c r="F3163" s="274" t="s">
        <x:v>133</x:v>
      </x:c>
      <x:c r="G3163" s="274" t="s">
        <x:v>134</x:v>
      </x:c>
      <x:c r="I3163" s="274" t="n">
        <x:v>2</x:v>
      </x:c>
      <x:c r="J3163" s="274" t="n">
        <x:v>120</x:v>
      </x:c>
      <x:c r="K3163" s="274" t="n">
        <x:v>53</x:v>
      </x:c>
      <x:c r="M3163" s="274" t="s">
        <x:v>1535</x:v>
      </x:c>
      <x:c r="N3163" s="274" t="s">
        <x:v>299</x:v>
      </x:c>
    </x:row>
    <x:row r="3164" spans="1:14">
      <x:c r="A3164" s="274" t="s">
        <x:v>6043</x:v>
      </x:c>
      <x:c r="B3164" s="274" t="n">
        <x:v>0.81</x:v>
      </x:c>
      <x:c r="C3164" s="274" t="n">
        <x:v>0</x:v>
      </x:c>
      <x:c r="D3164" s="274" t="n">
        <x:v>0</x:v>
      </x:c>
      <x:c r="F3164" s="274" t="s">
        <x:v>123</x:v>
      </x:c>
      <x:c r="G3164" s="274" t="s">
        <x:v>153</x:v>
      </x:c>
      <x:c r="I3164" s="274" t="n">
        <x:v>2.6</x:v>
      </x:c>
      <x:c r="J3164" s="274" t="n">
        <x:v>307</x:v>
      </x:c>
      <x:c r="K3164" s="274" t="n">
        <x:v>130</x:v>
      </x:c>
      <x:c r="M3164" s="274" t="s">
        <x:v>6044</x:v>
      </x:c>
      <x:c r="N3164" s="274" t="s">
        <x:v>299</x:v>
      </x:c>
    </x:row>
    <x:row r="3165" spans="1:14">
      <x:c r="A3165" s="274" t="s">
        <x:v>6045</x:v>
      </x:c>
      <x:c r="B3165" s="274" t="n">
        <x:v>0.36</x:v>
      </x:c>
      <x:c r="C3165" s="274" t="n">
        <x:v>0</x:v>
      </x:c>
      <x:c r="D3165" s="274" t="n">
        <x:v>0</x:v>
      </x:c>
      <x:c r="F3165" s="274" t="s">
        <x:v>133</x:v>
      </x:c>
      <x:c r="G3165" s="274" t="s">
        <x:v>134</x:v>
      </x:c>
      <x:c r="I3165" s="274" t="n">
        <x:v>2.6</x:v>
      </x:c>
      <x:c r="J3165" s="274" t="n">
        <x:v>410</x:v>
      </x:c>
      <x:c r="K3165" s="274" t="n">
        <x:v>43</x:v>
      </x:c>
      <x:c r="M3165" s="274" t="s">
        <x:v>2357</x:v>
      </x:c>
      <x:c r="N3165" s="274" t="s">
        <x:v>4250</x:v>
      </x:c>
    </x:row>
    <x:row r="3166" spans="1:14">
      <x:c r="A3166" s="274" t="s">
        <x:v>6046</x:v>
      </x:c>
      <x:c r="B3166" s="274" t="n">
        <x:v>1.72</x:v>
      </x:c>
      <x:c r="C3166" s="274" t="n">
        <x:v>0</x:v>
      </x:c>
      <x:c r="D3166" s="274" t="n">
        <x:v>0</x:v>
      </x:c>
      <x:c r="F3166" s="274" t="s">
        <x:v>133</x:v>
      </x:c>
      <x:c r="G3166" s="274" t="s">
        <x:v>134</x:v>
      </x:c>
      <x:c r="I3166" s="274" t="n">
        <x:v>2.6</x:v>
      </x:c>
      <x:c r="J3166" s="274" t="n">
        <x:v>935</x:v>
      </x:c>
      <x:c r="K3166" s="274" t="n">
        <x:v>90</x:v>
      </x:c>
      <x:c r="M3166" s="274" t="s">
        <x:v>2036</x:v>
      </x:c>
      <x:c r="N3166" s="274" t="s">
        <x:v>4250</x:v>
      </x:c>
    </x:row>
    <x:row r="3167" spans="1:14">
      <x:c r="A3167" s="274" t="s">
        <x:v>6047</x:v>
      </x:c>
      <x:c r="B3167" s="274" t="n">
        <x:v>0.12</x:v>
      </x:c>
      <x:c r="C3167" s="274" t="n">
        <x:v>0</x:v>
      </x:c>
      <x:c r="D3167" s="274" t="n">
        <x:v>0</x:v>
      </x:c>
      <x:c r="F3167" s="274" t="s">
        <x:v>133</x:v>
      </x:c>
      <x:c r="G3167" s="274" t="s">
        <x:v>148</x:v>
      </x:c>
      <x:c r="I3167" s="274" t="n">
        <x:v>2.6</x:v>
      </x:c>
      <x:c r="J3167" s="274" t="n">
        <x:v>95</x:v>
      </x:c>
      <x:c r="K3167" s="274" t="n">
        <x:v>62</x:v>
      </x:c>
      <x:c r="M3167" s="274" t="s">
        <x:v>1454</x:v>
      </x:c>
      <x:c r="N3167" s="274" t="s">
        <x:v>4250</x:v>
      </x:c>
    </x:row>
    <x:row r="3168" spans="1:14">
      <x:c r="A3168" s="274" t="s">
        <x:v>6048</x:v>
      </x:c>
      <x:c r="B3168" s="274" t="n">
        <x:v>0.9</x:v>
      </x:c>
      <x:c r="C3168" s="274" t="n">
        <x:v>0</x:v>
      </x:c>
      <x:c r="D3168" s="274" t="n">
        <x:v>0</x:v>
      </x:c>
      <x:c r="F3168" s="274" t="s">
        <x:v>123</x:v>
      </x:c>
      <x:c r="G3168" s="274" t="s">
        <x:v>153</x:v>
      </x:c>
      <x:c r="I3168" s="274" t="n">
        <x:v>2.6</x:v>
      </x:c>
      <x:c r="J3168" s="274" t="n">
        <x:v>553</x:v>
      </x:c>
      <x:c r="K3168" s="274" t="n">
        <x:v>80</x:v>
      </x:c>
      <x:c r="M3168" s="274" t="s">
        <x:v>6049</x:v>
      </x:c>
      <x:c r="N3168" s="274" t="s">
        <x:v>155</x:v>
      </x:c>
    </x:row>
    <x:row r="3169" spans="1:14">
      <x:c r="A3169" s="274" t="s">
        <x:v>6050</x:v>
      </x:c>
      <x:c r="B3169" s="274" t="n">
        <x:v>0.66</x:v>
      </x:c>
      <x:c r="C3169" s="274" t="n">
        <x:v>0</x:v>
      </x:c>
      <x:c r="D3169" s="274" t="n">
        <x:v>0</x:v>
      </x:c>
      <x:c r="F3169" s="274" t="s">
        <x:v>133</x:v>
      </x:c>
      <x:c r="G3169" s="274" t="s">
        <x:v>148</x:v>
      </x:c>
      <x:c r="I3169" s="274" t="n">
        <x:v>3.2</x:v>
      </x:c>
      <x:c r="J3169" s="274" t="n">
        <x:v>418</x:v>
      </x:c>
      <x:c r="K3169" s="274" t="n">
        <x:v>62.5</x:v>
      </x:c>
      <x:c r="M3169" s="274" t="s">
        <x:v>1480</x:v>
      </x:c>
      <x:c r="N3169" s="274" t="s">
        <x:v>4250</x:v>
      </x:c>
    </x:row>
    <x:row r="3170" spans="1:14">
      <x:c r="A3170" s="274" t="s">
        <x:v>6051</x:v>
      </x:c>
      <x:c r="B3170" s="274" t="n">
        <x:v>0.86</x:v>
      </x:c>
      <x:c r="C3170" s="274" t="n">
        <x:v>0</x:v>
      </x:c>
      <x:c r="D3170" s="274" t="n">
        <x:v>0</x:v>
      </x:c>
      <x:c r="F3170" s="274" t="s">
        <x:v>133</x:v>
      </x:c>
      <x:c r="G3170" s="274" t="s">
        <x:v>134</x:v>
      </x:c>
      <x:c r="I3170" s="274" t="n">
        <x:v>3.2</x:v>
      </x:c>
      <x:c r="J3170" s="274" t="n">
        <x:v>400</x:v>
      </x:c>
      <x:c r="K3170" s="274" t="n">
        <x:v>86</x:v>
      </x:c>
      <x:c r="M3170" s="274" t="s">
        <x:v>6052</x:v>
      </x:c>
      <x:c r="N3170" s="274" t="s">
        <x:v>299</x:v>
      </x:c>
    </x:row>
    <x:row r="3171" spans="1:14">
      <x:c r="A3171" s="274" t="s">
        <x:v>6053</x:v>
      </x:c>
      <x:c r="B3171" s="274" t="n">
        <x:v>1.93</x:v>
      </x:c>
      <x:c r="C3171" s="274" t="n">
        <x:v>0</x:v>
      </x:c>
      <x:c r="D3171" s="274" t="n">
        <x:v>0</x:v>
      </x:c>
      <x:c r="F3171" s="274" t="s">
        <x:v>333</x:v>
      </x:c>
      <x:c r="G3171" s="274" t="s">
        <x:v>124</x:v>
      </x:c>
      <x:c r="I3171" s="274" t="n">
        <x:v>0.75</x:v>
      </x:c>
      <x:c r="J3171" s="274" t="n">
        <x:v>871</x:v>
      </x:c>
      <x:c r="K3171" s="274" t="n">
        <x:v>376</x:v>
      </x:c>
      <x:c r="M3171" s="274" t="s">
        <x:v>6054</x:v>
      </x:c>
      <x:c r="N3171" s="274" t="s">
        <x:v>3671</x:v>
      </x:c>
    </x:row>
    <x:row r="3172" spans="1:14">
      <x:c r="A3172" s="274" t="s">
        <x:v>6055</x:v>
      </x:c>
      <x:c r="B3172" s="274" t="n">
        <x:v>1.22</x:v>
      </x:c>
      <x:c r="C3172" s="274" t="n">
        <x:v>0</x:v>
      </x:c>
      <x:c r="D3172" s="274" t="n">
        <x:v>0</x:v>
      </x:c>
      <x:c r="F3172" s="274" t="s">
        <x:v>333</x:v>
      </x:c>
      <x:c r="G3172" s="274" t="s">
        <x:v>124</x:v>
      </x:c>
      <x:c r="I3172" s="274" t="n">
        <x:v>0.8</x:v>
      </x:c>
      <x:c r="J3172" s="274" t="n">
        <x:v>364</x:v>
      </x:c>
      <x:c r="K3172" s="274" t="n">
        <x:v>533</x:v>
      </x:c>
      <x:c r="M3172" s="274" t="s">
        <x:v>6056</x:v>
      </x:c>
      <x:c r="N3172" s="274" t="s">
        <x:v>3671</x:v>
      </x:c>
    </x:row>
    <x:row r="3173" spans="1:14">
      <x:c r="A3173" s="274" t="s">
        <x:v>6057</x:v>
      </x:c>
      <x:c r="B3173" s="274" t="n">
        <x:v>2.34</x:v>
      </x:c>
      <x:c r="C3173" s="274" t="n">
        <x:v>0</x:v>
      </x:c>
      <x:c r="D3173" s="274" t="n">
        <x:v>0</x:v>
      </x:c>
      <x:c r="F3173" s="274" t="s">
        <x:v>333</x:v>
      </x:c>
      <x:c r="G3173" s="274" t="s">
        <x:v>124</x:v>
      </x:c>
      <x:c r="I3173" s="274" t="n">
        <x:v>0.8</x:v>
      </x:c>
      <x:c r="J3173" s="274" t="n">
        <x:v>413</x:v>
      </x:c>
      <x:c r="K3173" s="274" t="n">
        <x:v>902</x:v>
      </x:c>
      <x:c r="M3173" s="274" t="s">
        <x:v>6058</x:v>
      </x:c>
      <x:c r="N3173" s="274" t="s">
        <x:v>3671</x:v>
      </x:c>
    </x:row>
    <x:row r="3174" spans="1:14">
      <x:c r="A3174" s="274" t="s">
        <x:v>6059</x:v>
      </x:c>
      <x:c r="B3174" s="274" t="n">
        <x:v>1.05</x:v>
      </x:c>
      <x:c r="C3174" s="274" t="n">
        <x:v>0</x:v>
      </x:c>
      <x:c r="D3174" s="274" t="n">
        <x:v>0</x:v>
      </x:c>
      <x:c r="F3174" s="274" t="s">
        <x:v>123</x:v>
      </x:c>
      <x:c r="G3174" s="274" t="s">
        <x:v>881</x:v>
      </x:c>
      <x:c r="H3174" s="274" t="n">
        <x:v>45</x:v>
      </x:c>
      <x:c r="I3174" s="274" t="n">
        <x:v>1.2</x:v>
      </x:c>
      <x:c r="J3174" s="274" t="n">
        <x:v>224</x:v>
      </x:c>
      <x:c r="K3174" s="274" t="n">
        <x:v>495</x:v>
      </x:c>
      <x:c r="M3174" s="274" t="s">
        <x:v>6060</x:v>
      </x:c>
      <x:c r="N3174" s="274" t="s">
        <x:v>3671</x:v>
      </x:c>
    </x:row>
    <x:row r="3175" spans="1:14">
      <x:c r="A3175" s="274" t="s">
        <x:v>6061</x:v>
      </x:c>
      <x:c r="B3175" s="274" t="n">
        <x:v>11.87</x:v>
      </x:c>
      <x:c r="C3175" s="274" t="n">
        <x:v>0</x:v>
      </x:c>
      <x:c r="D3175" s="274" t="n">
        <x:v>18</x:v>
      </x:c>
      <x:c r="E3175" s="274" t="n">
        <x:v>16</x:v>
      </x:c>
      <x:c r="F3175" s="274" t="s">
        <x:v>123</x:v>
      </x:c>
      <x:c r="G3175" s="274" t="s">
        <x:v>148</x:v>
      </x:c>
      <x:c r="I3175" s="274" t="n">
        <x:v>1.8</x:v>
      </x:c>
      <x:c r="J3175" s="274" t="n">
        <x:v>560</x:v>
      </x:c>
      <x:c r="K3175" s="274" t="n">
        <x:v>1500</x:v>
      </x:c>
      <x:c r="M3175" s="274" t="s">
        <x:v>6062</x:v>
      </x:c>
      <x:c r="N3175" s="274" t="s">
        <x:v>3671</x:v>
      </x:c>
    </x:row>
    <x:row r="3176" spans="1:14">
      <x:c r="A3176" s="274" t="s">
        <x:v>6063</x:v>
      </x:c>
      <x:c r="B3176" s="274" t="n">
        <x:v>4.85</x:v>
      </x:c>
      <x:c r="C3176" s="274" t="n">
        <x:v>0</x:v>
      </x:c>
      <x:c r="D3176" s="274" t="n">
        <x:v>0</x:v>
      </x:c>
      <x:c r="F3176" s="274" t="s">
        <x:v>123</x:v>
      </x:c>
      <x:c r="G3176" s="274" t="s">
        <x:v>129</x:v>
      </x:c>
      <x:c r="H3176" s="274" t="n">
        <x:v>45</x:v>
      </x:c>
      <x:c r="I3176" s="274" t="n">
        <x:v>2</x:v>
      </x:c>
      <x:c r="J3176" s="274" t="n">
        <x:v>256</x:v>
      </x:c>
      <x:c r="K3176" s="274" t="n">
        <x:v>1200</x:v>
      </x:c>
      <x:c r="M3176" s="274" t="s">
        <x:v>6064</x:v>
      </x:c>
      <x:c r="N3176" s="274" t="s">
        <x:v>3671</x:v>
      </x:c>
    </x:row>
    <x:row r="3177" spans="1:14">
      <x:c r="A3177" s="274" t="s">
        <x:v>6065</x:v>
      </x:c>
      <x:c r="B3177" s="274" t="n">
        <x:v>0.94</x:v>
      </x:c>
      <x:c r="C3177" s="274" t="n">
        <x:v>0</x:v>
      </x:c>
      <x:c r="D3177" s="274" t="n">
        <x:v>0</x:v>
      </x:c>
      <x:c r="F3177" s="274" t="s">
        <x:v>184</x:v>
      </x:c>
      <x:c r="G3177" s="274" t="s">
        <x:v>144</x:v>
      </x:c>
      <x:c r="H3177" s="274" t="n">
        <x:v>45</x:v>
      </x:c>
      <x:c r="I3177" s="274" t="n">
        <x:v>2.3</x:v>
      </x:c>
      <x:c r="J3177" s="274" t="n">
        <x:v>200</x:v>
      </x:c>
      <x:c r="K3177" s="274" t="n">
        <x:v>258</x:v>
      </x:c>
      <x:c r="M3177" s="274" t="s">
        <x:v>4391</x:v>
      </x:c>
      <x:c r="N3177" s="274" t="s">
        <x:v>3671</x:v>
      </x:c>
    </x:row>
    <x:row r="3178" spans="1:14">
      <x:c r="A3178" s="274" t="s">
        <x:v>6066</x:v>
      </x:c>
      <x:c r="B3178" s="274" t="n">
        <x:v>2.03</x:v>
      </x:c>
      <x:c r="C3178" s="274" t="n">
        <x:v>0</x:v>
      </x:c>
      <x:c r="D3178" s="274" t="n">
        <x:v>0</x:v>
      </x:c>
      <x:c r="F3178" s="274" t="s">
        <x:v>128</x:v>
      </x:c>
      <x:c r="G3178" s="274" t="s">
        <x:v>177</x:v>
      </x:c>
      <x:c r="H3178" s="274" t="n">
        <x:v>45</x:v>
      </x:c>
      <x:c r="I3178" s="274" t="n">
        <x:v>2.6</x:v>
      </x:c>
      <x:c r="J3178" s="274" t="n">
        <x:v>249</x:v>
      </x:c>
      <x:c r="K3178" s="274" t="n">
        <x:v>398</x:v>
      </x:c>
      <x:c r="M3178" s="274" t="s">
        <x:v>6067</x:v>
      </x:c>
      <x:c r="N3178" s="274" t="s">
        <x:v>3671</x:v>
      </x:c>
    </x:row>
    <x:row r="3179" spans="1:14">
      <x:c r="A3179" s="274" t="s">
        <x:v>6068</x:v>
      </x:c>
      <x:c r="B3179" s="274" t="n">
        <x:v>2.18</x:v>
      </x:c>
      <x:c r="C3179" s="274" t="n">
        <x:v>0</x:v>
      </x:c>
      <x:c r="D3179" s="274" t="n">
        <x:v>0</x:v>
      </x:c>
      <x:c r="F3179" s="274" t="s">
        <x:v>128</x:v>
      </x:c>
      <x:c r="G3179" s="274" t="s">
        <x:v>177</x:v>
      </x:c>
      <x:c r="H3179" s="274" t="n">
        <x:v>45</x:v>
      </x:c>
      <x:c r="I3179" s="274" t="n">
        <x:v>2.6</x:v>
      </x:c>
      <x:c r="J3179" s="274" t="n">
        <x:v>270</x:v>
      </x:c>
      <x:c r="K3179" s="274" t="n">
        <x:v>394</x:v>
      </x:c>
      <x:c r="M3179" s="274" t="s">
        <x:v>6069</x:v>
      </x:c>
      <x:c r="N3179" s="274" t="s">
        <x:v>3671</x:v>
      </x:c>
    </x:row>
    <x:row r="3180" spans="1:14">
      <x:c r="A3180" s="274" t="s">
        <x:v>6070</x:v>
      </x:c>
      <x:c r="B3180" s="274" t="n">
        <x:v>3.33</x:v>
      </x:c>
      <x:c r="C3180" s="274" t="n">
        <x:v>0</x:v>
      </x:c>
      <x:c r="D3180" s="274" t="n">
        <x:v>0</x:v>
      </x:c>
      <x:c r="F3180" s="274" t="s">
        <x:v>123</x:v>
      </x:c>
      <x:c r="G3180" s="274" t="s">
        <x:v>881</x:v>
      </x:c>
      <x:c r="H3180" s="274" t="n">
        <x:v>45</x:v>
      </x:c>
      <x:c r="I3180" s="274" t="n">
        <x:v>1.2</x:v>
      </x:c>
      <x:c r="J3180" s="274" t="n">
        <x:v>280</x:v>
      </x:c>
      <x:c r="K3180" s="274" t="n">
        <x:v>1250</x:v>
      </x:c>
      <x:c r="M3180" s="274" t="s">
        <x:v>6071</x:v>
      </x:c>
      <x:c r="N3180" s="274" t="s">
        <x:v>3671</x:v>
      </x:c>
    </x:row>
    <x:row r="3181" spans="1:14">
      <x:c r="A3181" s="274" t="s">
        <x:v>6072</x:v>
      </x:c>
      <x:c r="B3181" s="274" t="n">
        <x:v>2.85</x:v>
      </x:c>
      <x:c r="C3181" s="274" t="n">
        <x:v>0</x:v>
      </x:c>
      <x:c r="D3181" s="274" t="n">
        <x:v>0</x:v>
      </x:c>
      <x:c r="F3181" s="274" t="s">
        <x:v>128</x:v>
      </x:c>
      <x:c r="G3181" s="274" t="s">
        <x:v>3314</x:v>
      </x:c>
      <x:c r="H3181" s="274" t="n">
        <x:v>45</x:v>
      </x:c>
      <x:c r="I3181" s="274" t="n">
        <x:v>1.6</x:v>
      </x:c>
      <x:c r="J3181" s="274" t="n">
        <x:v>180</x:v>
      </x:c>
      <x:c r="K3181" s="274" t="n">
        <x:v>1250</x:v>
      </x:c>
      <x:c r="M3181" s="274" t="s">
        <x:v>6073</x:v>
      </x:c>
      <x:c r="N3181" s="274" t="s">
        <x:v>3671</x:v>
      </x:c>
    </x:row>
    <x:row r="3182" spans="1:14">
      <x:c r="A3182" s="274" t="s">
        <x:v>6074</x:v>
      </x:c>
      <x:c r="B3182" s="274" t="n">
        <x:v>14.98</x:v>
      </x:c>
      <x:c r="C3182" s="274" t="n">
        <x:v>0</x:v>
      </x:c>
      <x:c r="D3182" s="274" t="n">
        <x:v>33</x:v>
      </x:c>
      <x:c r="E3182" s="274" t="n">
        <x:v>28</x:v>
      </x:c>
      <x:c r="F3182" s="274" t="s">
        <x:v>184</x:v>
      </x:c>
      <x:c r="G3182" s="274" t="s">
        <x:v>881</x:v>
      </x:c>
      <x:c r="H3182" s="274" t="n">
        <x:v>45</x:v>
      </x:c>
      <x:c r="I3182" s="274" t="n">
        <x:v>1.2</x:v>
      </x:c>
      <x:c r="J3182" s="274" t="n">
        <x:v>1050</x:v>
      </x:c>
      <x:c r="K3182" s="274" t="n">
        <x:v>1500</x:v>
      </x:c>
      <x:c r="M3182" s="274" t="s">
        <x:v>6075</x:v>
      </x:c>
      <x:c r="N3182" s="274" t="s">
        <x:v>4250</x:v>
      </x:c>
    </x:row>
    <x:row r="3183" spans="1:14">
      <x:c r="A3183" s="274" t="s">
        <x:v>6076</x:v>
      </x:c>
      <x:c r="B3183" s="274" t="n">
        <x:v>3.74</x:v>
      </x:c>
      <x:c r="C3183" s="274" t="n">
        <x:v>0</x:v>
      </x:c>
      <x:c r="D3183" s="274" t="n">
        <x:v>0</x:v>
      </x:c>
      <x:c r="F3183" s="274" t="s">
        <x:v>128</x:v>
      </x:c>
      <x:c r="G3183" s="274" t="s">
        <x:v>177</x:v>
      </x:c>
      <x:c r="H3183" s="274" t="n">
        <x:v>45</x:v>
      </x:c>
      <x:c r="I3183" s="274" t="n">
        <x:v>2.3</x:v>
      </x:c>
      <x:c r="J3183" s="274" t="n">
        <x:v>165</x:v>
      </x:c>
      <x:c r="K3183" s="274" t="n">
        <x:v>1250</x:v>
      </x:c>
      <x:c r="M3183" s="274" t="s">
        <x:v>6077</x:v>
      </x:c>
      <x:c r="N3183" s="274" t="s">
        <x:v>3671</x:v>
      </x:c>
    </x:row>
    <x:row r="3184" spans="1:14">
      <x:c r="A3184" s="274" t="s">
        <x:v>6078</x:v>
      </x:c>
      <x:c r="B3184" s="274" t="n">
        <x:v>3.63</x:v>
      </x:c>
      <x:c r="C3184" s="274" t="n">
        <x:v>0</x:v>
      </x:c>
      <x:c r="D3184" s="274" t="n">
        <x:v>0</x:v>
      </x:c>
      <x:c r="F3184" s="274" t="s">
        <x:v>128</x:v>
      </x:c>
      <x:c r="G3184" s="274" t="s">
        <x:v>177</x:v>
      </x:c>
      <x:c r="H3184" s="274" t="n">
        <x:v>45</x:v>
      </x:c>
      <x:c r="I3184" s="274" t="n">
        <x:v>2.3</x:v>
      </x:c>
      <x:c r="J3184" s="274" t="n">
        <x:v>160</x:v>
      </x:c>
      <x:c r="K3184" s="274" t="n">
        <x:v>1250</x:v>
      </x:c>
      <x:c r="M3184" s="274" t="s">
        <x:v>6079</x:v>
      </x:c>
      <x:c r="N3184" s="274" t="s">
        <x:v>3671</x:v>
      </x:c>
    </x:row>
    <x:row r="3185" spans="1:14">
      <x:c r="A3185" s="274" t="s">
        <x:v>6080</x:v>
      </x:c>
      <x:c r="B3185" s="274" t="n">
        <x:v>0.23</x:v>
      </x:c>
      <x:c r="C3185" s="274" t="n">
        <x:v>0</x:v>
      </x:c>
      <x:c r="D3185" s="274" t="n">
        <x:v>0</x:v>
      </x:c>
      <x:c r="F3185" s="274" t="s">
        <x:v>333</x:v>
      </x:c>
      <x:c r="G3185" s="274" t="s">
        <x:v>153</x:v>
      </x:c>
      <x:c r="I3185" s="274" t="n">
        <x:v>0.7</x:v>
      </x:c>
      <x:c r="J3185" s="274" t="n">
        <x:v>150</x:v>
      </x:c>
      <x:c r="K3185" s="274" t="n">
        <x:v>275</x:v>
      </x:c>
      <x:c r="M3185" s="274" t="s">
        <x:v>6081</x:v>
      </x:c>
      <x:c r="N3185" s="274" t="s">
        <x:v>3671</x:v>
      </x:c>
    </x:row>
    <x:row r="3186" spans="1:14">
      <x:c r="A3186" s="274" t="s">
        <x:v>6082</x:v>
      </x:c>
      <x:c r="B3186" s="274" t="n">
        <x:v>0.12</x:v>
      </x:c>
      <x:c r="C3186" s="274" t="n">
        <x:v>0</x:v>
      </x:c>
      <x:c r="D3186" s="274" t="n">
        <x:v>0</x:v>
      </x:c>
      <x:c r="F3186" s="274" t="s">
        <x:v>333</x:v>
      </x:c>
      <x:c r="G3186" s="274" t="s">
        <x:v>153</x:v>
      </x:c>
      <x:c r="I3186" s="274" t="n">
        <x:v>0.7</x:v>
      </x:c>
      <x:c r="J3186" s="274" t="n">
        <x:v>155</x:v>
      </x:c>
      <x:c r="K3186" s="274" t="n">
        <x:v>140</x:v>
      </x:c>
      <x:c r="M3186" s="274" t="s">
        <x:v>6083</x:v>
      </x:c>
      <x:c r="N3186" s="274" t="s">
        <x:v>3671</x:v>
      </x:c>
    </x:row>
    <x:row r="3187" spans="1:14">
      <x:c r="A3187" s="274" t="s">
        <x:v>6084</x:v>
      </x:c>
      <x:c r="B3187" s="274" t="n">
        <x:v>0.82</x:v>
      </x:c>
      <x:c r="C3187" s="274" t="n">
        <x:v>0</x:v>
      </x:c>
      <x:c r="D3187" s="274" t="n">
        <x:v>0</x:v>
      </x:c>
      <x:c r="F3187" s="274" t="s">
        <x:v>333</x:v>
      </x:c>
      <x:c r="G3187" s="274" t="s">
        <x:v>153</x:v>
      </x:c>
      <x:c r="I3187" s="274" t="n">
        <x:v>0.7</x:v>
      </x:c>
      <x:c r="J3187" s="274" t="n">
        <x:v>1070</x:v>
      </x:c>
      <x:c r="K3187" s="274" t="n">
        <x:v>140</x:v>
      </x:c>
      <x:c r="M3187" s="274" t="s">
        <x:v>4345</x:v>
      </x:c>
      <x:c r="N3187" s="274" t="s">
        <x:v>3671</x:v>
      </x:c>
    </x:row>
    <x:row r="3188" spans="1:14">
      <x:c r="A3188" s="274" t="s">
        <x:v>6085</x:v>
      </x:c>
      <x:c r="B3188" s="274" t="n">
        <x:v>0.33</x:v>
      </x:c>
      <x:c r="C3188" s="274" t="n">
        <x:v>0</x:v>
      </x:c>
      <x:c r="D3188" s="274" t="n">
        <x:v>0</x:v>
      </x:c>
      <x:c r="F3188" s="274" t="s">
        <x:v>333</x:v>
      </x:c>
      <x:c r="G3188" s="274" t="s">
        <x:v>209</x:v>
      </x:c>
      <x:c r="I3188" s="274" t="n">
        <x:v>0.75</x:v>
      </x:c>
      <x:c r="J3188" s="274" t="n">
        <x:v>119</x:v>
      </x:c>
      <x:c r="K3188" s="274" t="n">
        <x:v>467</x:v>
      </x:c>
      <x:c r="M3188" s="274" t="s">
        <x:v>6086</x:v>
      </x:c>
      <x:c r="N3188" s="274" t="s">
        <x:v>3671</x:v>
      </x:c>
    </x:row>
    <x:row r="3189" spans="1:14">
      <x:c r="A3189" s="274" t="s">
        <x:v>6087</x:v>
      </x:c>
      <x:c r="B3189" s="274" t="n">
        <x:v>1.26</x:v>
      </x:c>
      <x:c r="C3189" s="274" t="n">
        <x:v>0</x:v>
      </x:c>
      <x:c r="D3189" s="274" t="n">
        <x:v>0</x:v>
      </x:c>
      <x:c r="F3189" s="274" t="s">
        <x:v>123</x:v>
      </x:c>
      <x:c r="G3189" s="274" t="s">
        <x:v>881</x:v>
      </x:c>
      <x:c r="H3189" s="274" t="n">
        <x:v>45</x:v>
      </x:c>
      <x:c r="I3189" s="274" t="n">
        <x:v>0.8</x:v>
      </x:c>
      <x:c r="J3189" s="274" t="n">
        <x:v>975</x:v>
      </x:c>
      <x:c r="K3189" s="274" t="n">
        <x:v>203</x:v>
      </x:c>
      <x:c r="M3189" s="274" t="s">
        <x:v>6088</x:v>
      </x:c>
      <x:c r="N3189" s="274" t="s">
        <x:v>3671</x:v>
      </x:c>
    </x:row>
    <x:row r="3190" spans="1:14">
      <x:c r="A3190" s="274" t="s">
        <x:v>6089</x:v>
      </x:c>
      <x:c r="B3190" s="274" t="n">
        <x:v>0.45</x:v>
      </x:c>
      <x:c r="C3190" s="274" t="n">
        <x:v>0</x:v>
      </x:c>
      <x:c r="D3190" s="274" t="n">
        <x:v>0</x:v>
      </x:c>
      <x:c r="F3190" s="274" t="s">
        <x:v>133</x:v>
      </x:c>
      <x:c r="G3190" s="274" t="s">
        <x:v>136</x:v>
      </x:c>
      <x:c r="H3190" s="274" t="n">
        <x:v>45</x:v>
      </x:c>
      <x:c r="I3190" s="274" t="n">
        <x:v>0.8</x:v>
      </x:c>
      <x:c r="J3190" s="274" t="n">
        <x:v>154</x:v>
      </x:c>
      <x:c r="K3190" s="274" t="n">
        <x:v>462</x:v>
      </x:c>
      <x:c r="M3190" s="274" t="s">
        <x:v>6090</x:v>
      </x:c>
      <x:c r="N3190" s="274" t="s">
        <x:v>3671</x:v>
      </x:c>
    </x:row>
    <x:row r="3191" spans="1:14">
      <x:c r="A3191" s="274" t="s">
        <x:v>6091</x:v>
      </x:c>
      <x:c r="B3191" s="274" t="n">
        <x:v>0.87</x:v>
      </x:c>
      <x:c r="C3191" s="274" t="n">
        <x:v>0</x:v>
      </x:c>
      <x:c r="D3191" s="274" t="n">
        <x:v>0</x:v>
      </x:c>
      <x:c r="F3191" s="274" t="s">
        <x:v>133</x:v>
      </x:c>
      <x:c r="G3191" s="274" t="s">
        <x:v>144</x:v>
      </x:c>
      <x:c r="H3191" s="274" t="n">
        <x:v>45</x:v>
      </x:c>
      <x:c r="I3191" s="274" t="n">
        <x:v>0.8</x:v>
      </x:c>
      <x:c r="J3191" s="274" t="n">
        <x:v>675</x:v>
      </x:c>
      <x:c r="K3191" s="274" t="n">
        <x:v>203</x:v>
      </x:c>
      <x:c r="M3191" s="274" t="s">
        <x:v>6092</x:v>
      </x:c>
      <x:c r="N3191" s="274" t="s">
        <x:v>3671</x:v>
      </x:c>
    </x:row>
    <x:row r="3192" spans="1:14">
      <x:c r="A3192" s="274" t="s">
        <x:v>6093</x:v>
      </x:c>
      <x:c r="B3192" s="274" t="n">
        <x:v>2.27</x:v>
      </x:c>
      <x:c r="C3192" s="274" t="n">
        <x:v>0</x:v>
      </x:c>
      <x:c r="D3192" s="274" t="n">
        <x:v>0</x:v>
      </x:c>
      <x:c r="F3192" s="274" t="s">
        <x:v>333</x:v>
      </x:c>
      <x:c r="G3192" s="274" t="s">
        <x:v>209</x:v>
      </x:c>
      <x:c r="I3192" s="274" t="n">
        <x:v>1.2</x:v>
      </x:c>
      <x:c r="J3192" s="274" t="n">
        <x:v>193</x:v>
      </x:c>
      <x:c r="K3192" s="274" t="n">
        <x:v>1250</x:v>
      </x:c>
      <x:c r="M3192" s="274" t="s">
        <x:v>3965</x:v>
      </x:c>
      <x:c r="N3192" s="274" t="s">
        <x:v>3950</x:v>
      </x:c>
    </x:row>
    <x:row r="3193" spans="1:14">
      <x:c r="A3193" s="274" t="s">
        <x:v>6094</x:v>
      </x:c>
      <x:c r="B3193" s="274" t="n">
        <x:v>0.95</x:v>
      </x:c>
      <x:c r="C3193" s="274" t="n">
        <x:v>0</x:v>
      </x:c>
      <x:c r="D3193" s="274" t="n">
        <x:v>0</x:v>
      </x:c>
      <x:c r="F3193" s="274" t="s">
        <x:v>184</x:v>
      </x:c>
      <x:c r="G3193" s="274" t="s">
        <x:v>4782</x:v>
      </x:c>
      <x:c r="H3193" s="274" t="s">
        <x:v>4471</x:v>
      </x:c>
      <x:c r="I3193" s="274" t="n">
        <x:v>0.5</x:v>
      </x:c>
      <x:c r="J3193" s="274" t="n">
        <x:v>170</x:v>
      </x:c>
      <x:c r="K3193" s="274" t="n">
        <x:v>1420</x:v>
      </x:c>
      <x:c r="M3193" s="274" t="s">
        <x:v>6095</x:v>
      </x:c>
      <x:c r="N3193" s="274" t="s">
        <x:v>4258</x:v>
      </x:c>
    </x:row>
    <x:row r="3194" spans="1:14">
      <x:c r="A3194" s="274" t="s">
        <x:v>6096</x:v>
      </x:c>
      <x:c r="B3194" s="274" t="n">
        <x:v>1</x:v>
      </x:c>
      <x:c r="C3194" s="274" t="n">
        <x:v>0</x:v>
      </x:c>
      <x:c r="D3194" s="274" t="n">
        <x:v>0</x:v>
      </x:c>
      <x:c r="F3194" s="274" t="s">
        <x:v>184</x:v>
      </x:c>
      <x:c r="G3194" s="274" t="s">
        <x:v>4782</x:v>
      </x:c>
      <x:c r="H3194" s="274" t="s">
        <x:v>4471</x:v>
      </x:c>
      <x:c r="I3194" s="274" t="n">
        <x:v>0.5</x:v>
      </x:c>
      <x:c r="J3194" s="274" t="n">
        <x:v>180</x:v>
      </x:c>
      <x:c r="K3194" s="274" t="n">
        <x:v>1420</x:v>
      </x:c>
      <x:c r="M3194" s="274" t="s">
        <x:v>6097</x:v>
      </x:c>
      <x:c r="N3194" s="274" t="s">
        <x:v>4258</x:v>
      </x:c>
    </x:row>
    <x:row r="3195" spans="1:14">
      <x:c r="A3195" s="274" t="s">
        <x:v>6098</x:v>
      </x:c>
      <x:c r="B3195" s="274" t="n">
        <x:v>1.02</x:v>
      </x:c>
      <x:c r="C3195" s="274" t="n">
        <x:v>0</x:v>
      </x:c>
      <x:c r="D3195" s="274" t="n">
        <x:v>0</x:v>
      </x:c>
      <x:c r="F3195" s="274" t="s">
        <x:v>184</x:v>
      </x:c>
      <x:c r="G3195" s="274" t="s">
        <x:v>4782</x:v>
      </x:c>
      <x:c r="H3195" s="274" t="s">
        <x:v>4471</x:v>
      </x:c>
      <x:c r="I3195" s="274" t="n">
        <x:v>0.5</x:v>
      </x:c>
      <x:c r="J3195" s="274" t="n">
        <x:v>183</x:v>
      </x:c>
      <x:c r="K3195" s="274" t="n">
        <x:v>1420</x:v>
      </x:c>
      <x:c r="M3195" s="274" t="s">
        <x:v>6099</x:v>
      </x:c>
      <x:c r="N3195" s="274" t="s">
        <x:v>4258</x:v>
      </x:c>
    </x:row>
    <x:row r="3196" spans="1:14">
      <x:c r="A3196" s="274" t="s">
        <x:v>6100</x:v>
      </x:c>
      <x:c r="B3196" s="274" t="n">
        <x:v>0.33</x:v>
      </x:c>
      <x:c r="C3196" s="274" t="n">
        <x:v>0</x:v>
      </x:c>
      <x:c r="D3196" s="274" t="n">
        <x:v>0</x:v>
      </x:c>
      <x:c r="F3196" s="274" t="s">
        <x:v>184</x:v>
      </x:c>
      <x:c r="G3196" s="274" t="s">
        <x:v>4782</x:v>
      </x:c>
      <x:c r="H3196" s="274" t="s">
        <x:v>4471</x:v>
      </x:c>
      <x:c r="I3196" s="274" t="n">
        <x:v>0.5</x:v>
      </x:c>
      <x:c r="J3196" s="274" t="n">
        <x:v>120</x:v>
      </x:c>
      <x:c r="K3196" s="274" t="n">
        <x:v>710</x:v>
      </x:c>
      <x:c r="M3196" s="274" t="s">
        <x:v>6101</x:v>
      </x:c>
      <x:c r="N3196" s="274" t="s">
        <x:v>5047</x:v>
      </x:c>
    </x:row>
    <x:row r="3197" spans="1:14">
      <x:c r="A3197" s="274" t="s">
        <x:v>6102</x:v>
      </x:c>
      <x:c r="B3197" s="274" t="n">
        <x:v>0.97</x:v>
      </x:c>
      <x:c r="C3197" s="274" t="n">
        <x:v>0</x:v>
      </x:c>
      <x:c r="D3197" s="274" t="n">
        <x:v>0</x:v>
      </x:c>
      <x:c r="F3197" s="274" t="s">
        <x:v>133</x:v>
      </x:c>
      <x:c r="G3197" s="274" t="s">
        <x:v>144</x:v>
      </x:c>
      <x:c r="H3197" s="274" t="n">
        <x:v>45</x:v>
      </x:c>
      <x:c r="I3197" s="274" t="n">
        <x:v>1.2</x:v>
      </x:c>
      <x:c r="J3197" s="274" t="n">
        <x:v>225</x:v>
      </x:c>
      <x:c r="K3197" s="274" t="n">
        <x:v>455</x:v>
      </x:c>
      <x:c r="M3197" s="274" t="s">
        <x:v>6103</x:v>
      </x:c>
      <x:c r="N3197" s="274" t="s">
        <x:v>3671</x:v>
      </x:c>
    </x:row>
    <x:row r="3198" spans="1:14">
      <x:c r="A3198" s="274" t="s">
        <x:v>6104</x:v>
      </x:c>
      <x:c r="B3198" s="274" t="n">
        <x:v>0.72</x:v>
      </x:c>
      <x:c r="C3198" s="274" t="n">
        <x:v>0</x:v>
      </x:c>
      <x:c r="D3198" s="274" t="n">
        <x:v>0</x:v>
      </x:c>
      <x:c r="F3198" s="274" t="s">
        <x:v>133</x:v>
      </x:c>
      <x:c r="G3198" s="274" t="s">
        <x:v>144</x:v>
      </x:c>
      <x:c r="H3198" s="274" t="n">
        <x:v>45</x:v>
      </x:c>
      <x:c r="I3198" s="274" t="n">
        <x:v>1.2</x:v>
      </x:c>
      <x:c r="J3198" s="274" t="n">
        <x:v>200</x:v>
      </x:c>
      <x:c r="K3198" s="274" t="n">
        <x:v>380</x:v>
      </x:c>
      <x:c r="M3198" s="274" t="s">
        <x:v>6105</x:v>
      </x:c>
      <x:c r="N3198" s="274" t="s">
        <x:v>3671</x:v>
      </x:c>
    </x:row>
    <x:row r="3199" spans="1:14">
      <x:c r="A3199" s="274" t="s">
        <x:v>6106</x:v>
      </x:c>
      <x:c r="B3199" s="274" t="n">
        <x:v>2.44</x:v>
      </x:c>
      <x:c r="C3199" s="274" t="n">
        <x:v>0</x:v>
      </x:c>
      <x:c r="D3199" s="274" t="n">
        <x:v>0</x:v>
      </x:c>
      <x:c r="F3199" s="274" t="s">
        <x:v>133</x:v>
      </x:c>
      <x:c r="G3199" s="274" t="s">
        <x:v>144</x:v>
      </x:c>
      <x:c r="H3199" s="274" t="n">
        <x:v>45</x:v>
      </x:c>
      <x:c r="I3199" s="274" t="n">
        <x:v>1.2</x:v>
      </x:c>
      <x:c r="J3199" s="274" t="n">
        <x:v>205</x:v>
      </x:c>
      <x:c r="K3199" s="274" t="n">
        <x:v>1250</x:v>
      </x:c>
      <x:c r="M3199" s="274" t="s">
        <x:v>6107</x:v>
      </x:c>
      <x:c r="N3199" s="274" t="s">
        <x:v>3671</x:v>
      </x:c>
    </x:row>
    <x:row r="3200" spans="1:14">
      <x:c r="A3200" s="274" t="s">
        <x:v>6108</x:v>
      </x:c>
      <x:c r="B3200" s="274" t="n">
        <x:v>2.94</x:v>
      </x:c>
      <x:c r="C3200" s="274" t="n">
        <x:v>0</x:v>
      </x:c>
      <x:c r="D3200" s="274" t="n">
        <x:v>0</x:v>
      </x:c>
      <x:c r="F3200" s="274" t="s">
        <x:v>133</x:v>
      </x:c>
      <x:c r="G3200" s="274" t="s">
        <x:v>136</x:v>
      </x:c>
      <x:c r="H3200" s="274" t="n">
        <x:v>45</x:v>
      </x:c>
      <x:c r="I3200" s="274" t="n">
        <x:v>1.6</x:v>
      </x:c>
      <x:c r="J3200" s="274" t="n">
        <x:v>456</x:v>
      </x:c>
      <x:c r="K3200" s="274" t="n">
        <x:v>510</x:v>
      </x:c>
      <x:c r="M3200" s="274" t="s">
        <x:v>6109</x:v>
      </x:c>
      <x:c r="N3200" s="274" t="s">
        <x:v>3671</x:v>
      </x:c>
    </x:row>
    <x:row r="3201" spans="1:14">
      <x:c r="A3201" s="274" t="s">
        <x:v>6110</x:v>
      </x:c>
      <x:c r="B3201" s="274" t="n">
        <x:v>4.61</x:v>
      </x:c>
      <x:c r="C3201" s="274" t="n">
        <x:v>0</x:v>
      </x:c>
      <x:c r="D3201" s="274" t="n">
        <x:v>0</x:v>
      </x:c>
      <x:c r="F3201" s="274" t="s">
        <x:v>133</x:v>
      </x:c>
      <x:c r="G3201" s="274" t="s">
        <x:v>148</x:v>
      </x:c>
      <x:c r="I3201" s="274" t="n">
        <x:v>3.6</x:v>
      </x:c>
      <x:c r="J3201" s="274" t="n">
        <x:v>132</x:v>
      </x:c>
      <x:c r="K3201" s="274" t="n">
        <x:v>1235</x:v>
      </x:c>
      <x:c r="M3201" s="274" t="s">
        <x:v>3949</x:v>
      </x:c>
      <x:c r="N3201" s="274" t="s">
        <x:v>3950</x:v>
      </x:c>
    </x:row>
    <x:row r="3202" spans="1:14">
      <x:c r="A3202" s="274" t="s">
        <x:v>6111</x:v>
      </x:c>
      <x:c r="B3202" s="274" t="n">
        <x:v>1.73</x:v>
      </x:c>
      <x:c r="C3202" s="274" t="n">
        <x:v>0</x:v>
      </x:c>
      <x:c r="D3202" s="274" t="n">
        <x:v>0</x:v>
      </x:c>
      <x:c r="F3202" s="274" t="s">
        <x:v>333</x:v>
      </x:c>
      <x:c r="G3202" s="274" t="s">
        <x:v>209</x:v>
      </x:c>
      <x:c r="I3202" s="274" t="n">
        <x:v>1</x:v>
      </x:c>
      <x:c r="J3202" s="274" t="n">
        <x:v>176</x:v>
      </x:c>
      <x:c r="K3202" s="274" t="n">
        <x:v>1250</x:v>
      </x:c>
      <x:c r="M3202" s="274" t="s">
        <x:v>6112</x:v>
      </x:c>
      <x:c r="N3202" s="274" t="s">
        <x:v>3950</x:v>
      </x:c>
    </x:row>
    <x:row r="3203" spans="1:14">
      <x:c r="A3203" s="274" t="s">
        <x:v>6113</x:v>
      </x:c>
      <x:c r="B3203" s="274" t="n">
        <x:v>0.98</x:v>
      </x:c>
      <x:c r="C3203" s="274" t="n">
        <x:v>0</x:v>
      </x:c>
      <x:c r="D3203" s="274" t="n">
        <x:v>0</x:v>
      </x:c>
      <x:c r="F3203" s="274" t="s">
        <x:v>333</x:v>
      </x:c>
      <x:c r="G3203" s="274" t="s">
        <x:v>209</x:v>
      </x:c>
      <x:c r="I3203" s="274" t="n">
        <x:v>0.6</x:v>
      </x:c>
      <x:c r="J3203" s="274" t="n">
        <x:v>166</x:v>
      </x:c>
      <x:c r="K3203" s="274" t="n">
        <x:v>1250</x:v>
      </x:c>
      <x:c r="M3203" s="274" t="s">
        <x:v>3957</x:v>
      </x:c>
      <x:c r="N3203" s="274" t="s">
        <x:v>3950</x:v>
      </x:c>
    </x:row>
    <x:row r="3204" spans="1:14">
      <x:c r="A3204" s="274" t="s">
        <x:v>6114</x:v>
      </x:c>
      <x:c r="B3204" s="274" t="n">
        <x:v>0.93</x:v>
      </x:c>
      <x:c r="C3204" s="274" t="n">
        <x:v>0</x:v>
      </x:c>
      <x:c r="D3204" s="274" t="n">
        <x:v>0</x:v>
      </x:c>
      <x:c r="F3204" s="274" t="s">
        <x:v>333</x:v>
      </x:c>
      <x:c r="G3204" s="274" t="s">
        <x:v>209</x:v>
      </x:c>
      <x:c r="I3204" s="274" t="n">
        <x:v>0.6</x:v>
      </x:c>
      <x:c r="J3204" s="274" t="n">
        <x:v>158</x:v>
      </x:c>
      <x:c r="K3204" s="274" t="n">
        <x:v>1250</x:v>
      </x:c>
      <x:c r="M3204" s="274" t="s">
        <x:v>3959</x:v>
      </x:c>
      <x:c r="N3204" s="274" t="s">
        <x:v>3950</x:v>
      </x:c>
    </x:row>
    <x:row r="3205" spans="1:14">
      <x:c r="A3205" s="274" t="s">
        <x:v>6115</x:v>
      </x:c>
      <x:c r="B3205" s="274" t="n">
        <x:v>1.76</x:v>
      </x:c>
      <x:c r="C3205" s="274" t="n">
        <x:v>0</x:v>
      </x:c>
      <x:c r="D3205" s="274" t="n">
        <x:v>0</x:v>
      </x:c>
      <x:c r="F3205" s="274" t="s">
        <x:v>133</x:v>
      </x:c>
      <x:c r="G3205" s="274" t="s">
        <x:v>136</x:v>
      </x:c>
      <x:c r="H3205" s="274" t="n">
        <x:v>45</x:v>
      </x:c>
      <x:c r="I3205" s="274" t="n">
        <x:v>0.7</x:v>
      </x:c>
      <x:c r="J3205" s="274" t="n">
        <x:v>450</x:v>
      </x:c>
      <x:c r="K3205" s="274" t="n">
        <x:v>700</x:v>
      </x:c>
      <x:c r="M3205" s="274" t="s">
        <x:v>6116</x:v>
      </x:c>
      <x:c r="N3205" s="274" t="s">
        <x:v>3671</x:v>
      </x:c>
    </x:row>
    <x:row r="3206" spans="1:14">
      <x:c r="A3206" s="274" t="s">
        <x:v>6117</x:v>
      </x:c>
      <x:c r="B3206" s="274" t="n">
        <x:v>0.1</x:v>
      </x:c>
      <x:c r="C3206" s="274" t="n">
        <x:v>0</x:v>
      </x:c>
      <x:c r="D3206" s="274" t="n">
        <x:v>0</x:v>
      </x:c>
      <x:c r="F3206" s="274" t="s">
        <x:v>123</x:v>
      </x:c>
      <x:c r="G3206" s="274" t="s">
        <x:v>129</x:v>
      </x:c>
      <x:c r="H3206" s="274" t="n">
        <x:v>45</x:v>
      </x:c>
      <x:c r="I3206" s="274" t="n">
        <x:v>0.8</x:v>
      </x:c>
      <x:c r="J3206" s="274" t="n">
        <x:v>160</x:v>
      </x:c>
      <x:c r="K3206" s="274" t="n">
        <x:v>95</x:v>
      </x:c>
      <x:c r="M3206" s="274" t="s">
        <x:v>6118</x:v>
      </x:c>
      <x:c r="N3206" s="274" t="s">
        <x:v>3671</x:v>
      </x:c>
    </x:row>
    <x:row r="3207" spans="1:14">
      <x:c r="A3207" s="274" t="s">
        <x:v>6119</x:v>
      </x:c>
      <x:c r="B3207" s="274" t="n">
        <x:v>1.15</x:v>
      </x:c>
      <x:c r="C3207" s="274" t="n">
        <x:v>0</x:v>
      </x:c>
      <x:c r="D3207" s="274" t="n">
        <x:v>0</x:v>
      </x:c>
      <x:c r="F3207" s="274" t="s">
        <x:v>133</x:v>
      </x:c>
      <x:c r="G3207" s="274" t="s">
        <x:v>136</x:v>
      </x:c>
      <x:c r="H3207" s="274" t="n">
        <x:v>45</x:v>
      </x:c>
      <x:c r="I3207" s="274" t="n">
        <x:v>1</x:v>
      </x:c>
      <x:c r="J3207" s="274" t="n">
        <x:v>116</x:v>
      </x:c>
      <x:c r="K3207" s="274" t="n">
        <x:v>1250</x:v>
      </x:c>
      <x:c r="M3207" s="274" t="s">
        <x:v>6120</x:v>
      </x:c>
      <x:c r="N3207" s="274" t="s">
        <x:v>3671</x:v>
      </x:c>
    </x:row>
    <x:row r="3208" spans="1:14">
      <x:c r="A3208" s="274" t="s">
        <x:v>6121</x:v>
      </x:c>
      <x:c r="B3208" s="274" t="n">
        <x:v>1.14</x:v>
      </x:c>
      <x:c r="C3208" s="274" t="n">
        <x:v>0</x:v>
      </x:c>
      <x:c r="D3208" s="274" t="n">
        <x:v>0</x:v>
      </x:c>
      <x:c r="F3208" s="274" t="s">
        <x:v>123</x:v>
      </x:c>
      <x:c r="G3208" s="274" t="s">
        <x:v>129</x:v>
      </x:c>
      <x:c r="H3208" s="274" t="n">
        <x:v>45</x:v>
      </x:c>
      <x:c r="I3208" s="274" t="n">
        <x:v>1</x:v>
      </x:c>
      <x:c r="J3208" s="274" t="n">
        <x:v>117</x:v>
      </x:c>
      <x:c r="K3208" s="274" t="n">
        <x:v>1230</x:v>
      </x:c>
      <x:c r="M3208" s="274" t="s">
        <x:v>6122</x:v>
      </x:c>
      <x:c r="N3208" s="274" t="s">
        <x:v>3671</x:v>
      </x:c>
    </x:row>
    <x:row r="3209" spans="1:14">
      <x:c r="A3209" s="274" t="s">
        <x:v>6123</x:v>
      </x:c>
      <x:c r="B3209" s="274" t="n">
        <x:v>2.22</x:v>
      </x:c>
      <x:c r="C3209" s="274" t="n">
        <x:v>0</x:v>
      </x:c>
      <x:c r="D3209" s="274" t="n">
        <x:v>0</x:v>
      </x:c>
      <x:c r="F3209" s="274" t="s">
        <x:v>123</x:v>
      </x:c>
      <x:c r="G3209" s="274" t="s">
        <x:v>129</x:v>
      </x:c>
      <x:c r="H3209" s="274" t="n">
        <x:v>45</x:v>
      </x:c>
      <x:c r="I3209" s="274" t="n">
        <x:v>1</x:v>
      </x:c>
      <x:c r="J3209" s="274" t="n">
        <x:v>207</x:v>
      </x:c>
      <x:c r="K3209" s="274" t="n">
        <x:v>1350</x:v>
      </x:c>
      <x:c r="M3209" s="274" t="s">
        <x:v>6124</x:v>
      </x:c>
      <x:c r="N3209" s="274" t="s">
        <x:v>3671</x:v>
      </x:c>
    </x:row>
    <x:row r="3210" spans="1:14">
      <x:c r="A3210" s="274" t="s">
        <x:v>6125</x:v>
      </x:c>
      <x:c r="B3210" s="274" t="n">
        <x:v>0.33</x:v>
      </x:c>
      <x:c r="C3210" s="274" t="n">
        <x:v>0</x:v>
      </x:c>
      <x:c r="D3210" s="274" t="n">
        <x:v>0</x:v>
      </x:c>
      <x:c r="F3210" s="274" t="s">
        <x:v>123</x:v>
      </x:c>
      <x:c r="G3210" s="274" t="s">
        <x:v>129</x:v>
      </x:c>
      <x:c r="H3210" s="274" t="n">
        <x:v>45</x:v>
      </x:c>
      <x:c r="I3210" s="274" t="n">
        <x:v>1</x:v>
      </x:c>
      <x:c r="J3210" s="274" t="n">
        <x:v>105</x:v>
      </x:c>
      <x:c r="K3210" s="274" t="n">
        <x:v>396</x:v>
      </x:c>
      <x:c r="M3210" s="274" t="s">
        <x:v>6126</x:v>
      </x:c>
      <x:c r="N3210" s="274" t="s">
        <x:v>3671</x:v>
      </x:c>
    </x:row>
    <x:row r="3211" spans="1:14">
      <x:c r="A3211" s="274" t="s">
        <x:v>6127</x:v>
      </x:c>
      <x:c r="B3211" s="274" t="n">
        <x:v>0.46</x:v>
      </x:c>
      <x:c r="C3211" s="274" t="n">
        <x:v>0</x:v>
      </x:c>
      <x:c r="D3211" s="274" t="n">
        <x:v>0</x:v>
      </x:c>
      <x:c r="F3211" s="274" t="s">
        <x:v>123</x:v>
      </x:c>
      <x:c r="G3211" s="274" t="s">
        <x:v>129</x:v>
      </x:c>
      <x:c r="H3211" s="274" t="n">
        <x:v>45</x:v>
      </x:c>
      <x:c r="I3211" s="274" t="n">
        <x:v>1</x:v>
      </x:c>
      <x:c r="J3211" s="274" t="n">
        <x:v>160</x:v>
      </x:c>
      <x:c r="K3211" s="274" t="n">
        <x:v>360</x:v>
      </x:c>
      <x:c r="M3211" s="274" t="s">
        <x:v>6128</x:v>
      </x:c>
      <x:c r="N3211" s="274" t="s">
        <x:v>3671</x:v>
      </x:c>
    </x:row>
    <x:row r="3212" spans="1:14">
      <x:c r="A3212" s="274" t="s">
        <x:v>6129</x:v>
      </x:c>
      <x:c r="B3212" s="274" t="n">
        <x:v>3.25</x:v>
      </x:c>
      <x:c r="C3212" s="274" t="n">
        <x:v>0</x:v>
      </x:c>
      <x:c r="D3212" s="274" t="n">
        <x:v>0</x:v>
      </x:c>
      <x:c r="F3212" s="274" t="s">
        <x:v>123</x:v>
      </x:c>
      <x:c r="G3212" s="274" t="s">
        <x:v>881</x:v>
      </x:c>
      <x:c r="H3212" s="274" t="n">
        <x:v>45</x:v>
      </x:c>
      <x:c r="I3212" s="274" t="n">
        <x:v>1</x:v>
      </x:c>
      <x:c r="J3212" s="274" t="n">
        <x:v>335</x:v>
      </x:c>
      <x:c r="K3212" s="274" t="n">
        <x:v>1221</x:v>
      </x:c>
      <x:c r="M3212" s="274" t="s">
        <x:v>6130</x:v>
      </x:c>
      <x:c r="N3212" s="274" t="s">
        <x:v>3671</x:v>
      </x:c>
    </x:row>
    <x:row r="3213" spans="1:14">
      <x:c r="A3213" s="274" t="s">
        <x:v>6131</x:v>
      </x:c>
      <x:c r="B3213" s="274" t="n">
        <x:v>2.63</x:v>
      </x:c>
      <x:c r="C3213" s="274" t="n">
        <x:v>0</x:v>
      </x:c>
      <x:c r="D3213" s="274" t="n">
        <x:v>0</x:v>
      </x:c>
      <x:c r="F3213" s="274" t="s">
        <x:v>123</x:v>
      </x:c>
      <x:c r="G3213" s="274" t="s">
        <x:v>881</x:v>
      </x:c>
      <x:c r="H3213" s="274" t="n">
        <x:v>45</x:v>
      </x:c>
      <x:c r="I3213" s="274" t="n">
        <x:v>1</x:v>
      </x:c>
      <x:c r="J3213" s="274" t="n">
        <x:v>265</x:v>
      </x:c>
      <x:c r="K3213" s="274" t="n">
        <x:v>1250</x:v>
      </x:c>
      <x:c r="M3213" s="274" t="s">
        <x:v>6132</x:v>
      </x:c>
      <x:c r="N3213" s="274" t="s">
        <x:v>3671</x:v>
      </x:c>
    </x:row>
    <x:row r="3214" spans="1:14">
      <x:c r="A3214" s="274" t="s">
        <x:v>6133</x:v>
      </x:c>
      <x:c r="B3214" s="274" t="n">
        <x:v>4.56</x:v>
      </x:c>
      <x:c r="C3214" s="274" t="n">
        <x:v>0</x:v>
      </x:c>
      <x:c r="D3214" s="274" t="n">
        <x:v>0</x:v>
      </x:c>
      <x:c r="F3214" s="274" t="s">
        <x:v>123</x:v>
      </x:c>
      <x:c r="G3214" s="274" t="s">
        <x:v>129</x:v>
      </x:c>
      <x:c r="H3214" s="274" t="n">
        <x:v>45</x:v>
      </x:c>
      <x:c r="I3214" s="274" t="n">
        <x:v>1.2</x:v>
      </x:c>
      <x:c r="J3214" s="274" t="n">
        <x:v>470</x:v>
      </x:c>
      <x:c r="K3214" s="274" t="n">
        <x:v>1020</x:v>
      </x:c>
      <x:c r="M3214" s="274" t="s">
        <x:v>6134</x:v>
      </x:c>
      <x:c r="N3214" s="274" t="s">
        <x:v>3671</x:v>
      </x:c>
    </x:row>
    <x:row r="3215" spans="1:14">
      <x:c r="A3215" s="274" t="s">
        <x:v>6135</x:v>
      </x:c>
      <x:c r="B3215" s="274" t="n">
        <x:v>1.9</x:v>
      </x:c>
      <x:c r="C3215" s="274" t="n">
        <x:v>0</x:v>
      </x:c>
      <x:c r="D3215" s="274" t="n">
        <x:v>0</x:v>
      </x:c>
      <x:c r="F3215" s="274" t="s">
        <x:v>123</x:v>
      </x:c>
      <x:c r="G3215" s="274" t="s">
        <x:v>129</x:v>
      </x:c>
      <x:c r="H3215" s="274" t="n">
        <x:v>45</x:v>
      </x:c>
      <x:c r="I3215" s="274" t="n">
        <x:v>1.2</x:v>
      </x:c>
      <x:c r="J3215" s="274" t="n">
        <x:v>160</x:v>
      </x:c>
      <x:c r="K3215" s="274" t="n">
        <x:v>1250</x:v>
      </x:c>
      <x:c r="M3215" s="274" t="s">
        <x:v>6136</x:v>
      </x:c>
      <x:c r="N3215" s="274" t="s">
        <x:v>3671</x:v>
      </x:c>
    </x:row>
    <x:row r="3216" spans="1:14">
      <x:c r="A3216" s="274" t="s">
        <x:v>6137</x:v>
      </x:c>
      <x:c r="B3216" s="274" t="n">
        <x:v>1.96</x:v>
      </x:c>
      <x:c r="C3216" s="274" t="n">
        <x:v>0</x:v>
      </x:c>
      <x:c r="D3216" s="274" t="n">
        <x:v>0</x:v>
      </x:c>
      <x:c r="F3216" s="274" t="s">
        <x:v>123</x:v>
      </x:c>
      <x:c r="G3216" s="274" t="s">
        <x:v>129</x:v>
      </x:c>
      <x:c r="H3216" s="274" t="n">
        <x:v>45</x:v>
      </x:c>
      <x:c r="I3216" s="274" t="n">
        <x:v>1.2</x:v>
      </x:c>
      <x:c r="J3216" s="274" t="n">
        <x:v>165</x:v>
      </x:c>
      <x:c r="K3216" s="274" t="n">
        <x:v>1250</x:v>
      </x:c>
      <x:c r="M3216" s="274" t="s">
        <x:v>6138</x:v>
      </x:c>
      <x:c r="N3216" s="274" t="s">
        <x:v>3671</x:v>
      </x:c>
    </x:row>
    <x:row r="3217" spans="1:14">
      <x:c r="A3217" s="274" t="s">
        <x:v>6139</x:v>
      </x:c>
      <x:c r="B3217" s="274" t="n">
        <x:v>2.2</x:v>
      </x:c>
      <x:c r="C3217" s="274" t="n">
        <x:v>0</x:v>
      </x:c>
      <x:c r="D3217" s="274" t="n">
        <x:v>0</x:v>
      </x:c>
      <x:c r="F3217" s="274" t="s">
        <x:v>123</x:v>
      </x:c>
      <x:c r="G3217" s="274" t="s">
        <x:v>129</x:v>
      </x:c>
      <x:c r="H3217" s="274" t="n">
        <x:v>45</x:v>
      </x:c>
      <x:c r="I3217" s="274" t="n">
        <x:v>1.2</x:v>
      </x:c>
      <x:c r="J3217" s="274" t="n">
        <x:v>202</x:v>
      </x:c>
      <x:c r="K3217" s="274" t="n">
        <x:v>1145</x:v>
      </x:c>
      <x:c r="M3217" s="274" t="s">
        <x:v>6140</x:v>
      </x:c>
      <x:c r="N3217" s="274" t="s">
        <x:v>3671</x:v>
      </x:c>
    </x:row>
    <x:row r="3218" spans="1:14">
      <x:c r="A3218" s="274" t="s">
        <x:v>6141</x:v>
      </x:c>
      <x:c r="B3218" s="274" t="n">
        <x:v>4.16</x:v>
      </x:c>
      <x:c r="C3218" s="274" t="n">
        <x:v>0</x:v>
      </x:c>
      <x:c r="D3218" s="274" t="n">
        <x:v>0</x:v>
      </x:c>
      <x:c r="F3218" s="274" t="s">
        <x:v>133</x:v>
      </x:c>
      <x:c r="G3218" s="274" t="s">
        <x:v>136</x:v>
      </x:c>
      <x:c r="H3218" s="274" t="n">
        <x:v>45</x:v>
      </x:c>
      <x:c r="I3218" s="274" t="n">
        <x:v>1.2</x:v>
      </x:c>
      <x:c r="J3218" s="274" t="n">
        <x:v>350</x:v>
      </x:c>
      <x:c r="K3218" s="274" t="n">
        <x:v>1250</x:v>
      </x:c>
      <x:c r="M3218" s="274" t="s">
        <x:v>6142</x:v>
      </x:c>
      <x:c r="N3218" s="274" t="s">
        <x:v>3671</x:v>
      </x:c>
    </x:row>
    <x:row r="3219" spans="1:14">
      <x:c r="A3219" s="274" t="s">
        <x:v>6143</x:v>
      </x:c>
      <x:c r="B3219" s="274" t="n">
        <x:v>2.54</x:v>
      </x:c>
      <x:c r="C3219" s="274" t="n">
        <x:v>0</x:v>
      </x:c>
      <x:c r="D3219" s="274" t="n">
        <x:v>0</x:v>
      </x:c>
      <x:c r="F3219" s="274" t="s">
        <x:v>133</x:v>
      </x:c>
      <x:c r="G3219" s="274" t="s">
        <x:v>136</x:v>
      </x:c>
      <x:c r="H3219" s="274" t="n">
        <x:v>45</x:v>
      </x:c>
      <x:c r="I3219" s="274" t="n">
        <x:v>1.2</x:v>
      </x:c>
      <x:c r="J3219" s="274" t="n">
        <x:v>214</x:v>
      </x:c>
      <x:c r="K3219" s="274" t="n">
        <x:v>1250</x:v>
      </x:c>
      <x:c r="M3219" s="274" t="s">
        <x:v>6144</x:v>
      </x:c>
      <x:c r="N3219" s="274" t="s">
        <x:v>3671</x:v>
      </x:c>
    </x:row>
    <x:row r="3220" spans="1:14">
      <x:c r="A3220" s="274" t="s">
        <x:v>6145</x:v>
      </x:c>
      <x:c r="B3220" s="274" t="n">
        <x:v>0.62</x:v>
      </x:c>
      <x:c r="C3220" s="274" t="n">
        <x:v>0</x:v>
      </x:c>
      <x:c r="D3220" s="274" t="n">
        <x:v>0</x:v>
      </x:c>
      <x:c r="F3220" s="274" t="s">
        <x:v>133</x:v>
      </x:c>
      <x:c r="G3220" s="274" t="s">
        <x:v>136</x:v>
      </x:c>
      <x:c r="H3220" s="274" t="n">
        <x:v>45</x:v>
      </x:c>
      <x:c r="I3220" s="274" t="n">
        <x:v>1.2</x:v>
      </x:c>
      <x:c r="J3220" s="274" t="n">
        <x:v>240</x:v>
      </x:c>
      <x:c r="K3220" s="274" t="n">
        <x:v>270</x:v>
      </x:c>
      <x:c r="M3220" s="274" t="s">
        <x:v>6146</x:v>
      </x:c>
      <x:c r="N3220" s="274" t="s">
        <x:v>3671</x:v>
      </x:c>
    </x:row>
    <x:row r="3221" spans="1:14">
      <x:c r="A3221" s="274" t="s">
        <x:v>6147</x:v>
      </x:c>
      <x:c r="B3221" s="274" t="n">
        <x:v>1.66</x:v>
      </x:c>
      <x:c r="C3221" s="274" t="n">
        <x:v>0</x:v>
      </x:c>
      <x:c r="D3221" s="274" t="n">
        <x:v>0</x:v>
      </x:c>
      <x:c r="F3221" s="274" t="s">
        <x:v>133</x:v>
      </x:c>
      <x:c r="G3221" s="274" t="s">
        <x:v>136</x:v>
      </x:c>
      <x:c r="H3221" s="274" t="n">
        <x:v>45</x:v>
      </x:c>
      <x:c r="I3221" s="274" t="n">
        <x:v>1.2</x:v>
      </x:c>
      <x:c r="J3221" s="274" t="n">
        <x:v>140</x:v>
      </x:c>
      <x:c r="K3221" s="274" t="n">
        <x:v>1250</x:v>
      </x:c>
      <x:c r="M3221" s="274" t="s">
        <x:v>6148</x:v>
      </x:c>
      <x:c r="N3221" s="274" t="s">
        <x:v>3671</x:v>
      </x:c>
    </x:row>
    <x:row r="3222" spans="1:14">
      <x:c r="A3222" s="274" t="s">
        <x:v>6149</x:v>
      </x:c>
      <x:c r="B3222" s="274" t="n">
        <x:v>2.32</x:v>
      </x:c>
      <x:c r="C3222" s="274" t="n">
        <x:v>0</x:v>
      </x:c>
      <x:c r="D3222" s="274" t="n">
        <x:v>0</x:v>
      </x:c>
      <x:c r="F3222" s="274" t="s">
        <x:v>133</x:v>
      </x:c>
      <x:c r="G3222" s="274" t="s">
        <x:v>136</x:v>
      </x:c>
      <x:c r="H3222" s="274" t="n">
        <x:v>45</x:v>
      </x:c>
      <x:c r="I3222" s="274" t="n">
        <x:v>1.2</x:v>
      </x:c>
      <x:c r="J3222" s="274" t="n">
        <x:v>195</x:v>
      </x:c>
      <x:c r="K3222" s="274" t="n">
        <x:v>1250</x:v>
      </x:c>
      <x:c r="M3222" s="274" t="s">
        <x:v>6150</x:v>
      </x:c>
      <x:c r="N3222" s="274" t="s">
        <x:v>3671</x:v>
      </x:c>
    </x:row>
    <x:row r="3223" spans="1:14">
      <x:c r="A3223" s="274" t="s">
        <x:v>6151</x:v>
      </x:c>
      <x:c r="B3223" s="274" t="n">
        <x:v>0.41</x:v>
      </x:c>
      <x:c r="C3223" s="274" t="n">
        <x:v>0</x:v>
      </x:c>
      <x:c r="D3223" s="274" t="n">
        <x:v>0</x:v>
      </x:c>
      <x:c r="F3223" s="274" t="s">
        <x:v>133</x:v>
      </x:c>
      <x:c r="G3223" s="274" t="s">
        <x:v>136</x:v>
      </x:c>
      <x:c r="H3223" s="274" t="n">
        <x:v>45</x:v>
      </x:c>
      <x:c r="I3223" s="274" t="n">
        <x:v>1.2</x:v>
      </x:c>
      <x:c r="J3223" s="274" t="n">
        <x:v>185</x:v>
      </x:c>
      <x:c r="K3223" s="274" t="n">
        <x:v>235</x:v>
      </x:c>
      <x:c r="M3223" s="274" t="s">
        <x:v>6152</x:v>
      </x:c>
      <x:c r="N3223" s="274" t="s">
        <x:v>3671</x:v>
      </x:c>
    </x:row>
    <x:row r="3224" spans="1:14">
      <x:c r="A3224" s="274" t="s">
        <x:v>6153</x:v>
      </x:c>
      <x:c r="B3224" s="274" t="n">
        <x:v>1.32</x:v>
      </x:c>
      <x:c r="C3224" s="274" t="n">
        <x:v>0</x:v>
      </x:c>
      <x:c r="D3224" s="274" t="n">
        <x:v>0</x:v>
      </x:c>
      <x:c r="F3224" s="274" t="s">
        <x:v>333</x:v>
      </x:c>
      <x:c r="G3224" s="274" t="s">
        <x:v>153</x:v>
      </x:c>
      <x:c r="I3224" s="274" t="n">
        <x:v>1.2</x:v>
      </x:c>
      <x:c r="J3224" s="274" t="n">
        <x:v>355</x:v>
      </x:c>
      <x:c r="K3224" s="274" t="n">
        <x:v>395</x:v>
      </x:c>
      <x:c r="M3224" s="274" t="s">
        <x:v>6154</x:v>
      </x:c>
      <x:c r="N3224" s="274" t="s">
        <x:v>3671</x:v>
      </x:c>
    </x:row>
    <x:row r="3225" spans="1:14">
      <x:c r="A3225" s="274" t="s">
        <x:v>6155</x:v>
      </x:c>
      <x:c r="B3225" s="274" t="n">
        <x:v>2.58</x:v>
      </x:c>
      <x:c r="C3225" s="274" t="n">
        <x:v>0</x:v>
      </x:c>
      <x:c r="D3225" s="274" t="n">
        <x:v>0</x:v>
      </x:c>
      <x:c r="F3225" s="274" t="s">
        <x:v>184</x:v>
      </x:c>
      <x:c r="G3225" s="274" t="s">
        <x:v>3413</x:v>
      </x:c>
      <x:c r="H3225" s="274" t="n">
        <x:v>45</x:v>
      </x:c>
      <x:c r="I3225" s="274" t="n">
        <x:v>1.4</x:v>
      </x:c>
      <x:c r="J3225" s="274" t="n">
        <x:v>310</x:v>
      </x:c>
      <x:c r="K3225" s="274" t="n">
        <x:v>750</x:v>
      </x:c>
      <x:c r="M3225" s="274" t="s">
        <x:v>6156</x:v>
      </x:c>
      <x:c r="N3225" s="274" t="s">
        <x:v>3671</x:v>
      </x:c>
    </x:row>
    <x:row r="3226" spans="1:14">
      <x:c r="A3226" s="274" t="s">
        <x:v>6157</x:v>
      </x:c>
      <x:c r="B3226" s="274" t="n">
        <x:v>3.47</x:v>
      </x:c>
      <x:c r="C3226" s="274" t="n">
        <x:v>0</x:v>
      </x:c>
      <x:c r="D3226" s="274" t="n">
        <x:v>0</x:v>
      </x:c>
      <x:c r="F3226" s="274" t="s">
        <x:v>123</x:v>
      </x:c>
      <x:c r="G3226" s="274" t="s">
        <x:v>881</x:v>
      </x:c>
      <x:c r="H3226" s="274" t="n">
        <x:v>45</x:v>
      </x:c>
      <x:c r="I3226" s="274" t="n">
        <x:v>1.4</x:v>
      </x:c>
      <x:c r="J3226" s="274" t="n">
        <x:v>280</x:v>
      </x:c>
      <x:c r="K3226" s="274" t="n">
        <x:v>1117</x:v>
      </x:c>
      <x:c r="M3226" s="274" t="s">
        <x:v>6158</x:v>
      </x:c>
      <x:c r="N3226" s="274" t="s">
        <x:v>3671</x:v>
      </x:c>
    </x:row>
    <x:row r="3227" spans="1:14">
      <x:c r="A3227" s="274" t="s">
        <x:v>6159</x:v>
      </x:c>
      <x:c r="B3227" s="274" t="n">
        <x:v>2.91</x:v>
      </x:c>
      <x:c r="C3227" s="274" t="n">
        <x:v>0</x:v>
      </x:c>
      <x:c r="D3227" s="274" t="n">
        <x:v>0</x:v>
      </x:c>
      <x:c r="F3227" s="274" t="s">
        <x:v>123</x:v>
      </x:c>
      <x:c r="G3227" s="274" t="s">
        <x:v>881</x:v>
      </x:c>
      <x:c r="H3227" s="274" t="n">
        <x:v>45</x:v>
      </x:c>
      <x:c r="I3227" s="274" t="n">
        <x:v>1.4</x:v>
      </x:c>
      <x:c r="J3227" s="274" t="n">
        <x:v>210</x:v>
      </x:c>
      <x:c r="K3227" s="274" t="n">
        <x:v>1250</x:v>
      </x:c>
      <x:c r="M3227" s="274" t="s">
        <x:v>6160</x:v>
      </x:c>
      <x:c r="N3227" s="274" t="s">
        <x:v>3671</x:v>
      </x:c>
    </x:row>
    <x:row r="3228" spans="1:14">
      <x:c r="A3228" s="274" t="s">
        <x:v>6161</x:v>
      </x:c>
      <x:c r="B3228" s="274" t="n">
        <x:v>2.16</x:v>
      </x:c>
      <x:c r="C3228" s="274" t="n">
        <x:v>0</x:v>
      </x:c>
      <x:c r="D3228" s="274" t="n">
        <x:v>0</x:v>
      </x:c>
      <x:c r="F3228" s="274" t="s">
        <x:v>123</x:v>
      </x:c>
      <x:c r="G3228" s="274" t="s">
        <x:v>881</x:v>
      </x:c>
      <x:c r="H3228" s="274" t="n">
        <x:v>45</x:v>
      </x:c>
      <x:c r="I3228" s="274" t="n">
        <x:v>1.4</x:v>
      </x:c>
      <x:c r="J3228" s="274" t="n">
        <x:v>173</x:v>
      </x:c>
      <x:c r="K3228" s="274" t="n">
        <x:v>1125</x:v>
      </x:c>
      <x:c r="M3228" s="274" t="s">
        <x:v>6162</x:v>
      </x:c>
      <x:c r="N3228" s="274" t="s">
        <x:v>3671</x:v>
      </x:c>
    </x:row>
    <x:row r="3229" spans="1:14">
      <x:c r="A3229" s="274" t="s">
        <x:v>6163</x:v>
      </x:c>
      <x:c r="B3229" s="274" t="n">
        <x:v>3.67</x:v>
      </x:c>
      <x:c r="C3229" s="274" t="n">
        <x:v>0</x:v>
      </x:c>
      <x:c r="D3229" s="274" t="n">
        <x:v>0</x:v>
      </x:c>
      <x:c r="F3229" s="274" t="s">
        <x:v>123</x:v>
      </x:c>
      <x:c r="G3229" s="274" t="s">
        <x:v>881</x:v>
      </x:c>
      <x:c r="H3229" s="274" t="n">
        <x:v>45</x:v>
      </x:c>
      <x:c r="I3229" s="274" t="n">
        <x:v>1.4</x:v>
      </x:c>
      <x:c r="J3229" s="274" t="n">
        <x:v>265</x:v>
      </x:c>
      <x:c r="K3229" s="274" t="n">
        <x:v>1250</x:v>
      </x:c>
      <x:c r="M3229" s="274" t="s">
        <x:v>6164</x:v>
      </x:c>
      <x:c r="N3229" s="274" t="s">
        <x:v>3671</x:v>
      </x:c>
    </x:row>
    <x:row r="3230" spans="1:14">
      <x:c r="A3230" s="274" t="s">
        <x:v>6165</x:v>
      </x:c>
      <x:c r="B3230" s="274" t="n">
        <x:v>3.12</x:v>
      </x:c>
      <x:c r="C3230" s="274" t="n">
        <x:v>0</x:v>
      </x:c>
      <x:c r="D3230" s="274" t="n">
        <x:v>0</x:v>
      </x:c>
      <x:c r="F3230" s="274" t="s">
        <x:v>123</x:v>
      </x:c>
      <x:c r="G3230" s="274" t="s">
        <x:v>881</x:v>
      </x:c>
      <x:c r="H3230" s="274" t="n">
        <x:v>45</x:v>
      </x:c>
      <x:c r="I3230" s="274" t="n">
        <x:v>1.4</x:v>
      </x:c>
      <x:c r="J3230" s="274" t="n">
        <x:v>225</x:v>
      </x:c>
      <x:c r="K3230" s="274" t="n">
        <x:v>1250</x:v>
      </x:c>
      <x:c r="M3230" s="274" t="s">
        <x:v>6166</x:v>
      </x:c>
      <x:c r="N3230" s="274" t="s">
        <x:v>3671</x:v>
      </x:c>
    </x:row>
    <x:row r="3231" spans="1:14">
      <x:c r="A3231" s="274" t="s">
        <x:v>6167</x:v>
      </x:c>
      <x:c r="B3231" s="274" t="n">
        <x:v>1.99</x:v>
      </x:c>
      <x:c r="C3231" s="274" t="n">
        <x:v>0</x:v>
      </x:c>
      <x:c r="D3231" s="274" t="n">
        <x:v>0</x:v>
      </x:c>
      <x:c r="F3231" s="274" t="s">
        <x:v>133</x:v>
      </x:c>
      <x:c r="G3231" s="274" t="s">
        <x:v>136</x:v>
      </x:c>
      <x:c r="H3231" s="274" t="n">
        <x:v>45</x:v>
      </x:c>
      <x:c r="I3231" s="274" t="n">
        <x:v>1.4</x:v>
      </x:c>
      <x:c r="J3231" s="274" t="n">
        <x:v>150</x:v>
      </x:c>
      <x:c r="K3231" s="274" t="n">
        <x:v>1200</x:v>
      </x:c>
      <x:c r="M3231" s="274" t="s">
        <x:v>6168</x:v>
      </x:c>
      <x:c r="N3231" s="274" t="s">
        <x:v>3671</x:v>
      </x:c>
    </x:row>
    <x:row r="3232" spans="1:14">
      <x:c r="A3232" s="274" t="s">
        <x:v>6169</x:v>
      </x:c>
      <x:c r="B3232" s="274" t="n">
        <x:v>2.96</x:v>
      </x:c>
      <x:c r="C3232" s="274" t="n">
        <x:v>0</x:v>
      </x:c>
      <x:c r="D3232" s="274" t="n">
        <x:v>0</x:v>
      </x:c>
      <x:c r="F3232" s="274" t="s">
        <x:v>133</x:v>
      </x:c>
      <x:c r="G3232" s="274" t="s">
        <x:v>136</x:v>
      </x:c>
      <x:c r="H3232" s="274" t="n">
        <x:v>45</x:v>
      </x:c>
      <x:c r="I3232" s="274" t="n">
        <x:v>1.4</x:v>
      </x:c>
      <x:c r="J3232" s="274" t="n">
        <x:v>235</x:v>
      </x:c>
      <x:c r="K3232" s="274" t="n">
        <x:v>1135</x:v>
      </x:c>
      <x:c r="M3232" s="274" t="s">
        <x:v>6170</x:v>
      </x:c>
      <x:c r="N3232" s="274" t="s">
        <x:v>3671</x:v>
      </x:c>
    </x:row>
    <x:row r="3233" spans="1:14">
      <x:c r="A3233" s="274" t="s">
        <x:v>6171</x:v>
      </x:c>
      <x:c r="B3233" s="274" t="n">
        <x:v>4.29</x:v>
      </x:c>
      <x:c r="C3233" s="274" t="n">
        <x:v>0</x:v>
      </x:c>
      <x:c r="D3233" s="274" t="n">
        <x:v>0</x:v>
      </x:c>
      <x:c r="F3233" s="274" t="s">
        <x:v>133</x:v>
      </x:c>
      <x:c r="G3233" s="274" t="s">
        <x:v>136</x:v>
      </x:c>
      <x:c r="H3233" s="274" t="n">
        <x:v>45</x:v>
      </x:c>
      <x:c r="I3233" s="274" t="n">
        <x:v>1.6</x:v>
      </x:c>
      <x:c r="J3233" s="274" t="n">
        <x:v>780</x:v>
      </x:c>
      <x:c r="K3233" s="274" t="n">
        <x:v>435</x:v>
      </x:c>
      <x:c r="M3233" s="274" t="s">
        <x:v>6172</x:v>
      </x:c>
      <x:c r="N3233" s="274" t="s">
        <x:v>3671</x:v>
      </x:c>
    </x:row>
    <x:row r="3234" spans="1:14">
      <x:c r="A3234" s="274" t="s">
        <x:v>6173</x:v>
      </x:c>
      <x:c r="B3234" s="274" t="n">
        <x:v>1.44</x:v>
      </x:c>
      <x:c r="C3234" s="274" t="n">
        <x:v>0</x:v>
      </x:c>
      <x:c r="D3234" s="274" t="n">
        <x:v>0</x:v>
      </x:c>
      <x:c r="F3234" s="274" t="s">
        <x:v>123</x:v>
      </x:c>
      <x:c r="G3234" s="274" t="s">
        <x:v>129</x:v>
      </x:c>
      <x:c r="H3234" s="274" t="n">
        <x:v>45</x:v>
      </x:c>
      <x:c r="I3234" s="274" t="n">
        <x:v>1.6</x:v>
      </x:c>
      <x:c r="J3234" s="274" t="n">
        <x:v>115</x:v>
      </x:c>
      <x:c r="K3234" s="274" t="n">
        <x:v>990</x:v>
      </x:c>
      <x:c r="M3234" s="274" t="s">
        <x:v>6174</x:v>
      </x:c>
      <x:c r="N3234" s="274" t="s">
        <x:v>3671</x:v>
      </x:c>
    </x:row>
    <x:row r="3235" spans="1:14">
      <x:c r="A3235" s="274" t="s">
        <x:v>6175</x:v>
      </x:c>
      <x:c r="B3235" s="274" t="n">
        <x:v>0.95</x:v>
      </x:c>
      <x:c r="C3235" s="274" t="n">
        <x:v>0</x:v>
      </x:c>
      <x:c r="D3235" s="274" t="n">
        <x:v>0</x:v>
      </x:c>
      <x:c r="F3235" s="274" t="s">
        <x:v>123</x:v>
      </x:c>
      <x:c r="G3235" s="274" t="s">
        <x:v>129</x:v>
      </x:c>
      <x:c r="H3235" s="274" t="n">
        <x:v>45</x:v>
      </x:c>
      <x:c r="I3235" s="274" t="n">
        <x:v>1.6</x:v>
      </x:c>
      <x:c r="J3235" s="274" t="n">
        <x:v>82</x:v>
      </x:c>
      <x:c r="K3235" s="274" t="n">
        <x:v>920</x:v>
      </x:c>
      <x:c r="M3235" s="274" t="s">
        <x:v>6176</x:v>
      </x:c>
      <x:c r="N3235" s="274" t="s">
        <x:v>3671</x:v>
      </x:c>
    </x:row>
    <x:row r="3236" spans="1:14">
      <x:c r="A3236" s="274" t="s">
        <x:v>6177</x:v>
      </x:c>
      <x:c r="B3236" s="274" t="n">
        <x:v>2.27</x:v>
      </x:c>
      <x:c r="C3236" s="274" t="n">
        <x:v>0</x:v>
      </x:c>
      <x:c r="D3236" s="274" t="n">
        <x:v>0</x:v>
      </x:c>
      <x:c r="F3236" s="274" t="s">
        <x:v>123</x:v>
      </x:c>
      <x:c r="G3236" s="274" t="s">
        <x:v>129</x:v>
      </x:c>
      <x:c r="H3236" s="274" t="n">
        <x:v>45</x:v>
      </x:c>
      <x:c r="I3236" s="274" t="n">
        <x:v>1.6</x:v>
      </x:c>
      <x:c r="J3236" s="274" t="n">
        <x:v>145</x:v>
      </x:c>
      <x:c r="K3236" s="274" t="n">
        <x:v>1240</x:v>
      </x:c>
      <x:c r="M3236" s="274" t="s">
        <x:v>6178</x:v>
      </x:c>
      <x:c r="N3236" s="274" t="s">
        <x:v>3671</x:v>
      </x:c>
    </x:row>
    <x:row r="3237" spans="1:14">
      <x:c r="A3237" s="274" t="s">
        <x:v>6179</x:v>
      </x:c>
      <x:c r="B3237" s="274" t="n">
        <x:v>2.12</x:v>
      </x:c>
      <x:c r="C3237" s="274" t="n">
        <x:v>0</x:v>
      </x:c>
      <x:c r="D3237" s="274" t="n">
        <x:v>0</x:v>
      </x:c>
      <x:c r="F3237" s="274" t="s">
        <x:v>333</x:v>
      </x:c>
      <x:c r="G3237" s="274" t="s">
        <x:v>334</x:v>
      </x:c>
      <x:c r="I3237" s="274" t="n">
        <x:v>2</x:v>
      </x:c>
      <x:c r="J3237" s="274" t="n">
        <x:v>255</x:v>
      </x:c>
      <x:c r="K3237" s="274" t="n">
        <x:v>529</x:v>
      </x:c>
      <x:c r="M3237" s="274" t="s">
        <x:v>6180</x:v>
      </x:c>
      <x:c r="N3237" s="274" t="s">
        <x:v>3671</x:v>
      </x:c>
    </x:row>
    <x:row r="3238" spans="1:14">
      <x:c r="A3238" s="274" t="s">
        <x:v>6181</x:v>
      </x:c>
      <x:c r="B3238" s="274" t="n">
        <x:v>3.75</x:v>
      </x:c>
      <x:c r="C3238" s="274" t="n">
        <x:v>0</x:v>
      </x:c>
      <x:c r="D3238" s="274" t="n">
        <x:v>0</x:v>
      </x:c>
      <x:c r="F3238" s="274" t="s">
        <x:v>333</x:v>
      </x:c>
      <x:c r="G3238" s="274" t="s">
        <x:v>3314</x:v>
      </x:c>
      <x:c r="H3238" s="274" t="n">
        <x:v>45</x:v>
      </x:c>
      <x:c r="I3238" s="274" t="n">
        <x:v>2</x:v>
      </x:c>
      <x:c r="J3238" s="274" t="n">
        <x:v>190</x:v>
      </x:c>
      <x:c r="K3238" s="274" t="n">
        <x:v>1250</x:v>
      </x:c>
      <x:c r="M3238" s="274" t="s">
        <x:v>6182</x:v>
      </x:c>
      <x:c r="N3238" s="274" t="s">
        <x:v>3671</x:v>
      </x:c>
    </x:row>
    <x:row r="3239" spans="1:14">
      <x:c r="A3239" s="274" t="s">
        <x:v>6183</x:v>
      </x:c>
      <x:c r="B3239" s="274" t="n">
        <x:v>4.11</x:v>
      </x:c>
      <x:c r="C3239" s="274" t="n">
        <x:v>0</x:v>
      </x:c>
      <x:c r="D3239" s="274" t="n">
        <x:v>0</x:v>
      </x:c>
      <x:c r="F3239" s="274" t="s">
        <x:v>123</x:v>
      </x:c>
      <x:c r="G3239" s="274" t="s">
        <x:v>881</x:v>
      </x:c>
      <x:c r="H3239" s="274" t="n">
        <x:v>45</x:v>
      </x:c>
      <x:c r="I3239" s="274" t="n">
        <x:v>2</x:v>
      </x:c>
      <x:c r="J3239" s="274" t="n">
        <x:v>210</x:v>
      </x:c>
      <x:c r="K3239" s="274" t="n">
        <x:v>1240</x:v>
      </x:c>
      <x:c r="M3239" s="274" t="s">
        <x:v>6184</x:v>
      </x:c>
      <x:c r="N3239" s="274" t="s">
        <x:v>3671</x:v>
      </x:c>
    </x:row>
    <x:row r="3240" spans="1:14">
      <x:c r="A3240" s="274" t="s">
        <x:v>6185</x:v>
      </x:c>
      <x:c r="B3240" s="274" t="n">
        <x:v>5.03</x:v>
      </x:c>
      <x:c r="C3240" s="274" t="n">
        <x:v>0</x:v>
      </x:c>
      <x:c r="D3240" s="274" t="n">
        <x:v>0</x:v>
      </x:c>
      <x:c r="F3240" s="274" t="s">
        <x:v>133</x:v>
      </x:c>
      <x:c r="G3240" s="274" t="s">
        <x:v>144</x:v>
      </x:c>
      <x:c r="H3240" s="274" t="n">
        <x:v>45</x:v>
      </x:c>
      <x:c r="I3240" s="274" t="n">
        <x:v>2</x:v>
      </x:c>
      <x:c r="J3240" s="274" t="n">
        <x:v>255</x:v>
      </x:c>
      <x:c r="K3240" s="274" t="n">
        <x:v>1250</x:v>
      </x:c>
      <x:c r="M3240" s="274" t="s">
        <x:v>6186</x:v>
      </x:c>
      <x:c r="N3240" s="274" t="s">
        <x:v>3671</x:v>
      </x:c>
    </x:row>
    <x:row r="3241" spans="1:14">
      <x:c r="A3241" s="274" t="s">
        <x:v>6187</x:v>
      </x:c>
      <x:c r="B3241" s="274" t="n">
        <x:v>1.43</x:v>
      </x:c>
      <x:c r="C3241" s="274" t="n">
        <x:v>0</x:v>
      </x:c>
      <x:c r="D3241" s="274" t="n">
        <x:v>0</x:v>
      </x:c>
      <x:c r="F3241" s="274" t="s">
        <x:v>133</x:v>
      </x:c>
      <x:c r="G3241" s="274" t="s">
        <x:v>134</x:v>
      </x:c>
      <x:c r="I3241" s="274" t="n">
        <x:v>2.3</x:v>
      </x:c>
      <x:c r="J3241" s="274" t="n">
        <x:v>65</x:v>
      </x:c>
      <x:c r="K3241" s="274" t="n">
        <x:v>1218</x:v>
      </x:c>
      <x:c r="M3241" s="274" t="s">
        <x:v>6188</x:v>
      </x:c>
      <x:c r="N3241" s="274" t="s">
        <x:v>3671</x:v>
      </x:c>
    </x:row>
    <x:row r="3242" spans="1:14">
      <x:c r="A3242" s="274" t="s">
        <x:v>6189</x:v>
      </x:c>
      <x:c r="B3242" s="274" t="n">
        <x:v>5.46</x:v>
      </x:c>
      <x:c r="C3242" s="274" t="n">
        <x:v>0</x:v>
      </x:c>
      <x:c r="D3242" s="274" t="n">
        <x:v>0</x:v>
      </x:c>
      <x:c r="F3242" s="274" t="s">
        <x:v>184</x:v>
      </x:c>
      <x:c r="G3242" s="274" t="s">
        <x:v>881</x:v>
      </x:c>
      <x:c r="H3242" s="274" t="n">
        <x:v>45</x:v>
      </x:c>
      <x:c r="I3242" s="274" t="n">
        <x:v>2.3</x:v>
      </x:c>
      <x:c r="J3242" s="274" t="n">
        <x:v>241</x:v>
      </x:c>
      <x:c r="K3242" s="274" t="n">
        <x:v>1250</x:v>
      </x:c>
      <x:c r="M3242" s="274" t="s">
        <x:v>6190</x:v>
      </x:c>
      <x:c r="N3242" s="274" t="s">
        <x:v>3671</x:v>
      </x:c>
    </x:row>
    <x:row r="3243" spans="1:14">
      <x:c r="A3243" s="274" t="s">
        <x:v>6191</x:v>
      </x:c>
      <x:c r="B3243" s="274" t="n">
        <x:v>2.79</x:v>
      </x:c>
      <x:c r="C3243" s="274" t="n">
        <x:v>0</x:v>
      </x:c>
      <x:c r="D3243" s="274" t="n">
        <x:v>0</x:v>
      </x:c>
      <x:c r="F3243" s="274" t="s">
        <x:v>128</x:v>
      </x:c>
      <x:c r="G3243" s="274" t="s">
        <x:v>177</x:v>
      </x:c>
      <x:c r="H3243" s="274" t="n">
        <x:v>45</x:v>
      </x:c>
      <x:c r="I3243" s="274" t="n">
        <x:v>2.8</x:v>
      </x:c>
      <x:c r="J3243" s="274" t="n">
        <x:v>110</x:v>
      </x:c>
      <x:c r="K3243" s="274" t="n">
        <x:v>1150</x:v>
      </x:c>
      <x:c r="M3243" s="274" t="s">
        <x:v>6192</x:v>
      </x:c>
      <x:c r="N3243" s="274" t="s">
        <x:v>3671</x:v>
      </x:c>
    </x:row>
    <x:row r="3244" spans="1:14">
      <x:c r="A3244" s="274" t="s">
        <x:v>6193</x:v>
      </x:c>
      <x:c r="B3244" s="274" t="n">
        <x:v>3.09</x:v>
      </x:c>
      <x:c r="C3244" s="274" t="n">
        <x:v>0</x:v>
      </x:c>
      <x:c r="D3244" s="274" t="n">
        <x:v>0</x:v>
      </x:c>
      <x:c r="F3244" s="274" t="s">
        <x:v>128</x:v>
      </x:c>
      <x:c r="G3244" s="274" t="s">
        <x:v>3314</x:v>
      </x:c>
      <x:c r="H3244" s="274" t="n">
        <x:v>45</x:v>
      </x:c>
      <x:c r="I3244" s="274" t="n">
        <x:v>3.6</x:v>
      </x:c>
      <x:c r="J3244" s="274" t="n">
        <x:v>90</x:v>
      </x:c>
      <x:c r="K3244" s="274" t="n">
        <x:v>1210</x:v>
      </x:c>
      <x:c r="M3244" s="274" t="s">
        <x:v>6194</x:v>
      </x:c>
      <x:c r="N3244" s="274" t="s">
        <x:v>3671</x:v>
      </x:c>
    </x:row>
    <x:row r="3245" spans="1:14">
      <x:c r="A3245" s="274" t="s">
        <x:v>6195</x:v>
      </x:c>
      <x:c r="B3245" s="274" t="n">
        <x:v>6.34</x:v>
      </x:c>
      <x:c r="C3245" s="274" t="n">
        <x:v>0</x:v>
      </x:c>
      <x:c r="D3245" s="274" t="n">
        <x:v>0</x:v>
      </x:c>
      <x:c r="F3245" s="274" t="s">
        <x:v>123</x:v>
      </x:c>
      <x:c r="G3245" s="274" t="s">
        <x:v>6196</x:v>
      </x:c>
      <x:c r="I3245" s="274" t="n">
        <x:v>2</x:v>
      </x:c>
      <x:c r="J3245" s="274" t="n">
        <x:v>370</x:v>
      </x:c>
      <x:c r="K3245" s="274" t="n">
        <x:v>1092</x:v>
      </x:c>
      <x:c r="M3245" s="274" t="s">
        <x:v>6197</x:v>
      </x:c>
      <x:c r="N3245" s="274" t="s">
        <x:v>3671</x:v>
      </x:c>
    </x:row>
    <x:row r="3246" spans="1:14">
      <x:c r="A3246" s="274" t="s">
        <x:v>6198</x:v>
      </x:c>
      <x:c r="B3246" s="274" t="n">
        <x:v>3.26</x:v>
      </x:c>
      <x:c r="C3246" s="274" t="n">
        <x:v>0</x:v>
      </x:c>
      <x:c r="D3246" s="274" t="n">
        <x:v>0</x:v>
      </x:c>
      <x:c r="F3246" s="274" t="s">
        <x:v>123</x:v>
      </x:c>
      <x:c r="G3246" s="274" t="s">
        <x:v>129</x:v>
      </x:c>
      <x:c r="H3246" s="274" t="n">
        <x:v>45</x:v>
      </x:c>
      <x:c r="I3246" s="274" t="n">
        <x:v>1.6</x:v>
      </x:c>
      <x:c r="J3246" s="274" t="n">
        <x:v>206</x:v>
      </x:c>
      <x:c r="K3246" s="274" t="n">
        <x:v>1250</x:v>
      </x:c>
      <x:c r="M3246" s="274" t="s">
        <x:v>6199</x:v>
      </x:c>
      <x:c r="N3246" s="274" t="s">
        <x:v>3671</x:v>
      </x:c>
    </x:row>
    <x:row r="3247" spans="1:14">
      <x:c r="A3247" s="274" t="s">
        <x:v>6200</x:v>
      </x:c>
      <x:c r="B3247" s="274" t="n">
        <x:v>1.68</x:v>
      </x:c>
      <x:c r="C3247" s="274" t="n">
        <x:v>0</x:v>
      </x:c>
      <x:c r="D3247" s="274" t="n">
        <x:v>0</x:v>
      </x:c>
      <x:c r="F3247" s="274" t="s">
        <x:v>133</x:v>
      </x:c>
      <x:c r="G3247" s="274" t="s">
        <x:v>136</x:v>
      </x:c>
      <x:c r="H3247" s="274" t="n">
        <x:v>45</x:v>
      </x:c>
      <x:c r="I3247" s="274" t="n">
        <x:v>1.6</x:v>
      </x:c>
      <x:c r="J3247" s="274" t="n">
        <x:v>106</x:v>
      </x:c>
      <x:c r="K3247" s="274" t="n">
        <x:v>1250</x:v>
      </x:c>
      <x:c r="M3247" s="274" t="s">
        <x:v>6201</x:v>
      </x:c>
      <x:c r="N3247" s="274" t="s">
        <x:v>3671</x:v>
      </x:c>
    </x:row>
    <x:row r="3248" spans="1:14">
      <x:c r="A3248" s="274" t="s">
        <x:v>6202</x:v>
      </x:c>
      <x:c r="B3248" s="274" t="n">
        <x:v>2.28</x:v>
      </x:c>
      <x:c r="C3248" s="274" t="n">
        <x:v>0</x:v>
      </x:c>
      <x:c r="D3248" s="274" t="n">
        <x:v>0</x:v>
      </x:c>
      <x:c r="F3248" s="274" t="s">
        <x:v>133</x:v>
      </x:c>
      <x:c r="G3248" s="274" t="s">
        <x:v>136</x:v>
      </x:c>
      <x:c r="H3248" s="274" t="n">
        <x:v>45</x:v>
      </x:c>
      <x:c r="I3248" s="274" t="n">
        <x:v>1.6</x:v>
      </x:c>
      <x:c r="J3248" s="274" t="n">
        <x:v>144</x:v>
      </x:c>
      <x:c r="K3248" s="274" t="n">
        <x:v>1250</x:v>
      </x:c>
      <x:c r="M3248" s="274" t="s">
        <x:v>6203</x:v>
      </x:c>
      <x:c r="N3248" s="274" t="s">
        <x:v>3671</x:v>
      </x:c>
    </x:row>
    <x:row r="3249" spans="1:14">
      <x:c r="A3249" s="274" t="s">
        <x:v>6204</x:v>
      </x:c>
      <x:c r="B3249" s="274" t="n">
        <x:v>2.34</x:v>
      </x:c>
      <x:c r="C3249" s="274" t="n">
        <x:v>0</x:v>
      </x:c>
      <x:c r="D3249" s="274" t="n">
        <x:v>0</x:v>
      </x:c>
      <x:c r="F3249" s="274" t="s">
        <x:v>133</x:v>
      </x:c>
      <x:c r="G3249" s="274" t="s">
        <x:v>136</x:v>
      </x:c>
      <x:c r="H3249" s="274" t="n">
        <x:v>45</x:v>
      </x:c>
      <x:c r="I3249" s="274" t="n">
        <x:v>1.6</x:v>
      </x:c>
      <x:c r="J3249" s="274" t="n">
        <x:v>148</x:v>
      </x:c>
      <x:c r="K3249" s="274" t="n">
        <x:v>1250</x:v>
      </x:c>
      <x:c r="M3249" s="274" t="s">
        <x:v>6205</x:v>
      </x:c>
      <x:c r="N3249" s="274" t="s">
        <x:v>3671</x:v>
      </x:c>
    </x:row>
    <x:row r="3250" spans="1:14">
      <x:c r="A3250" s="274" t="s">
        <x:v>6206</x:v>
      </x:c>
      <x:c r="B3250" s="274" t="n">
        <x:v>2.45</x:v>
      </x:c>
      <x:c r="C3250" s="274" t="n">
        <x:v>0</x:v>
      </x:c>
      <x:c r="D3250" s="274" t="n">
        <x:v>0</x:v>
      </x:c>
      <x:c r="F3250" s="274" t="s">
        <x:v>123</x:v>
      </x:c>
      <x:c r="G3250" s="274" t="s">
        <x:v>129</x:v>
      </x:c>
      <x:c r="H3250" s="274" t="n">
        <x:v>45</x:v>
      </x:c>
      <x:c r="I3250" s="274" t="n">
        <x:v>2</x:v>
      </x:c>
      <x:c r="J3250" s="274" t="n">
        <x:v>124</x:v>
      </x:c>
      <x:c r="K3250" s="274" t="n">
        <x:v>1250</x:v>
      </x:c>
      <x:c r="M3250" s="274" t="s">
        <x:v>6207</x:v>
      </x:c>
      <x:c r="N3250" s="274" t="s">
        <x:v>3671</x:v>
      </x:c>
    </x:row>
    <x:row r="3251" spans="1:14">
      <x:c r="A3251" s="274" t="s">
        <x:v>6208</x:v>
      </x:c>
      <x:c r="B3251" s="274" t="n">
        <x:v>7.46</x:v>
      </x:c>
      <x:c r="C3251" s="274" t="n">
        <x:v>0</x:v>
      </x:c>
      <x:c r="D3251" s="274" t="n">
        <x:v>0</x:v>
      </x:c>
      <x:c r="F3251" s="274" t="s">
        <x:v>133</x:v>
      </x:c>
      <x:c r="G3251" s="274" t="s">
        <x:v>1636</x:v>
      </x:c>
      <x:c r="I3251" s="274" t="n">
        <x:v>10</x:v>
      </x:c>
      <x:c r="J3251" s="274" t="n">
        <x:v>76</x:v>
      </x:c>
      <x:c r="K3251" s="274" t="n">
        <x:v>1250</x:v>
      </x:c>
      <x:c r="M3251" s="274" t="s">
        <x:v>6209</x:v>
      </x:c>
      <x:c r="N3251" s="274" t="s">
        <x:v>3671</x:v>
      </x:c>
    </x:row>
    <x:row r="3252" spans="1:14">
      <x:c r="A3252" s="274" t="s">
        <x:v>6210</x:v>
      </x:c>
      <x:c r="B3252" s="274" t="n">
        <x:v>1.39</x:v>
      </x:c>
      <x:c r="C3252" s="274" t="n">
        <x:v>0</x:v>
      </x:c>
      <x:c r="D3252" s="274" t="n">
        <x:v>20</x:v>
      </x:c>
      <x:c r="E3252" s="274" t="n">
        <x:v>18</x:v>
      </x:c>
      <x:c r="F3252" s="274" t="s">
        <x:v>123</x:v>
      </x:c>
      <x:c r="G3252" s="274" t="s">
        <x:v>2796</x:v>
      </x:c>
      <x:c r="I3252" s="274" t="n">
        <x:v>2</x:v>
      </x:c>
      <x:c r="J3252" s="274" t="n">
        <x:v>70</x:v>
      </x:c>
      <x:c r="K3252" s="274" t="n">
        <x:v>1250</x:v>
      </x:c>
    </x:row>
    <x:row r="3253" spans="1:14">
      <x:c r="A3253" s="274" t="s">
        <x:v>6211</x:v>
      </x:c>
      <x:c r="B3253" s="274" t="n">
        <x:v>2.51</x:v>
      </x:c>
      <x:c r="C3253" s="274" t="n">
        <x:v>0</x:v>
      </x:c>
      <x:c r="D3253" s="274" t="n">
        <x:v>0</x:v>
      </x:c>
      <x:c r="F3253" s="274" t="s">
        <x:v>123</x:v>
      </x:c>
      <x:c r="G3253" s="274" t="s">
        <x:v>4302</x:v>
      </x:c>
      <x:c r="I3253" s="274" t="n">
        <x:v>2</x:v>
      </x:c>
      <x:c r="J3253" s="274" t="n">
        <x:v>128</x:v>
      </x:c>
      <x:c r="K3253" s="274" t="n">
        <x:v>1250</x:v>
      </x:c>
      <x:c r="M3253" s="274" t="s">
        <x:v>6212</x:v>
      </x:c>
      <x:c r="N3253" s="274" t="s">
        <x:v>4258</x:v>
      </x:c>
    </x:row>
    <x:row r="3254" spans="1:14">
      <x:c r="A3254" s="274" t="s">
        <x:v>6213</x:v>
      </x:c>
      <x:c r="B3254" s="274" t="n">
        <x:v>3.73</x:v>
      </x:c>
      <x:c r="C3254" s="274" t="n">
        <x:v>0</x:v>
      </x:c>
      <x:c r="D3254" s="274" t="n">
        <x:v>0</x:v>
      </x:c>
      <x:c r="F3254" s="274" t="s">
        <x:v>123</x:v>
      </x:c>
      <x:c r="G3254" s="274" t="s">
        <x:v>4302</x:v>
      </x:c>
      <x:c r="I3254" s="274" t="n">
        <x:v>2</x:v>
      </x:c>
      <x:c r="J3254" s="274" t="n">
        <x:v>190</x:v>
      </x:c>
      <x:c r="K3254" s="274" t="n">
        <x:v>1250</x:v>
      </x:c>
      <x:c r="M3254" s="274" t="s">
        <x:v>6214</x:v>
      </x:c>
      <x:c r="N3254" s="274" t="s">
        <x:v>4258</x:v>
      </x:c>
    </x:row>
    <x:row r="3255" spans="1:14">
      <x:c r="A3255" s="274" t="s">
        <x:v>6215</x:v>
      </x:c>
      <x:c r="B3255" s="274" t="n">
        <x:v>4.29</x:v>
      </x:c>
      <x:c r="C3255" s="274" t="n">
        <x:v>0</x:v>
      </x:c>
      <x:c r="D3255" s="274" t="n">
        <x:v>0</x:v>
      </x:c>
      <x:c r="F3255" s="274" t="s">
        <x:v>333</x:v>
      </x:c>
      <x:c r="G3255" s="274" t="s">
        <x:v>4663</x:v>
      </x:c>
      <x:c r="I3255" s="274" t="n">
        <x:v>1.2</x:v>
      </x:c>
      <x:c r="J3255" s="274" t="n">
        <x:v>364</x:v>
      </x:c>
      <x:c r="K3255" s="274" t="n">
        <x:v>1250</x:v>
      </x:c>
      <x:c r="M3255" s="274" t="s">
        <x:v>6216</x:v>
      </x:c>
      <x:c r="N3255" s="274" t="s">
        <x:v>4258</x:v>
      </x:c>
    </x:row>
    <x:row r="3256" spans="1:14">
      <x:c r="A3256" s="274" t="s">
        <x:v>6217</x:v>
      </x:c>
      <x:c r="B3256" s="274" t="n">
        <x:v>1.6</x:v>
      </x:c>
      <x:c r="C3256" s="274" t="n">
        <x:v>0</x:v>
      </x:c>
      <x:c r="D3256" s="274" t="n">
        <x:v>0</x:v>
      </x:c>
      <x:c r="F3256" s="274" t="s">
        <x:v>333</x:v>
      </x:c>
      <x:c r="G3256" s="274" t="s">
        <x:v>4663</x:v>
      </x:c>
      <x:c r="I3256" s="274" t="n">
        <x:v>1.6</x:v>
      </x:c>
      <x:c r="J3256" s="274" t="n">
        <x:v>102</x:v>
      </x:c>
      <x:c r="K3256" s="274" t="n">
        <x:v>1250</x:v>
      </x:c>
      <x:c r="M3256" s="274" t="s">
        <x:v>6218</x:v>
      </x:c>
      <x:c r="N3256" s="274" t="s">
        <x:v>4258</x:v>
      </x:c>
    </x:row>
    <x:row r="3257" spans="1:14">
      <x:c r="A3257" s="274" t="s">
        <x:v>6219</x:v>
      </x:c>
      <x:c r="B3257" s="274" t="n">
        <x:v>1.71</x:v>
      </x:c>
      <x:c r="C3257" s="274" t="n">
        <x:v>0</x:v>
      </x:c>
      <x:c r="D3257" s="274" t="n">
        <x:v>0</x:v>
      </x:c>
      <x:c r="F3257" s="274" t="s">
        <x:v>333</x:v>
      </x:c>
      <x:c r="G3257" s="274" t="s">
        <x:v>4663</x:v>
      </x:c>
      <x:c r="I3257" s="274" t="n">
        <x:v>1.6</x:v>
      </x:c>
      <x:c r="J3257" s="274" t="n">
        <x:v>109</x:v>
      </x:c>
      <x:c r="K3257" s="274" t="n">
        <x:v>1250</x:v>
      </x:c>
      <x:c r="M3257" s="274" t="s">
        <x:v>6220</x:v>
      </x:c>
      <x:c r="N3257" s="274" t="s">
        <x:v>4258</x:v>
      </x:c>
    </x:row>
    <x:row r="3258" spans="1:14">
      <x:c r="A3258" s="274" t="s">
        <x:v>6221</x:v>
      </x:c>
      <x:c r="B3258" s="274" t="n">
        <x:v>4</x:v>
      </x:c>
      <x:c r="C3258" s="274" t="n">
        <x:v>0</x:v>
      </x:c>
      <x:c r="D3258" s="274" t="n">
        <x:v>0</x:v>
      </x:c>
      <x:c r="F3258" s="274" t="s">
        <x:v>333</x:v>
      </x:c>
      <x:c r="G3258" s="274" t="s">
        <x:v>4663</x:v>
      </x:c>
      <x:c r="I3258" s="274" t="n">
        <x:v>1</x:v>
      </x:c>
      <x:c r="J3258" s="274" t="n">
        <x:v>408</x:v>
      </x:c>
      <x:c r="K3258" s="274" t="n">
        <x:v>1250</x:v>
      </x:c>
      <x:c r="M3258" s="274" t="s">
        <x:v>6222</x:v>
      </x:c>
      <x:c r="N3258" s="274" t="s">
        <x:v>4258</x:v>
      </x:c>
    </x:row>
    <x:row r="3259" spans="1:14">
      <x:c r="A3259" s="274" t="s">
        <x:v>6223</x:v>
      </x:c>
      <x:c r="B3259" s="274" t="n">
        <x:v>1.92</x:v>
      </x:c>
      <x:c r="C3259" s="274" t="n">
        <x:v>0</x:v>
      </x:c>
      <x:c r="D3259" s="274" t="n">
        <x:v>0</x:v>
      </x:c>
      <x:c r="F3259" s="274" t="s">
        <x:v>333</x:v>
      </x:c>
      <x:c r="G3259" s="274" t="s">
        <x:v>4663</x:v>
      </x:c>
      <x:c r="I3259" s="274" t="n">
        <x:v>0.8</x:v>
      </x:c>
      <x:c r="J3259" s="274" t="n">
        <x:v>244</x:v>
      </x:c>
      <x:c r="K3259" s="274" t="n">
        <x:v>1250</x:v>
      </x:c>
      <x:c r="M3259" s="274" t="s">
        <x:v>6224</x:v>
      </x:c>
      <x:c r="N3259" s="274" t="s">
        <x:v>4258</x:v>
      </x:c>
    </x:row>
    <x:row r="3260" spans="1:14">
      <x:c r="A3260" s="274" t="s">
        <x:v>6225</x:v>
      </x:c>
      <x:c r="B3260" s="274" t="n">
        <x:v>1.11</x:v>
      </x:c>
      <x:c r="C3260" s="274" t="n">
        <x:v>0</x:v>
      </x:c>
      <x:c r="D3260" s="274" t="n">
        <x:v>0</x:v>
      </x:c>
      <x:c r="F3260" s="274" t="s">
        <x:v>333</x:v>
      </x:c>
      <x:c r="G3260" s="274" t="s">
        <x:v>4663</x:v>
      </x:c>
      <x:c r="I3260" s="274" t="n">
        <x:v>1.4</x:v>
      </x:c>
      <x:c r="J3260" s="274" t="n">
        <x:v>81</x:v>
      </x:c>
      <x:c r="K3260" s="274" t="n">
        <x:v>1250</x:v>
      </x:c>
      <x:c r="M3260" s="274" t="s">
        <x:v>6226</x:v>
      </x:c>
      <x:c r="N3260" s="274" t="s">
        <x:v>4258</x:v>
      </x:c>
    </x:row>
    <x:row r="3261" spans="1:14">
      <x:c r="A3261" s="274" t="s">
        <x:v>6227</x:v>
      </x:c>
      <x:c r="B3261" s="274" t="n">
        <x:v>1.44</x:v>
      </x:c>
      <x:c r="C3261" s="274" t="n">
        <x:v>0</x:v>
      </x:c>
      <x:c r="D3261" s="274" t="n">
        <x:v>0</x:v>
      </x:c>
      <x:c r="F3261" s="274" t="s">
        <x:v>333</x:v>
      </x:c>
      <x:c r="G3261" s="274" t="s">
        <x:v>4663</x:v>
      </x:c>
      <x:c r="I3261" s="274" t="n">
        <x:v>1</x:v>
      </x:c>
      <x:c r="J3261" s="274" t="n">
        <x:v>147</x:v>
      </x:c>
      <x:c r="K3261" s="274" t="n">
        <x:v>1250</x:v>
      </x:c>
      <x:c r="M3261" s="274" t="s">
        <x:v>6228</x:v>
      </x:c>
      <x:c r="N3261" s="274" t="s">
        <x:v>4258</x:v>
      </x:c>
    </x:row>
    <x:row r="3262" spans="1:14">
      <x:c r="A3262" s="274" t="s">
        <x:v>6229</x:v>
      </x:c>
      <x:c r="B3262" s="274" t="n">
        <x:v>2.61</x:v>
      </x:c>
      <x:c r="C3262" s="274" t="n">
        <x:v>0</x:v>
      </x:c>
      <x:c r="D3262" s="274" t="n">
        <x:v>0</x:v>
      </x:c>
      <x:c r="F3262" s="274" t="s">
        <x:v>333</x:v>
      </x:c>
      <x:c r="G3262" s="274" t="s">
        <x:v>4663</x:v>
      </x:c>
      <x:c r="I3262" s="274" t="n">
        <x:v>1.2</x:v>
      </x:c>
      <x:c r="J3262" s="274" t="n">
        <x:v>222</x:v>
      </x:c>
      <x:c r="K3262" s="274" t="n">
        <x:v>1250</x:v>
      </x:c>
      <x:c r="M3262" s="274" t="s">
        <x:v>6230</x:v>
      </x:c>
      <x:c r="N3262" s="274" t="s">
        <x:v>4258</x:v>
      </x:c>
    </x:row>
    <x:row r="3263" spans="1:14">
      <x:c r="A3263" s="274" t="s">
        <x:v>6231</x:v>
      </x:c>
      <x:c r="B3263" s="274" t="n">
        <x:v>1.54</x:v>
      </x:c>
      <x:c r="C3263" s="274" t="n">
        <x:v>0</x:v>
      </x:c>
      <x:c r="D3263" s="274" t="n">
        <x:v>0</x:v>
      </x:c>
      <x:c r="F3263" s="274" t="s">
        <x:v>333</x:v>
      </x:c>
      <x:c r="G3263" s="274" t="s">
        <x:v>4663</x:v>
      </x:c>
      <x:c r="I3263" s="274" t="n">
        <x:v>1.2</x:v>
      </x:c>
      <x:c r="J3263" s="274" t="n">
        <x:v>131</x:v>
      </x:c>
      <x:c r="K3263" s="274" t="n">
        <x:v>1250</x:v>
      </x:c>
      <x:c r="M3263" s="274" t="s">
        <x:v>6230</x:v>
      </x:c>
      <x:c r="N3263" s="274" t="s">
        <x:v>4258</x:v>
      </x:c>
    </x:row>
    <x:row r="3264" spans="1:14">
      <x:c r="A3264" s="274" t="s">
        <x:v>6232</x:v>
      </x:c>
      <x:c r="B3264" s="274" t="n">
        <x:v>1.46</x:v>
      </x:c>
      <x:c r="C3264" s="274" t="n">
        <x:v>0</x:v>
      </x:c>
      <x:c r="D3264" s="274" t="n">
        <x:v>0</x:v>
      </x:c>
      <x:c r="F3264" s="274" t="s">
        <x:v>333</x:v>
      </x:c>
      <x:c r="G3264" s="274" t="s">
        <x:v>4663</x:v>
      </x:c>
      <x:c r="I3264" s="274" t="n">
        <x:v>1</x:v>
      </x:c>
      <x:c r="J3264" s="274" t="n">
        <x:v>149</x:v>
      </x:c>
      <x:c r="K3264" s="274" t="n">
        <x:v>1250</x:v>
      </x:c>
      <x:c r="M3264" s="274" t="s">
        <x:v>6233</x:v>
      </x:c>
      <x:c r="N3264" s="274" t="s">
        <x:v>4258</x:v>
      </x:c>
    </x:row>
    <x:row r="3265" spans="1:14">
      <x:c r="A3265" s="274" t="s">
        <x:v>6234</x:v>
      </x:c>
      <x:c r="B3265" s="274" t="n">
        <x:v>1.72</x:v>
      </x:c>
      <x:c r="C3265" s="274" t="n">
        <x:v>0</x:v>
      </x:c>
      <x:c r="D3265" s="274" t="n">
        <x:v>0</x:v>
      </x:c>
      <x:c r="F3265" s="274" t="s">
        <x:v>333</x:v>
      </x:c>
      <x:c r="G3265" s="274" t="s">
        <x:v>4663</x:v>
      </x:c>
      <x:c r="I3265" s="274" t="n">
        <x:v>1.2</x:v>
      </x:c>
      <x:c r="J3265" s="274" t="n">
        <x:v>146</x:v>
      </x:c>
      <x:c r="K3265" s="274" t="n">
        <x:v>1250</x:v>
      </x:c>
      <x:c r="M3265" s="274" t="s">
        <x:v>6235</x:v>
      </x:c>
      <x:c r="N3265" s="274" t="s">
        <x:v>4258</x:v>
      </x:c>
    </x:row>
    <x:row r="3266" spans="1:14">
      <x:c r="A3266" s="274" t="s">
        <x:v>6236</x:v>
      </x:c>
      <x:c r="B3266" s="274" t="n">
        <x:v>1.06</x:v>
      </x:c>
      <x:c r="C3266" s="274" t="n">
        <x:v>0</x:v>
      </x:c>
      <x:c r="D3266" s="274" t="n">
        <x:v>0</x:v>
      </x:c>
      <x:c r="F3266" s="274" t="s">
        <x:v>333</x:v>
      </x:c>
      <x:c r="G3266" s="274" t="s">
        <x:v>4663</x:v>
      </x:c>
      <x:c r="I3266" s="274" t="n">
        <x:v>1.2</x:v>
      </x:c>
      <x:c r="J3266" s="274" t="n">
        <x:v>90</x:v>
      </x:c>
      <x:c r="K3266" s="274" t="n">
        <x:v>1250</x:v>
      </x:c>
      <x:c r="M3266" s="274" t="s">
        <x:v>6237</x:v>
      </x:c>
      <x:c r="N3266" s="274" t="s">
        <x:v>4258</x:v>
      </x:c>
    </x:row>
    <x:row r="3267" spans="1:14">
      <x:c r="A3267" s="274" t="s">
        <x:v>6238</x:v>
      </x:c>
      <x:c r="B3267" s="274" t="n">
        <x:v>3.63</x:v>
      </x:c>
      <x:c r="C3267" s="274" t="n">
        <x:v>0</x:v>
      </x:c>
      <x:c r="D3267" s="274" t="n">
        <x:v>0</x:v>
      </x:c>
      <x:c r="F3267" s="274" t="s">
        <x:v>333</x:v>
      </x:c>
      <x:c r="G3267" s="274" t="s">
        <x:v>4663</x:v>
      </x:c>
      <x:c r="I3267" s="274" t="n">
        <x:v>1.2</x:v>
      </x:c>
      <x:c r="J3267" s="274" t="n">
        <x:v>308</x:v>
      </x:c>
      <x:c r="K3267" s="274" t="n">
        <x:v>1250</x:v>
      </x:c>
      <x:c r="M3267" s="274" t="s">
        <x:v>6239</x:v>
      </x:c>
      <x:c r="N3267" s="274" t="s">
        <x:v>4258</x:v>
      </x:c>
    </x:row>
    <x:row r="3268" spans="1:14">
      <x:c r="A3268" s="274" t="s">
        <x:v>6240</x:v>
      </x:c>
      <x:c r="B3268" s="274" t="n">
        <x:v>0.57</x:v>
      </x:c>
      <x:c r="C3268" s="274" t="n">
        <x:v>0</x:v>
      </x:c>
      <x:c r="D3268" s="274" t="n">
        <x:v>0</x:v>
      </x:c>
      <x:c r="F3268" s="274" t="s">
        <x:v>333</x:v>
      </x:c>
      <x:c r="G3268" s="274" t="s">
        <x:v>4663</x:v>
      </x:c>
      <x:c r="I3268" s="274" t="n">
        <x:v>1</x:v>
      </x:c>
      <x:c r="J3268" s="274" t="n">
        <x:v>58</x:v>
      </x:c>
      <x:c r="K3268" s="274" t="n">
        <x:v>1250</x:v>
      </x:c>
      <x:c r="M3268" s="274" t="s">
        <x:v>6241</x:v>
      </x:c>
      <x:c r="N3268" s="274" t="s">
        <x:v>4258</x:v>
      </x:c>
    </x:row>
    <x:row r="3269" spans="1:14">
      <x:c r="A3269" s="274" t="s">
        <x:v>6242</x:v>
      </x:c>
      <x:c r="B3269" s="274" t="n">
        <x:v>1.17</x:v>
      </x:c>
      <x:c r="C3269" s="274" t="n">
        <x:v>0</x:v>
      </x:c>
      <x:c r="D3269" s="274" t="n">
        <x:v>0</x:v>
      </x:c>
      <x:c r="F3269" s="274" t="s">
        <x:v>333</x:v>
      </x:c>
      <x:c r="G3269" s="274" t="s">
        <x:v>4663</x:v>
      </x:c>
      <x:c r="I3269" s="274" t="n">
        <x:v>1</x:v>
      </x:c>
      <x:c r="J3269" s="274" t="n">
        <x:v>119</x:v>
      </x:c>
      <x:c r="K3269" s="274" t="n">
        <x:v>1250</x:v>
      </x:c>
      <x:c r="M3269" s="274" t="s">
        <x:v>6243</x:v>
      </x:c>
      <x:c r="N3269" s="274" t="s">
        <x:v>4258</x:v>
      </x:c>
    </x:row>
    <x:row r="3270" spans="1:14">
      <x:c r="A3270" s="274" t="s">
        <x:v>6244</x:v>
      </x:c>
      <x:c r="B3270" s="274" t="n">
        <x:v>0.51</x:v>
      </x:c>
      <x:c r="C3270" s="274" t="n">
        <x:v>0</x:v>
      </x:c>
      <x:c r="D3270" s="274" t="n">
        <x:v>0</x:v>
      </x:c>
      <x:c r="F3270" s="274" t="s">
        <x:v>333</x:v>
      </x:c>
      <x:c r="G3270" s="274" t="s">
        <x:v>4663</x:v>
      </x:c>
      <x:c r="I3270" s="274" t="n">
        <x:v>0.8</x:v>
      </x:c>
      <x:c r="J3270" s="274" t="n">
        <x:v>65</x:v>
      </x:c>
      <x:c r="K3270" s="274" t="n">
        <x:v>1250</x:v>
      </x:c>
      <x:c r="M3270" s="274" t="s">
        <x:v>6245</x:v>
      </x:c>
      <x:c r="N3270" s="274" t="s">
        <x:v>4258</x:v>
      </x:c>
    </x:row>
    <x:row r="3271" spans="1:14">
      <x:c r="A3271" s="274" t="s">
        <x:v>6246</x:v>
      </x:c>
      <x:c r="B3271" s="274" t="n">
        <x:v>2.4</x:v>
      </x:c>
      <x:c r="C3271" s="274" t="n">
        <x:v>0</x:v>
      </x:c>
      <x:c r="D3271" s="274" t="n">
        <x:v>0</x:v>
      </x:c>
      <x:c r="F3271" s="274" t="s">
        <x:v>333</x:v>
      </x:c>
      <x:c r="G3271" s="274" t="s">
        <x:v>4663</x:v>
      </x:c>
      <x:c r="I3271" s="274" t="n">
        <x:v>1.2</x:v>
      </x:c>
      <x:c r="J3271" s="274" t="n">
        <x:v>204</x:v>
      </x:c>
      <x:c r="K3271" s="274" t="n">
        <x:v>1250</x:v>
      </x:c>
      <x:c r="M3271" s="274" t="s">
        <x:v>6247</x:v>
      </x:c>
      <x:c r="N3271" s="274" t="s">
        <x:v>4258</x:v>
      </x:c>
    </x:row>
    <x:row r="3272" spans="1:14">
      <x:c r="A3272" s="274" t="s">
        <x:v>6248</x:v>
      </x:c>
      <x:c r="B3272" s="274" t="n">
        <x:v>0.98</x:v>
      </x:c>
      <x:c r="C3272" s="274" t="n">
        <x:v>0</x:v>
      </x:c>
      <x:c r="D3272" s="274" t="n">
        <x:v>0</x:v>
      </x:c>
      <x:c r="F3272" s="274" t="s">
        <x:v>333</x:v>
      </x:c>
      <x:c r="G3272" s="274" t="s">
        <x:v>4663</x:v>
      </x:c>
      <x:c r="I3272" s="274" t="n">
        <x:v>1.2</x:v>
      </x:c>
      <x:c r="J3272" s="274" t="n">
        <x:v>83</x:v>
      </x:c>
      <x:c r="K3272" s="274" t="n">
        <x:v>1250</x:v>
      </x:c>
      <x:c r="M3272" s="274" t="s">
        <x:v>6249</x:v>
      </x:c>
      <x:c r="N3272" s="274" t="s">
        <x:v>4258</x:v>
      </x:c>
    </x:row>
    <x:row r="3273" spans="1:14">
      <x:c r="A3273" s="274" t="s">
        <x:v>6250</x:v>
      </x:c>
      <x:c r="B3273" s="274" t="n">
        <x:v>2.57</x:v>
      </x:c>
      <x:c r="C3273" s="274" t="n">
        <x:v>0</x:v>
      </x:c>
      <x:c r="D3273" s="274" t="n">
        <x:v>0</x:v>
      </x:c>
      <x:c r="F3273" s="274" t="s">
        <x:v>333</x:v>
      </x:c>
      <x:c r="G3273" s="274" t="s">
        <x:v>4663</x:v>
      </x:c>
      <x:c r="I3273" s="274" t="n">
        <x:v>1.2</x:v>
      </x:c>
      <x:c r="J3273" s="274" t="n">
        <x:v>218</x:v>
      </x:c>
      <x:c r="K3273" s="274" t="n">
        <x:v>1250</x:v>
      </x:c>
      <x:c r="M3273" s="274" t="s">
        <x:v>6251</x:v>
      </x:c>
      <x:c r="N3273" s="274" t="s">
        <x:v>4258</x:v>
      </x:c>
    </x:row>
    <x:row r="3274" spans="1:14">
      <x:c r="A3274" s="274" t="s">
        <x:v>6252</x:v>
      </x:c>
      <x:c r="B3274" s="274" t="n">
        <x:v>3.41</x:v>
      </x:c>
      <x:c r="C3274" s="274" t="n">
        <x:v>0</x:v>
      </x:c>
      <x:c r="D3274" s="274" t="n">
        <x:v>0</x:v>
      </x:c>
      <x:c r="F3274" s="274" t="s">
        <x:v>333</x:v>
      </x:c>
      <x:c r="G3274" s="274" t="s">
        <x:v>4663</x:v>
      </x:c>
      <x:c r="I3274" s="274" t="n">
        <x:v>1.2</x:v>
      </x:c>
      <x:c r="J3274" s="274" t="n">
        <x:v>290</x:v>
      </x:c>
      <x:c r="K3274" s="274" t="n">
        <x:v>1250</x:v>
      </x:c>
      <x:c r="M3274" s="274" t="s">
        <x:v>6253</x:v>
      </x:c>
      <x:c r="N3274" s="274" t="s">
        <x:v>4258</x:v>
      </x:c>
    </x:row>
    <x:row r="3275" spans="1:14">
      <x:c r="A3275" s="274" t="s">
        <x:v>6254</x:v>
      </x:c>
      <x:c r="B3275" s="274" t="n">
        <x:v>4.71</x:v>
      </x:c>
      <x:c r="C3275" s="274" t="n">
        <x:v>0</x:v>
      </x:c>
      <x:c r="D3275" s="274" t="n">
        <x:v>0</x:v>
      </x:c>
      <x:c r="F3275" s="274" t="s">
        <x:v>333</x:v>
      </x:c>
      <x:c r="G3275" s="274" t="s">
        <x:v>4663</x:v>
      </x:c>
      <x:c r="I3275" s="274" t="n">
        <x:v>1.2</x:v>
      </x:c>
      <x:c r="J3275" s="274" t="n">
        <x:v>400</x:v>
      </x:c>
      <x:c r="K3275" s="274" t="n">
        <x:v>1250</x:v>
      </x:c>
      <x:c r="M3275" s="274" t="s">
        <x:v>6255</x:v>
      </x:c>
      <x:c r="N3275" s="274" t="s">
        <x:v>4258</x:v>
      </x:c>
    </x:row>
    <x:row r="3276" spans="1:14">
      <x:c r="A3276" s="274" t="s">
        <x:v>6256</x:v>
      </x:c>
      <x:c r="B3276" s="274" t="n">
        <x:v>1.77</x:v>
      </x:c>
      <x:c r="C3276" s="274" t="n">
        <x:v>0</x:v>
      </x:c>
      <x:c r="D3276" s="274" t="n">
        <x:v>0</x:v>
      </x:c>
      <x:c r="F3276" s="274" t="s">
        <x:v>333</x:v>
      </x:c>
      <x:c r="G3276" s="274" t="s">
        <x:v>4663</x:v>
      </x:c>
      <x:c r="I3276" s="274" t="n">
        <x:v>1</x:v>
      </x:c>
      <x:c r="J3276" s="274" t="n">
        <x:v>180</x:v>
      </x:c>
      <x:c r="K3276" s="274" t="n">
        <x:v>1250</x:v>
      </x:c>
      <x:c r="M3276" s="274" t="s">
        <x:v>6257</x:v>
      </x:c>
      <x:c r="N3276" s="274" t="s">
        <x:v>4258</x:v>
      </x:c>
    </x:row>
    <x:row r="3277" spans="1:14">
      <x:c r="A3277" s="274" t="s">
        <x:v>6258</x:v>
      </x:c>
      <x:c r="B3277" s="274" t="n">
        <x:v>4.28</x:v>
      </x:c>
      <x:c r="C3277" s="274" t="n">
        <x:v>0</x:v>
      </x:c>
      <x:c r="D3277" s="274" t="n">
        <x:v>45</x:v>
      </x:c>
      <x:c r="E3277" s="274" t="n">
        <x:v>40</x:v>
      </x:c>
      <x:c r="F3277" s="274" t="s">
        <x:v>1980</x:v>
      </x:c>
      <x:c r="G3277" s="274" t="s">
        <x:v>1981</x:v>
      </x:c>
      <x:c r="I3277" s="274" t="n">
        <x:v>0.8</x:v>
      </x:c>
      <x:c r="J3277" s="274" t="n">
        <x:v>695</x:v>
      </x:c>
      <x:c r="K3277" s="274" t="n">
        <x:v>980</x:v>
      </x:c>
      <x:c r="M3277" s="274" t="s">
        <x:v>3471</x:v>
      </x:c>
    </x:row>
    <x:row r="3278" spans="1:14">
      <x:c r="A3278" s="274" t="s">
        <x:v>6259</x:v>
      </x:c>
      <x:c r="B3278" s="274" t="n">
        <x:v>0.74</x:v>
      </x:c>
      <x:c r="C3278" s="274" t="n">
        <x:v>0</x:v>
      </x:c>
      <x:c r="D3278" s="274" t="n">
        <x:v>0</x:v>
      </x:c>
      <x:c r="F3278" s="274" t="s">
        <x:v>123</x:v>
      </x:c>
      <x:c r="G3278" s="274" t="s">
        <x:v>136</x:v>
      </x:c>
      <x:c r="H3278" s="274" t="n">
        <x:v>45</x:v>
      </x:c>
      <x:c r="I3278" s="274" t="n">
        <x:v>0.55</x:v>
      </x:c>
      <x:c r="J3278" s="274" t="n">
        <x:v>1000</x:v>
      </x:c>
      <x:c r="K3278" s="274" t="n">
        <x:v>169</x:v>
      </x:c>
      <x:c r="M3278" s="274" t="s">
        <x:v>6260</x:v>
      </x:c>
      <x:c r="N3278" s="274" t="s">
        <x:v>3671</x:v>
      </x:c>
    </x:row>
    <x:row r="3279" spans="1:14">
      <x:c r="A3279" s="274" t="s">
        <x:v>6261</x:v>
      </x:c>
      <x:c r="B3279" s="274" t="n">
        <x:v>2.13</x:v>
      </x:c>
      <x:c r="C3279" s="274" t="n">
        <x:v>0</x:v>
      </x:c>
      <x:c r="D3279" s="274" t="n">
        <x:v>0</x:v>
      </x:c>
      <x:c r="F3279" s="274" t="s">
        <x:v>123</x:v>
      </x:c>
      <x:c r="G3279" s="274" t="s">
        <x:v>136</x:v>
      </x:c>
      <x:c r="H3279" s="274" t="n">
        <x:v>45</x:v>
      </x:c>
      <x:c r="I3279" s="274" t="n">
        <x:v>0.55</x:v>
      </x:c>
      <x:c r="J3279" s="274" t="n">
        <x:v>1210</x:v>
      </x:c>
      <x:c r="K3279" s="274" t="n">
        <x:v>400</x:v>
      </x:c>
      <x:c r="M3279" s="274" t="s">
        <x:v>5723</x:v>
      </x:c>
      <x:c r="N3279" s="274" t="s">
        <x:v>3671</x:v>
      </x:c>
    </x:row>
    <x:row r="3280" spans="1:14">
      <x:c r="A3280" s="274" t="s">
        <x:v>6262</x:v>
      </x:c>
      <x:c r="B3280" s="274" t="n">
        <x:v>0.96</x:v>
      </x:c>
      <x:c r="C3280" s="274" t="n">
        <x:v>0</x:v>
      </x:c>
      <x:c r="D3280" s="274" t="n">
        <x:v>0</x:v>
      </x:c>
      <x:c r="F3280" s="274" t="s">
        <x:v>333</x:v>
      </x:c>
      <x:c r="G3280" s="274" t="s">
        <x:v>153</x:v>
      </x:c>
      <x:c r="I3280" s="274" t="n">
        <x:v>0.65</x:v>
      </x:c>
      <x:c r="J3280" s="274" t="n">
        <x:v>581</x:v>
      </x:c>
      <x:c r="K3280" s="274" t="n">
        <x:v>323</x:v>
      </x:c>
      <x:c r="M3280" s="274" t="s">
        <x:v>5729</x:v>
      </x:c>
      <x:c r="N3280" s="274" t="s">
        <x:v>3671</x:v>
      </x:c>
    </x:row>
    <x:row r="3281" spans="1:14">
      <x:c r="A3281" s="274" t="s">
        <x:v>6263</x:v>
      </x:c>
      <x:c r="B3281" s="274" t="n">
        <x:v>0.2</x:v>
      </x:c>
      <x:c r="C3281" s="274" t="n">
        <x:v>0</x:v>
      </x:c>
      <x:c r="D3281" s="274" t="n">
        <x:v>0</x:v>
      </x:c>
      <x:c r="F3281" s="274" t="s">
        <x:v>333</x:v>
      </x:c>
      <x:c r="G3281" s="274" t="s">
        <x:v>153</x:v>
      </x:c>
      <x:c r="I3281" s="274" t="n">
        <x:v>0.7</x:v>
      </x:c>
      <x:c r="J3281" s="274" t="n">
        <x:v>273</x:v>
      </x:c>
      <x:c r="K3281" s="274" t="n">
        <x:v>135</x:v>
      </x:c>
      <x:c r="M3281" s="274" t="s">
        <x:v>6083</x:v>
      </x:c>
      <x:c r="N3281" s="274" t="s">
        <x:v>3671</x:v>
      </x:c>
    </x:row>
    <x:row r="3282" spans="1:14">
      <x:c r="A3282" s="274" t="s">
        <x:v>6264</x:v>
      </x:c>
      <x:c r="B3282" s="274" t="n">
        <x:v>0.24</x:v>
      </x:c>
      <x:c r="C3282" s="274" t="n">
        <x:v>0</x:v>
      </x:c>
      <x:c r="D3282" s="274" t="n">
        <x:v>0</x:v>
      </x:c>
      <x:c r="F3282" s="274" t="s">
        <x:v>333</x:v>
      </x:c>
      <x:c r="G3282" s="274" t="s">
        <x:v>153</x:v>
      </x:c>
      <x:c r="I3282" s="274" t="n">
        <x:v>0.7</x:v>
      </x:c>
      <x:c r="J3282" s="274" t="n">
        <x:v>348</x:v>
      </x:c>
      <x:c r="K3282" s="274" t="n">
        <x:v>127</x:v>
      </x:c>
      <x:c r="M3282" s="274" t="s">
        <x:v>5735</x:v>
      </x:c>
      <x:c r="N3282" s="274" t="s">
        <x:v>3671</x:v>
      </x:c>
    </x:row>
    <x:row r="3283" spans="1:14">
      <x:c r="A3283" s="274" t="s">
        <x:v>6265</x:v>
      </x:c>
      <x:c r="B3283" s="274" t="n">
        <x:v>0.53</x:v>
      </x:c>
      <x:c r="C3283" s="274" t="n">
        <x:v>0</x:v>
      </x:c>
      <x:c r="D3283" s="274" t="n">
        <x:v>0</x:v>
      </x:c>
      <x:c r="F3283" s="274" t="s">
        <x:v>333</x:v>
      </x:c>
      <x:c r="G3283" s="274" t="s">
        <x:v>153</x:v>
      </x:c>
      <x:c r="I3283" s="274" t="n">
        <x:v>0.7</x:v>
      </x:c>
      <x:c r="J3283" s="274" t="n">
        <x:v>436</x:v>
      </x:c>
      <x:c r="K3283" s="274" t="n">
        <x:v>223</x:v>
      </x:c>
      <x:c r="M3283" s="274" t="s">
        <x:v>6081</x:v>
      </x:c>
      <x:c r="N3283" s="274" t="s">
        <x:v>3671</x:v>
      </x:c>
    </x:row>
    <x:row r="3284" spans="1:14">
      <x:c r="A3284" s="274" t="s">
        <x:v>6266</x:v>
      </x:c>
      <x:c r="B3284" s="274" t="n">
        <x:v>0.86</x:v>
      </x:c>
      <x:c r="C3284" s="274" t="n">
        <x:v>0</x:v>
      </x:c>
      <x:c r="D3284" s="274" t="n">
        <x:v>0</x:v>
      </x:c>
      <x:c r="F3284" s="274" t="s">
        <x:v>333</x:v>
      </x:c>
      <x:c r="G3284" s="274" t="s">
        <x:v>153</x:v>
      </x:c>
      <x:c r="I3284" s="274" t="n">
        <x:v>0.7</x:v>
      </x:c>
      <x:c r="J3284" s="274" t="n">
        <x:v>1078</x:v>
      </x:c>
      <x:c r="K3284" s="274" t="n">
        <x:v>145</x:v>
      </x:c>
      <x:c r="M3284" s="274" t="s">
        <x:v>4345</x:v>
      </x:c>
      <x:c r="N3284" s="274" t="s">
        <x:v>3671</x:v>
      </x:c>
    </x:row>
    <x:row r="3285" spans="1:14">
      <x:c r="A3285" s="274" t="s">
        <x:v>6267</x:v>
      </x:c>
      <x:c r="B3285" s="274" t="n">
        <x:v>0.25</x:v>
      </x:c>
      <x:c r="C3285" s="274" t="n">
        <x:v>0</x:v>
      </x:c>
      <x:c r="D3285" s="274" t="n">
        <x:v>0</x:v>
      </x:c>
      <x:c r="F3285" s="274" t="s">
        <x:v>333</x:v>
      </x:c>
      <x:c r="G3285" s="274" t="s">
        <x:v>209</x:v>
      </x:c>
      <x:c r="I3285" s="274" t="n">
        <x:v>0.75</x:v>
      </x:c>
      <x:c r="J3285" s="274" t="n">
        <x:v>110</x:v>
      </x:c>
      <x:c r="K3285" s="274" t="n">
        <x:v>380</x:v>
      </x:c>
      <x:c r="M3285" s="274" t="s">
        <x:v>6086</x:v>
      </x:c>
      <x:c r="N3285" s="274" t="s">
        <x:v>3671</x:v>
      </x:c>
    </x:row>
    <x:row r="3286" spans="1:14">
      <x:c r="A3286" s="274" t="s">
        <x:v>6268</x:v>
      </x:c>
      <x:c r="B3286" s="274" t="n">
        <x:v>1.57</x:v>
      </x:c>
      <x:c r="C3286" s="274" t="n">
        <x:v>0</x:v>
      </x:c>
      <x:c r="D3286" s="274" t="n">
        <x:v>0</x:v>
      </x:c>
      <x:c r="F3286" s="274" t="s">
        <x:v>333</x:v>
      </x:c>
      <x:c r="G3286" s="274" t="s">
        <x:v>124</x:v>
      </x:c>
      <x:c r="I3286" s="274" t="n">
        <x:v>0.75</x:v>
      </x:c>
      <x:c r="J3286" s="274" t="n">
        <x:v>762</x:v>
      </x:c>
      <x:c r="K3286" s="274" t="n">
        <x:v>350</x:v>
      </x:c>
      <x:c r="M3286" s="274" t="s">
        <x:v>6054</x:v>
      </x:c>
      <x:c r="N3286" s="274" t="s">
        <x:v>3671</x:v>
      </x:c>
    </x:row>
    <x:row r="3287" spans="1:14">
      <x:c r="A3287" s="274" t="s">
        <x:v>6269</x:v>
      </x:c>
      <x:c r="B3287" s="274" t="n">
        <x:v>0.34</x:v>
      </x:c>
      <x:c r="C3287" s="274" t="n">
        <x:v>0</x:v>
      </x:c>
      <x:c r="D3287" s="274" t="n">
        <x:v>0</x:v>
      </x:c>
      <x:c r="F3287" s="274" t="s">
        <x:v>133</x:v>
      </x:c>
      <x:c r="G3287" s="274" t="s">
        <x:v>136</x:v>
      </x:c>
      <x:c r="H3287" s="274" t="n">
        <x:v>45</x:v>
      </x:c>
      <x:c r="I3287" s="274" t="n">
        <x:v>0.8</x:v>
      </x:c>
      <x:c r="J3287" s="274" t="n">
        <x:v>457</x:v>
      </x:c>
      <x:c r="K3287" s="274" t="n">
        <x:v>116</x:v>
      </x:c>
      <x:c r="M3287" s="274" t="s">
        <x:v>6090</x:v>
      </x:c>
      <x:c r="N3287" s="274" t="s">
        <x:v>3671</x:v>
      </x:c>
    </x:row>
    <x:row r="3288" spans="1:14">
      <x:c r="A3288" s="274" t="s">
        <x:v>6270</x:v>
      </x:c>
      <x:c r="B3288" s="274" t="n">
        <x:v>0.84</x:v>
      </x:c>
      <x:c r="C3288" s="274" t="n">
        <x:v>0</x:v>
      </x:c>
      <x:c r="D3288" s="274" t="n">
        <x:v>0</x:v>
      </x:c>
      <x:c r="F3288" s="274" t="s">
        <x:v>133</x:v>
      </x:c>
      <x:c r="G3288" s="274" t="s">
        <x:v>144</x:v>
      </x:c>
      <x:c r="H3288" s="274" t="n">
        <x:v>45</x:v>
      </x:c>
      <x:c r="I3288" s="274" t="n">
        <x:v>0.8</x:v>
      </x:c>
      <x:c r="J3288" s="274" t="n">
        <x:v>657</x:v>
      </x:c>
      <x:c r="K3288" s="274" t="n">
        <x:v>200</x:v>
      </x:c>
      <x:c r="M3288" s="274" t="s">
        <x:v>6092</x:v>
      </x:c>
      <x:c r="N3288" s="274" t="s">
        <x:v>3671</x:v>
      </x:c>
    </x:row>
    <x:row r="3289" spans="1:14">
      <x:c r="A3289" s="274" t="s">
        <x:v>6271</x:v>
      </x:c>
      <x:c r="B3289" s="274" t="n">
        <x:v>1.37</x:v>
      </x:c>
      <x:c r="C3289" s="274" t="n">
        <x:v>0</x:v>
      </x:c>
      <x:c r="D3289" s="274" t="n">
        <x:v>0</x:v>
      </x:c>
      <x:c r="F3289" s="274" t="s">
        <x:v>133</x:v>
      </x:c>
      <x:c r="G3289" s="274" t="s">
        <x:v>144</x:v>
      </x:c>
      <x:c r="H3289" s="274" t="n">
        <x:v>45</x:v>
      </x:c>
      <x:c r="I3289" s="274" t="n">
        <x:v>0.8</x:v>
      </x:c>
      <x:c r="J3289" s="274" t="n">
        <x:v>975</x:v>
      </x:c>
      <x:c r="K3289" s="274" t="n">
        <x:v>221</x:v>
      </x:c>
      <x:c r="M3289" s="274" t="s">
        <x:v>6088</x:v>
      </x:c>
      <x:c r="N3289" s="274" t="s">
        <x:v>3671</x:v>
      </x:c>
    </x:row>
    <x:row r="3290" spans="1:14">
      <x:c r="A3290" s="274" t="s">
        <x:v>6272</x:v>
      </x:c>
      <x:c r="B3290" s="274" t="n">
        <x:v>1.45</x:v>
      </x:c>
      <x:c r="C3290" s="274" t="n">
        <x:v>0</x:v>
      </x:c>
      <x:c r="D3290" s="274" t="n">
        <x:v>0</x:v>
      </x:c>
      <x:c r="F3290" s="274" t="s">
        <x:v>333</x:v>
      </x:c>
      <x:c r="G3290" s="274" t="s">
        <x:v>124</x:v>
      </x:c>
      <x:c r="I3290" s="274" t="n">
        <x:v>0.8</x:v>
      </x:c>
      <x:c r="J3290" s="274" t="n">
        <x:v>320</x:v>
      </x:c>
      <x:c r="K3290" s="274" t="n">
        <x:v>720</x:v>
      </x:c>
      <x:c r="M3290" s="274" t="s">
        <x:v>6056</x:v>
      </x:c>
      <x:c r="N3290" s="274" t="s">
        <x:v>3671</x:v>
      </x:c>
    </x:row>
    <x:row r="3291" spans="1:14">
      <x:c r="A3291" s="274" t="s">
        <x:v>6273</x:v>
      </x:c>
      <x:c r="B3291" s="274" t="n">
        <x:v>2.88</x:v>
      </x:c>
      <x:c r="C3291" s="274" t="n">
        <x:v>0</x:v>
      </x:c>
      <x:c r="D3291" s="274" t="n">
        <x:v>0</x:v>
      </x:c>
      <x:c r="F3291" s="274" t="s">
        <x:v>333</x:v>
      </x:c>
      <x:c r="G3291" s="274" t="s">
        <x:v>124</x:v>
      </x:c>
      <x:c r="I3291" s="274" t="n">
        <x:v>0.8</x:v>
      </x:c>
      <x:c r="J3291" s="274" t="n">
        <x:v>1155</x:v>
      </x:c>
      <x:c r="K3291" s="274" t="n">
        <x:v>397</x:v>
      </x:c>
      <x:c r="M3291" s="274" t="s">
        <x:v>6058</x:v>
      </x:c>
      <x:c r="N3291" s="274" t="s">
        <x:v>3671</x:v>
      </x:c>
    </x:row>
    <x:row r="3292" spans="1:14">
      <x:c r="A3292" s="274" t="s">
        <x:v>6274</x:v>
      </x:c>
      <x:c r="B3292" s="274" t="n">
        <x:v>0.33</x:v>
      </x:c>
      <x:c r="C3292" s="274" t="n">
        <x:v>0</x:v>
      </x:c>
      <x:c r="D3292" s="274" t="n">
        <x:v>0</x:v>
      </x:c>
      <x:c r="F3292" s="274" t="s">
        <x:v>333</x:v>
      </x:c>
      <x:c r="G3292" s="274" t="s">
        <x:v>153</x:v>
      </x:c>
      <x:c r="I3292" s="274" t="n">
        <x:v>0.9</x:v>
      </x:c>
      <x:c r="J3292" s="274" t="n">
        <x:v>460</x:v>
      </x:c>
      <x:c r="K3292" s="274" t="n">
        <x:v>102</x:v>
      </x:c>
      <x:c r="M3292" s="274" t="s">
        <x:v>5786</x:v>
      </x:c>
      <x:c r="N3292" s="274" t="s">
        <x:v>3671</x:v>
      </x:c>
    </x:row>
    <x:row r="3293" spans="1:14">
      <x:c r="A3293" s="274" t="s">
        <x:v>6275</x:v>
      </x:c>
      <x:c r="B3293" s="274" t="n">
        <x:v>2.76</x:v>
      </x:c>
      <x:c r="C3293" s="274" t="n">
        <x:v>0</x:v>
      </x:c>
      <x:c r="D3293" s="274" t="n">
        <x:v>0</x:v>
      </x:c>
      <x:c r="F3293" s="274" t="s">
        <x:v>333</x:v>
      </x:c>
      <x:c r="G3293" s="274" t="s">
        <x:v>209</x:v>
      </x:c>
      <x:c r="I3293" s="274" t="n">
        <x:v>0.9</x:v>
      </x:c>
      <x:c r="J3293" s="274" t="n">
        <x:v>326</x:v>
      </x:c>
      <x:c r="K3293" s="274" t="n">
        <x:v>1200</x:v>
      </x:c>
      <x:c r="M3293" s="274" t="s">
        <x:v>5792</x:v>
      </x:c>
      <x:c r="N3293" s="274" t="s">
        <x:v>3671</x:v>
      </x:c>
    </x:row>
    <x:row r="3294" spans="1:14">
      <x:c r="A3294" s="274" t="s">
        <x:v>6276</x:v>
      </x:c>
      <x:c r="B3294" s="274" t="n">
        <x:v>0.59</x:v>
      </x:c>
      <x:c r="C3294" s="274" t="n">
        <x:v>0</x:v>
      </x:c>
      <x:c r="D3294" s="274" t="n">
        <x:v>0</x:v>
      </x:c>
      <x:c r="F3294" s="274" t="s">
        <x:v>133</x:v>
      </x:c>
      <x:c r="G3294" s="274" t="s">
        <x:v>136</x:v>
      </x:c>
      <x:c r="H3294" s="274" t="n">
        <x:v>45</x:v>
      </x:c>
      <x:c r="I3294" s="274" t="n">
        <x:v>0.9</x:v>
      </x:c>
      <x:c r="J3294" s="274" t="n">
        <x:v>299</x:v>
      </x:c>
      <x:c r="K3294" s="274" t="n">
        <x:v>278</x:v>
      </x:c>
      <x:c r="M3294" s="274" t="s">
        <x:v>5794</x:v>
      </x:c>
      <x:c r="N3294" s="274" t="s">
        <x:v>3671</x:v>
      </x:c>
    </x:row>
    <x:row r="3295" spans="1:14">
      <x:c r="A3295" s="274" t="s">
        <x:v>6277</x:v>
      </x:c>
      <x:c r="B3295" s="274" t="n">
        <x:v>2.84</x:v>
      </x:c>
      <x:c r="C3295" s="274" t="n">
        <x:v>0</x:v>
      </x:c>
      <x:c r="D3295" s="274" t="n">
        <x:v>0</x:v>
      </x:c>
      <x:c r="F3295" s="274" t="s">
        <x:v>333</x:v>
      </x:c>
      <x:c r="G3295" s="274" t="s">
        <x:v>124</x:v>
      </x:c>
      <x:c r="I3295" s="274" t="n">
        <x:v>1</x:v>
      </x:c>
      <x:c r="J3295" s="274" t="n">
        <x:v>398</x:v>
      </x:c>
      <x:c r="K3295" s="274" t="n">
        <x:v>910</x:v>
      </x:c>
      <x:c r="M3295" s="274" t="s">
        <x:v>6278</x:v>
      </x:c>
      <x:c r="N3295" s="274" t="s">
        <x:v>3671</x:v>
      </x:c>
    </x:row>
    <x:row r="3296" spans="1:14">
      <x:c r="A3296" s="274" t="s">
        <x:v>6279</x:v>
      </x:c>
      <x:c r="B3296" s="274" t="n">
        <x:v>4.25</x:v>
      </x:c>
      <x:c r="C3296" s="274" t="n">
        <x:v>0</x:v>
      </x:c>
      <x:c r="D3296" s="274" t="n">
        <x:v>0</x:v>
      </x:c>
      <x:c r="F3296" s="274" t="s">
        <x:v>333</x:v>
      </x:c>
      <x:c r="G3296" s="274" t="s">
        <x:v>153</x:v>
      </x:c>
      <x:c r="I3296" s="274" t="n">
        <x:v>1</x:v>
      </x:c>
      <x:c r="J3296" s="274" t="n">
        <x:v>800</x:v>
      </x:c>
      <x:c r="K3296" s="274" t="n">
        <x:v>676</x:v>
      </x:c>
      <x:c r="M3296" s="274" t="s">
        <x:v>5814</x:v>
      </x:c>
      <x:c r="N3296" s="274" t="s">
        <x:v>3671</x:v>
      </x:c>
    </x:row>
    <x:row r="3297" spans="1:14">
      <x:c r="A3297" s="274" t="s">
        <x:v>6280</x:v>
      </x:c>
      <x:c r="B3297" s="274" t="n">
        <x:v>0.74</x:v>
      </x:c>
      <x:c r="C3297" s="274" t="n">
        <x:v>0</x:v>
      </x:c>
      <x:c r="D3297" s="274" t="n">
        <x:v>0</x:v>
      </x:c>
      <x:c r="F3297" s="274" t="s">
        <x:v>133</x:v>
      </x:c>
      <x:c r="G3297" s="274" t="s">
        <x:v>136</x:v>
      </x:c>
      <x:c r="H3297" s="274" t="n">
        <x:v>45</x:v>
      </x:c>
      <x:c r="I3297" s="274" t="n">
        <x:v>1</x:v>
      </x:c>
      <x:c r="J3297" s="274" t="n">
        <x:v>431</x:v>
      </x:c>
      <x:c r="K3297" s="274" t="n">
        <x:v>216</x:v>
      </x:c>
      <x:c r="M3297" s="274" t="s">
        <x:v>5820</x:v>
      </x:c>
      <x:c r="N3297" s="274" t="s">
        <x:v>3671</x:v>
      </x:c>
    </x:row>
    <x:row r="3298" spans="1:14">
      <x:c r="A3298" s="274" t="s">
        <x:v>6281</x:v>
      </x:c>
      <x:c r="B3298" s="274" t="n">
        <x:v>0.56</x:v>
      </x:c>
      <x:c r="C3298" s="274" t="n">
        <x:v>0</x:v>
      </x:c>
      <x:c r="D3298" s="274" t="n">
        <x:v>0</x:v>
      </x:c>
      <x:c r="F3298" s="274" t="s">
        <x:v>133</x:v>
      </x:c>
      <x:c r="G3298" s="274" t="s">
        <x:v>136</x:v>
      </x:c>
      <x:c r="H3298" s="274" t="n">
        <x:v>45</x:v>
      </x:c>
      <x:c r="I3298" s="274" t="n">
        <x:v>1</x:v>
      </x:c>
      <x:c r="J3298" s="274" t="n">
        <x:v>468</x:v>
      </x:c>
      <x:c r="K3298" s="274" t="n">
        <x:v>150</x:v>
      </x:c>
      <x:c r="M3298" s="274" t="s">
        <x:v>5818</x:v>
      </x:c>
      <x:c r="N3298" s="274" t="s">
        <x:v>3671</x:v>
      </x:c>
    </x:row>
    <x:row r="3299" spans="1:14">
      <x:c r="A3299" s="274" t="s">
        <x:v>6282</x:v>
      </x:c>
      <x:c r="B3299" s="274" t="n">
        <x:v>2.63</x:v>
      </x:c>
      <x:c r="C3299" s="274" t="n">
        <x:v>0</x:v>
      </x:c>
      <x:c r="D3299" s="274" t="n">
        <x:v>0</x:v>
      </x:c>
      <x:c r="F3299" s="274" t="s">
        <x:v>123</x:v>
      </x:c>
      <x:c r="G3299" s="274" t="s">
        <x:v>881</x:v>
      </x:c>
      <x:c r="H3299" s="274" t="n">
        <x:v>45</x:v>
      </x:c>
      <x:c r="I3299" s="274" t="n">
        <x:v>1</x:v>
      </x:c>
      <x:c r="J3299" s="274" t="n">
        <x:v>265</x:v>
      </x:c>
      <x:c r="K3299" s="274" t="n">
        <x:v>1250</x:v>
      </x:c>
      <x:c r="M3299" s="274" t="s">
        <x:v>6132</x:v>
      </x:c>
      <x:c r="N3299" s="274" t="s">
        <x:v>3671</x:v>
      </x:c>
    </x:row>
    <x:row r="3300" spans="1:14">
      <x:c r="A3300" s="274" t="s">
        <x:v>6283</x:v>
      </x:c>
      <x:c r="B3300" s="274" t="n">
        <x:v>1.74</x:v>
      </x:c>
      <x:c r="C3300" s="274" t="n">
        <x:v>0</x:v>
      </x:c>
      <x:c r="D3300" s="274" t="n">
        <x:v>0</x:v>
      </x:c>
      <x:c r="F3300" s="274" t="s">
        <x:v>123</x:v>
      </x:c>
      <x:c r="G3300" s="274" t="s">
        <x:v>881</x:v>
      </x:c>
      <x:c r="H3300" s="274" t="n">
        <x:v>45</x:v>
      </x:c>
      <x:c r="I3300" s="274" t="n">
        <x:v>1</x:v>
      </x:c>
      <x:c r="J3300" s="274" t="n">
        <x:v>549</x:v>
      </x:c>
      <x:c r="K3300" s="274" t="n">
        <x:v>400</x:v>
      </x:c>
      <x:c r="M3300" s="274" t="s">
        <x:v>5809</x:v>
      </x:c>
      <x:c r="N3300" s="274" t="s">
        <x:v>3671</x:v>
      </x:c>
    </x:row>
    <x:row r="3301" spans="1:14">
      <x:c r="A3301" s="274" t="s">
        <x:v>6284</x:v>
      </x:c>
      <x:c r="B3301" s="274" t="n">
        <x:v>1.83</x:v>
      </x:c>
      <x:c r="C3301" s="274" t="n">
        <x:v>0</x:v>
      </x:c>
      <x:c r="D3301" s="274" t="n">
        <x:v>0</x:v>
      </x:c>
      <x:c r="F3301" s="274" t="s">
        <x:v>333</x:v>
      </x:c>
      <x:c r="G3301" s="274" t="s">
        <x:v>124</x:v>
      </x:c>
      <x:c r="I3301" s="274" t="n">
        <x:v>1</x:v>
      </x:c>
      <x:c r="J3301" s="274" t="n">
        <x:v>1140</x:v>
      </x:c>
      <x:c r="K3301" s="274" t="n">
        <x:v>204</x:v>
      </x:c>
      <x:c r="M3301" s="274" t="s">
        <x:v>5822</x:v>
      </x:c>
    </x:row>
    <x:row r="3302" spans="1:14">
      <x:c r="A3302" s="274" t="s">
        <x:v>6285</x:v>
      </x:c>
      <x:c r="B3302" s="274" t="n">
        <x:v>1.55</x:v>
      </x:c>
      <x:c r="C3302" s="274" t="n">
        <x:v>0</x:v>
      </x:c>
      <x:c r="D3302" s="274" t="n">
        <x:v>0</x:v>
      </x:c>
      <x:c r="F3302" s="274" t="s">
        <x:v>133</x:v>
      </x:c>
      <x:c r="G3302" s="274" t="s">
        <x:v>144</x:v>
      </x:c>
      <x:c r="H3302" s="274" t="n">
        <x:v>45</x:v>
      </x:c>
      <x:c r="I3302" s="274" t="n">
        <x:v>1.2</x:v>
      </x:c>
      <x:c r="J3302" s="274" t="n">
        <x:v>135</x:v>
      </x:c>
      <x:c r="K3302" s="274" t="n">
        <x:v>1210</x:v>
      </x:c>
      <x:c r="M3302" s="274" t="s">
        <x:v>6286</x:v>
      </x:c>
      <x:c r="N3302" s="274" t="s">
        <x:v>299</x:v>
      </x:c>
    </x:row>
    <x:row r="3303" spans="1:14">
      <x:c r="A3303" s="274" t="s">
        <x:v>6287</x:v>
      </x:c>
      <x:c r="B3303" s="274" t="n">
        <x:v>1.04</x:v>
      </x:c>
      <x:c r="C3303" s="274" t="n">
        <x:v>0</x:v>
      </x:c>
      <x:c r="D3303" s="274" t="n">
        <x:v>0</x:v>
      </x:c>
      <x:c r="F3303" s="274" t="s">
        <x:v>123</x:v>
      </x:c>
      <x:c r="G3303" s="274" t="s">
        <x:v>129</x:v>
      </x:c>
      <x:c r="H3303" s="274" t="n">
        <x:v>45</x:v>
      </x:c>
      <x:c r="I3303" s="274" t="n">
        <x:v>1</x:v>
      </x:c>
      <x:c r="J3303" s="274" t="n">
        <x:v>218</x:v>
      </x:c>
      <x:c r="K3303" s="274" t="n">
        <x:v>602</x:v>
      </x:c>
      <x:c r="M3303" s="274" t="s">
        <x:v>6288</x:v>
      </x:c>
      <x:c r="N3303" s="274" t="s">
        <x:v>3671</x:v>
      </x:c>
    </x:row>
    <x:row r="3304" spans="1:14">
      <x:c r="A3304" s="274" t="s">
        <x:v>6289</x:v>
      </x:c>
      <x:c r="B3304" s="274" t="n">
        <x:v>2.67</x:v>
      </x:c>
      <x:c r="C3304" s="274" t="n">
        <x:v>0</x:v>
      </x:c>
      <x:c r="D3304" s="274" t="n">
        <x:v>0</x:v>
      </x:c>
      <x:c r="F3304" s="274" t="s">
        <x:v>123</x:v>
      </x:c>
      <x:c r="G3304" s="274" t="s">
        <x:v>881</x:v>
      </x:c>
      <x:c r="H3304" s="274" t="n">
        <x:v>45</x:v>
      </x:c>
      <x:c r="I3304" s="274" t="n">
        <x:v>1</x:v>
      </x:c>
      <x:c r="J3304" s="274" t="n">
        <x:v>440</x:v>
      </x:c>
      <x:c r="K3304" s="274" t="n">
        <x:v>765</x:v>
      </x:c>
      <x:c r="M3304" s="274" t="s">
        <x:v>6290</x:v>
      </x:c>
      <x:c r="N3304" s="274" t="s">
        <x:v>3671</x:v>
      </x:c>
    </x:row>
    <x:row r="3305" spans="1:14">
      <x:c r="A3305" s="274" t="s">
        <x:v>6291</x:v>
      </x:c>
      <x:c r="B3305" s="274" t="n">
        <x:v>1.12</x:v>
      </x:c>
      <x:c r="C3305" s="274" t="n">
        <x:v>0</x:v>
      </x:c>
      <x:c r="D3305" s="274" t="n">
        <x:v>0</x:v>
      </x:c>
      <x:c r="F3305" s="274" t="s">
        <x:v>123</x:v>
      </x:c>
      <x:c r="G3305" s="274" t="s">
        <x:v>881</x:v>
      </x:c>
      <x:c r="H3305" s="274" t="n">
        <x:v>45</x:v>
      </x:c>
      <x:c r="I3305" s="274" t="n">
        <x:v>1.2</x:v>
      </x:c>
      <x:c r="J3305" s="274" t="n">
        <x:v>257</x:v>
      </x:c>
      <x:c r="K3305" s="274" t="n">
        <x:v>459</x:v>
      </x:c>
      <x:c r="M3305" s="274" t="s">
        <x:v>6292</x:v>
      </x:c>
      <x:c r="N3305" s="274" t="s">
        <x:v>3671</x:v>
      </x:c>
    </x:row>
    <x:row r="3306" spans="1:14">
      <x:c r="A3306" s="274" t="s">
        <x:v>6293</x:v>
      </x:c>
      <x:c r="B3306" s="274" t="n">
        <x:v>1.86</x:v>
      </x:c>
      <x:c r="C3306" s="274" t="n">
        <x:v>0</x:v>
      </x:c>
      <x:c r="D3306" s="274" t="n">
        <x:v>0</x:v>
      </x:c>
      <x:c r="F3306" s="274" t="s">
        <x:v>333</x:v>
      </x:c>
      <x:c r="G3306" s="274" t="s">
        <x:v>124</x:v>
      </x:c>
      <x:c r="I3306" s="274" t="n">
        <x:v>1.4</x:v>
      </x:c>
      <x:c r="J3306" s="274" t="n">
        <x:v>140</x:v>
      </x:c>
      <x:c r="K3306" s="274" t="n">
        <x:v>1210</x:v>
      </x:c>
      <x:c r="M3306" s="274" t="s">
        <x:v>6294</x:v>
      </x:c>
      <x:c r="N3306" s="274" t="s">
        <x:v>299</x:v>
      </x:c>
    </x:row>
    <x:row r="3307" spans="1:14">
      <x:c r="A3307" s="274" t="s">
        <x:v>6295</x:v>
      </x:c>
      <x:c r="B3307" s="274" t="n">
        <x:v>1.48</x:v>
      </x:c>
      <x:c r="C3307" s="274" t="n">
        <x:v>0</x:v>
      </x:c>
      <x:c r="D3307" s="274" t="n">
        <x:v>0</x:v>
      </x:c>
      <x:c r="F3307" s="274" t="s">
        <x:v>333</x:v>
      </x:c>
      <x:c r="G3307" s="274" t="s">
        <x:v>209</x:v>
      </x:c>
      <x:c r="I3307" s="274" t="n">
        <x:v>1.2</x:v>
      </x:c>
      <x:c r="J3307" s="274" t="n">
        <x:v>126</x:v>
      </x:c>
      <x:c r="K3307" s="274" t="n">
        <x:v>1250</x:v>
      </x:c>
      <x:c r="M3307" s="274" t="s">
        <x:v>6296</x:v>
      </x:c>
      <x:c r="N3307" s="274" t="s">
        <x:v>299</x:v>
      </x:c>
    </x:row>
    <x:row r="3308" spans="1:14">
      <x:c r="A3308" s="274" t="s">
        <x:v>6297</x:v>
      </x:c>
      <x:c r="B3308" s="274" t="n">
        <x:v>1.65</x:v>
      </x:c>
      <x:c r="C3308" s="274" t="n">
        <x:v>0</x:v>
      </x:c>
      <x:c r="D3308" s="274" t="n">
        <x:v>0</x:v>
      </x:c>
      <x:c r="F3308" s="274" t="s">
        <x:v>333</x:v>
      </x:c>
      <x:c r="G3308" s="274" t="s">
        <x:v>124</x:v>
      </x:c>
      <x:c r="I3308" s="274" t="n">
        <x:v>1.6</x:v>
      </x:c>
      <x:c r="J3308" s="274" t="n">
        <x:v>105</x:v>
      </x:c>
      <x:c r="K3308" s="274" t="n">
        <x:v>1250</x:v>
      </x:c>
      <x:c r="M3308" s="274" t="s">
        <x:v>6298</x:v>
      </x:c>
      <x:c r="N3308" s="274" t="s">
        <x:v>299</x:v>
      </x:c>
    </x:row>
    <x:row r="3309" spans="1:14">
      <x:c r="A3309" s="274" t="s">
        <x:v>6299</x:v>
      </x:c>
      <x:c r="B3309" s="274" t="n">
        <x:v>5</x:v>
      </x:c>
      <x:c r="C3309" s="274" t="n">
        <x:v>0</x:v>
      </x:c>
      <x:c r="D3309" s="274" t="n">
        <x:v>0</x:v>
      </x:c>
      <x:c r="F3309" s="274" t="s">
        <x:v>6300</x:v>
      </x:c>
      <x:c r="G3309" s="274" t="s">
        <x:v>3413</x:v>
      </x:c>
      <x:c r="H3309" s="274" t="n">
        <x:v>45</x:v>
      </x:c>
      <x:c r="I3309" s="274" t="n">
        <x:v>1.8</x:v>
      </x:c>
      <x:c r="J3309" s="274" t="n">
        <x:v>303</x:v>
      </x:c>
      <x:c r="K3309" s="274" t="n">
        <x:v>1160</x:v>
      </x:c>
      <x:c r="M3309" s="274" t="s">
        <x:v>6301</x:v>
      </x:c>
      <x:c r="N3309" s="274" t="s">
        <x:v>3671</x:v>
      </x:c>
    </x:row>
    <x:row r="3310" spans="1:14">
      <x:c r="A3310" s="274" t="s">
        <x:v>6302</x:v>
      </x:c>
      <x:c r="B3310" s="274" t="n">
        <x:v>0.21</x:v>
      </x:c>
      <x:c r="C3310" s="274" t="n">
        <x:v>0</x:v>
      </x:c>
      <x:c r="D3310" s="274" t="n">
        <x:v>0</x:v>
      </x:c>
      <x:c r="F3310" s="274" t="s">
        <x:v>1964</x:v>
      </x:c>
      <x:c r="G3310" s="274" t="s">
        <x:v>3413</x:v>
      </x:c>
      <x:c r="H3310" s="274" t="n">
        <x:v>45</x:v>
      </x:c>
      <x:c r="I3310" s="274" t="n">
        <x:v>1.2</x:v>
      </x:c>
      <x:c r="J3310" s="274" t="n">
        <x:v>150</x:v>
      </x:c>
      <x:c r="K3310" s="274" t="n">
        <x:v>147</x:v>
      </x:c>
      <x:c r="M3310" s="274" t="s">
        <x:v>6303</x:v>
      </x:c>
      <x:c r="N3310" s="274" t="s">
        <x:v>3671</x:v>
      </x:c>
    </x:row>
    <x:row r="3311" spans="1:14">
      <x:c r="A3311" s="274" t="s">
        <x:v>6304</x:v>
      </x:c>
      <x:c r="B3311" s="274" t="n">
        <x:v>3.09</x:v>
      </x:c>
      <x:c r="C3311" s="274" t="n">
        <x:v>0</x:v>
      </x:c>
      <x:c r="D3311" s="274" t="n">
        <x:v>0</x:v>
      </x:c>
      <x:c r="F3311" s="274" t="s">
        <x:v>128</x:v>
      </x:c>
      <x:c r="G3311" s="274" t="s">
        <x:v>3314</x:v>
      </x:c>
      <x:c r="H3311" s="274" t="n">
        <x:v>45</x:v>
      </x:c>
      <x:c r="I3311" s="274" t="n">
        <x:v>3.6</x:v>
      </x:c>
      <x:c r="J3311" s="274" t="n">
        <x:v>90</x:v>
      </x:c>
      <x:c r="K3311" s="274" t="n">
        <x:v>1210</x:v>
      </x:c>
      <x:c r="M3311" s="274" t="s">
        <x:v>6194</x:v>
      </x:c>
      <x:c r="N3311" s="274" t="s">
        <x:v>3671</x:v>
      </x:c>
    </x:row>
    <x:row r="3312" spans="1:14">
      <x:c r="A3312" s="274" t="s">
        <x:v>6305</x:v>
      </x:c>
      <x:c r="B3312" s="274" t="n">
        <x:v>0.63</x:v>
      </x:c>
      <x:c r="C3312" s="274" t="n">
        <x:v>0</x:v>
      </x:c>
      <x:c r="D3312" s="274" t="n">
        <x:v>0</x:v>
      </x:c>
      <x:c r="F3312" s="274" t="s">
        <x:v>123</x:v>
      </x:c>
      <x:c r="G3312" s="274" t="s">
        <x:v>4787</x:v>
      </x:c>
      <x:c r="H3312" s="274" t="s">
        <x:v>4471</x:v>
      </x:c>
      <x:c r="I3312" s="274" t="n">
        <x:v>0.8</x:v>
      </x:c>
      <x:c r="J3312" s="274" t="n">
        <x:v>745</x:v>
      </x:c>
      <x:c r="K3312" s="274" t="n">
        <x:v>135</x:v>
      </x:c>
      <x:c r="M3312" s="274" t="s">
        <x:v>4788</x:v>
      </x:c>
      <x:c r="N3312" s="274" t="s">
        <x:v>4258</x:v>
      </x:c>
    </x:row>
    <x:row r="3313" spans="1:14">
      <x:c r="A3313" s="274" t="s">
        <x:v>6306</x:v>
      </x:c>
      <x:c r="B3313" s="274" t="n">
        <x:v>11.17</x:v>
      </x:c>
      <x:c r="C3313" s="274" t="n">
        <x:v>0</x:v>
      </x:c>
      <x:c r="D3313" s="274" t="n">
        <x:v>0</x:v>
      </x:c>
      <x:c r="F3313" s="274" t="s">
        <x:v>123</x:v>
      </x:c>
      <x:c r="G3313" s="274" t="s">
        <x:v>4787</x:v>
      </x:c>
      <x:c r="H3313" s="274" t="s">
        <x:v>4471</x:v>
      </x:c>
      <x:c r="I3313" s="274" t="n">
        <x:v>1.4</x:v>
      </x:c>
      <x:c r="J3313" s="274" t="n">
        <x:v>847</x:v>
      </x:c>
      <x:c r="K3313" s="274" t="n">
        <x:v>1200</x:v>
      </x:c>
      <x:c r="M3313" s="274" t="s">
        <x:v>6307</x:v>
      </x:c>
      <x:c r="N3313" s="274" t="s">
        <x:v>4258</x:v>
      </x:c>
    </x:row>
    <x:row r="3314" spans="1:14">
      <x:c r="A3314" s="274" t="s">
        <x:v>6308</x:v>
      </x:c>
      <x:c r="B3314" s="274" t="n">
        <x:v>1.27</x:v>
      </x:c>
      <x:c r="C3314" s="274" t="n">
        <x:v>0</x:v>
      </x:c>
      <x:c r="D3314" s="274" t="n">
        <x:v>0</x:v>
      </x:c>
      <x:c r="F3314" s="274" t="s">
        <x:v>123</x:v>
      </x:c>
      <x:c r="G3314" s="274" t="s">
        <x:v>4787</x:v>
      </x:c>
      <x:c r="H3314" s="274" t="s">
        <x:v>4471</x:v>
      </x:c>
      <x:c r="I3314" s="274" t="n">
        <x:v>1.4</x:v>
      </x:c>
      <x:c r="J3314" s="274" t="n">
        <x:v>96</x:v>
      </x:c>
      <x:c r="K3314" s="274" t="n">
        <x:v>1200</x:v>
      </x:c>
      <x:c r="M3314" s="274" t="s">
        <x:v>5042</x:v>
      </x:c>
      <x:c r="N3314" s="274" t="s">
        <x:v>4258</x:v>
      </x:c>
    </x:row>
    <x:row r="3315" spans="1:14">
      <x:c r="A3315" s="274" t="s">
        <x:v>6309</x:v>
      </x:c>
      <x:c r="B3315" s="274" t="n">
        <x:v>0.79</x:v>
      </x:c>
      <x:c r="C3315" s="274" t="n">
        <x:v>0</x:v>
      </x:c>
      <x:c r="D3315" s="274" t="n">
        <x:v>0</x:v>
      </x:c>
      <x:c r="F3315" s="274" t="s">
        <x:v>133</x:v>
      </x:c>
      <x:c r="G3315" s="274" t="s">
        <x:v>4470</x:v>
      </x:c>
      <x:c r="H3315" s="274" t="s">
        <x:v>4471</x:v>
      </x:c>
      <x:c r="I3315" s="274" t="n">
        <x:v>1.2</x:v>
      </x:c>
      <x:c r="J3315" s="274" t="n">
        <x:v>200</x:v>
      </x:c>
      <x:c r="K3315" s="274" t="n">
        <x:v>420</x:v>
      </x:c>
      <x:c r="M3315" s="274" t="s">
        <x:v>4757</x:v>
      </x:c>
      <x:c r="N3315" s="274" t="s">
        <x:v>4258</x:v>
      </x:c>
    </x:row>
    <x:row r="3316" spans="1:14">
      <x:c r="A3316" s="274" t="s">
        <x:v>6310</x:v>
      </x:c>
      <x:c r="B3316" s="274" t="n">
        <x:v>0.85</x:v>
      </x:c>
      <x:c r="C3316" s="274" t="n">
        <x:v>0</x:v>
      </x:c>
      <x:c r="D3316" s="274" t="n">
        <x:v>0</x:v>
      </x:c>
      <x:c r="F3316" s="274" t="s">
        <x:v>133</x:v>
      </x:c>
      <x:c r="G3316" s="274" t="s">
        <x:v>4470</x:v>
      </x:c>
      <x:c r="H3316" s="274" t="s">
        <x:v>4471</x:v>
      </x:c>
      <x:c r="I3316" s="274" t="n">
        <x:v>1.2</x:v>
      </x:c>
      <x:c r="J3316" s="274" t="n">
        <x:v>220</x:v>
      </x:c>
      <x:c r="K3316" s="274" t="n">
        <x:v>410</x:v>
      </x:c>
      <x:c r="M3316" s="274" t="s">
        <x:v>4759</x:v>
      </x:c>
      <x:c r="N3316" s="274" t="s">
        <x:v>4258</x:v>
      </x:c>
    </x:row>
    <x:row r="3317" spans="1:14">
      <x:c r="A3317" s="274" t="s">
        <x:v>6311</x:v>
      </x:c>
      <x:c r="B3317" s="274" t="n">
        <x:v>3.48</x:v>
      </x:c>
      <x:c r="C3317" s="274" t="n">
        <x:v>0</x:v>
      </x:c>
      <x:c r="D3317" s="274" t="n">
        <x:v>0</x:v>
      </x:c>
      <x:c r="F3317" s="274" t="s">
        <x:v>3412</x:v>
      </x:c>
      <x:c r="G3317" s="274" t="s">
        <x:v>6312</x:v>
      </x:c>
      <x:c r="I3317" s="274" t="n">
        <x:v>1</x:v>
      </x:c>
      <x:c r="J3317" s="274" t="n">
        <x:v>360</x:v>
      </x:c>
      <x:c r="K3317" s="274" t="n">
        <x:v>1250</x:v>
      </x:c>
      <x:c r="M3317" s="274" t="s">
        <x:v>6313</x:v>
      </x:c>
      <x:c r="N3317" s="274" t="s">
        <x:v>3671</x:v>
      </x:c>
    </x:row>
    <x:row r="3318" spans="1:14">
      <x:c r="A3318" s="274" t="s">
        <x:v>6314</x:v>
      </x:c>
      <x:c r="B3318" s="274" t="n">
        <x:v>8.88</x:v>
      </x:c>
      <x:c r="C3318" s="274" t="n">
        <x:v>0</x:v>
      </x:c>
      <x:c r="D3318" s="274" t="n">
        <x:v>38</x:v>
      </x:c>
      <x:c r="E3318" s="274" t="n">
        <x:v>33</x:v>
      </x:c>
      <x:c r="F3318" s="274" t="s">
        <x:v>123</x:v>
      </x:c>
      <x:c r="G3318" s="274" t="s">
        <x:v>4663</x:v>
      </x:c>
      <x:c r="I3318" s="274" t="n">
        <x:v>0.6</x:v>
      </x:c>
      <x:c r="J3318" s="274" t="n">
        <x:v>1571</x:v>
      </x:c>
      <x:c r="K3318" s="274" t="n">
        <x:v>1200</x:v>
      </x:c>
      <x:c r="M3318" s="274" t="s">
        <x:v>6315</x:v>
      </x:c>
      <x:c r="N3318" s="274" t="s">
        <x:v>4258</x:v>
      </x:c>
    </x:row>
    <x:row r="3319" spans="1:14">
      <x:c r="A3319" s="274" t="s">
        <x:v>6316</x:v>
      </x:c>
      <x:c r="B3319" s="274" t="n">
        <x:v>2.22</x:v>
      </x:c>
      <x:c r="C3319" s="274" t="n">
        <x:v>0</x:v>
      </x:c>
      <x:c r="D3319" s="274" t="n">
        <x:v>0</x:v>
      </x:c>
      <x:c r="F3319" s="274" t="s">
        <x:v>333</x:v>
      </x:c>
      <x:c r="G3319" s="274" t="s">
        <x:v>5139</x:v>
      </x:c>
      <x:c r="I3319" s="274" t="n">
        <x:v>0.6</x:v>
      </x:c>
      <x:c r="J3319" s="274" t="n">
        <x:v>377</x:v>
      </x:c>
      <x:c r="K3319" s="274" t="n">
        <x:v>1250</x:v>
      </x:c>
      <x:c r="M3319" s="274" t="s">
        <x:v>5167</x:v>
      </x:c>
      <x:c r="N3319" s="274" t="s">
        <x:v>4258</x:v>
      </x:c>
    </x:row>
    <x:row r="3320" spans="1:14">
      <x:c r="A3320" s="274" t="s">
        <x:v>6317</x:v>
      </x:c>
      <x:c r="B3320" s="274" t="n">
        <x:v>1.75</x:v>
      </x:c>
      <x:c r="C3320" s="274" t="n">
        <x:v>0</x:v>
      </x:c>
      <x:c r="D3320" s="274" t="n">
        <x:v>0</x:v>
      </x:c>
      <x:c r="F3320" s="274" t="s">
        <x:v>184</x:v>
      </x:c>
      <x:c r="G3320" s="274" t="s">
        <x:v>3413</x:v>
      </x:c>
      <x:c r="H3320" s="274" t="n">
        <x:v>45</x:v>
      </x:c>
      <x:c r="I3320" s="274" t="n">
        <x:v>1.4</x:v>
      </x:c>
      <x:c r="J3320" s="274" t="n">
        <x:v>175</x:v>
      </x:c>
      <x:c r="K3320" s="274" t="n">
        <x:v>900</x:v>
      </x:c>
      <x:c r="M3320" s="274" t="s">
        <x:v>5719</x:v>
      </x:c>
      <x:c r="N3320" s="274" t="s">
        <x:v>3671</x:v>
      </x:c>
    </x:row>
    <x:row r="3321" spans="1:14">
      <x:c r="A3321" s="274" t="s">
        <x:v>6318</x:v>
      </x:c>
      <x:c r="B3321" s="274" t="n">
        <x:v>2.58</x:v>
      </x:c>
      <x:c r="C3321" s="274" t="n">
        <x:v>0</x:v>
      </x:c>
      <x:c r="D3321" s="274" t="n">
        <x:v>0</x:v>
      </x:c>
      <x:c r="F3321" s="274" t="s">
        <x:v>184</x:v>
      </x:c>
      <x:c r="G3321" s="274" t="s">
        <x:v>3413</x:v>
      </x:c>
      <x:c r="H3321" s="274" t="n">
        <x:v>45</x:v>
      </x:c>
      <x:c r="I3321" s="274" t="n">
        <x:v>1.4</x:v>
      </x:c>
      <x:c r="J3321" s="274" t="n">
        <x:v>310</x:v>
      </x:c>
      <x:c r="K3321" s="274" t="n">
        <x:v>750</x:v>
      </x:c>
      <x:c r="M3321" s="274" t="s">
        <x:v>6156</x:v>
      </x:c>
      <x:c r="N3321" s="274" t="s">
        <x:v>3671</x:v>
      </x:c>
    </x:row>
    <x:row r="3322" spans="1:14">
      <x:c r="A3322" s="274" t="s">
        <x:v>6319</x:v>
      </x:c>
      <x:c r="B3322" s="274" t="n">
        <x:v>1.42</x:v>
      </x:c>
      <x:c r="C3322" s="274" t="n">
        <x:v>0</x:v>
      </x:c>
      <x:c r="D3322" s="274" t="n">
        <x:v>0</x:v>
      </x:c>
      <x:c r="F3322" s="274" t="s">
        <x:v>184</x:v>
      </x:c>
      <x:c r="G3322" s="274" t="s">
        <x:v>3413</x:v>
      </x:c>
      <x:c r="H3322" s="274" t="n">
        <x:v>45</x:v>
      </x:c>
      <x:c r="I3322" s="274" t="n">
        <x:v>1.4</x:v>
      </x:c>
      <x:c r="J3322" s="274" t="n">
        <x:v>233</x:v>
      </x:c>
      <x:c r="K3322" s="274" t="n">
        <x:v>549</x:v>
      </x:c>
      <x:c r="M3322" s="274" t="s">
        <x:v>6320</x:v>
      </x:c>
      <x:c r="N3322" s="274" t="s">
        <x:v>3671</x:v>
      </x:c>
    </x:row>
    <x:row r="3323" spans="1:14">
      <x:c r="A3323" s="274" t="s">
        <x:v>6321</x:v>
      </x:c>
      <x:c r="B3323" s="274" t="n">
        <x:v>0.79</x:v>
      </x:c>
      <x:c r="C3323" s="274" t="n">
        <x:v>0</x:v>
      </x:c>
      <x:c r="D3323" s="274" t="n">
        <x:v>0</x:v>
      </x:c>
      <x:c r="F3323" s="274" t="s">
        <x:v>123</x:v>
      </x:c>
      <x:c r="G3323" s="274" t="s">
        <x:v>4256</x:v>
      </x:c>
      <x:c r="I3323" s="274" t="n">
        <x:v>1.2</x:v>
      </x:c>
      <x:c r="J3323" s="274" t="n">
        <x:v>390</x:v>
      </x:c>
      <x:c r="K3323" s="274" t="n">
        <x:v>216</x:v>
      </x:c>
      <x:c r="M3323" s="274" t="s">
        <x:v>6322</x:v>
      </x:c>
      <x:c r="N3323" s="274" t="s">
        <x:v>4258</x:v>
      </x:c>
    </x:row>
    <x:row r="3324" spans="1:14">
      <x:c r="A3324" s="274" t="s">
        <x:v>6323</x:v>
      </x:c>
      <x:c r="B3324" s="274" t="n">
        <x:v>1.04</x:v>
      </x:c>
      <x:c r="C3324" s="274" t="n">
        <x:v>0</x:v>
      </x:c>
      <x:c r="D3324" s="274" t="n">
        <x:v>35</x:v>
      </x:c>
      <x:c r="E3324" s="274" t="n">
        <x:v>0</x:v>
      </x:c>
      <x:c r="F3324" s="274" t="s">
        <x:v>133</x:v>
      </x:c>
      <x:c r="G3324" s="274" t="s">
        <x:v>4244</x:v>
      </x:c>
      <x:c r="I3324" s="274" t="n">
        <x:v>0.8</x:v>
      </x:c>
      <x:c r="J3324" s="274" t="n">
        <x:v>630</x:v>
      </x:c>
      <x:c r="K3324" s="274" t="n">
        <x:v>310</x:v>
      </x:c>
      <x:c r="L3324" s="274" t="n">
        <x:v>214</x:v>
      </x:c>
      <x:c r="M3324" s="274" t="s">
        <x:v>6324</x:v>
      </x:c>
      <x:c r="N3324" s="274" t="s">
        <x:v>3302</x:v>
      </x:c>
    </x:row>
    <x:row r="3325" spans="1:14">
      <x:c r="A3325" s="274" t="s">
        <x:v>6325</x:v>
      </x:c>
      <x:c r="B3325" s="274" t="n">
        <x:v>2.17</x:v>
      </x:c>
      <x:c r="C3325" s="274" t="n">
        <x:v>0</x:v>
      </x:c>
      <x:c r="D3325" s="274" t="n">
        <x:v>35</x:v>
      </x:c>
      <x:c r="E3325" s="274" t="n">
        <x:v>0</x:v>
      </x:c>
      <x:c r="F3325" s="274" t="s">
        <x:v>133</x:v>
      </x:c>
      <x:c r="G3325" s="274" t="s">
        <x:v>4487</x:v>
      </x:c>
      <x:c r="I3325" s="274" t="n">
        <x:v>0.8</x:v>
      </x:c>
      <x:c r="J3325" s="274" t="n">
        <x:v>775</x:v>
      </x:c>
      <x:c r="K3325" s="274" t="n">
        <x:v>320</x:v>
      </x:c>
      <x:c r="L3325" s="274" t="n">
        <x:v>570</x:v>
      </x:c>
      <x:c r="M3325" s="274" t="s">
        <x:v>6326</x:v>
      </x:c>
      <x:c r="N3325" s="274" t="s">
        <x:v>3302</x:v>
      </x:c>
    </x:row>
    <x:row r="3326" spans="1:14">
      <x:c r="A3326" s="274" t="s">
        <x:v>6327</x:v>
      </x:c>
      <x:c r="B3326" s="274" t="n">
        <x:v>8.36</x:v>
      </x:c>
      <x:c r="C3326" s="274" t="n">
        <x:v>0</x:v>
      </x:c>
      <x:c r="D3326" s="274" t="n">
        <x:v>0</x:v>
      </x:c>
      <x:c r="F3326" s="274" t="s">
        <x:v>123</x:v>
      </x:c>
      <x:c r="G3326" s="274" t="s">
        <x:v>153</x:v>
      </x:c>
      <x:c r="I3326" s="274" t="n">
        <x:v>0.8</x:v>
      </x:c>
      <x:c r="J3326" s="274" t="n">
        <x:v>835</x:v>
      </x:c>
      <x:c r="K3326" s="274" t="n">
        <x:v>1595</x:v>
      </x:c>
      <x:c r="M3326" s="274" t="s">
        <x:v>6328</x:v>
      </x:c>
      <x:c r="N3326" s="274" t="s">
        <x:v>5222</x:v>
      </x:c>
    </x:row>
    <x:row r="3327" spans="1:14">
      <x:c r="A3327" s="274" t="s">
        <x:v>6329</x:v>
      </x:c>
      <x:c r="B3327" s="274" t="n">
        <x:v>5.04</x:v>
      </x:c>
      <x:c r="C3327" s="274" t="n">
        <x:v>0</x:v>
      </x:c>
      <x:c r="D3327" s="274" t="n">
        <x:v>35</x:v>
      </x:c>
      <x:c r="E3327" s="274" t="n">
        <x:v>30</x:v>
      </x:c>
      <x:c r="F3327" s="274" t="s">
        <x:v>184</x:v>
      </x:c>
      <x:c r="G3327" s="274" t="s">
        <x:v>881</x:v>
      </x:c>
      <x:c r="H3327" s="274" t="n">
        <x:v>45</x:v>
      </x:c>
      <x:c r="I3327" s="274" t="n">
        <x:v>1.2</x:v>
      </x:c>
      <x:c r="J3327" s="274" t="n">
        <x:v>310</x:v>
      </x:c>
      <x:c r="K3327" s="274" t="n">
        <x:v>1710</x:v>
      </x:c>
      <x:c r="M3327" s="274" t="s">
        <x:v>5875</x:v>
      </x:c>
      <x:c r="N3327" s="274" t="s">
        <x:v>3671</x:v>
      </x:c>
    </x:row>
    <x:row r="3328" spans="1:14">
      <x:c r="A3328" s="274" t="s">
        <x:v>6330</x:v>
      </x:c>
      <x:c r="B3328" s="274" t="n">
        <x:v>2.23</x:v>
      </x:c>
      <x:c r="C3328" s="274" t="n">
        <x:v>0</x:v>
      </x:c>
      <x:c r="D3328" s="274" t="n">
        <x:v>0</x:v>
      </x:c>
      <x:c r="F3328" s="274" t="s">
        <x:v>184</x:v>
      </x:c>
      <x:c r="G3328" s="274" t="s">
        <x:v>881</x:v>
      </x:c>
      <x:c r="H3328" s="274" t="n">
        <x:v>45</x:v>
      </x:c>
      <x:c r="I3328" s="274" t="n">
        <x:v>1.2</x:v>
      </x:c>
      <x:c r="J3328" s="274" t="n">
        <x:v>260</x:v>
      </x:c>
      <x:c r="K3328" s="274" t="n">
        <x:v>900</x:v>
      </x:c>
      <x:c r="M3328" s="274" t="s">
        <x:v>5768</x:v>
      </x:c>
      <x:c r="N3328" s="274" t="s">
        <x:v>3671</x:v>
      </x:c>
    </x:row>
    <x:row r="3329" spans="1:14">
      <x:c r="A3329" s="274" t="s">
        <x:v>6331</x:v>
      </x:c>
      <x:c r="B3329" s="274" t="n">
        <x:v>1.12</x:v>
      </x:c>
      <x:c r="C3329" s="274" t="n">
        <x:v>0</x:v>
      </x:c>
      <x:c r="D3329" s="274" t="n">
        <x:v>0</x:v>
      </x:c>
      <x:c r="F3329" s="274" t="s">
        <x:v>184</x:v>
      </x:c>
      <x:c r="G3329" s="274" t="s">
        <x:v>881</x:v>
      </x:c>
      <x:c r="H3329" s="274" t="n">
        <x:v>45</x:v>
      </x:c>
      <x:c r="I3329" s="274" t="n">
        <x:v>1.2</x:v>
      </x:c>
      <x:c r="J3329" s="274" t="n">
        <x:v>257</x:v>
      </x:c>
      <x:c r="K3329" s="274" t="n">
        <x:v>459</x:v>
      </x:c>
      <x:c r="M3329" s="274" t="s">
        <x:v>6292</x:v>
      </x:c>
      <x:c r="N3329" s="274" t="s">
        <x:v>3671</x:v>
      </x:c>
    </x:row>
    <x:row r="3330" spans="1:14">
      <x:c r="A3330" s="274" t="s">
        <x:v>6332</x:v>
      </x:c>
      <x:c r="B3330" s="274" t="n">
        <x:v>0.57</x:v>
      </x:c>
      <x:c r="C3330" s="274" t="n">
        <x:v>0</x:v>
      </x:c>
      <x:c r="D3330" s="274" t="n">
        <x:v>0</x:v>
      </x:c>
      <x:c r="F3330" s="274" t="s">
        <x:v>333</x:v>
      </x:c>
      <x:c r="G3330" s="274" t="s">
        <x:v>2160</x:v>
      </x:c>
      <x:c r="I3330" s="274" t="n">
        <x:v>1</x:v>
      </x:c>
      <x:c r="J3330" s="274" t="n">
        <x:v>180</x:v>
      </x:c>
      <x:c r="K3330" s="274" t="n">
        <x:v>400</x:v>
      </x:c>
      <x:c r="M3330" s="274" t="s">
        <x:v>5770</x:v>
      </x:c>
      <x:c r="N3330" s="274" t="s">
        <x:v>3671</x:v>
      </x:c>
    </x:row>
    <x:row r="3331" spans="1:14">
      <x:c r="A3331" s="274" t="s">
        <x:v>6333</x:v>
      </x:c>
      <x:c r="B3331" s="274" t="n">
        <x:v>1.51</x:v>
      </x:c>
      <x:c r="C3331" s="274" t="n">
        <x:v>0</x:v>
      </x:c>
      <x:c r="D3331" s="274" t="n">
        <x:v>0</x:v>
      </x:c>
      <x:c r="F3331" s="274" t="s">
        <x:v>333</x:v>
      </x:c>
      <x:c r="G3331" s="274" t="s">
        <x:v>2160</x:v>
      </x:c>
      <x:c r="I3331" s="274" t="n">
        <x:v>1</x:v>
      </x:c>
      <x:c r="J3331" s="274" t="n">
        <x:v>320</x:v>
      </x:c>
      <x:c r="K3331" s="274" t="n">
        <x:v>600</x:v>
      </x:c>
      <x:c r="M3331" s="274" t="s">
        <x:v>5717</x:v>
      </x:c>
      <x:c r="N3331" s="274" t="s">
        <x:v>3671</x:v>
      </x:c>
    </x:row>
    <x:row r="3332" spans="1:14">
      <x:c r="A3332" s="274" t="s">
        <x:v>6334</x:v>
      </x:c>
      <x:c r="B3332" s="274" t="n">
        <x:v>2.64</x:v>
      </x:c>
      <x:c r="C3332" s="274" t="n">
        <x:v>0</x:v>
      </x:c>
      <x:c r="D3332" s="274" t="n">
        <x:v>0</x:v>
      </x:c>
      <x:c r="F3332" s="274" t="s">
        <x:v>333</x:v>
      </x:c>
      <x:c r="G3332" s="274" t="s">
        <x:v>2160</x:v>
      </x:c>
      <x:c r="I3332" s="274" t="n">
        <x:v>1</x:v>
      </x:c>
      <x:c r="J3332" s="274" t="n">
        <x:v>440</x:v>
      </x:c>
      <x:c r="K3332" s="274" t="n">
        <x:v>765</x:v>
      </x:c>
      <x:c r="M3332" s="274" t="s">
        <x:v>6290</x:v>
      </x:c>
      <x:c r="N3332" s="274" t="s">
        <x:v>3671</x:v>
      </x:c>
    </x:row>
    <x:row r="3333" spans="1:14">
      <x:c r="A3333" s="274" t="s">
        <x:v>6335</x:v>
      </x:c>
      <x:c r="B3333" s="274" t="n">
        <x:v>0.34</x:v>
      </x:c>
      <x:c r="C3333" s="274" t="n">
        <x:v>0</x:v>
      </x:c>
      <x:c r="D3333" s="274" t="n">
        <x:v>0</x:v>
      </x:c>
      <x:c r="F3333" s="274" t="s">
        <x:v>133</x:v>
      </x:c>
      <x:c r="G3333" s="274" t="s">
        <x:v>136</x:v>
      </x:c>
      <x:c r="H3333" s="274" t="n">
        <x:v>45</x:v>
      </x:c>
      <x:c r="I3333" s="274" t="n">
        <x:v>1</x:v>
      </x:c>
      <x:c r="J3333" s="274" t="n">
        <x:v>222</x:v>
      </x:c>
      <x:c r="K3333" s="274" t="n">
        <x:v>192</x:v>
      </x:c>
      <x:c r="M3333" s="274" t="s">
        <x:v>5826</x:v>
      </x:c>
      <x:c r="N3333" s="274" t="s">
        <x:v>3671</x:v>
      </x:c>
    </x:row>
    <x:row r="3334" spans="1:14">
      <x:c r="A3334" s="274" t="s">
        <x:v>6336</x:v>
      </x:c>
      <x:c r="B3334" s="274" t="n">
        <x:v>1.15</x:v>
      </x:c>
      <x:c r="C3334" s="274" t="n">
        <x:v>0</x:v>
      </x:c>
      <x:c r="D3334" s="274" t="n">
        <x:v>0</x:v>
      </x:c>
      <x:c r="F3334" s="274" t="s">
        <x:v>133</x:v>
      </x:c>
      <x:c r="G3334" s="274" t="s">
        <x:v>136</x:v>
      </x:c>
      <x:c r="H3334" s="274" t="n">
        <x:v>45</x:v>
      </x:c>
      <x:c r="I3334" s="274" t="n">
        <x:v>1</x:v>
      </x:c>
      <x:c r="J3334" s="274" t="n">
        <x:v>519</x:v>
      </x:c>
      <x:c r="K3334" s="274" t="n">
        <x:v>278</x:v>
      </x:c>
      <x:c r="M3334" s="274" t="s">
        <x:v>5824</x:v>
      </x:c>
      <x:c r="N3334" s="274" t="s">
        <x:v>3671</x:v>
      </x:c>
    </x:row>
    <x:row r="3335" spans="1:14">
      <x:c r="A3335" s="274" t="s">
        <x:v>6337</x:v>
      </x:c>
      <x:c r="B3335" s="274" t="n">
        <x:v>0.31</x:v>
      </x:c>
      <x:c r="C3335" s="274" t="n">
        <x:v>0</x:v>
      </x:c>
      <x:c r="D3335" s="274" t="n">
        <x:v>0</x:v>
      </x:c>
      <x:c r="F3335" s="274" t="s">
        <x:v>333</x:v>
      </x:c>
      <x:c r="G3335" s="274" t="s">
        <x:v>209</x:v>
      </x:c>
      <x:c r="I3335" s="274" t="n">
        <x:v>1</x:v>
      </x:c>
      <x:c r="J3335" s="274" t="n">
        <x:v>110</x:v>
      </x:c>
      <x:c r="K3335" s="274" t="n">
        <x:v>360</x:v>
      </x:c>
      <x:c r="M3335" s="274" t="s">
        <x:v>5828</x:v>
      </x:c>
      <x:c r="N3335" s="274" t="s">
        <x:v>3671</x:v>
      </x:c>
    </x:row>
    <x:row r="3336" spans="1:14">
      <x:c r="A3336" s="274" t="s">
        <x:v>6338</x:v>
      </x:c>
      <x:c r="B3336" s="274" t="n">
        <x:v>0.29</x:v>
      </x:c>
      <x:c r="C3336" s="274" t="n">
        <x:v>0</x:v>
      </x:c>
      <x:c r="D3336" s="274" t="n">
        <x:v>0</x:v>
      </x:c>
      <x:c r="F3336" s="274" t="s">
        <x:v>333</x:v>
      </x:c>
      <x:c r="G3336" s="274" t="s">
        <x:v>209</x:v>
      </x:c>
      <x:c r="I3336" s="274" t="n">
        <x:v>1</x:v>
      </x:c>
      <x:c r="J3336" s="274" t="n">
        <x:v>350</x:v>
      </x:c>
      <x:c r="K3336" s="274" t="n">
        <x:v>105</x:v>
      </x:c>
      <x:c r="M3336" s="274" t="s">
        <x:v>6339</x:v>
      </x:c>
      <x:c r="N3336" s="274" t="s">
        <x:v>3671</x:v>
      </x:c>
    </x:row>
    <x:row r="3337" spans="1:14">
      <x:c r="A3337" s="274" t="s">
        <x:v>6340</x:v>
      </x:c>
      <x:c r="B3337" s="274" t="n">
        <x:v>0.64</x:v>
      </x:c>
      <x:c r="C3337" s="274" t="n">
        <x:v>0</x:v>
      </x:c>
      <x:c r="D3337" s="274" t="n">
        <x:v>0</x:v>
      </x:c>
      <x:c r="F3337" s="274" t="s">
        <x:v>333</x:v>
      </x:c>
      <x:c r="G3337" s="274" t="s">
        <x:v>209</x:v>
      </x:c>
      <x:c r="I3337" s="274" t="n">
        <x:v>1</x:v>
      </x:c>
      <x:c r="J3337" s="274" t="n">
        <x:v>430</x:v>
      </x:c>
      <x:c r="K3337" s="274" t="n">
        <x:v>190</x:v>
      </x:c>
      <x:c r="M3337" s="274" t="s">
        <x:v>5832</x:v>
      </x:c>
      <x:c r="N3337" s="274" t="s">
        <x:v>3671</x:v>
      </x:c>
    </x:row>
    <x:row r="3338" spans="1:14">
      <x:c r="A3338" s="274" t="s">
        <x:v>6341</x:v>
      </x:c>
      <x:c r="B3338" s="274" t="n">
        <x:v>0.41</x:v>
      </x:c>
      <x:c r="C3338" s="274" t="n">
        <x:v>0</x:v>
      </x:c>
      <x:c r="D3338" s="274" t="n">
        <x:v>0</x:v>
      </x:c>
      <x:c r="F3338" s="274" t="s">
        <x:v>333</x:v>
      </x:c>
      <x:c r="G3338" s="274" t="s">
        <x:v>209</x:v>
      </x:c>
      <x:c r="I3338" s="274" t="n">
        <x:v>1</x:v>
      </x:c>
      <x:c r="J3338" s="274" t="n">
        <x:v>434</x:v>
      </x:c>
      <x:c r="K3338" s="274" t="n">
        <x:v>121</x:v>
      </x:c>
      <x:c r="M3338" s="274" t="s">
        <x:v>5836</x:v>
      </x:c>
      <x:c r="N3338" s="274" t="s">
        <x:v>3671</x:v>
      </x:c>
    </x:row>
    <x:row r="3339" spans="1:14">
      <x:c r="A3339" s="274" t="s">
        <x:v>6342</x:v>
      </x:c>
      <x:c r="B3339" s="274" t="n">
        <x:v>0.9</x:v>
      </x:c>
      <x:c r="C3339" s="274" t="n">
        <x:v>0</x:v>
      </x:c>
      <x:c r="D3339" s="274" t="n">
        <x:v>0</x:v>
      </x:c>
      <x:c r="F3339" s="274" t="s">
        <x:v>123</x:v>
      </x:c>
      <x:c r="G3339" s="274" t="s">
        <x:v>153</x:v>
      </x:c>
      <x:c r="I3339" s="274" t="n">
        <x:v>2.6</x:v>
      </x:c>
      <x:c r="J3339" s="274" t="n">
        <x:v>553</x:v>
      </x:c>
      <x:c r="K3339" s="274" t="n">
        <x:v>80</x:v>
      </x:c>
      <x:c r="M3339" s="274" t="s">
        <x:v>6343</x:v>
      </x:c>
      <x:c r="N3339" s="274" t="s">
        <x:v>155</x:v>
      </x:c>
    </x:row>
    <x:row r="3340" spans="1:14">
      <x:c r="A3340" s="274" t="s">
        <x:v>6344</x:v>
      </x:c>
      <x:c r="B3340" s="274" t="n">
        <x:v>0.81</x:v>
      </x:c>
      <x:c r="C3340" s="274" t="n">
        <x:v>0</x:v>
      </x:c>
      <x:c r="D3340" s="274" t="n">
        <x:v>0</x:v>
      </x:c>
      <x:c r="F3340" s="274" t="s">
        <x:v>123</x:v>
      </x:c>
      <x:c r="G3340" s="274" t="s">
        <x:v>153</x:v>
      </x:c>
      <x:c r="I3340" s="274" t="n">
        <x:v>2.6</x:v>
      </x:c>
      <x:c r="J3340" s="274" t="n">
        <x:v>307</x:v>
      </x:c>
      <x:c r="K3340" s="274" t="n">
        <x:v>130</x:v>
      </x:c>
      <x:c r="M3340" s="274" t="s">
        <x:v>6044</x:v>
      </x:c>
      <x:c r="N3340" s="274" t="s">
        <x:v>299</x:v>
      </x:c>
    </x:row>
    <x:row r="3341" spans="1:14">
      <x:c r="A3341" s="274" t="s">
        <x:v>6345</x:v>
      </x:c>
      <x:c r="B3341" s="274" t="n">
        <x:v>0.29</x:v>
      </x:c>
      <x:c r="C3341" s="274" t="n">
        <x:v>0</x:v>
      </x:c>
      <x:c r="D3341" s="274" t="n">
        <x:v>0</x:v>
      </x:c>
      <x:c r="F3341" s="274" t="s">
        <x:v>123</x:v>
      </x:c>
      <x:c r="G3341" s="274" t="s">
        <x:v>1285</x:v>
      </x:c>
      <x:c r="H3341" s="274" t="n">
        <x:v>45</x:v>
      </x:c>
      <x:c r="I3341" s="274" t="n">
        <x:v>0.6</x:v>
      </x:c>
      <x:c r="J3341" s="274" t="n">
        <x:v>114</x:v>
      </x:c>
      <x:c r="K3341" s="274" t="n">
        <x:v>525</x:v>
      </x:c>
      <x:c r="M3341" s="274" t="s">
        <x:v>6346</x:v>
      </x:c>
      <x:c r="N3341" s="274" t="s">
        <x:v>299</x:v>
      </x:c>
    </x:row>
    <x:row r="3342" spans="1:14">
      <x:c r="A3342" s="274" t="s">
        <x:v>6347</x:v>
      </x:c>
      <x:c r="B3342" s="274" t="n">
        <x:v>1.37</x:v>
      </x:c>
      <x:c r="C3342" s="274" t="n">
        <x:v>0</x:v>
      </x:c>
      <x:c r="D3342" s="274" t="n">
        <x:v>0</x:v>
      </x:c>
      <x:c r="F3342" s="274" t="s">
        <x:v>123</x:v>
      </x:c>
      <x:c r="G3342" s="274" t="s">
        <x:v>1285</x:v>
      </x:c>
      <x:c r="H3342" s="274" t="n">
        <x:v>45</x:v>
      </x:c>
      <x:c r="I3342" s="274" t="n">
        <x:v>0.6</x:v>
      </x:c>
      <x:c r="J3342" s="274" t="n">
        <x:v>270</x:v>
      </x:c>
      <x:c r="K3342" s="274" t="n">
        <x:v>1060</x:v>
      </x:c>
      <x:c r="M3342" s="274" t="s">
        <x:v>6348</x:v>
      </x:c>
      <x:c r="N3342" s="274" t="s">
        <x:v>299</x:v>
      </x:c>
    </x:row>
    <x:row r="3343" spans="1:14">
      <x:c r="A3343" s="274" t="s">
        <x:v>6349</x:v>
      </x:c>
      <x:c r="B3343" s="274" t="n">
        <x:v>0.35</x:v>
      </x:c>
      <x:c r="C3343" s="274" t="n">
        <x:v>0</x:v>
      </x:c>
      <x:c r="D3343" s="274" t="n">
        <x:v>0</x:v>
      </x:c>
      <x:c r="F3343" s="274" t="s">
        <x:v>123</x:v>
      </x:c>
      <x:c r="G3343" s="274" t="s">
        <x:v>1285</x:v>
      </x:c>
      <x:c r="H3343" s="274" t="n">
        <x:v>45</x:v>
      </x:c>
      <x:c r="I3343" s="274" t="n">
        <x:v>0.6</x:v>
      </x:c>
      <x:c r="J3343" s="274" t="n">
        <x:v>72</x:v>
      </x:c>
      <x:c r="K3343" s="274" t="n">
        <x:v>1020</x:v>
      </x:c>
      <x:c r="M3343" s="274" t="s">
        <x:v>2122</x:v>
      </x:c>
      <x:c r="N3343" s="274" t="s">
        <x:v>299</x:v>
      </x:c>
    </x:row>
    <x:row r="3344" spans="1:14">
      <x:c r="A3344" s="274" t="s">
        <x:v>6350</x:v>
      </x:c>
      <x:c r="B3344" s="274" t="n">
        <x:v>0.34</x:v>
      </x:c>
      <x:c r="C3344" s="274" t="n">
        <x:v>0</x:v>
      </x:c>
      <x:c r="D3344" s="274" t="n">
        <x:v>0</x:v>
      </x:c>
      <x:c r="F3344" s="274" t="s">
        <x:v>123</x:v>
      </x:c>
      <x:c r="G3344" s="274" t="s">
        <x:v>1285</x:v>
      </x:c>
      <x:c r="H3344" s="274" t="n">
        <x:v>45</x:v>
      </x:c>
      <x:c r="I3344" s="274" t="n">
        <x:v>0.6</x:v>
      </x:c>
      <x:c r="J3344" s="274" t="n">
        <x:v>80</x:v>
      </x:c>
      <x:c r="K3344" s="274" t="n">
        <x:v>880</x:v>
      </x:c>
      <x:c r="M3344" s="274" t="s">
        <x:v>309</x:v>
      </x:c>
      <x:c r="N3344" s="274" t="s">
        <x:v>299</x:v>
      </x:c>
    </x:row>
    <x:row r="3345" spans="1:14">
      <x:c r="A3345" s="274" t="s">
        <x:v>6351</x:v>
      </x:c>
      <x:c r="B3345" s="274" t="n">
        <x:v>0.63</x:v>
      </x:c>
      <x:c r="C3345" s="274" t="n">
        <x:v>0</x:v>
      </x:c>
      <x:c r="D3345" s="274" t="n">
        <x:v>0</x:v>
      </x:c>
      <x:c r="F3345" s="274" t="s">
        <x:v>123</x:v>
      </x:c>
      <x:c r="G3345" s="274" t="s">
        <x:v>1285</x:v>
      </x:c>
      <x:c r="H3345" s="274" t="n">
        <x:v>45</x:v>
      </x:c>
      <x:c r="I3345" s="274" t="n">
        <x:v>0.6</x:v>
      </x:c>
      <x:c r="J3345" s="274" t="n">
        <x:v>106</x:v>
      </x:c>
      <x:c r="K3345" s="274" t="n">
        <x:v>1240</x:v>
      </x:c>
      <x:c r="M3345" s="274" t="s">
        <x:v>2526</x:v>
      </x:c>
      <x:c r="N3345" s="274" t="s">
        <x:v>299</x:v>
      </x:c>
    </x:row>
    <x:row r="3346" spans="1:14">
      <x:c r="A3346" s="274" t="s">
        <x:v>6352</x:v>
      </x:c>
      <x:c r="B3346" s="274" t="n">
        <x:v>0.95</x:v>
      </x:c>
      <x:c r="C3346" s="274" t="n">
        <x:v>0</x:v>
      </x:c>
      <x:c r="D3346" s="274" t="n">
        <x:v>0</x:v>
      </x:c>
      <x:c r="F3346" s="274" t="s">
        <x:v>123</x:v>
      </x:c>
      <x:c r="G3346" s="274" t="s">
        <x:v>1285</x:v>
      </x:c>
      <x:c r="H3346" s="274" t="n">
        <x:v>45</x:v>
      </x:c>
      <x:c r="I3346" s="274" t="n">
        <x:v>0.6</x:v>
      </x:c>
      <x:c r="J3346" s="274" t="n">
        <x:v>159</x:v>
      </x:c>
      <x:c r="K3346" s="274" t="n">
        <x:v>1250</x:v>
      </x:c>
      <x:c r="M3346" s="274" t="s">
        <x:v>2118</x:v>
      </x:c>
      <x:c r="N3346" s="274" t="s">
        <x:v>299</x:v>
      </x:c>
    </x:row>
    <x:row r="3347" spans="1:14">
      <x:c r="A3347" s="274" t="s">
        <x:v>6353</x:v>
      </x:c>
      <x:c r="B3347" s="274" t="n">
        <x:v>0.28</x:v>
      </x:c>
      <x:c r="C3347" s="274" t="n">
        <x:v>0</x:v>
      </x:c>
      <x:c r="D3347" s="274" t="n">
        <x:v>0</x:v>
      </x:c>
      <x:c r="F3347" s="274" t="s">
        <x:v>123</x:v>
      </x:c>
      <x:c r="G3347" s="274" t="s">
        <x:v>1285</x:v>
      </x:c>
      <x:c r="H3347" s="274" t="n">
        <x:v>45</x:v>
      </x:c>
      <x:c r="I3347" s="274" t="n">
        <x:v>0.6</x:v>
      </x:c>
      <x:c r="J3347" s="274" t="n">
        <x:v>97</x:v>
      </x:c>
      <x:c r="K3347" s="274" t="n">
        <x:v>610</x:v>
      </x:c>
      <x:c r="M3347" s="274" t="s">
        <x:v>2120</x:v>
      </x:c>
      <x:c r="N3347" s="274" t="s">
        <x:v>299</x:v>
      </x:c>
    </x:row>
    <x:row r="3348" spans="1:14">
      <x:c r="A3348" s="274" t="s">
        <x:v>6354</x:v>
      </x:c>
      <x:c r="B3348" s="274" t="n">
        <x:v>0.29</x:v>
      </x:c>
      <x:c r="C3348" s="274" t="n">
        <x:v>0</x:v>
      </x:c>
      <x:c r="D3348" s="274" t="n">
        <x:v>0</x:v>
      </x:c>
      <x:c r="F3348" s="274" t="s">
        <x:v>123</x:v>
      </x:c>
      <x:c r="G3348" s="274" t="s">
        <x:v>1285</x:v>
      </x:c>
      <x:c r="H3348" s="274" t="n">
        <x:v>45</x:v>
      </x:c>
      <x:c r="I3348" s="274" t="n">
        <x:v>0.6</x:v>
      </x:c>
      <x:c r="J3348" s="274" t="n">
        <x:v>245</x:v>
      </x:c>
      <x:c r="K3348" s="274" t="n">
        <x:v>250</x:v>
      </x:c>
      <x:c r="M3348" s="274" t="s">
        <x:v>6355</x:v>
      </x:c>
      <x:c r="N3348" s="274" t="s">
        <x:v>6356</x:v>
      </x:c>
    </x:row>
    <x:row r="3349" spans="1:14">
      <x:c r="A3349" s="274" t="s">
        <x:v>6357</x:v>
      </x:c>
      <x:c r="B3349" s="274" t="n">
        <x:v>0.81</x:v>
      </x:c>
      <x:c r="C3349" s="274" t="n">
        <x:v>0</x:v>
      </x:c>
      <x:c r="D3349" s="274" t="n">
        <x:v>0</x:v>
      </x:c>
      <x:c r="F3349" s="274" t="s">
        <x:v>4735</x:v>
      </x:c>
      <x:c r="G3349" s="274" t="s">
        <x:v>4736</x:v>
      </x:c>
      <x:c r="I3349" s="274" t="n">
        <x:v>1.5</x:v>
      </x:c>
      <x:c r="J3349" s="274" t="n">
        <x:v>355.7</x:v>
      </x:c>
      <x:c r="K3349" s="274" t="n">
        <x:v>195.5</x:v>
      </x:c>
      <x:c r="M3349" s="274" t="s">
        <x:v>4743</x:v>
      </x:c>
      <x:c r="N3349" s="274" t="s">
        <x:v>3671</x:v>
      </x:c>
    </x:row>
    <x:row r="3350" spans="1:14">
      <x:c r="A3350" s="274" t="s">
        <x:v>6358</x:v>
      </x:c>
      <x:c r="B3350" s="274" t="n">
        <x:v>2.06</x:v>
      </x:c>
      <x:c r="C3350" s="274" t="n">
        <x:v>0</x:v>
      </x:c>
      <x:c r="D3350" s="274" t="n">
        <x:v>0</x:v>
      </x:c>
      <x:c r="F3350" s="274" t="s">
        <x:v>333</x:v>
      </x:c>
      <x:c r="G3350" s="274" t="s">
        <x:v>4958</x:v>
      </x:c>
      <x:c r="I3350" s="274" t="n">
        <x:v>1.4</x:v>
      </x:c>
      <x:c r="J3350" s="274" t="n">
        <x:v>150</x:v>
      </x:c>
      <x:c r="K3350" s="274" t="n">
        <x:v>1250</x:v>
      </x:c>
      <x:c r="M3350" s="274" t="s">
        <x:v>6359</x:v>
      </x:c>
      <x:c r="N3350" s="274" t="s">
        <x:v>4258</x:v>
      </x:c>
    </x:row>
    <x:row r="3351" spans="1:14">
      <x:c r="A3351" s="274" t="s">
        <x:v>6360</x:v>
      </x:c>
      <x:c r="B3351" s="274" t="n">
        <x:v>0.94</x:v>
      </x:c>
      <x:c r="C3351" s="274" t="n">
        <x:v>0</x:v>
      </x:c>
      <x:c r="D3351" s="274" t="n">
        <x:v>0</x:v>
      </x:c>
      <x:c r="F3351" s="274" t="s">
        <x:v>333</x:v>
      </x:c>
      <x:c r="G3351" s="274" t="s">
        <x:v>4663</x:v>
      </x:c>
      <x:c r="I3351" s="274" t="n">
        <x:v>1.2</x:v>
      </x:c>
      <x:c r="J3351" s="274" t="n">
        <x:v>80</x:v>
      </x:c>
      <x:c r="K3351" s="274" t="n">
        <x:v>1250</x:v>
      </x:c>
      <x:c r="M3351" s="274" t="s">
        <x:v>6361</x:v>
      </x:c>
      <x:c r="N3351" s="274" t="s">
        <x:v>4258</x:v>
      </x:c>
    </x:row>
    <x:row r="3352" spans="1:14">
      <x:c r="A3352" s="274" t="s">
        <x:v>6362</x:v>
      </x:c>
      <x:c r="B3352" s="274" t="n">
        <x:v>0.58</x:v>
      </x:c>
      <x:c r="C3352" s="274" t="n">
        <x:v>0</x:v>
      </x:c>
      <x:c r="D3352" s="274" t="n">
        <x:v>0</x:v>
      </x:c>
      <x:c r="F3352" s="274" t="s">
        <x:v>333</x:v>
      </x:c>
      <x:c r="G3352" s="274" t="s">
        <x:v>4663</x:v>
      </x:c>
      <x:c r="I3352" s="274" t="n">
        <x:v>0.65</x:v>
      </x:c>
      <x:c r="J3352" s="274" t="n">
        <x:v>171</x:v>
      </x:c>
      <x:c r="K3352" s="274" t="n">
        <x:v>663</x:v>
      </x:c>
      <x:c r="M3352" s="274" t="s">
        <x:v>6363</x:v>
      </x:c>
      <x:c r="N3352" s="274" t="s">
        <x:v>4258</x:v>
      </x:c>
    </x:row>
    <x:row r="3353" spans="1:14">
      <x:c r="A3353" s="274" t="s">
        <x:v>6364</x:v>
      </x:c>
      <x:c r="B3353" s="274" t="n">
        <x:v>1.1</x:v>
      </x:c>
      <x:c r="C3353" s="274" t="n">
        <x:v>0</x:v>
      </x:c>
      <x:c r="D3353" s="274" t="n">
        <x:v>0</x:v>
      </x:c>
      <x:c r="F3353" s="274" t="s">
        <x:v>123</x:v>
      </x:c>
      <x:c r="G3353" s="274" t="s">
        <x:v>4256</x:v>
      </x:c>
      <x:c r="I3353" s="274" t="n">
        <x:v>2</x:v>
      </x:c>
      <x:c r="J3353" s="274" t="n">
        <x:v>139</x:v>
      </x:c>
      <x:c r="K3353" s="274" t="n">
        <x:v>506</x:v>
      </x:c>
      <x:c r="M3353" s="274" t="s">
        <x:v>6365</x:v>
      </x:c>
      <x:c r="N3353" s="274" t="s">
        <x:v>4258</x:v>
      </x:c>
    </x:row>
    <x:row r="3354" spans="1:14">
      <x:c r="A3354" s="274" t="s">
        <x:v>6366</x:v>
      </x:c>
      <x:c r="B3354" s="274" t="n">
        <x:v>0.71</x:v>
      </x:c>
      <x:c r="C3354" s="274" t="n">
        <x:v>0</x:v>
      </x:c>
      <x:c r="D3354" s="274" t="n">
        <x:v>0</x:v>
      </x:c>
      <x:c r="F3354" s="274" t="s">
        <x:v>123</x:v>
      </x:c>
      <x:c r="G3354" s="274" t="s">
        <x:v>4256</x:v>
      </x:c>
      <x:c r="I3354" s="274" t="n">
        <x:v>2.3</x:v>
      </x:c>
      <x:c r="J3354" s="274" t="n">
        <x:v>88</x:v>
      </x:c>
      <x:c r="K3354" s="274" t="n">
        <x:v>447</x:v>
      </x:c>
      <x:c r="M3354" s="274" t="s">
        <x:v>4920</x:v>
      </x:c>
      <x:c r="N3354" s="274" t="s">
        <x:v>4258</x:v>
      </x:c>
    </x:row>
    <x:row r="3355" spans="1:14">
      <x:c r="A3355" s="274" t="s">
        <x:v>6367</x:v>
      </x:c>
      <x:c r="B3355" s="274" t="n">
        <x:v>3.2</x:v>
      </x:c>
      <x:c r="C3355" s="274" t="n">
        <x:v>0</x:v>
      </x:c>
      <x:c r="D3355" s="274" t="n">
        <x:v>0</x:v>
      </x:c>
      <x:c r="F3355" s="274" t="s">
        <x:v>123</x:v>
      </x:c>
      <x:c r="G3355" s="274" t="s">
        <x:v>4256</x:v>
      </x:c>
      <x:c r="I3355" s="274" t="n">
        <x:v>2.3</x:v>
      </x:c>
      <x:c r="J3355" s="274" t="n">
        <x:v>732</x:v>
      </x:c>
      <x:c r="K3355" s="274" t="n">
        <x:v>242</x:v>
      </x:c>
      <x:c r="M3355" s="274" t="s">
        <x:v>5698</x:v>
      </x:c>
      <x:c r="N3355" s="274" t="s">
        <x:v>4258</x:v>
      </x:c>
    </x:row>
    <x:row r="3356" spans="1:14">
      <x:c r="A3356" s="274" t="s">
        <x:v>6368</x:v>
      </x:c>
      <x:c r="B3356" s="274" t="n">
        <x:v>2.91</x:v>
      </x:c>
      <x:c r="C3356" s="274" t="n">
        <x:v>0</x:v>
      </x:c>
      <x:c r="D3356" s="274" t="n">
        <x:v>0</x:v>
      </x:c>
      <x:c r="F3356" s="274" t="s">
        <x:v>184</x:v>
      </x:c>
      <x:c r="G3356" s="274" t="s">
        <x:v>4782</x:v>
      </x:c>
      <x:c r="H3356" s="274" t="s">
        <x:v>4471</x:v>
      </x:c>
      <x:c r="I3356" s="274" t="n">
        <x:v>0.55</x:v>
      </x:c>
      <x:c r="J3356" s="274" t="n">
        <x:v>540</x:v>
      </x:c>
      <x:c r="K3356" s="274" t="n">
        <x:v>1250</x:v>
      </x:c>
      <x:c r="M3356" s="274" t="s">
        <x:v>6369</x:v>
      </x:c>
      <x:c r="N3356" s="274" t="s">
        <x:v>4258</x:v>
      </x:c>
    </x:row>
    <x:row r="3357" spans="1:14">
      <x:c r="A3357" s="274" t="s">
        <x:v>6370</x:v>
      </x:c>
      <x:c r="B3357" s="274" t="n">
        <x:v>1.92</x:v>
      </x:c>
      <x:c r="C3357" s="274" t="n">
        <x:v>0</x:v>
      </x:c>
      <x:c r="D3357" s="274" t="n">
        <x:v>0</x:v>
      </x:c>
      <x:c r="F3357" s="274" t="s">
        <x:v>333</x:v>
      </x:c>
      <x:c r="G3357" s="274" t="s">
        <x:v>4663</x:v>
      </x:c>
      <x:c r="I3357" s="274" t="n">
        <x:v>0.8</x:v>
      </x:c>
      <x:c r="J3357" s="274" t="n">
        <x:v>244</x:v>
      </x:c>
      <x:c r="K3357" s="274" t="n">
        <x:v>1250</x:v>
      </x:c>
      <x:c r="M3357" s="274" t="s">
        <x:v>6224</x:v>
      </x:c>
      <x:c r="N3357" s="274" t="s">
        <x:v>4258</x:v>
      </x:c>
    </x:row>
    <x:row r="3358" spans="1:14">
      <x:c r="A3358" s="274" t="s">
        <x:v>6371</x:v>
      </x:c>
      <x:c r="B3358" s="274" t="n">
        <x:v>2.34</x:v>
      </x:c>
      <x:c r="C3358" s="274" t="n">
        <x:v>0</x:v>
      </x:c>
      <x:c r="D3358" s="274" t="n">
        <x:v>0</x:v>
      </x:c>
      <x:c r="F3358" s="274" t="s">
        <x:v>133</x:v>
      </x:c>
      <x:c r="G3358" s="274" t="s">
        <x:v>4329</x:v>
      </x:c>
      <x:c r="I3358" s="274" t="n">
        <x:v>1.6</x:v>
      </x:c>
      <x:c r="J3358" s="274" t="n">
        <x:v>149</x:v>
      </x:c>
      <x:c r="K3358" s="274" t="n">
        <x:v>1250</x:v>
      </x:c>
      <x:c r="M3358" s="274" t="s">
        <x:v>6372</x:v>
      </x:c>
      <x:c r="N3358" s="274" t="s">
        <x:v>4258</x:v>
      </x:c>
    </x:row>
    <x:row r="3359" spans="1:14">
      <x:c r="A3359" s="274" t="s">
        <x:v>6373</x:v>
      </x:c>
      <x:c r="B3359" s="274" t="n">
        <x:v>5.73</x:v>
      </x:c>
      <x:c r="C3359" s="274" t="n">
        <x:v>0</x:v>
      </x:c>
      <x:c r="D3359" s="274" t="n">
        <x:v>0</x:v>
      </x:c>
      <x:c r="F3359" s="274" t="s">
        <x:v>133</x:v>
      </x:c>
      <x:c r="G3359" s="274" t="s">
        <x:v>4329</x:v>
      </x:c>
      <x:c r="I3359" s="274" t="n">
        <x:v>1.6</x:v>
      </x:c>
      <x:c r="J3359" s="274" t="n">
        <x:v>365</x:v>
      </x:c>
      <x:c r="K3359" s="274" t="n">
        <x:v>1250</x:v>
      </x:c>
      <x:c r="M3359" s="274" t="s">
        <x:v>6374</x:v>
      </x:c>
      <x:c r="N3359" s="274" t="s">
        <x:v>4258</x:v>
      </x:c>
    </x:row>
    <x:row r="3360" spans="1:14">
      <x:c r="A3360" s="274" t="s">
        <x:v>6375</x:v>
      </x:c>
      <x:c r="B3360" s="274" t="n">
        <x:v>4.13</x:v>
      </x:c>
      <x:c r="C3360" s="274" t="n">
        <x:v>0</x:v>
      </x:c>
      <x:c r="D3360" s="274" t="n">
        <x:v>0</x:v>
      </x:c>
      <x:c r="F3360" s="274" t="s">
        <x:v>123</x:v>
      </x:c>
      <x:c r="G3360" s="274" t="s">
        <x:v>153</x:v>
      </x:c>
      <x:c r="I3360" s="274" t="n">
        <x:v>0.8</x:v>
      </x:c>
      <x:c r="J3360" s="274" t="n">
        <x:v>1060</x:v>
      </x:c>
      <x:c r="K3360" s="274" t="n">
        <x:v>620</x:v>
      </x:c>
      <x:c r="M3360" s="274" t="s">
        <x:v>6376</x:v>
      </x:c>
      <x:c r="N3360" s="274" t="s">
        <x:v>5222</x:v>
      </x:c>
    </x:row>
    <x:row r="3361" spans="1:14">
      <x:c r="A3361" s="274" t="s">
        <x:v>6377</x:v>
      </x:c>
      <x:c r="B3361" s="274" t="n">
        <x:v>4.19</x:v>
      </x:c>
      <x:c r="C3361" s="274" t="n">
        <x:v>0</x:v>
      </x:c>
      <x:c r="D3361" s="274" t="n">
        <x:v>0</x:v>
      </x:c>
      <x:c r="F3361" s="274" t="s">
        <x:v>123</x:v>
      </x:c>
      <x:c r="G3361" s="274" t="s">
        <x:v>153</x:v>
      </x:c>
      <x:c r="I3361" s="274" t="n">
        <x:v>0.8</x:v>
      </x:c>
      <x:c r="J3361" s="274" t="n">
        <x:v>1060</x:v>
      </x:c>
      <x:c r="K3361" s="274" t="n">
        <x:v>630</x:v>
      </x:c>
      <x:c r="M3361" s="274" t="s">
        <x:v>6378</x:v>
      </x:c>
      <x:c r="N3361" s="274" t="s">
        <x:v>5222</x:v>
      </x:c>
    </x:row>
    <x:row r="3362" spans="1:14">
      <x:c r="A3362" s="274" t="s">
        <x:v>6379</x:v>
      </x:c>
      <x:c r="B3362" s="274" t="n">
        <x:v>32.51</x:v>
      </x:c>
      <x:c r="C3362" s="274" t="n">
        <x:v>0</x:v>
      </x:c>
      <x:c r="D3362" s="274" t="n">
        <x:v>30</x:v>
      </x:c>
      <x:c r="E3362" s="274" t="n">
        <x:v>25</x:v>
      </x:c>
      <x:c r="F3362" s="274" t="s">
        <x:v>184</x:v>
      </x:c>
      <x:c r="G3362" s="274" t="s">
        <x:v>881</x:v>
      </x:c>
      <x:c r="H3362" s="274" t="n">
        <x:v>45</x:v>
      </x:c>
      <x:c r="I3362" s="274" t="n">
        <x:v>1.8</x:v>
      </x:c>
      <x:c r="J3362" s="274" t="n">
        <x:v>1256</x:v>
      </x:c>
      <x:c r="K3362" s="274" t="n">
        <x:v>1820</x:v>
      </x:c>
      <x:c r="M3362" s="274" t="s">
        <x:v>6380</x:v>
      </x:c>
      <x:c r="N3362" s="274" t="s">
        <x:v>3671</x:v>
      </x:c>
    </x:row>
    <x:row r="3363" spans="1:14">
      <x:c r="A3363" s="274" t="s">
        <x:v>6381</x:v>
      </x:c>
      <x:c r="B3363" s="274" t="n">
        <x:v>5.18</x:v>
      </x:c>
      <x:c r="C3363" s="274" t="n">
        <x:v>0</x:v>
      </x:c>
      <x:c r="D3363" s="274" t="n">
        <x:v>0</x:v>
      </x:c>
      <x:c r="F3363" s="274" t="s">
        <x:v>128</x:v>
      </x:c>
      <x:c r="G3363" s="274" t="s">
        <x:v>3418</x:v>
      </x:c>
      <x:c r="H3363" s="274" t="n">
        <x:v>45</x:v>
      </x:c>
      <x:c r="I3363" s="274" t="n">
        <x:v>1.8</x:v>
      </x:c>
      <x:c r="J3363" s="274" t="n">
        <x:v>354</x:v>
      </x:c>
      <x:c r="K3363" s="274" t="n">
        <x:v>1030</x:v>
      </x:c>
      <x:c r="M3363" s="274" t="s">
        <x:v>6382</x:v>
      </x:c>
      <x:c r="N3363" s="274" t="s">
        <x:v>3671</x:v>
      </x:c>
    </x:row>
    <x:row r="3364" spans="1:14">
      <x:c r="A3364" s="274" t="s">
        <x:v>6383</x:v>
      </x:c>
      <x:c r="B3364" s="274" t="n">
        <x:v>2.36</x:v>
      </x:c>
      <x:c r="C3364" s="274" t="n">
        <x:v>0</x:v>
      </x:c>
      <x:c r="D3364" s="274" t="n">
        <x:v>0</x:v>
      </x:c>
      <x:c r="F3364" s="274" t="s">
        <x:v>133</x:v>
      </x:c>
      <x:c r="G3364" s="274" t="s">
        <x:v>4329</x:v>
      </x:c>
      <x:c r="I3364" s="274" t="n">
        <x:v>2</x:v>
      </x:c>
      <x:c r="J3364" s="274" t="n">
        <x:v>125</x:v>
      </x:c>
      <x:c r="K3364" s="274" t="n">
        <x:v>1200</x:v>
      </x:c>
      <x:c r="M3364" s="274" t="s">
        <x:v>6384</x:v>
      </x:c>
      <x:c r="N3364" s="274" t="s">
        <x:v>4258</x:v>
      </x:c>
    </x:row>
    <x:row r="3365" spans="1:14">
      <x:c r="A3365" s="274" t="s">
        <x:v>6385</x:v>
      </x:c>
      <x:c r="B3365" s="274" t="n">
        <x:v>0.72</x:v>
      </x:c>
      <x:c r="C3365" s="274" t="n">
        <x:v>0</x:v>
      </x:c>
      <x:c r="D3365" s="274" t="n">
        <x:v>0</x:v>
      </x:c>
      <x:c r="F3365" s="274" t="s">
        <x:v>333</x:v>
      </x:c>
      <x:c r="G3365" s="274" t="s">
        <x:v>2468</x:v>
      </x:c>
      <x:c r="I3365" s="274" t="n">
        <x:v>0.6</x:v>
      </x:c>
      <x:c r="J3365" s="274" t="n">
        <x:v>138</x:v>
      </x:c>
      <x:c r="K3365" s="274" t="n">
        <x:v>1110</x:v>
      </x:c>
      <x:c r="M3365" s="274" t="s">
        <x:v>3993</x:v>
      </x:c>
      <x:c r="N3365" s="274" t="s">
        <x:v>6386</x:v>
      </x:c>
    </x:row>
    <x:row r="3366" spans="1:14">
      <x:c r="A3366" s="274" t="s">
        <x:v>6387</x:v>
      </x:c>
      <x:c r="B3366" s="274" t="n">
        <x:v>1.72</x:v>
      </x:c>
      <x:c r="C3366" s="274" t="n">
        <x:v>0</x:v>
      </x:c>
      <x:c r="D3366" s="274" t="n">
        <x:v>0</x:v>
      </x:c>
      <x:c r="F3366" s="274" t="s">
        <x:v>333</x:v>
      </x:c>
      <x:c r="G3366" s="274" t="s">
        <x:v>4663</x:v>
      </x:c>
      <x:c r="I3366" s="274" t="n">
        <x:v>0.5</x:v>
      </x:c>
      <x:c r="J3366" s="274" t="n">
        <x:v>350</x:v>
      </x:c>
      <x:c r="K3366" s="274" t="n">
        <x:v>1250</x:v>
      </x:c>
      <x:c r="M3366" s="274" t="s">
        <x:v>6388</x:v>
      </x:c>
      <x:c r="N3366" s="274" t="s">
        <x:v>4258</x:v>
      </x:c>
    </x:row>
    <x:row r="3367" spans="1:14">
      <x:c r="A3367" s="274" t="s">
        <x:v>6389</x:v>
      </x:c>
      <x:c r="B3367" s="274" t="n">
        <x:v>0.88</x:v>
      </x:c>
      <x:c r="C3367" s="274" t="n">
        <x:v>0</x:v>
      </x:c>
      <x:c r="D3367" s="274" t="n">
        <x:v>0</x:v>
      </x:c>
      <x:c r="F3367" s="274" t="s">
        <x:v>333</x:v>
      </x:c>
      <x:c r="G3367" s="274" t="s">
        <x:v>153</x:v>
      </x:c>
      <x:c r="I3367" s="274" t="n">
        <x:v>1.6</x:v>
      </x:c>
      <x:c r="J3367" s="274" t="n">
        <x:v>70</x:v>
      </x:c>
      <x:c r="K3367" s="274" t="n">
        <x:v>1000</x:v>
      </x:c>
      <x:c r="M3367" s="274" t="s">
        <x:v>6390</x:v>
      </x:c>
      <x:c r="N3367" s="274" t="s">
        <x:v>6391</x:v>
      </x:c>
    </x:row>
    <x:row r="3368" spans="1:14">
      <x:c r="A3368" s="274" t="s">
        <x:v>6392</x:v>
      </x:c>
      <x:c r="B3368" s="274" t="n">
        <x:v>0.9</x:v>
      </x:c>
      <x:c r="C3368" s="274" t="n">
        <x:v>0</x:v>
      </x:c>
      <x:c r="D3368" s="274" t="n">
        <x:v>0</x:v>
      </x:c>
      <x:c r="F3368" s="274" t="s">
        <x:v>333</x:v>
      </x:c>
      <x:c r="G3368" s="274" t="s">
        <x:v>153</x:v>
      </x:c>
      <x:c r="I3368" s="274" t="n">
        <x:v>1.6</x:v>
      </x:c>
      <x:c r="J3368" s="274" t="n">
        <x:v>72</x:v>
      </x:c>
      <x:c r="K3368" s="274" t="n">
        <x:v>1000</x:v>
      </x:c>
      <x:c r="M3368" s="274" t="s">
        <x:v>6393</x:v>
      </x:c>
      <x:c r="N3368" s="274" t="s">
        <x:v>6391</x:v>
      </x:c>
    </x:row>
    <x:row r="3369" spans="1:14">
      <x:c r="A3369" s="274" t="s">
        <x:v>6394</x:v>
      </x:c>
      <x:c r="B3369" s="274" t="n">
        <x:v>2.32</x:v>
      </x:c>
      <x:c r="C3369" s="274" t="n">
        <x:v>0</x:v>
      </x:c>
      <x:c r="D3369" s="274" t="n">
        <x:v>0</x:v>
      </x:c>
      <x:c r="F3369" s="274" t="s">
        <x:v>133</x:v>
      </x:c>
      <x:c r="G3369" s="274" t="s">
        <x:v>134</x:v>
      </x:c>
      <x:c r="I3369" s="274" t="n">
        <x:v>3.2</x:v>
      </x:c>
      <x:c r="J3369" s="274" t="n">
        <x:v>74</x:v>
      </x:c>
      <x:c r="K3369" s="274" t="n">
        <x:v>1250</x:v>
      </x:c>
      <x:c r="M3369" s="274" t="s">
        <x:v>6395</x:v>
      </x:c>
      <x:c r="N3369" s="274" t="s">
        <x:v>6391</x:v>
      </x:c>
    </x:row>
    <x:row r="3370" spans="1:14">
      <x:c r="A3370" s="274" t="s">
        <x:v>6396</x:v>
      </x:c>
      <x:c r="B3370" s="274" t="n">
        <x:v>2.42</x:v>
      </x:c>
      <x:c r="C3370" s="274" t="n">
        <x:v>0</x:v>
      </x:c>
      <x:c r="D3370" s="274" t="n">
        <x:v>0</x:v>
      </x:c>
      <x:c r="F3370" s="274" t="s">
        <x:v>133</x:v>
      </x:c>
      <x:c r="G3370" s="274" t="s">
        <x:v>134</x:v>
      </x:c>
      <x:c r="I3370" s="274" t="n">
        <x:v>3.2</x:v>
      </x:c>
      <x:c r="J3370" s="274" t="n">
        <x:v>77</x:v>
      </x:c>
      <x:c r="K3370" s="274" t="n">
        <x:v>1250</x:v>
      </x:c>
      <x:c r="M3370" s="274" t="s">
        <x:v>6397</x:v>
      </x:c>
      <x:c r="N3370" s="274" t="s">
        <x:v>6391</x:v>
      </x:c>
    </x:row>
    <x:row r="3371" spans="1:14">
      <x:c r="A3371" s="274" t="s">
        <x:v>6398</x:v>
      </x:c>
      <x:c r="B3371" s="274" t="n">
        <x:v>3.06</x:v>
      </x:c>
      <x:c r="C3371" s="274" t="n">
        <x:v>0</x:v>
      </x:c>
      <x:c r="D3371" s="274" t="n">
        <x:v>0</x:v>
      </x:c>
      <x:c r="F3371" s="274" t="s">
        <x:v>133</x:v>
      </x:c>
      <x:c r="G3371" s="274" t="s">
        <x:v>148</x:v>
      </x:c>
      <x:c r="I3371" s="274" t="n">
        <x:v>4</x:v>
      </x:c>
      <x:c r="J3371" s="274" t="n">
        <x:v>84</x:v>
      </x:c>
      <x:c r="K3371" s="274" t="n">
        <x:v>1160</x:v>
      </x:c>
      <x:c r="M3371" s="274" t="s">
        <x:v>6399</x:v>
      </x:c>
      <x:c r="N3371" s="274" t="s">
        <x:v>6391</x:v>
      </x:c>
    </x:row>
    <x:row r="3372" spans="1:14">
      <x:c r="A3372" s="274" t="s">
        <x:v>6400</x:v>
      </x:c>
      <x:c r="B3372" s="274" t="n">
        <x:v>7.79</x:v>
      </x:c>
      <x:c r="C3372" s="274" t="n">
        <x:v>0</x:v>
      </x:c>
      <x:c r="D3372" s="274" t="n">
        <x:v>0</x:v>
      </x:c>
      <x:c r="F3372" s="274" t="s">
        <x:v>133</x:v>
      </x:c>
      <x:c r="G3372" s="274" t="s">
        <x:v>134</x:v>
      </x:c>
      <x:c r="I3372" s="274" t="n">
        <x:v>2.6</x:v>
      </x:c>
      <x:c r="J3372" s="274" t="n">
        <x:v>318</x:v>
      </x:c>
      <x:c r="K3372" s="274" t="n">
        <x:v>1200</x:v>
      </x:c>
      <x:c r="M3372" s="274" t="s">
        <x:v>4039</x:v>
      </x:c>
      <x:c r="N3372" s="274" t="s">
        <x:v>4082</x:v>
      </x:c>
    </x:row>
    <x:row r="3373" spans="1:14">
      <x:c r="A3373" s="274" t="s">
        <x:v>6401</x:v>
      </x:c>
      <x:c r="B3373" s="274" t="n">
        <x:v>3.1</x:v>
      </x:c>
      <x:c r="C3373" s="274" t="n">
        <x:v>0</x:v>
      </x:c>
      <x:c r="D3373" s="274" t="n">
        <x:v>0</x:v>
      </x:c>
      <x:c r="F3373" s="274" t="s">
        <x:v>133</x:v>
      </x:c>
      <x:c r="G3373" s="274" t="s">
        <x:v>134</x:v>
      </x:c>
      <x:c r="I3373" s="274" t="n">
        <x:v>2</x:v>
      </x:c>
      <x:c r="J3373" s="274" t="n">
        <x:v>159</x:v>
      </x:c>
      <x:c r="K3373" s="274" t="n">
        <x:v>1240</x:v>
      </x:c>
      <x:c r="M3373" s="274" t="s">
        <x:v>4036</x:v>
      </x:c>
      <x:c r="N3373" s="274" t="s">
        <x:v>4082</x:v>
      </x:c>
    </x:row>
    <x:row r="3374" spans="1:14">
      <x:c r="A3374" s="274" t="s">
        <x:v>6402</x:v>
      </x:c>
      <x:c r="B3374" s="274" t="n">
        <x:v>2.06</x:v>
      </x:c>
      <x:c r="C3374" s="274" t="n">
        <x:v>0</x:v>
      </x:c>
      <x:c r="D3374" s="274" t="n">
        <x:v>0</x:v>
      </x:c>
      <x:c r="F3374" s="274" t="s">
        <x:v>123</x:v>
      </x:c>
      <x:c r="G3374" s="274" t="s">
        <x:v>4286</x:v>
      </x:c>
      <x:c r="I3374" s="274" t="n">
        <x:v>0.5</x:v>
      </x:c>
      <x:c r="J3374" s="274" t="n">
        <x:v>770</x:v>
      </x:c>
      <x:c r="K3374" s="274" t="n">
        <x:v>680</x:v>
      </x:c>
      <x:c r="M3374" s="274" t="s">
        <x:v>6403</x:v>
      </x:c>
      <x:c r="N3374" s="274" t="s">
        <x:v>4258</x:v>
      </x:c>
    </x:row>
    <x:row r="3375" spans="1:14">
      <x:c r="A3375" s="274" t="s">
        <x:v>6404</x:v>
      </x:c>
      <x:c r="B3375" s="274" t="n">
        <x:v>1.47</x:v>
      </x:c>
      <x:c r="C3375" s="274" t="n">
        <x:v>0</x:v>
      </x:c>
      <x:c r="D3375" s="274" t="n">
        <x:v>0</x:v>
      </x:c>
      <x:c r="F3375" s="274" t="s">
        <x:v>123</x:v>
      </x:c>
      <x:c r="G3375" s="274" t="s">
        <x:v>4286</x:v>
      </x:c>
      <x:c r="I3375" s="274" t="n">
        <x:v>0.5</x:v>
      </x:c>
      <x:c r="J3375" s="274" t="n">
        <x:v>550</x:v>
      </x:c>
      <x:c r="K3375" s="274" t="n">
        <x:v>680</x:v>
      </x:c>
      <x:c r="M3375" s="274" t="s">
        <x:v>6405</x:v>
      </x:c>
      <x:c r="N3375" s="274" t="s">
        <x:v>4258</x:v>
      </x:c>
    </x:row>
    <x:row r="3376" spans="1:14">
      <x:c r="A3376" s="274" t="s">
        <x:v>6406</x:v>
      </x:c>
      <x:c r="B3376" s="274" t="n">
        <x:v>14.59</x:v>
      </x:c>
      <x:c r="C3376" s="274" t="n">
        <x:v>0</x:v>
      </x:c>
      <x:c r="D3376" s="274" t="n">
        <x:v>23</x:v>
      </x:c>
      <x:c r="E3376" s="274" t="n">
        <x:v>28</x:v>
      </x:c>
      <x:c r="F3376" s="274" t="s">
        <x:v>1980</x:v>
      </x:c>
      <x:c r="G3376" s="274" t="s">
        <x:v>1985</x:v>
      </x:c>
      <x:c r="I3376" s="274" t="n">
        <x:v>0.9</x:v>
      </x:c>
      <x:c r="J3376" s="274" t="n">
        <x:v>1160</x:v>
      </x:c>
      <x:c r="K3376" s="274" t="n">
        <x:v>1780</x:v>
      </x:c>
      <x:c r="M3376" s="274" t="s">
        <x:v>6407</x:v>
      </x:c>
    </x:row>
    <x:row r="3377" spans="1:14">
      <x:c r="A3377" s="274" t="s">
        <x:v>6408</x:v>
      </x:c>
      <x:c r="B3377" s="274" t="n">
        <x:v>1.07</x:v>
      </x:c>
      <x:c r="C3377" s="274" t="n">
        <x:v>0</x:v>
      </x:c>
      <x:c r="D3377" s="274" t="n">
        <x:v>0</x:v>
      </x:c>
      <x:c r="F3377" s="274" t="s">
        <x:v>123</x:v>
      </x:c>
      <x:c r="G3377" s="274" t="s">
        <x:v>153</x:v>
      </x:c>
      <x:c r="I3377" s="274" t="n">
        <x:v>2</x:v>
      </x:c>
      <x:c r="J3377" s="274" t="n">
        <x:v>68</x:v>
      </x:c>
      <x:c r="K3377" s="274" t="n">
        <x:v>1000</x:v>
      </x:c>
      <x:c r="M3377" s="274" t="s">
        <x:v>6409</x:v>
      </x:c>
      <x:c r="N3377" s="274" t="s">
        <x:v>421</x:v>
      </x:c>
    </x:row>
    <x:row r="3378" spans="1:14">
      <x:c r="A3378" s="274" t="s">
        <x:v>6410</x:v>
      </x:c>
      <x:c r="B3378" s="274" t="n">
        <x:v>1.22</x:v>
      </x:c>
      <x:c r="C3378" s="274" t="n">
        <x:v>0</x:v>
      </x:c>
      <x:c r="D3378" s="274" t="n">
        <x:v>0</x:v>
      </x:c>
      <x:c r="F3378" s="274" t="s">
        <x:v>123</x:v>
      </x:c>
      <x:c r="G3378" s="274" t="s">
        <x:v>153</x:v>
      </x:c>
      <x:c r="I3378" s="274" t="n">
        <x:v>2</x:v>
      </x:c>
      <x:c r="J3378" s="274" t="n">
        <x:v>78</x:v>
      </x:c>
      <x:c r="K3378" s="274" t="n">
        <x:v>1000</x:v>
      </x:c>
      <x:c r="M3378" s="274" t="s">
        <x:v>6409</x:v>
      </x:c>
      <x:c r="N3378" s="274" t="s">
        <x:v>421</x:v>
      </x:c>
    </x:row>
    <x:row r="3379" spans="1:14">
      <x:c r="A3379" s="274" t="s">
        <x:v>6411</x:v>
      </x:c>
      <x:c r="B3379" s="274" t="n">
        <x:v>2.7</x:v>
      </x:c>
      <x:c r="C3379" s="274" t="n">
        <x:v>0</x:v>
      </x:c>
      <x:c r="D3379" s="274" t="n">
        <x:v>34</x:v>
      </x:c>
      <x:c r="E3379" s="274" t="n">
        <x:v>32</x:v>
      </x:c>
      <x:c r="F3379" s="274" t="s">
        <x:v>311</x:v>
      </x:c>
      <x:c r="G3379" s="274" t="s">
        <x:v>828</x:v>
      </x:c>
      <x:c r="H3379" s="274" t="s">
        <x:v>829</x:v>
      </x:c>
      <x:c r="I3379" s="274" t="n">
        <x:v>0.8</x:v>
      </x:c>
      <x:c r="J3379" s="274" t="n">
        <x:v>600</x:v>
      </x:c>
      <x:c r="K3379" s="274" t="n">
        <x:v>715</x:v>
      </x:c>
      <x:c r="M3379" s="274" t="s">
        <x:v>6412</x:v>
      </x:c>
      <x:c r="N3379" s="274" t="s">
        <x:v>6413</x:v>
      </x:c>
    </x:row>
    <x:row r="3380" spans="1:14">
      <x:c r="A3380" s="274" t="s">
        <x:v>6414</x:v>
      </x:c>
      <x:c r="B3380" s="274" t="n">
        <x:v>2.98</x:v>
      </x:c>
      <x:c r="C3380" s="274" t="n">
        <x:v>0</x:v>
      </x:c>
      <x:c r="D3380" s="274" t="n">
        <x:v>34</x:v>
      </x:c>
      <x:c r="E3380" s="274" t="n">
        <x:v>32</x:v>
      </x:c>
      <x:c r="F3380" s="274" t="s">
        <x:v>311</x:v>
      </x:c>
      <x:c r="G3380" s="274" t="s">
        <x:v>828</x:v>
      </x:c>
      <x:c r="H3380" s="274" t="s">
        <x:v>837</x:v>
      </x:c>
      <x:c r="I3380" s="274" t="n">
        <x:v>0.8</x:v>
      </x:c>
      <x:c r="J3380" s="274" t="n">
        <x:v>570</x:v>
      </x:c>
      <x:c r="K3380" s="274" t="n">
        <x:v>830</x:v>
      </x:c>
      <x:c r="M3380" s="274" t="s">
        <x:v>6415</x:v>
      </x:c>
      <x:c r="N3380" s="274" t="s">
        <x:v>6413</x:v>
      </x:c>
    </x:row>
    <x:row r="3381" spans="1:14">
      <x:c r="A3381" s="274" t="s">
        <x:v>6416</x:v>
      </x:c>
      <x:c r="B3381" s="274" t="n">
        <x:v>6.14</x:v>
      </x:c>
      <x:c r="C3381" s="274" t="n">
        <x:v>0</x:v>
      </x:c>
      <x:c r="D3381" s="274" t="n">
        <x:v>45</x:v>
      </x:c>
      <x:c r="E3381" s="274" t="n">
        <x:v>40</x:v>
      </x:c>
      <x:c r="F3381" s="274" t="s">
        <x:v>133</x:v>
      </x:c>
      <x:c r="G3381" s="274" t="s">
        <x:v>4663</x:v>
      </x:c>
      <x:c r="I3381" s="274" t="n">
        <x:v>1.2</x:v>
      </x:c>
      <x:c r="J3381" s="274" t="n">
        <x:v>1418</x:v>
      </x:c>
      <x:c r="K3381" s="274" t="n">
        <x:v>460</x:v>
      </x:c>
      <x:c r="M3381" s="274" t="s">
        <x:v>6417</x:v>
      </x:c>
      <x:c r="N3381" s="274" t="s">
        <x:v>4258</x:v>
      </x:c>
    </x:row>
    <x:row r="3382" spans="1:14">
      <x:c r="A3382" s="274" t="s">
        <x:v>6418</x:v>
      </x:c>
      <x:c r="B3382" s="274" t="n">
        <x:v>5.64</x:v>
      </x:c>
      <x:c r="C3382" s="274" t="n">
        <x:v>0</x:v>
      </x:c>
      <x:c r="D3382" s="274" t="n">
        <x:v>0</x:v>
      </x:c>
      <x:c r="F3382" s="274" t="s">
        <x:v>133</x:v>
      </x:c>
      <x:c r="G3382" s="274" t="s">
        <x:v>4470</x:v>
      </x:c>
      <x:c r="H3382" s="274" t="s">
        <x:v>4471</x:v>
      </x:c>
      <x:c r="I3382" s="274" t="n">
        <x:v>1.4</x:v>
      </x:c>
      <x:c r="J3382" s="274" t="n">
        <x:v>1180</x:v>
      </x:c>
      <x:c r="K3382" s="274" t="n">
        <x:v>435</x:v>
      </x:c>
      <x:c r="M3382" s="274" t="s">
        <x:v>6419</x:v>
      </x:c>
      <x:c r="N3382" s="274" t="s">
        <x:v>4258</x:v>
      </x:c>
    </x:row>
    <x:row r="3383" spans="1:14">
      <x:c r="A3383" s="274" t="s">
        <x:v>6420</x:v>
      </x:c>
      <x:c r="B3383" s="274" t="n">
        <x:v>3.38</x:v>
      </x:c>
      <x:c r="C3383" s="274" t="n">
        <x:v>0</x:v>
      </x:c>
      <x:c r="D3383" s="274" t="n">
        <x:v>60</x:v>
      </x:c>
      <x:c r="E3383" s="274" t="n">
        <x:v>40</x:v>
      </x:c>
      <x:c r="F3383" s="274" t="s">
        <x:v>311</x:v>
      </x:c>
      <x:c r="G3383" s="274" t="s">
        <x:v>828</x:v>
      </x:c>
      <x:c r="H3383" s="274" t="s">
        <x:v>829</x:v>
      </x:c>
      <x:c r="I3383" s="274" t="n">
        <x:v>0.8</x:v>
      </x:c>
      <x:c r="J3383" s="274" t="n">
        <x:v>720</x:v>
      </x:c>
      <x:c r="K3383" s="274" t="n">
        <x:v>745</x:v>
      </x:c>
      <x:c r="M3383" s="274" t="s">
        <x:v>6421</x:v>
      </x:c>
      <x:c r="N3383" s="274" t="s">
        <x:v>831</x:v>
      </x:c>
    </x:row>
    <x:row r="3384" spans="1:14">
      <x:c r="A3384" s="274" t="s">
        <x:v>6422</x:v>
      </x:c>
      <x:c r="B3384" s="274" t="n">
        <x:v>0.51</x:v>
      </x:c>
      <x:c r="C3384" s="274" t="n">
        <x:v>26</x:v>
      </x:c>
      <x:c r="D3384" s="274" t="n">
        <x:v>36</x:v>
      </x:c>
      <x:c r="E3384" s="274" t="n">
        <x:v>33</x:v>
      </x:c>
      <x:c r="F3384" s="274" t="s">
        <x:v>133</x:v>
      </x:c>
      <x:c r="G3384" s="274" t="s">
        <x:v>136</x:v>
      </x:c>
      <x:c r="H3384" s="274" t="n">
        <x:v>45</x:v>
      </x:c>
      <x:c r="I3384" s="274" t="n">
        <x:v>0.6</x:v>
      </x:c>
      <x:c r="J3384" s="274" t="n">
        <x:v>352</x:v>
      </x:c>
      <x:c r="K3384" s="274" t="n">
        <x:v>302</x:v>
      </x:c>
      <x:c r="M3384" s="274" t="s">
        <x:v>6423</x:v>
      </x:c>
      <x:c r="N3384" s="274" t="s">
        <x:v>4250</x:v>
      </x:c>
    </x:row>
    <x:row r="3385" spans="1:14">
      <x:c r="A3385" s="274" t="s">
        <x:v>6424</x:v>
      </x:c>
      <x:c r="B3385" s="274" t="n">
        <x:v>0.81</x:v>
      </x:c>
      <x:c r="C3385" s="274" t="n">
        <x:v>0</x:v>
      </x:c>
      <x:c r="D3385" s="274" t="n">
        <x:v>0</x:v>
      </x:c>
      <x:c r="F3385" s="274" t="s">
        <x:v>3412</x:v>
      </x:c>
      <x:c r="G3385" s="274" t="s">
        <x:v>6425</x:v>
      </x:c>
      <x:c r="I3385" s="274" t="n">
        <x:v>1.5</x:v>
      </x:c>
      <x:c r="J3385" s="274" t="n">
        <x:v>355.5</x:v>
      </x:c>
      <x:c r="K3385" s="274" t="n">
        <x:v>192.5</x:v>
      </x:c>
      <x:c r="M3385" s="274" t="s">
        <x:v>5458</x:v>
      </x:c>
      <x:c r="N3385" s="274" t="s">
        <x:v>6426</x:v>
      </x:c>
    </x:row>
    <x:row r="3386" spans="1:14">
      <x:c r="A3386" s="274" t="s">
        <x:v>6427</x:v>
      </x:c>
      <x:c r="B3386" s="274" t="n">
        <x:v>0.24</x:v>
      </x:c>
      <x:c r="C3386" s="274" t="n">
        <x:v>0</x:v>
      </x:c>
      <x:c r="D3386" s="274" t="n">
        <x:v>0</x:v>
      </x:c>
      <x:c r="F3386" s="274" t="s">
        <x:v>123</x:v>
      </x:c>
      <x:c r="G3386" s="274" t="s">
        <x:v>129</x:v>
      </x:c>
      <x:c r="H3386" s="274" t="n">
        <x:v>45</x:v>
      </x:c>
      <x:c r="I3386" s="274" t="n">
        <x:v>1.2</x:v>
      </x:c>
      <x:c r="J3386" s="274" t="n">
        <x:v>161</x:v>
      </x:c>
      <x:c r="K3386" s="274" t="n">
        <x:v>158</x:v>
      </x:c>
      <x:c r="M3386" s="274" t="s">
        <x:v>6428</x:v>
      </x:c>
      <x:c r="N3386" s="274" t="s">
        <x:v>3671</x:v>
      </x:c>
    </x:row>
    <x:row r="3387" spans="1:14">
      <x:c r="A3387" s="274" t="s">
        <x:v>6429</x:v>
      </x:c>
      <x:c r="B3387" s="274" t="n">
        <x:v>1.62</x:v>
      </x:c>
      <x:c r="C3387" s="274" t="n">
        <x:v>0</x:v>
      </x:c>
      <x:c r="D3387" s="274" t="n">
        <x:v>0</x:v>
      </x:c>
      <x:c r="F3387" s="274" t="s">
        <x:v>3412</x:v>
      </x:c>
      <x:c r="G3387" s="274" t="s">
        <x:v>5476</x:v>
      </x:c>
      <x:c r="I3387" s="274" t="n">
        <x:v>1</x:v>
      </x:c>
      <x:c r="J3387" s="274" t="n">
        <x:v>533.6</x:v>
      </x:c>
      <x:c r="K3387" s="274" t="n">
        <x:v>392.5</x:v>
      </x:c>
      <x:c r="M3387" s="274" t="s">
        <x:v>6430</x:v>
      </x:c>
      <x:c r="N3387" s="274" t="s">
        <x:v>6426</x:v>
      </x:c>
    </x:row>
    <x:row r="3388" spans="1:14">
      <x:c r="A3388" s="274" t="s">
        <x:v>6431</x:v>
      </x:c>
      <x:c r="B3388" s="274" t="n">
        <x:v>1.62</x:v>
      </x:c>
      <x:c r="C3388" s="274" t="n">
        <x:v>0</x:v>
      </x:c>
      <x:c r="D3388" s="274" t="n">
        <x:v>0</x:v>
      </x:c>
      <x:c r="F3388" s="274" t="s">
        <x:v>3412</x:v>
      </x:c>
      <x:c r="G3388" s="274" t="s">
        <x:v>5476</x:v>
      </x:c>
      <x:c r="I3388" s="274" t="n">
        <x:v>1</x:v>
      </x:c>
      <x:c r="J3388" s="274" t="n">
        <x:v>533.4</x:v>
      </x:c>
      <x:c r="K3388" s="274" t="n">
        <x:v>392.5</x:v>
      </x:c>
      <x:c r="M3388" s="274" t="s">
        <x:v>6430</x:v>
      </x:c>
      <x:c r="N3388" s="274" t="s">
        <x:v>6426</x:v>
      </x:c>
    </x:row>
    <x:row r="3389" spans="1:14">
      <x:c r="A3389" s="274" t="s">
        <x:v>6432</x:v>
      </x:c>
      <x:c r="B3389" s="274" t="n">
        <x:v>0.81</x:v>
      </x:c>
      <x:c r="C3389" s="274" t="n">
        <x:v>0</x:v>
      </x:c>
      <x:c r="D3389" s="274" t="n">
        <x:v>0</x:v>
      </x:c>
      <x:c r="F3389" s="274" t="s">
        <x:v>3412</x:v>
      </x:c>
      <x:c r="G3389" s="274" t="s">
        <x:v>6425</x:v>
      </x:c>
      <x:c r="I3389" s="274" t="n">
        <x:v>1.5</x:v>
      </x:c>
      <x:c r="J3389" s="274" t="n">
        <x:v>355.7</x:v>
      </x:c>
      <x:c r="K3389" s="274" t="n">
        <x:v>192.5</x:v>
      </x:c>
      <x:c r="M3389" s="274" t="s">
        <x:v>5458</x:v>
      </x:c>
      <x:c r="N3389" s="274" t="s">
        <x:v>6426</x:v>
      </x:c>
    </x:row>
    <x:row r="3390" spans="1:14">
      <x:c r="A3390" s="274" t="s">
        <x:v>6433</x:v>
      </x:c>
      <x:c r="B3390" s="274" t="n">
        <x:v>5.26</x:v>
      </x:c>
      <x:c r="C3390" s="274" t="n">
        <x:v>0</x:v>
      </x:c>
      <x:c r="D3390" s="274" t="n">
        <x:v>23</x:v>
      </x:c>
      <x:c r="E3390" s="274" t="n">
        <x:v>18</x:v>
      </x:c>
      <x:c r="F3390" s="274" t="s">
        <x:v>1980</x:v>
      </x:c>
      <x:c r="G3390" s="274" t="s">
        <x:v>6434</x:v>
      </x:c>
      <x:c r="I3390" s="274" t="n">
        <x:v>0.7</x:v>
      </x:c>
      <x:c r="J3390" s="274" t="n">
        <x:v>465</x:v>
      </x:c>
      <x:c r="K3390" s="274" t="n">
        <x:v>2060</x:v>
      </x:c>
      <x:c r="M3390" s="274" t="s">
        <x:v>6435</x:v>
      </x:c>
    </x:row>
    <x:row r="3391" spans="1:14">
      <x:c r="A3391" s="274" t="s">
        <x:v>6436</x:v>
      </x:c>
      <x:c r="B3391" s="274" t="n">
        <x:v>5</x:v>
      </x:c>
      <x:c r="C3391" s="274" t="n">
        <x:v>0</x:v>
      </x:c>
      <x:c r="D3391" s="274" t="n">
        <x:v>0</x:v>
      </x:c>
      <x:c r="F3391" s="274" t="s">
        <x:v>1964</x:v>
      </x:c>
      <x:c r="G3391" s="274" t="s">
        <x:v>3413</x:v>
      </x:c>
      <x:c r="H3391" s="274" t="n">
        <x:v>45</x:v>
      </x:c>
      <x:c r="I3391" s="274" t="n">
        <x:v>1.8</x:v>
      </x:c>
      <x:c r="J3391" s="274" t="n">
        <x:v>303</x:v>
      </x:c>
      <x:c r="K3391" s="274" t="n">
        <x:v>1160</x:v>
      </x:c>
      <x:c r="M3391" s="274" t="s">
        <x:v>6301</x:v>
      </x:c>
      <x:c r="N3391" s="274" t="s">
        <x:v>6437</x:v>
      </x:c>
    </x:row>
    <x:row r="3392" spans="1:14">
      <x:c r="A3392" s="274" t="s">
        <x:v>6438</x:v>
      </x:c>
      <x:c r="B3392" s="274" t="n">
        <x:v>0.21</x:v>
      </x:c>
      <x:c r="C3392" s="274" t="n">
        <x:v>0</x:v>
      </x:c>
      <x:c r="D3392" s="274" t="n">
        <x:v>0</x:v>
      </x:c>
      <x:c r="F3392" s="274" t="s">
        <x:v>1964</x:v>
      </x:c>
      <x:c r="G3392" s="274" t="s">
        <x:v>3413</x:v>
      </x:c>
      <x:c r="H3392" s="274" t="n">
        <x:v>45</x:v>
      </x:c>
      <x:c r="I3392" s="274" t="n">
        <x:v>1.2</x:v>
      </x:c>
      <x:c r="J3392" s="274" t="n">
        <x:v>150</x:v>
      </x:c>
      <x:c r="K3392" s="274" t="n">
        <x:v>147</x:v>
      </x:c>
      <x:c r="M3392" s="274" t="s">
        <x:v>6303</x:v>
      </x:c>
      <x:c r="N3392" s="274" t="s">
        <x:v>6437</x:v>
      </x:c>
    </x:row>
    <x:row r="3393" spans="1:14">
      <x:c r="A3393" s="274" t="s">
        <x:v>6439</x:v>
      </x:c>
      <x:c r="B3393" s="274" t="n">
        <x:v>2.79</x:v>
      </x:c>
      <x:c r="C3393" s="274" t="n">
        <x:v>0</x:v>
      </x:c>
      <x:c r="D3393" s="274" t="n">
        <x:v>30</x:v>
      </x:c>
      <x:c r="E3393" s="274" t="n">
        <x:v>0</x:v>
      </x:c>
      <x:c r="F3393" s="274" t="s">
        <x:v>133</x:v>
      </x:c>
      <x:c r="G3393" s="274" t="s">
        <x:v>3402</x:v>
      </x:c>
      <x:c r="I3393" s="274" t="n">
        <x:v>0.75</x:v>
      </x:c>
      <x:c r="J3393" s="274" t="n">
        <x:v>730</x:v>
      </x:c>
      <x:c r="K3393" s="274" t="n">
        <x:v>700</x:v>
      </x:c>
      <x:c r="L3393" s="274" t="n">
        <x:v>600</x:v>
      </x:c>
      <x:c r="M3393" s="274" t="s">
        <x:v>6440</x:v>
      </x:c>
      <x:c r="N3393" s="274" t="s">
        <x:v>6441</x:v>
      </x:c>
    </x:row>
    <x:row r="3394" spans="1:14">
      <x:c r="A3394" s="274" t="s">
        <x:v>6442</x:v>
      </x:c>
      <x:c r="B3394" s="274" t="n">
        <x:v>2.64</x:v>
      </x:c>
      <x:c r="C3394" s="274" t="n">
        <x:v>0</x:v>
      </x:c>
      <x:c r="D3394" s="274" t="n">
        <x:v>35</x:v>
      </x:c>
      <x:c r="E3394" s="274" t="n">
        <x:v>0</x:v>
      </x:c>
      <x:c r="F3394" s="274" t="s">
        <x:v>133</x:v>
      </x:c>
      <x:c r="G3394" s="274" t="s">
        <x:v>3304</x:v>
      </x:c>
      <x:c r="I3394" s="274" t="n">
        <x:v>0.75</x:v>
      </x:c>
      <x:c r="J3394" s="274" t="n">
        <x:v>755</x:v>
      </x:c>
      <x:c r="K3394" s="274" t="n">
        <x:v>650</x:v>
      </x:c>
      <x:c r="L3394" s="274" t="n">
        <x:v>540</x:v>
      </x:c>
      <x:c r="M3394" s="274" t="s">
        <x:v>4147</x:v>
      </x:c>
      <x:c r="N3394" s="274" t="s">
        <x:v>6441</x:v>
      </x:c>
    </x:row>
    <x:row r="3395" spans="1:14">
      <x:c r="A3395" s="274" t="s">
        <x:v>6443</x:v>
      </x:c>
      <x:c r="B3395" s="274" t="n">
        <x:v>5.9</x:v>
      </x:c>
      <x:c r="C3395" s="274" t="n">
        <x:v>0</x:v>
      </x:c>
      <x:c r="D3395" s="274" t="n">
        <x:v>0</x:v>
      </x:c>
      <x:c r="F3395" s="274" t="s">
        <x:v>184</x:v>
      </x:c>
      <x:c r="G3395" s="274" t="s">
        <x:v>144</x:v>
      </x:c>
      <x:c r="H3395" s="274" t="n">
        <x:v>45</x:v>
      </x:c>
      <x:c r="I3395" s="274" t="n">
        <x:v>1.2</x:v>
      </x:c>
      <x:c r="J3395" s="274" t="n">
        <x:v>1360</x:v>
      </x:c>
      <x:c r="K3395" s="274" t="n">
        <x:v>456</x:v>
      </x:c>
      <x:c r="M3395" s="274" t="s">
        <x:v>6444</x:v>
      </x:c>
      <x:c r="N3395" s="274" t="s">
        <x:v>787</x:v>
      </x:c>
    </x:row>
    <x:row r="3396" spans="1:14">
      <x:c r="A3396" s="274" t="s">
        <x:v>6445</x:v>
      </x:c>
      <x:c r="B3396" s="274" t="n">
        <x:v>1.78</x:v>
      </x:c>
      <x:c r="C3396" s="274" t="n">
        <x:v>0</x:v>
      </x:c>
      <x:c r="D3396" s="274" t="n">
        <x:v>0</x:v>
      </x:c>
      <x:c r="F3396" s="274" t="s">
        <x:v>133</x:v>
      </x:c>
      <x:c r="G3396" s="274" t="s">
        <x:v>134</x:v>
      </x:c>
      <x:c r="I3396" s="274" t="n">
        <x:v>2.6</x:v>
      </x:c>
      <x:c r="J3396" s="274" t="n">
        <x:v>130</x:v>
      </x:c>
      <x:c r="K3396" s="274" t="n">
        <x:v>670</x:v>
      </x:c>
      <x:c r="M3396" s="274" t="s">
        <x:v>6446</x:v>
      </x:c>
      <x:c r="N3396" s="274" t="s">
        <x:v>465</x:v>
      </x:c>
    </x:row>
    <x:row r="3397" spans="1:14">
      <x:c r="A3397" s="274" t="s">
        <x:v>6447</x:v>
      </x:c>
      <x:c r="B3397" s="274" t="n">
        <x:v>12.81</x:v>
      </x:c>
      <x:c r="C3397" s="274" t="n">
        <x:v>0</x:v>
      </x:c>
      <x:c r="D3397" s="274" t="n">
        <x:v>0</x:v>
      </x:c>
      <x:c r="E3397" s="274" t="n">
        <x:v>28</x:v>
      </x:c>
      <x:c r="F3397" s="274" t="s">
        <x:v>133</x:v>
      </x:c>
      <x:c r="G3397" s="274" t="s">
        <x:v>136</x:v>
      </x:c>
      <x:c r="H3397" s="274" t="s">
        <x:v>285</x:v>
      </x:c>
      <x:c r="I3397" s="274" t="n">
        <x:v>0.75</x:v>
      </x:c>
      <x:c r="J3397" s="274" t="n">
        <x:v>1405</x:v>
      </x:c>
      <x:c r="K3397" s="274" t="n">
        <x:v>1525</x:v>
      </x:c>
      <x:c r="M3397" s="274" t="s">
        <x:v>6448</x:v>
      </x:c>
      <x:c r="N3397" s="274" t="s">
        <x:v>126</x:v>
      </x:c>
    </x:row>
    <x:row r="3398" spans="1:14">
      <x:c r="A3398" s="274" t="s">
        <x:v>6449</x:v>
      </x:c>
      <x:c r="B3398" s="274" t="n">
        <x:v>14.31</x:v>
      </x:c>
      <x:c r="C3398" s="274" t="n">
        <x:v>0</x:v>
      </x:c>
      <x:c r="D3398" s="274" t="n">
        <x:v>30</x:v>
      </x:c>
      <x:c r="E3398" s="274" t="n">
        <x:v>40</x:v>
      </x:c>
      <x:c r="F3398" s="274" t="s">
        <x:v>123</x:v>
      </x:c>
      <x:c r="G3398" s="274" t="s">
        <x:v>139</x:v>
      </x:c>
      <x:c r="I3398" s="274" t="n">
        <x:v>3.2</x:v>
      </x:c>
      <x:c r="J3398" s="274" t="n">
        <x:v>1225</x:v>
      </x:c>
      <x:c r="K3398" s="274" t="n">
        <x:v>465</x:v>
      </x:c>
    </x:row>
    <x:row r="3399" spans="1:14">
      <x:c r="A3399" s="274" t="s">
        <x:v>6450</x:v>
      </x:c>
      <x:c r="B3399" s="274" t="n">
        <x:v>5</x:v>
      </x:c>
      <x:c r="C3399" s="274" t="n">
        <x:v>0</x:v>
      </x:c>
      <x:c r="D3399" s="274" t="n">
        <x:v>0</x:v>
      </x:c>
      <x:c r="F3399" s="274" t="s">
        <x:v>1964</x:v>
      </x:c>
      <x:c r="G3399" s="274" t="s">
        <x:v>3413</x:v>
      </x:c>
      <x:c r="H3399" s="274" t="n">
        <x:v>45</x:v>
      </x:c>
      <x:c r="I3399" s="274" t="n">
        <x:v>1.8</x:v>
      </x:c>
      <x:c r="J3399" s="274" t="n">
        <x:v>303</x:v>
      </x:c>
      <x:c r="K3399" s="274" t="n">
        <x:v>1160</x:v>
      </x:c>
      <x:c r="M3399" s="274" t="s">
        <x:v>6301</x:v>
      </x:c>
      <x:c r="N3399" s="274" t="s">
        <x:v>6437</x:v>
      </x:c>
    </x:row>
    <x:row r="3400" spans="1:14">
      <x:c r="A3400" s="274" t="s">
        <x:v>6451</x:v>
      </x:c>
      <x:c r="B3400" s="274" t="n">
        <x:v>0.21</x:v>
      </x:c>
      <x:c r="C3400" s="274" t="n">
        <x:v>0</x:v>
      </x:c>
      <x:c r="D3400" s="274" t="n">
        <x:v>0</x:v>
      </x:c>
      <x:c r="F3400" s="274" t="s">
        <x:v>1964</x:v>
      </x:c>
      <x:c r="G3400" s="274" t="s">
        <x:v>3413</x:v>
      </x:c>
      <x:c r="H3400" s="274" t="n">
        <x:v>45</x:v>
      </x:c>
      <x:c r="I3400" s="274" t="n">
        <x:v>1.2</x:v>
      </x:c>
      <x:c r="J3400" s="274" t="n">
        <x:v>150</x:v>
      </x:c>
      <x:c r="K3400" s="274" t="n">
        <x:v>147</x:v>
      </x:c>
      <x:c r="M3400" s="274" t="s">
        <x:v>6303</x:v>
      </x:c>
      <x:c r="N3400" s="274" t="s">
        <x:v>6437</x:v>
      </x:c>
    </x:row>
    <x:row r="3401" spans="1:14">
      <x:c r="A3401" s="274" t="s">
        <x:v>6452</x:v>
      </x:c>
      <x:c r="B3401" s="274" t="n">
        <x:v>4.39</x:v>
      </x:c>
      <x:c r="C3401" s="274" t="n">
        <x:v>0</x:v>
      </x:c>
      <x:c r="D3401" s="274" t="n">
        <x:v>0</x:v>
      </x:c>
      <x:c r="F3401" s="274" t="s">
        <x:v>333</x:v>
      </x:c>
      <x:c r="G3401" s="274" t="s">
        <x:v>2160</x:v>
      </x:c>
      <x:c r="I3401" s="274" t="n">
        <x:v>1</x:v>
      </x:c>
      <x:c r="J3401" s="274" t="n">
        <x:v>466</x:v>
      </x:c>
      <x:c r="K3401" s="274" t="n">
        <x:v>1200</x:v>
      </x:c>
      <x:c r="M3401" s="274" t="s">
        <x:v>4034</x:v>
      </x:c>
      <x:c r="N3401" s="274" t="s">
        <x:v>3984</x:v>
      </x:c>
    </x:row>
    <x:row r="3402" spans="1:14">
      <x:c r="A3402" s="274" t="s">
        <x:v>6453</x:v>
      </x:c>
      <x:c r="B3402" s="274" t="n">
        <x:v>10.46</x:v>
      </x:c>
      <x:c r="C3402" s="274" t="n">
        <x:v>0</x:v>
      </x:c>
      <x:c r="D3402" s="274" t="n">
        <x:v>34</x:v>
      </x:c>
      <x:c r="E3402" s="274" t="n">
        <x:v>29</x:v>
      </x:c>
      <x:c r="F3402" s="274" t="s">
        <x:v>1980</x:v>
      </x:c>
      <x:c r="G3402" s="274" t="s">
        <x:v>1985</x:v>
      </x:c>
      <x:c r="I3402" s="274" t="n">
        <x:v>0.8</x:v>
      </x:c>
      <x:c r="J3402" s="274" t="n">
        <x:v>1190</x:v>
      </x:c>
      <x:c r="K3402" s="274" t="n">
        <x:v>1400</x:v>
      </x:c>
      <x:c r="M3402" s="274" t="s">
        <x:v>4476</x:v>
      </x:c>
    </x:row>
    <x:row r="3403" spans="1:14">
      <x:c r="A3403" s="274" t="s">
        <x:v>6454</x:v>
      </x:c>
      <x:c r="B3403" s="274" t="n">
        <x:v>7.1</x:v>
      </x:c>
      <x:c r="C3403" s="274" t="n">
        <x:v>0</x:v>
      </x:c>
      <x:c r="D3403" s="274" t="n">
        <x:v>31</x:v>
      </x:c>
      <x:c r="E3403" s="274" t="n">
        <x:v>26</x:v>
      </x:c>
      <x:c r="F3403" s="274" t="s">
        <x:v>1980</x:v>
      </x:c>
      <x:c r="G3403" s="274" t="s">
        <x:v>1985</x:v>
      </x:c>
      <x:c r="I3403" s="274" t="n">
        <x:v>0.8</x:v>
      </x:c>
      <x:c r="J3403" s="274" t="n">
        <x:v>685</x:v>
      </x:c>
      <x:c r="K3403" s="274" t="n">
        <x:v>1650</x:v>
      </x:c>
      <x:c r="M3403" s="274" t="s">
        <x:v>6455</x:v>
      </x:c>
    </x:row>
    <x:row r="3404" spans="1:14">
      <x:c r="A3404" s="274" t="s">
        <x:v>6456</x:v>
      </x:c>
      <x:c r="B3404" s="274" t="n">
        <x:v>26.18</x:v>
      </x:c>
      <x:c r="C3404" s="274" t="n">
        <x:v>0</x:v>
      </x:c>
      <x:c r="D3404" s="274" t="n">
        <x:v>29</x:v>
      </x:c>
      <x:c r="E3404" s="274" t="n">
        <x:v>24</x:v>
      </x:c>
      <x:c r="F3404" s="274" t="s">
        <x:v>1980</x:v>
      </x:c>
      <x:c r="G3404" s="274" t="s">
        <x:v>1985</x:v>
      </x:c>
      <x:c r="I3404" s="274" t="n">
        <x:v>1.25</x:v>
      </x:c>
      <x:c r="J3404" s="274" t="n">
        <x:v>1470</x:v>
      </x:c>
      <x:c r="K3404" s="274" t="n">
        <x:v>1815</x:v>
      </x:c>
      <x:c r="M3404" s="274" t="s">
        <x:v>2008</x:v>
      </x:c>
    </x:row>
    <x:row r="3405" spans="1:14">
      <x:c r="A3405" s="274" t="s">
        <x:v>6457</x:v>
      </x:c>
      <x:c r="B3405" s="274" t="n">
        <x:v>0.94</x:v>
      </x:c>
      <x:c r="C3405" s="274" t="n">
        <x:v>0</x:v>
      </x:c>
      <x:c r="D3405" s="274" t="n">
        <x:v>0</x:v>
      </x:c>
      <x:c r="F3405" s="274" t="s">
        <x:v>128</x:v>
      </x:c>
      <x:c r="G3405" s="274" t="s">
        <x:v>139</x:v>
      </x:c>
      <x:c r="I3405" s="274" t="n">
        <x:v>1.6</x:v>
      </x:c>
      <x:c r="J3405" s="274" t="n">
        <x:v>60</x:v>
      </x:c>
      <x:c r="K3405" s="274" t="n">
        <x:v>1250</x:v>
      </x:c>
      <x:c r="M3405" s="274" t="s">
        <x:v>6458</x:v>
      </x:c>
      <x:c r="N3405" s="274" t="s">
        <x:v>3671</x:v>
      </x:c>
    </x:row>
    <x:row r="3406" spans="1:14">
      <x:c r="A3406" s="274" t="s">
        <x:v>6459</x:v>
      </x:c>
      <x:c r="B3406" s="274" t="n">
        <x:v>1.41</x:v>
      </x:c>
      <x:c r="C3406" s="274" t="n">
        <x:v>0</x:v>
      </x:c>
      <x:c r="D3406" s="274" t="n">
        <x:v>0</x:v>
      </x:c>
      <x:c r="F3406" s="274" t="s">
        <x:v>128</x:v>
      </x:c>
      <x:c r="G3406" s="274" t="s">
        <x:v>139</x:v>
      </x:c>
      <x:c r="I3406" s="274" t="n">
        <x:v>1.6</x:v>
      </x:c>
      <x:c r="J3406" s="274" t="n">
        <x:v>90</x:v>
      </x:c>
      <x:c r="K3406" s="274" t="n">
        <x:v>1250</x:v>
      </x:c>
      <x:c r="M3406" s="274" t="s">
        <x:v>6460</x:v>
      </x:c>
      <x:c r="N3406" s="274" t="s">
        <x:v>3671</x:v>
      </x:c>
    </x:row>
    <x:row r="3407" spans="1:14">
      <x:c r="A3407" s="274" t="s">
        <x:v>6461</x:v>
      </x:c>
      <x:c r="B3407" s="274" t="n">
        <x:v>0.74</x:v>
      </x:c>
      <x:c r="C3407" s="274" t="n">
        <x:v>0</x:v>
      </x:c>
      <x:c r="D3407" s="274" t="n">
        <x:v>0</x:v>
      </x:c>
      <x:c r="F3407" s="274" t="s">
        <x:v>184</x:v>
      </x:c>
      <x:c r="G3407" s="274" t="s">
        <x:v>4642</x:v>
      </x:c>
      <x:c r="H3407" s="274" t="s">
        <x:v>4471</x:v>
      </x:c>
      <x:c r="I3407" s="274" t="n">
        <x:v>0.6</x:v>
      </x:c>
      <x:c r="J3407" s="274" t="n">
        <x:v>960</x:v>
      </x:c>
      <x:c r="K3407" s="274" t="n">
        <x:v>163</x:v>
      </x:c>
      <x:c r="M3407" s="274" t="s">
        <x:v>6462</x:v>
      </x:c>
      <x:c r="N3407" s="274" t="s">
        <x:v>4258</x:v>
      </x:c>
    </x:row>
    <x:row r="3408" spans="1:14">
      <x:c r="A3408" s="274" t="s">
        <x:v>6463</x:v>
      </x:c>
      <x:c r="B3408" s="274" t="n">
        <x:v>2.12</x:v>
      </x:c>
      <x:c r="C3408" s="274" t="n">
        <x:v>0</x:v>
      </x:c>
      <x:c r="D3408" s="274" t="n">
        <x:v>0</x:v>
      </x:c>
      <x:c r="F3408" s="274" t="s">
        <x:v>333</x:v>
      </x:c>
      <x:c r="G3408" s="274" t="s">
        <x:v>153</x:v>
      </x:c>
      <x:c r="I3408" s="274" t="n">
        <x:v>2</x:v>
      </x:c>
      <x:c r="J3408" s="274" t="n">
        <x:v>255</x:v>
      </x:c>
      <x:c r="K3408" s="274" t="n">
        <x:v>529</x:v>
      </x:c>
      <x:c r="M3408" s="274" t="s">
        <x:v>5901</x:v>
      </x:c>
      <x:c r="N3408" s="274" t="s">
        <x:v>3671</x:v>
      </x:c>
    </x:row>
    <x:row r="3409" spans="1:14">
      <x:c r="A3409" s="274" t="s">
        <x:v>6464</x:v>
      </x:c>
      <x:c r="B3409" s="274" t="n">
        <x:v>0.73</x:v>
      </x:c>
      <x:c r="C3409" s="274" t="n">
        <x:v>0</x:v>
      </x:c>
      <x:c r="D3409" s="274" t="n">
        <x:v>0</x:v>
      </x:c>
      <x:c r="F3409" s="274" t="s">
        <x:v>333</x:v>
      </x:c>
      <x:c r="G3409" s="274" t="s">
        <x:v>153</x:v>
      </x:c>
      <x:c r="I3409" s="274" t="n">
        <x:v>1.2</x:v>
      </x:c>
      <x:c r="J3409" s="274" t="n">
        <x:v>312</x:v>
      </x:c>
      <x:c r="K3409" s="274" t="n">
        <x:v>248</x:v>
      </x:c>
      <x:c r="M3409" s="274" t="s">
        <x:v>5816</x:v>
      </x:c>
      <x:c r="N3409" s="274" t="s">
        <x:v>3671</x:v>
      </x:c>
    </x:row>
    <x:row r="3410" spans="1:14">
      <x:c r="A3410" s="274" t="s">
        <x:v>6465</x:v>
      </x:c>
      <x:c r="B3410" s="274" t="n">
        <x:v>2.83</x:v>
      </x:c>
      <x:c r="C3410" s="274" t="n">
        <x:v>0</x:v>
      </x:c>
      <x:c r="D3410" s="274" t="n">
        <x:v>0</x:v>
      </x:c>
      <x:c r="F3410" s="274" t="s">
        <x:v>333</x:v>
      </x:c>
      <x:c r="G3410" s="274" t="s">
        <x:v>153</x:v>
      </x:c>
      <x:c r="I3410" s="274" t="n">
        <x:v>1.2</x:v>
      </x:c>
      <x:c r="J3410" s="274" t="n">
        <x:v>584</x:v>
      </x:c>
      <x:c r="K3410" s="274" t="n">
        <x:v>514</x:v>
      </x:c>
      <x:c r="M3410" s="274" t="s">
        <x:v>6466</x:v>
      </x:c>
      <x:c r="N3410" s="274" t="s">
        <x:v>3671</x:v>
      </x:c>
    </x:row>
    <x:row r="3411" spans="1:14">
      <x:c r="A3411" s="274" t="s">
        <x:v>6467</x:v>
      </x:c>
      <x:c r="B3411" s="274" t="n">
        <x:v>0.63</x:v>
      </x:c>
      <x:c r="C3411" s="274" t="n">
        <x:v>0</x:v>
      </x:c>
      <x:c r="D3411" s="274" t="n">
        <x:v>0</x:v>
      </x:c>
      <x:c r="F3411" s="274" t="s">
        <x:v>123</x:v>
      </x:c>
      <x:c r="G3411" s="274" t="s">
        <x:v>129</x:v>
      </x:c>
      <x:c r="H3411" s="274" t="n">
        <x:v>45</x:v>
      </x:c>
      <x:c r="I3411" s="274" t="n">
        <x:v>1.6</x:v>
      </x:c>
      <x:c r="J3411" s="274" t="n">
        <x:v>113</x:v>
      </x:c>
      <x:c r="K3411" s="274" t="n">
        <x:v>443</x:v>
      </x:c>
      <x:c r="M3411" s="274" t="s">
        <x:v>5898</x:v>
      </x:c>
      <x:c r="N3411" s="274" t="s">
        <x:v>3671</x:v>
      </x:c>
    </x:row>
    <x:row r="3412" spans="1:14">
      <x:c r="A3412" s="274" t="s">
        <x:v>6468</x:v>
      </x:c>
      <x:c r="B3412" s="274" t="n">
        <x:v>0.62</x:v>
      </x:c>
      <x:c r="C3412" s="274" t="n">
        <x:v>0</x:v>
      </x:c>
      <x:c r="D3412" s="274" t="n">
        <x:v>0</x:v>
      </x:c>
      <x:c r="F3412" s="274" t="s">
        <x:v>133</x:v>
      </x:c>
      <x:c r="G3412" s="274" t="s">
        <x:v>136</x:v>
      </x:c>
      <x:c r="H3412" s="274" t="n">
        <x:v>45</x:v>
      </x:c>
      <x:c r="I3412" s="274" t="n">
        <x:v>1.2</x:v>
      </x:c>
      <x:c r="J3412" s="274" t="n">
        <x:v>344</x:v>
      </x:c>
      <x:c r="K3412" s="274" t="n">
        <x:v>188</x:v>
      </x:c>
      <x:c r="M3412" s="274" t="s">
        <x:v>5840</x:v>
      </x:c>
      <x:c r="N3412" s="274" t="s">
        <x:v>3671</x:v>
      </x:c>
    </x:row>
    <x:row r="3413" spans="1:14">
      <x:c r="A3413" s="274" t="s">
        <x:v>6469</x:v>
      </x:c>
      <x:c r="B3413" s="274" t="n">
        <x:v>0.73</x:v>
      </x:c>
      <x:c r="C3413" s="274" t="n">
        <x:v>0</x:v>
      </x:c>
      <x:c r="D3413" s="274" t="n">
        <x:v>0</x:v>
      </x:c>
      <x:c r="F3413" s="274" t="s">
        <x:v>133</x:v>
      </x:c>
      <x:c r="G3413" s="274" t="s">
        <x:v>136</x:v>
      </x:c>
      <x:c r="H3413" s="274" t="n">
        <x:v>45</x:v>
      </x:c>
      <x:c r="I3413" s="274" t="n">
        <x:v>1.2</x:v>
      </x:c>
      <x:c r="J3413" s="274" t="n">
        <x:v>385</x:v>
      </x:c>
      <x:c r="K3413" s="274" t="n">
        <x:v>200</x:v>
      </x:c>
      <x:c r="M3413" s="274" t="s">
        <x:v>5842</x:v>
      </x:c>
      <x:c r="N3413" s="274" t="s">
        <x:v>3671</x:v>
      </x:c>
    </x:row>
    <x:row r="3414" spans="1:14">
      <x:c r="A3414" s="274" t="s">
        <x:v>6470</x:v>
      </x:c>
      <x:c r="B3414" s="274" t="n">
        <x:v>3.58</x:v>
      </x:c>
      <x:c r="C3414" s="274" t="n">
        <x:v>0</x:v>
      </x:c>
      <x:c r="D3414" s="274" t="n">
        <x:v>0</x:v>
      </x:c>
      <x:c r="F3414" s="274" t="s">
        <x:v>333</x:v>
      </x:c>
      <x:c r="G3414" s="274" t="s">
        <x:v>124</x:v>
      </x:c>
      <x:c r="I3414" s="274" t="n">
        <x:v>1.6</x:v>
      </x:c>
      <x:c r="J3414" s="274" t="n">
        <x:v>228</x:v>
      </x:c>
      <x:c r="K3414" s="274" t="n">
        <x:v>1250</x:v>
      </x:c>
      <x:c r="M3414" s="274" t="s">
        <x:v>6471</x:v>
      </x:c>
      <x:c r="N3414" s="274" t="s">
        <x:v>3671</x:v>
      </x:c>
    </x:row>
    <x:row r="3415" spans="1:14">
      <x:c r="A3415" s="274" t="s">
        <x:v>6472</x:v>
      </x:c>
      <x:c r="B3415" s="274" t="n">
        <x:v>1.24</x:v>
      </x:c>
      <x:c r="C3415" s="274" t="n">
        <x:v>0</x:v>
      </x:c>
      <x:c r="D3415" s="274" t="n">
        <x:v>0</x:v>
      </x:c>
      <x:c r="F3415" s="274" t="s">
        <x:v>333</x:v>
      </x:c>
      <x:c r="G3415" s="274" t="s">
        <x:v>124</x:v>
      </x:c>
      <x:c r="I3415" s="274" t="n">
        <x:v>1.6</x:v>
      </x:c>
      <x:c r="J3415" s="274" t="n">
        <x:v>337</x:v>
      </x:c>
      <x:c r="K3415" s="274" t="n">
        <x:v>294</x:v>
      </x:c>
      <x:c r="M3415" s="274" t="s">
        <x:v>5889</x:v>
      </x:c>
      <x:c r="N3415" s="274" t="s">
        <x:v>3671</x:v>
      </x:c>
    </x:row>
    <x:row r="3416" spans="1:14">
      <x:c r="A3416" s="274" t="s">
        <x:v>6473</x:v>
      </x:c>
      <x:c r="B3416" s="274" t="n">
        <x:v>0.48</x:v>
      </x:c>
      <x:c r="C3416" s="274" t="n">
        <x:v>0</x:v>
      </x:c>
      <x:c r="D3416" s="274" t="n">
        <x:v>0</x:v>
      </x:c>
      <x:c r="F3416" s="274" t="s">
        <x:v>333</x:v>
      </x:c>
      <x:c r="G3416" s="274" t="s">
        <x:v>4663</x:v>
      </x:c>
      <x:c r="I3416" s="274" t="n">
        <x:v>1.2</x:v>
      </x:c>
      <x:c r="J3416" s="274" t="n">
        <x:v>850</x:v>
      </x:c>
      <x:c r="K3416" s="274" t="n">
        <x:v>60</x:v>
      </x:c>
      <x:c r="M3416" s="274" t="s">
        <x:v>4928</x:v>
      </x:c>
      <x:c r="N3416" s="274" t="s">
        <x:v>4258</x:v>
      </x:c>
    </x:row>
    <x:row r="3417" spans="1:14">
      <x:c r="A3417" s="274" t="s">
        <x:v>6474</x:v>
      </x:c>
      <x:c r="B3417" s="274" t="n">
        <x:v>3.14</x:v>
      </x:c>
      <x:c r="C3417" s="274" t="n">
        <x:v>0</x:v>
      </x:c>
      <x:c r="D3417" s="274" t="n">
        <x:v>0</x:v>
      </x:c>
      <x:c r="F3417" s="274" t="s">
        <x:v>133</x:v>
      </x:c>
      <x:c r="G3417" s="274" t="s">
        <x:v>134</x:v>
      </x:c>
      <x:c r="I3417" s="274" t="n">
        <x:v>1.6</x:v>
      </x:c>
      <x:c r="J3417" s="274" t="n">
        <x:v>200</x:v>
      </x:c>
      <x:c r="K3417" s="274" t="n">
        <x:v>1250</x:v>
      </x:c>
      <x:c r="M3417" s="274" t="s">
        <x:v>6475</x:v>
      </x:c>
      <x:c r="N3417" s="274" t="s">
        <x:v>3671</x:v>
      </x:c>
    </x:row>
    <x:row r="3418" spans="1:14">
      <x:c r="A3418" s="274" t="s">
        <x:v>6476</x:v>
      </x:c>
      <x:c r="B3418" s="274" t="n">
        <x:v>3.14</x:v>
      </x:c>
      <x:c r="C3418" s="274" t="n">
        <x:v>0</x:v>
      </x:c>
      <x:c r="D3418" s="274" t="n">
        <x:v>0</x:v>
      </x:c>
      <x:c r="F3418" s="274" t="s">
        <x:v>333</x:v>
      </x:c>
      <x:c r="G3418" s="274" t="s">
        <x:v>209</x:v>
      </x:c>
      <x:c r="I3418" s="274" t="n">
        <x:v>1.6</x:v>
      </x:c>
      <x:c r="J3418" s="274" t="n">
        <x:v>200</x:v>
      </x:c>
      <x:c r="K3418" s="274" t="n">
        <x:v>1250</x:v>
      </x:c>
      <x:c r="M3418" s="274" t="s">
        <x:v>6475</x:v>
      </x:c>
      <x:c r="N3418" s="274" t="s">
        <x:v>3671</x:v>
      </x:c>
    </x:row>
    <x:row r="3419" spans="1:14">
      <x:c r="A3419" s="274" t="s">
        <x:v>6477</x:v>
      </x:c>
      <x:c r="B3419" s="274" t="n">
        <x:v>0.45</x:v>
      </x:c>
      <x:c r="C3419" s="274" t="n">
        <x:v>0</x:v>
      </x:c>
      <x:c r="D3419" s="274" t="n">
        <x:v>0</x:v>
      </x:c>
      <x:c r="F3419" s="274" t="s">
        <x:v>333</x:v>
      </x:c>
      <x:c r="G3419" s="274" t="s">
        <x:v>209</x:v>
      </x:c>
      <x:c r="I3419" s="274" t="n">
        <x:v>1.6</x:v>
      </x:c>
      <x:c r="J3419" s="274" t="n">
        <x:v>170</x:v>
      </x:c>
      <x:c r="K3419" s="274" t="n">
        <x:v>212</x:v>
      </x:c>
      <x:c r="M3419" s="274" t="s">
        <x:v>5896</x:v>
      </x:c>
      <x:c r="N3419" s="274" t="s">
        <x:v>3671</x:v>
      </x:c>
    </x:row>
    <x:row r="3420" spans="1:14">
      <x:c r="A3420" s="274" t="s">
        <x:v>6478</x:v>
      </x:c>
      <x:c r="B3420" s="274" t="n">
        <x:v>3.49</x:v>
      </x:c>
      <x:c r="C3420" s="274" t="n">
        <x:v>0</x:v>
      </x:c>
      <x:c r="D3420" s="274" t="n">
        <x:v>0</x:v>
      </x:c>
      <x:c r="F3420" s="274" t="s">
        <x:v>133</x:v>
      </x:c>
      <x:c r="G3420" s="274" t="s">
        <x:v>136</x:v>
      </x:c>
      <x:c r="H3420" s="274" t="n">
        <x:v>45</x:v>
      </x:c>
      <x:c r="I3420" s="274" t="n">
        <x:v>1.2</x:v>
      </x:c>
      <x:c r="J3420" s="274" t="n">
        <x:v>442</x:v>
      </x:c>
      <x:c r="K3420" s="274" t="n">
        <x:v>830</x:v>
      </x:c>
      <x:c r="M3420" s="274" t="s">
        <x:v>5850</x:v>
      </x:c>
      <x:c r="N3420" s="274" t="s">
        <x:v>3671</x:v>
      </x:c>
    </x:row>
    <x:row r="3421" spans="1:14">
      <x:c r="A3421" s="274" t="s">
        <x:v>6479</x:v>
      </x:c>
      <x:c r="B3421" s="274" t="n">
        <x:v>0.89</x:v>
      </x:c>
      <x:c r="C3421" s="274" t="n">
        <x:v>0</x:v>
      </x:c>
      <x:c r="D3421" s="274" t="n">
        <x:v>0</x:v>
      </x:c>
      <x:c r="F3421" s="274" t="s">
        <x:v>333</x:v>
      </x:c>
      <x:c r="G3421" s="274" t="s">
        <x:v>124</x:v>
      </x:c>
      <x:c r="I3421" s="274" t="n">
        <x:v>1.2</x:v>
      </x:c>
      <x:c r="J3421" s="274" t="n">
        <x:v>425</x:v>
      </x:c>
      <x:c r="K3421" s="274" t="n">
        <x:v>222</x:v>
      </x:c>
      <x:c r="M3421" s="274" t="s">
        <x:v>5844</x:v>
      </x:c>
      <x:c r="N3421" s="274" t="s">
        <x:v>3671</x:v>
      </x:c>
    </x:row>
    <x:row r="3422" spans="1:14">
      <x:c r="A3422" s="274" t="s">
        <x:v>6480</x:v>
      </x:c>
      <x:c r="B3422" s="274" t="n">
        <x:v>2.09</x:v>
      </x:c>
      <x:c r="C3422" s="274" t="n">
        <x:v>0</x:v>
      </x:c>
      <x:c r="D3422" s="274" t="n">
        <x:v>0</x:v>
      </x:c>
      <x:c r="F3422" s="274" t="s">
        <x:v>133</x:v>
      </x:c>
      <x:c r="G3422" s="274" t="s">
        <x:v>136</x:v>
      </x:c>
      <x:c r="H3422" s="274" t="n">
        <x:v>45</x:v>
      </x:c>
      <x:c r="I3422" s="274" t="n">
        <x:v>1.2</x:v>
      </x:c>
      <x:c r="J3422" s="274" t="n">
        <x:v>536</x:v>
      </x:c>
      <x:c r="K3422" s="274" t="n">
        <x:v>410</x:v>
      </x:c>
      <x:c r="M3422" s="274" t="s">
        <x:v>6481</x:v>
      </x:c>
      <x:c r="N3422" s="274" t="s">
        <x:v>3671</x:v>
      </x:c>
    </x:row>
    <x:row r="3423" spans="1:14">
      <x:c r="A3423" s="274" t="s">
        <x:v>6482</x:v>
      </x:c>
      <x:c r="B3423" s="274" t="n">
        <x:v>3.52</x:v>
      </x:c>
      <x:c r="C3423" s="274" t="n">
        <x:v>0</x:v>
      </x:c>
      <x:c r="D3423" s="274" t="n">
        <x:v>0</x:v>
      </x:c>
      <x:c r="F3423" s="274" t="s">
        <x:v>133</x:v>
      </x:c>
      <x:c r="G3423" s="274" t="s">
        <x:v>136</x:v>
      </x:c>
      <x:c r="H3423" s="274" t="n">
        <x:v>45</x:v>
      </x:c>
      <x:c r="I3423" s="274" t="n">
        <x:v>1.2</x:v>
      </x:c>
      <x:c r="J3423" s="274" t="n">
        <x:v>956</x:v>
      </x:c>
      <x:c r="K3423" s="274" t="n">
        <x:v>387</x:v>
      </x:c>
      <x:c r="M3423" s="274" t="s">
        <x:v>6483</x:v>
      </x:c>
      <x:c r="N3423" s="274" t="s">
        <x:v>3671</x:v>
      </x:c>
    </x:row>
    <x:row r="3424" spans="1:14">
      <x:c r="A3424" s="274" t="s">
        <x:v>6484</x:v>
      </x:c>
      <x:c r="B3424" s="274" t="n">
        <x:v>1.26</x:v>
      </x:c>
      <x:c r="C3424" s="274" t="n">
        <x:v>0</x:v>
      </x:c>
      <x:c r="D3424" s="274" t="n">
        <x:v>0</x:v>
      </x:c>
      <x:c r="F3424" s="274" t="s">
        <x:v>333</x:v>
      </x:c>
      <x:c r="G3424" s="274" t="s">
        <x:v>124</x:v>
      </x:c>
      <x:c r="I3424" s="274" t="n">
        <x:v>1.4</x:v>
      </x:c>
      <x:c r="J3424" s="274" t="n">
        <x:v>460</x:v>
      </x:c>
      <x:c r="K3424" s="274" t="n">
        <x:v>250</x:v>
      </x:c>
      <x:c r="M3424" s="274" t="s">
        <x:v>5883</x:v>
      </x:c>
      <x:c r="N3424" s="274" t="s">
        <x:v>3671</x:v>
      </x:c>
    </x:row>
    <x:row r="3425" spans="1:14">
      <x:c r="A3425" s="274" t="s">
        <x:v>6485</x:v>
      </x:c>
      <x:c r="B3425" s="274" t="n">
        <x:v>6.65</x:v>
      </x:c>
      <x:c r="C3425" s="274" t="n">
        <x:v>0</x:v>
      </x:c>
      <x:c r="D3425" s="274" t="n">
        <x:v>0</x:v>
      </x:c>
      <x:c r="F3425" s="274" t="s">
        <x:v>333</x:v>
      </x:c>
      <x:c r="G3425" s="274" t="s">
        <x:v>124</x:v>
      </x:c>
      <x:c r="I3425" s="274" t="n">
        <x:v>1.4</x:v>
      </x:c>
      <x:c r="J3425" s="274" t="n">
        <x:v>504</x:v>
      </x:c>
      <x:c r="K3425" s="274" t="n">
        <x:v>1200</x:v>
      </x:c>
      <x:c r="M3425" s="274" t="s">
        <x:v>6486</x:v>
      </x:c>
      <x:c r="N3425" s="274" t="s">
        <x:v>3671</x:v>
      </x:c>
    </x:row>
    <x:row r="3426" spans="1:14">
      <x:c r="A3426" s="274" t="s">
        <x:v>6487</x:v>
      </x:c>
      <x:c r="B3426" s="274" t="n">
        <x:v>0.3</x:v>
      </x:c>
      <x:c r="C3426" s="274" t="n">
        <x:v>0</x:v>
      </x:c>
      <x:c r="D3426" s="274" t="n">
        <x:v>0</x:v>
      </x:c>
      <x:c r="F3426" s="274" t="s">
        <x:v>133</x:v>
      </x:c>
      <x:c r="G3426" s="274" t="s">
        <x:v>136</x:v>
      </x:c>
      <x:c r="H3426" s="274" t="n">
        <x:v>45</x:v>
      </x:c>
      <x:c r="I3426" s="274" t="n">
        <x:v>1.4</x:v>
      </x:c>
      <x:c r="J3426" s="274" t="n">
        <x:v>178</x:v>
      </x:c>
      <x:c r="K3426" s="274" t="n">
        <x:v>150</x:v>
      </x:c>
      <x:c r="M3426" s="274" t="s">
        <x:v>5887</x:v>
      </x:c>
      <x:c r="N3426" s="274" t="s">
        <x:v>3671</x:v>
      </x:c>
    </x:row>
    <x:row r="3427" spans="1:14">
      <x:c r="A3427" s="274" t="s">
        <x:v>6488</x:v>
      </x:c>
      <x:c r="B3427" s="274" t="n">
        <x:v>1.23</x:v>
      </x:c>
      <x:c r="C3427" s="274" t="n">
        <x:v>0</x:v>
      </x:c>
      <x:c r="D3427" s="274" t="n">
        <x:v>0</x:v>
      </x:c>
      <x:c r="F3427" s="274" t="s">
        <x:v>333</x:v>
      </x:c>
      <x:c r="G3427" s="274" t="s">
        <x:v>334</x:v>
      </x:c>
      <x:c r="I3427" s="274" t="n">
        <x:v>1.6</x:v>
      </x:c>
      <x:c r="J3427" s="274" t="n">
        <x:v>345</x:v>
      </x:c>
      <x:c r="K3427" s="274" t="n">
        <x:v>284</x:v>
      </x:c>
      <x:c r="M3427" s="274" t="s">
        <x:v>5891</x:v>
      </x:c>
      <x:c r="N3427" s="274" t="s">
        <x:v>3671</x:v>
      </x:c>
    </x:row>
    <x:row r="3428" spans="1:14">
      <x:c r="A3428" s="274" t="s">
        <x:v>6489</x:v>
      </x:c>
      <x:c r="B3428" s="274" t="n">
        <x:v>16.96</x:v>
      </x:c>
      <x:c r="C3428" s="274" t="n">
        <x:v>0</x:v>
      </x:c>
      <x:c r="D3428" s="274" t="n">
        <x:v>0</x:v>
      </x:c>
      <x:c r="F3428" s="274" t="s">
        <x:v>333</x:v>
      </x:c>
      <x:c r="G3428" s="274" t="s">
        <x:v>5307</x:v>
      </x:c>
      <x:c r="I3428" s="274" t="n">
        <x:v>1.6</x:v>
      </x:c>
      <x:c r="J3428" s="274" t="n">
        <x:v>900</x:v>
      </x:c>
      <x:c r="K3428" s="274" t="n">
        <x:v>1500</x:v>
      </x:c>
      <x:c r="M3428" s="274" t="s">
        <x:v>6490</x:v>
      </x:c>
      <x:c r="N3428" s="274" t="s">
        <x:v>3671</x:v>
      </x:c>
    </x:row>
    <x:row r="3429" spans="1:14">
      <x:c r="A3429" s="274" t="s">
        <x:v>6491</x:v>
      </x:c>
      <x:c r="B3429" s="274" t="n">
        <x:v>11.83</x:v>
      </x:c>
      <x:c r="C3429" s="274" t="n">
        <x:v>0</x:v>
      </x:c>
      <x:c r="D3429" s="274" t="n">
        <x:v>0</x:v>
      </x:c>
      <x:c r="F3429" s="274" t="s">
        <x:v>133</x:v>
      </x:c>
      <x:c r="G3429" s="274" t="s">
        <x:v>148</x:v>
      </x:c>
      <x:c r="I3429" s="274" t="n">
        <x:v>6</x:v>
      </x:c>
      <x:c r="J3429" s="274" t="n">
        <x:v>210</x:v>
      </x:c>
      <x:c r="K3429" s="274" t="n">
        <x:v>1196</x:v>
      </x:c>
      <x:c r="M3429" s="274" t="s">
        <x:v>6492</x:v>
      </x:c>
      <x:c r="N3429" s="274" t="s">
        <x:v>3671</x:v>
      </x:c>
    </x:row>
    <x:row r="3430" spans="1:14">
      <x:c r="A3430" s="274" t="s">
        <x:v>6493</x:v>
      </x:c>
      <x:c r="B3430" s="274" t="n">
        <x:v>4.18</x:v>
      </x:c>
      <x:c r="C3430" s="274" t="n">
        <x:v>0</x:v>
      </x:c>
      <x:c r="D3430" s="274" t="n">
        <x:v>0</x:v>
      </x:c>
      <x:c r="F3430" s="274" t="s">
        <x:v>123</x:v>
      </x:c>
      <x:c r="G3430" s="274" t="s">
        <x:v>139</x:v>
      </x:c>
      <x:c r="I3430" s="274" t="n">
        <x:v>4</x:v>
      </x:c>
      <x:c r="J3430" s="274" t="n">
        <x:v>133</x:v>
      </x:c>
      <x:c r="K3430" s="274" t="n">
        <x:v>1000</x:v>
      </x:c>
      <x:c r="M3430" s="274" t="s">
        <x:v>6494</x:v>
      </x:c>
      <x:c r="N3430" s="274" t="s">
        <x:v>3671</x:v>
      </x:c>
    </x:row>
    <x:row r="3431" spans="1:14">
      <x:c r="A3431" s="274" t="s">
        <x:v>6495</x:v>
      </x:c>
      <x:c r="B3431" s="274" t="n">
        <x:v>3.52</x:v>
      </x:c>
      <x:c r="C3431" s="274" t="n">
        <x:v>0</x:v>
      </x:c>
      <x:c r="D3431" s="274" t="n">
        <x:v>0</x:v>
      </x:c>
      <x:c r="F3431" s="274" t="s">
        <x:v>123</x:v>
      </x:c>
      <x:c r="G3431" s="274" t="s">
        <x:v>139</x:v>
      </x:c>
      <x:c r="I3431" s="274" t="n">
        <x:v>3.2</x:v>
      </x:c>
      <x:c r="J3431" s="274" t="n">
        <x:v>112</x:v>
      </x:c>
      <x:c r="K3431" s="274" t="n">
        <x:v>1250</x:v>
      </x:c>
      <x:c r="M3431" s="274" t="s">
        <x:v>6496</x:v>
      </x:c>
      <x:c r="N3431" s="274" t="s">
        <x:v>3671</x:v>
      </x:c>
    </x:row>
    <x:row r="3432" spans="1:14">
      <x:c r="A3432" s="274" t="s">
        <x:v>6497</x:v>
      </x:c>
      <x:c r="B3432" s="274" t="n">
        <x:v>4.17</x:v>
      </x:c>
      <x:c r="C3432" s="274" t="n">
        <x:v>0</x:v>
      </x:c>
      <x:c r="D3432" s="274" t="n">
        <x:v>0</x:v>
      </x:c>
      <x:c r="F3432" s="274" t="s">
        <x:v>123</x:v>
      </x:c>
      <x:c r="G3432" s="274" t="s">
        <x:v>139</x:v>
      </x:c>
      <x:c r="I3432" s="274" t="n">
        <x:v>3.2</x:v>
      </x:c>
      <x:c r="J3432" s="274" t="n">
        <x:v>133</x:v>
      </x:c>
      <x:c r="K3432" s="274" t="n">
        <x:v>1250</x:v>
      </x:c>
      <x:c r="M3432" s="274" t="s">
        <x:v>6498</x:v>
      </x:c>
      <x:c r="N3432" s="274" t="s">
        <x:v>3671</x:v>
      </x:c>
    </x:row>
    <x:row r="3433" spans="1:14">
      <x:c r="A3433" s="274" t="s">
        <x:v>6499</x:v>
      </x:c>
      <x:c r="B3433" s="274" t="n">
        <x:v>3.67</x:v>
      </x:c>
      <x:c r="C3433" s="274" t="n">
        <x:v>0</x:v>
      </x:c>
      <x:c r="D3433" s="274" t="n">
        <x:v>0</x:v>
      </x:c>
      <x:c r="F3433" s="274" t="s">
        <x:v>123</x:v>
      </x:c>
      <x:c r="G3433" s="274" t="s">
        <x:v>139</x:v>
      </x:c>
      <x:c r="I3433" s="274" t="n">
        <x:v>3.2</x:v>
      </x:c>
      <x:c r="J3433" s="274" t="n">
        <x:v>117</x:v>
      </x:c>
      <x:c r="K3433" s="274" t="n">
        <x:v>1250</x:v>
      </x:c>
      <x:c r="M3433" s="274" t="s">
        <x:v>6500</x:v>
      </x:c>
      <x:c r="N3433" s="274" t="s">
        <x:v>3671</x:v>
      </x:c>
    </x:row>
    <x:row r="3434" spans="1:14">
      <x:c r="A3434" s="274" t="s">
        <x:v>6501</x:v>
      </x:c>
      <x:c r="B3434" s="274" t="n">
        <x:v>4.43</x:v>
      </x:c>
      <x:c r="C3434" s="274" t="n">
        <x:v>0</x:v>
      </x:c>
      <x:c r="D3434" s="274" t="n">
        <x:v>0</x:v>
      </x:c>
      <x:c r="F3434" s="274" t="s">
        <x:v>123</x:v>
      </x:c>
      <x:c r="G3434" s="274" t="s">
        <x:v>139</x:v>
      </x:c>
      <x:c r="I3434" s="274" t="n">
        <x:v>3.2</x:v>
      </x:c>
      <x:c r="J3434" s="274" t="n">
        <x:v>141</x:v>
      </x:c>
      <x:c r="K3434" s="274" t="n">
        <x:v>1250</x:v>
      </x:c>
      <x:c r="M3434" s="274" t="s">
        <x:v>6502</x:v>
      </x:c>
      <x:c r="N3434" s="274" t="s">
        <x:v>3671</x:v>
      </x:c>
    </x:row>
    <x:row r="3435" spans="1:14">
      <x:c r="A3435" s="274" t="s">
        <x:v>6503</x:v>
      </x:c>
      <x:c r="B3435" s="274" t="n">
        <x:v>1.47</x:v>
      </x:c>
      <x:c r="C3435" s="274" t="n">
        <x:v>0</x:v>
      </x:c>
      <x:c r="D3435" s="274" t="n">
        <x:v>0</x:v>
      </x:c>
      <x:c r="F3435" s="274" t="s">
        <x:v>333</x:v>
      </x:c>
      <x:c r="G3435" s="274" t="s">
        <x:v>124</x:v>
      </x:c>
      <x:c r="I3435" s="274" t="n">
        <x:v>0.8</x:v>
      </x:c>
      <x:c r="J3435" s="274" t="n">
        <x:v>320</x:v>
      </x:c>
      <x:c r="K3435" s="274" t="n">
        <x:v>730</x:v>
      </x:c>
      <x:c r="M3435" s="274" t="s">
        <x:v>6056</x:v>
      </x:c>
      <x:c r="N3435" s="274" t="s">
        <x:v>3671</x:v>
      </x:c>
    </x:row>
    <x:row r="3436" spans="1:14">
      <x:c r="A3436" s="274" t="s">
        <x:v>6504</x:v>
      </x:c>
      <x:c r="B3436" s="274" t="n">
        <x:v>2.95</x:v>
      </x:c>
      <x:c r="C3436" s="274" t="n">
        <x:v>0</x:v>
      </x:c>
      <x:c r="D3436" s="274" t="n">
        <x:v>0</x:v>
      </x:c>
      <x:c r="F3436" s="274" t="s">
        <x:v>333</x:v>
      </x:c>
      <x:c r="G3436" s="274" t="s">
        <x:v>124</x:v>
      </x:c>
      <x:c r="I3436" s="274" t="n">
        <x:v>2.3</x:v>
      </x:c>
      <x:c r="J3436" s="274" t="n">
        <x:v>340</x:v>
      </x:c>
      <x:c r="K3436" s="274" t="n">
        <x:v>480</x:v>
      </x:c>
      <x:c r="M3436" s="274" t="s">
        <x:v>6505</x:v>
      </x:c>
      <x:c r="N3436" s="274" t="s">
        <x:v>3671</x:v>
      </x:c>
    </x:row>
    <x:row r="3437" spans="1:14">
      <x:c r="A3437" s="274" t="s">
        <x:v>6506</x:v>
      </x:c>
      <x:c r="B3437" s="274" t="n">
        <x:v>1.19</x:v>
      </x:c>
      <x:c r="C3437" s="274" t="n">
        <x:v>0</x:v>
      </x:c>
      <x:c r="D3437" s="274" t="n">
        <x:v>0</x:v>
      </x:c>
      <x:c r="F3437" s="274" t="s">
        <x:v>333</x:v>
      </x:c>
      <x:c r="G3437" s="274" t="s">
        <x:v>153</x:v>
      </x:c>
      <x:c r="I3437" s="274" t="n">
        <x:v>2</x:v>
      </x:c>
      <x:c r="J3437" s="274" t="n">
        <x:v>152</x:v>
      </x:c>
      <x:c r="K3437" s="274" t="n">
        <x:v>500</x:v>
      </x:c>
      <x:c r="M3437" s="274" t="s">
        <x:v>5901</x:v>
      </x:c>
      <x:c r="N3437" s="274" t="s">
        <x:v>3671</x:v>
      </x:c>
    </x:row>
    <x:row r="3438" spans="1:14">
      <x:c r="A3438" s="274" t="s">
        <x:v>6507</x:v>
      </x:c>
      <x:c r="B3438" s="274" t="n">
        <x:v>1.83</x:v>
      </x:c>
      <x:c r="C3438" s="274" t="n">
        <x:v>0</x:v>
      </x:c>
      <x:c r="D3438" s="274" t="n">
        <x:v>0</x:v>
      </x:c>
      <x:c r="F3438" s="274" t="s">
        <x:v>333</x:v>
      </x:c>
      <x:c r="G3438" s="274" t="s">
        <x:v>124</x:v>
      </x:c>
      <x:c r="I3438" s="274" t="n">
        <x:v>1</x:v>
      </x:c>
      <x:c r="J3438" s="274" t="n">
        <x:v>1140</x:v>
      </x:c>
      <x:c r="K3438" s="274" t="n">
        <x:v>204</x:v>
      </x:c>
      <x:c r="M3438" s="274" t="s">
        <x:v>5822</x:v>
      </x:c>
      <x:c r="N3438" s="274" t="s">
        <x:v>3671</x:v>
      </x:c>
    </x:row>
    <x:row r="3439" spans="1:14">
      <x:c r="A3439" s="274" t="s">
        <x:v>6508</x:v>
      </x:c>
      <x:c r="B3439" s="274" t="n">
        <x:v>0.33</x:v>
      </x:c>
      <x:c r="C3439" s="274" t="n">
        <x:v>0</x:v>
      </x:c>
      <x:c r="D3439" s="274" t="n">
        <x:v>0</x:v>
      </x:c>
      <x:c r="F3439" s="274" t="s">
        <x:v>333</x:v>
      </x:c>
      <x:c r="G3439" s="274" t="s">
        <x:v>153</x:v>
      </x:c>
      <x:c r="I3439" s="274" t="n">
        <x:v>0.9</x:v>
      </x:c>
      <x:c r="J3439" s="274" t="n">
        <x:v>460</x:v>
      </x:c>
      <x:c r="K3439" s="274" t="n">
        <x:v>103</x:v>
      </x:c>
      <x:c r="M3439" s="274" t="s">
        <x:v>5786</x:v>
      </x:c>
      <x:c r="N3439" s="274" t="s">
        <x:v>3671</x:v>
      </x:c>
    </x:row>
    <x:row r="3440" spans="1:14">
      <x:c r="A3440" s="274" t="s">
        <x:v>6509</x:v>
      </x:c>
      <x:c r="B3440" s="274" t="n">
        <x:v>1.72</x:v>
      </x:c>
      <x:c r="C3440" s="274" t="n">
        <x:v>0</x:v>
      </x:c>
      <x:c r="D3440" s="274" t="n">
        <x:v>45</x:v>
      </x:c>
      <x:c r="E3440" s="274" t="n">
        <x:v>40</x:v>
      </x:c>
      <x:c r="F3440" s="274" t="s">
        <x:v>133</x:v>
      </x:c>
      <x:c r="G3440" s="274" t="s">
        <x:v>136</x:v>
      </x:c>
      <x:c r="H3440" s="274" t="n">
        <x:v>45</x:v>
      </x:c>
      <x:c r="I3440" s="274" t="n">
        <x:v>0.8</x:v>
      </x:c>
      <x:c r="J3440" s="274" t="n">
        <x:v>470</x:v>
      </x:c>
      <x:c r="K3440" s="274" t="n">
        <x:v>630</x:v>
      </x:c>
      <x:c r="L3440" s="274" t="n">
        <x:v>520</x:v>
      </x:c>
      <x:c r="M3440" s="274" t="s">
        <x:v>6510</x:v>
      </x:c>
      <x:c r="N3440" s="274" t="s">
        <x:v>3671</x:v>
      </x:c>
    </x:row>
    <x:row r="3441" spans="1:14">
      <x:c r="A3441" s="274" t="s">
        <x:v>6511</x:v>
      </x:c>
      <x:c r="B3441" s="274" t="n">
        <x:v>0.54</x:v>
      </x:c>
      <x:c r="C3441" s="274" t="n">
        <x:v>0</x:v>
      </x:c>
      <x:c r="D3441" s="274" t="n">
        <x:v>0</x:v>
      </x:c>
      <x:c r="F3441" s="274" t="s">
        <x:v>133</x:v>
      </x:c>
      <x:c r="G3441" s="274" t="s">
        <x:v>136</x:v>
      </x:c>
      <x:c r="H3441" s="274" t="n">
        <x:v>45</x:v>
      </x:c>
      <x:c r="I3441" s="274" t="n">
        <x:v>2</x:v>
      </x:c>
      <x:c r="J3441" s="274" t="n">
        <x:v>195</x:v>
      </x:c>
      <x:c r="K3441" s="274" t="n">
        <x:v>174</x:v>
      </x:c>
      <x:c r="M3441" s="274" t="s">
        <x:v>6512</x:v>
      </x:c>
      <x:c r="N3441" s="274" t="s">
        <x:v>4250</x:v>
      </x:c>
    </x:row>
    <x:row r="3442" spans="1:14">
      <x:c r="A3442" s="274" t="s">
        <x:v>6513</x:v>
      </x:c>
      <x:c r="B3442" s="274" t="n">
        <x:v>3.34</x:v>
      </x:c>
      <x:c r="C3442" s="274" t="n">
        <x:v>0</x:v>
      </x:c>
      <x:c r="D3442" s="274" t="n">
        <x:v>0</x:v>
      </x:c>
      <x:c r="F3442" s="274" t="s">
        <x:v>133</x:v>
      </x:c>
      <x:c r="G3442" s="274" t="s">
        <x:v>136</x:v>
      </x:c>
      <x:c r="H3442" s="274" t="n">
        <x:v>45</x:v>
      </x:c>
      <x:c r="I3442" s="274" t="n">
        <x:v>2</x:v>
      </x:c>
      <x:c r="J3442" s="274" t="n">
        <x:v>187</x:v>
      </x:c>
      <x:c r="K3442" s="274" t="n">
        <x:v>1130</x:v>
      </x:c>
      <x:c r="M3442" s="274" t="s">
        <x:v>2048</x:v>
      </x:c>
      <x:c r="N3442" s="274" t="s">
        <x:v>299</x:v>
      </x:c>
    </x:row>
    <x:row r="3443" spans="1:14">
      <x:c r="A3443" s="274" t="s">
        <x:v>6514</x:v>
      </x:c>
      <x:c r="B3443" s="274" t="n">
        <x:v>1.37</x:v>
      </x:c>
      <x:c r="C3443" s="274" t="n">
        <x:v>0</x:v>
      </x:c>
      <x:c r="D3443" s="274" t="n">
        <x:v>23</x:v>
      </x:c>
      <x:c r="E3443" s="274" t="n">
        <x:v>21</x:v>
      </x:c>
      <x:c r="F3443" s="274" t="s">
        <x:v>123</x:v>
      </x:c>
      <x:c r="G3443" s="274" t="s">
        <x:v>1285</x:v>
      </x:c>
      <x:c r="H3443" s="274" t="n">
        <x:v>45</x:v>
      </x:c>
      <x:c r="I3443" s="274" t="n">
        <x:v>0.6</x:v>
      </x:c>
      <x:c r="J3443" s="274" t="n">
        <x:v>270</x:v>
      </x:c>
      <x:c r="K3443" s="274" t="n">
        <x:v>1060</x:v>
      </x:c>
      <x:c r="M3443" s="274" t="s">
        <x:v>6348</x:v>
      </x:c>
      <x:c r="N3443" s="274" t="s">
        <x:v>299</x:v>
      </x:c>
    </x:row>
    <x:row r="3444" spans="1:14">
      <x:c r="A3444" s="274" t="s">
        <x:v>6515</x:v>
      </x:c>
      <x:c r="B3444" s="274" t="n">
        <x:v>0.29</x:v>
      </x:c>
      <x:c r="C3444" s="274" t="n">
        <x:v>24</x:v>
      </x:c>
      <x:c r="D3444" s="274" t="n">
        <x:v>30</x:v>
      </x:c>
      <x:c r="E3444" s="274" t="n">
        <x:v>29</x:v>
      </x:c>
      <x:c r="F3444" s="274" t="s">
        <x:v>123</x:v>
      </x:c>
      <x:c r="G3444" s="274" t="s">
        <x:v>1285</x:v>
      </x:c>
      <x:c r="H3444" s="274" t="n">
        <x:v>45</x:v>
      </x:c>
      <x:c r="I3444" s="274" t="n">
        <x:v>0.6</x:v>
      </x:c>
      <x:c r="J3444" s="274" t="n">
        <x:v>114</x:v>
      </x:c>
      <x:c r="K3444" s="274" t="n">
        <x:v>525</x:v>
      </x:c>
      <x:c r="M3444" s="274" t="s">
        <x:v>6346</x:v>
      </x:c>
      <x:c r="N3444" s="274" t="s">
        <x:v>299</x:v>
      </x:c>
    </x:row>
    <x:row r="3445" spans="1:14">
      <x:c r="A3445" s="274" t="s">
        <x:v>6516</x:v>
      </x:c>
      <x:c r="B3445" s="274" t="n">
        <x:v>1.09</x:v>
      </x:c>
      <x:c r="C3445" s="274" t="n">
        <x:v>0</x:v>
      </x:c>
      <x:c r="D3445" s="274" t="n">
        <x:v>0</x:v>
      </x:c>
      <x:c r="F3445" s="274" t="s">
        <x:v>123</x:v>
      </x:c>
      <x:c r="G3445" s="274" t="s">
        <x:v>209</x:v>
      </x:c>
      <x:c r="I3445" s="274" t="n">
        <x:v>1.6</x:v>
      </x:c>
      <x:c r="J3445" s="274" t="n">
        <x:v>108</x:v>
      </x:c>
      <x:c r="K3445" s="274" t="n">
        <x:v>800</x:v>
      </x:c>
      <x:c r="M3445" s="274" t="s">
        <x:v>1192</x:v>
      </x:c>
      <x:c r="N3445" s="274" t="s">
        <x:v>465</x:v>
      </x:c>
    </x:row>
    <x:row r="3446" spans="1:14">
      <x:c r="A3446" s="274" t="s">
        <x:v>6517</x:v>
      </x:c>
      <x:c r="B3446" s="274" t="n">
        <x:v>0.24</x:v>
      </x:c>
      <x:c r="C3446" s="274" t="n">
        <x:v>0</x:v>
      </x:c>
      <x:c r="D3446" s="274" t="n">
        <x:v>0</x:v>
      </x:c>
      <x:c r="F3446" s="274" t="s">
        <x:v>123</x:v>
      </x:c>
      <x:c r="G3446" s="274" t="s">
        <x:v>153</x:v>
      </x:c>
      <x:c r="I3446" s="274" t="n">
        <x:v>1</x:v>
      </x:c>
      <x:c r="J3446" s="274" t="n">
        <x:v>170</x:v>
      </x:c>
      <x:c r="K3446" s="274" t="n">
        <x:v>180</x:v>
      </x:c>
      <x:c r="M3446" s="274" t="s">
        <x:v>2957</x:v>
      </x:c>
      <x:c r="N3446" s="274" t="s">
        <x:v>465</x:v>
      </x:c>
    </x:row>
    <x:row r="3447" spans="1:14">
      <x:c r="A3447" s="274" t="s">
        <x:v>6518</x:v>
      </x:c>
      <x:c r="B3447" s="274" t="n">
        <x:v>3.09</x:v>
      </x:c>
      <x:c r="C3447" s="274" t="n">
        <x:v>0</x:v>
      </x:c>
      <x:c r="D3447" s="274" t="n">
        <x:v>0</x:v>
      </x:c>
      <x:c r="F3447" s="274" t="s">
        <x:v>133</x:v>
      </x:c>
      <x:c r="G3447" s="274" t="s">
        <x:v>136</x:v>
      </x:c>
      <x:c r="H3447" s="274" t="n">
        <x:v>45</x:v>
      </x:c>
      <x:c r="I3447" s="274" t="n">
        <x:v>1.4</x:v>
      </x:c>
      <x:c r="J3447" s="274" t="n">
        <x:v>238</x:v>
      </x:c>
      <x:c r="K3447" s="274" t="n">
        <x:v>1170</x:v>
      </x:c>
      <x:c r="M3447" s="274" t="s">
        <x:v>1196</x:v>
      </x:c>
      <x:c r="N3447" s="274" t="s">
        <x:v>465</x:v>
      </x:c>
    </x:row>
    <x:row r="3448" spans="1:14">
      <x:c r="A3448" s="274" t="s">
        <x:v>6519</x:v>
      </x:c>
      <x:c r="B3448" s="274" t="n">
        <x:v>1.12</x:v>
      </x:c>
      <x:c r="C3448" s="274" t="n">
        <x:v>0</x:v>
      </x:c>
      <x:c r="D3448" s="274" t="n">
        <x:v>0</x:v>
      </x:c>
      <x:c r="F3448" s="274" t="s">
        <x:v>184</x:v>
      </x:c>
      <x:c r="G3448" s="274" t="s">
        <x:v>136</x:v>
      </x:c>
      <x:c r="H3448" s="274" t="n">
        <x:v>45</x:v>
      </x:c>
      <x:c r="I3448" s="274" t="n">
        <x:v>0.65</x:v>
      </x:c>
      <x:c r="J3448" s="274" t="n">
        <x:v>1400</x:v>
      </x:c>
      <x:c r="K3448" s="274" t="n">
        <x:v>154</x:v>
      </x:c>
      <x:c r="M3448" s="274" t="s">
        <x:v>6520</x:v>
      </x:c>
      <x:c r="N3448" s="274" t="s">
        <x:v>131</x:v>
      </x:c>
    </x:row>
    <x:row r="3449" spans="1:14">
      <x:c r="A3449" s="274" t="s">
        <x:v>6521</x:v>
      </x:c>
      <x:c r="B3449" s="274" t="n">
        <x:v>1.51</x:v>
      </x:c>
      <x:c r="C3449" s="274" t="n">
        <x:v>0</x:v>
      </x:c>
      <x:c r="D3449" s="274" t="n">
        <x:v>0</x:v>
      </x:c>
      <x:c r="F3449" s="274" t="s">
        <x:v>184</x:v>
      </x:c>
      <x:c r="G3449" s="274" t="s">
        <x:v>4782</x:v>
      </x:c>
      <x:c r="H3449" s="274" t="s">
        <x:v>4471</x:v>
      </x:c>
      <x:c r="I3449" s="274" t="n">
        <x:v>1</x:v>
      </x:c>
      <x:c r="J3449" s="274" t="n">
        <x:v>154</x:v>
      </x:c>
      <x:c r="K3449" s="274" t="n">
        <x:v>1250</x:v>
      </x:c>
      <x:c r="M3449" s="274" t="s">
        <x:v>5479</x:v>
      </x:c>
      <x:c r="N3449" s="274" t="s">
        <x:v>5047</x:v>
      </x:c>
    </x:row>
    <x:row r="3450" spans="1:14">
      <x:c r="A3450" s="274" t="s">
        <x:v>6522</x:v>
      </x:c>
      <x:c r="B3450" s="274" t="n">
        <x:v>1.96</x:v>
      </x:c>
      <x:c r="C3450" s="274" t="n">
        <x:v>0</x:v>
      </x:c>
      <x:c r="D3450" s="274" t="n">
        <x:v>0</x:v>
      </x:c>
      <x:c r="F3450" s="274" t="s">
        <x:v>184</x:v>
      </x:c>
      <x:c r="G3450" s="274" t="s">
        <x:v>4782</x:v>
      </x:c>
      <x:c r="H3450" s="274" t="s">
        <x:v>4471</x:v>
      </x:c>
      <x:c r="I3450" s="274" t="n">
        <x:v>0.8</x:v>
      </x:c>
      <x:c r="J3450" s="274" t="n">
        <x:v>250</x:v>
      </x:c>
      <x:c r="K3450" s="274" t="n">
        <x:v>1250</x:v>
      </x:c>
      <x:c r="M3450" s="274" t="s">
        <x:v>4725</x:v>
      </x:c>
      <x:c r="N3450" s="274" t="s">
        <x:v>5047</x:v>
      </x:c>
    </x:row>
    <x:row r="3451" spans="1:14">
      <x:c r="A3451" s="274" t="s">
        <x:v>6523</x:v>
      </x:c>
      <x:c r="B3451" s="274" t="n">
        <x:v>5.4</x:v>
      </x:c>
      <x:c r="C3451" s="274" t="n">
        <x:v>0</x:v>
      </x:c>
      <x:c r="D3451" s="274" t="n">
        <x:v>0</x:v>
      </x:c>
      <x:c r="F3451" s="274" t="s">
        <x:v>184</x:v>
      </x:c>
      <x:c r="G3451" s="274" t="s">
        <x:v>4782</x:v>
      </x:c>
      <x:c r="H3451" s="274" t="s">
        <x:v>4471</x:v>
      </x:c>
      <x:c r="I3451" s="274" t="n">
        <x:v>2</x:v>
      </x:c>
      <x:c r="J3451" s="274" t="n">
        <x:v>275</x:v>
      </x:c>
      <x:c r="K3451" s="274" t="n">
        <x:v>1250</x:v>
      </x:c>
      <x:c r="M3451" s="274" t="s">
        <x:v>5555</x:v>
      </x:c>
      <x:c r="N3451" s="274" t="s">
        <x:v>5047</x:v>
      </x:c>
    </x:row>
    <x:row r="3452" spans="1:14">
      <x:c r="A3452" s="274" t="s">
        <x:v>6524</x:v>
      </x:c>
      <x:c r="B3452" s="274" t="n">
        <x:v>3.1</x:v>
      </x:c>
      <x:c r="C3452" s="274" t="n">
        <x:v>0</x:v>
      </x:c>
      <x:c r="D3452" s="274" t="n">
        <x:v>0</x:v>
      </x:c>
      <x:c r="F3452" s="274" t="s">
        <x:v>333</x:v>
      </x:c>
      <x:c r="G3452" s="274" t="s">
        <x:v>4663</x:v>
      </x:c>
      <x:c r="I3452" s="274" t="n">
        <x:v>1</x:v>
      </x:c>
      <x:c r="J3452" s="274" t="n">
        <x:v>316</x:v>
      </x:c>
      <x:c r="K3452" s="274" t="n">
        <x:v>1250</x:v>
      </x:c>
      <x:c r="M3452" s="274" t="s">
        <x:v>5535</x:v>
      </x:c>
      <x:c r="N3452" s="274" t="s">
        <x:v>5047</x:v>
      </x:c>
    </x:row>
    <x:row r="3453" spans="1:14">
      <x:c r="A3453" s="274" t="s">
        <x:v>6525</x:v>
      </x:c>
      <x:c r="B3453" s="274" t="n">
        <x:v>0.6</x:v>
      </x:c>
      <x:c r="C3453" s="274" t="n">
        <x:v>0</x:v>
      </x:c>
      <x:c r="D3453" s="274" t="n">
        <x:v>0</x:v>
      </x:c>
      <x:c r="F3453" s="274" t="s">
        <x:v>333</x:v>
      </x:c>
      <x:c r="G3453" s="274" t="s">
        <x:v>2468</x:v>
      </x:c>
      <x:c r="I3453" s="274" t="n">
        <x:v>0.6</x:v>
      </x:c>
      <x:c r="J3453" s="274" t="n">
        <x:v>236</x:v>
      </x:c>
      <x:c r="K3453" s="274" t="n">
        <x:v>536</x:v>
      </x:c>
      <x:c r="M3453" s="274" t="s">
        <x:v>6526</x:v>
      </x:c>
      <x:c r="N3453" s="274" t="s">
        <x:v>3984</x:v>
      </x:c>
    </x:row>
    <x:row r="3454" spans="1:14">
      <x:c r="A3454" s="274" t="s">
        <x:v>6527</x:v>
      </x:c>
      <x:c r="B3454" s="274" t="n">
        <x:v>26.18</x:v>
      </x:c>
      <x:c r="C3454" s="274" t="n">
        <x:v>0</x:v>
      </x:c>
      <x:c r="D3454" s="274" t="n">
        <x:v>29</x:v>
      </x:c>
      <x:c r="E3454" s="274" t="n">
        <x:v>24</x:v>
      </x:c>
      <x:c r="F3454" s="274" t="s">
        <x:v>1980</x:v>
      </x:c>
      <x:c r="G3454" s="274" t="s">
        <x:v>1981</x:v>
      </x:c>
      <x:c r="I3454" s="274" t="n">
        <x:v>1.25</x:v>
      </x:c>
      <x:c r="J3454" s="274" t="n">
        <x:v>1470</x:v>
      </x:c>
      <x:c r="K3454" s="274" t="n">
        <x:v>1815</x:v>
      </x:c>
      <x:c r="M3454" s="274" t="s">
        <x:v>2008</x:v>
      </x:c>
      <x:c r="N3454" s="274" t="s">
        <x:v>1983</x:v>
      </x:c>
    </x:row>
    <x:row r="3455" spans="1:14">
      <x:c r="A3455" s="274" t="s">
        <x:v>6528</x:v>
      </x:c>
      <x:c r="B3455" s="274" t="n">
        <x:v>3.1</x:v>
      </x:c>
      <x:c r="C3455" s="274" t="n">
        <x:v>0</x:v>
      </x:c>
      <x:c r="D3455" s="274" t="n">
        <x:v>33</x:v>
      </x:c>
      <x:c r="E3455" s="274" t="n">
        <x:v>30</x:v>
      </x:c>
      <x:c r="F3455" s="274" t="s">
        <x:v>311</x:v>
      </x:c>
      <x:c r="G3455" s="274" t="s">
        <x:v>6529</x:v>
      </x:c>
      <x:c r="H3455" s="274" t="s">
        <x:v>837</x:v>
      </x:c>
      <x:c r="I3455" s="274" t="n">
        <x:v>0.8</x:v>
      </x:c>
      <x:c r="J3455" s="274" t="n">
        <x:v>600</x:v>
      </x:c>
      <x:c r="K3455" s="274" t="n">
        <x:v>820</x:v>
      </x:c>
      <x:c r="M3455" s="274" t="s">
        <x:v>3166</x:v>
      </x:c>
      <x:c r="N3455" s="274" t="s">
        <x:v>831</x:v>
      </x:c>
    </x:row>
    <x:row r="3456" spans="1:14">
      <x:c r="A3456" s="274" t="s">
        <x:v>6530</x:v>
      </x:c>
      <x:c r="B3456" s="274" t="n">
        <x:v>3.38</x:v>
      </x:c>
      <x:c r="C3456" s="274" t="n">
        <x:v>0</x:v>
      </x:c>
      <x:c r="D3456" s="274" t="n">
        <x:v>45</x:v>
      </x:c>
      <x:c r="E3456" s="274" t="n">
        <x:v>40</x:v>
      </x:c>
      <x:c r="F3456" s="274" t="s">
        <x:v>311</x:v>
      </x:c>
      <x:c r="G3456" s="274" t="s">
        <x:v>6529</x:v>
      </x:c>
      <x:c r="H3456" s="274" t="s">
        <x:v>829</x:v>
      </x:c>
      <x:c r="I3456" s="274" t="n">
        <x:v>0.8</x:v>
      </x:c>
      <x:c r="J3456" s="274" t="n">
        <x:v>720</x:v>
      </x:c>
      <x:c r="K3456" s="274" t="n">
        <x:v>745</x:v>
      </x:c>
      <x:c r="M3456" s="274" t="s">
        <x:v>6421</x:v>
      </x:c>
      <x:c r="N3456" s="274" t="s">
        <x:v>831</x:v>
      </x:c>
    </x:row>
    <x:row r="3457" spans="1:14">
      <x:c r="A3457" s="274" t="s">
        <x:v>6531</x:v>
      </x:c>
      <x:c r="B3457" s="274" t="n">
        <x:v>2.98</x:v>
      </x:c>
      <x:c r="C3457" s="274" t="n">
        <x:v>0</x:v>
      </x:c>
      <x:c r="D3457" s="274" t="n">
        <x:v>33</x:v>
      </x:c>
      <x:c r="E3457" s="274" t="n">
        <x:v>30</x:v>
      </x:c>
      <x:c r="F3457" s="274" t="s">
        <x:v>311</x:v>
      </x:c>
      <x:c r="G3457" s="274" t="s">
        <x:v>6529</x:v>
      </x:c>
      <x:c r="H3457" s="274" t="s">
        <x:v>837</x:v>
      </x:c>
      <x:c r="I3457" s="274" t="n">
        <x:v>0.8</x:v>
      </x:c>
      <x:c r="J3457" s="274" t="n">
        <x:v>570</x:v>
      </x:c>
      <x:c r="K3457" s="274" t="n">
        <x:v>830</x:v>
      </x:c>
      <x:c r="M3457" s="274" t="s">
        <x:v>6415</x:v>
      </x:c>
      <x:c r="N3457" s="274" t="s">
        <x:v>6413</x:v>
      </x:c>
    </x:row>
    <x:row r="3458" spans="1:14">
      <x:c r="A3458" s="274" t="s">
        <x:v>6532</x:v>
      </x:c>
      <x:c r="B3458" s="274" t="n">
        <x:v>2.7</x:v>
      </x:c>
      <x:c r="C3458" s="274" t="n">
        <x:v>0</x:v>
      </x:c>
      <x:c r="D3458" s="274" t="n">
        <x:v>33</x:v>
      </x:c>
      <x:c r="E3458" s="274" t="n">
        <x:v>30</x:v>
      </x:c>
      <x:c r="F3458" s="274" t="s">
        <x:v>311</x:v>
      </x:c>
      <x:c r="G3458" s="274" t="s">
        <x:v>6529</x:v>
      </x:c>
      <x:c r="H3458" s="274" t="s">
        <x:v>829</x:v>
      </x:c>
      <x:c r="I3458" s="274" t="n">
        <x:v>0.8</x:v>
      </x:c>
      <x:c r="J3458" s="274" t="n">
        <x:v>600</x:v>
      </x:c>
      <x:c r="K3458" s="274" t="n">
        <x:v>715</x:v>
      </x:c>
      <x:c r="M3458" s="274" t="s">
        <x:v>6412</x:v>
      </x:c>
      <x:c r="N3458" s="274" t="s">
        <x:v>6413</x:v>
      </x:c>
    </x:row>
    <x:row r="3459" spans="1:14">
      <x:c r="A3459" s="274" t="s">
        <x:v>6533</x:v>
      </x:c>
      <x:c r="B3459" s="274" t="n">
        <x:v>3.38</x:v>
      </x:c>
      <x:c r="C3459" s="274" t="n">
        <x:v>0</x:v>
      </x:c>
      <x:c r="D3459" s="274" t="n">
        <x:v>20</x:v>
      </x:c>
      <x:c r="E3459" s="274" t="n">
        <x:v>18</x:v>
      </x:c>
      <x:c r="F3459" s="274" t="s">
        <x:v>133</x:v>
      </x:c>
      <x:c r="G3459" s="274" t="s">
        <x:v>136</x:v>
      </x:c>
      <x:c r="H3459" s="274" t="n">
        <x:v>45</x:v>
      </x:c>
      <x:c r="I3459" s="274" t="n">
        <x:v>2</x:v>
      </x:c>
      <x:c r="J3459" s="274" t="n">
        <x:v>173</x:v>
      </x:c>
      <x:c r="K3459" s="274" t="n">
        <x:v>1239</x:v>
      </x:c>
      <x:c r="M3459" s="274" t="s">
        <x:v>2370</x:v>
      </x:c>
      <x:c r="N3459" s="274" t="s">
        <x:v>3142</x:v>
      </x:c>
    </x:row>
    <x:row r="3460" spans="1:14">
      <x:c r="A3460" s="274" t="s">
        <x:v>6534</x:v>
      </x:c>
      <x:c r="B3460" s="274" t="n">
        <x:v>1.57</x:v>
      </x:c>
      <x:c r="C3460" s="274" t="n">
        <x:v>27</x:v>
      </x:c>
      <x:c r="D3460" s="274" t="n">
        <x:v>31</x:v>
      </x:c>
      <x:c r="E3460" s="274" t="n">
        <x:v>29</x:v>
      </x:c>
      <x:c r="F3460" s="274" t="s">
        <x:v>133</x:v>
      </x:c>
      <x:c r="G3460" s="274" t="s">
        <x:v>136</x:v>
      </x:c>
      <x:c r="H3460" s="274" t="n">
        <x:v>45</x:v>
      </x:c>
      <x:c r="I3460" s="274" t="n">
        <x:v>1.2</x:v>
      </x:c>
      <x:c r="J3460" s="274" t="n">
        <x:v>355</x:v>
      </x:c>
      <x:c r="K3460" s="274" t="n">
        <x:v>465</x:v>
      </x:c>
      <x:c r="M3460" s="274" t="s">
        <x:v>2253</x:v>
      </x:c>
      <x:c r="N3460" s="274" t="s">
        <x:v>3142</x:v>
      </x:c>
    </x:row>
    <x:row r="3461" spans="1:14">
      <x:c r="A3461" s="274" t="s">
        <x:v>6535</x:v>
      </x:c>
      <x:c r="B3461" s="274" t="n">
        <x:v>16.77</x:v>
      </x:c>
      <x:c r="C3461" s="274" t="n">
        <x:v>0</x:v>
      </x:c>
      <x:c r="D3461" s="274" t="n">
        <x:v>0</x:v>
      </x:c>
      <x:c r="F3461" s="274" t="s">
        <x:v>133</x:v>
      </x:c>
      <x:c r="G3461" s="274" t="s">
        <x:v>1170</x:v>
      </x:c>
      <x:c r="I3461" s="274" t="n">
        <x:v>8</x:v>
      </x:c>
      <x:c r="J3461" s="274" t="n">
        <x:v>445</x:v>
      </x:c>
      <x:c r="K3461" s="274" t="n">
        <x:v>600</x:v>
      </x:c>
      <x:c r="M3461" s="274" t="s">
        <x:v>1171</x:v>
      </x:c>
      <x:c r="N3461" s="274" t="s">
        <x:v>131</x:v>
      </x:c>
    </x:row>
    <x:row r="3462" spans="1:14">
      <x:c r="A3462" s="274" t="s">
        <x:v>6536</x:v>
      </x:c>
      <x:c r="B3462" s="274" t="n">
        <x:v>5.34</x:v>
      </x:c>
      <x:c r="C3462" s="274" t="n">
        <x:v>0</x:v>
      </x:c>
      <x:c r="D3462" s="274" t="n">
        <x:v>0</x:v>
      </x:c>
      <x:c r="F3462" s="274" t="s">
        <x:v>333</x:v>
      </x:c>
      <x:c r="G3462" s="274" t="s">
        <x:v>153</x:v>
      </x:c>
      <x:c r="I3462" s="274" t="n">
        <x:v>0.9</x:v>
      </x:c>
      <x:c r="J3462" s="274" t="n">
        <x:v>683</x:v>
      </x:c>
      <x:c r="K3462" s="274" t="n">
        <x:v>1107</x:v>
      </x:c>
      <x:c r="M3462" s="274" t="s">
        <x:v>6537</x:v>
      </x:c>
      <x:c r="N3462" s="274" t="s">
        <x:v>3671</x:v>
      </x:c>
    </x:row>
    <x:row r="3463" spans="1:14">
      <x:c r="A3463" s="274" t="s">
        <x:v>6538</x:v>
      </x:c>
      <x:c r="B3463" s="274" t="n">
        <x:v>2.22</x:v>
      </x:c>
      <x:c r="C3463" s="274" t="n">
        <x:v>0</x:v>
      </x:c>
      <x:c r="D3463" s="274" t="n">
        <x:v>0</x:v>
      </x:c>
      <x:c r="F3463" s="274" t="s">
        <x:v>333</x:v>
      </x:c>
      <x:c r="G3463" s="274" t="s">
        <x:v>153</x:v>
      </x:c>
      <x:c r="I3463" s="274" t="n">
        <x:v>1.6</x:v>
      </x:c>
      <x:c r="J3463" s="274" t="n">
        <x:v>330</x:v>
      </x:c>
      <x:c r="K3463" s="274" t="n">
        <x:v>535</x:v>
      </x:c>
      <x:c r="M3463" s="274" t="s">
        <x:v>6539</x:v>
      </x:c>
      <x:c r="N3463" s="274" t="s">
        <x:v>5222</x:v>
      </x:c>
    </x:row>
    <x:row r="3464" spans="1:14">
      <x:c r="A3464" s="274" t="s">
        <x:v>6540</x:v>
      </x:c>
      <x:c r="B3464" s="274" t="n">
        <x:v>2.81</x:v>
      </x:c>
      <x:c r="C3464" s="274" t="n">
        <x:v>0</x:v>
      </x:c>
      <x:c r="D3464" s="274" t="n">
        <x:v>0</x:v>
      </x:c>
      <x:c r="F3464" s="274" t="s">
        <x:v>128</x:v>
      </x:c>
      <x:c r="G3464" s="274" t="s">
        <x:v>496</x:v>
      </x:c>
      <x:c r="H3464" s="274" t="n">
        <x:v>45</x:v>
      </x:c>
      <x:c r="I3464" s="274" t="n">
        <x:v>1.6</x:v>
      </x:c>
      <x:c r="J3464" s="274" t="n">
        <x:v>178</x:v>
      </x:c>
      <x:c r="K3464" s="274" t="n">
        <x:v>1250</x:v>
      </x:c>
      <x:c r="M3464" s="274" t="s">
        <x:v>6541</x:v>
      </x:c>
      <x:c r="N3464" s="274" t="s">
        <x:v>3671</x:v>
      </x:c>
    </x:row>
    <x:row r="3465" spans="1:14">
      <x:c r="A3465" s="274" t="s">
        <x:v>6542</x:v>
      </x:c>
      <x:c r="B3465" s="274" t="n">
        <x:v>1.61</x:v>
      </x:c>
      <x:c r="C3465" s="274" t="n">
        <x:v>0</x:v>
      </x:c>
      <x:c r="D3465" s="274" t="n">
        <x:v>0</x:v>
      </x:c>
      <x:c r="F3465" s="274" t="s">
        <x:v>128</x:v>
      </x:c>
      <x:c r="G3465" s="274" t="s">
        <x:v>496</x:v>
      </x:c>
      <x:c r="H3465" s="274" t="n">
        <x:v>45</x:v>
      </x:c>
      <x:c r="I3465" s="274" t="n">
        <x:v>1.6</x:v>
      </x:c>
      <x:c r="J3465" s="274" t="n">
        <x:v>102</x:v>
      </x:c>
      <x:c r="K3465" s="274" t="n">
        <x:v>1250</x:v>
      </x:c>
      <x:c r="M3465" s="274" t="s">
        <x:v>6543</x:v>
      </x:c>
      <x:c r="N3465" s="274" t="s">
        <x:v>3671</x:v>
      </x:c>
    </x:row>
    <x:row r="3466" spans="1:14">
      <x:c r="A3466" s="274" t="s">
        <x:v>6544</x:v>
      </x:c>
      <x:c r="B3466" s="274" t="n">
        <x:v>3.43</x:v>
      </x:c>
      <x:c r="C3466" s="274" t="n">
        <x:v>0</x:v>
      </x:c>
      <x:c r="D3466" s="274" t="n">
        <x:v>0</x:v>
      </x:c>
      <x:c r="F3466" s="274" t="s">
        <x:v>123</x:v>
      </x:c>
      <x:c r="G3466" s="274" t="s">
        <x:v>881</x:v>
      </x:c>
      <x:c r="H3466" s="274" t="n">
        <x:v>45</x:v>
      </x:c>
      <x:c r="I3466" s="274" t="n">
        <x:v>0.9</x:v>
      </x:c>
      <x:c r="J3466" s="274" t="n">
        <x:v>694</x:v>
      </x:c>
      <x:c r="K3466" s="274" t="n">
        <x:v>690</x:v>
      </x:c>
      <x:c r="M3466" s="274" t="s">
        <x:v>6545</x:v>
      </x:c>
      <x:c r="N3466" s="274" t="s">
        <x:v>6437</x:v>
      </x:c>
    </x:row>
    <x:row r="3467" spans="1:14">
      <x:c r="A3467" s="274" t="s">
        <x:v>6546</x:v>
      </x:c>
      <x:c r="B3467" s="274" t="n">
        <x:v>2.89</x:v>
      </x:c>
      <x:c r="C3467" s="274" t="n">
        <x:v>0</x:v>
      </x:c>
      <x:c r="D3467" s="274" t="n">
        <x:v>0</x:v>
      </x:c>
      <x:c r="F3467" s="274" t="s">
        <x:v>333</x:v>
      </x:c>
      <x:c r="G3467" s="274" t="s">
        <x:v>153</x:v>
      </x:c>
      <x:c r="I3467" s="274" t="n">
        <x:v>1.2</x:v>
      </x:c>
      <x:c r="J3467" s="274" t="n">
        <x:v>584</x:v>
      </x:c>
      <x:c r="K3467" s="274" t="n">
        <x:v>525</x:v>
      </x:c>
      <x:c r="M3467" s="274" t="s">
        <x:v>6466</x:v>
      </x:c>
      <x:c r="N3467" s="274" t="s">
        <x:v>6437</x:v>
      </x:c>
    </x:row>
    <x:row r="3468" spans="1:14">
      <x:c r="A3468" s="274" t="s">
        <x:v>6547</x:v>
      </x:c>
      <x:c r="B3468" s="274" t="n">
        <x:v>0.94</x:v>
      </x:c>
      <x:c r="C3468" s="274" t="n">
        <x:v>0</x:v>
      </x:c>
      <x:c r="D3468" s="274" t="n">
        <x:v>0</x:v>
      </x:c>
      <x:c r="F3468" s="274" t="s">
        <x:v>333</x:v>
      </x:c>
      <x:c r="G3468" s="274" t="s">
        <x:v>209</x:v>
      </x:c>
      <x:c r="I3468" s="274" t="n">
        <x:v>1.4</x:v>
      </x:c>
      <x:c r="J3468" s="274" t="n">
        <x:v>295</x:v>
      </x:c>
      <x:c r="K3468" s="274" t="n">
        <x:v>290</x:v>
      </x:c>
      <x:c r="M3468" s="274" t="s">
        <x:v>4420</x:v>
      </x:c>
      <x:c r="N3468" s="274" t="s">
        <x:v>6437</x:v>
      </x:c>
    </x:row>
    <x:row r="3469" spans="1:14">
      <x:c r="A3469" s="274" t="s">
        <x:v>6548</x:v>
      </x:c>
      <x:c r="B3469" s="274" t="n">
        <x:v>1.12</x:v>
      </x:c>
      <x:c r="C3469" s="274" t="n">
        <x:v>0</x:v>
      </x:c>
      <x:c r="D3469" s="274" t="n">
        <x:v>0</x:v>
      </x:c>
      <x:c r="F3469" s="274" t="s">
        <x:v>133</x:v>
      </x:c>
      <x:c r="G3469" s="274" t="s">
        <x:v>136</x:v>
      </x:c>
      <x:c r="H3469" s="274" t="n">
        <x:v>45</x:v>
      </x:c>
      <x:c r="I3469" s="274" t="n">
        <x:v>1.2</x:v>
      </x:c>
      <x:c r="J3469" s="274" t="n">
        <x:v>585</x:v>
      </x:c>
      <x:c r="K3469" s="274" t="n">
        <x:v>202</x:v>
      </x:c>
      <x:c r="M3469" s="274" t="s">
        <x:v>5848</x:v>
      </x:c>
      <x:c r="N3469" s="274" t="s">
        <x:v>6437</x:v>
      </x:c>
    </x:row>
    <x:row r="3470" spans="1:14">
      <x:c r="A3470" s="274" t="s">
        <x:v>6549</x:v>
      </x:c>
      <x:c r="B3470" s="274" t="n">
        <x:v>0.21</x:v>
      </x:c>
      <x:c r="C3470" s="274" t="n">
        <x:v>0</x:v>
      </x:c>
      <x:c r="D3470" s="274" t="n">
        <x:v>0</x:v>
      </x:c>
      <x:c r="F3470" s="274" t="s">
        <x:v>123</x:v>
      </x:c>
      <x:c r="G3470" s="274" t="s">
        <x:v>129</x:v>
      </x:c>
      <x:c r="H3470" s="274" t="n">
        <x:v>45</x:v>
      </x:c>
      <x:c r="I3470" s="274" t="n">
        <x:v>0.7</x:v>
      </x:c>
      <x:c r="J3470" s="274" t="n">
        <x:v>350</x:v>
      </x:c>
      <x:c r="K3470" s="274" t="n">
        <x:v>105</x:v>
      </x:c>
      <x:c r="M3470" s="274" t="s">
        <x:v>6339</x:v>
      </x:c>
      <x:c r="N3470" s="274" t="s">
        <x:v>6437</x:v>
      </x:c>
    </x:row>
    <x:row r="3471" spans="1:14">
      <x:c r="A3471" s="274" t="s">
        <x:v>6550</x:v>
      </x:c>
      <x:c r="B3471" s="274" t="n">
        <x:v>6.74</x:v>
      </x:c>
      <x:c r="C3471" s="274" t="n">
        <x:v>0</x:v>
      </x:c>
      <x:c r="D3471" s="274" t="n">
        <x:v>0</x:v>
      </x:c>
      <x:c r="F3471" s="274" t="s">
        <x:v>133</x:v>
      </x:c>
      <x:c r="G3471" s="274" t="s">
        <x:v>134</x:v>
      </x:c>
      <x:c r="I3471" s="274" t="n">
        <x:v>2.6</x:v>
      </x:c>
      <x:c r="J3471" s="274" t="n">
        <x:v>275</x:v>
      </x:c>
      <x:c r="K3471" s="274" t="n">
        <x:v>1200</x:v>
      </x:c>
      <x:c r="M3471" s="274" t="s">
        <x:v>4452</x:v>
      </x:c>
      <x:c r="N3471" s="274" t="s">
        <x:v>6437</x:v>
      </x:c>
    </x:row>
    <x:row r="3472" spans="1:14">
      <x:c r="A3472" s="274" t="s">
        <x:v>6551</x:v>
      </x:c>
      <x:c r="B3472" s="274" t="n">
        <x:v>0.1</x:v>
      </x:c>
      <x:c r="C3472" s="274" t="n">
        <x:v>0</x:v>
      </x:c>
      <x:c r="D3472" s="274" t="n">
        <x:v>0</x:v>
      </x:c>
      <x:c r="F3472" s="274" t="s">
        <x:v>333</x:v>
      </x:c>
      <x:c r="G3472" s="274" t="s">
        <x:v>153</x:v>
      </x:c>
      <x:c r="I3472" s="274" t="n">
        <x:v>1</x:v>
      </x:c>
      <x:c r="J3472" s="274" t="n">
        <x:v>154</x:v>
      </x:c>
      <x:c r="K3472" s="274" t="n">
        <x:v>85</x:v>
      </x:c>
      <x:c r="M3472" s="274" t="s">
        <x:v>5588</x:v>
      </x:c>
      <x:c r="N3472" s="274" t="s">
        <x:v>6437</x:v>
      </x:c>
    </x:row>
    <x:row r="3473" spans="1:14">
      <x:c r="A3473" s="274" t="s">
        <x:v>6552</x:v>
      </x:c>
      <x:c r="B3473" s="274" t="n">
        <x:v>0.33</x:v>
      </x:c>
      <x:c r="C3473" s="274" t="n">
        <x:v>0</x:v>
      </x:c>
      <x:c r="D3473" s="274" t="n">
        <x:v>0</x:v>
      </x:c>
      <x:c r="F3473" s="274" t="s">
        <x:v>123</x:v>
      </x:c>
      <x:c r="G3473" s="274" t="s">
        <x:v>129</x:v>
      </x:c>
      <x:c r="H3473" s="274" t="n">
        <x:v>45</x:v>
      </x:c>
      <x:c r="I3473" s="274" t="n">
        <x:v>0.8</x:v>
      </x:c>
      <x:c r="J3473" s="274" t="n">
        <x:v>75</x:v>
      </x:c>
      <x:c r="K3473" s="274" t="n">
        <x:v>691</x:v>
      </x:c>
      <x:c r="M3473" s="274" t="s">
        <x:v>6553</x:v>
      </x:c>
      <x:c r="N3473" s="274" t="s">
        <x:v>6437</x:v>
      </x:c>
    </x:row>
    <x:row r="3474" spans="1:14">
      <x:c r="A3474" s="274" t="s">
        <x:v>6554</x:v>
      </x:c>
      <x:c r="B3474" s="274" t="n">
        <x:v>1.48</x:v>
      </x:c>
      <x:c r="C3474" s="274" t="n">
        <x:v>0</x:v>
      </x:c>
      <x:c r="D3474" s="274" t="n">
        <x:v>0</x:v>
      </x:c>
      <x:c r="F3474" s="274" t="s">
        <x:v>123</x:v>
      </x:c>
      <x:c r="G3474" s="274" t="s">
        <x:v>881</x:v>
      </x:c>
      <x:c r="H3474" s="274" t="n">
        <x:v>45</x:v>
      </x:c>
      <x:c r="I3474" s="274" t="n">
        <x:v>1.4</x:v>
      </x:c>
      <x:c r="J3474" s="274" t="n">
        <x:v>235</x:v>
      </x:c>
      <x:c r="K3474" s="274" t="n">
        <x:v>570</x:v>
      </x:c>
      <x:c r="M3474" s="274" t="s">
        <x:v>6555</x:v>
      </x:c>
      <x:c r="N3474" s="274" t="s">
        <x:v>6437</x:v>
      </x:c>
    </x:row>
    <x:row r="3475" spans="1:14">
      <x:c r="A3475" s="274" t="s">
        <x:v>6556</x:v>
      </x:c>
      <x:c r="B3475" s="274" t="n">
        <x:v>0.54</x:v>
      </x:c>
      <x:c r="C3475" s="274" t="n">
        <x:v>0</x:v>
      </x:c>
      <x:c r="D3475" s="274" t="n">
        <x:v>34</x:v>
      </x:c>
      <x:c r="E3475" s="274" t="n">
        <x:v>33</x:v>
      </x:c>
      <x:c r="F3475" s="274" t="s">
        <x:v>133</x:v>
      </x:c>
      <x:c r="G3475" s="274" t="s">
        <x:v>136</x:v>
      </x:c>
      <x:c r="H3475" s="274" t="n">
        <x:v>45</x:v>
      </x:c>
      <x:c r="I3475" s="274" t="n">
        <x:v>2</x:v>
      </x:c>
      <x:c r="J3475" s="274" t="n">
        <x:v>195</x:v>
      </x:c>
      <x:c r="K3475" s="274" t="n">
        <x:v>174</x:v>
      </x:c>
      <x:c r="M3475" s="274" t="s">
        <x:v>6512</x:v>
      </x:c>
      <x:c r="N3475" s="274" t="s">
        <x:v>1157</x:v>
      </x:c>
    </x:row>
    <x:row r="3476" spans="1:14">
      <x:c r="A3476" s="274" t="s">
        <x:v>6557</x:v>
      </x:c>
      <x:c r="B3476" s="274" t="n">
        <x:v>24.92</x:v>
      </x:c>
      <x:c r="C3476" s="274" t="n">
        <x:v>0</x:v>
      </x:c>
      <x:c r="D3476" s="274" t="n">
        <x:v>0</x:v>
      </x:c>
      <x:c r="F3476" s="274" t="s">
        <x:v>133</x:v>
      </x:c>
      <x:c r="G3476" s="274" t="s">
        <x:v>148</x:v>
      </x:c>
      <x:c r="I3476" s="274" t="n">
        <x:v>2.6</x:v>
      </x:c>
      <x:c r="J3476" s="274" t="n">
        <x:v>1090</x:v>
      </x:c>
      <x:c r="K3476" s="274" t="n">
        <x:v>1120</x:v>
      </x:c>
      <x:c r="M3476" s="274" t="s">
        <x:v>6558</x:v>
      </x:c>
      <x:c r="N3476" s="274" t="s">
        <x:v>5222</x:v>
      </x:c>
    </x:row>
    <x:row r="3477" spans="1:14">
      <x:c r="A3477" s="274" t="s">
        <x:v>6559</x:v>
      </x:c>
      <x:c r="B3477" s="274" t="n">
        <x:v>21.47</x:v>
      </x:c>
      <x:c r="C3477" s="274" t="n">
        <x:v>0</x:v>
      </x:c>
      <x:c r="D3477" s="274" t="n">
        <x:v>0</x:v>
      </x:c>
      <x:c r="F3477" s="274" t="s">
        <x:v>133</x:v>
      </x:c>
      <x:c r="G3477" s="274" t="s">
        <x:v>148</x:v>
      </x:c>
      <x:c r="I3477" s="274" t="n">
        <x:v>2.6</x:v>
      </x:c>
      <x:c r="J3477" s="274" t="n">
        <x:v>1035</x:v>
      </x:c>
      <x:c r="K3477" s="274" t="n">
        <x:v>1017</x:v>
      </x:c>
      <x:c r="M3477" s="274" t="s">
        <x:v>2195</x:v>
      </x:c>
      <x:c r="N3477" s="274" t="s">
        <x:v>5222</x:v>
      </x:c>
    </x:row>
    <x:row r="3478" spans="1:14">
      <x:c r="A3478" s="274" t="s">
        <x:v>6560</x:v>
      </x:c>
      <x:c r="B3478" s="274" t="n">
        <x:v>7.55</x:v>
      </x:c>
      <x:c r="C3478" s="274" t="n">
        <x:v>0</x:v>
      </x:c>
      <x:c r="D3478" s="274" t="n">
        <x:v>0</x:v>
      </x:c>
      <x:c r="F3478" s="274" t="s">
        <x:v>133</x:v>
      </x:c>
      <x:c r="G3478" s="274" t="s">
        <x:v>134</x:v>
      </x:c>
      <x:c r="I3478" s="274" t="n">
        <x:v>2.6</x:v>
      </x:c>
      <x:c r="J3478" s="274" t="n">
        <x:v>296</x:v>
      </x:c>
      <x:c r="K3478" s="274" t="n">
        <x:v>1250</x:v>
      </x:c>
      <x:c r="M3478" s="274" t="s">
        <x:v>6475</x:v>
      </x:c>
      <x:c r="N3478" s="274" t="s">
        <x:v>3671</x:v>
      </x:c>
    </x:row>
    <x:row r="3479" spans="1:14">
      <x:c r="A3479" s="274" t="s">
        <x:v>6561</x:v>
      </x:c>
      <x:c r="B3479" s="274" t="n">
        <x:v>3.39</x:v>
      </x:c>
      <x:c r="C3479" s="274" t="n">
        <x:v>0</x:v>
      </x:c>
      <x:c r="D3479" s="274" t="n">
        <x:v>0</x:v>
      </x:c>
      <x:c r="F3479" s="274" t="s">
        <x:v>133</x:v>
      </x:c>
      <x:c r="G3479" s="274" t="s">
        <x:v>134</x:v>
      </x:c>
      <x:c r="I3479" s="274" t="n">
        <x:v>2.6</x:v>
      </x:c>
      <x:c r="J3479" s="274" t="n">
        <x:v>133</x:v>
      </x:c>
      <x:c r="K3479" s="274" t="n">
        <x:v>1250</x:v>
      </x:c>
      <x:c r="M3479" s="274" t="s">
        <x:v>6475</x:v>
      </x:c>
      <x:c r="N3479" s="274" t="s">
        <x:v>3671</x:v>
      </x:c>
    </x:row>
    <x:row r="3480" spans="1:14">
      <x:c r="A3480" s="274" t="s">
        <x:v>6562</x:v>
      </x:c>
      <x:c r="B3480" s="274" t="n">
        <x:v>1.46</x:v>
      </x:c>
      <x:c r="C3480" s="274" t="n">
        <x:v>0</x:v>
      </x:c>
      <x:c r="D3480" s="274" t="n">
        <x:v>0</x:v>
      </x:c>
      <x:c r="F3480" s="274" t="s">
        <x:v>133</x:v>
      </x:c>
      <x:c r="G3480" s="274" t="s">
        <x:v>134</x:v>
      </x:c>
      <x:c r="I3480" s="274" t="n">
        <x:v>1.6</x:v>
      </x:c>
      <x:c r="J3480" s="274" t="n">
        <x:v>93</x:v>
      </x:c>
      <x:c r="K3480" s="274" t="n">
        <x:v>1250</x:v>
      </x:c>
      <x:c r="M3480" s="274" t="s">
        <x:v>6475</x:v>
      </x:c>
      <x:c r="N3480" s="274" t="s">
        <x:v>3671</x:v>
      </x:c>
    </x:row>
    <x:row r="3481" spans="1:14">
      <x:c r="A3481" s="274" t="s">
        <x:v>6563</x:v>
      </x:c>
      <x:c r="B3481" s="274" t="n">
        <x:v>6.38</x:v>
      </x:c>
      <x:c r="C3481" s="274" t="n">
        <x:v>0</x:v>
      </x:c>
      <x:c r="D3481" s="274" t="n">
        <x:v>0</x:v>
      </x:c>
      <x:c r="F3481" s="274" t="s">
        <x:v>133</x:v>
      </x:c>
      <x:c r="G3481" s="274" t="s">
        <x:v>134</x:v>
      </x:c>
      <x:c r="I3481" s="274" t="n">
        <x:v>3.2</x:v>
      </x:c>
      <x:c r="J3481" s="274" t="n">
        <x:v>203</x:v>
      </x:c>
      <x:c r="K3481" s="274" t="n">
        <x:v>1250</x:v>
      </x:c>
      <x:c r="M3481" s="274" t="s">
        <x:v>6475</x:v>
      </x:c>
      <x:c r="N3481" s="274" t="s">
        <x:v>3671</x:v>
      </x:c>
    </x:row>
    <x:row r="3482" spans="1:14">
      <x:c r="A3482" s="274" t="s">
        <x:v>6564</x:v>
      </x:c>
      <x:c r="B3482" s="274" t="n">
        <x:v>2.45</x:v>
      </x:c>
      <x:c r="C3482" s="274" t="n">
        <x:v>0</x:v>
      </x:c>
      <x:c r="D3482" s="274" t="n">
        <x:v>0</x:v>
      </x:c>
      <x:c r="F3482" s="274" t="s">
        <x:v>333</x:v>
      </x:c>
      <x:c r="G3482" s="274" t="s">
        <x:v>153</x:v>
      </x:c>
      <x:c r="I3482" s="274" t="n">
        <x:v>1.2</x:v>
      </x:c>
      <x:c r="J3482" s="274" t="n">
        <x:v>208</x:v>
      </x:c>
      <x:c r="K3482" s="274" t="n">
        <x:v>1250</x:v>
      </x:c>
      <x:c r="M3482" s="274" t="s">
        <x:v>6565</x:v>
      </x:c>
      <x:c r="N3482" s="274" t="s">
        <x:v>3671</x:v>
      </x:c>
    </x:row>
    <x:row r="3483" spans="1:14">
      <x:c r="A3483" s="274" t="s">
        <x:v>6566</x:v>
      </x:c>
      <x:c r="B3483" s="274" t="n">
        <x:v>2.2</x:v>
      </x:c>
      <x:c r="C3483" s="274" t="n">
        <x:v>0</x:v>
      </x:c>
      <x:c r="D3483" s="274" t="n">
        <x:v>0</x:v>
      </x:c>
      <x:c r="F3483" s="274" t="s">
        <x:v>123</x:v>
      </x:c>
      <x:c r="G3483" s="274" t="s">
        <x:v>6196</x:v>
      </x:c>
      <x:c r="I3483" s="274" t="n">
        <x:v>2</x:v>
      </x:c>
      <x:c r="J3483" s="274" t="n">
        <x:v>112</x:v>
      </x:c>
      <x:c r="K3483" s="274" t="n">
        <x:v>1250</x:v>
      </x:c>
      <x:c r="M3483" s="274" t="s">
        <x:v>6565</x:v>
      </x:c>
      <x:c r="N3483" s="274" t="s">
        <x:v>3671</x:v>
      </x:c>
    </x:row>
    <x:row r="3484" spans="1:14">
      <x:c r="A3484" s="274" t="s">
        <x:v>6567</x:v>
      </x:c>
      <x:c r="B3484" s="274" t="n">
        <x:v>2.77</x:v>
      </x:c>
      <x:c r="C3484" s="274" t="n">
        <x:v>0</x:v>
      </x:c>
      <x:c r="D3484" s="274" t="n">
        <x:v>0</x:v>
      </x:c>
      <x:c r="F3484" s="274" t="s">
        <x:v>133</x:v>
      </x:c>
      <x:c r="G3484" s="274" t="s">
        <x:v>134</x:v>
      </x:c>
      <x:c r="I3484" s="274" t="n">
        <x:v>2</x:v>
      </x:c>
      <x:c r="J3484" s="274" t="n">
        <x:v>141</x:v>
      </x:c>
      <x:c r="K3484" s="274" t="n">
        <x:v>1250</x:v>
      </x:c>
      <x:c r="M3484" s="274" t="s">
        <x:v>4606</x:v>
      </x:c>
      <x:c r="N3484" s="274" t="s">
        <x:v>3671</x:v>
      </x:c>
    </x:row>
    <x:row r="3485" spans="1:14">
      <x:c r="A3485" s="274" t="s">
        <x:v>6568</x:v>
      </x:c>
      <x:c r="B3485" s="274" t="n">
        <x:v>3.24</x:v>
      </x:c>
      <x:c r="C3485" s="274" t="n">
        <x:v>0</x:v>
      </x:c>
      <x:c r="D3485" s="274" t="n">
        <x:v>0</x:v>
      </x:c>
      <x:c r="F3485" s="274" t="s">
        <x:v>133</x:v>
      </x:c>
      <x:c r="G3485" s="274" t="s">
        <x:v>134</x:v>
      </x:c>
      <x:c r="I3485" s="274" t="n">
        <x:v>2</x:v>
      </x:c>
      <x:c r="J3485" s="274" t="n">
        <x:v>165</x:v>
      </x:c>
      <x:c r="K3485" s="274" t="n">
        <x:v>1250</x:v>
      </x:c>
      <x:c r="M3485" s="274" t="s">
        <x:v>4606</x:v>
      </x:c>
      <x:c r="N3485" s="274" t="s">
        <x:v>3671</x:v>
      </x:c>
    </x:row>
    <x:row r="3486" spans="1:14">
      <x:c r="A3486" s="274" t="s">
        <x:v>6569</x:v>
      </x:c>
      <x:c r="B3486" s="274" t="n">
        <x:v>1.75</x:v>
      </x:c>
      <x:c r="C3486" s="274" t="n">
        <x:v>0</x:v>
      </x:c>
      <x:c r="D3486" s="274" t="n">
        <x:v>0</x:v>
      </x:c>
      <x:c r="F3486" s="274" t="s">
        <x:v>133</x:v>
      </x:c>
      <x:c r="G3486" s="274" t="s">
        <x:v>134</x:v>
      </x:c>
      <x:c r="I3486" s="274" t="n">
        <x:v>2</x:v>
      </x:c>
      <x:c r="J3486" s="274" t="n">
        <x:v>89</x:v>
      </x:c>
      <x:c r="K3486" s="274" t="n">
        <x:v>1250</x:v>
      </x:c>
      <x:c r="M3486" s="274" t="s">
        <x:v>4606</x:v>
      </x:c>
      <x:c r="N3486" s="274" t="s">
        <x:v>3671</x:v>
      </x:c>
    </x:row>
    <x:row r="3487" spans="1:14">
      <x:c r="A3487" s="274" t="s">
        <x:v>6570</x:v>
      </x:c>
      <x:c r="B3487" s="274" t="n">
        <x:v>1.84</x:v>
      </x:c>
      <x:c r="C3487" s="274" t="n">
        <x:v>0</x:v>
      </x:c>
      <x:c r="D3487" s="274" t="n">
        <x:v>0</x:v>
      </x:c>
      <x:c r="F3487" s="274" t="s">
        <x:v>133</x:v>
      </x:c>
      <x:c r="G3487" s="274" t="s">
        <x:v>134</x:v>
      </x:c>
      <x:c r="I3487" s="274" t="n">
        <x:v>2</x:v>
      </x:c>
      <x:c r="J3487" s="274" t="n">
        <x:v>94</x:v>
      </x:c>
      <x:c r="K3487" s="274" t="n">
        <x:v>1250</x:v>
      </x:c>
      <x:c r="M3487" s="274" t="s">
        <x:v>4606</x:v>
      </x:c>
      <x:c r="N3487" s="274" t="s">
        <x:v>3671</x:v>
      </x:c>
    </x:row>
    <x:row r="3488" spans="1:14">
      <x:c r="A3488" s="274" t="s">
        <x:v>6571</x:v>
      </x:c>
      <x:c r="B3488" s="274" t="n">
        <x:v>2.89</x:v>
      </x:c>
      <x:c r="C3488" s="274" t="n">
        <x:v>0</x:v>
      </x:c>
      <x:c r="D3488" s="274" t="n">
        <x:v>0</x:v>
      </x:c>
      <x:c r="F3488" s="274" t="s">
        <x:v>133</x:v>
      </x:c>
      <x:c r="G3488" s="274" t="s">
        <x:v>134</x:v>
      </x:c>
      <x:c r="I3488" s="274" t="n">
        <x:v>2</x:v>
      </x:c>
      <x:c r="J3488" s="274" t="n">
        <x:v>147</x:v>
      </x:c>
      <x:c r="K3488" s="274" t="n">
        <x:v>1250</x:v>
      </x:c>
      <x:c r="M3488" s="274" t="s">
        <x:v>4606</x:v>
      </x:c>
      <x:c r="N3488" s="274" t="s">
        <x:v>3671</x:v>
      </x:c>
    </x:row>
    <x:row r="3489" spans="1:14">
      <x:c r="A3489" s="274" t="s">
        <x:v>6572</x:v>
      </x:c>
      <x:c r="B3489" s="274" t="n">
        <x:v>1.99</x:v>
      </x:c>
      <x:c r="C3489" s="274" t="n">
        <x:v>0</x:v>
      </x:c>
      <x:c r="D3489" s="274" t="n">
        <x:v>0</x:v>
      </x:c>
      <x:c r="F3489" s="274" t="s">
        <x:v>333</x:v>
      </x:c>
      <x:c r="G3489" s="274" t="s">
        <x:v>153</x:v>
      </x:c>
      <x:c r="I3489" s="274" t="n">
        <x:v>1.2</x:v>
      </x:c>
      <x:c r="J3489" s="274" t="n">
        <x:v>169</x:v>
      </x:c>
      <x:c r="K3489" s="274" t="n">
        <x:v>1250</x:v>
      </x:c>
      <x:c r="M3489" s="274" t="s">
        <x:v>4606</x:v>
      </x:c>
      <x:c r="N3489" s="274" t="s">
        <x:v>3671</x:v>
      </x:c>
    </x:row>
    <x:row r="3490" spans="1:14">
      <x:c r="A3490" s="274" t="s">
        <x:v>6573</x:v>
      </x:c>
      <x:c r="B3490" s="274" t="n">
        <x:v>2.53</x:v>
      </x:c>
      <x:c r="C3490" s="274" t="n">
        <x:v>0</x:v>
      </x:c>
      <x:c r="D3490" s="274" t="n">
        <x:v>0</x:v>
      </x:c>
      <x:c r="F3490" s="274" t="s">
        <x:v>133</x:v>
      </x:c>
      <x:c r="G3490" s="274" t="s">
        <x:v>134</x:v>
      </x:c>
      <x:c r="I3490" s="274" t="n">
        <x:v>2.6</x:v>
      </x:c>
      <x:c r="J3490" s="274" t="n">
        <x:v>99</x:v>
      </x:c>
      <x:c r="K3490" s="274" t="n">
        <x:v>1250</x:v>
      </x:c>
      <x:c r="M3490" s="274" t="s">
        <x:v>6475</x:v>
      </x:c>
      <x:c r="N3490" s="274" t="s">
        <x:v>3671</x:v>
      </x:c>
    </x:row>
    <x:row r="3491" spans="1:14">
      <x:c r="A3491" s="274" t="s">
        <x:v>6574</x:v>
      </x:c>
      <x:c r="B3491" s="274" t="n">
        <x:v>8.57</x:v>
      </x:c>
      <x:c r="C3491" s="274" t="n">
        <x:v>0</x:v>
      </x:c>
      <x:c r="D3491" s="274" t="n">
        <x:v>45</x:v>
      </x:c>
      <x:c r="E3491" s="274" t="n">
        <x:v>40</x:v>
      </x:c>
      <x:c r="F3491" s="274" t="s">
        <x:v>1964</x:v>
      </x:c>
      <x:c r="G3491" s="274" t="s">
        <x:v>1614</x:v>
      </x:c>
      <x:c r="H3491" s="274" t="n">
        <x:v>45</x:v>
      </x:c>
      <x:c r="I3491" s="274" t="n">
        <x:v>1.8</x:v>
      </x:c>
      <x:c r="J3491" s="274" t="n">
        <x:v>1208</x:v>
      </x:c>
      <x:c r="K3491" s="274" t="n">
        <x:v>499</x:v>
      </x:c>
      <x:c r="M3491" s="274" t="s">
        <x:v>6575</x:v>
      </x:c>
      <x:c r="N3491" s="274" t="s">
        <x:v>4250</x:v>
      </x:c>
    </x:row>
    <x:row r="3492" spans="1:14">
      <x:c r="A3492" s="274" t="s">
        <x:v>6576</x:v>
      </x:c>
      <x:c r="B3492" s="274" t="n">
        <x:v>8.57</x:v>
      </x:c>
      <x:c r="C3492" s="274" t="n">
        <x:v>0</x:v>
      </x:c>
      <x:c r="D3492" s="274" t="n">
        <x:v>45</x:v>
      </x:c>
      <x:c r="E3492" s="274" t="n">
        <x:v>40</x:v>
      </x:c>
      <x:c r="F3492" s="274" t="s">
        <x:v>128</x:v>
      </x:c>
      <x:c r="G3492" s="274" t="s">
        <x:v>881</x:v>
      </x:c>
      <x:c r="H3492" s="274" t="n">
        <x:v>45</x:v>
      </x:c>
      <x:c r="I3492" s="274" t="n">
        <x:v>1.8</x:v>
      </x:c>
      <x:c r="J3492" s="274" t="n">
        <x:v>1208</x:v>
      </x:c>
      <x:c r="K3492" s="274" t="n">
        <x:v>499</x:v>
      </x:c>
      <x:c r="M3492" s="274" t="s">
        <x:v>6575</x:v>
      </x:c>
      <x:c r="N3492" s="274" t="s">
        <x:v>4250</x:v>
      </x:c>
    </x:row>
    <x:row r="3493" spans="1:14">
      <x:c r="A3493" s="274" t="s">
        <x:v>6577</x:v>
      </x:c>
      <x:c r="B3493" s="274" t="n">
        <x:v>1.01</x:v>
      </x:c>
      <x:c r="C3493" s="274" t="n">
        <x:v>26</x:v>
      </x:c>
      <x:c r="D3493" s="274" t="n">
        <x:v>36</x:v>
      </x:c>
      <x:c r="F3493" s="274" t="s">
        <x:v>311</x:v>
      </x:c>
      <x:c r="G3493" s="274" t="s">
        <x:v>828</x:v>
      </x:c>
      <x:c r="H3493" s="274" t="s">
        <x:v>837</x:v>
      </x:c>
      <x:c r="I3493" s="274" t="n">
        <x:v>0.8</x:v>
      </x:c>
      <x:c r="J3493" s="274" t="n">
        <x:v>380</x:v>
      </x:c>
      <x:c r="K3493" s="274" t="n">
        <x:v>420</x:v>
      </x:c>
      <x:c r="M3493" s="274" t="s">
        <x:v>3921</x:v>
      </x:c>
      <x:c r="N3493" s="274" t="s">
        <x:v>831</x:v>
      </x:c>
    </x:row>
    <x:row r="3494" spans="1:14">
      <x:c r="A3494" s="274" t="s">
        <x:v>6578</x:v>
      </x:c>
      <x:c r="B3494" s="274" t="n">
        <x:v>13.22</x:v>
      </x:c>
      <x:c r="C3494" s="274" t="n">
        <x:v>0</x:v>
      </x:c>
      <x:c r="D3494" s="274" t="n">
        <x:v>25</x:v>
      </x:c>
      <x:c r="E3494" s="274" t="n">
        <x:v>20</x:v>
      </x:c>
      <x:c r="F3494" s="274" t="s">
        <x:v>1980</x:v>
      </x:c>
      <x:c r="G3494" s="274" t="s">
        <x:v>1985</x:v>
      </x:c>
      <x:c r="I3494" s="274" t="n">
        <x:v>0.75</x:v>
      </x:c>
      <x:c r="J3494" s="274" t="n">
        <x:v>1290</x:v>
      </x:c>
      <x:c r="K3494" s="274" t="n">
        <x:v>1740</x:v>
      </x:c>
      <x:c r="M3494" s="274" t="s">
        <x:v>5696</x:v>
      </x:c>
      <x:c r="N3494" s="274" t="s">
        <x:v>1983</x:v>
      </x:c>
    </x:row>
    <x:row r="3495" spans="1:14">
      <x:c r="A3495" s="274" t="s">
        <x:v>6579</x:v>
      </x:c>
      <x:c r="B3495" s="274" t="n">
        <x:v>1.67</x:v>
      </x:c>
      <x:c r="C3495" s="274" t="n">
        <x:v>0</x:v>
      </x:c>
      <x:c r="D3495" s="274" t="n">
        <x:v>0</x:v>
      </x:c>
      <x:c r="F3495" s="274" t="s">
        <x:v>133</x:v>
      </x:c>
      <x:c r="G3495" s="274" t="s">
        <x:v>136</x:v>
      </x:c>
      <x:c r="H3495" s="274" t="n">
        <x:v>45</x:v>
      </x:c>
      <x:c r="I3495" s="274" t="n">
        <x:v>1</x:v>
      </x:c>
      <x:c r="J3495" s="274" t="n">
        <x:v>168</x:v>
      </x:c>
      <x:c r="K3495" s="274" t="n">
        <x:v>1250</x:v>
      </x:c>
      <x:c r="M3495" s="274" t="s">
        <x:v>6580</x:v>
      </x:c>
      <x:c r="N3495" s="274" t="s">
        <x:v>3671</x:v>
      </x:c>
    </x:row>
    <x:row r="3496" spans="1:14">
      <x:c r="A3496" s="274" t="s">
        <x:v>6581</x:v>
      </x:c>
      <x:c r="B3496" s="274" t="n">
        <x:v>1.94</x:v>
      </x:c>
      <x:c r="C3496" s="274" t="n">
        <x:v>0</x:v>
      </x:c>
      <x:c r="D3496" s="274" t="n">
        <x:v>0</x:v>
      </x:c>
      <x:c r="F3496" s="274" t="s">
        <x:v>333</x:v>
      </x:c>
      <x:c r="G3496" s="274" t="s">
        <x:v>209</x:v>
      </x:c>
      <x:c r="I3496" s="274" t="n">
        <x:v>1</x:v>
      </x:c>
      <x:c r="J3496" s="274" t="n">
        <x:v>198</x:v>
      </x:c>
      <x:c r="K3496" s="274" t="n">
        <x:v>1250</x:v>
      </x:c>
      <x:c r="M3496" s="274" t="s">
        <x:v>6582</x:v>
      </x:c>
      <x:c r="N3496" s="274" t="s">
        <x:v>3671</x:v>
      </x:c>
    </x:row>
    <x:row r="3497" spans="1:14">
      <x:c r="A3497" s="274" t="s">
        <x:v>6583</x:v>
      </x:c>
      <x:c r="B3497" s="274" t="n">
        <x:v>2.33</x:v>
      </x:c>
      <x:c r="C3497" s="274" t="n">
        <x:v>0</x:v>
      </x:c>
      <x:c r="D3497" s="274" t="n">
        <x:v>0</x:v>
      </x:c>
      <x:c r="F3497" s="274" t="s">
        <x:v>128</x:v>
      </x:c>
      <x:c r="G3497" s="274" t="s">
        <x:v>496</x:v>
      </x:c>
      <x:c r="H3497" s="274" t="n">
        <x:v>45</x:v>
      </x:c>
      <x:c r="I3497" s="274" t="n">
        <x:v>1.6</x:v>
      </x:c>
      <x:c r="J3497" s="274" t="n">
        <x:v>147</x:v>
      </x:c>
      <x:c r="K3497" s="274" t="n">
        <x:v>1250</x:v>
      </x:c>
      <x:c r="M3497" s="274" t="s">
        <x:v>6584</x:v>
      </x:c>
      <x:c r="N3497" s="274" t="s">
        <x:v>3671</x:v>
      </x:c>
    </x:row>
    <x:row r="3498" spans="1:14">
      <x:c r="A3498" s="274" t="s">
        <x:v>6585</x:v>
      </x:c>
      <x:c r="B3498" s="274" t="n">
        <x:v>6.09</x:v>
      </x:c>
      <x:c r="C3498" s="274" t="n">
        <x:v>0</x:v>
      </x:c>
      <x:c r="D3498" s="274" t="n">
        <x:v>0</x:v>
      </x:c>
      <x:c r="F3498" s="274" t="s">
        <x:v>128</x:v>
      </x:c>
      <x:c r="G3498" s="274" t="s">
        <x:v>496</x:v>
      </x:c>
      <x:c r="H3498" s="274" t="n">
        <x:v>45</x:v>
      </x:c>
      <x:c r="I3498" s="274" t="n">
        <x:v>1.6</x:v>
      </x:c>
      <x:c r="J3498" s="274" t="n">
        <x:v>385</x:v>
      </x:c>
      <x:c r="K3498" s="274" t="n">
        <x:v>1250</x:v>
      </x:c>
      <x:c r="M3498" s="274" t="s">
        <x:v>6586</x:v>
      </x:c>
      <x:c r="N3498" s="274" t="s">
        <x:v>3671</x:v>
      </x:c>
    </x:row>
    <x:row r="3499" spans="1:14">
      <x:c r="A3499" s="274" t="s">
        <x:v>6587</x:v>
      </x:c>
      <x:c r="B3499" s="274" t="n">
        <x:v>3.8</x:v>
      </x:c>
      <x:c r="C3499" s="274" t="n">
        <x:v>0</x:v>
      </x:c>
      <x:c r="D3499" s="274" t="n">
        <x:v>0</x:v>
      </x:c>
      <x:c r="F3499" s="274" t="s">
        <x:v>128</x:v>
      </x:c>
      <x:c r="G3499" s="274" t="s">
        <x:v>496</x:v>
      </x:c>
      <x:c r="H3499" s="274" t="n">
        <x:v>45</x:v>
      </x:c>
      <x:c r="I3499" s="274" t="n">
        <x:v>1.6</x:v>
      </x:c>
      <x:c r="J3499" s="274" t="n">
        <x:v>240</x:v>
      </x:c>
      <x:c r="K3499" s="274" t="n">
        <x:v>1250</x:v>
      </x:c>
      <x:c r="M3499" s="274" t="s">
        <x:v>6588</x:v>
      </x:c>
      <x:c r="N3499" s="274" t="s">
        <x:v>3671</x:v>
      </x:c>
    </x:row>
    <x:row r="3500" spans="1:14">
      <x:c r="A3500" s="274" t="s">
        <x:v>6589</x:v>
      </x:c>
      <x:c r="B3500" s="274" t="n">
        <x:v>2.67</x:v>
      </x:c>
      <x:c r="C3500" s="274" t="n">
        <x:v>0</x:v>
      </x:c>
      <x:c r="D3500" s="274" t="n">
        <x:v>0</x:v>
      </x:c>
      <x:c r="F3500" s="274" t="s">
        <x:v>133</x:v>
      </x:c>
      <x:c r="G3500" s="274" t="s">
        <x:v>134</x:v>
      </x:c>
      <x:c r="I3500" s="274" t="n">
        <x:v>1.6</x:v>
      </x:c>
      <x:c r="J3500" s="274" t="n">
        <x:v>170</x:v>
      </x:c>
      <x:c r="K3500" s="274" t="n">
        <x:v>1250</x:v>
      </x:c>
      <x:c r="M3500" s="274" t="s">
        <x:v>6590</x:v>
      </x:c>
      <x:c r="N3500" s="274" t="s">
        <x:v>3671</x:v>
      </x:c>
    </x:row>
    <x:row r="3501" spans="1:14">
      <x:c r="A3501" s="274" t="s">
        <x:v>6591</x:v>
      </x:c>
      <x:c r="B3501" s="274" t="n">
        <x:v>1.01</x:v>
      </x:c>
      <x:c r="C3501" s="274" t="n">
        <x:v>0</x:v>
      </x:c>
      <x:c r="D3501" s="274" t="n">
        <x:v>0</x:v>
      </x:c>
      <x:c r="F3501" s="274" t="s">
        <x:v>133</x:v>
      </x:c>
      <x:c r="G3501" s="274" t="s">
        <x:v>136</x:v>
      </x:c>
      <x:c r="H3501" s="274" t="n">
        <x:v>45</x:v>
      </x:c>
      <x:c r="I3501" s="274" t="n">
        <x:v>1</x:v>
      </x:c>
      <x:c r="J3501" s="274" t="n">
        <x:v>102</x:v>
      </x:c>
      <x:c r="K3501" s="274" t="n">
        <x:v>1250</x:v>
      </x:c>
      <x:c r="M3501" s="274" t="s">
        <x:v>6592</x:v>
      </x:c>
      <x:c r="N3501" s="274" t="s">
        <x:v>3671</x:v>
      </x:c>
    </x:row>
    <x:row r="3502" spans="1:14">
      <x:c r="A3502" s="274" t="s">
        <x:v>6593</x:v>
      </x:c>
      <x:c r="B3502" s="274" t="n">
        <x:v>0.73</x:v>
      </x:c>
      <x:c r="C3502" s="274" t="n">
        <x:v>0</x:v>
      </x:c>
      <x:c r="D3502" s="274" t="n">
        <x:v>0</x:v>
      </x:c>
      <x:c r="F3502" s="274" t="s">
        <x:v>333</x:v>
      </x:c>
      <x:c r="G3502" s="274" t="s">
        <x:v>209</x:v>
      </x:c>
      <x:c r="I3502" s="274" t="n">
        <x:v>1</x:v>
      </x:c>
      <x:c r="J3502" s="274" t="n">
        <x:v>260</x:v>
      </x:c>
      <x:c r="K3502" s="274" t="n">
        <x:v>360</x:v>
      </x:c>
      <x:c r="M3502" s="274" t="s">
        <x:v>6594</x:v>
      </x:c>
      <x:c r="N3502" s="274" t="s">
        <x:v>3671</x:v>
      </x:c>
    </x:row>
    <x:row r="3503" spans="1:14">
      <x:c r="A3503" s="274" t="s">
        <x:v>6595</x:v>
      </x:c>
      <x:c r="B3503" s="274" t="n">
        <x:v>1.36</x:v>
      </x:c>
      <x:c r="C3503" s="274" t="n">
        <x:v>0</x:v>
      </x:c>
      <x:c r="D3503" s="274" t="n">
        <x:v>0</x:v>
      </x:c>
      <x:c r="F3503" s="274" t="s">
        <x:v>133</x:v>
      </x:c>
      <x:c r="G3503" s="274" t="s">
        <x:v>136</x:v>
      </x:c>
      <x:c r="H3503" s="274" t="n">
        <x:v>45</x:v>
      </x:c>
      <x:c r="I3503" s="274" t="n">
        <x:v>0.6</x:v>
      </x:c>
      <x:c r="J3503" s="274" t="n">
        <x:v>980</x:v>
      </x:c>
      <x:c r="K3503" s="274" t="n">
        <x:v>290</x:v>
      </x:c>
      <x:c r="M3503" s="274" t="s">
        <x:v>573</x:v>
      </x:c>
      <x:c r="N3503" s="274" t="s">
        <x:v>299</x:v>
      </x:c>
    </x:row>
    <x:row r="3504" spans="1:14">
      <x:c r="A3504" s="274" t="s">
        <x:v>6596</x:v>
      </x:c>
      <x:c r="B3504" s="274" t="n">
        <x:v>6.45</x:v>
      </x:c>
      <x:c r="C3504" s="274" t="n">
        <x:v>0</x:v>
      </x:c>
      <x:c r="D3504" s="274" t="n">
        <x:v>0</x:v>
      </x:c>
      <x:c r="F3504" s="274" t="s">
        <x:v>133</x:v>
      </x:c>
      <x:c r="G3504" s="274" t="s">
        <x:v>4299</x:v>
      </x:c>
      <x:c r="I3504" s="274" t="n">
        <x:v>3.2</x:v>
      </x:c>
      <x:c r="J3504" s="274" t="n">
        <x:v>214</x:v>
      </x:c>
      <x:c r="K3504" s="274" t="n">
        <x:v>1200</x:v>
      </x:c>
      <x:c r="M3504" s="274" t="s">
        <x:v>6597</x:v>
      </x:c>
      <x:c r="N3504" s="274" t="s">
        <x:v>4258</x:v>
      </x:c>
    </x:row>
    <x:row r="3505" spans="1:14">
      <x:c r="A3505" s="274" t="s">
        <x:v>6598</x:v>
      </x:c>
      <x:c r="B3505" s="274" t="n">
        <x:v>1.88</x:v>
      </x:c>
      <x:c r="C3505" s="274" t="n">
        <x:v>0</x:v>
      </x:c>
      <x:c r="D3505" s="274" t="n">
        <x:v>0</x:v>
      </x:c>
      <x:c r="F3505" s="274" t="s">
        <x:v>333</x:v>
      </x:c>
      <x:c r="G3505" s="274" t="s">
        <x:v>4663</x:v>
      </x:c>
      <x:c r="I3505" s="274" t="n">
        <x:v>0.8</x:v>
      </x:c>
      <x:c r="J3505" s="274" t="n">
        <x:v>240</x:v>
      </x:c>
      <x:c r="K3505" s="274" t="n">
        <x:v>1250</x:v>
      </x:c>
      <x:c r="M3505" s="274" t="s">
        <x:v>6599</x:v>
      </x:c>
      <x:c r="N3505" s="274" t="s">
        <x:v>4258</x:v>
      </x:c>
    </x:row>
    <x:row r="3506" spans="1:14">
      <x:c r="A3506" s="274" t="s">
        <x:v>6600</x:v>
      </x:c>
      <x:c r="B3506" s="274" t="n">
        <x:v>2.73</x:v>
      </x:c>
      <x:c r="C3506" s="274" t="n">
        <x:v>0</x:v>
      </x:c>
      <x:c r="D3506" s="274" t="n">
        <x:v>0</x:v>
      </x:c>
      <x:c r="F3506" s="274" t="s">
        <x:v>333</x:v>
      </x:c>
      <x:c r="G3506" s="274" t="s">
        <x:v>4663</x:v>
      </x:c>
      <x:c r="I3506" s="274" t="n">
        <x:v>0.8</x:v>
      </x:c>
      <x:c r="J3506" s="274" t="n">
        <x:v>348</x:v>
      </x:c>
      <x:c r="K3506" s="274" t="n">
        <x:v>1250</x:v>
      </x:c>
      <x:c r="M3506" s="274" t="s">
        <x:v>6601</x:v>
      </x:c>
      <x:c r="N3506" s="274" t="s">
        <x:v>4258</x:v>
      </x:c>
    </x:row>
    <x:row r="3507" spans="1:14">
      <x:c r="A3507" s="274" t="s">
        <x:v>6602</x:v>
      </x:c>
      <x:c r="B3507" s="274" t="n">
        <x:v>4.02</x:v>
      </x:c>
      <x:c r="C3507" s="274" t="n">
        <x:v>0</x:v>
      </x:c>
      <x:c r="D3507" s="274" t="n">
        <x:v>0</x:v>
      </x:c>
      <x:c r="F3507" s="274" t="s">
        <x:v>133</x:v>
      </x:c>
      <x:c r="G3507" s="274" t="s">
        <x:v>4329</x:v>
      </x:c>
      <x:c r="I3507" s="274" t="n">
        <x:v>3.2</x:v>
      </x:c>
      <x:c r="J3507" s="274" t="n">
        <x:v>128</x:v>
      </x:c>
      <x:c r="K3507" s="274" t="n">
        <x:v>1250</x:v>
      </x:c>
      <x:c r="M3507" s="274" t="s">
        <x:v>6603</x:v>
      </x:c>
      <x:c r="N3507" s="274" t="s">
        <x:v>4258</x:v>
      </x:c>
    </x:row>
    <x:row r="3508" spans="1:14">
      <x:c r="A3508" s="274" t="s">
        <x:v>6604</x:v>
      </x:c>
      <x:c r="B3508" s="274" t="n">
        <x:v>2.04</x:v>
      </x:c>
      <x:c r="C3508" s="274" t="n">
        <x:v>0</x:v>
      </x:c>
      <x:c r="D3508" s="274" t="n">
        <x:v>0</x:v>
      </x:c>
      <x:c r="F3508" s="274" t="s">
        <x:v>333</x:v>
      </x:c>
      <x:c r="G3508" s="274" t="s">
        <x:v>4663</x:v>
      </x:c>
      <x:c r="I3508" s="274" t="n">
        <x:v>1</x:v>
      </x:c>
      <x:c r="J3508" s="274" t="n">
        <x:v>208</x:v>
      </x:c>
      <x:c r="K3508" s="274" t="n">
        <x:v>1250</x:v>
      </x:c>
      <x:c r="M3508" s="274" t="s">
        <x:v>6605</x:v>
      </x:c>
      <x:c r="N3508" s="274" t="s">
        <x:v>5073</x:v>
      </x:c>
    </x:row>
    <x:row r="3509" spans="1:14">
      <x:c r="A3509" s="274" t="s">
        <x:v>6606</x:v>
      </x:c>
      <x:c r="B3509" s="274" t="n">
        <x:v>2.41</x:v>
      </x:c>
      <x:c r="C3509" s="274" t="n">
        <x:v>0</x:v>
      </x:c>
      <x:c r="D3509" s="274" t="n">
        <x:v>0</x:v>
      </x:c>
      <x:c r="F3509" s="274" t="s">
        <x:v>333</x:v>
      </x:c>
      <x:c r="G3509" s="274" t="s">
        <x:v>4663</x:v>
      </x:c>
      <x:c r="I3509" s="274" t="n">
        <x:v>1</x:v>
      </x:c>
      <x:c r="J3509" s="274" t="n">
        <x:v>246</x:v>
      </x:c>
      <x:c r="K3509" s="274" t="n">
        <x:v>1250</x:v>
      </x:c>
      <x:c r="M3509" s="274" t="s">
        <x:v>6607</x:v>
      </x:c>
      <x:c r="N3509" s="274" t="s">
        <x:v>5073</x:v>
      </x:c>
    </x:row>
    <x:row r="3510" spans="1:14">
      <x:c r="A3510" s="274" t="s">
        <x:v>6608</x:v>
      </x:c>
      <x:c r="B3510" s="274" t="n">
        <x:v>3.29</x:v>
      </x:c>
      <x:c r="C3510" s="274" t="n">
        <x:v>0</x:v>
      </x:c>
      <x:c r="D3510" s="274" t="n">
        <x:v>0</x:v>
      </x:c>
      <x:c r="F3510" s="274" t="s">
        <x:v>333</x:v>
      </x:c>
      <x:c r="G3510" s="274" t="s">
        <x:v>4663</x:v>
      </x:c>
      <x:c r="I3510" s="274" t="n">
        <x:v>1</x:v>
      </x:c>
      <x:c r="J3510" s="274" t="n">
        <x:v>335</x:v>
      </x:c>
      <x:c r="K3510" s="274" t="n">
        <x:v>1250</x:v>
      </x:c>
      <x:c r="M3510" s="274" t="s">
        <x:v>5557</x:v>
      </x:c>
      <x:c r="N3510" s="274" t="s">
        <x:v>5073</x:v>
      </x:c>
    </x:row>
    <x:row r="3511" spans="1:14">
      <x:c r="A3511" s="274" t="s">
        <x:v>6609</x:v>
      </x:c>
      <x:c r="B3511" s="274" t="n">
        <x:v>1.57</x:v>
      </x:c>
      <x:c r="C3511" s="274" t="n">
        <x:v>0</x:v>
      </x:c>
      <x:c r="D3511" s="274" t="n">
        <x:v>0</x:v>
      </x:c>
      <x:c r="F3511" s="274" t="s">
        <x:v>184</x:v>
      </x:c>
      <x:c r="G3511" s="274" t="s">
        <x:v>4782</x:v>
      </x:c>
      <x:c r="H3511" s="274" t="s">
        <x:v>4471</x:v>
      </x:c>
      <x:c r="I3511" s="274" t="n">
        <x:v>1</x:v>
      </x:c>
      <x:c r="J3511" s="274" t="n">
        <x:v>159</x:v>
      </x:c>
      <x:c r="K3511" s="274" t="n">
        <x:v>1255</x:v>
      </x:c>
      <x:c r="M3511" s="274" t="s">
        <x:v>6610</x:v>
      </x:c>
      <x:c r="N3511" s="274" t="s">
        <x:v>5073</x:v>
      </x:c>
    </x:row>
    <x:row r="3512" spans="1:14">
      <x:c r="A3512" s="274" t="s">
        <x:v>6611</x:v>
      </x:c>
      <x:c r="B3512" s="274" t="n">
        <x:v>1.57</x:v>
      </x:c>
      <x:c r="C3512" s="274" t="n">
        <x:v>0</x:v>
      </x:c>
      <x:c r="D3512" s="274" t="n">
        <x:v>0</x:v>
      </x:c>
      <x:c r="F3512" s="274" t="s">
        <x:v>184</x:v>
      </x:c>
      <x:c r="G3512" s="274" t="s">
        <x:v>4782</x:v>
      </x:c>
      <x:c r="H3512" s="274" t="s">
        <x:v>4471</x:v>
      </x:c>
      <x:c r="I3512" s="274" t="n">
        <x:v>1</x:v>
      </x:c>
      <x:c r="J3512" s="274" t="n">
        <x:v>160</x:v>
      </x:c>
      <x:c r="K3512" s="274" t="n">
        <x:v>1250</x:v>
      </x:c>
      <x:c r="M3512" s="274" t="s">
        <x:v>6612</x:v>
      </x:c>
      <x:c r="N3512" s="274" t="s">
        <x:v>5073</x:v>
      </x:c>
    </x:row>
    <x:row r="3513" spans="1:14">
      <x:c r="A3513" s="274" t="s">
        <x:v>6613</x:v>
      </x:c>
      <x:c r="B3513" s="274" t="n">
        <x:v>0.85</x:v>
      </x:c>
      <x:c r="C3513" s="274" t="n">
        <x:v>0</x:v>
      </x:c>
      <x:c r="D3513" s="274" t="n">
        <x:v>0</x:v>
      </x:c>
      <x:c r="F3513" s="274" t="s">
        <x:v>333</x:v>
      </x:c>
      <x:c r="G3513" s="274" t="s">
        <x:v>4663</x:v>
      </x:c>
      <x:c r="I3513" s="274" t="n">
        <x:v>1.2</x:v>
      </x:c>
      <x:c r="J3513" s="274" t="n">
        <x:v>72</x:v>
      </x:c>
      <x:c r="K3513" s="274" t="n">
        <x:v>1250</x:v>
      </x:c>
      <x:c r="M3513" s="274" t="s">
        <x:v>6614</x:v>
      </x:c>
      <x:c r="N3513" s="274" t="s">
        <x:v>5073</x:v>
      </x:c>
    </x:row>
    <x:row r="3514" spans="1:14">
      <x:c r="A3514" s="274" t="s">
        <x:v>6615</x:v>
      </x:c>
      <x:c r="B3514" s="274" t="n">
        <x:v>0.94</x:v>
      </x:c>
      <x:c r="C3514" s="274" t="n">
        <x:v>0</x:v>
      </x:c>
      <x:c r="D3514" s="274" t="n">
        <x:v>0</x:v>
      </x:c>
      <x:c r="F3514" s="274" t="s">
        <x:v>333</x:v>
      </x:c>
      <x:c r="G3514" s="274" t="s">
        <x:v>4663</x:v>
      </x:c>
      <x:c r="I3514" s="274" t="n">
        <x:v>1.2</x:v>
      </x:c>
      <x:c r="J3514" s="274" t="n">
        <x:v>80</x:v>
      </x:c>
      <x:c r="K3514" s="274" t="n">
        <x:v>1250</x:v>
      </x:c>
      <x:c r="M3514" s="274" t="s">
        <x:v>6616</x:v>
      </x:c>
      <x:c r="N3514" s="274" t="s">
        <x:v>5073</x:v>
      </x:c>
    </x:row>
    <x:row r="3515" spans="1:14">
      <x:c r="A3515" s="274" t="s">
        <x:v>6617</x:v>
      </x:c>
      <x:c r="B3515" s="274" t="n">
        <x:v>1.06</x:v>
      </x:c>
      <x:c r="C3515" s="274" t="n">
        <x:v>0</x:v>
      </x:c>
      <x:c r="D3515" s="274" t="n">
        <x:v>0</x:v>
      </x:c>
      <x:c r="F3515" s="274" t="s">
        <x:v>333</x:v>
      </x:c>
      <x:c r="G3515" s="274" t="s">
        <x:v>4663</x:v>
      </x:c>
      <x:c r="I3515" s="274" t="n">
        <x:v>1.2</x:v>
      </x:c>
      <x:c r="J3515" s="274" t="n">
        <x:v>90</x:v>
      </x:c>
      <x:c r="K3515" s="274" t="n">
        <x:v>1250</x:v>
      </x:c>
      <x:c r="M3515" s="274" t="s">
        <x:v>6618</x:v>
      </x:c>
      <x:c r="N3515" s="274" t="s">
        <x:v>5073</x:v>
      </x:c>
    </x:row>
    <x:row r="3516" spans="1:14">
      <x:c r="A3516" s="274" t="s">
        <x:v>6619</x:v>
      </x:c>
      <x:c r="B3516" s="274" t="n">
        <x:v>1.18</x:v>
      </x:c>
      <x:c r="C3516" s="274" t="n">
        <x:v>0</x:v>
      </x:c>
      <x:c r="D3516" s="274" t="n">
        <x:v>0</x:v>
      </x:c>
      <x:c r="F3516" s="274" t="s">
        <x:v>333</x:v>
      </x:c>
      <x:c r="G3516" s="274" t="s">
        <x:v>4663</x:v>
      </x:c>
      <x:c r="I3516" s="274" t="n">
        <x:v>1.2</x:v>
      </x:c>
      <x:c r="J3516" s="274" t="n">
        <x:v>100</x:v>
      </x:c>
      <x:c r="K3516" s="274" t="n">
        <x:v>1250</x:v>
      </x:c>
      <x:c r="M3516" s="274" t="s">
        <x:v>6620</x:v>
      </x:c>
      <x:c r="N3516" s="274" t="s">
        <x:v>5073</x:v>
      </x:c>
    </x:row>
    <x:row r="3517" spans="1:14">
      <x:c r="A3517" s="274" t="s">
        <x:v>6621</x:v>
      </x:c>
      <x:c r="B3517" s="274" t="n">
        <x:v>1.01</x:v>
      </x:c>
      <x:c r="C3517" s="274" t="n">
        <x:v>26</x:v>
      </x:c>
      <x:c r="D3517" s="274" t="n">
        <x:v>36</x:v>
      </x:c>
      <x:c r="E3517" s="274" t="n">
        <x:v>33</x:v>
      </x:c>
      <x:c r="F3517" s="274" t="s">
        <x:v>3412</x:v>
      </x:c>
      <x:c r="G3517" s="274" t="s">
        <x:v>6622</x:v>
      </x:c>
      <x:c r="H3517" s="274" t="s">
        <x:v>837</x:v>
      </x:c>
      <x:c r="I3517" s="274" t="n">
        <x:v>0.8</x:v>
      </x:c>
      <x:c r="J3517" s="274" t="n">
        <x:v>380</x:v>
      </x:c>
      <x:c r="K3517" s="274" t="n">
        <x:v>420</x:v>
      </x:c>
      <x:c r="M3517" s="274" t="s">
        <x:v>3921</x:v>
      </x:c>
      <x:c r="N3517" s="274" t="s">
        <x:v>6623</x:v>
      </x:c>
    </x:row>
    <x:row r="3518" spans="1:14">
      <x:c r="A3518" s="274" t="s">
        <x:v>6624</x:v>
      </x:c>
      <x:c r="B3518" s="274" t="n">
        <x:v>1.25</x:v>
      </x:c>
      <x:c r="C3518" s="274" t="n">
        <x:v>0</x:v>
      </x:c>
      <x:c r="D3518" s="274" t="n">
        <x:v>36</x:v>
      </x:c>
      <x:c r="E3518" s="274" t="n">
        <x:v>33</x:v>
      </x:c>
      <x:c r="F3518" s="274" t="s">
        <x:v>3412</x:v>
      </x:c>
      <x:c r="G3518" s="274" t="s">
        <x:v>6622</x:v>
      </x:c>
      <x:c r="H3518" s="274" t="s">
        <x:v>837</x:v>
      </x:c>
      <x:c r="I3518" s="274" t="n">
        <x:v>0.8</x:v>
      </x:c>
      <x:c r="J3518" s="274" t="n">
        <x:v>435</x:v>
      </x:c>
      <x:c r="K3518" s="274" t="n">
        <x:v>455</x:v>
      </x:c>
      <x:c r="M3518" s="274" t="s">
        <x:v>3923</x:v>
      </x:c>
      <x:c r="N3518" s="274" t="s">
        <x:v>831</x:v>
      </x:c>
    </x:row>
    <x:row r="3519" spans="1:14">
      <x:c r="A3519" s="274" t="s">
        <x:v>6625</x:v>
      </x:c>
      <x:c r="B3519" s="274" t="n">
        <x:v>2.52</x:v>
      </x:c>
      <x:c r="C3519" s="274" t="n">
        <x:v>0</x:v>
      </x:c>
      <x:c r="D3519" s="274" t="n">
        <x:v>35</x:v>
      </x:c>
      <x:c r="E3519" s="274" t="n">
        <x:v>33</x:v>
      </x:c>
      <x:c r="F3519" s="274" t="s">
        <x:v>3412</x:v>
      </x:c>
      <x:c r="G3519" s="274" t="s">
        <x:v>6622</x:v>
      </x:c>
      <x:c r="H3519" s="274" t="s">
        <x:v>837</x:v>
      </x:c>
      <x:c r="I3519" s="274" t="n">
        <x:v>0.8</x:v>
      </x:c>
      <x:c r="J3519" s="274" t="n">
        <x:v>510</x:v>
      </x:c>
      <x:c r="K3519" s="274" t="n">
        <x:v>785</x:v>
      </x:c>
      <x:c r="M3519" s="274" t="s">
        <x:v>3782</x:v>
      </x:c>
      <x:c r="N3519" s="274" t="s">
        <x:v>831</x:v>
      </x:c>
    </x:row>
    <x:row r="3520" spans="1:14">
      <x:c r="A3520" s="274" t="s">
        <x:v>6626</x:v>
      </x:c>
      <x:c r="B3520" s="274" t="n">
        <x:v>2.49</x:v>
      </x:c>
      <x:c r="C3520" s="274" t="n">
        <x:v>0</x:v>
      </x:c>
      <x:c r="D3520" s="274" t="n">
        <x:v>35</x:v>
      </x:c>
      <x:c r="E3520" s="274" t="n">
        <x:v>33</x:v>
      </x:c>
      <x:c r="F3520" s="274" t="s">
        <x:v>3412</x:v>
      </x:c>
      <x:c r="G3520" s="274" t="s">
        <x:v>6622</x:v>
      </x:c>
      <x:c r="H3520" s="274" t="s">
        <x:v>829</x:v>
      </x:c>
      <x:c r="I3520" s="274" t="n">
        <x:v>0.8</x:v>
      </x:c>
      <x:c r="J3520" s="274" t="n">
        <x:v>600</x:v>
      </x:c>
      <x:c r="K3520" s="274" t="n">
        <x:v>660</x:v>
      </x:c>
      <x:c r="M3520" s="274" t="s">
        <x:v>3784</x:v>
      </x:c>
      <x:c r="N3520" s="274" t="s">
        <x:v>831</x:v>
      </x:c>
    </x:row>
    <x:row r="3521" spans="1:14">
      <x:c r="A3521" s="274" t="s">
        <x:v>6627</x:v>
      </x:c>
      <x:c r="B3521" s="274" t="n">
        <x:v>2.74</x:v>
      </x:c>
      <x:c r="C3521" s="274" t="n">
        <x:v>0</x:v>
      </x:c>
      <x:c r="D3521" s="274" t="n">
        <x:v>35</x:v>
      </x:c>
      <x:c r="E3521" s="274" t="n">
        <x:v>33</x:v>
      </x:c>
      <x:c r="F3521" s="274" t="s">
        <x:v>3412</x:v>
      </x:c>
      <x:c r="G3521" s="274" t="s">
        <x:v>6622</x:v>
      </x:c>
      <x:c r="H3521" s="274" t="s">
        <x:v>837</x:v>
      </x:c>
      <x:c r="I3521" s="274" t="n">
        <x:v>0.8</x:v>
      </x:c>
      <x:c r="J3521" s="274" t="n">
        <x:v>550</x:v>
      </x:c>
      <x:c r="K3521" s="274" t="n">
        <x:v>790</x:v>
      </x:c>
      <x:c r="M3521" s="274" t="s">
        <x:v>3778</x:v>
      </x:c>
      <x:c r="N3521" s="274" t="s">
        <x:v>831</x:v>
      </x:c>
    </x:row>
    <x:row r="3522" spans="1:14">
      <x:c r="A3522" s="274" t="s">
        <x:v>6628</x:v>
      </x:c>
      <x:c r="B3522" s="274" t="n">
        <x:v>2.62</x:v>
      </x:c>
      <x:c r="C3522" s="274" t="n">
        <x:v>0</x:v>
      </x:c>
      <x:c r="D3522" s="274" t="n">
        <x:v>35</x:v>
      </x:c>
      <x:c r="E3522" s="274" t="n">
        <x:v>33</x:v>
      </x:c>
      <x:c r="F3522" s="274" t="s">
        <x:v>3412</x:v>
      </x:c>
      <x:c r="G3522" s="274" t="s">
        <x:v>6622</x:v>
      </x:c>
      <x:c r="H3522" s="274" t="s">
        <x:v>829</x:v>
      </x:c>
      <x:c r="I3522" s="274" t="n">
        <x:v>0.8</x:v>
      </x:c>
      <x:c r="J3522" s="274" t="n">
        <x:v>590</x:v>
      </x:c>
      <x:c r="K3522" s="274" t="n">
        <x:v>705</x:v>
      </x:c>
      <x:c r="M3522" s="274" t="s">
        <x:v>3780</x:v>
      </x:c>
      <x:c r="N3522" s="274" t="s">
        <x:v>831</x:v>
      </x:c>
    </x:row>
    <x:row r="3523" spans="1:14">
      <x:c r="A3523" s="274" t="s">
        <x:v>6629</x:v>
      </x:c>
      <x:c r="B3523" s="274" t="n">
        <x:v>0.9</x:v>
      </x:c>
      <x:c r="C3523" s="274" t="n">
        <x:v>31</x:v>
      </x:c>
      <x:c r="D3523" s="274" t="n">
        <x:v>35</x:v>
      </x:c>
      <x:c r="E3523" s="274" t="n">
        <x:v>33</x:v>
      </x:c>
      <x:c r="F3523" s="274" t="s">
        <x:v>333</x:v>
      </x:c>
      <x:c r="G3523" s="274" t="s">
        <x:v>153</x:v>
      </x:c>
      <x:c r="I3523" s="274" t="n">
        <x:v>1.6</x:v>
      </x:c>
      <x:c r="J3523" s="274" t="n">
        <x:v>340</x:v>
      </x:c>
      <x:c r="K3523" s="274" t="n">
        <x:v>210</x:v>
      </x:c>
      <x:c r="M3523" s="274" t="s">
        <x:v>6630</x:v>
      </x:c>
      <x:c r="N3523" s="274" t="s">
        <x:v>1157</x:v>
      </x:c>
    </x:row>
    <x:row r="3524" spans="1:14">
      <x:c r="A3524" s="274" t="s">
        <x:v>6631</x:v>
      </x:c>
      <x:c r="B3524" s="274" t="n">
        <x:v>0.23</x:v>
      </x:c>
      <x:c r="C3524" s="274" t="n">
        <x:v>31</x:v>
      </x:c>
      <x:c r="D3524" s="274" t="n">
        <x:v>36</x:v>
      </x:c>
      <x:c r="E3524" s="274" t="n">
        <x:v>33</x:v>
      </x:c>
      <x:c r="F3524" s="274" t="s">
        <x:v>333</x:v>
      </x:c>
      <x:c r="G3524" s="274" t="s">
        <x:v>153</x:v>
      </x:c>
      <x:c r="I3524" s="274" t="n">
        <x:v>1.6</x:v>
      </x:c>
      <x:c r="J3524" s="274" t="n">
        <x:v>123</x:v>
      </x:c>
      <x:c r="K3524" s="274" t="n">
        <x:v>152</x:v>
      </x:c>
      <x:c r="M3524" s="274" t="s">
        <x:v>3765</x:v>
      </x:c>
      <x:c r="N3524" s="274" t="s">
        <x:v>1157</x:v>
      </x:c>
    </x:row>
    <x:row r="3525" spans="1:14">
      <x:c r="A3525" s="274" t="s">
        <x:v>6632</x:v>
      </x:c>
      <x:c r="B3525" s="274" t="n">
        <x:v>0.99</x:v>
      </x:c>
      <x:c r="C3525" s="274" t="n">
        <x:v>30</x:v>
      </x:c>
      <x:c r="D3525" s="274" t="n">
        <x:v>34</x:v>
      </x:c>
      <x:c r="E3525" s="274" t="n">
        <x:v>32</x:v>
      </x:c>
      <x:c r="F3525" s="274" t="s">
        <x:v>333</x:v>
      </x:c>
      <x:c r="G3525" s="274" t="s">
        <x:v>153</x:v>
      </x:c>
      <x:c r="I3525" s="274" t="n">
        <x:v>1.6</x:v>
      </x:c>
      <x:c r="J3525" s="274" t="n">
        <x:v>255</x:v>
      </x:c>
      <x:c r="K3525" s="274" t="n">
        <x:v>310</x:v>
      </x:c>
      <x:c r="M3525" s="274" t="s">
        <x:v>6633</x:v>
      </x:c>
      <x:c r="N3525" s="274" t="s">
        <x:v>131</x:v>
      </x:c>
    </x:row>
    <x:row r="3526" spans="1:14">
      <x:c r="A3526" s="274" t="s">
        <x:v>6634</x:v>
      </x:c>
      <x:c r="B3526" s="274" t="n">
        <x:v>1.57</x:v>
      </x:c>
      <x:c r="C3526" s="274" t="n">
        <x:v>0</x:v>
      </x:c>
      <x:c r="D3526" s="274" t="n">
        <x:v>0</x:v>
      </x:c>
      <x:c r="F3526" s="274" t="s">
        <x:v>184</x:v>
      </x:c>
      <x:c r="G3526" s="274" t="s">
        <x:v>4782</x:v>
      </x:c>
      <x:c r="H3526" s="274" t="s">
        <x:v>4471</x:v>
      </x:c>
      <x:c r="I3526" s="274" t="n">
        <x:v>1.6</x:v>
      </x:c>
      <x:c r="J3526" s="274" t="n">
        <x:v>100</x:v>
      </x:c>
      <x:c r="K3526" s="274" t="n">
        <x:v>1250</x:v>
      </x:c>
      <x:c r="M3526" s="274" t="s">
        <x:v>6635</x:v>
      </x:c>
      <x:c r="N3526" s="274" t="s">
        <x:v>5073</x:v>
      </x:c>
    </x:row>
    <x:row r="3527" spans="1:14">
      <x:c r="A3527" s="274" t="s">
        <x:v>6636</x:v>
      </x:c>
      <x:c r="B3527" s="274" t="n">
        <x:v>1.92</x:v>
      </x:c>
      <x:c r="C3527" s="274" t="n">
        <x:v>0</x:v>
      </x:c>
      <x:c r="D3527" s="274" t="n">
        <x:v>0</x:v>
      </x:c>
      <x:c r="F3527" s="274" t="s">
        <x:v>333</x:v>
      </x:c>
      <x:c r="G3527" s="274" t="s">
        <x:v>4663</x:v>
      </x:c>
      <x:c r="I3527" s="274" t="n">
        <x:v>1.4</x:v>
      </x:c>
      <x:c r="J3527" s="274" t="n">
        <x:v>140</x:v>
      </x:c>
      <x:c r="K3527" s="274" t="n">
        <x:v>1250</x:v>
      </x:c>
      <x:c r="M3527" s="274" t="s">
        <x:v>6637</x:v>
      </x:c>
      <x:c r="N3527" s="274" t="s">
        <x:v>5073</x:v>
      </x:c>
    </x:row>
    <x:row r="3528" spans="1:14">
      <x:c r="A3528" s="274" t="s">
        <x:v>6638</x:v>
      </x:c>
      <x:c r="B3528" s="274" t="n">
        <x:v>19.75</x:v>
      </x:c>
      <x:c r="C3528" s="274" t="n">
        <x:v>0</x:v>
      </x:c>
      <x:c r="D3528" s="274" t="n">
        <x:v>0</x:v>
      </x:c>
      <x:c r="E3528" s="274" t="n">
        <x:v>0</x:v>
      </x:c>
      <x:c r="F3528" s="274" t="s">
        <x:v>333</x:v>
      </x:c>
      <x:c r="G3528" s="274" t="s">
        <x:v>6639</x:v>
      </x:c>
      <x:c r="I3528" s="274" t="n">
        <x:v>0.75</x:v>
      </x:c>
      <x:c r="J3528" s="274" t="n">
        <x:v>1308</x:v>
      </x:c>
      <x:c r="K3528" s="274" t="n">
        <x:v>2565</x:v>
      </x:c>
      <x:c r="M3528" s="274" t="s">
        <x:v>6640</x:v>
      </x:c>
      <x:c r="N3528" s="274" t="s">
        <x:v>155</x:v>
      </x:c>
    </x:row>
    <x:row r="3529" spans="1:14">
      <x:c r="A3529" s="274" t="s">
        <x:v>6641</x:v>
      </x:c>
      <x:c r="B3529" s="274" t="n">
        <x:v>1.2</x:v>
      </x:c>
      <x:c r="C3529" s="274" t="n">
        <x:v>0</x:v>
      </x:c>
      <x:c r="D3529" s="274" t="n">
        <x:v>0</x:v>
      </x:c>
      <x:c r="F3529" s="274" t="s">
        <x:v>333</x:v>
      </x:c>
      <x:c r="G3529" s="274" t="s">
        <x:v>4663</x:v>
      </x:c>
      <x:c r="I3529" s="274" t="n">
        <x:v>1.2</x:v>
      </x:c>
      <x:c r="J3529" s="274" t="n">
        <x:v>102</x:v>
      </x:c>
      <x:c r="K3529" s="274" t="n">
        <x:v>1250</x:v>
      </x:c>
      <x:c r="M3529" s="274" t="s">
        <x:v>6642</x:v>
      </x:c>
      <x:c r="N3529" s="274" t="s">
        <x:v>5073</x:v>
      </x:c>
    </x:row>
    <x:row r="3530" spans="1:14">
      <x:c r="A3530" s="274" t="s">
        <x:v>6643</x:v>
      </x:c>
      <x:c r="B3530" s="274" t="n">
        <x:v>1.51</x:v>
      </x:c>
      <x:c r="C3530" s="274" t="n">
        <x:v>0</x:v>
      </x:c>
      <x:c r="D3530" s="274" t="n">
        <x:v>45</x:v>
      </x:c>
      <x:c r="E3530" s="274" t="n">
        <x:v>40</x:v>
      </x:c>
      <x:c r="F3530" s="274" t="s">
        <x:v>133</x:v>
      </x:c>
      <x:c r="G3530" s="274" t="s">
        <x:v>136</x:v>
      </x:c>
      <x:c r="H3530" s="274" t="n">
        <x:v>45</x:v>
      </x:c>
      <x:c r="I3530" s="274" t="n">
        <x:v>0.6</x:v>
      </x:c>
      <x:c r="J3530" s="274" t="n">
        <x:v>1047</x:v>
      </x:c>
      <x:c r="K3530" s="274" t="n">
        <x:v>300</x:v>
      </x:c>
      <x:c r="M3530" s="274" t="s">
        <x:v>6644</x:v>
      </x:c>
      <x:c r="N3530" s="274" t="s">
        <x:v>131</x:v>
      </x:c>
    </x:row>
    <x:row r="3531" spans="1:14">
      <x:c r="A3531" s="274" t="s">
        <x:v>6645</x:v>
      </x:c>
      <x:c r="B3531" s="274" t="n">
        <x:v>0.18</x:v>
      </x:c>
      <x:c r="C3531" s="274" t="n">
        <x:v>0</x:v>
      </x:c>
      <x:c r="D3531" s="274" t="n">
        <x:v>0</x:v>
      </x:c>
      <x:c r="F3531" s="274" t="s">
        <x:v>3412</x:v>
      </x:c>
      <x:c r="G3531" s="274" t="s">
        <x:v>5449</x:v>
      </x:c>
      <x:c r="I3531" s="274" t="n">
        <x:v>0.8</x:v>
      </x:c>
      <x:c r="J3531" s="274" t="n">
        <x:v>230</x:v>
      </x:c>
      <x:c r="K3531" s="274" t="n">
        <x:v>124</x:v>
      </x:c>
      <x:c r="M3531" s="274" t="s">
        <x:v>5450</x:v>
      </x:c>
      <x:c r="N3531" s="274" t="s">
        <x:v>4258</x:v>
      </x:c>
    </x:row>
    <x:row r="3532" spans="1:14">
      <x:c r="A3532" s="274" t="s">
        <x:v>6646</x:v>
      </x:c>
      <x:c r="B3532" s="274" t="n">
        <x:v>2.52</x:v>
      </x:c>
      <x:c r="C3532" s="274" t="n">
        <x:v>0</x:v>
      </x:c>
      <x:c r="D3532" s="274" t="n">
        <x:v>35</x:v>
      </x:c>
      <x:c r="E3532" s="274" t="n">
        <x:v>33</x:v>
      </x:c>
      <x:c r="F3532" s="274" t="s">
        <x:v>311</x:v>
      </x:c>
      <x:c r="G3532" s="274" t="s">
        <x:v>828</x:v>
      </x:c>
      <x:c r="H3532" s="274" t="s">
        <x:v>837</x:v>
      </x:c>
      <x:c r="I3532" s="274" t="n">
        <x:v>0.8</x:v>
      </x:c>
      <x:c r="J3532" s="274" t="n">
        <x:v>510</x:v>
      </x:c>
      <x:c r="K3532" s="274" t="n">
        <x:v>785</x:v>
      </x:c>
      <x:c r="M3532" s="274" t="s">
        <x:v>3782</x:v>
      </x:c>
    </x:row>
    <x:row r="3533" spans="1:14">
      <x:c r="A3533" s="274" t="s">
        <x:v>6647</x:v>
      </x:c>
      <x:c r="B3533" s="274" t="n">
        <x:v>0.64</x:v>
      </x:c>
      <x:c r="C3533" s="274" t="n">
        <x:v>0</x:v>
      </x:c>
      <x:c r="D3533" s="274" t="n">
        <x:v>0</x:v>
      </x:c>
      <x:c r="F3533" s="274" t="s">
        <x:v>333</x:v>
      </x:c>
      <x:c r="G3533" s="274" t="s">
        <x:v>209</x:v>
      </x:c>
      <x:c r="I3533" s="274" t="n">
        <x:v>0.65</x:v>
      </x:c>
      <x:c r="J3533" s="274" t="n">
        <x:v>615</x:v>
      </x:c>
      <x:c r="K3533" s="274" t="n">
        <x:v>205</x:v>
      </x:c>
      <x:c r="M3533" s="274" t="s">
        <x:v>6648</x:v>
      </x:c>
      <x:c r="N3533" s="274" t="s">
        <x:v>3671</x:v>
      </x:c>
    </x:row>
    <x:row r="3534" spans="1:14">
      <x:c r="A3534" s="274" t="s">
        <x:v>6649</x:v>
      </x:c>
      <x:c r="B3534" s="274" t="n">
        <x:v>1.33</x:v>
      </x:c>
      <x:c r="C3534" s="274" t="n">
        <x:v>0</x:v>
      </x:c>
      <x:c r="D3534" s="274" t="n">
        <x:v>0</x:v>
      </x:c>
      <x:c r="F3534" s="274" t="s">
        <x:v>133</x:v>
      </x:c>
      <x:c r="G3534" s="274" t="s">
        <x:v>136</x:v>
      </x:c>
      <x:c r="H3534" s="274" t="n">
        <x:v>45</x:v>
      </x:c>
      <x:c r="I3534" s="274" t="n">
        <x:v>0.7</x:v>
      </x:c>
      <x:c r="J3534" s="274" t="n">
        <x:v>199</x:v>
      </x:c>
      <x:c r="K3534" s="274" t="n">
        <x:v>1200</x:v>
      </x:c>
      <x:c r="M3534" s="274" t="s">
        <x:v>5492</x:v>
      </x:c>
      <x:c r="N3534" s="274" t="s">
        <x:v>3671</x:v>
      </x:c>
    </x:row>
    <x:row r="3535" spans="1:14">
      <x:c r="A3535" s="274" t="s">
        <x:v>6650</x:v>
      </x:c>
      <x:c r="B3535" s="274" t="n">
        <x:v>0.66</x:v>
      </x:c>
      <x:c r="C3535" s="274" t="n">
        <x:v>0</x:v>
      </x:c>
      <x:c r="D3535" s="274" t="n">
        <x:v>0</x:v>
      </x:c>
      <x:c r="F3535" s="274" t="s">
        <x:v>333</x:v>
      </x:c>
      <x:c r="G3535" s="274" t="s">
        <x:v>209</x:v>
      </x:c>
      <x:c r="I3535" s="274" t="n">
        <x:v>0.7</x:v>
      </x:c>
      <x:c r="J3535" s="274" t="n">
        <x:v>155</x:v>
      </x:c>
      <x:c r="K3535" s="274" t="n">
        <x:v>780</x:v>
      </x:c>
      <x:c r="M3535" s="274" t="s">
        <x:v>5937</x:v>
      </x:c>
      <x:c r="N3535" s="274" t="s">
        <x:v>3671</x:v>
      </x:c>
    </x:row>
    <x:row r="3536" spans="1:14">
      <x:c r="A3536" s="274" t="s">
        <x:v>6651</x:v>
      </x:c>
      <x:c r="B3536" s="274" t="n">
        <x:v>0.48</x:v>
      </x:c>
      <x:c r="C3536" s="274" t="n">
        <x:v>0</x:v>
      </x:c>
      <x:c r="D3536" s="274" t="n">
        <x:v>0</x:v>
      </x:c>
      <x:c r="F3536" s="274" t="s">
        <x:v>133</x:v>
      </x:c>
      <x:c r="G3536" s="274" t="s">
        <x:v>136</x:v>
      </x:c>
      <x:c r="H3536" s="274" t="n">
        <x:v>45</x:v>
      </x:c>
      <x:c r="I3536" s="274" t="n">
        <x:v>0.75</x:v>
      </x:c>
      <x:c r="J3536" s="274" t="n">
        <x:v>388</x:v>
      </x:c>
      <x:c r="K3536" s="274" t="n">
        <x:v>206</x:v>
      </x:c>
      <x:c r="M3536" s="274" t="s">
        <x:v>5517</x:v>
      </x:c>
      <x:c r="N3536" s="274" t="s">
        <x:v>3671</x:v>
      </x:c>
    </x:row>
    <x:row r="3537" spans="1:14">
      <x:c r="A3537" s="274" t="s">
        <x:v>6652</x:v>
      </x:c>
      <x:c r="B3537" s="274" t="n">
        <x:v>0.52</x:v>
      </x:c>
      <x:c r="C3537" s="274" t="n">
        <x:v>0</x:v>
      </x:c>
      <x:c r="D3537" s="274" t="n">
        <x:v>0</x:v>
      </x:c>
      <x:c r="F3537" s="274" t="s">
        <x:v>333</x:v>
      </x:c>
      <x:c r="G3537" s="274" t="s">
        <x:v>153</x:v>
      </x:c>
      <x:c r="I3537" s="274" t="n">
        <x:v>1</x:v>
      </x:c>
      <x:c r="J3537" s="274" t="n">
        <x:v>220</x:v>
      </x:c>
      <x:c r="K3537" s="274" t="n">
        <x:v>300</x:v>
      </x:c>
      <x:c r="M3537" s="274" t="s">
        <x:v>6653</x:v>
      </x:c>
      <x:c r="N3537" s="274" t="s">
        <x:v>3671</x:v>
      </x:c>
    </x:row>
    <x:row r="3538" spans="1:14">
      <x:c r="A3538" s="274" t="s">
        <x:v>6654</x:v>
      </x:c>
      <x:c r="B3538" s="274" t="n">
        <x:v>0.71</x:v>
      </x:c>
      <x:c r="C3538" s="274" t="n">
        <x:v>0</x:v>
      </x:c>
      <x:c r="D3538" s="274" t="n">
        <x:v>0</x:v>
      </x:c>
      <x:c r="F3538" s="274" t="s">
        <x:v>133</x:v>
      </x:c>
      <x:c r="G3538" s="274" t="s">
        <x:v>136</x:v>
      </x:c>
      <x:c r="H3538" s="274" t="n">
        <x:v>45</x:v>
      </x:c>
      <x:c r="I3538" s="274" t="n">
        <x:v>1</x:v>
      </x:c>
      <x:c r="J3538" s="274" t="n">
        <x:v>400</x:v>
      </x:c>
      <x:c r="K3538" s="274" t="n">
        <x:v>225</x:v>
      </x:c>
      <x:c r="M3538" s="274" t="s">
        <x:v>5596</x:v>
      </x:c>
      <x:c r="N3538" s="274" t="s">
        <x:v>3671</x:v>
      </x:c>
    </x:row>
    <x:row r="3539" spans="1:14">
      <x:c r="A3539" s="274" t="s">
        <x:v>6655</x:v>
      </x:c>
      <x:c r="B3539" s="274" t="n">
        <x:v>0.85</x:v>
      </x:c>
      <x:c r="C3539" s="274" t="n">
        <x:v>0</x:v>
      </x:c>
      <x:c r="D3539" s="274" t="n">
        <x:v>0</x:v>
      </x:c>
      <x:c r="F3539" s="274" t="s">
        <x:v>123</x:v>
      </x:c>
      <x:c r="G3539" s="274" t="s">
        <x:v>129</x:v>
      </x:c>
      <x:c r="H3539" s="274" t="n">
        <x:v>45</x:v>
      </x:c>
      <x:c r="I3539" s="274" t="n">
        <x:v>1</x:v>
      </x:c>
      <x:c r="J3539" s="274" t="n">
        <x:v>188</x:v>
      </x:c>
      <x:c r="K3539" s="274" t="n">
        <x:v>572</x:v>
      </x:c>
      <x:c r="M3539" s="274" t="s">
        <x:v>5857</x:v>
      </x:c>
      <x:c r="N3539" s="274" t="s">
        <x:v>3671</x:v>
      </x:c>
    </x:row>
    <x:row r="3540" spans="1:14">
      <x:c r="A3540" s="274" t="s">
        <x:v>6656</x:v>
      </x:c>
      <x:c r="B3540" s="274" t="n">
        <x:v>0.68</x:v>
      </x:c>
      <x:c r="C3540" s="274" t="n">
        <x:v>0</x:v>
      </x:c>
      <x:c r="D3540" s="274" t="n">
        <x:v>0</x:v>
      </x:c>
      <x:c r="F3540" s="274" t="s">
        <x:v>123</x:v>
      </x:c>
      <x:c r="G3540" s="274" t="s">
        <x:v>129</x:v>
      </x:c>
      <x:c r="H3540" s="274" t="n">
        <x:v>45</x:v>
      </x:c>
      <x:c r="I3540" s="274" t="n">
        <x:v>1</x:v>
      </x:c>
      <x:c r="J3540" s="274" t="n">
        <x:v>125</x:v>
      </x:c>
      <x:c r="K3540" s="274" t="n">
        <x:v>685</x:v>
      </x:c>
      <x:c r="M3540" s="274" t="s">
        <x:v>5859</x:v>
      </x:c>
      <x:c r="N3540" s="274" t="s">
        <x:v>3671</x:v>
      </x:c>
    </x:row>
    <x:row r="3541" spans="1:14">
      <x:c r="A3541" s="274" t="s">
        <x:v>6657</x:v>
      </x:c>
      <x:c r="B3541" s="274" t="n">
        <x:v>0.39</x:v>
      </x:c>
      <x:c r="C3541" s="274" t="n">
        <x:v>0</x:v>
      </x:c>
      <x:c r="D3541" s="274" t="n">
        <x:v>0</x:v>
      </x:c>
      <x:c r="F3541" s="274" t="s">
        <x:v>133</x:v>
      </x:c>
      <x:c r="G3541" s="274" t="s">
        <x:v>136</x:v>
      </x:c>
      <x:c r="H3541" s="274" t="n">
        <x:v>45</x:v>
      </x:c>
      <x:c r="I3541" s="274" t="n">
        <x:v>1</x:v>
      </x:c>
      <x:c r="J3541" s="274" t="n">
        <x:v>376</x:v>
      </x:c>
      <x:c r="K3541" s="274" t="n">
        <x:v>132</x:v>
      </x:c>
      <x:c r="M3541" s="274" t="s">
        <x:v>6658</x:v>
      </x:c>
      <x:c r="N3541" s="274" t="s">
        <x:v>3671</x:v>
      </x:c>
    </x:row>
    <x:row r="3542" spans="1:14">
      <x:c r="A3542" s="274" t="s">
        <x:v>6659</x:v>
      </x:c>
      <x:c r="B3542" s="274" t="n">
        <x:v>0.28</x:v>
      </x:c>
      <x:c r="C3542" s="274" t="n">
        <x:v>0</x:v>
      </x:c>
      <x:c r="D3542" s="274" t="n">
        <x:v>0</x:v>
      </x:c>
      <x:c r="F3542" s="274" t="s">
        <x:v>333</x:v>
      </x:c>
      <x:c r="G3542" s="274" t="s">
        <x:v>124</x:v>
      </x:c>
      <x:c r="I3542" s="274" t="n">
        <x:v>1.2</x:v>
      </x:c>
      <x:c r="J3542" s="274" t="n">
        <x:v>170</x:v>
      </x:c>
      <x:c r="K3542" s="274" t="n">
        <x:v>172</x:v>
      </x:c>
      <x:c r="M3542" s="274" t="s">
        <x:v>6660</x:v>
      </x:c>
      <x:c r="N3542" s="274" t="s">
        <x:v>3671</x:v>
      </x:c>
    </x:row>
    <x:row r="3543" spans="1:14">
      <x:c r="A3543" s="274" t="s">
        <x:v>6661</x:v>
      </x:c>
      <x:c r="B3543" s="274" t="n">
        <x:v>0.48</x:v>
      </x:c>
      <x:c r="C3543" s="274" t="n">
        <x:v>0</x:v>
      </x:c>
      <x:c r="D3543" s="274" t="n">
        <x:v>0</x:v>
      </x:c>
      <x:c r="F3543" s="274" t="s">
        <x:v>333</x:v>
      </x:c>
      <x:c r="G3543" s="274" t="s">
        <x:v>124</x:v>
      </x:c>
      <x:c r="I3543" s="274" t="n">
        <x:v>1.2</x:v>
      </x:c>
      <x:c r="J3543" s="274" t="n">
        <x:v>459</x:v>
      </x:c>
      <x:c r="K3543" s="274" t="n">
        <x:v>112</x:v>
      </x:c>
      <x:c r="M3543" s="274" t="s">
        <x:v>6662</x:v>
      </x:c>
      <x:c r="N3543" s="274" t="s">
        <x:v>3671</x:v>
      </x:c>
    </x:row>
    <x:row r="3544" spans="1:14">
      <x:c r="A3544" s="274" t="s">
        <x:v>6663</x:v>
      </x:c>
      <x:c r="B3544" s="274" t="n">
        <x:v>1.15</x:v>
      </x:c>
      <x:c r="C3544" s="274" t="n">
        <x:v>0</x:v>
      </x:c>
      <x:c r="D3544" s="274" t="n">
        <x:v>0</x:v>
      </x:c>
      <x:c r="F3544" s="274" t="s">
        <x:v>123</x:v>
      </x:c>
      <x:c r="G3544" s="274" t="s">
        <x:v>129</x:v>
      </x:c>
      <x:c r="H3544" s="274" t="n">
        <x:v>45</x:v>
      </x:c>
      <x:c r="I3544" s="274" t="n">
        <x:v>1.4</x:v>
      </x:c>
      <x:c r="J3544" s="274" t="n">
        <x:v>200</x:v>
      </x:c>
      <x:c r="K3544" s="274" t="n">
        <x:v>520</x:v>
      </x:c>
      <x:c r="M3544" s="274" t="s">
        <x:v>5964</x:v>
      </x:c>
      <x:c r="N3544" s="274" t="s">
        <x:v>3671</x:v>
      </x:c>
    </x:row>
    <x:row r="3545" spans="1:14">
      <x:c r="A3545" s="274" t="s">
        <x:v>6664</x:v>
      </x:c>
      <x:c r="B3545" s="274" t="n">
        <x:v>1.75</x:v>
      </x:c>
      <x:c r="C3545" s="274" t="n">
        <x:v>0</x:v>
      </x:c>
      <x:c r="D3545" s="274" t="n">
        <x:v>0</x:v>
      </x:c>
      <x:c r="F3545" s="274" t="s">
        <x:v>133</x:v>
      </x:c>
      <x:c r="G3545" s="274" t="s">
        <x:v>136</x:v>
      </x:c>
      <x:c r="H3545" s="274" t="n">
        <x:v>45</x:v>
      </x:c>
      <x:c r="I3545" s="274" t="n">
        <x:v>1.4</x:v>
      </x:c>
      <x:c r="J3545" s="274" t="n">
        <x:v>450</x:v>
      </x:c>
      <x:c r="K3545" s="274" t="n">
        <x:v>350</x:v>
      </x:c>
      <x:c r="M3545" s="274" t="s">
        <x:v>6665</x:v>
      </x:c>
      <x:c r="N3545" s="274" t="s">
        <x:v>3671</x:v>
      </x:c>
    </x:row>
    <x:row r="3546" spans="1:14">
      <x:c r="A3546" s="274" t="s">
        <x:v>6666</x:v>
      </x:c>
      <x:c r="B3546" s="274" t="n">
        <x:v>1.73</x:v>
      </x:c>
      <x:c r="C3546" s="274" t="n">
        <x:v>0</x:v>
      </x:c>
      <x:c r="D3546" s="274" t="n">
        <x:v>0</x:v>
      </x:c>
      <x:c r="F3546" s="274" t="s">
        <x:v>333</x:v>
      </x:c>
      <x:c r="G3546" s="274" t="s">
        <x:v>124</x:v>
      </x:c>
      <x:c r="I3546" s="274" t="n">
        <x:v>1.4</x:v>
      </x:c>
      <x:c r="J3546" s="274" t="n">
        <x:v>450</x:v>
      </x:c>
      <x:c r="K3546" s="274" t="n">
        <x:v>350</x:v>
      </x:c>
      <x:c r="M3546" s="274" t="s">
        <x:v>6665</x:v>
      </x:c>
      <x:c r="N3546" s="274" t="s">
        <x:v>3671</x:v>
      </x:c>
    </x:row>
    <x:row r="3547" spans="1:14">
      <x:c r="A3547" s="274" t="s">
        <x:v>6667</x:v>
      </x:c>
      <x:c r="B3547" s="274" t="n">
        <x:v>0.89</x:v>
      </x:c>
      <x:c r="C3547" s="274" t="n">
        <x:v>0</x:v>
      </x:c>
      <x:c r="D3547" s="274" t="n">
        <x:v>0</x:v>
      </x:c>
      <x:c r="F3547" s="274" t="s">
        <x:v>133</x:v>
      </x:c>
      <x:c r="G3547" s="274" t="s">
        <x:v>136</x:v>
      </x:c>
      <x:c r="H3547" s="274" t="n">
        <x:v>45</x:v>
      </x:c>
      <x:c r="I3547" s="274" t="n">
        <x:v>1.4</x:v>
      </x:c>
      <x:c r="J3547" s="274" t="n">
        <x:v>190</x:v>
      </x:c>
      <x:c r="K3547" s="274" t="n">
        <x:v>425</x:v>
      </x:c>
      <x:c r="M3547" s="274" t="s">
        <x:v>6668</x:v>
      </x:c>
      <x:c r="N3547" s="274" t="s">
        <x:v>3671</x:v>
      </x:c>
    </x:row>
    <x:row r="3548" spans="1:14">
      <x:c r="A3548" s="274" t="s">
        <x:v>6669</x:v>
      </x:c>
      <x:c r="B3548" s="274" t="n">
        <x:v>0.71</x:v>
      </x:c>
      <x:c r="C3548" s="274" t="n">
        <x:v>0</x:v>
      </x:c>
      <x:c r="D3548" s="274" t="n">
        <x:v>0</x:v>
      </x:c>
      <x:c r="F3548" s="274" t="s">
        <x:v>133</x:v>
      </x:c>
      <x:c r="G3548" s="274" t="s">
        <x:v>136</x:v>
      </x:c>
      <x:c r="H3548" s="274" t="n">
        <x:v>45</x:v>
      </x:c>
      <x:c r="I3548" s="274" t="n">
        <x:v>1.4</x:v>
      </x:c>
      <x:c r="J3548" s="274" t="n">
        <x:v>160</x:v>
      </x:c>
      <x:c r="K3548" s="274" t="n">
        <x:v>400</x:v>
      </x:c>
      <x:c r="M3548" s="274" t="s">
        <x:v>6670</x:v>
      </x:c>
      <x:c r="N3548" s="274" t="s">
        <x:v>3671</x:v>
      </x:c>
    </x:row>
    <x:row r="3549" spans="1:14">
      <x:c r="A3549" s="274" t="s">
        <x:v>6671</x:v>
      </x:c>
      <x:c r="B3549" s="274" t="n">
        <x:v>0.15</x:v>
      </x:c>
      <x:c r="C3549" s="274" t="n">
        <x:v>0</x:v>
      </x:c>
      <x:c r="D3549" s="274" t="n">
        <x:v>0</x:v>
      </x:c>
      <x:c r="F3549" s="274" t="s">
        <x:v>133</x:v>
      </x:c>
      <x:c r="G3549" s="274" t="s">
        <x:v>136</x:v>
      </x:c>
      <x:c r="H3549" s="274" t="n">
        <x:v>45</x:v>
      </x:c>
      <x:c r="I3549" s="274" t="n">
        <x:v>1.4</x:v>
      </x:c>
      <x:c r="J3549" s="274" t="n">
        <x:v>90</x:v>
      </x:c>
      <x:c r="K3549" s="274" t="n">
        <x:v>150</x:v>
      </x:c>
      <x:c r="M3549" s="274" t="s">
        <x:v>5618</x:v>
      </x:c>
      <x:c r="N3549" s="274" t="s">
        <x:v>3671</x:v>
      </x:c>
    </x:row>
    <x:row r="3550" spans="1:14">
      <x:c r="A3550" s="274" t="s">
        <x:v>6672</x:v>
      </x:c>
      <x:c r="B3550" s="274" t="n">
        <x:v>2.73</x:v>
      </x:c>
      <x:c r="C3550" s="274" t="n">
        <x:v>0</x:v>
      </x:c>
      <x:c r="D3550" s="274" t="n">
        <x:v>0</x:v>
      </x:c>
      <x:c r="F3550" s="274" t="s">
        <x:v>333</x:v>
      </x:c>
      <x:c r="G3550" s="274" t="s">
        <x:v>334</x:v>
      </x:c>
      <x:c r="I3550" s="274" t="n">
        <x:v>1.6</x:v>
      </x:c>
      <x:c r="J3550" s="274" t="n">
        <x:v>870</x:v>
      </x:c>
      <x:c r="K3550" s="274" t="n">
        <x:v>250</x:v>
      </x:c>
      <x:c r="M3550" s="274" t="s">
        <x:v>6673</x:v>
      </x:c>
      <x:c r="N3550" s="274" t="s">
        <x:v>3671</x:v>
      </x:c>
    </x:row>
    <x:row r="3551" spans="1:14">
      <x:c r="A3551" s="274" t="s">
        <x:v>6674</x:v>
      </x:c>
      <x:c r="B3551" s="274" t="n">
        <x:v>1.74</x:v>
      </x:c>
      <x:c r="C3551" s="274" t="n">
        <x:v>0</x:v>
      </x:c>
      <x:c r="D3551" s="274" t="n">
        <x:v>0</x:v>
      </x:c>
      <x:c r="F3551" s="274" t="s">
        <x:v>123</x:v>
      </x:c>
      <x:c r="G3551" s="274" t="s">
        <x:v>881</x:v>
      </x:c>
      <x:c r="H3551" s="274" t="n">
        <x:v>45</x:v>
      </x:c>
      <x:c r="I3551" s="274" t="n">
        <x:v>1.6</x:v>
      </x:c>
      <x:c r="J3551" s="274" t="n">
        <x:v>477</x:v>
      </x:c>
      <x:c r="K3551" s="274" t="n">
        <x:v>289</x:v>
      </x:c>
      <x:c r="M3551" s="274" t="s">
        <x:v>6675</x:v>
      </x:c>
      <x:c r="N3551" s="274" t="s">
        <x:v>3671</x:v>
      </x:c>
    </x:row>
    <x:row r="3552" spans="1:14">
      <x:c r="A3552" s="274" t="s">
        <x:v>6676</x:v>
      </x:c>
      <x:c r="B3552" s="274" t="n">
        <x:v>4.71</x:v>
      </x:c>
      <x:c r="C3552" s="274" t="n">
        <x:v>0</x:v>
      </x:c>
      <x:c r="D3552" s="274" t="n">
        <x:v>0</x:v>
      </x:c>
      <x:c r="F3552" s="274" t="s">
        <x:v>123</x:v>
      </x:c>
      <x:c r="G3552" s="274" t="s">
        <x:v>129</x:v>
      </x:c>
      <x:c r="H3552" s="274" t="n">
        <x:v>45</x:v>
      </x:c>
      <x:c r="I3552" s="274" t="n">
        <x:v>1.6</x:v>
      </x:c>
      <x:c r="J3552" s="274" t="n">
        <x:v>310</x:v>
      </x:c>
      <x:c r="K3552" s="274" t="n">
        <x:v>1200</x:v>
      </x:c>
      <x:c r="M3552" s="274" t="s">
        <x:v>6677</x:v>
      </x:c>
      <x:c r="N3552" s="274" t="s">
        <x:v>3671</x:v>
      </x:c>
    </x:row>
    <x:row r="3553" spans="1:14">
      <x:c r="A3553" s="274" t="s">
        <x:v>6678</x:v>
      </x:c>
      <x:c r="B3553" s="274" t="n">
        <x:v>1.13</x:v>
      </x:c>
      <x:c r="C3553" s="274" t="n">
        <x:v>0</x:v>
      </x:c>
      <x:c r="D3553" s="274" t="n">
        <x:v>0</x:v>
      </x:c>
      <x:c r="F3553" s="274" t="s">
        <x:v>123</x:v>
      </x:c>
      <x:c r="G3553" s="274" t="s">
        <x:v>129</x:v>
      </x:c>
      <x:c r="H3553" s="274" t="n">
        <x:v>45</x:v>
      </x:c>
      <x:c r="I3553" s="274" t="n">
        <x:v>1.6</x:v>
      </x:c>
      <x:c r="J3553" s="274" t="n">
        <x:v>568</x:v>
      </x:c>
      <x:c r="K3553" s="274" t="n">
        <x:v>157</x:v>
      </x:c>
      <x:c r="M3553" s="274" t="s">
        <x:v>5998</x:v>
      </x:c>
      <x:c r="N3553" s="274" t="s">
        <x:v>3671</x:v>
      </x:c>
    </x:row>
    <x:row r="3554" spans="1:14">
      <x:c r="A3554" s="274" t="s">
        <x:v>6679</x:v>
      </x:c>
      <x:c r="B3554" s="274" t="n">
        <x:v>1.16</x:v>
      </x:c>
      <x:c r="C3554" s="274" t="n">
        <x:v>0</x:v>
      </x:c>
      <x:c r="D3554" s="274" t="n">
        <x:v>0</x:v>
      </x:c>
      <x:c r="F3554" s="274" t="s">
        <x:v>333</x:v>
      </x:c>
      <x:c r="G3554" s="274" t="s">
        <x:v>153</x:v>
      </x:c>
      <x:c r="I3554" s="274" t="n">
        <x:v>1.6</x:v>
      </x:c>
      <x:c r="J3554" s="274" t="n">
        <x:v>530</x:v>
      </x:c>
      <x:c r="K3554" s="274" t="n">
        <x:v>175</x:v>
      </x:c>
      <x:c r="M3554" s="274" t="s">
        <x:v>6680</x:v>
      </x:c>
      <x:c r="N3554" s="274" t="s">
        <x:v>3671</x:v>
      </x:c>
    </x:row>
    <x:row r="3555" spans="1:14">
      <x:c r="A3555" s="274" t="s">
        <x:v>6681</x:v>
      </x:c>
      <x:c r="B3555" s="274" t="n">
        <x:v>1.64</x:v>
      </x:c>
      <x:c r="C3555" s="274" t="n">
        <x:v>0</x:v>
      </x:c>
      <x:c r="D3555" s="274" t="n">
        <x:v>0</x:v>
      </x:c>
      <x:c r="F3555" s="274" t="s">
        <x:v>123</x:v>
      </x:c>
      <x:c r="G3555" s="274" t="s">
        <x:v>129</x:v>
      </x:c>
      <x:c r="H3555" s="274" t="n">
        <x:v>45</x:v>
      </x:c>
      <x:c r="I3555" s="274" t="n">
        <x:v>1.8</x:v>
      </x:c>
      <x:c r="J3555" s="274" t="n">
        <x:v>215</x:v>
      </x:c>
      <x:c r="K3555" s="274" t="n">
        <x:v>535</x:v>
      </x:c>
      <x:c r="M3555" s="274" t="s">
        <x:v>6682</x:v>
      </x:c>
      <x:c r="N3555" s="274" t="s">
        <x:v>3671</x:v>
      </x:c>
    </x:row>
    <x:row r="3556" spans="1:14">
      <x:c r="A3556" s="274" t="s">
        <x:v>6683</x:v>
      </x:c>
      <x:c r="B3556" s="274" t="n">
        <x:v>1.41</x:v>
      </x:c>
      <x:c r="C3556" s="274" t="n">
        <x:v>0</x:v>
      </x:c>
      <x:c r="D3556" s="274" t="n">
        <x:v>0</x:v>
      </x:c>
      <x:c r="F3556" s="274" t="s">
        <x:v>128</x:v>
      </x:c>
      <x:c r="G3556" s="274" t="s">
        <x:v>3314</x:v>
      </x:c>
      <x:c r="H3556" s="274" t="n">
        <x:v>45</x:v>
      </x:c>
      <x:c r="I3556" s="274" t="n">
        <x:v>2</x:v>
      </x:c>
      <x:c r="J3556" s="274" t="n">
        <x:v>160</x:v>
      </x:c>
      <x:c r="K3556" s="274" t="n">
        <x:v>560</x:v>
      </x:c>
      <x:c r="M3556" s="274" t="s">
        <x:v>6014</x:v>
      </x:c>
      <x:c r="N3556" s="274" t="s">
        <x:v>3671</x:v>
      </x:c>
    </x:row>
    <x:row r="3557" spans="1:14">
      <x:c r="A3557" s="274" t="s">
        <x:v>6684</x:v>
      </x:c>
      <x:c r="B3557" s="274" t="n">
        <x:v>4.29</x:v>
      </x:c>
      <x:c r="C3557" s="274" t="n">
        <x:v>0</x:v>
      </x:c>
      <x:c r="D3557" s="274" t="n">
        <x:v>0</x:v>
      </x:c>
      <x:c r="F3557" s="274" t="s">
        <x:v>123</x:v>
      </x:c>
      <x:c r="G3557" s="274" t="s">
        <x:v>881</x:v>
      </x:c>
      <x:c r="H3557" s="274" t="n">
        <x:v>45</x:v>
      </x:c>
      <x:c r="I3557" s="274" t="n">
        <x:v>2</x:v>
      </x:c>
      <x:c r="J3557" s="274" t="n">
        <x:v>970</x:v>
      </x:c>
      <x:c r="K3557" s="274" t="n">
        <x:v>280</x:v>
      </x:c>
      <x:c r="M3557" s="274" t="s">
        <x:v>6020</x:v>
      </x:c>
      <x:c r="N3557" s="274" t="s">
        <x:v>3671</x:v>
      </x:c>
    </x:row>
    <x:row r="3558" spans="1:14">
      <x:c r="A3558" s="274" t="s">
        <x:v>6685</x:v>
      </x:c>
      <x:c r="B3558" s="274" t="n">
        <x:v>1.46</x:v>
      </x:c>
      <x:c r="C3558" s="274" t="n">
        <x:v>0</x:v>
      </x:c>
      <x:c r="D3558" s="274" t="n">
        <x:v>0</x:v>
      </x:c>
      <x:c r="F3558" s="274" t="s">
        <x:v>133</x:v>
      </x:c>
      <x:c r="G3558" s="274" t="s">
        <x:v>144</x:v>
      </x:c>
      <x:c r="H3558" s="274" t="n">
        <x:v>45</x:v>
      </x:c>
      <x:c r="I3558" s="274" t="n">
        <x:v>2</x:v>
      </x:c>
      <x:c r="J3558" s="274" t="n">
        <x:v>186</x:v>
      </x:c>
      <x:c r="K3558" s="274" t="n">
        <x:v>496</x:v>
      </x:c>
      <x:c r="M3558" s="274" t="s">
        <x:v>6686</x:v>
      </x:c>
      <x:c r="N3558" s="274" t="s">
        <x:v>3671</x:v>
      </x:c>
    </x:row>
    <x:row r="3559" spans="1:14">
      <x:c r="A3559" s="274" t="s">
        <x:v>6687</x:v>
      </x:c>
      <x:c r="B3559" s="274" t="n">
        <x:v>3.49</x:v>
      </x:c>
      <x:c r="C3559" s="274" t="n">
        <x:v>0</x:v>
      </x:c>
      <x:c r="D3559" s="274" t="n">
        <x:v>0</x:v>
      </x:c>
      <x:c r="F3559" s="274" t="s">
        <x:v>123</x:v>
      </x:c>
      <x:c r="G3559" s="274" t="s">
        <x:v>136</x:v>
      </x:c>
      <x:c r="H3559" s="274" t="n">
        <x:v>45</x:v>
      </x:c>
      <x:c r="I3559" s="274" t="n">
        <x:v>2.3</x:v>
      </x:c>
      <x:c r="J3559" s="274" t="n">
        <x:v>248</x:v>
      </x:c>
      <x:c r="K3559" s="274" t="n">
        <x:v>775</x:v>
      </x:c>
      <x:c r="M3559" s="274" t="s">
        <x:v>6022</x:v>
      </x:c>
      <x:c r="N3559" s="274" t="s">
        <x:v>3671</x:v>
      </x:c>
    </x:row>
    <x:row r="3560" spans="1:14">
      <x:c r="A3560" s="274" t="s">
        <x:v>6688</x:v>
      </x:c>
      <x:c r="B3560" s="274" t="n">
        <x:v>4.4</x:v>
      </x:c>
      <x:c r="C3560" s="274" t="n">
        <x:v>0</x:v>
      </x:c>
      <x:c r="D3560" s="274" t="n">
        <x:v>45</x:v>
      </x:c>
      <x:c r="E3560" s="274" t="n">
        <x:v>40</x:v>
      </x:c>
      <x:c r="F3560" s="274" t="s">
        <x:v>333</x:v>
      </x:c>
      <x:c r="G3560" s="274" t="s">
        <x:v>334</x:v>
      </x:c>
      <x:c r="I3560" s="274" t="n">
        <x:v>1.6</x:v>
      </x:c>
      <x:c r="J3560" s="274" t="n">
        <x:v>1000</x:v>
      </x:c>
      <x:c r="K3560" s="274" t="n">
        <x:v>350</x:v>
      </x:c>
      <x:c r="M3560" s="274" t="s">
        <x:v>5992</x:v>
      </x:c>
      <x:c r="N3560" s="274" t="s">
        <x:v>3671</x:v>
      </x:c>
    </x:row>
    <x:row r="3561" spans="1:14">
      <x:c r="A3561" s="274" t="s">
        <x:v>6689</x:v>
      </x:c>
      <x:c r="B3561" s="274" t="n">
        <x:v>0.46</x:v>
      </x:c>
      <x:c r="C3561" s="274" t="n">
        <x:v>0</x:v>
      </x:c>
      <x:c r="D3561" s="274" t="n">
        <x:v>0</x:v>
      </x:c>
      <x:c r="F3561" s="274" t="s">
        <x:v>133</x:v>
      </x:c>
      <x:c r="G3561" s="274" t="s">
        <x:v>136</x:v>
      </x:c>
      <x:c r="H3561" s="274" t="n">
        <x:v>45</x:v>
      </x:c>
      <x:c r="I3561" s="274" t="n">
        <x:v>0.75</x:v>
      </x:c>
      <x:c r="J3561" s="274" t="n">
        <x:v>418</x:v>
      </x:c>
      <x:c r="K3561" s="274" t="n">
        <x:v>183</x:v>
      </x:c>
      <x:c r="M3561" s="274" t="s">
        <x:v>6690</x:v>
      </x:c>
      <x:c r="N3561" s="274" t="s">
        <x:v>3671</x:v>
      </x:c>
    </x:row>
    <x:row r="3562" spans="1:14">
      <x:c r="A3562" s="274" t="s">
        <x:v>6691</x:v>
      </x:c>
      <x:c r="B3562" s="274" t="n">
        <x:v>0.38</x:v>
      </x:c>
      <x:c r="C3562" s="274" t="n">
        <x:v>0</x:v>
      </x:c>
      <x:c r="D3562" s="274" t="n">
        <x:v>0</x:v>
      </x:c>
      <x:c r="F3562" s="274" t="s">
        <x:v>133</x:v>
      </x:c>
      <x:c r="G3562" s="274" t="s">
        <x:v>136</x:v>
      </x:c>
      <x:c r="H3562" s="274" t="n">
        <x:v>45</x:v>
      </x:c>
      <x:c r="I3562" s="274" t="n">
        <x:v>0.75</x:v>
      </x:c>
      <x:c r="J3562" s="274" t="n">
        <x:v>134</x:v>
      </x:c>
      <x:c r="K3562" s="274" t="n">
        <x:v>474</x:v>
      </x:c>
      <x:c r="M3562" s="274" t="s">
        <x:v>5511</x:v>
      </x:c>
      <x:c r="N3562" s="274" t="s">
        <x:v>3671</x:v>
      </x:c>
    </x:row>
    <x:row r="3563" spans="1:14">
      <x:c r="A3563" s="274" t="s">
        <x:v>6692</x:v>
      </x:c>
      <x:c r="B3563" s="274" t="n">
        <x:v>0.54</x:v>
      </x:c>
      <x:c r="C3563" s="274" t="n">
        <x:v>0</x:v>
      </x:c>
      <x:c r="D3563" s="274" t="n">
        <x:v>0</x:v>
      </x:c>
      <x:c r="F3563" s="274" t="s">
        <x:v>133</x:v>
      </x:c>
      <x:c r="G3563" s="274" t="s">
        <x:v>136</x:v>
      </x:c>
      <x:c r="H3563" s="274" t="n">
        <x:v>45</x:v>
      </x:c>
      <x:c r="I3563" s="274" t="n">
        <x:v>0.75</x:v>
      </x:c>
      <x:c r="J3563" s="274" t="n">
        <x:v>167</x:v>
      </x:c>
      <x:c r="K3563" s="274" t="n">
        <x:v>538</x:v>
      </x:c>
      <x:c r="M3563" s="274" t="s">
        <x:v>5513</x:v>
      </x:c>
      <x:c r="N3563" s="274" t="s">
        <x:v>3671</x:v>
      </x:c>
    </x:row>
    <x:row r="3564" spans="1:14">
      <x:c r="A3564" s="274" t="s">
        <x:v>6693</x:v>
      </x:c>
      <x:c r="B3564" s="274" t="n">
        <x:v>2.24</x:v>
      </x:c>
      <x:c r="C3564" s="274" t="n">
        <x:v>0</x:v>
      </x:c>
      <x:c r="D3564" s="274" t="n">
        <x:v>0</x:v>
      </x:c>
      <x:c r="F3564" s="274" t="s">
        <x:v>123</x:v>
      </x:c>
      <x:c r="G3564" s="274" t="s">
        <x:v>129</x:v>
      </x:c>
      <x:c r="H3564" s="274" t="n">
        <x:v>45</x:v>
      </x:c>
      <x:c r="I3564" s="274" t="n">
        <x:v>1</x:v>
      </x:c>
      <x:c r="J3564" s="274" t="n">
        <x:v>226</x:v>
      </x:c>
      <x:c r="K3564" s="274" t="n">
        <x:v>1250</x:v>
      </x:c>
      <x:c r="M3564" s="274" t="s">
        <x:v>5855</x:v>
      </x:c>
      <x:c r="N3564" s="274" t="s">
        <x:v>3671</x:v>
      </x:c>
    </x:row>
    <x:row r="3565" spans="1:14">
      <x:c r="A3565" s="274" t="s">
        <x:v>6694</x:v>
      </x:c>
      <x:c r="B3565" s="274" t="n">
        <x:v>0.81</x:v>
      </x:c>
      <x:c r="C3565" s="274" t="n">
        <x:v>0</x:v>
      </x:c>
      <x:c r="D3565" s="274" t="n">
        <x:v>0</x:v>
      </x:c>
      <x:c r="F3565" s="274" t="s">
        <x:v>123</x:v>
      </x:c>
      <x:c r="G3565" s="274" t="s">
        <x:v>129</x:v>
      </x:c>
      <x:c r="H3565" s="274" t="n">
        <x:v>45</x:v>
      </x:c>
      <x:c r="I3565" s="274" t="n">
        <x:v>1</x:v>
      </x:c>
      <x:c r="J3565" s="274" t="n">
        <x:v>147</x:v>
      </x:c>
      <x:c r="K3565" s="274" t="n">
        <x:v>698</x:v>
      </x:c>
      <x:c r="M3565" s="274" t="s">
        <x:v>5863</x:v>
      </x:c>
      <x:c r="N3565" s="274" t="s">
        <x:v>3671</x:v>
      </x:c>
    </x:row>
    <x:row r="3566" spans="1:14">
      <x:c r="A3566" s="274" t="s">
        <x:v>6695</x:v>
      </x:c>
      <x:c r="B3566" s="274" t="n">
        <x:v>0.21</x:v>
      </x:c>
      <x:c r="C3566" s="274" t="n">
        <x:v>0</x:v>
      </x:c>
      <x:c r="D3566" s="274" t="n">
        <x:v>0</x:v>
      </x:c>
      <x:c r="F3566" s="274" t="s">
        <x:v>123</x:v>
      </x:c>
      <x:c r="G3566" s="274" t="s">
        <x:v>129</x:v>
      </x:c>
      <x:c r="H3566" s="274" t="n">
        <x:v>45</x:v>
      </x:c>
      <x:c r="I3566" s="274" t="n">
        <x:v>1</x:v>
      </x:c>
      <x:c r="J3566" s="274" t="n">
        <x:v>160</x:v>
      </x:c>
      <x:c r="K3566" s="274" t="n">
        <x:v>162</x:v>
      </x:c>
      <x:c r="M3566" s="274" t="s">
        <x:v>5865</x:v>
      </x:c>
      <x:c r="N3566" s="274" t="s">
        <x:v>3671</x:v>
      </x:c>
    </x:row>
    <x:row r="3567" spans="1:14">
      <x:c r="A3567" s="274" t="s">
        <x:v>6696</x:v>
      </x:c>
      <x:c r="B3567" s="274" t="n">
        <x:v>3.69</x:v>
      </x:c>
      <x:c r="C3567" s="274" t="n">
        <x:v>0</x:v>
      </x:c>
      <x:c r="D3567" s="274" t="n">
        <x:v>0</x:v>
      </x:c>
      <x:c r="F3567" s="274" t="s">
        <x:v>123</x:v>
      </x:c>
      <x:c r="G3567" s="274" t="s">
        <x:v>129</x:v>
      </x:c>
      <x:c r="H3567" s="274" t="n">
        <x:v>45</x:v>
      </x:c>
      <x:c r="I3567" s="274" t="n">
        <x:v>1</x:v>
      </x:c>
      <x:c r="J3567" s="274" t="n">
        <x:v>387</x:v>
      </x:c>
      <x:c r="K3567" s="274" t="n">
        <x:v>1200</x:v>
      </x:c>
      <x:c r="M3567" s="274" t="s">
        <x:v>5774</x:v>
      </x:c>
      <x:c r="N3567" s="274" t="s">
        <x:v>3671</x:v>
      </x:c>
    </x:row>
    <x:row r="3568" spans="1:14">
      <x:c r="A3568" s="274" t="s">
        <x:v>6697</x:v>
      </x:c>
      <x:c r="B3568" s="274" t="n">
        <x:v>0.35</x:v>
      </x:c>
      <x:c r="C3568" s="274" t="n">
        <x:v>0</x:v>
      </x:c>
      <x:c r="D3568" s="274" t="n">
        <x:v>0</x:v>
      </x:c>
      <x:c r="F3568" s="274" t="s">
        <x:v>133</x:v>
      </x:c>
      <x:c r="G3568" s="274" t="s">
        <x:v>136</x:v>
      </x:c>
      <x:c r="H3568" s="274" t="n">
        <x:v>45</x:v>
      </x:c>
      <x:c r="I3568" s="274" t="n">
        <x:v>1</x:v>
      </x:c>
      <x:c r="J3568" s="274" t="n">
        <x:v>334</x:v>
      </x:c>
      <x:c r="K3568" s="274" t="n">
        <x:v>132</x:v>
      </x:c>
      <x:c r="M3568" s="274" t="s">
        <x:v>6698</x:v>
      </x:c>
      <x:c r="N3568" s="274" t="s">
        <x:v>3671</x:v>
      </x:c>
    </x:row>
    <x:row r="3569" spans="1:14">
      <x:c r="A3569" s="274" t="s">
        <x:v>6699</x:v>
      </x:c>
      <x:c r="B3569" s="274" t="n">
        <x:v>0.65</x:v>
      </x:c>
      <x:c r="C3569" s="274" t="n">
        <x:v>0</x:v>
      </x:c>
      <x:c r="D3569" s="274" t="n">
        <x:v>0</x:v>
      </x:c>
      <x:c r="F3569" s="274" t="s">
        <x:v>133</x:v>
      </x:c>
      <x:c r="G3569" s="274" t="s">
        <x:v>136</x:v>
      </x:c>
      <x:c r="H3569" s="274" t="n">
        <x:v>45</x:v>
      </x:c>
      <x:c r="I3569" s="274" t="n">
        <x:v>1</x:v>
      </x:c>
      <x:c r="J3569" s="274" t="n">
        <x:v>225</x:v>
      </x:c>
      <x:c r="K3569" s="274" t="n">
        <x:v>365</x:v>
      </x:c>
      <x:c r="M3569" s="274" t="s">
        <x:v>6700</x:v>
      </x:c>
      <x:c r="N3569" s="274" t="s">
        <x:v>3671</x:v>
      </x:c>
    </x:row>
    <x:row r="3570" spans="1:14">
      <x:c r="A3570" s="274" t="s">
        <x:v>6701</x:v>
      </x:c>
      <x:c r="B3570" s="274" t="n">
        <x:v>0.71</x:v>
      </x:c>
      <x:c r="C3570" s="274" t="n">
        <x:v>0</x:v>
      </x:c>
      <x:c r="D3570" s="274" t="n">
        <x:v>0</x:v>
      </x:c>
      <x:c r="F3570" s="274" t="s">
        <x:v>133</x:v>
      </x:c>
      <x:c r="G3570" s="274" t="s">
        <x:v>136</x:v>
      </x:c>
      <x:c r="H3570" s="274" t="n">
        <x:v>45</x:v>
      </x:c>
      <x:c r="I3570" s="274" t="n">
        <x:v>1</x:v>
      </x:c>
      <x:c r="J3570" s="274" t="n">
        <x:v>175</x:v>
      </x:c>
      <x:c r="K3570" s="274" t="n">
        <x:v>510</x:v>
      </x:c>
      <x:c r="M3570" s="274" t="s">
        <x:v>5602</x:v>
      </x:c>
      <x:c r="N3570" s="274" t="s">
        <x:v>3671</x:v>
      </x:c>
    </x:row>
    <x:row r="3571" spans="1:14">
      <x:c r="A3571" s="274" t="s">
        <x:v>6702</x:v>
      </x:c>
      <x:c r="B3571" s="274" t="n">
        <x:v>0.44</x:v>
      </x:c>
      <x:c r="C3571" s="274" t="n">
        <x:v>0</x:v>
      </x:c>
      <x:c r="D3571" s="274" t="n">
        <x:v>0</x:v>
      </x:c>
      <x:c r="F3571" s="274" t="s">
        <x:v>333</x:v>
      </x:c>
      <x:c r="G3571" s="274" t="s">
        <x:v>124</x:v>
      </x:c>
      <x:c r="I3571" s="274" t="n">
        <x:v>1.2</x:v>
      </x:c>
      <x:c r="J3571" s="274" t="n">
        <x:v>110</x:v>
      </x:c>
      <x:c r="K3571" s="274" t="n">
        <x:v>420</x:v>
      </x:c>
      <x:c r="M3571" s="274" t="s">
        <x:v>4839</x:v>
      </x:c>
      <x:c r="N3571" s="274" t="s">
        <x:v>3671</x:v>
      </x:c>
    </x:row>
    <x:row r="3572" spans="1:14">
      <x:c r="A3572" s="274" t="s">
        <x:v>6703</x:v>
      </x:c>
      <x:c r="B3572" s="274" t="n">
        <x:v>1.15</x:v>
      </x:c>
      <x:c r="C3572" s="274" t="n">
        <x:v>0</x:v>
      </x:c>
      <x:c r="D3572" s="274" t="n">
        <x:v>0</x:v>
      </x:c>
      <x:c r="F3572" s="274" t="s">
        <x:v>333</x:v>
      </x:c>
      <x:c r="G3572" s="274" t="s">
        <x:v>124</x:v>
      </x:c>
      <x:c r="I3572" s="274" t="n">
        <x:v>1.2</x:v>
      </x:c>
      <x:c r="J3572" s="274" t="n">
        <x:v>230</x:v>
      </x:c>
      <x:c r="K3572" s="274" t="n">
        <x:v>530</x:v>
      </x:c>
      <x:c r="M3572" s="274" t="s">
        <x:v>4843</x:v>
      </x:c>
      <x:c r="N3572" s="274" t="s">
        <x:v>3671</x:v>
      </x:c>
    </x:row>
    <x:row r="3573" spans="1:14">
      <x:c r="A3573" s="274" t="s">
        <x:v>6704</x:v>
      </x:c>
      <x:c r="B3573" s="274" t="n">
        <x:v>1.38</x:v>
      </x:c>
      <x:c r="C3573" s="274" t="n">
        <x:v>0</x:v>
      </x:c>
      <x:c r="D3573" s="274" t="n">
        <x:v>0</x:v>
      </x:c>
      <x:c r="F3573" s="274" t="s">
        <x:v>333</x:v>
      </x:c>
      <x:c r="G3573" s="274" t="s">
        <x:v>124</x:v>
      </x:c>
      <x:c r="I3573" s="274" t="n">
        <x:v>1.2</x:v>
      </x:c>
      <x:c r="J3573" s="274" t="n">
        <x:v>245</x:v>
      </x:c>
      <x:c r="K3573" s="274" t="n">
        <x:v>598</x:v>
      </x:c>
      <x:c r="M3573" s="274" t="s">
        <x:v>6705</x:v>
      </x:c>
      <x:c r="N3573" s="274" t="s">
        <x:v>3671</x:v>
      </x:c>
    </x:row>
    <x:row r="3574" spans="1:14">
      <x:c r="A3574" s="274" t="s">
        <x:v>6706</x:v>
      </x:c>
      <x:c r="B3574" s="274" t="n">
        <x:v>1.33</x:v>
      </x:c>
      <x:c r="C3574" s="274" t="n">
        <x:v>0</x:v>
      </x:c>
      <x:c r="D3574" s="274" t="n">
        <x:v>0</x:v>
      </x:c>
      <x:c r="F3574" s="274" t="s">
        <x:v>333</x:v>
      </x:c>
      <x:c r="G3574" s="274" t="s">
        <x:v>124</x:v>
      </x:c>
      <x:c r="I3574" s="274" t="n">
        <x:v>1.2</x:v>
      </x:c>
      <x:c r="J3574" s="274" t="n">
        <x:v>250</x:v>
      </x:c>
      <x:c r="K3574" s="274" t="n">
        <x:v>565</x:v>
      </x:c>
      <x:c r="M3574" s="274" t="s">
        <x:v>6707</x:v>
      </x:c>
      <x:c r="N3574" s="274" t="s">
        <x:v>3671</x:v>
      </x:c>
    </x:row>
    <x:row r="3575" spans="1:14">
      <x:c r="A3575" s="274" t="s">
        <x:v>6708</x:v>
      </x:c>
      <x:c r="B3575" s="274" t="n">
        <x:v>1.35</x:v>
      </x:c>
      <x:c r="C3575" s="274" t="n">
        <x:v>0</x:v>
      </x:c>
      <x:c r="D3575" s="274" t="n">
        <x:v>0</x:v>
      </x:c>
      <x:c r="F3575" s="274" t="s">
        <x:v>123</x:v>
      </x:c>
      <x:c r="G3575" s="274" t="s">
        <x:v>129</x:v>
      </x:c>
      <x:c r="H3575" s="274" t="n">
        <x:v>45</x:v>
      </x:c>
      <x:c r="I3575" s="274" t="n">
        <x:v>1.4</x:v>
      </x:c>
      <x:c r="J3575" s="274" t="n">
        <x:v>470</x:v>
      </x:c>
      <x:c r="K3575" s="274" t="n">
        <x:v>260</x:v>
      </x:c>
      <x:c r="M3575" s="274" t="s">
        <x:v>5956</x:v>
      </x:c>
      <x:c r="N3575" s="274" t="s">
        <x:v>3671</x:v>
      </x:c>
    </x:row>
    <x:row r="3576" spans="1:14">
      <x:c r="A3576" s="274" t="s">
        <x:v>6709</x:v>
      </x:c>
      <x:c r="B3576" s="274" t="n">
        <x:v>0.41</x:v>
      </x:c>
      <x:c r="C3576" s="274" t="n">
        <x:v>0</x:v>
      </x:c>
      <x:c r="D3576" s="274" t="n">
        <x:v>0</x:v>
      </x:c>
      <x:c r="F3576" s="274" t="s">
        <x:v>123</x:v>
      </x:c>
      <x:c r="G3576" s="274" t="s">
        <x:v>129</x:v>
      </x:c>
      <x:c r="H3576" s="274" t="n">
        <x:v>45</x:v>
      </x:c>
      <x:c r="I3576" s="274" t="n">
        <x:v>1.4</x:v>
      </x:c>
      <x:c r="J3576" s="274" t="n">
        <x:v>153</x:v>
      </x:c>
      <x:c r="K3576" s="274" t="n">
        <x:v>240</x:v>
      </x:c>
      <x:c r="M3576" s="274" t="s">
        <x:v>5958</x:v>
      </x:c>
      <x:c r="N3576" s="274" t="s">
        <x:v>3671</x:v>
      </x:c>
    </x:row>
    <x:row r="3577" spans="1:14">
      <x:c r="A3577" s="274" t="s">
        <x:v>6710</x:v>
      </x:c>
      <x:c r="B3577" s="274" t="n">
        <x:v>0.46</x:v>
      </x:c>
      <x:c r="C3577" s="274" t="n">
        <x:v>0</x:v>
      </x:c>
      <x:c r="D3577" s="274" t="n">
        <x:v>0</x:v>
      </x:c>
      <x:c r="F3577" s="274" t="s">
        <x:v>123</x:v>
      </x:c>
      <x:c r="G3577" s="274" t="s">
        <x:v>129</x:v>
      </x:c>
      <x:c r="H3577" s="274" t="n">
        <x:v>45</x:v>
      </x:c>
      <x:c r="I3577" s="274" t="n">
        <x:v>1.4</x:v>
      </x:c>
      <x:c r="J3577" s="274" t="n">
        <x:v>122</x:v>
      </x:c>
      <x:c r="K3577" s="274" t="n">
        <x:v>340</x:v>
      </x:c>
      <x:c r="M3577" s="274" t="s">
        <x:v>5960</x:v>
      </x:c>
      <x:c r="N3577" s="274" t="s">
        <x:v>3671</x:v>
      </x:c>
    </x:row>
    <x:row r="3578" spans="1:14">
      <x:c r="A3578" s="274" t="s">
        <x:v>6711</x:v>
      </x:c>
      <x:c r="B3578" s="274" t="n">
        <x:v>0.68</x:v>
      </x:c>
      <x:c r="C3578" s="274" t="n">
        <x:v>0</x:v>
      </x:c>
      <x:c r="D3578" s="274" t="n">
        <x:v>0</x:v>
      </x:c>
      <x:c r="F3578" s="274" t="s">
        <x:v>123</x:v>
      </x:c>
      <x:c r="G3578" s="274" t="s">
        <x:v>129</x:v>
      </x:c>
      <x:c r="H3578" s="274" t="n">
        <x:v>45</x:v>
      </x:c>
      <x:c r="I3578" s="274" t="n">
        <x:v>1.4</x:v>
      </x:c>
      <x:c r="J3578" s="274" t="n">
        <x:v>123</x:v>
      </x:c>
      <x:c r="K3578" s="274" t="n">
        <x:v>498</x:v>
      </x:c>
      <x:c r="M3578" s="274" t="s">
        <x:v>5962</x:v>
      </x:c>
      <x:c r="N3578" s="274" t="s">
        <x:v>3671</x:v>
      </x:c>
    </x:row>
    <x:row r="3579" spans="1:14">
      <x:c r="A3579" s="274" t="s">
        <x:v>6712</x:v>
      </x:c>
      <x:c r="B3579" s="274" t="n">
        <x:v>0.76</x:v>
      </x:c>
      <x:c r="C3579" s="274" t="n">
        <x:v>0</x:v>
      </x:c>
      <x:c r="D3579" s="274" t="n">
        <x:v>0</x:v>
      </x:c>
      <x:c r="F3579" s="274" t="s">
        <x:v>123</x:v>
      </x:c>
      <x:c r="G3579" s="274" t="s">
        <x:v>129</x:v>
      </x:c>
      <x:c r="H3579" s="274" t="n">
        <x:v>45</x:v>
      </x:c>
      <x:c r="I3579" s="274" t="n">
        <x:v>1.4</x:v>
      </x:c>
      <x:c r="J3579" s="274" t="n">
        <x:v>117</x:v>
      </x:c>
      <x:c r="K3579" s="274" t="n">
        <x:v>590</x:v>
      </x:c>
      <x:c r="M3579" s="274" t="s">
        <x:v>5966</x:v>
      </x:c>
      <x:c r="N3579" s="274" t="s">
        <x:v>3671</x:v>
      </x:c>
    </x:row>
    <x:row r="3580" spans="1:14">
      <x:c r="A3580" s="274" t="s">
        <x:v>6713</x:v>
      </x:c>
      <x:c r="B3580" s="274" t="n">
        <x:v>0.91</x:v>
      </x:c>
      <x:c r="C3580" s="274" t="n">
        <x:v>0</x:v>
      </x:c>
      <x:c r="D3580" s="274" t="n">
        <x:v>0</x:v>
      </x:c>
      <x:c r="F3580" s="274" t="s">
        <x:v>123</x:v>
      </x:c>
      <x:c r="G3580" s="274" t="s">
        <x:v>129</x:v>
      </x:c>
      <x:c r="H3580" s="274" t="n">
        <x:v>45</x:v>
      </x:c>
      <x:c r="I3580" s="274" t="n">
        <x:v>1.4</x:v>
      </x:c>
      <x:c r="J3580" s="274" t="n">
        <x:v>145</x:v>
      </x:c>
      <x:c r="K3580" s="274" t="n">
        <x:v>565</x:v>
      </x:c>
      <x:c r="M3580" s="274" t="s">
        <x:v>5968</x:v>
      </x:c>
      <x:c r="N3580" s="274" t="s">
        <x:v>3671</x:v>
      </x:c>
    </x:row>
    <x:row r="3581" spans="1:14">
      <x:c r="A3581" s="274" t="s">
        <x:v>6714</x:v>
      </x:c>
      <x:c r="B3581" s="274" t="n">
        <x:v>0.35</x:v>
      </x:c>
      <x:c r="C3581" s="274" t="n">
        <x:v>0</x:v>
      </x:c>
      <x:c r="D3581" s="274" t="n">
        <x:v>0</x:v>
      </x:c>
      <x:c r="F3581" s="274" t="s">
        <x:v>123</x:v>
      </x:c>
      <x:c r="G3581" s="274" t="s">
        <x:v>129</x:v>
      </x:c>
      <x:c r="H3581" s="274" t="n">
        <x:v>45</x:v>
      </x:c>
      <x:c r="I3581" s="274" t="n">
        <x:v>1.4</x:v>
      </x:c>
      <x:c r="J3581" s="274" t="n">
        <x:v>205</x:v>
      </x:c>
      <x:c r="K3581" s="274" t="n">
        <x:v>154</x:v>
      </x:c>
      <x:c r="M3581" s="274" t="s">
        <x:v>6715</x:v>
      </x:c>
      <x:c r="N3581" s="274" t="s">
        <x:v>3671</x:v>
      </x:c>
    </x:row>
    <x:row r="3582" spans="1:14">
      <x:c r="A3582" s="274" t="s">
        <x:v>6716</x:v>
      </x:c>
      <x:c r="B3582" s="274" t="n">
        <x:v>0.18</x:v>
      </x:c>
      <x:c r="C3582" s="274" t="n">
        <x:v>0</x:v>
      </x:c>
      <x:c r="D3582" s="274" t="n">
        <x:v>0</x:v>
      </x:c>
      <x:c r="F3582" s="274" t="s">
        <x:v>133</x:v>
      </x:c>
      <x:c r="G3582" s="274" t="s">
        <x:v>136</x:v>
      </x:c>
      <x:c r="H3582" s="274" t="n">
        <x:v>45</x:v>
      </x:c>
      <x:c r="I3582" s="274" t="n">
        <x:v>1.4</x:v>
      </x:c>
      <x:c r="J3582" s="274" t="n">
        <x:v>204</x:v>
      </x:c>
      <x:c r="K3582" s="274" t="n">
        <x:v>78</x:v>
      </x:c>
      <x:c r="M3582" s="274" t="s">
        <x:v>5398</x:v>
      </x:c>
      <x:c r="N3582" s="274" t="s">
        <x:v>3671</x:v>
      </x:c>
    </x:row>
    <x:row r="3583" spans="1:14">
      <x:c r="A3583" s="274" t="s">
        <x:v>6717</x:v>
      </x:c>
      <x:c r="B3583" s="274" t="n">
        <x:v>0.25</x:v>
      </x:c>
      <x:c r="C3583" s="274" t="n">
        <x:v>0</x:v>
      </x:c>
      <x:c r="D3583" s="274" t="n">
        <x:v>0</x:v>
      </x:c>
      <x:c r="F3583" s="274" t="s">
        <x:v>123</x:v>
      </x:c>
      <x:c r="G3583" s="274" t="s">
        <x:v>129</x:v>
      </x:c>
      <x:c r="H3583" s="274" t="n">
        <x:v>45</x:v>
      </x:c>
      <x:c r="I3583" s="274" t="n">
        <x:v>1.6</x:v>
      </x:c>
      <x:c r="J3583" s="274" t="n">
        <x:v>140</x:v>
      </x:c>
      <x:c r="K3583" s="274" t="n">
        <x:v>142</x:v>
      </x:c>
      <x:c r="M3583" s="274" t="s">
        <x:v>5986</x:v>
      </x:c>
      <x:c r="N3583" s="274" t="s">
        <x:v>3671</x:v>
      </x:c>
    </x:row>
    <x:row r="3584" spans="1:14">
      <x:c r="A3584" s="274" t="s">
        <x:v>6718</x:v>
      </x:c>
      <x:c r="B3584" s="274" t="n">
        <x:v>0.23</x:v>
      </x:c>
      <x:c r="C3584" s="274" t="n">
        <x:v>0</x:v>
      </x:c>
      <x:c r="D3584" s="274" t="n">
        <x:v>0</x:v>
      </x:c>
      <x:c r="F3584" s="274" t="s">
        <x:v>123</x:v>
      </x:c>
      <x:c r="G3584" s="274" t="s">
        <x:v>129</x:v>
      </x:c>
      <x:c r="H3584" s="274" t="n">
        <x:v>45</x:v>
      </x:c>
      <x:c r="I3584" s="274" t="n">
        <x:v>1.6</x:v>
      </x:c>
      <x:c r="J3584" s="274" t="n">
        <x:v>140</x:v>
      </x:c>
      <x:c r="K3584" s="274" t="n">
        <x:v>130</x:v>
      </x:c>
      <x:c r="M3584" s="274" t="s">
        <x:v>6000</x:v>
      </x:c>
      <x:c r="N3584" s="274" t="s">
        <x:v>3671</x:v>
      </x:c>
    </x:row>
    <x:row r="3585" spans="1:14">
      <x:c r="A3585" s="274" t="s">
        <x:v>6719</x:v>
      </x:c>
      <x:c r="B3585" s="274" t="n">
        <x:v>1.12</x:v>
      </x:c>
      <x:c r="C3585" s="274" t="n">
        <x:v>0</x:v>
      </x:c>
      <x:c r="D3585" s="274" t="n">
        <x:v>0</x:v>
      </x:c>
      <x:c r="F3585" s="274" t="s">
        <x:v>123</x:v>
      </x:c>
      <x:c r="G3585" s="274" t="s">
        <x:v>129</x:v>
      </x:c>
      <x:c r="H3585" s="274" t="n">
        <x:v>45</x:v>
      </x:c>
      <x:c r="I3585" s="274" t="n">
        <x:v>1.8</x:v>
      </x:c>
      <x:c r="J3585" s="274" t="n">
        <x:v>154</x:v>
      </x:c>
      <x:c r="K3585" s="274" t="n">
        <x:v>510</x:v>
      </x:c>
      <x:c r="M3585" s="274" t="s">
        <x:v>6010</x:v>
      </x:c>
      <x:c r="N3585" s="274" t="s">
        <x:v>3671</x:v>
      </x:c>
    </x:row>
    <x:row r="3586" spans="1:14">
      <x:c r="A3586" s="274" t="s">
        <x:v>6720</x:v>
      </x:c>
      <x:c r="B3586" s="274" t="n">
        <x:v>2.67</x:v>
      </x:c>
      <x:c r="C3586" s="274" t="n">
        <x:v>0</x:v>
      </x:c>
      <x:c r="D3586" s="274" t="n">
        <x:v>0</x:v>
      </x:c>
      <x:c r="F3586" s="274" t="s">
        <x:v>123</x:v>
      </x:c>
      <x:c r="G3586" s="274" t="s">
        <x:v>881</x:v>
      </x:c>
      <x:c r="H3586" s="274" t="n">
        <x:v>45</x:v>
      </x:c>
      <x:c r="I3586" s="274" t="n">
        <x:v>2</x:v>
      </x:c>
      <x:c r="J3586" s="274" t="n">
        <x:v>928</x:v>
      </x:c>
      <x:c r="K3586" s="274" t="n">
        <x:v>182</x:v>
      </x:c>
      <x:c r="M3586" s="274" t="s">
        <x:v>6016</x:v>
      </x:c>
      <x:c r="N3586" s="274" t="s">
        <x:v>3671</x:v>
      </x:c>
    </x:row>
    <x:row r="3587" spans="1:14">
      <x:c r="A3587" s="274" t="s">
        <x:v>6721</x:v>
      </x:c>
      <x:c r="B3587" s="274" t="n">
        <x:v>3.39</x:v>
      </x:c>
      <x:c r="C3587" s="274" t="n">
        <x:v>0</x:v>
      </x:c>
      <x:c r="D3587" s="274" t="n">
        <x:v>0</x:v>
      </x:c>
      <x:c r="F3587" s="274" t="s">
        <x:v>123</x:v>
      </x:c>
      <x:c r="G3587" s="274" t="s">
        <x:v>881</x:v>
      </x:c>
      <x:c r="H3587" s="274" t="n">
        <x:v>45</x:v>
      </x:c>
      <x:c r="I3587" s="274" t="n">
        <x:v>2</x:v>
      </x:c>
      <x:c r="J3587" s="274" t="n">
        <x:v>962</x:v>
      </x:c>
      <x:c r="K3587" s="274" t="n">
        <x:v>223</x:v>
      </x:c>
      <x:c r="M3587" s="274" t="s">
        <x:v>6018</x:v>
      </x:c>
      <x:c r="N3587" s="274" t="s">
        <x:v>3671</x:v>
      </x:c>
    </x:row>
    <x:row r="3588" spans="1:14">
      <x:c r="A3588" s="274" t="s">
        <x:v>6722</x:v>
      </x:c>
      <x:c r="B3588" s="274" t="n">
        <x:v>0.55</x:v>
      </x:c>
      <x:c r="C3588" s="274" t="n">
        <x:v>0</x:v>
      </x:c>
      <x:c r="D3588" s="274" t="n">
        <x:v>0</x:v>
      </x:c>
      <x:c r="F3588" s="274" t="s">
        <x:v>133</x:v>
      </x:c>
      <x:c r="G3588" s="274" t="s">
        <x:v>144</x:v>
      </x:c>
      <x:c r="H3588" s="274" t="n">
        <x:v>45</x:v>
      </x:c>
      <x:c r="I3588" s="274" t="n">
        <x:v>2</x:v>
      </x:c>
      <x:c r="J3588" s="274" t="n">
        <x:v>217</x:v>
      </x:c>
      <x:c r="K3588" s="274" t="n">
        <x:v>161</x:v>
      </x:c>
      <x:c r="M3588" s="274" t="s">
        <x:v>6723</x:v>
      </x:c>
      <x:c r="N3588" s="274" t="s">
        <x:v>3671</x:v>
      </x:c>
    </x:row>
    <x:row r="3589" spans="1:14">
      <x:c r="A3589" s="274" t="s">
        <x:v>6724</x:v>
      </x:c>
      <x:c r="B3589" s="274" t="n">
        <x:v>0.58</x:v>
      </x:c>
      <x:c r="C3589" s="274" t="n">
        <x:v>0</x:v>
      </x:c>
      <x:c r="D3589" s="274" t="n">
        <x:v>0</x:v>
      </x:c>
      <x:c r="F3589" s="274" t="s">
        <x:v>133</x:v>
      </x:c>
      <x:c r="G3589" s="274" t="s">
        <x:v>144</x:v>
      </x:c>
      <x:c r="H3589" s="274" t="n">
        <x:v>45</x:v>
      </x:c>
      <x:c r="I3589" s="274" t="n">
        <x:v>2</x:v>
      </x:c>
      <x:c r="J3589" s="274" t="n">
        <x:v>215</x:v>
      </x:c>
      <x:c r="K3589" s="274" t="n">
        <x:v>172</x:v>
      </x:c>
      <x:c r="M3589" s="274" t="s">
        <x:v>6725</x:v>
      </x:c>
      <x:c r="N3589" s="274" t="s">
        <x:v>3671</x:v>
      </x:c>
    </x:row>
    <x:row r="3590" spans="1:14">
      <x:c r="A3590" s="274" t="s">
        <x:v>6726</x:v>
      </x:c>
      <x:c r="B3590" s="274" t="n">
        <x:v>0.36</x:v>
      </x:c>
      <x:c r="C3590" s="274" t="n">
        <x:v>0</x:v>
      </x:c>
      <x:c r="D3590" s="274" t="n">
        <x:v>0</x:v>
      </x:c>
      <x:c r="F3590" s="274" t="s">
        <x:v>133</x:v>
      </x:c>
      <x:c r="G3590" s="274" t="s">
        <x:v>144</x:v>
      </x:c>
      <x:c r="H3590" s="274" t="n">
        <x:v>45</x:v>
      </x:c>
      <x:c r="I3590" s="274" t="n">
        <x:v>2</x:v>
      </x:c>
      <x:c r="J3590" s="274" t="n">
        <x:v>195</x:v>
      </x:c>
      <x:c r="K3590" s="274" t="n">
        <x:v>118</x:v>
      </x:c>
      <x:c r="M3590" s="274" t="s">
        <x:v>6727</x:v>
      </x:c>
      <x:c r="N3590" s="274" t="s">
        <x:v>3671</x:v>
      </x:c>
    </x:row>
    <x:row r="3591" spans="1:14">
      <x:c r="A3591" s="274" t="s">
        <x:v>6728</x:v>
      </x:c>
      <x:c r="B3591" s="274" t="n">
        <x:v>0.47</x:v>
      </x:c>
      <x:c r="C3591" s="274" t="n">
        <x:v>0</x:v>
      </x:c>
      <x:c r="D3591" s="274" t="n">
        <x:v>0</x:v>
      </x:c>
      <x:c r="F3591" s="274" t="s">
        <x:v>133</x:v>
      </x:c>
      <x:c r="G3591" s="274" t="s">
        <x:v>144</x:v>
      </x:c>
      <x:c r="H3591" s="274" t="n">
        <x:v>45</x:v>
      </x:c>
      <x:c r="I3591" s="274" t="n">
        <x:v>2</x:v>
      </x:c>
      <x:c r="J3591" s="274" t="n">
        <x:v>230</x:v>
      </x:c>
      <x:c r="K3591" s="274" t="n">
        <x:v>129</x:v>
      </x:c>
      <x:c r="M3591" s="274" t="s">
        <x:v>6729</x:v>
      </x:c>
      <x:c r="N3591" s="274" t="s">
        <x:v>3671</x:v>
      </x:c>
    </x:row>
    <x:row r="3592" spans="1:14">
      <x:c r="A3592" s="274" t="s">
        <x:v>6730</x:v>
      </x:c>
      <x:c r="B3592" s="274" t="n">
        <x:v>7.7</x:v>
      </x:c>
      <x:c r="C3592" s="274" t="n">
        <x:v>0</x:v>
      </x:c>
      <x:c r="D3592" s="274" t="n">
        <x:v>0</x:v>
      </x:c>
      <x:c r="F3592" s="274" t="s">
        <x:v>133</x:v>
      </x:c>
      <x:c r="G3592" s="274" t="s">
        <x:v>134</x:v>
      </x:c>
      <x:c r="I3592" s="274" t="n">
        <x:v>2.6</x:v>
      </x:c>
      <x:c r="J3592" s="274" t="n">
        <x:v>302</x:v>
      </x:c>
      <x:c r="K3592" s="274" t="n">
        <x:v>1250</x:v>
      </x:c>
      <x:c r="M3592" s="274" t="s">
        <x:v>4606</x:v>
      </x:c>
      <x:c r="N3592" s="274" t="s">
        <x:v>3671</x:v>
      </x:c>
    </x:row>
    <x:row r="3593" spans="1:14">
      <x:c r="A3593" s="274" t="s">
        <x:v>6731</x:v>
      </x:c>
      <x:c r="B3593" s="274" t="n">
        <x:v>1.01</x:v>
      </x:c>
      <x:c r="C3593" s="274" t="n">
        <x:v>26</x:v>
      </x:c>
      <x:c r="D3593" s="274" t="n">
        <x:v>36</x:v>
      </x:c>
      <x:c r="F3593" s="274" t="s">
        <x:v>311</x:v>
      </x:c>
      <x:c r="G3593" s="274" t="s">
        <x:v>828</x:v>
      </x:c>
      <x:c r="H3593" s="274" t="s">
        <x:v>837</x:v>
      </x:c>
      <x:c r="I3593" s="274" t="n">
        <x:v>0.8</x:v>
      </x:c>
      <x:c r="J3593" s="274" t="n">
        <x:v>380</x:v>
      </x:c>
      <x:c r="K3593" s="274" t="n">
        <x:v>420</x:v>
      </x:c>
      <x:c r="M3593" s="274" t="s">
        <x:v>3921</x:v>
      </x:c>
    </x:row>
    <x:row r="3594" spans="1:14">
      <x:c r="A3594" s="274" t="s">
        <x:v>6732</x:v>
      </x:c>
      <x:c r="B3594" s="274" t="n">
        <x:v>3.16</x:v>
      </x:c>
      <x:c r="C3594" s="274" t="n">
        <x:v>0</x:v>
      </x:c>
      <x:c r="D3594" s="274" t="n">
        <x:v>0</x:v>
      </x:c>
      <x:c r="F3594" s="274" t="s">
        <x:v>133</x:v>
      </x:c>
      <x:c r="G3594" s="274" t="s">
        <x:v>4329</x:v>
      </x:c>
      <x:c r="I3594" s="274" t="n">
        <x:v>2.6</x:v>
      </x:c>
      <x:c r="J3594" s="274" t="n">
        <x:v>129</x:v>
      </x:c>
      <x:c r="K3594" s="274" t="n">
        <x:v>1200</x:v>
      </x:c>
      <x:c r="M3594" s="274" t="s">
        <x:v>6733</x:v>
      </x:c>
      <x:c r="N3594" s="274" t="s">
        <x:v>5073</x:v>
      </x:c>
    </x:row>
    <x:row r="3595" spans="1:14">
      <x:c r="A3595" s="274" t="s">
        <x:v>6734</x:v>
      </x:c>
      <x:c r="B3595" s="274" t="n">
        <x:v>3.61</x:v>
      </x:c>
      <x:c r="C3595" s="274" t="n">
        <x:v>0</x:v>
      </x:c>
      <x:c r="D3595" s="274" t="n">
        <x:v>0</x:v>
      </x:c>
      <x:c r="F3595" s="274" t="s">
        <x:v>333</x:v>
      </x:c>
      <x:c r="G3595" s="274" t="s">
        <x:v>124</x:v>
      </x:c>
      <x:c r="I3595" s="274" t="n">
        <x:v>1.4</x:v>
      </x:c>
      <x:c r="J3595" s="274" t="n">
        <x:v>366</x:v>
      </x:c>
      <x:c r="K3595" s="274" t="n">
        <x:v>897</x:v>
      </x:c>
      <x:c r="M3595" s="274" t="s">
        <x:v>6735</x:v>
      </x:c>
      <x:c r="N3595" s="274" t="s">
        <x:v>3671</x:v>
      </x:c>
    </x:row>
    <x:row r="3596" spans="1:14">
      <x:c r="A3596" s="274" t="s">
        <x:v>6736</x:v>
      </x:c>
      <x:c r="B3596" s="274" t="n">
        <x:v>2.05</x:v>
      </x:c>
      <x:c r="C3596" s="274" t="n">
        <x:v>0</x:v>
      </x:c>
      <x:c r="D3596" s="274" t="n">
        <x:v>0</x:v>
      </x:c>
      <x:c r="F3596" s="274" t="s">
        <x:v>133</x:v>
      </x:c>
      <x:c r="G3596" s="274" t="s">
        <x:v>144</x:v>
      </x:c>
      <x:c r="H3596" s="274" t="n">
        <x:v>45</x:v>
      </x:c>
      <x:c r="I3596" s="274" t="n">
        <x:v>1.2</x:v>
      </x:c>
      <x:c r="J3596" s="274" t="n">
        <x:v>180</x:v>
      </x:c>
      <x:c r="K3596" s="274" t="n">
        <x:v>1200</x:v>
      </x:c>
      <x:c r="M3596" s="274" t="s">
        <x:v>4853</x:v>
      </x:c>
      <x:c r="N3596" s="274" t="s">
        <x:v>3671</x:v>
      </x:c>
    </x:row>
    <x:row r="3597" spans="1:14">
      <x:c r="A3597" s="274" t="s">
        <x:v>6737</x:v>
      </x:c>
      <x:c r="B3597" s="274" t="n">
        <x:v>2.8</x:v>
      </x:c>
      <x:c r="C3597" s="274" t="n">
        <x:v>0</x:v>
      </x:c>
      <x:c r="D3597" s="274" t="n">
        <x:v>0</x:v>
      </x:c>
      <x:c r="F3597" s="274" t="s">
        <x:v>133</x:v>
      </x:c>
      <x:c r="G3597" s="274" t="s">
        <x:v>144</x:v>
      </x:c>
      <x:c r="H3597" s="274" t="n">
        <x:v>45</x:v>
      </x:c>
      <x:c r="I3597" s="274" t="n">
        <x:v>1.2</x:v>
      </x:c>
      <x:c r="J3597" s="274" t="n">
        <x:v>245</x:v>
      </x:c>
      <x:c r="K3597" s="274" t="n">
        <x:v>1200</x:v>
      </x:c>
      <x:c r="M3597" s="274" t="s">
        <x:v>4855</x:v>
      </x:c>
      <x:c r="N3597" s="274" t="s">
        <x:v>3671</x:v>
      </x:c>
    </x:row>
    <x:row r="3598" spans="1:14">
      <x:c r="A3598" s="274" t="s">
        <x:v>6738</x:v>
      </x:c>
      <x:c r="B3598" s="274" t="n">
        <x:v>0.64</x:v>
      </x:c>
      <x:c r="C3598" s="274" t="n">
        <x:v>0</x:v>
      </x:c>
      <x:c r="D3598" s="274" t="n">
        <x:v>0</x:v>
      </x:c>
      <x:c r="F3598" s="274" t="s">
        <x:v>133</x:v>
      </x:c>
      <x:c r="G3598" s="274" t="s">
        <x:v>144</x:v>
      </x:c>
      <x:c r="H3598" s="274" t="n">
        <x:v>45</x:v>
      </x:c>
      <x:c r="I3598" s="274" t="n">
        <x:v>1.2</x:v>
      </x:c>
      <x:c r="J3598" s="274" t="n">
        <x:v>267</x:v>
      </x:c>
      <x:c r="K3598" s="274" t="n">
        <x:v>253</x:v>
      </x:c>
      <x:c r="M3598" s="274" t="s">
        <x:v>6739</x:v>
      </x:c>
      <x:c r="N3598" s="274" t="s">
        <x:v>3671</x:v>
      </x:c>
    </x:row>
    <x:row r="3599" spans="1:14">
      <x:c r="A3599" s="274" t="s">
        <x:v>6740</x:v>
      </x:c>
      <x:c r="B3599" s="274" t="n">
        <x:v>0.83</x:v>
      </x:c>
      <x:c r="C3599" s="274" t="n">
        <x:v>0</x:v>
      </x:c>
      <x:c r="D3599" s="274" t="n">
        <x:v>0</x:v>
      </x:c>
      <x:c r="F3599" s="274" t="s">
        <x:v>133</x:v>
      </x:c>
      <x:c r="G3599" s="274" t="s">
        <x:v>144</x:v>
      </x:c>
      <x:c r="H3599" s="274" t="n">
        <x:v>45</x:v>
      </x:c>
      <x:c r="I3599" s="274" t="n">
        <x:v>1.2</x:v>
      </x:c>
      <x:c r="J3599" s="274" t="n">
        <x:v>158</x:v>
      </x:c>
      <x:c r="K3599" s="274" t="n">
        <x:v>550</x:v>
      </x:c>
      <x:c r="M3599" s="274" t="s">
        <x:v>6741</x:v>
      </x:c>
      <x:c r="N3599" s="274" t="s">
        <x:v>3671</x:v>
      </x:c>
    </x:row>
    <x:row r="3600" spans="1:14">
      <x:c r="A3600" s="274" t="s">
        <x:v>6742</x:v>
      </x:c>
      <x:c r="B3600" s="274" t="n">
        <x:v>0.44</x:v>
      </x:c>
      <x:c r="C3600" s="274" t="n">
        <x:v>0</x:v>
      </x:c>
      <x:c r="D3600" s="274" t="n">
        <x:v>0</x:v>
      </x:c>
      <x:c r="F3600" s="274" t="s">
        <x:v>133</x:v>
      </x:c>
      <x:c r="G3600" s="274" t="s">
        <x:v>144</x:v>
      </x:c>
      <x:c r="H3600" s="274" t="n">
        <x:v>45</x:v>
      </x:c>
      <x:c r="I3600" s="274" t="n">
        <x:v>1.2</x:v>
      </x:c>
      <x:c r="J3600" s="274" t="n">
        <x:v>246</x:v>
      </x:c>
      <x:c r="K3600" s="274" t="n">
        <x:v>188</x:v>
      </x:c>
      <x:c r="M3600" s="274" t="s">
        <x:v>6743</x:v>
      </x:c>
      <x:c r="N3600" s="274" t="s">
        <x:v>3671</x:v>
      </x:c>
    </x:row>
    <x:row r="3601" spans="1:14">
      <x:c r="A3601" s="274" t="s">
        <x:v>6744</x:v>
      </x:c>
      <x:c r="B3601" s="274" t="n">
        <x:v>1.85</x:v>
      </x:c>
      <x:c r="C3601" s="274" t="n">
        <x:v>0</x:v>
      </x:c>
      <x:c r="D3601" s="274" t="n">
        <x:v>35</x:v>
      </x:c>
      <x:c r="E3601" s="274" t="n">
        <x:v>33</x:v>
      </x:c>
      <x:c r="F3601" s="274" t="s">
        <x:v>333</x:v>
      </x:c>
      <x:c r="G3601" s="274" t="s">
        <x:v>153</x:v>
      </x:c>
      <x:c r="I3601" s="274" t="n">
        <x:v>1.8</x:v>
      </x:c>
      <x:c r="J3601" s="274" t="n">
        <x:v>375</x:v>
      </x:c>
      <x:c r="K3601" s="274" t="n">
        <x:v>350</x:v>
      </x:c>
      <x:c r="M3601" s="274" t="s">
        <x:v>6745</x:v>
      </x:c>
      <x:c r="N3601" s="274" t="s">
        <x:v>3671</x:v>
      </x:c>
    </x:row>
    <x:row r="3602" spans="1:14">
      <x:c r="A3602" s="274" t="s">
        <x:v>6746</x:v>
      </x:c>
      <x:c r="B3602" s="274" t="n">
        <x:v>0.65</x:v>
      </x:c>
      <x:c r="C3602" s="274" t="n">
        <x:v>0</x:v>
      </x:c>
      <x:c r="D3602" s="274" t="n">
        <x:v>0</x:v>
      </x:c>
      <x:c r="F3602" s="274" t="s">
        <x:v>333</x:v>
      </x:c>
      <x:c r="G3602" s="274" t="s">
        <x:v>209</x:v>
      </x:c>
      <x:c r="I3602" s="274" t="n">
        <x:v>1.2</x:v>
      </x:c>
      <x:c r="J3602" s="274" t="n">
        <x:v>203</x:v>
      </x:c>
      <x:c r="K3602" s="274" t="n">
        <x:v>340</x:v>
      </x:c>
      <x:c r="M3602" s="274" t="s">
        <x:v>6747</x:v>
      </x:c>
      <x:c r="N3602" s="274" t="s">
        <x:v>3671</x:v>
      </x:c>
    </x:row>
    <x:row r="3603" spans="1:14">
      <x:c r="A3603" s="274" t="s">
        <x:v>6748</x:v>
      </x:c>
      <x:c r="B3603" s="274" t="n">
        <x:v>2.32</x:v>
      </x:c>
      <x:c r="C3603" s="274" t="n">
        <x:v>0</x:v>
      </x:c>
      <x:c r="D3603" s="274" t="n">
        <x:v>0</x:v>
      </x:c>
      <x:c r="F3603" s="274" t="s">
        <x:v>333</x:v>
      </x:c>
      <x:c r="G3603" s="274" t="s">
        <x:v>334</x:v>
      </x:c>
      <x:c r="I3603" s="274" t="n">
        <x:v>1.4</x:v>
      </x:c>
      <x:c r="J3603" s="274" t="n">
        <x:v>650</x:v>
      </x:c>
      <x:c r="K3603" s="274" t="n">
        <x:v>325</x:v>
      </x:c>
      <x:c r="M3603" s="274" t="s">
        <x:v>6749</x:v>
      </x:c>
      <x:c r="N3603" s="274" t="s">
        <x:v>3671</x:v>
      </x:c>
    </x:row>
    <x:row r="3604" spans="1:14">
      <x:c r="A3604" s="274" t="s">
        <x:v>6750</x:v>
      </x:c>
      <x:c r="B3604" s="274" t="n">
        <x:v>1.3</x:v>
      </x:c>
      <x:c r="C3604" s="274" t="n">
        <x:v>0</x:v>
      </x:c>
      <x:c r="D3604" s="274" t="n">
        <x:v>0</x:v>
      </x:c>
      <x:c r="F3604" s="274" t="s">
        <x:v>333</x:v>
      </x:c>
      <x:c r="G3604" s="274" t="s">
        <x:v>4663</x:v>
      </x:c>
      <x:c r="I3604" s="274" t="n">
        <x:v>1.2</x:v>
      </x:c>
      <x:c r="J3604" s="274" t="n">
        <x:v>110</x:v>
      </x:c>
      <x:c r="K3604" s="274" t="n">
        <x:v>1250</x:v>
      </x:c>
      <x:c r="M3604" s="274" t="s">
        <x:v>6751</x:v>
      </x:c>
      <x:c r="N3604" s="274" t="s">
        <x:v>5073</x:v>
      </x:c>
    </x:row>
    <x:row r="3605" spans="1:14">
      <x:c r="A3605" s="274" t="s">
        <x:v>6752</x:v>
      </x:c>
      <x:c r="B3605" s="274" t="n">
        <x:v>1.47</x:v>
      </x:c>
      <x:c r="C3605" s="274" t="n">
        <x:v>0</x:v>
      </x:c>
      <x:c r="D3605" s="274" t="n">
        <x:v>0</x:v>
      </x:c>
      <x:c r="F3605" s="274" t="s">
        <x:v>333</x:v>
      </x:c>
      <x:c r="G3605" s="274" t="s">
        <x:v>4663</x:v>
      </x:c>
      <x:c r="I3605" s="274" t="n">
        <x:v>1.2</x:v>
      </x:c>
      <x:c r="J3605" s="274" t="n">
        <x:v>125</x:v>
      </x:c>
      <x:c r="K3605" s="274" t="n">
        <x:v>1250</x:v>
      </x:c>
      <x:c r="M3605" s="274" t="s">
        <x:v>6753</x:v>
      </x:c>
      <x:c r="N3605" s="274" t="s">
        <x:v>5073</x:v>
      </x:c>
    </x:row>
    <x:row r="3606" spans="1:14">
      <x:c r="A3606" s="274" t="s">
        <x:v>6754</x:v>
      </x:c>
      <x:c r="B3606" s="274" t="n">
        <x:v>1.65</x:v>
      </x:c>
      <x:c r="C3606" s="274" t="n">
        <x:v>0</x:v>
      </x:c>
      <x:c r="D3606" s="274" t="n">
        <x:v>0</x:v>
      </x:c>
      <x:c r="F3606" s="274" t="s">
        <x:v>333</x:v>
      </x:c>
      <x:c r="G3606" s="274" t="s">
        <x:v>4663</x:v>
      </x:c>
      <x:c r="I3606" s="274" t="n">
        <x:v>1.2</x:v>
      </x:c>
      <x:c r="J3606" s="274" t="n">
        <x:v>140</x:v>
      </x:c>
      <x:c r="K3606" s="274" t="n">
        <x:v>1250</x:v>
      </x:c>
      <x:c r="M3606" s="274" t="s">
        <x:v>6755</x:v>
      </x:c>
      <x:c r="N3606" s="274" t="s">
        <x:v>5073</x:v>
      </x:c>
    </x:row>
    <x:row r="3607" spans="1:14">
      <x:c r="A3607" s="274" t="s">
        <x:v>6756</x:v>
      </x:c>
      <x:c r="B3607" s="274" t="n">
        <x:v>1.71</x:v>
      </x:c>
      <x:c r="C3607" s="274" t="n">
        <x:v>0</x:v>
      </x:c>
      <x:c r="D3607" s="274" t="n">
        <x:v>0</x:v>
      </x:c>
      <x:c r="F3607" s="274" t="s">
        <x:v>333</x:v>
      </x:c>
      <x:c r="G3607" s="274" t="s">
        <x:v>4663</x:v>
      </x:c>
      <x:c r="I3607" s="274" t="n">
        <x:v>1.2</x:v>
      </x:c>
      <x:c r="J3607" s="274" t="n">
        <x:v>145</x:v>
      </x:c>
      <x:c r="K3607" s="274" t="n">
        <x:v>1250</x:v>
      </x:c>
      <x:c r="M3607" s="274" t="s">
        <x:v>6757</x:v>
      </x:c>
      <x:c r="N3607" s="274" t="s">
        <x:v>5073</x:v>
      </x:c>
    </x:row>
    <x:row r="3608" spans="1:14">
      <x:c r="A3608" s="274" t="s">
        <x:v>6758</x:v>
      </x:c>
      <x:c r="B3608" s="274" t="n">
        <x:v>1.74</x:v>
      </x:c>
      <x:c r="C3608" s="274" t="n">
        <x:v>0</x:v>
      </x:c>
      <x:c r="D3608" s="274" t="n">
        <x:v>0</x:v>
      </x:c>
      <x:c r="F3608" s="274" t="s">
        <x:v>333</x:v>
      </x:c>
      <x:c r="G3608" s="274" t="s">
        <x:v>4663</x:v>
      </x:c>
      <x:c r="I3608" s="274" t="n">
        <x:v>1.2</x:v>
      </x:c>
      <x:c r="J3608" s="274" t="n">
        <x:v>148</x:v>
      </x:c>
      <x:c r="K3608" s="274" t="n">
        <x:v>1250</x:v>
      </x:c>
      <x:c r="M3608" s="274" t="s">
        <x:v>6759</x:v>
      </x:c>
      <x:c r="N3608" s="274" t="s">
        <x:v>5073</x:v>
      </x:c>
    </x:row>
    <x:row r="3609" spans="1:14">
      <x:c r="A3609" s="274" t="s">
        <x:v>6760</x:v>
      </x:c>
      <x:c r="B3609" s="274" t="n">
        <x:v>1.88</x:v>
      </x:c>
      <x:c r="C3609" s="274" t="n">
        <x:v>0</x:v>
      </x:c>
      <x:c r="D3609" s="274" t="n">
        <x:v>0</x:v>
      </x:c>
      <x:c r="F3609" s="274" t="s">
        <x:v>333</x:v>
      </x:c>
      <x:c r="G3609" s="274" t="s">
        <x:v>4663</x:v>
      </x:c>
      <x:c r="I3609" s="274" t="n">
        <x:v>1.2</x:v>
      </x:c>
      <x:c r="J3609" s="274" t="n">
        <x:v>160</x:v>
      </x:c>
      <x:c r="K3609" s="274" t="n">
        <x:v>1250</x:v>
      </x:c>
      <x:c r="M3609" s="274" t="s">
        <x:v>6761</x:v>
      </x:c>
      <x:c r="N3609" s="274" t="s">
        <x:v>5073</x:v>
      </x:c>
    </x:row>
    <x:row r="3610" spans="1:14">
      <x:c r="A3610" s="274" t="s">
        <x:v>6762</x:v>
      </x:c>
      <x:c r="B3610" s="274" t="n">
        <x:v>2.45</x:v>
      </x:c>
      <x:c r="C3610" s="274" t="n">
        <x:v>0</x:v>
      </x:c>
      <x:c r="D3610" s="274" t="n">
        <x:v>0</x:v>
      </x:c>
      <x:c r="F3610" s="274" t="s">
        <x:v>333</x:v>
      </x:c>
      <x:c r="G3610" s="274" t="s">
        <x:v>4663</x:v>
      </x:c>
      <x:c r="I3610" s="274" t="n">
        <x:v>1.2</x:v>
      </x:c>
      <x:c r="J3610" s="274" t="n">
        <x:v>208</x:v>
      </x:c>
      <x:c r="K3610" s="274" t="n">
        <x:v>1250</x:v>
      </x:c>
      <x:c r="M3610" s="274" t="s">
        <x:v>6763</x:v>
      </x:c>
      <x:c r="N3610" s="274" t="s">
        <x:v>5073</x:v>
      </x:c>
    </x:row>
    <x:row r="3611" spans="1:14">
      <x:c r="A3611" s="274" t="s">
        <x:v>6764</x:v>
      </x:c>
      <x:c r="B3611" s="274" t="n">
        <x:v>2.47</x:v>
      </x:c>
      <x:c r="C3611" s="274" t="n">
        <x:v>0</x:v>
      </x:c>
      <x:c r="D3611" s="274" t="n">
        <x:v>0</x:v>
      </x:c>
      <x:c r="F3611" s="274" t="s">
        <x:v>333</x:v>
      </x:c>
      <x:c r="G3611" s="274" t="s">
        <x:v>4663</x:v>
      </x:c>
      <x:c r="I3611" s="274" t="n">
        <x:v>1.2</x:v>
      </x:c>
      <x:c r="J3611" s="274" t="n">
        <x:v>210</x:v>
      </x:c>
      <x:c r="K3611" s="274" t="n">
        <x:v>1250</x:v>
      </x:c>
      <x:c r="M3611" s="274" t="s">
        <x:v>6765</x:v>
      </x:c>
      <x:c r="N3611" s="274" t="s">
        <x:v>5073</x:v>
      </x:c>
    </x:row>
    <x:row r="3612" spans="1:14">
      <x:c r="A3612" s="274" t="s">
        <x:v>6766</x:v>
      </x:c>
      <x:c r="B3612" s="274" t="n">
        <x:v>2.6</x:v>
      </x:c>
      <x:c r="C3612" s="274" t="n">
        <x:v>0</x:v>
      </x:c>
      <x:c r="D3612" s="274" t="n">
        <x:v>0</x:v>
      </x:c>
      <x:c r="F3612" s="274" t="s">
        <x:v>333</x:v>
      </x:c>
      <x:c r="G3612" s="274" t="s">
        <x:v>4663</x:v>
      </x:c>
      <x:c r="I3612" s="274" t="n">
        <x:v>1.2</x:v>
      </x:c>
      <x:c r="J3612" s="274" t="n">
        <x:v>221</x:v>
      </x:c>
      <x:c r="K3612" s="274" t="n">
        <x:v>1250</x:v>
      </x:c>
      <x:c r="M3612" s="274" t="s">
        <x:v>6767</x:v>
      </x:c>
      <x:c r="N3612" s="274" t="s">
        <x:v>5073</x:v>
      </x:c>
    </x:row>
    <x:row r="3613" spans="1:14">
      <x:c r="A3613" s="274" t="s">
        <x:v>6768</x:v>
      </x:c>
      <x:c r="B3613" s="274" t="n">
        <x:v>2.79</x:v>
      </x:c>
      <x:c r="C3613" s="274" t="n">
        <x:v>0</x:v>
      </x:c>
      <x:c r="D3613" s="274" t="n">
        <x:v>0</x:v>
      </x:c>
      <x:c r="F3613" s="274" t="s">
        <x:v>333</x:v>
      </x:c>
      <x:c r="G3613" s="274" t="s">
        <x:v>4663</x:v>
      </x:c>
      <x:c r="I3613" s="274" t="n">
        <x:v>1.2</x:v>
      </x:c>
      <x:c r="J3613" s="274" t="n">
        <x:v>237</x:v>
      </x:c>
      <x:c r="K3613" s="274" t="n">
        <x:v>1250</x:v>
      </x:c>
      <x:c r="M3613" s="274" t="s">
        <x:v>6769</x:v>
      </x:c>
      <x:c r="N3613" s="274" t="s">
        <x:v>5073</x:v>
      </x:c>
    </x:row>
    <x:row r="3614" spans="1:14">
      <x:c r="A3614" s="274" t="s">
        <x:v>6770</x:v>
      </x:c>
      <x:c r="B3614" s="274" t="n">
        <x:v>3.53</x:v>
      </x:c>
      <x:c r="C3614" s="274" t="n">
        <x:v>0</x:v>
      </x:c>
      <x:c r="D3614" s="274" t="n">
        <x:v>0</x:v>
      </x:c>
      <x:c r="F3614" s="274" t="s">
        <x:v>333</x:v>
      </x:c>
      <x:c r="G3614" s="274" t="s">
        <x:v>4663</x:v>
      </x:c>
      <x:c r="I3614" s="274" t="n">
        <x:v>1.2</x:v>
      </x:c>
      <x:c r="J3614" s="274" t="n">
        <x:v>300</x:v>
      </x:c>
      <x:c r="K3614" s="274" t="n">
        <x:v>1250</x:v>
      </x:c>
      <x:c r="M3614" s="274" t="s">
        <x:v>6771</x:v>
      </x:c>
      <x:c r="N3614" s="274" t="s">
        <x:v>5073</x:v>
      </x:c>
    </x:row>
    <x:row r="3615" spans="1:14">
      <x:c r="A3615" s="274" t="s">
        <x:v>6772</x:v>
      </x:c>
      <x:c r="B3615" s="274" t="n">
        <x:v>0.88</x:v>
      </x:c>
      <x:c r="C3615" s="274" t="n">
        <x:v>0</x:v>
      </x:c>
      <x:c r="D3615" s="274" t="n">
        <x:v>0</x:v>
      </x:c>
      <x:c r="F3615" s="274" t="s">
        <x:v>184</x:v>
      </x:c>
      <x:c r="G3615" s="274" t="s">
        <x:v>4782</x:v>
      </x:c>
      <x:c r="H3615" s="274" t="s">
        <x:v>4471</x:v>
      </x:c>
      <x:c r="I3615" s="274" t="n">
        <x:v>1.2</x:v>
      </x:c>
      <x:c r="J3615" s="274" t="n">
        <x:v>75</x:v>
      </x:c>
      <x:c r="K3615" s="274" t="n">
        <x:v>1250</x:v>
      </x:c>
      <x:c r="M3615" s="274" t="s">
        <x:v>6773</x:v>
      </x:c>
      <x:c r="N3615" s="274" t="s">
        <x:v>5073</x:v>
      </x:c>
    </x:row>
    <x:row r="3616" spans="1:14">
      <x:c r="A3616" s="274" t="s">
        <x:v>6774</x:v>
      </x:c>
      <x:c r="B3616" s="274" t="n">
        <x:v>1.88</x:v>
      </x:c>
      <x:c r="C3616" s="274" t="n">
        <x:v>0</x:v>
      </x:c>
      <x:c r="D3616" s="274" t="n">
        <x:v>0</x:v>
      </x:c>
      <x:c r="F3616" s="274" t="s">
        <x:v>184</x:v>
      </x:c>
      <x:c r="G3616" s="274" t="s">
        <x:v>4782</x:v>
      </x:c>
      <x:c r="H3616" s="274" t="s">
        <x:v>4471</x:v>
      </x:c>
      <x:c r="I3616" s="274" t="n">
        <x:v>1.2</x:v>
      </x:c>
      <x:c r="J3616" s="274" t="n">
        <x:v>160</x:v>
      </x:c>
      <x:c r="K3616" s="274" t="n">
        <x:v>1250</x:v>
      </x:c>
      <x:c r="M3616" s="274" t="s">
        <x:v>6775</x:v>
      </x:c>
      <x:c r="N3616" s="274" t="s">
        <x:v>5073</x:v>
      </x:c>
    </x:row>
    <x:row r="3617" spans="1:14">
      <x:c r="A3617" s="274" t="s">
        <x:v>6776</x:v>
      </x:c>
      <x:c r="B3617" s="274" t="n">
        <x:v>1.91</x:v>
      </x:c>
      <x:c r="C3617" s="274" t="n">
        <x:v>0</x:v>
      </x:c>
      <x:c r="D3617" s="274" t="n">
        <x:v>0</x:v>
      </x:c>
      <x:c r="F3617" s="274" t="s">
        <x:v>184</x:v>
      </x:c>
      <x:c r="G3617" s="274" t="s">
        <x:v>4782</x:v>
      </x:c>
      <x:c r="H3617" s="274" t="s">
        <x:v>4471</x:v>
      </x:c>
      <x:c r="I3617" s="274" t="n">
        <x:v>1.2</x:v>
      </x:c>
      <x:c r="J3617" s="274" t="n">
        <x:v>162</x:v>
      </x:c>
      <x:c r="K3617" s="274" t="n">
        <x:v>1250</x:v>
      </x:c>
      <x:c r="M3617" s="274" t="s">
        <x:v>6777</x:v>
      </x:c>
      <x:c r="N3617" s="274" t="s">
        <x:v>5073</x:v>
      </x:c>
    </x:row>
    <x:row r="3618" spans="1:14">
      <x:c r="A3618" s="274" t="s">
        <x:v>6778</x:v>
      </x:c>
      <x:c r="B3618" s="274" t="n">
        <x:v>2.14</x:v>
      </x:c>
      <x:c r="C3618" s="274" t="n">
        <x:v>0</x:v>
      </x:c>
      <x:c r="D3618" s="274" t="n">
        <x:v>0</x:v>
      </x:c>
      <x:c r="F3618" s="274" t="s">
        <x:v>184</x:v>
      </x:c>
      <x:c r="G3618" s="274" t="s">
        <x:v>4782</x:v>
      </x:c>
      <x:c r="H3618" s="274" t="s">
        <x:v>4471</x:v>
      </x:c>
      <x:c r="I3618" s="274" t="n">
        <x:v>1.2</x:v>
      </x:c>
      <x:c r="J3618" s="274" t="n">
        <x:v>182</x:v>
      </x:c>
      <x:c r="K3618" s="274" t="n">
        <x:v>1250</x:v>
      </x:c>
      <x:c r="M3618" s="274" t="s">
        <x:v>6779</x:v>
      </x:c>
      <x:c r="N3618" s="274" t="s">
        <x:v>5073</x:v>
      </x:c>
    </x:row>
    <x:row r="3619" spans="1:14">
      <x:c r="A3619" s="274" t="s">
        <x:v>6780</x:v>
      </x:c>
      <x:c r="B3619" s="274" t="n">
        <x:v>2.38</x:v>
      </x:c>
      <x:c r="C3619" s="274" t="n">
        <x:v>0</x:v>
      </x:c>
      <x:c r="D3619" s="274" t="n">
        <x:v>0</x:v>
      </x:c>
      <x:c r="F3619" s="274" t="s">
        <x:v>184</x:v>
      </x:c>
      <x:c r="G3619" s="274" t="s">
        <x:v>4782</x:v>
      </x:c>
      <x:c r="H3619" s="274" t="s">
        <x:v>4471</x:v>
      </x:c>
      <x:c r="I3619" s="274" t="n">
        <x:v>1.2</x:v>
      </x:c>
      <x:c r="J3619" s="274" t="n">
        <x:v>202</x:v>
      </x:c>
      <x:c r="K3619" s="274" t="n">
        <x:v>1250</x:v>
      </x:c>
      <x:c r="M3619" s="274" t="s">
        <x:v>6781</x:v>
      </x:c>
      <x:c r="N3619" s="274" t="s">
        <x:v>5073</x:v>
      </x:c>
    </x:row>
    <x:row r="3620" spans="1:14">
      <x:c r="A3620" s="274" t="s">
        <x:v>6782</x:v>
      </x:c>
      <x:c r="B3620" s="274" t="n">
        <x:v>2.44</x:v>
      </x:c>
      <x:c r="C3620" s="274" t="n">
        <x:v>0</x:v>
      </x:c>
      <x:c r="D3620" s="274" t="n">
        <x:v>0</x:v>
      </x:c>
      <x:c r="F3620" s="274" t="s">
        <x:v>184</x:v>
      </x:c>
      <x:c r="G3620" s="274" t="s">
        <x:v>4782</x:v>
      </x:c>
      <x:c r="H3620" s="274" t="s">
        <x:v>4471</x:v>
      </x:c>
      <x:c r="I3620" s="274" t="n">
        <x:v>1.2</x:v>
      </x:c>
      <x:c r="J3620" s="274" t="n">
        <x:v>207</x:v>
      </x:c>
      <x:c r="K3620" s="274" t="n">
        <x:v>1250</x:v>
      </x:c>
      <x:c r="M3620" s="274" t="s">
        <x:v>6783</x:v>
      </x:c>
      <x:c r="N3620" s="274" t="s">
        <x:v>5073</x:v>
      </x:c>
    </x:row>
    <x:row r="3621" spans="1:14">
      <x:c r="A3621" s="274" t="s">
        <x:v>6784</x:v>
      </x:c>
      <x:c r="B3621" s="274" t="n">
        <x:v>2.59</x:v>
      </x:c>
      <x:c r="C3621" s="274" t="n">
        <x:v>0</x:v>
      </x:c>
      <x:c r="D3621" s="274" t="n">
        <x:v>0</x:v>
      </x:c>
      <x:c r="F3621" s="274" t="s">
        <x:v>184</x:v>
      </x:c>
      <x:c r="G3621" s="274" t="s">
        <x:v>4782</x:v>
      </x:c>
      <x:c r="H3621" s="274" t="s">
        <x:v>4471</x:v>
      </x:c>
      <x:c r="I3621" s="274" t="n">
        <x:v>1.2</x:v>
      </x:c>
      <x:c r="J3621" s="274" t="n">
        <x:v>220</x:v>
      </x:c>
      <x:c r="K3621" s="274" t="n">
        <x:v>1250</x:v>
      </x:c>
      <x:c r="M3621" s="274" t="s">
        <x:v>6785</x:v>
      </x:c>
      <x:c r="N3621" s="274" t="s">
        <x:v>5073</x:v>
      </x:c>
    </x:row>
    <x:row r="3622" spans="1:14">
      <x:c r="A3622" s="274" t="s">
        <x:v>6786</x:v>
      </x:c>
      <x:c r="B3622" s="274" t="n">
        <x:v>3.18</x:v>
      </x:c>
      <x:c r="C3622" s="274" t="n">
        <x:v>0</x:v>
      </x:c>
      <x:c r="D3622" s="274" t="n">
        <x:v>0</x:v>
      </x:c>
      <x:c r="F3622" s="274" t="s">
        <x:v>184</x:v>
      </x:c>
      <x:c r="G3622" s="274" t="s">
        <x:v>4782</x:v>
      </x:c>
      <x:c r="H3622" s="274" t="s">
        <x:v>4471</x:v>
      </x:c>
      <x:c r="I3622" s="274" t="n">
        <x:v>1.2</x:v>
      </x:c>
      <x:c r="J3622" s="274" t="n">
        <x:v>270</x:v>
      </x:c>
      <x:c r="K3622" s="274" t="n">
        <x:v>1250</x:v>
      </x:c>
      <x:c r="M3622" s="274" t="s">
        <x:v>6787</x:v>
      </x:c>
      <x:c r="N3622" s="274" t="s">
        <x:v>5073</x:v>
      </x:c>
    </x:row>
    <x:row r="3623" spans="1:14">
      <x:c r="A3623" s="274" t="s">
        <x:v>6788</x:v>
      </x:c>
      <x:c r="B3623" s="274" t="n">
        <x:v>3.21</x:v>
      </x:c>
      <x:c r="C3623" s="274" t="n">
        <x:v>0</x:v>
      </x:c>
      <x:c r="D3623" s="274" t="n">
        <x:v>0</x:v>
      </x:c>
      <x:c r="F3623" s="274" t="s">
        <x:v>184</x:v>
      </x:c>
      <x:c r="G3623" s="274" t="s">
        <x:v>4782</x:v>
      </x:c>
      <x:c r="H3623" s="274" t="s">
        <x:v>4471</x:v>
      </x:c>
      <x:c r="I3623" s="274" t="n">
        <x:v>1.2</x:v>
      </x:c>
      <x:c r="J3623" s="274" t="n">
        <x:v>273</x:v>
      </x:c>
      <x:c r="K3623" s="274" t="n">
        <x:v>1250</x:v>
      </x:c>
      <x:c r="M3623" s="274" t="s">
        <x:v>6789</x:v>
      </x:c>
      <x:c r="N3623" s="274" t="s">
        <x:v>5073</x:v>
      </x:c>
    </x:row>
    <x:row r="3624" spans="1:14">
      <x:c r="A3624" s="274" t="s">
        <x:v>6790</x:v>
      </x:c>
      <x:c r="B3624" s="274" t="n">
        <x:v>1.68</x:v>
      </x:c>
      <x:c r="C3624" s="274" t="n">
        <x:v>0</x:v>
      </x:c>
      <x:c r="D3624" s="274" t="n">
        <x:v>0</x:v>
      </x:c>
      <x:c r="F3624" s="274" t="s">
        <x:v>333</x:v>
      </x:c>
      <x:c r="G3624" s="274" t="s">
        <x:v>4663</x:v>
      </x:c>
      <x:c r="I3624" s="274" t="n">
        <x:v>1.4</x:v>
      </x:c>
      <x:c r="J3624" s="274" t="n">
        <x:v>122</x:v>
      </x:c>
      <x:c r="K3624" s="274" t="n">
        <x:v>1250</x:v>
      </x:c>
      <x:c r="M3624" s="274" t="s">
        <x:v>6791</x:v>
      </x:c>
      <x:c r="N3624" s="274" t="s">
        <x:v>5073</x:v>
      </x:c>
    </x:row>
    <x:row r="3625" spans="1:14">
      <x:c r="A3625" s="274" t="s">
        <x:v>6792</x:v>
      </x:c>
      <x:c r="B3625" s="274" t="n">
        <x:v>2.06</x:v>
      </x:c>
      <x:c r="C3625" s="274" t="n">
        <x:v>0</x:v>
      </x:c>
      <x:c r="D3625" s="274" t="n">
        <x:v>0</x:v>
      </x:c>
      <x:c r="F3625" s="274" t="s">
        <x:v>333</x:v>
      </x:c>
      <x:c r="G3625" s="274" t="s">
        <x:v>4663</x:v>
      </x:c>
      <x:c r="I3625" s="274" t="n">
        <x:v>1.4</x:v>
      </x:c>
      <x:c r="J3625" s="274" t="n">
        <x:v>150</x:v>
      </x:c>
      <x:c r="K3625" s="274" t="n">
        <x:v>1250</x:v>
      </x:c>
      <x:c r="M3625" s="274" t="s">
        <x:v>6793</x:v>
      </x:c>
      <x:c r="N3625" s="274" t="s">
        <x:v>5073</x:v>
      </x:c>
    </x:row>
    <x:row r="3626" spans="1:14">
      <x:c r="A3626" s="274" t="s">
        <x:v>6794</x:v>
      </x:c>
      <x:c r="B3626" s="274" t="n">
        <x:v>2.2</x:v>
      </x:c>
      <x:c r="C3626" s="274" t="n">
        <x:v>0</x:v>
      </x:c>
      <x:c r="D3626" s="274" t="n">
        <x:v>0</x:v>
      </x:c>
      <x:c r="F3626" s="274" t="s">
        <x:v>333</x:v>
      </x:c>
      <x:c r="G3626" s="274" t="s">
        <x:v>4663</x:v>
      </x:c>
      <x:c r="I3626" s="274" t="n">
        <x:v>1.4</x:v>
      </x:c>
      <x:c r="J3626" s="274" t="n">
        <x:v>160</x:v>
      </x:c>
      <x:c r="K3626" s="274" t="n">
        <x:v>1250</x:v>
      </x:c>
      <x:c r="M3626" s="274" t="s">
        <x:v>6795</x:v>
      </x:c>
      <x:c r="N3626" s="274" t="s">
        <x:v>5073</x:v>
      </x:c>
    </x:row>
    <x:row r="3627" spans="1:14">
      <x:c r="A3627" s="274" t="s">
        <x:v>6796</x:v>
      </x:c>
      <x:c r="B3627" s="274" t="n">
        <x:v>2.27</x:v>
      </x:c>
      <x:c r="C3627" s="274" t="n">
        <x:v>0</x:v>
      </x:c>
      <x:c r="D3627" s="274" t="n">
        <x:v>0</x:v>
      </x:c>
      <x:c r="F3627" s="274" t="s">
        <x:v>333</x:v>
      </x:c>
      <x:c r="G3627" s="274" t="s">
        <x:v>4663</x:v>
      </x:c>
      <x:c r="I3627" s="274" t="n">
        <x:v>1.4</x:v>
      </x:c>
      <x:c r="J3627" s="274" t="n">
        <x:v>165</x:v>
      </x:c>
      <x:c r="K3627" s="274" t="n">
        <x:v>1250</x:v>
      </x:c>
      <x:c r="M3627" s="274" t="s">
        <x:v>6797</x:v>
      </x:c>
      <x:c r="N3627" s="274" t="s">
        <x:v>5073</x:v>
      </x:c>
    </x:row>
    <x:row r="3628" spans="1:14">
      <x:c r="A3628" s="274" t="s">
        <x:v>6798</x:v>
      </x:c>
      <x:c r="B3628" s="274" t="n">
        <x:v>2.34</x:v>
      </x:c>
      <x:c r="C3628" s="274" t="n">
        <x:v>0</x:v>
      </x:c>
      <x:c r="D3628" s="274" t="n">
        <x:v>0</x:v>
      </x:c>
      <x:c r="F3628" s="274" t="s">
        <x:v>333</x:v>
      </x:c>
      <x:c r="G3628" s="274" t="s">
        <x:v>4663</x:v>
      </x:c>
      <x:c r="I3628" s="274" t="n">
        <x:v>1.4</x:v>
      </x:c>
      <x:c r="J3628" s="274" t="n">
        <x:v>170</x:v>
      </x:c>
      <x:c r="K3628" s="274" t="n">
        <x:v>1250</x:v>
      </x:c>
      <x:c r="M3628" s="274" t="s">
        <x:v>6799</x:v>
      </x:c>
      <x:c r="N3628" s="274" t="s">
        <x:v>5073</x:v>
      </x:c>
    </x:row>
    <x:row r="3629" spans="1:14">
      <x:c r="A3629" s="274" t="s">
        <x:v>6800</x:v>
      </x:c>
      <x:c r="B3629" s="274" t="n">
        <x:v>2.35</x:v>
      </x:c>
      <x:c r="C3629" s="274" t="n">
        <x:v>0</x:v>
      </x:c>
      <x:c r="D3629" s="274" t="n">
        <x:v>0</x:v>
      </x:c>
      <x:c r="F3629" s="274" t="s">
        <x:v>333</x:v>
      </x:c>
      <x:c r="G3629" s="274" t="s">
        <x:v>4663</x:v>
      </x:c>
      <x:c r="I3629" s="274" t="n">
        <x:v>1.4</x:v>
      </x:c>
      <x:c r="J3629" s="274" t="n">
        <x:v>171</x:v>
      </x:c>
      <x:c r="K3629" s="274" t="n">
        <x:v>1250</x:v>
      </x:c>
      <x:c r="M3629" s="274" t="s">
        <x:v>6801</x:v>
      </x:c>
      <x:c r="N3629" s="274" t="s">
        <x:v>5073</x:v>
      </x:c>
    </x:row>
    <x:row r="3630" spans="1:14">
      <x:c r="A3630" s="274" t="s">
        <x:v>6802</x:v>
      </x:c>
      <x:c r="B3630" s="274" t="n">
        <x:v>2.47</x:v>
      </x:c>
      <x:c r="C3630" s="274" t="n">
        <x:v>0</x:v>
      </x:c>
      <x:c r="D3630" s="274" t="n">
        <x:v>0</x:v>
      </x:c>
      <x:c r="F3630" s="274" t="s">
        <x:v>333</x:v>
      </x:c>
      <x:c r="G3630" s="274" t="s">
        <x:v>4663</x:v>
      </x:c>
      <x:c r="I3630" s="274" t="n">
        <x:v>1.4</x:v>
      </x:c>
      <x:c r="J3630" s="274" t="n">
        <x:v>180</x:v>
      </x:c>
      <x:c r="K3630" s="274" t="n">
        <x:v>1250</x:v>
      </x:c>
      <x:c r="M3630" s="274" t="s">
        <x:v>6803</x:v>
      </x:c>
      <x:c r="N3630" s="274" t="s">
        <x:v>5073</x:v>
      </x:c>
    </x:row>
    <x:row r="3631" spans="1:14">
      <x:c r="A3631" s="274" t="s">
        <x:v>6804</x:v>
      </x:c>
      <x:c r="B3631" s="274" t="n">
        <x:v>4.4</x:v>
      </x:c>
      <x:c r="C3631" s="274" t="n">
        <x:v>0</x:v>
      </x:c>
      <x:c r="D3631" s="274" t="n">
        <x:v>0</x:v>
      </x:c>
      <x:c r="F3631" s="274" t="s">
        <x:v>333</x:v>
      </x:c>
      <x:c r="G3631" s="274" t="s">
        <x:v>4663</x:v>
      </x:c>
      <x:c r="I3631" s="274" t="n">
        <x:v>1.4</x:v>
      </x:c>
      <x:c r="J3631" s="274" t="n">
        <x:v>320</x:v>
      </x:c>
      <x:c r="K3631" s="274" t="n">
        <x:v>1250</x:v>
      </x:c>
      <x:c r="M3631" s="274" t="s">
        <x:v>6805</x:v>
      </x:c>
      <x:c r="N3631" s="274" t="s">
        <x:v>5073</x:v>
      </x:c>
    </x:row>
    <x:row r="3632" spans="1:14">
      <x:c r="A3632" s="274" t="s">
        <x:v>6806</x:v>
      </x:c>
      <x:c r="B3632" s="274" t="n">
        <x:v>4.75</x:v>
      </x:c>
      <x:c r="C3632" s="274" t="n">
        <x:v>0</x:v>
      </x:c>
      <x:c r="D3632" s="274" t="n">
        <x:v>0</x:v>
      </x:c>
      <x:c r="F3632" s="274" t="s">
        <x:v>333</x:v>
      </x:c>
      <x:c r="G3632" s="274" t="s">
        <x:v>4663</x:v>
      </x:c>
      <x:c r="I3632" s="274" t="n">
        <x:v>1.4</x:v>
      </x:c>
      <x:c r="J3632" s="274" t="n">
        <x:v>346</x:v>
      </x:c>
      <x:c r="K3632" s="274" t="n">
        <x:v>1250</x:v>
      </x:c>
      <x:c r="M3632" s="274" t="s">
        <x:v>6807</x:v>
      </x:c>
      <x:c r="N3632" s="274" t="s">
        <x:v>5073</x:v>
      </x:c>
    </x:row>
    <x:row r="3633" spans="1:14">
      <x:c r="A3633" s="274" t="s">
        <x:v>6808</x:v>
      </x:c>
      <x:c r="B3633" s="274" t="n">
        <x:v>1.55</x:v>
      </x:c>
      <x:c r="C3633" s="274" t="n">
        <x:v>0</x:v>
      </x:c>
      <x:c r="D3633" s="274" t="n">
        <x:v>0</x:v>
      </x:c>
      <x:c r="F3633" s="274" t="s">
        <x:v>133</x:v>
      </x:c>
      <x:c r="G3633" s="274" t="s">
        <x:v>4329</x:v>
      </x:c>
      <x:c r="I3633" s="274" t="n">
        <x:v>1.6</x:v>
      </x:c>
      <x:c r="J3633" s="274" t="n">
        <x:v>99</x:v>
      </x:c>
      <x:c r="K3633" s="274" t="n">
        <x:v>1250</x:v>
      </x:c>
      <x:c r="M3633" s="274" t="s">
        <x:v>6809</x:v>
      </x:c>
      <x:c r="N3633" s="274" t="s">
        <x:v>5073</x:v>
      </x:c>
    </x:row>
    <x:row r="3634" spans="1:14">
      <x:c r="A3634" s="274" t="s">
        <x:v>6810</x:v>
      </x:c>
      <x:c r="B3634" s="274" t="n">
        <x:v>1.57</x:v>
      </x:c>
      <x:c r="C3634" s="274" t="n">
        <x:v>0</x:v>
      </x:c>
      <x:c r="D3634" s="274" t="n">
        <x:v>0</x:v>
      </x:c>
      <x:c r="F3634" s="274" t="s">
        <x:v>133</x:v>
      </x:c>
      <x:c r="G3634" s="274" t="s">
        <x:v>4329</x:v>
      </x:c>
      <x:c r="I3634" s="274" t="n">
        <x:v>1.6</x:v>
      </x:c>
      <x:c r="J3634" s="274" t="n">
        <x:v>100</x:v>
      </x:c>
      <x:c r="K3634" s="274" t="n">
        <x:v>1250</x:v>
      </x:c>
      <x:c r="M3634" s="274" t="s">
        <x:v>6811</x:v>
      </x:c>
      <x:c r="N3634" s="274" t="s">
        <x:v>5073</x:v>
      </x:c>
    </x:row>
    <x:row r="3635" spans="1:14">
      <x:c r="A3635" s="274" t="s">
        <x:v>6812</x:v>
      </x:c>
      <x:c r="B3635" s="274" t="n">
        <x:v>2.86</x:v>
      </x:c>
      <x:c r="C3635" s="274" t="n">
        <x:v>0</x:v>
      </x:c>
      <x:c r="D3635" s="274" t="n">
        <x:v>0</x:v>
      </x:c>
      <x:c r="F3635" s="274" t="s">
        <x:v>133</x:v>
      </x:c>
      <x:c r="G3635" s="274" t="s">
        <x:v>4329</x:v>
      </x:c>
      <x:c r="I3635" s="274" t="n">
        <x:v>1.6</x:v>
      </x:c>
      <x:c r="J3635" s="274" t="n">
        <x:v>182</x:v>
      </x:c>
      <x:c r="K3635" s="274" t="n">
        <x:v>1250</x:v>
      </x:c>
      <x:c r="M3635" s="274" t="s">
        <x:v>6813</x:v>
      </x:c>
      <x:c r="N3635" s="274" t="s">
        <x:v>5073</x:v>
      </x:c>
    </x:row>
    <x:row r="3636" spans="1:14">
      <x:c r="A3636" s="274" t="s">
        <x:v>6814</x:v>
      </x:c>
      <x:c r="B3636" s="274" t="n">
        <x:v>3.14</x:v>
      </x:c>
      <x:c r="C3636" s="274" t="n">
        <x:v>0</x:v>
      </x:c>
      <x:c r="D3636" s="274" t="n">
        <x:v>0</x:v>
      </x:c>
      <x:c r="F3636" s="274" t="s">
        <x:v>133</x:v>
      </x:c>
      <x:c r="G3636" s="274" t="s">
        <x:v>4329</x:v>
      </x:c>
      <x:c r="I3636" s="274" t="n">
        <x:v>1.6</x:v>
      </x:c>
      <x:c r="J3636" s="274" t="n">
        <x:v>200</x:v>
      </x:c>
      <x:c r="K3636" s="274" t="n">
        <x:v>1250</x:v>
      </x:c>
      <x:c r="M3636" s="274" t="s">
        <x:v>6815</x:v>
      </x:c>
      <x:c r="N3636" s="274" t="s">
        <x:v>5073</x:v>
      </x:c>
    </x:row>
    <x:row r="3637" spans="1:14">
      <x:c r="A3637" s="274" t="s">
        <x:v>6816</x:v>
      </x:c>
      <x:c r="B3637" s="274" t="n">
        <x:v>5.16</x:v>
      </x:c>
      <x:c r="C3637" s="274" t="n">
        <x:v>0</x:v>
      </x:c>
      <x:c r="D3637" s="274" t="n">
        <x:v>0</x:v>
      </x:c>
      <x:c r="F3637" s="274" t="s">
        <x:v>133</x:v>
      </x:c>
      <x:c r="G3637" s="274" t="s">
        <x:v>4329</x:v>
      </x:c>
      <x:c r="I3637" s="274" t="n">
        <x:v>1.6</x:v>
      </x:c>
      <x:c r="J3637" s="274" t="n">
        <x:v>329</x:v>
      </x:c>
      <x:c r="K3637" s="274" t="n">
        <x:v>1250</x:v>
      </x:c>
      <x:c r="M3637" s="274" t="s">
        <x:v>6817</x:v>
      </x:c>
      <x:c r="N3637" s="274" t="s">
        <x:v>5073</x:v>
      </x:c>
    </x:row>
    <x:row r="3638" spans="1:14">
      <x:c r="A3638" s="274" t="s">
        <x:v>6818</x:v>
      </x:c>
      <x:c r="B3638" s="274" t="n">
        <x:v>3.19</x:v>
      </x:c>
      <x:c r="C3638" s="274" t="n">
        <x:v>0</x:v>
      </x:c>
      <x:c r="D3638" s="274" t="n">
        <x:v>0</x:v>
      </x:c>
      <x:c r="F3638" s="274" t="s">
        <x:v>123</x:v>
      </x:c>
      <x:c r="G3638" s="274" t="s">
        <x:v>4299</x:v>
      </x:c>
      <x:c r="I3638" s="274" t="n">
        <x:v>1.6</x:v>
      </x:c>
      <x:c r="J3638" s="274" t="n">
        <x:v>203</x:v>
      </x:c>
      <x:c r="K3638" s="274" t="n">
        <x:v>1250</x:v>
      </x:c>
      <x:c r="M3638" s="274" t="s">
        <x:v>6819</x:v>
      </x:c>
      <x:c r="N3638" s="274" t="s">
        <x:v>5073</x:v>
      </x:c>
    </x:row>
    <x:row r="3639" spans="1:14">
      <x:c r="A3639" s="274" t="s">
        <x:v>6820</x:v>
      </x:c>
      <x:c r="B3639" s="274" t="n">
        <x:v>2.2</x:v>
      </x:c>
      <x:c r="C3639" s="274" t="n">
        <x:v>0</x:v>
      </x:c>
      <x:c r="D3639" s="274" t="n">
        <x:v>0</x:v>
      </x:c>
      <x:c r="F3639" s="274" t="s">
        <x:v>184</x:v>
      </x:c>
      <x:c r="G3639" s="274" t="s">
        <x:v>4782</x:v>
      </x:c>
      <x:c r="H3639" s="274" t="s">
        <x:v>4471</x:v>
      </x:c>
      <x:c r="I3639" s="274" t="n">
        <x:v>1.6</x:v>
      </x:c>
      <x:c r="J3639" s="274" t="n">
        <x:v>140</x:v>
      </x:c>
      <x:c r="K3639" s="274" t="n">
        <x:v>1250</x:v>
      </x:c>
      <x:c r="M3639" s="274" t="s">
        <x:v>6821</x:v>
      </x:c>
      <x:c r="N3639" s="274" t="s">
        <x:v>5073</x:v>
      </x:c>
    </x:row>
    <x:row r="3640" spans="1:14">
      <x:c r="A3640" s="274" t="s">
        <x:v>6822</x:v>
      </x:c>
      <x:c r="B3640" s="274" t="n">
        <x:v>2.83</x:v>
      </x:c>
      <x:c r="C3640" s="274" t="n">
        <x:v>0</x:v>
      </x:c>
      <x:c r="D3640" s="274" t="n">
        <x:v>0</x:v>
      </x:c>
      <x:c r="F3640" s="274" t="s">
        <x:v>184</x:v>
      </x:c>
      <x:c r="G3640" s="274" t="s">
        <x:v>4782</x:v>
      </x:c>
      <x:c r="H3640" s="274" t="s">
        <x:v>4471</x:v>
      </x:c>
      <x:c r="I3640" s="274" t="n">
        <x:v>1.6</x:v>
      </x:c>
      <x:c r="J3640" s="274" t="n">
        <x:v>180</x:v>
      </x:c>
      <x:c r="K3640" s="274" t="n">
        <x:v>1250</x:v>
      </x:c>
      <x:c r="M3640" s="274" t="s">
        <x:v>6823</x:v>
      </x:c>
      <x:c r="N3640" s="274" t="s">
        <x:v>5073</x:v>
      </x:c>
    </x:row>
    <x:row r="3641" spans="1:14">
      <x:c r="A3641" s="274" t="s">
        <x:v>6824</x:v>
      </x:c>
      <x:c r="B3641" s="274" t="n">
        <x:v>3.14</x:v>
      </x:c>
      <x:c r="C3641" s="274" t="n">
        <x:v>0</x:v>
      </x:c>
      <x:c r="D3641" s="274" t="n">
        <x:v>0</x:v>
      </x:c>
      <x:c r="F3641" s="274" t="s">
        <x:v>184</x:v>
      </x:c>
      <x:c r="G3641" s="274" t="s">
        <x:v>4782</x:v>
      </x:c>
      <x:c r="H3641" s="274" t="s">
        <x:v>4471</x:v>
      </x:c>
      <x:c r="I3641" s="274" t="n">
        <x:v>1.6</x:v>
      </x:c>
      <x:c r="J3641" s="274" t="n">
        <x:v>200</x:v>
      </x:c>
      <x:c r="K3641" s="274" t="n">
        <x:v>1250</x:v>
      </x:c>
      <x:c r="M3641" s="274" t="s">
        <x:v>6825</x:v>
      </x:c>
      <x:c r="N3641" s="274" t="s">
        <x:v>5073</x:v>
      </x:c>
    </x:row>
    <x:row r="3642" spans="1:14">
      <x:c r="A3642" s="274" t="s">
        <x:v>6826</x:v>
      </x:c>
      <x:c r="B3642" s="274" t="n">
        <x:v>5.02</x:v>
      </x:c>
      <x:c r="C3642" s="274" t="n">
        <x:v>0</x:v>
      </x:c>
      <x:c r="D3642" s="274" t="n">
        <x:v>0</x:v>
      </x:c>
      <x:c r="F3642" s="274" t="s">
        <x:v>184</x:v>
      </x:c>
      <x:c r="G3642" s="274" t="s">
        <x:v>4782</x:v>
      </x:c>
      <x:c r="H3642" s="274" t="s">
        <x:v>4471</x:v>
      </x:c>
      <x:c r="I3642" s="274" t="n">
        <x:v>1.6</x:v>
      </x:c>
      <x:c r="J3642" s="274" t="n">
        <x:v>320</x:v>
      </x:c>
      <x:c r="K3642" s="274" t="n">
        <x:v>1250</x:v>
      </x:c>
      <x:c r="M3642" s="274" t="s">
        <x:v>6827</x:v>
      </x:c>
      <x:c r="N3642" s="274" t="s">
        <x:v>5073</x:v>
      </x:c>
    </x:row>
    <x:row r="3643" spans="1:14">
      <x:c r="A3643" s="274" t="s">
        <x:v>6828</x:v>
      </x:c>
      <x:c r="B3643" s="274" t="n">
        <x:v>1.76</x:v>
      </x:c>
      <x:c r="C3643" s="274" t="n">
        <x:v>0</x:v>
      </x:c>
      <x:c r="D3643" s="274" t="n">
        <x:v>0</x:v>
      </x:c>
      <x:c r="F3643" s="274" t="s">
        <x:v>333</x:v>
      </x:c>
      <x:c r="G3643" s="274" t="s">
        <x:v>4663</x:v>
      </x:c>
      <x:c r="I3643" s="274" t="n">
        <x:v>1.6</x:v>
      </x:c>
      <x:c r="J3643" s="274" t="n">
        <x:v>112</x:v>
      </x:c>
      <x:c r="K3643" s="274" t="n">
        <x:v>1250</x:v>
      </x:c>
      <x:c r="M3643" s="274" t="s">
        <x:v>6829</x:v>
      </x:c>
      <x:c r="N3643" s="274" t="s">
        <x:v>5073</x:v>
      </x:c>
    </x:row>
    <x:row r="3644" spans="1:14">
      <x:c r="A3644" s="274" t="s">
        <x:v>6830</x:v>
      </x:c>
      <x:c r="B3644" s="274" t="n">
        <x:v>2.06</x:v>
      </x:c>
      <x:c r="C3644" s="274" t="n">
        <x:v>0</x:v>
      </x:c>
      <x:c r="D3644" s="274" t="n">
        <x:v>0</x:v>
      </x:c>
      <x:c r="F3644" s="274" t="s">
        <x:v>333</x:v>
      </x:c>
      <x:c r="G3644" s="274" t="s">
        <x:v>4663</x:v>
      </x:c>
      <x:c r="I3644" s="274" t="n">
        <x:v>1.6</x:v>
      </x:c>
      <x:c r="J3644" s="274" t="n">
        <x:v>131</x:v>
      </x:c>
      <x:c r="K3644" s="274" t="n">
        <x:v>1250</x:v>
      </x:c>
      <x:c r="M3644" s="274" t="s">
        <x:v>6831</x:v>
      </x:c>
      <x:c r="N3644" s="274" t="s">
        <x:v>5073</x:v>
      </x:c>
    </x:row>
    <x:row r="3645" spans="1:14">
      <x:c r="A3645" s="274" t="s">
        <x:v>6832</x:v>
      </x:c>
      <x:c r="B3645" s="274" t="n">
        <x:v>2.1</x:v>
      </x:c>
      <x:c r="C3645" s="274" t="n">
        <x:v>0</x:v>
      </x:c>
      <x:c r="D3645" s="274" t="n">
        <x:v>0</x:v>
      </x:c>
      <x:c r="F3645" s="274" t="s">
        <x:v>333</x:v>
      </x:c>
      <x:c r="G3645" s="274" t="s">
        <x:v>4663</x:v>
      </x:c>
      <x:c r="I3645" s="274" t="n">
        <x:v>1.6</x:v>
      </x:c>
      <x:c r="J3645" s="274" t="n">
        <x:v>134</x:v>
      </x:c>
      <x:c r="K3645" s="274" t="n">
        <x:v>1250</x:v>
      </x:c>
      <x:c r="M3645" s="274" t="s">
        <x:v>6833</x:v>
      </x:c>
      <x:c r="N3645" s="274" t="s">
        <x:v>5073</x:v>
      </x:c>
    </x:row>
    <x:row r="3646" spans="1:14">
      <x:c r="A3646" s="274" t="s">
        <x:v>6834</x:v>
      </x:c>
      <x:c r="B3646" s="274" t="n">
        <x:v>0.72</x:v>
      </x:c>
      <x:c r="C3646" s="274" t="n">
        <x:v>0</x:v>
      </x:c>
      <x:c r="D3646" s="274" t="n">
        <x:v>0</x:v>
      </x:c>
      <x:c r="F3646" s="274" t="s">
        <x:v>333</x:v>
      </x:c>
      <x:c r="G3646" s="274" t="s">
        <x:v>4663</x:v>
      </x:c>
      <x:c r="I3646" s="274" t="n">
        <x:v>1.6</x:v>
      </x:c>
      <x:c r="J3646" s="274" t="n">
        <x:v>180</x:v>
      </x:c>
      <x:c r="K3646" s="274" t="n">
        <x:v>320</x:v>
      </x:c>
      <x:c r="M3646" s="274" t="s">
        <x:v>6835</x:v>
      </x:c>
      <x:c r="N3646" s="274" t="s">
        <x:v>5073</x:v>
      </x:c>
    </x:row>
    <x:row r="3647" spans="1:14">
      <x:c r="A3647" s="274" t="s">
        <x:v>6836</x:v>
      </x:c>
      <x:c r="B3647" s="274" t="n">
        <x:v>2.3</x:v>
      </x:c>
      <x:c r="C3647" s="274" t="n">
        <x:v>0</x:v>
      </x:c>
      <x:c r="D3647" s="274" t="n">
        <x:v>0</x:v>
      </x:c>
      <x:c r="F3647" s="274" t="s">
        <x:v>133</x:v>
      </x:c>
      <x:c r="G3647" s="274" t="s">
        <x:v>4329</x:v>
      </x:c>
      <x:c r="I3647" s="274" t="n">
        <x:v>2</x:v>
      </x:c>
      <x:c r="J3647" s="274" t="n">
        <x:v>117</x:v>
      </x:c>
      <x:c r="K3647" s="274" t="n">
        <x:v>1250</x:v>
      </x:c>
      <x:c r="M3647" s="274" t="s">
        <x:v>6837</x:v>
      </x:c>
      <x:c r="N3647" s="274" t="s">
        <x:v>5073</x:v>
      </x:c>
    </x:row>
    <x:row r="3648" spans="1:14">
      <x:c r="A3648" s="274" t="s">
        <x:v>6838</x:v>
      </x:c>
      <x:c r="B3648" s="274" t="n">
        <x:v>3.02</x:v>
      </x:c>
      <x:c r="C3648" s="274" t="n">
        <x:v>0</x:v>
      </x:c>
      <x:c r="D3648" s="274" t="n">
        <x:v>0</x:v>
      </x:c>
      <x:c r="F3648" s="274" t="s">
        <x:v>133</x:v>
      </x:c>
      <x:c r="G3648" s="274" t="s">
        <x:v>4329</x:v>
      </x:c>
      <x:c r="I3648" s="274" t="n">
        <x:v>2</x:v>
      </x:c>
      <x:c r="J3648" s="274" t="n">
        <x:v>154</x:v>
      </x:c>
      <x:c r="K3648" s="274" t="n">
        <x:v>1250</x:v>
      </x:c>
      <x:c r="M3648" s="274" t="s">
        <x:v>6839</x:v>
      </x:c>
      <x:c r="N3648" s="274" t="s">
        <x:v>5073</x:v>
      </x:c>
    </x:row>
    <x:row r="3649" spans="1:14">
      <x:c r="A3649" s="274" t="s">
        <x:v>6840</x:v>
      </x:c>
      <x:c r="B3649" s="274" t="n">
        <x:v>5.5</x:v>
      </x:c>
      <x:c r="C3649" s="274" t="n">
        <x:v>0</x:v>
      </x:c>
      <x:c r="D3649" s="274" t="n">
        <x:v>0</x:v>
      </x:c>
      <x:c r="F3649" s="274" t="s">
        <x:v>133</x:v>
      </x:c>
      <x:c r="G3649" s="274" t="s">
        <x:v>4329</x:v>
      </x:c>
      <x:c r="I3649" s="274" t="n">
        <x:v>2</x:v>
      </x:c>
      <x:c r="J3649" s="274" t="n">
        <x:v>280</x:v>
      </x:c>
      <x:c r="K3649" s="274" t="n">
        <x:v>1250</x:v>
      </x:c>
      <x:c r="M3649" s="274" t="s">
        <x:v>6841</x:v>
      </x:c>
      <x:c r="N3649" s="274" t="s">
        <x:v>5073</x:v>
      </x:c>
    </x:row>
    <x:row r="3650" spans="1:14">
      <x:c r="A3650" s="274" t="s">
        <x:v>6842</x:v>
      </x:c>
      <x:c r="B3650" s="274" t="n">
        <x:v>6.12</x:v>
      </x:c>
      <x:c r="C3650" s="274" t="n">
        <x:v>0</x:v>
      </x:c>
      <x:c r="D3650" s="274" t="n">
        <x:v>0</x:v>
      </x:c>
      <x:c r="F3650" s="274" t="s">
        <x:v>133</x:v>
      </x:c>
      <x:c r="G3650" s="274" t="s">
        <x:v>4329</x:v>
      </x:c>
      <x:c r="I3650" s="274" t="n">
        <x:v>2</x:v>
      </x:c>
      <x:c r="J3650" s="274" t="n">
        <x:v>312</x:v>
      </x:c>
      <x:c r="K3650" s="274" t="n">
        <x:v>1250</x:v>
      </x:c>
      <x:c r="M3650" s="274" t="s">
        <x:v>6843</x:v>
      </x:c>
      <x:c r="N3650" s="274" t="s">
        <x:v>5073</x:v>
      </x:c>
    </x:row>
    <x:row r="3651" spans="1:14">
      <x:c r="A3651" s="274" t="s">
        <x:v>6844</x:v>
      </x:c>
      <x:c r="B3651" s="274" t="n">
        <x:v>7.85</x:v>
      </x:c>
      <x:c r="C3651" s="274" t="n">
        <x:v>0</x:v>
      </x:c>
      <x:c r="D3651" s="274" t="n">
        <x:v>0</x:v>
      </x:c>
      <x:c r="F3651" s="274" t="s">
        <x:v>133</x:v>
      </x:c>
      <x:c r="G3651" s="274" t="s">
        <x:v>4329</x:v>
      </x:c>
      <x:c r="I3651" s="274" t="n">
        <x:v>2</x:v>
      </x:c>
      <x:c r="J3651" s="274" t="n">
        <x:v>400</x:v>
      </x:c>
      <x:c r="K3651" s="274" t="n">
        <x:v>1250</x:v>
      </x:c>
      <x:c r="M3651" s="274" t="s">
        <x:v>6845</x:v>
      </x:c>
      <x:c r="N3651" s="274" t="s">
        <x:v>5073</x:v>
      </x:c>
    </x:row>
    <x:row r="3652" spans="1:14">
      <x:c r="A3652" s="274" t="s">
        <x:v>6846</x:v>
      </x:c>
      <x:c r="B3652" s="274" t="n">
        <x:v>1.14</x:v>
      </x:c>
      <x:c r="C3652" s="274" t="n">
        <x:v>0</x:v>
      </x:c>
      <x:c r="D3652" s="274" t="n">
        <x:v>0</x:v>
      </x:c>
      <x:c r="F3652" s="274" t="s">
        <x:v>333</x:v>
      </x:c>
      <x:c r="G3652" s="274" t="s">
        <x:v>4663</x:v>
      </x:c>
      <x:c r="I3652" s="274" t="n">
        <x:v>2</x:v>
      </x:c>
      <x:c r="J3652" s="274" t="n">
        <x:v>60</x:v>
      </x:c>
      <x:c r="K3652" s="274" t="n">
        <x:v>1210</x:v>
      </x:c>
      <x:c r="M3652" s="274" t="s">
        <x:v>6847</x:v>
      </x:c>
      <x:c r="N3652" s="274" t="s">
        <x:v>5073</x:v>
      </x:c>
    </x:row>
    <x:row r="3653" spans="1:14">
      <x:c r="A3653" s="274" t="s">
        <x:v>6848</x:v>
      </x:c>
      <x:c r="B3653" s="274" t="n">
        <x:v>0.52</x:v>
      </x:c>
      <x:c r="C3653" s="274" t="n">
        <x:v>0</x:v>
      </x:c>
      <x:c r="D3653" s="274" t="n">
        <x:v>0</x:v>
      </x:c>
      <x:c r="F3653" s="274" t="s">
        <x:v>123</x:v>
      </x:c>
      <x:c r="G3653" s="274" t="s">
        <x:v>881</x:v>
      </x:c>
      <x:c r="H3653" s="274" t="n">
        <x:v>45</x:v>
      </x:c>
      <x:c r="I3653" s="274" t="n">
        <x:v>1.4</x:v>
      </x:c>
      <x:c r="J3653" s="274" t="n">
        <x:v>154</x:v>
      </x:c>
      <x:c r="K3653" s="274" t="n">
        <x:v>304</x:v>
      </x:c>
      <x:c r="M3653" s="274" t="s">
        <x:v>6849</x:v>
      </x:c>
      <x:c r="N3653" s="274" t="s">
        <x:v>3671</x:v>
      </x:c>
    </x:row>
    <x:row r="3654" spans="1:14">
      <x:c r="A3654" s="274" t="s">
        <x:v>6850</x:v>
      </x:c>
      <x:c r="B3654" s="274" t="n">
        <x:v>5.47</x:v>
      </x:c>
      <x:c r="C3654" s="274" t="n">
        <x:v>0</x:v>
      </x:c>
      <x:c r="D3654" s="274" t="n">
        <x:v>0</x:v>
      </x:c>
      <x:c r="F3654" s="274" t="s">
        <x:v>123</x:v>
      </x:c>
      <x:c r="G3654" s="274" t="s">
        <x:v>881</x:v>
      </x:c>
      <x:c r="H3654" s="274" t="n">
        <x:v>45</x:v>
      </x:c>
      <x:c r="I3654" s="274" t="n">
        <x:v>1.4</x:v>
      </x:c>
      <x:c r="J3654" s="274" t="n">
        <x:v>558</x:v>
      </x:c>
      <x:c r="K3654" s="274" t="n">
        <x:v>885</x:v>
      </x:c>
      <x:c r="M3654" s="274" t="s">
        <x:v>5974</x:v>
      </x:c>
      <x:c r="N3654" s="274" t="s">
        <x:v>3671</x:v>
      </x:c>
    </x:row>
    <x:row r="3655" spans="1:14">
      <x:c r="A3655" s="274" t="s">
        <x:v>6851</x:v>
      </x:c>
      <x:c r="B3655" s="274" t="n">
        <x:v>1.27</x:v>
      </x:c>
      <x:c r="C3655" s="274" t="n">
        <x:v>0</x:v>
      </x:c>
      <x:c r="D3655" s="274" t="n">
        <x:v>0</x:v>
      </x:c>
      <x:c r="F3655" s="274" t="s">
        <x:v>123</x:v>
      </x:c>
      <x:c r="G3655" s="274" t="s">
        <x:v>881</x:v>
      </x:c>
      <x:c r="H3655" s="274" t="n">
        <x:v>45</x:v>
      </x:c>
      <x:c r="I3655" s="274" t="n">
        <x:v>1.4</x:v>
      </x:c>
      <x:c r="J3655" s="274" t="n">
        <x:v>370</x:v>
      </x:c>
      <x:c r="K3655" s="274" t="n">
        <x:v>310</x:v>
      </x:c>
      <x:c r="M3655" s="274" t="s">
        <x:v>6852</x:v>
      </x:c>
      <x:c r="N3655" s="274" t="s">
        <x:v>3671</x:v>
      </x:c>
    </x:row>
    <x:row r="3656" spans="1:14">
      <x:c r="A3656" s="274" t="s">
        <x:v>6853</x:v>
      </x:c>
      <x:c r="B3656" s="274" t="n">
        <x:v>9.97</x:v>
      </x:c>
      <x:c r="C3656" s="274" t="n">
        <x:v>0</x:v>
      </x:c>
      <x:c r="D3656" s="274" t="n">
        <x:v>0</x:v>
      </x:c>
      <x:c r="F3656" s="274" t="s">
        <x:v>123</x:v>
      </x:c>
      <x:c r="G3656" s="274" t="s">
        <x:v>881</x:v>
      </x:c>
      <x:c r="H3656" s="274" t="n">
        <x:v>45</x:v>
      </x:c>
      <x:c r="I3656" s="274" t="n">
        <x:v>1.4</x:v>
      </x:c>
      <x:c r="J3656" s="274" t="n">
        <x:v>750</x:v>
      </x:c>
      <x:c r="K3656" s="274" t="n">
        <x:v>1200</x:v>
      </x:c>
      <x:c r="M3656" s="274" t="s">
        <x:v>6854</x:v>
      </x:c>
      <x:c r="N3656" s="274" t="s">
        <x:v>3671</x:v>
      </x:c>
    </x:row>
    <x:row r="3657" spans="1:14">
      <x:c r="A3657" s="274" t="s">
        <x:v>6855</x:v>
      </x:c>
      <x:c r="B3657" s="274" t="n">
        <x:v>0.75</x:v>
      </x:c>
      <x:c r="C3657" s="274" t="n">
        <x:v>0</x:v>
      </x:c>
      <x:c r="D3657" s="274" t="n">
        <x:v>0</x:v>
      </x:c>
      <x:c r="F3657" s="274" t="s">
        <x:v>133</x:v>
      </x:c>
      <x:c r="G3657" s="274" t="s">
        <x:v>144</x:v>
      </x:c>
      <x:c r="H3657" s="274" t="n">
        <x:v>45</x:v>
      </x:c>
      <x:c r="I3657" s="274" t="n">
        <x:v>1.6</x:v>
      </x:c>
      <x:c r="J3657" s="274" t="n">
        <x:v>148</x:v>
      </x:c>
      <x:c r="K3657" s="274" t="n">
        <x:v>400</x:v>
      </x:c>
      <x:c r="M3657" s="274" t="s">
        <x:v>6856</x:v>
      </x:c>
      <x:c r="N3657" s="274" t="s">
        <x:v>3671</x:v>
      </x:c>
    </x:row>
    <x:row r="3658" spans="1:14">
      <x:c r="A3658" s="274" t="s">
        <x:v>6857</x:v>
      </x:c>
      <x:c r="B3658" s="274" t="n">
        <x:v>0.29</x:v>
      </x:c>
      <x:c r="C3658" s="274" t="n">
        <x:v>0</x:v>
      </x:c>
      <x:c r="D3658" s="274" t="n">
        <x:v>0</x:v>
      </x:c>
      <x:c r="F3658" s="274" t="s">
        <x:v>133</x:v>
      </x:c>
      <x:c r="G3658" s="274" t="s">
        <x:v>144</x:v>
      </x:c>
      <x:c r="H3658" s="274" t="n">
        <x:v>45</x:v>
      </x:c>
      <x:c r="I3658" s="274" t="n">
        <x:v>1.6</x:v>
      </x:c>
      <x:c r="J3658" s="274" t="n">
        <x:v>164</x:v>
      </x:c>
      <x:c r="K3658" s="274" t="n">
        <x:v>141</x:v>
      </x:c>
      <x:c r="M3658" s="274" t="s">
        <x:v>6858</x:v>
      </x:c>
      <x:c r="N3658" s="274" t="s">
        <x:v>3671</x:v>
      </x:c>
    </x:row>
    <x:row r="3659" spans="1:14">
      <x:c r="A3659" s="274" t="s">
        <x:v>6859</x:v>
      </x:c>
      <x:c r="B3659" s="274" t="n">
        <x:v>1.05</x:v>
      </x:c>
      <x:c r="C3659" s="274" t="n">
        <x:v>0</x:v>
      </x:c>
      <x:c r="D3659" s="274" t="n">
        <x:v>0</x:v>
      </x:c>
      <x:c r="F3659" s="274" t="s">
        <x:v>133</x:v>
      </x:c>
      <x:c r="G3659" s="274" t="s">
        <x:v>144</x:v>
      </x:c>
      <x:c r="H3659" s="274" t="n">
        <x:v>45</x:v>
      </x:c>
      <x:c r="I3659" s="274" t="n">
        <x:v>1.6</x:v>
      </x:c>
      <x:c r="J3659" s="274" t="n">
        <x:v>157</x:v>
      </x:c>
      <x:c r="K3659" s="274" t="n">
        <x:v>527</x:v>
      </x:c>
      <x:c r="M3659" s="274" t="s">
        <x:v>5984</x:v>
      </x:c>
      <x:c r="N3659" s="274" t="s">
        <x:v>3671</x:v>
      </x:c>
    </x:row>
    <x:row r="3660" spans="1:14">
      <x:c r="A3660" s="274" t="s">
        <x:v>6860</x:v>
      </x:c>
      <x:c r="B3660" s="274" t="n">
        <x:v>0.78</x:v>
      </x:c>
      <x:c r="C3660" s="274" t="n">
        <x:v>0</x:v>
      </x:c>
      <x:c r="D3660" s="274" t="n">
        <x:v>0</x:v>
      </x:c>
      <x:c r="F3660" s="274" t="s">
        <x:v>133</x:v>
      </x:c>
      <x:c r="G3660" s="274" t="s">
        <x:v>136</x:v>
      </x:c>
      <x:c r="H3660" s="274" t="n">
        <x:v>45</x:v>
      </x:c>
      <x:c r="I3660" s="274" t="n">
        <x:v>1.6</x:v>
      </x:c>
      <x:c r="J3660" s="274" t="n">
        <x:v>315</x:v>
      </x:c>
      <x:c r="K3660" s="274" t="n">
        <x:v>195</x:v>
      </x:c>
      <x:c r="M3660" s="274" t="s">
        <x:v>6861</x:v>
      </x:c>
      <x:c r="N3660" s="274" t="s">
        <x:v>3671</x:v>
      </x:c>
    </x:row>
    <x:row r="3661" spans="1:14">
      <x:c r="A3661" s="274" t="s">
        <x:v>6862</x:v>
      </x:c>
      <x:c r="B3661" s="274" t="n">
        <x:v>2.92</x:v>
      </x:c>
      <x:c r="C3661" s="274" t="n">
        <x:v>0</x:v>
      </x:c>
      <x:c r="D3661" s="274" t="n">
        <x:v>0</x:v>
      </x:c>
      <x:c r="F3661" s="274" t="s">
        <x:v>4231</x:v>
      </x:c>
      <x:c r="G3661" s="274" t="s">
        <x:v>6863</x:v>
      </x:c>
      <x:c r="I3661" s="274" t="n">
        <x:v>1.5</x:v>
      </x:c>
      <x:c r="J3661" s="274" t="n">
        <x:v>225</x:v>
      </x:c>
      <x:c r="K3661" s="274" t="n">
        <x:v>1100</x:v>
      </x:c>
      <x:c r="M3661" s="274" t="s">
        <x:v>6864</x:v>
      </x:c>
      <x:c r="N3661" s="274" t="s">
        <x:v>3671</x:v>
      </x:c>
    </x:row>
    <x:row r="3662" spans="1:14">
      <x:c r="A3662" s="274" t="s">
        <x:v>6865</x:v>
      </x:c>
      <x:c r="B3662" s="274" t="n">
        <x:v>1.15</x:v>
      </x:c>
      <x:c r="C3662" s="274" t="n">
        <x:v>0</x:v>
      </x:c>
      <x:c r="D3662" s="274" t="n">
        <x:v>0</x:v>
      </x:c>
      <x:c r="F3662" s="274" t="s">
        <x:v>133</x:v>
      </x:c>
      <x:c r="G3662" s="274" t="s">
        <x:v>136</x:v>
      </x:c>
      <x:c r="H3662" s="274" t="n">
        <x:v>45</x:v>
      </x:c>
      <x:c r="I3662" s="274" t="n">
        <x:v>1.6</x:v>
      </x:c>
      <x:c r="J3662" s="274" t="n">
        <x:v>372</x:v>
      </x:c>
      <x:c r="K3662" s="274" t="n">
        <x:v>244</x:v>
      </x:c>
      <x:c r="M3662" s="274" t="s">
        <x:v>6866</x:v>
      </x:c>
      <x:c r="N3662" s="274" t="s">
        <x:v>3671</x:v>
      </x:c>
    </x:row>
    <x:row r="3663" spans="1:14">
      <x:c r="A3663" s="274" t="s">
        <x:v>6867</x:v>
      </x:c>
      <x:c r="B3663" s="274" t="n">
        <x:v>0.52</x:v>
      </x:c>
      <x:c r="C3663" s="274" t="n">
        <x:v>0</x:v>
      </x:c>
      <x:c r="D3663" s="274" t="n">
        <x:v>0</x:v>
      </x:c>
      <x:c r="F3663" s="274" t="s">
        <x:v>133</x:v>
      </x:c>
      <x:c r="G3663" s="274" t="s">
        <x:v>136</x:v>
      </x:c>
      <x:c r="H3663" s="274" t="n">
        <x:v>45</x:v>
      </x:c>
      <x:c r="I3663" s="274" t="n">
        <x:v>1.6</x:v>
      </x:c>
      <x:c r="J3663" s="274" t="n">
        <x:v>290</x:v>
      </x:c>
      <x:c r="K3663" s="274" t="n">
        <x:v>142</x:v>
      </x:c>
      <x:c r="M3663" s="274" t="s">
        <x:v>6868</x:v>
      </x:c>
      <x:c r="N3663" s="274" t="s">
        <x:v>3671</x:v>
      </x:c>
    </x:row>
    <x:row r="3664" spans="1:14">
      <x:c r="A3664" s="274" t="s">
        <x:v>6869</x:v>
      </x:c>
      <x:c r="B3664" s="274" t="n">
        <x:v>1.68</x:v>
      </x:c>
      <x:c r="C3664" s="274" t="n">
        <x:v>0</x:v>
      </x:c>
      <x:c r="D3664" s="274" t="n">
        <x:v>0</x:v>
      </x:c>
      <x:c r="F3664" s="274" t="s">
        <x:v>333</x:v>
      </x:c>
      <x:c r="G3664" s="274" t="s">
        <x:v>334</x:v>
      </x:c>
      <x:c r="I3664" s="274" t="n">
        <x:v>1.8</x:v>
      </x:c>
      <x:c r="J3664" s="274" t="n">
        <x:v>700</x:v>
      </x:c>
      <x:c r="K3664" s="274" t="n">
        <x:v>170</x:v>
      </x:c>
      <x:c r="M3664" s="274" t="s">
        <x:v>6870</x:v>
      </x:c>
      <x:c r="N3664" s="274" t="s">
        <x:v>3671</x:v>
      </x:c>
    </x:row>
    <x:row r="3665" spans="1:14">
      <x:c r="A3665" s="274" t="s">
        <x:v>6871</x:v>
      </x:c>
      <x:c r="B3665" s="274" t="n">
        <x:v>15.94</x:v>
      </x:c>
      <x:c r="C3665" s="274" t="n">
        <x:v>0</x:v>
      </x:c>
      <x:c r="D3665" s="274" t="n">
        <x:v>0</x:v>
      </x:c>
      <x:c r="F3665" s="274" t="s">
        <x:v>333</x:v>
      </x:c>
      <x:c r="G3665" s="274" t="s">
        <x:v>334</x:v>
      </x:c>
      <x:c r="I3665" s="274" t="n">
        <x:v>1.8</x:v>
      </x:c>
      <x:c r="J3665" s="274" t="n">
        <x:v>940</x:v>
      </x:c>
      <x:c r="K3665" s="274" t="n">
        <x:v>1200</x:v>
      </x:c>
      <x:c r="M3665" s="274" t="s">
        <x:v>6872</x:v>
      </x:c>
      <x:c r="N3665" s="274" t="s">
        <x:v>3671</x:v>
      </x:c>
    </x:row>
    <x:row r="3666" spans="1:14">
      <x:c r="A3666" s="274" t="s">
        <x:v>6873</x:v>
      </x:c>
      <x:c r="B3666" s="274" t="n">
        <x:v>0.58</x:v>
      </x:c>
      <x:c r="C3666" s="274" t="n">
        <x:v>0</x:v>
      </x:c>
      <x:c r="D3666" s="274" t="n">
        <x:v>0</x:v>
      </x:c>
      <x:c r="F3666" s="274" t="s">
        <x:v>128</x:v>
      </x:c>
      <x:c r="G3666" s="274" t="s">
        <x:v>3314</x:v>
      </x:c>
      <x:c r="H3666" s="274" t="n">
        <x:v>45</x:v>
      </x:c>
      <x:c r="I3666" s="274" t="n">
        <x:v>2</x:v>
      </x:c>
      <x:c r="J3666" s="274" t="n">
        <x:v>156</x:v>
      </x:c>
      <x:c r="K3666" s="274" t="n">
        <x:v>235</x:v>
      </x:c>
      <x:c r="M3666" s="274" t="s">
        <x:v>6874</x:v>
      </x:c>
      <x:c r="N3666" s="274" t="s">
        <x:v>3671</x:v>
      </x:c>
    </x:row>
    <x:row r="3667" spans="1:14">
      <x:c r="A3667" s="274" t="s">
        <x:v>6875</x:v>
      </x:c>
      <x:c r="B3667" s="274" t="n">
        <x:v>10.59</x:v>
      </x:c>
      <x:c r="C3667" s="274" t="n">
        <x:v>0</x:v>
      </x:c>
      <x:c r="D3667" s="274" t="n">
        <x:v>0</x:v>
      </x:c>
      <x:c r="F3667" s="274" t="s">
        <x:v>123</x:v>
      </x:c>
      <x:c r="G3667" s="274" t="s">
        <x:v>209</x:v>
      </x:c>
      <x:c r="I3667" s="274" t="n">
        <x:v>2</x:v>
      </x:c>
      <x:c r="J3667" s="274" t="n">
        <x:v>562</x:v>
      </x:c>
      <x:c r="K3667" s="274" t="n">
        <x:v>1200</x:v>
      </x:c>
      <x:c r="M3667" s="274" t="s">
        <x:v>5653</x:v>
      </x:c>
      <x:c r="N3667" s="274" t="s">
        <x:v>3671</x:v>
      </x:c>
    </x:row>
    <x:row r="3668" spans="1:14">
      <x:c r="A3668" s="274" t="s">
        <x:v>6876</x:v>
      </x:c>
      <x:c r="B3668" s="274" t="n">
        <x:v>1.99</x:v>
      </x:c>
      <x:c r="C3668" s="274" t="n">
        <x:v>0</x:v>
      </x:c>
      <x:c r="D3668" s="274" t="n">
        <x:v>0</x:v>
      </x:c>
      <x:c r="F3668" s="274" t="s">
        <x:v>184</x:v>
      </x:c>
      <x:c r="G3668" s="274" t="s">
        <x:v>144</x:v>
      </x:c>
      <x:c r="H3668" s="274" t="n">
        <x:v>45</x:v>
      </x:c>
      <x:c r="I3668" s="274" t="n">
        <x:v>2.3</x:v>
      </x:c>
      <x:c r="J3668" s="274" t="n">
        <x:v>344</x:v>
      </x:c>
      <x:c r="K3668" s="274" t="n">
        <x:v>319</x:v>
      </x:c>
      <x:c r="M3668" s="274" t="s">
        <x:v>5651</x:v>
      </x:c>
      <x:c r="N3668" s="274" t="s">
        <x:v>3671</x:v>
      </x:c>
    </x:row>
    <x:row r="3669" spans="1:14">
      <x:c r="A3669" s="274" t="s">
        <x:v>6877</x:v>
      </x:c>
      <x:c r="B3669" s="274" t="n">
        <x:v>3.37</x:v>
      </x:c>
      <x:c r="C3669" s="274" t="n">
        <x:v>0</x:v>
      </x:c>
      <x:c r="D3669" s="274" t="n">
        <x:v>0</x:v>
      </x:c>
      <x:c r="F3669" s="274" t="s">
        <x:v>123</x:v>
      </x:c>
      <x:c r="G3669" s="274" t="s">
        <x:v>136</x:v>
      </x:c>
      <x:c r="H3669" s="274" t="n">
        <x:v>45</x:v>
      </x:c>
      <x:c r="I3669" s="274" t="n">
        <x:v>2.3</x:v>
      </x:c>
      <x:c r="J3669" s="274" t="n">
        <x:v>793</x:v>
      </x:c>
      <x:c r="K3669" s="274" t="n">
        <x:v>234</x:v>
      </x:c>
      <x:c r="M3669" s="274" t="s">
        <x:v>6878</x:v>
      </x:c>
      <x:c r="N3669" s="274" t="s">
        <x:v>3671</x:v>
      </x:c>
    </x:row>
    <x:row r="3670" spans="1:14">
      <x:c r="A3670" s="274" t="s">
        <x:v>6879</x:v>
      </x:c>
      <x:c r="B3670" s="274" t="n">
        <x:v>0.97</x:v>
      </x:c>
      <x:c r="C3670" s="274" t="n">
        <x:v>0</x:v>
      </x:c>
      <x:c r="D3670" s="274" t="n">
        <x:v>0</x:v>
      </x:c>
      <x:c r="F3670" s="274" t="s">
        <x:v>133</x:v>
      </x:c>
      <x:c r="G3670" s="274" t="s">
        <x:v>134</x:v>
      </x:c>
      <x:c r="I3670" s="274" t="n">
        <x:v>2.8</x:v>
      </x:c>
      <x:c r="J3670" s="274" t="n">
        <x:v>105</x:v>
      </x:c>
      <x:c r="K3670" s="274" t="n">
        <x:v>422</x:v>
      </x:c>
      <x:c r="M3670" s="274" t="s">
        <x:v>6880</x:v>
      </x:c>
      <x:c r="N3670" s="274" t="s">
        <x:v>3671</x:v>
      </x:c>
    </x:row>
    <x:row r="3671" spans="1:14">
      <x:c r="A3671" s="274" t="s">
        <x:v>6881</x:v>
      </x:c>
      <x:c r="B3671" s="274" t="n">
        <x:v>2.76</x:v>
      </x:c>
      <x:c r="C3671" s="274" t="n">
        <x:v>0</x:v>
      </x:c>
      <x:c r="D3671" s="274" t="n">
        <x:v>37</x:v>
      </x:c>
      <x:c r="E3671" s="274" t="n">
        <x:v>0</x:v>
      </x:c>
      <x:c r="F3671" s="274" t="s">
        <x:v>133</x:v>
      </x:c>
      <x:c r="G3671" s="274" t="s">
        <x:v>3304</x:v>
      </x:c>
      <x:c r="I3671" s="274" t="n">
        <x:v>0.75</x:v>
      </x:c>
      <x:c r="J3671" s="274" t="n">
        <x:v>720</x:v>
      </x:c>
      <x:c r="K3671" s="274" t="n">
        <x:v>700</x:v>
      </x:c>
      <x:c r="L3671" s="274" t="n">
        <x:v>600</x:v>
      </x:c>
      <x:c r="M3671" s="274" t="s">
        <x:v>6882</x:v>
      </x:c>
      <x:c r="N3671" s="274" t="s">
        <x:v>6441</x:v>
      </x:c>
    </x:row>
    <x:row r="3672" spans="1:14">
      <x:c r="A3672" s="274" t="s">
        <x:v>6883</x:v>
      </x:c>
      <x:c r="B3672" s="274" t="n">
        <x:v>1.55</x:v>
      </x:c>
      <x:c r="C3672" s="274" t="n">
        <x:v>0</x:v>
      </x:c>
      <x:c r="D3672" s="274" t="n">
        <x:v>0</x:v>
      </x:c>
      <x:c r="F3672" s="274" t="s">
        <x:v>128</x:v>
      </x:c>
      <x:c r="G3672" s="274" t="s">
        <x:v>496</x:v>
      </x:c>
      <x:c r="H3672" s="274" t="n">
        <x:v>45</x:v>
      </x:c>
      <x:c r="I3672" s="274" t="n">
        <x:v>2.8</x:v>
      </x:c>
      <x:c r="J3672" s="274" t="n">
        <x:v>160</x:v>
      </x:c>
      <x:c r="K3672" s="274" t="n">
        <x:v>438</x:v>
      </x:c>
      <x:c r="M3672" s="274" t="s">
        <x:v>5649</x:v>
      </x:c>
      <x:c r="N3672" s="274" t="s">
        <x:v>3671</x:v>
      </x:c>
    </x:row>
    <x:row r="3673" spans="1:14">
      <x:c r="A3673" s="274" t="s">
        <x:v>6884</x:v>
      </x:c>
      <x:c r="B3673" s="274" t="n">
        <x:v>1.12</x:v>
      </x:c>
      <x:c r="C3673" s="274" t="n">
        <x:v>0</x:v>
      </x:c>
      <x:c r="D3673" s="274" t="n">
        <x:v>0</x:v>
      </x:c>
      <x:c r="F3673" s="274" t="s">
        <x:v>128</x:v>
      </x:c>
      <x:c r="G3673" s="274" t="s">
        <x:v>496</x:v>
      </x:c>
      <x:c r="H3673" s="274" t="n">
        <x:v>45</x:v>
      </x:c>
      <x:c r="I3673" s="274" t="n">
        <x:v>2.9</x:v>
      </x:c>
      <x:c r="J3673" s="274" t="n">
        <x:v>82</x:v>
      </x:c>
      <x:c r="K3673" s="274" t="n">
        <x:v>597</x:v>
      </x:c>
      <x:c r="M3673" s="274" t="s">
        <x:v>5655</x:v>
      </x:c>
      <x:c r="N3673" s="274" t="s">
        <x:v>3671</x:v>
      </x:c>
    </x:row>
    <x:row r="3674" spans="1:14">
      <x:c r="A3674" s="274" t="s">
        <x:v>6885</x:v>
      </x:c>
      <x:c r="B3674" s="274" t="n">
        <x:v>19.41</x:v>
      </x:c>
      <x:c r="C3674" s="274" t="n">
        <x:v>0</x:v>
      </x:c>
      <x:c r="D3674" s="274" t="n">
        <x:v>35</x:v>
      </x:c>
      <x:c r="E3674" s="274" t="n">
        <x:v>30</x:v>
      </x:c>
      <x:c r="F3674" s="274" t="s">
        <x:v>133</x:v>
      </x:c>
      <x:c r="G3674" s="274" t="s">
        <x:v>148</x:v>
      </x:c>
      <x:c r="I3674" s="274" t="n">
        <x:v>3.2</x:v>
      </x:c>
      <x:c r="J3674" s="274" t="n">
        <x:v>644</x:v>
      </x:c>
      <x:c r="K3674" s="274" t="n">
        <x:v>1200</x:v>
      </x:c>
      <x:c r="M3674" s="274" t="s">
        <x:v>6886</x:v>
      </x:c>
      <x:c r="N3674" s="274" t="s">
        <x:v>3671</x:v>
      </x:c>
    </x:row>
    <x:row r="3675" spans="1:14">
      <x:c r="A3675" s="274" t="s">
        <x:v>6887</x:v>
      </x:c>
      <x:c r="B3675" s="274" t="n">
        <x:v>0.56</x:v>
      </x:c>
      <x:c r="C3675" s="274" t="n">
        <x:v>0</x:v>
      </x:c>
      <x:c r="D3675" s="274" t="n">
        <x:v>0</x:v>
      </x:c>
      <x:c r="F3675" s="274" t="s">
        <x:v>133</x:v>
      </x:c>
      <x:c r="G3675" s="274" t="s">
        <x:v>144</x:v>
      </x:c>
      <x:c r="H3675" s="274" t="n">
        <x:v>45</x:v>
      </x:c>
      <x:c r="I3675" s="274" t="n">
        <x:v>2</x:v>
      </x:c>
      <x:c r="J3675" s="274" t="n">
        <x:v>205</x:v>
      </x:c>
      <x:c r="K3675" s="274" t="n">
        <x:v>172</x:v>
      </x:c>
      <x:c r="M3675" s="274" t="s">
        <x:v>6888</x:v>
      </x:c>
      <x:c r="N3675" s="274" t="s">
        <x:v>3671</x:v>
      </x:c>
    </x:row>
    <x:row r="3676" spans="1:14">
      <x:c r="A3676" s="274" t="s">
        <x:v>6889</x:v>
      </x:c>
      <x:c r="B3676" s="274" t="n">
        <x:v>13.78</x:v>
      </x:c>
      <x:c r="C3676" s="274" t="n">
        <x:v>0</x:v>
      </x:c>
      <x:c r="D3676" s="274" t="n">
        <x:v>32</x:v>
      </x:c>
      <x:c r="E3676" s="274" t="n">
        <x:v>32</x:v>
      </x:c>
      <x:c r="F3676" s="274" t="s">
        <x:v>333</x:v>
      </x:c>
      <x:c r="G3676" s="274" t="s">
        <x:v>153</x:v>
      </x:c>
      <x:c r="I3676" s="274" t="n">
        <x:v>1.4</x:v>
      </x:c>
      <x:c r="J3676" s="274" t="n">
        <x:v>1045</x:v>
      </x:c>
      <x:c r="K3676" s="274" t="n">
        <x:v>1200</x:v>
      </x:c>
      <x:c r="M3676" s="274" t="s">
        <x:v>6890</x:v>
      </x:c>
      <x:c r="N3676" s="274" t="s">
        <x:v>3671</x:v>
      </x:c>
    </x:row>
    <x:row r="3677" spans="1:14">
      <x:c r="A3677" s="274" t="s">
        <x:v>6891</x:v>
      </x:c>
      <x:c r="B3677" s="274" t="n">
        <x:v>0.58</x:v>
      </x:c>
      <x:c r="C3677" s="274" t="n">
        <x:v>0</x:v>
      </x:c>
      <x:c r="D3677" s="274" t="n">
        <x:v>0</x:v>
      </x:c>
      <x:c r="F3677" s="274" t="s">
        <x:v>133</x:v>
      </x:c>
      <x:c r="G3677" s="274" t="s">
        <x:v>144</x:v>
      </x:c>
      <x:c r="H3677" s="274" t="n">
        <x:v>45</x:v>
      </x:c>
      <x:c r="I3677" s="274" t="n">
        <x:v>1.4</x:v>
      </x:c>
      <x:c r="J3677" s="274" t="n">
        <x:v>318</x:v>
      </x:c>
      <x:c r="K3677" s="274" t="n">
        <x:v>165</x:v>
      </x:c>
      <x:c r="M3677" s="274" t="s">
        <x:v>6892</x:v>
      </x:c>
      <x:c r="N3677" s="274" t="s">
        <x:v>3671</x:v>
      </x:c>
    </x:row>
    <x:row r="3678" spans="1:14">
      <x:c r="A3678" s="274" t="s">
        <x:v>6893</x:v>
      </x:c>
      <x:c r="B3678" s="274" t="n">
        <x:v>1.46</x:v>
      </x:c>
      <x:c r="C3678" s="274" t="n">
        <x:v>0</x:v>
      </x:c>
      <x:c r="D3678" s="274" t="n">
        <x:v>0</x:v>
      </x:c>
      <x:c r="F3678" s="274" t="s">
        <x:v>184</x:v>
      </x:c>
      <x:c r="G3678" s="274" t="s">
        <x:v>3413</x:v>
      </x:c>
      <x:c r="H3678" s="274" t="n">
        <x:v>45</x:v>
      </x:c>
      <x:c r="I3678" s="274" t="n">
        <x:v>1.4</x:v>
      </x:c>
      <x:c r="J3678" s="274" t="n">
        <x:v>550</x:v>
      </x:c>
      <x:c r="K3678" s="274" t="n">
        <x:v>240</x:v>
      </x:c>
      <x:c r="M3678" s="274" t="s">
        <x:v>6320</x:v>
      </x:c>
      <x:c r="N3678" s="274" t="s">
        <x:v>3671</x:v>
      </x:c>
    </x:row>
    <x:row r="3679" spans="1:14">
      <x:c r="A3679" s="274" t="s">
        <x:v>6894</x:v>
      </x:c>
      <x:c r="B3679" s="274" t="n">
        <x:v>15.61</x:v>
      </x:c>
      <x:c r="C3679" s="274" t="n">
        <x:v>0</x:v>
      </x:c>
      <x:c r="D3679" s="274" t="n">
        <x:v>0</x:v>
      </x:c>
      <x:c r="F3679" s="274" t="s">
        <x:v>333</x:v>
      </x:c>
      <x:c r="G3679" s="274" t="s">
        <x:v>334</x:v>
      </x:c>
      <x:c r="I3679" s="274" t="n">
        <x:v>1.4</x:v>
      </x:c>
      <x:c r="J3679" s="274" t="n">
        <x:v>1183</x:v>
      </x:c>
      <x:c r="K3679" s="274" t="n">
        <x:v>1200</x:v>
      </x:c>
      <x:c r="M3679" s="274" t="s">
        <x:v>6895</x:v>
      </x:c>
      <x:c r="N3679" s="274" t="s">
        <x:v>3671</x:v>
      </x:c>
    </x:row>
    <x:row r="3680" spans="1:14">
      <x:c r="A3680" s="274" t="s">
        <x:v>6896</x:v>
      </x:c>
      <x:c r="B3680" s="274" t="n">
        <x:v>0.89</x:v>
      </x:c>
      <x:c r="C3680" s="274" t="n">
        <x:v>0</x:v>
      </x:c>
      <x:c r="D3680" s="274" t="n">
        <x:v>0</x:v>
      </x:c>
      <x:c r="F3680" s="274" t="s">
        <x:v>333</x:v>
      </x:c>
      <x:c r="G3680" s="274" t="s">
        <x:v>124</x:v>
      </x:c>
      <x:c r="I3680" s="274" t="n">
        <x:v>1.6</x:v>
      </x:c>
      <x:c r="J3680" s="274" t="n">
        <x:v>114</x:v>
      </x:c>
      <x:c r="K3680" s="274" t="n">
        <x:v>621</x:v>
      </x:c>
      <x:c r="M3680" s="274" t="s">
        <x:v>5427</x:v>
      </x:c>
      <x:c r="N3680" s="274" t="s">
        <x:v>3671</x:v>
      </x:c>
    </x:row>
    <x:row r="3681" spans="1:14">
      <x:c r="A3681" s="274" t="s">
        <x:v>6897</x:v>
      </x:c>
      <x:c r="B3681" s="274" t="n">
        <x:v>2.55</x:v>
      </x:c>
      <x:c r="C3681" s="274" t="n">
        <x:v>0</x:v>
      </x:c>
      <x:c r="D3681" s="274" t="n">
        <x:v>0</x:v>
      </x:c>
      <x:c r="F3681" s="274" t="s">
        <x:v>123</x:v>
      </x:c>
      <x:c r="G3681" s="274" t="s">
        <x:v>881</x:v>
      </x:c>
      <x:c r="H3681" s="274" t="n">
        <x:v>45</x:v>
      </x:c>
      <x:c r="I3681" s="274" t="n">
        <x:v>1.6</x:v>
      </x:c>
      <x:c r="J3681" s="274" t="n">
        <x:v>610</x:v>
      </x:c>
      <x:c r="K3681" s="274" t="n">
        <x:v>330</x:v>
      </x:c>
      <x:c r="M3681" s="274" t="s">
        <x:v>6898</x:v>
      </x:c>
      <x:c r="N3681" s="274" t="s">
        <x:v>6437</x:v>
      </x:c>
    </x:row>
    <x:row r="3682" spans="1:14">
      <x:c r="A3682" s="274" t="s">
        <x:v>6899</x:v>
      </x:c>
      <x:c r="B3682" s="274" t="n">
        <x:v>1.7</x:v>
      </x:c>
      <x:c r="C3682" s="274" t="n">
        <x:v>0</x:v>
      </x:c>
      <x:c r="D3682" s="274" t="n">
        <x:v>0</x:v>
      </x:c>
      <x:c r="F3682" s="274" t="s">
        <x:v>333</x:v>
      </x:c>
      <x:c r="G3682" s="274" t="s">
        <x:v>124</x:v>
      </x:c>
      <x:c r="I3682" s="274" t="n">
        <x:v>1.6</x:v>
      </x:c>
      <x:c r="J3682" s="274" t="n">
        <x:v>535</x:v>
      </x:c>
      <x:c r="K3682" s="274" t="n">
        <x:v>253</x:v>
      </x:c>
      <x:c r="M3682" s="274" t="s">
        <x:v>6900</x:v>
      </x:c>
      <x:c r="N3682" s="274" t="s">
        <x:v>3671</x:v>
      </x:c>
    </x:row>
    <x:row r="3683" spans="1:14">
      <x:c r="A3683" s="274" t="s">
        <x:v>6901</x:v>
      </x:c>
      <x:c r="B3683" s="274" t="n">
        <x:v>4.12</x:v>
      </x:c>
      <x:c r="C3683" s="274" t="n">
        <x:v>0</x:v>
      </x:c>
      <x:c r="D3683" s="274" t="n">
        <x:v>0</x:v>
      </x:c>
      <x:c r="F3683" s="274" t="s">
        <x:v>333</x:v>
      </x:c>
      <x:c r="G3683" s="274" t="s">
        <x:v>334</x:v>
      </x:c>
      <x:c r="I3683" s="274" t="n">
        <x:v>1.6</x:v>
      </x:c>
      <x:c r="J3683" s="274" t="n">
        <x:v>1010</x:v>
      </x:c>
      <x:c r="K3683" s="274" t="n">
        <x:v>325</x:v>
      </x:c>
      <x:c r="M3683" s="274" t="s">
        <x:v>5994</x:v>
      </x:c>
      <x:c r="N3683" s="274" t="s">
        <x:v>3671</x:v>
      </x:c>
    </x:row>
    <x:row r="3684" spans="1:14">
      <x:c r="A3684" s="274" t="s">
        <x:v>6902</x:v>
      </x:c>
      <x:c r="B3684" s="274" t="n">
        <x:v>4.97</x:v>
      </x:c>
      <x:c r="C3684" s="274" t="n">
        <x:v>0</x:v>
      </x:c>
      <x:c r="D3684" s="274" t="n">
        <x:v>28</x:v>
      </x:c>
      <x:c r="E3684" s="274" t="n">
        <x:v>26</x:v>
      </x:c>
      <x:c r="F3684" s="274" t="s">
        <x:v>133</x:v>
      </x:c>
      <x:c r="G3684" s="274" t="s">
        <x:v>136</x:v>
      </x:c>
      <x:c r="H3684" s="274" t="n">
        <x:v>45</x:v>
      </x:c>
      <x:c r="I3684" s="274" t="n">
        <x:v>1.4</x:v>
      </x:c>
      <x:c r="J3684" s="274" t="n">
        <x:v>460</x:v>
      </x:c>
      <x:c r="K3684" s="274" t="n">
        <x:v>975</x:v>
      </x:c>
      <x:c r="M3684" s="274" t="s">
        <x:v>6903</x:v>
      </x:c>
      <x:c r="N3684" s="274" t="s">
        <x:v>3671</x:v>
      </x:c>
    </x:row>
    <x:row r="3685" spans="1:14">
      <x:c r="A3685" s="274" t="s">
        <x:v>6904</x:v>
      </x:c>
      <x:c r="B3685" s="274" t="n">
        <x:v>2.92</x:v>
      </x:c>
      <x:c r="C3685" s="274" t="n">
        <x:v>0</x:v>
      </x:c>
      <x:c r="D3685" s="274" t="n">
        <x:v>45</x:v>
      </x:c>
      <x:c r="E3685" s="274" t="n">
        <x:v>40</x:v>
      </x:c>
      <x:c r="F3685" s="274" t="s">
        <x:v>123</x:v>
      </x:c>
      <x:c r="G3685" s="274" t="s">
        <x:v>3410</x:v>
      </x:c>
      <x:c r="I3685" s="274" t="n">
        <x:v>1.4</x:v>
      </x:c>
      <x:c r="J3685" s="274" t="n">
        <x:v>745</x:v>
      </x:c>
      <x:c r="K3685" s="274" t="n">
        <x:v>357</x:v>
      </x:c>
      <x:c r="M3685" s="274" t="s">
        <x:v>6905</x:v>
      </x:c>
      <x:c r="N3685" s="274" t="s">
        <x:v>3671</x:v>
      </x:c>
    </x:row>
    <x:row r="3686" spans="1:14">
      <x:c r="A3686" s="274" t="s">
        <x:v>6906</x:v>
      </x:c>
      <x:c r="B3686" s="274" t="n">
        <x:v>0.21</x:v>
      </x:c>
      <x:c r="C3686" s="274" t="n">
        <x:v>0</x:v>
      </x:c>
      <x:c r="D3686" s="274" t="n">
        <x:v>0</x:v>
      </x:c>
      <x:c r="F3686" s="274" t="s">
        <x:v>333</x:v>
      </x:c>
      <x:c r="G3686" s="274" t="s">
        <x:v>209</x:v>
      </x:c>
      <x:c r="I3686" s="274" t="n">
        <x:v>0.6</x:v>
      </x:c>
      <x:c r="J3686" s="274" t="n">
        <x:v>105</x:v>
      </x:c>
      <x:c r="K3686" s="274" t="n">
        <x:v>425</x:v>
      </x:c>
      <x:c r="M3686" s="274" t="s">
        <x:v>6907</x:v>
      </x:c>
      <x:c r="N3686" s="274" t="s">
        <x:v>3671</x:v>
      </x:c>
    </x:row>
    <x:row r="3687" spans="1:14">
      <x:c r="A3687" s="274" t="s">
        <x:v>6908</x:v>
      </x:c>
      <x:c r="B3687" s="274" t="n">
        <x:v>0.96</x:v>
      </x:c>
      <x:c r="C3687" s="274" t="n">
        <x:v>0</x:v>
      </x:c>
      <x:c r="D3687" s="274" t="n">
        <x:v>0</x:v>
      </x:c>
      <x:c r="F3687" s="274" t="s">
        <x:v>333</x:v>
      </x:c>
      <x:c r="G3687" s="274" t="s">
        <x:v>153</x:v>
      </x:c>
      <x:c r="I3687" s="274" t="n">
        <x:v>0.6</x:v>
      </x:c>
      <x:c r="J3687" s="274" t="n">
        <x:v>972</x:v>
      </x:c>
      <x:c r="K3687" s="274" t="n">
        <x:v>209</x:v>
      </x:c>
      <x:c r="M3687" s="274" t="s">
        <x:v>5485</x:v>
      </x:c>
      <x:c r="N3687" s="274" t="s">
        <x:v>3671</x:v>
      </x:c>
    </x:row>
    <x:row r="3688" spans="1:14">
      <x:c r="A3688" s="274" t="s">
        <x:v>6909</x:v>
      </x:c>
      <x:c r="B3688" s="274" t="n">
        <x:v>0.51</x:v>
      </x:c>
      <x:c r="C3688" s="274" t="n">
        <x:v>0</x:v>
      </x:c>
      <x:c r="D3688" s="274" t="n">
        <x:v>0</x:v>
      </x:c>
      <x:c r="F3688" s="274" t="s">
        <x:v>333</x:v>
      </x:c>
      <x:c r="G3688" s="274" t="s">
        <x:v>209</x:v>
      </x:c>
      <x:c r="I3688" s="274" t="n">
        <x:v>0.6</x:v>
      </x:c>
      <x:c r="J3688" s="274" t="n">
        <x:v>90</x:v>
      </x:c>
      <x:c r="K3688" s="274" t="n">
        <x:v>1210</x:v>
      </x:c>
      <x:c r="M3688" s="274" t="s">
        <x:v>6910</x:v>
      </x:c>
      <x:c r="N3688" s="274" t="s">
        <x:v>3671</x:v>
      </x:c>
    </x:row>
    <x:row r="3689" spans="1:14">
      <x:c r="A3689" s="274" t="s">
        <x:v>6911</x:v>
      </x:c>
      <x:c r="B3689" s="274" t="n">
        <x:v>0.97</x:v>
      </x:c>
      <x:c r="C3689" s="274" t="n">
        <x:v>0</x:v>
      </x:c>
      <x:c r="D3689" s="274" t="n">
        <x:v>0</x:v>
      </x:c>
      <x:c r="F3689" s="274" t="s">
        <x:v>333</x:v>
      </x:c>
      <x:c r="G3689" s="274" t="s">
        <x:v>209</x:v>
      </x:c>
      <x:c r="I3689" s="274" t="n">
        <x:v>0.6</x:v>
      </x:c>
      <x:c r="J3689" s="274" t="n">
        <x:v>180</x:v>
      </x:c>
      <x:c r="K3689" s="274" t="n">
        <x:v>1140</x:v>
      </x:c>
      <x:c r="M3689" s="274" t="s">
        <x:v>5487</x:v>
      </x:c>
      <x:c r="N3689" s="274" t="s">
        <x:v>3671</x:v>
      </x:c>
    </x:row>
    <x:row r="3690" spans="1:14">
      <x:c r="A3690" s="274" t="s">
        <x:v>6912</x:v>
      </x:c>
      <x:c r="B3690" s="274" t="n">
        <x:v>1.64</x:v>
      </x:c>
      <x:c r="C3690" s="274" t="n">
        <x:v>0</x:v>
      </x:c>
      <x:c r="D3690" s="274" t="n">
        <x:v>0</x:v>
      </x:c>
      <x:c r="F3690" s="274" t="s">
        <x:v>123</x:v>
      </x:c>
      <x:c r="G3690" s="274" t="s">
        <x:v>129</x:v>
      </x:c>
      <x:c r="H3690" s="274" t="n">
        <x:v>45</x:v>
      </x:c>
      <x:c r="I3690" s="274" t="n">
        <x:v>0.65</x:v>
      </x:c>
      <x:c r="J3690" s="274" t="n">
        <x:v>1470</x:v>
      </x:c>
      <x:c r="K3690" s="274" t="n">
        <x:v>215</x:v>
      </x:c>
      <x:c r="M3690" s="274" t="s">
        <x:v>5939</x:v>
      </x:c>
      <x:c r="N3690" s="274" t="s">
        <x:v>3671</x:v>
      </x:c>
    </x:row>
    <x:row r="3691" spans="1:14">
      <x:c r="A3691" s="274" t="s">
        <x:v>6913</x:v>
      </x:c>
      <x:c r="B3691" s="274" t="n">
        <x:v>0.69</x:v>
      </x:c>
      <x:c r="C3691" s="274" t="n">
        <x:v>0</x:v>
      </x:c>
      <x:c r="D3691" s="274" t="n">
        <x:v>0</x:v>
      </x:c>
      <x:c r="F3691" s="274" t="s">
        <x:v>333</x:v>
      </x:c>
      <x:c r="G3691" s="274" t="s">
        <x:v>153</x:v>
      </x:c>
      <x:c r="I3691" s="274" t="n">
        <x:v>0.7</x:v>
      </x:c>
      <x:c r="J3691" s="274" t="n">
        <x:v>286</x:v>
      </x:c>
      <x:c r="K3691" s="274" t="n">
        <x:v>441</x:v>
      </x:c>
      <x:c r="M3691" s="274" t="s">
        <x:v>5494</x:v>
      </x:c>
      <x:c r="N3691" s="274" t="s">
        <x:v>3671</x:v>
      </x:c>
    </x:row>
    <x:row r="3692" spans="1:14">
      <x:c r="A3692" s="274" t="s">
        <x:v>6914</x:v>
      </x:c>
      <x:c r="B3692" s="274" t="n">
        <x:v>0.15</x:v>
      </x:c>
      <x:c r="C3692" s="274" t="n">
        <x:v>0</x:v>
      </x:c>
      <x:c r="D3692" s="274" t="n">
        <x:v>0</x:v>
      </x:c>
      <x:c r="F3692" s="274" t="s">
        <x:v>133</x:v>
      </x:c>
      <x:c r="G3692" s="274" t="s">
        <x:v>136</x:v>
      </x:c>
      <x:c r="H3692" s="274" t="n">
        <x:v>45</x:v>
      </x:c>
      <x:c r="I3692" s="274" t="n">
        <x:v>0.8</x:v>
      </x:c>
      <x:c r="J3692" s="274" t="n">
        <x:v>173</x:v>
      </x:c>
      <x:c r="K3692" s="274" t="n">
        <x:v>133</x:v>
      </x:c>
      <x:c r="M3692" s="274" t="s">
        <x:v>5582</x:v>
      </x:c>
      <x:c r="N3692" s="274" t="s">
        <x:v>3671</x:v>
      </x:c>
    </x:row>
    <x:row r="3693" spans="1:14">
      <x:c r="A3693" s="274" t="s">
        <x:v>6915</x:v>
      </x:c>
      <x:c r="B3693" s="274" t="n">
        <x:v>0.16</x:v>
      </x:c>
      <x:c r="C3693" s="274" t="n">
        <x:v>0</x:v>
      </x:c>
      <x:c r="D3693" s="274" t="n">
        <x:v>0</x:v>
      </x:c>
      <x:c r="F3693" s="274" t="s">
        <x:v>133</x:v>
      </x:c>
      <x:c r="G3693" s="274" t="s">
        <x:v>136</x:v>
      </x:c>
      <x:c r="H3693" s="274" t="n">
        <x:v>45</x:v>
      </x:c>
      <x:c r="I3693" s="274" t="n">
        <x:v>0.8</x:v>
      </x:c>
      <x:c r="J3693" s="274" t="n">
        <x:v>162</x:v>
      </x:c>
      <x:c r="K3693" s="274" t="n">
        <x:v>155</x:v>
      </x:c>
      <x:c r="M3693" s="274" t="s">
        <x:v>5584</x:v>
      </x:c>
      <x:c r="N3693" s="274" t="s">
        <x:v>3671</x:v>
      </x:c>
    </x:row>
    <x:row r="3694" spans="1:14">
      <x:c r="A3694" s="274" t="s">
        <x:v>6916</x:v>
      </x:c>
      <x:c r="B3694" s="274" t="n">
        <x:v>0.44</x:v>
      </x:c>
      <x:c r="C3694" s="274" t="n">
        <x:v>0</x:v>
      </x:c>
      <x:c r="D3694" s="274" t="n">
        <x:v>0</x:v>
      </x:c>
      <x:c r="F3694" s="274" t="s">
        <x:v>123</x:v>
      </x:c>
      <x:c r="G3694" s="274" t="s">
        <x:v>129</x:v>
      </x:c>
      <x:c r="H3694" s="274" t="n">
        <x:v>45</x:v>
      </x:c>
      <x:c r="I3694" s="274" t="n">
        <x:v>0.9</x:v>
      </x:c>
      <x:c r="J3694" s="274" t="n">
        <x:v>205</x:v>
      </x:c>
      <x:c r="K3694" s="274" t="n">
        <x:v>300</x:v>
      </x:c>
      <x:c r="M3694" s="274" t="s">
        <x:v>6917</x:v>
      </x:c>
      <x:c r="N3694" s="274" t="s">
        <x:v>3671</x:v>
      </x:c>
    </x:row>
    <x:row r="3695" spans="1:14">
      <x:c r="A3695" s="274" t="s">
        <x:v>6918</x:v>
      </x:c>
      <x:c r="B3695" s="274" t="n">
        <x:v>0.25</x:v>
      </x:c>
      <x:c r="C3695" s="274" t="n">
        <x:v>0</x:v>
      </x:c>
      <x:c r="D3695" s="274" t="n">
        <x:v>0</x:v>
      </x:c>
      <x:c r="F3695" s="274" t="s">
        <x:v>123</x:v>
      </x:c>
      <x:c r="G3695" s="274" t="s">
        <x:v>129</x:v>
      </x:c>
      <x:c r="H3695" s="274" t="n">
        <x:v>45</x:v>
      </x:c>
      <x:c r="I3695" s="274" t="n">
        <x:v>0.9</x:v>
      </x:c>
      <x:c r="J3695" s="274" t="n">
        <x:v>95</x:v>
      </x:c>
      <x:c r="K3695" s="274" t="n">
        <x:v>372</x:v>
      </x:c>
      <x:c r="M3695" s="274" t="s">
        <x:v>6919</x:v>
      </x:c>
      <x:c r="N3695" s="274" t="s">
        <x:v>3671</x:v>
      </x:c>
    </x:row>
    <x:row r="3696" spans="1:14">
      <x:c r="A3696" s="274" t="s">
        <x:v>6920</x:v>
      </x:c>
      <x:c r="B3696" s="274" t="n">
        <x:v>31.4</x:v>
      </x:c>
      <x:c r="C3696" s="274" t="n">
        <x:v>0</x:v>
      </x:c>
      <x:c r="D3696" s="274" t="n">
        <x:v>0</x:v>
      </x:c>
      <x:c r="F3696" s="274" t="s">
        <x:v>2500</x:v>
      </x:c>
      <x:c r="G3696" s="274" t="s">
        <x:v>2501</x:v>
      </x:c>
      <x:c r="I3696" s="274" t="n">
        <x:v>1.6</x:v>
      </x:c>
      <x:c r="J3696" s="274" t="n">
        <x:v>1250</x:v>
      </x:c>
      <x:c r="K3696" s="274" t="n">
        <x:v>2000</x:v>
      </x:c>
      <x:c r="M3696" s="274" t="s">
        <x:v>1356</x:v>
      </x:c>
    </x:row>
    <x:row r="3697" spans="1:14">
      <x:c r="A3697" s="274" t="s">
        <x:v>6921</x:v>
      </x:c>
      <x:c r="B3697" s="274" t="n">
        <x:v>7.9</x:v>
      </x:c>
      <x:c r="C3697" s="274" t="n">
        <x:v>0</x:v>
      </x:c>
      <x:c r="D3697" s="274" t="n">
        <x:v>0</x:v>
      </x:c>
      <x:c r="F3697" s="274" t="s">
        <x:v>123</x:v>
      </x:c>
      <x:c r="G3697" s="274" t="s">
        <x:v>881</x:v>
      </x:c>
      <x:c r="H3697" s="274" t="n">
        <x:v>45</x:v>
      </x:c>
      <x:c r="I3697" s="274" t="n">
        <x:v>0.9</x:v>
      </x:c>
      <x:c r="J3697" s="274" t="n">
        <x:v>920</x:v>
      </x:c>
      <x:c r="K3697" s="274" t="n">
        <x:v>1200</x:v>
      </x:c>
      <x:c r="M3697" s="274" t="s">
        <x:v>6922</x:v>
      </x:c>
      <x:c r="N3697" s="274" t="s">
        <x:v>3671</x:v>
      </x:c>
    </x:row>
    <x:row r="3698" spans="1:14">
      <x:c r="A3698" s="274" t="s">
        <x:v>6923</x:v>
      </x:c>
      <x:c r="B3698" s="274" t="n">
        <x:v>2.3</x:v>
      </x:c>
      <x:c r="C3698" s="274" t="n">
        <x:v>0</x:v>
      </x:c>
      <x:c r="D3698" s="274" t="n">
        <x:v>0</x:v>
      </x:c>
      <x:c r="F3698" s="274" t="s">
        <x:v>1964</x:v>
      </x:c>
      <x:c r="G3698" s="274" t="s">
        <x:v>129</x:v>
      </x:c>
      <x:c r="H3698" s="274" t="n">
        <x:v>45</x:v>
      </x:c>
      <x:c r="I3698" s="274" t="n">
        <x:v>1.2</x:v>
      </x:c>
      <x:c r="J3698" s="274" t="n">
        <x:v>550</x:v>
      </x:c>
      <x:c r="K3698" s="274" t="n">
        <x:v>440</x:v>
      </x:c>
      <x:c r="M3698" s="274" t="s">
        <x:v>6924</x:v>
      </x:c>
      <x:c r="N3698" s="274" t="s">
        <x:v>299</x:v>
      </x:c>
    </x:row>
    <x:row r="3699" spans="1:14">
      <x:c r="A3699" s="274" t="s">
        <x:v>6925</x:v>
      </x:c>
      <x:c r="B3699" s="274" t="n">
        <x:v>2.3</x:v>
      </x:c>
      <x:c r="C3699" s="274" t="n">
        <x:v>0</x:v>
      </x:c>
      <x:c r="D3699" s="274" t="n">
        <x:v>31</x:v>
      </x:c>
      <x:c r="E3699" s="274" t="n">
        <x:v>29</x:v>
      </x:c>
      <x:c r="F3699" s="274" t="s">
        <x:v>1964</x:v>
      </x:c>
      <x:c r="G3699" s="274" t="s">
        <x:v>129</x:v>
      </x:c>
      <x:c r="H3699" s="274" t="n">
        <x:v>45</x:v>
      </x:c>
      <x:c r="I3699" s="274" t="n">
        <x:v>1.2</x:v>
      </x:c>
      <x:c r="J3699" s="274" t="n">
        <x:v>550</x:v>
      </x:c>
      <x:c r="K3699" s="274" t="n">
        <x:v>440</x:v>
      </x:c>
      <x:c r="M3699" s="274" t="s">
        <x:v>6924</x:v>
      </x:c>
      <x:c r="N3699" s="274" t="s">
        <x:v>299</x:v>
      </x:c>
    </x:row>
    <x:row r="3700" spans="1:14">
      <x:c r="A3700" s="274" t="s">
        <x:v>6926</x:v>
      </x:c>
      <x:c r="B3700" s="274" t="n">
        <x:v>2.52</x:v>
      </x:c>
      <x:c r="C3700" s="274" t="n">
        <x:v>0</x:v>
      </x:c>
      <x:c r="D3700" s="274" t="n">
        <x:v>35</x:v>
      </x:c>
      <x:c r="E3700" s="274" t="n">
        <x:v>33</x:v>
      </x:c>
      <x:c r="F3700" s="274" t="s">
        <x:v>311</x:v>
      </x:c>
      <x:c r="G3700" s="274" t="s">
        <x:v>828</x:v>
      </x:c>
      <x:c r="H3700" s="274" t="s">
        <x:v>837</x:v>
      </x:c>
      <x:c r="I3700" s="274" t="n">
        <x:v>0.8</x:v>
      </x:c>
      <x:c r="J3700" s="274" t="n">
        <x:v>510</x:v>
      </x:c>
      <x:c r="K3700" s="274" t="n">
        <x:v>785</x:v>
      </x:c>
      <x:c r="M3700" s="274" t="s">
        <x:v>3782</x:v>
      </x:c>
    </x:row>
    <x:row r="3701" spans="1:14">
      <x:c r="A3701" s="274" t="s">
        <x:v>6927</x:v>
      </x:c>
      <x:c r="B3701" s="274" t="n">
        <x:v>2.52</x:v>
      </x:c>
      <x:c r="C3701" s="274" t="n">
        <x:v>0</x:v>
      </x:c>
      <x:c r="D3701" s="274" t="n">
        <x:v>35</x:v>
      </x:c>
      <x:c r="E3701" s="274" t="n">
        <x:v>33</x:v>
      </x:c>
      <x:c r="F3701" s="274" t="s">
        <x:v>311</x:v>
      </x:c>
      <x:c r="G3701" s="274" t="s">
        <x:v>828</x:v>
      </x:c>
      <x:c r="H3701" s="274" t="s">
        <x:v>837</x:v>
      </x:c>
      <x:c r="I3701" s="274" t="n">
        <x:v>0.8</x:v>
      </x:c>
      <x:c r="J3701" s="274" t="n">
        <x:v>510</x:v>
      </x:c>
      <x:c r="K3701" s="274" t="n">
        <x:v>785</x:v>
      </x:c>
      <x:c r="M3701" s="274" t="s">
        <x:v>3782</x:v>
      </x:c>
    </x:row>
    <x:row r="3702" spans="1:14">
      <x:c r="A3702" s="274" t="s">
        <x:v>6928</x:v>
      </x:c>
      <x:c r="B3702" s="274" t="n">
        <x:v>2.52</x:v>
      </x:c>
      <x:c r="C3702" s="274" t="n">
        <x:v>0</x:v>
      </x:c>
      <x:c r="D3702" s="274" t="n">
        <x:v>35</x:v>
      </x:c>
      <x:c r="E3702" s="274" t="n">
        <x:v>33</x:v>
      </x:c>
      <x:c r="F3702" s="274" t="s">
        <x:v>311</x:v>
      </x:c>
      <x:c r="G3702" s="274" t="s">
        <x:v>828</x:v>
      </x:c>
      <x:c r="H3702" s="274" t="s">
        <x:v>837</x:v>
      </x:c>
      <x:c r="I3702" s="274" t="n">
        <x:v>0.8</x:v>
      </x:c>
      <x:c r="J3702" s="274" t="n">
        <x:v>510</x:v>
      </x:c>
      <x:c r="K3702" s="274" t="n">
        <x:v>785</x:v>
      </x:c>
      <x:c r="M3702" s="274" t="s">
        <x:v>3782</x:v>
      </x:c>
    </x:row>
    <x:row r="3703" spans="1:14">
      <x:c r="A3703" s="274" t="s">
        <x:v>6929</x:v>
      </x:c>
      <x:c r="B3703" s="274" t="n">
        <x:v>1.72</x:v>
      </x:c>
      <x:c r="C3703" s="274" t="n">
        <x:v>0</x:v>
      </x:c>
      <x:c r="D3703" s="274" t="n">
        <x:v>0</x:v>
      </x:c>
      <x:c r="F3703" s="274" t="s">
        <x:v>133</x:v>
      </x:c>
      <x:c r="G3703" s="274" t="s">
        <x:v>144</x:v>
      </x:c>
      <x:c r="H3703" s="274" t="n">
        <x:v>45</x:v>
      </x:c>
      <x:c r="I3703" s="274" t="n">
        <x:v>1</x:v>
      </x:c>
      <x:c r="J3703" s="274" t="n">
        <x:v>180</x:v>
      </x:c>
      <x:c r="K3703" s="274" t="n">
        <x:v>1200</x:v>
      </x:c>
      <x:c r="M3703" s="274" t="s">
        <x:v>5594</x:v>
      </x:c>
      <x:c r="N3703" s="274" t="s">
        <x:v>3671</x:v>
      </x:c>
    </x:row>
    <x:row r="3704" spans="1:14">
      <x:c r="A3704" s="274" t="s">
        <x:v>6930</x:v>
      </x:c>
      <x:c r="B3704" s="274" t="n">
        <x:v>3.25</x:v>
      </x:c>
      <x:c r="C3704" s="274" t="n">
        <x:v>0</x:v>
      </x:c>
      <x:c r="D3704" s="274" t="n">
        <x:v>0</x:v>
      </x:c>
      <x:c r="F3704" s="274" t="s">
        <x:v>333</x:v>
      </x:c>
      <x:c r="G3704" s="274" t="s">
        <x:v>209</x:v>
      </x:c>
      <x:c r="I3704" s="274" t="n">
        <x:v>1</x:v>
      </x:c>
      <x:c r="J3704" s="274" t="n">
        <x:v>345</x:v>
      </x:c>
      <x:c r="K3704" s="274" t="n">
        <x:v>1200</x:v>
      </x:c>
      <x:c r="M3704" s="274" t="s">
        <x:v>6931</x:v>
      </x:c>
      <x:c r="N3704" s="274" t="s">
        <x:v>3671</x:v>
      </x:c>
    </x:row>
    <x:row r="3705" spans="1:14">
      <x:c r="A3705" s="274" t="s">
        <x:v>6932</x:v>
      </x:c>
      <x:c r="B3705" s="274" t="n">
        <x:v>0.74</x:v>
      </x:c>
      <x:c r="C3705" s="274" t="n">
        <x:v>0</x:v>
      </x:c>
      <x:c r="D3705" s="274" t="n">
        <x:v>0</x:v>
      </x:c>
      <x:c r="F3705" s="274" t="s">
        <x:v>333</x:v>
      </x:c>
      <x:c r="G3705" s="274" t="s">
        <x:v>209</x:v>
      </x:c>
      <x:c r="I3705" s="274" t="n">
        <x:v>1</x:v>
      </x:c>
      <x:c r="J3705" s="274" t="n">
        <x:v>200</x:v>
      </x:c>
      <x:c r="K3705" s="274" t="n">
        <x:v>470</x:v>
      </x:c>
      <x:c r="M3705" s="274" t="s">
        <x:v>6933</x:v>
      </x:c>
      <x:c r="N3705" s="274" t="s">
        <x:v>3671</x:v>
      </x:c>
    </x:row>
    <x:row r="3706" spans="1:14">
      <x:c r="A3706" s="274" t="s">
        <x:v>6934</x:v>
      </x:c>
      <x:c r="B3706" s="274" t="n">
        <x:v>0.45</x:v>
      </x:c>
      <x:c r="C3706" s="274" t="n">
        <x:v>0</x:v>
      </x:c>
      <x:c r="D3706" s="274" t="n">
        <x:v>0</x:v>
      </x:c>
      <x:c r="F3706" s="274" t="s">
        <x:v>333</x:v>
      </x:c>
      <x:c r="G3706" s="274" t="s">
        <x:v>209</x:v>
      </x:c>
      <x:c r="I3706" s="274" t="n">
        <x:v>1</x:v>
      </x:c>
      <x:c r="J3706" s="274" t="n">
        <x:v>108</x:v>
      </x:c>
      <x:c r="K3706" s="274" t="n">
        <x:v>525</x:v>
      </x:c>
      <x:c r="M3706" s="274" t="s">
        <x:v>6935</x:v>
      </x:c>
      <x:c r="N3706" s="274" t="s">
        <x:v>3671</x:v>
      </x:c>
    </x:row>
    <x:row r="3707" spans="1:14">
      <x:c r="A3707" s="274" t="s">
        <x:v>6936</x:v>
      </x:c>
      <x:c r="B3707" s="274" t="n">
        <x:v>8.32</x:v>
      </x:c>
      <x:c r="C3707" s="274" t="n">
        <x:v>0</x:v>
      </x:c>
      <x:c r="D3707" s="274" t="n">
        <x:v>0</x:v>
      </x:c>
      <x:c r="F3707" s="274" t="s">
        <x:v>333</x:v>
      </x:c>
      <x:c r="G3707" s="274" t="s">
        <x:v>124</x:v>
      </x:c>
      <x:c r="I3707" s="274" t="n">
        <x:v>1.2</x:v>
      </x:c>
      <x:c r="J3707" s="274" t="n">
        <x:v>736</x:v>
      </x:c>
      <x:c r="K3707" s="274" t="n">
        <x:v>1200</x:v>
      </x:c>
      <x:c r="M3707" s="274" t="s">
        <x:v>6937</x:v>
      </x:c>
      <x:c r="N3707" s="274" t="s">
        <x:v>3671</x:v>
      </x:c>
    </x:row>
    <x:row r="3708" spans="1:14">
      <x:c r="A3708" s="274" t="s">
        <x:v>6938</x:v>
      </x:c>
      <x:c r="B3708" s="274" t="n">
        <x:v>0.48</x:v>
      </x:c>
      <x:c r="C3708" s="274" t="n">
        <x:v>0</x:v>
      </x:c>
      <x:c r="D3708" s="274" t="n">
        <x:v>0</x:v>
      </x:c>
      <x:c r="F3708" s="274" t="s">
        <x:v>333</x:v>
      </x:c>
      <x:c r="G3708" s="274" t="s">
        <x:v>334</x:v>
      </x:c>
      <x:c r="I3708" s="274" t="n">
        <x:v>1.2</x:v>
      </x:c>
      <x:c r="J3708" s="274" t="n">
        <x:v>235</x:v>
      </x:c>
      <x:c r="K3708" s="274" t="n">
        <x:v>218</x:v>
      </x:c>
      <x:c r="M3708" s="274" t="s">
        <x:v>6939</x:v>
      </x:c>
      <x:c r="N3708" s="274" t="s">
        <x:v>3671</x:v>
      </x:c>
    </x:row>
    <x:row r="3709" spans="1:14">
      <x:c r="A3709" s="274" t="s">
        <x:v>6940</x:v>
      </x:c>
      <x:c r="B3709" s="274" t="n">
        <x:v>2.75</x:v>
      </x:c>
      <x:c r="C3709" s="274" t="n">
        <x:v>0</x:v>
      </x:c>
      <x:c r="D3709" s="274" t="n">
        <x:v>0</x:v>
      </x:c>
      <x:c r="F3709" s="274" t="s">
        <x:v>333</x:v>
      </x:c>
      <x:c r="G3709" s="274" t="s">
        <x:v>4796</x:v>
      </x:c>
      <x:c r="I3709" s="274" t="n">
        <x:v>1.4</x:v>
      </x:c>
      <x:c r="J3709" s="274" t="n">
        <x:v>200</x:v>
      </x:c>
      <x:c r="K3709" s="274" t="n">
        <x:v>1250</x:v>
      </x:c>
      <x:c r="M3709" s="274" t="s">
        <x:v>6941</x:v>
      </x:c>
      <x:c r="N3709" s="274" t="s">
        <x:v>4258</x:v>
      </x:c>
    </x:row>
    <x:row r="3710" spans="1:14">
      <x:c r="A3710" s="274" t="s">
        <x:v>6942</x:v>
      </x:c>
      <x:c r="B3710" s="274" t="n">
        <x:v>0.12</x:v>
      </x:c>
      <x:c r="C3710" s="274" t="n">
        <x:v>0</x:v>
      </x:c>
      <x:c r="D3710" s="274" t="n">
        <x:v>0</x:v>
      </x:c>
      <x:c r="F3710" s="274" t="s">
        <x:v>123</x:v>
      </x:c>
      <x:c r="G3710" s="274" t="s">
        <x:v>129</x:v>
      </x:c>
      <x:c r="H3710" s="274" t="n">
        <x:v>45</x:v>
      </x:c>
      <x:c r="I3710" s="274" t="n">
        <x:v>1.2</x:v>
      </x:c>
      <x:c r="J3710" s="274" t="n">
        <x:v>168</x:v>
      </x:c>
      <x:c r="K3710" s="274" t="n">
        <x:v>76</x:v>
      </x:c>
      <x:c r="M3710" s="274" t="s">
        <x:v>6943</x:v>
      </x:c>
      <x:c r="N3710" s="274" t="s">
        <x:v>3671</x:v>
      </x:c>
    </x:row>
    <x:row r="3711" spans="1:14">
      <x:c r="A3711" s="274" t="s">
        <x:v>6944</x:v>
      </x:c>
      <x:c r="B3711" s="274" t="n">
        <x:v>8.48</x:v>
      </x:c>
      <x:c r="C3711" s="274" t="n">
        <x:v>0</x:v>
      </x:c>
      <x:c r="D3711" s="274" t="n">
        <x:v>0</x:v>
      </x:c>
      <x:c r="F3711" s="274" t="s">
        <x:v>333</x:v>
      </x:c>
      <x:c r="G3711" s="274" t="s">
        <x:v>153</x:v>
      </x:c>
      <x:c r="I3711" s="274" t="n">
        <x:v>1.2</x:v>
      </x:c>
      <x:c r="J3711" s="274" t="n">
        <x:v>750</x:v>
      </x:c>
      <x:c r="K3711" s="274" t="n">
        <x:v>1200</x:v>
      </x:c>
      <x:c r="M3711" s="274" t="s">
        <x:v>6945</x:v>
      </x:c>
      <x:c r="N3711" s="274" t="s">
        <x:v>3671</x:v>
      </x:c>
    </x:row>
    <x:row r="3712" spans="1:14">
      <x:c r="A3712" s="274" t="s">
        <x:v>6946</x:v>
      </x:c>
      <x:c r="B3712" s="274" t="n">
        <x:v>2.85</x:v>
      </x:c>
      <x:c r="C3712" s="274" t="n">
        <x:v>0</x:v>
      </x:c>
      <x:c r="D3712" s="274" t="n">
        <x:v>0</x:v>
      </x:c>
      <x:c r="F3712" s="274" t="s">
        <x:v>123</x:v>
      </x:c>
      <x:c r="G3712" s="274" t="s">
        <x:v>881</x:v>
      </x:c>
      <x:c r="H3712" s="274" t="n">
        <x:v>45</x:v>
      </x:c>
      <x:c r="I3712" s="274" t="n">
        <x:v>1.2</x:v>
      </x:c>
      <x:c r="J3712" s="274" t="n">
        <x:v>250</x:v>
      </x:c>
      <x:c r="K3712" s="274" t="n">
        <x:v>1200</x:v>
      </x:c>
      <x:c r="M3712" s="274" t="s">
        <x:v>6947</x:v>
      </x:c>
      <x:c r="N3712" s="274" t="s">
        <x:v>3671</x:v>
      </x:c>
    </x:row>
    <x:row r="3713" spans="1:14">
      <x:c r="A3713" s="274" t="s">
        <x:v>6948</x:v>
      </x:c>
      <x:c r="B3713" s="274" t="n">
        <x:v>5.14</x:v>
      </x:c>
      <x:c r="C3713" s="274" t="n">
        <x:v>0</x:v>
      </x:c>
      <x:c r="D3713" s="274" t="n">
        <x:v>0</x:v>
      </x:c>
      <x:c r="F3713" s="274" t="s">
        <x:v>123</x:v>
      </x:c>
      <x:c r="G3713" s="274" t="s">
        <x:v>881</x:v>
      </x:c>
      <x:c r="H3713" s="274" t="n">
        <x:v>45</x:v>
      </x:c>
      <x:c r="I3713" s="274" t="n">
        <x:v>1.2</x:v>
      </x:c>
      <x:c r="J3713" s="274" t="n">
        <x:v>450</x:v>
      </x:c>
      <x:c r="K3713" s="274" t="n">
        <x:v>1200</x:v>
      </x:c>
      <x:c r="M3713" s="274" t="s">
        <x:v>6949</x:v>
      </x:c>
      <x:c r="N3713" s="274" t="s">
        <x:v>3671</x:v>
      </x:c>
    </x:row>
    <x:row r="3714" spans="1:14">
      <x:c r="A3714" s="274" t="s">
        <x:v>6950</x:v>
      </x:c>
      <x:c r="B3714" s="274" t="n">
        <x:v>0.95</x:v>
      </x:c>
      <x:c r="C3714" s="274" t="n">
        <x:v>0</x:v>
      </x:c>
      <x:c r="D3714" s="274" t="n">
        <x:v>0</x:v>
      </x:c>
      <x:c r="F3714" s="274" t="s">
        <x:v>133</x:v>
      </x:c>
      <x:c r="G3714" s="274" t="s">
        <x:v>136</x:v>
      </x:c>
      <x:c r="H3714" s="274" t="n">
        <x:v>45</x:v>
      </x:c>
      <x:c r="I3714" s="274" t="n">
        <x:v>1.2</x:v>
      </x:c>
      <x:c r="J3714" s="274" t="n">
        <x:v>158</x:v>
      </x:c>
      <x:c r="K3714" s="274" t="n">
        <x:v>635</x:v>
      </x:c>
      <x:c r="M3714" s="274" t="s">
        <x:v>4847</x:v>
      </x:c>
      <x:c r="N3714" s="274" t="s">
        <x:v>3671</x:v>
      </x:c>
    </x:row>
    <x:row r="3715" spans="1:14">
      <x:c r="A3715" s="274" t="s">
        <x:v>6951</x:v>
      </x:c>
      <x:c r="B3715" s="274" t="n">
        <x:v>2.13</x:v>
      </x:c>
      <x:c r="C3715" s="274" t="n">
        <x:v>0</x:v>
      </x:c>
      <x:c r="D3715" s="274" t="n">
        <x:v>0</x:v>
      </x:c>
      <x:c r="F3715" s="274" t="s">
        <x:v>333</x:v>
      </x:c>
      <x:c r="G3715" s="274" t="s">
        <x:v>209</x:v>
      </x:c>
      <x:c r="I3715" s="274" t="n">
        <x:v>1.2</x:v>
      </x:c>
      <x:c r="J3715" s="274" t="n">
        <x:v>976</x:v>
      </x:c>
      <x:c r="K3715" s="274" t="n">
        <x:v>232</x:v>
      </x:c>
      <x:c r="M3715" s="274" t="s">
        <x:v>5873</x:v>
      </x:c>
      <x:c r="N3715" s="274" t="s">
        <x:v>3671</x:v>
      </x:c>
    </x:row>
    <x:row r="3716" spans="1:14">
      <x:c r="A3716" s="274" t="s">
        <x:v>6952</x:v>
      </x:c>
      <x:c r="B3716" s="274" t="n">
        <x:v>1</x:v>
      </x:c>
      <x:c r="C3716" s="274" t="n">
        <x:v>0</x:v>
      </x:c>
      <x:c r="D3716" s="274" t="n">
        <x:v>0</x:v>
      </x:c>
      <x:c r="F3716" s="274" t="s">
        <x:v>333</x:v>
      </x:c>
      <x:c r="G3716" s="274" t="s">
        <x:v>209</x:v>
      </x:c>
      <x:c r="I3716" s="274" t="n">
        <x:v>1.2</x:v>
      </x:c>
      <x:c r="J3716" s="274" t="n">
        <x:v>342</x:v>
      </x:c>
      <x:c r="K3716" s="274" t="n">
        <x:v>309</x:v>
      </x:c>
      <x:c r="M3716" s="274" t="s">
        <x:v>6953</x:v>
      </x:c>
      <x:c r="N3716" s="274" t="s">
        <x:v>3671</x:v>
      </x:c>
    </x:row>
    <x:row r="3717" spans="1:14">
      <x:c r="A3717" s="274" t="s">
        <x:v>6954</x:v>
      </x:c>
      <x:c r="B3717" s="274" t="n">
        <x:v>9.44</x:v>
      </x:c>
      <x:c r="C3717" s="274" t="n">
        <x:v>0</x:v>
      </x:c>
      <x:c r="D3717" s="274" t="n">
        <x:v>0</x:v>
      </x:c>
      <x:c r="F3717" s="274" t="s">
        <x:v>123</x:v>
      </x:c>
      <x:c r="G3717" s="274" t="s">
        <x:v>3410</x:v>
      </x:c>
      <x:c r="I3717" s="274" t="n">
        <x:v>1</x:v>
      </x:c>
      <x:c r="J3717" s="274" t="n">
        <x:v>1002</x:v>
      </x:c>
      <x:c r="K3717" s="274" t="n">
        <x:v>1200</x:v>
      </x:c>
      <x:c r="M3717" s="274" t="s">
        <x:v>6955</x:v>
      </x:c>
      <x:c r="N3717" s="274" t="s">
        <x:v>3671</x:v>
      </x:c>
    </x:row>
    <x:row r="3718" spans="1:14">
      <x:c r="A3718" s="274" t="s">
        <x:v>6956</x:v>
      </x:c>
      <x:c r="B3718" s="274" t="n">
        <x:v>5.16</x:v>
      </x:c>
      <x:c r="C3718" s="274" t="n">
        <x:v>0</x:v>
      </x:c>
      <x:c r="D3718" s="274" t="n">
        <x:v>0</x:v>
      </x:c>
      <x:c r="F3718" s="274" t="s">
        <x:v>133</x:v>
      </x:c>
      <x:c r="G3718" s="274" t="s">
        <x:v>136</x:v>
      </x:c>
      <x:c r="H3718" s="274" t="n">
        <x:v>45</x:v>
      </x:c>
      <x:c r="I3718" s="274" t="n">
        <x:v>1</x:v>
      </x:c>
      <x:c r="J3718" s="274" t="n">
        <x:v>885</x:v>
      </x:c>
      <x:c r="K3718" s="274" t="n">
        <x:v>735</x:v>
      </x:c>
      <x:c r="M3718" s="274" t="s">
        <x:v>6957</x:v>
      </x:c>
      <x:c r="N3718" s="274" t="s">
        <x:v>3671</x:v>
      </x:c>
    </x:row>
    <x:row r="3719" spans="1:14">
      <x:c r="A3719" s="274" t="s">
        <x:v>6958</x:v>
      </x:c>
      <x:c r="B3719" s="274" t="n">
        <x:v>7.23</x:v>
      </x:c>
      <x:c r="C3719" s="274" t="n">
        <x:v>0</x:v>
      </x:c>
      <x:c r="D3719" s="274" t="n">
        <x:v>0</x:v>
      </x:c>
      <x:c r="F3719" s="274" t="s">
        <x:v>333</x:v>
      </x:c>
      <x:c r="G3719" s="274" t="s">
        <x:v>334</x:v>
      </x:c>
      <x:c r="I3719" s="274" t="n">
        <x:v>1.2</x:v>
      </x:c>
      <x:c r="J3719" s="274" t="n">
        <x:v>640</x:v>
      </x:c>
      <x:c r="K3719" s="274" t="n">
        <x:v>1200</x:v>
      </x:c>
      <x:c r="M3719" s="274" t="s">
        <x:v>6959</x:v>
      </x:c>
      <x:c r="N3719" s="274" t="s">
        <x:v>3671</x:v>
      </x:c>
    </x:row>
    <x:row r="3720" spans="1:14">
      <x:c r="A3720" s="274" t="s">
        <x:v>6960</x:v>
      </x:c>
      <x:c r="B3720" s="274" t="n">
        <x:v>5.31</x:v>
      </x:c>
      <x:c r="C3720" s="274" t="n">
        <x:v>0</x:v>
      </x:c>
      <x:c r="D3720" s="274" t="n">
        <x:v>0</x:v>
      </x:c>
      <x:c r="F3720" s="274" t="s">
        <x:v>133</x:v>
      </x:c>
      <x:c r="G3720" s="274" t="s">
        <x:v>144</x:v>
      </x:c>
      <x:c r="H3720" s="274" t="n">
        <x:v>45</x:v>
      </x:c>
      <x:c r="I3720" s="274" t="n">
        <x:v>1.2</x:v>
      </x:c>
      <x:c r="J3720" s="274" t="n">
        <x:v>465</x:v>
      </x:c>
      <x:c r="K3720" s="274" t="n">
        <x:v>1200</x:v>
      </x:c>
      <x:c r="M3720" s="274" t="s">
        <x:v>6961</x:v>
      </x:c>
      <x:c r="N3720" s="274" t="s">
        <x:v>3671</x:v>
      </x:c>
    </x:row>
    <x:row r="3721" spans="1:14">
      <x:c r="A3721" s="274" t="s">
        <x:v>6962</x:v>
      </x:c>
      <x:c r="B3721" s="274" t="n">
        <x:v>14.29</x:v>
      </x:c>
      <x:c r="C3721" s="274" t="n">
        <x:v>0</x:v>
      </x:c>
      <x:c r="D3721" s="274" t="n">
        <x:v>0</x:v>
      </x:c>
      <x:c r="E3721" s="274" t="n">
        <x:v>0</x:v>
      </x:c>
      <x:c r="F3721" s="274" t="s">
        <x:v>1964</x:v>
      </x:c>
      <x:c r="G3721" s="274" t="s">
        <x:v>1718</x:v>
      </x:c>
      <x:c r="H3721" s="274" t="s">
        <x:v>285</x:v>
      </x:c>
      <x:c r="I3721" s="274" t="n">
        <x:v>0.65</x:v>
      </x:c>
      <x:c r="J3721" s="274" t="n">
        <x:v>1300</x:v>
      </x:c>
      <x:c r="K3721" s="274" t="n">
        <x:v>1719.5</x:v>
      </x:c>
      <x:c r="L3721" s="274" t="n">
        <x:v>2514.4</x:v>
      </x:c>
      <x:c r="M3721" s="274" t="s">
        <x:v>2012</x:v>
      </x:c>
      <x:c r="N3721" s="274" t="s">
        <x:v>480</x:v>
      </x:c>
    </x:row>
    <x:row r="3722" spans="1:14">
      <x:c r="A3722" s="274" t="s">
        <x:v>6963</x:v>
      </x:c>
      <x:c r="B3722" s="274" t="n">
        <x:v>7.46</x:v>
      </x:c>
      <x:c r="C3722" s="274" t="n">
        <x:v>38</x:v>
      </x:c>
      <x:c r="D3722" s="274" t="n">
        <x:v>38</x:v>
      </x:c>
      <x:c r="F3722" s="274" t="s">
        <x:v>1964</x:v>
      </x:c>
      <x:c r="G3722" s="274" t="s">
        <x:v>136</x:v>
      </x:c>
      <x:c r="H3722" s="274" t="n">
        <x:v>45</x:v>
      </x:c>
      <x:c r="I3722" s="274" t="n">
        <x:v>0.6</x:v>
      </x:c>
      <x:c r="J3722" s="274" t="n">
        <x:v>1610</x:v>
      </x:c>
      <x:c r="K3722" s="274" t="n">
        <x:v>966</x:v>
      </x:c>
      <x:c r="M3722" s="274" t="s">
        <x:v>5201</x:v>
      </x:c>
      <x:c r="N3722" s="274" t="s">
        <x:v>126</x:v>
      </x:c>
    </x:row>
    <x:row r="3723" spans="1:14">
      <x:c r="A3723" s="274" t="s">
        <x:v>6964</x:v>
      </x:c>
      <x:c r="B3723" s="274" t="n">
        <x:v>9.9</x:v>
      </x:c>
      <x:c r="C3723" s="274" t="n">
        <x:v>22</x:v>
      </x:c>
      <x:c r="D3723" s="274" t="n">
        <x:v>22</x:v>
      </x:c>
      <x:c r="E3723" s="274" t="n">
        <x:v>0</x:v>
      </x:c>
      <x:c r="F3723" s="274" t="s">
        <x:v>123</x:v>
      </x:c>
      <x:c r="G3723" s="274" t="s">
        <x:v>906</x:v>
      </x:c>
      <x:c r="H3723" s="274" t="s">
        <x:v>907</x:v>
      </x:c>
      <x:c r="I3723" s="274" t="n">
        <x:v>0.65</x:v>
      </x:c>
      <x:c r="J3723" s="274" t="n">
        <x:v>1020</x:v>
      </x:c>
      <x:c r="K3723" s="274" t="n">
        <x:v>2458.8</x:v>
      </x:c>
      <x:c r="L3723" s="274" t="n">
        <x:v>1281.1</x:v>
      </x:c>
      <x:c r="M3723" s="274" t="s">
        <x:v>2900</x:v>
      </x:c>
      <x:c r="N3723" s="274" t="s">
        <x:v>155</x:v>
      </x:c>
    </x:row>
    <x:row r="3724" spans="1:14">
      <x:c r="A3724" s="274" t="s">
        <x:v>6965</x:v>
      </x:c>
      <x:c r="B3724" s="274" t="n">
        <x:v>3.23</x:v>
      </x:c>
      <x:c r="C3724" s="274" t="n">
        <x:v>0</x:v>
      </x:c>
      <x:c r="D3724" s="274" t="n">
        <x:v>0</x:v>
      </x:c>
      <x:c r="F3724" s="274" t="s">
        <x:v>133</x:v>
      </x:c>
      <x:c r="G3724" s="274" t="s">
        <x:v>148</x:v>
      </x:c>
      <x:c r="I3724" s="274" t="n">
        <x:v>3.2</x:v>
      </x:c>
      <x:c r="J3724" s="274" t="n">
        <x:v>109</x:v>
      </x:c>
      <x:c r="K3724" s="274" t="n">
        <x:v>1181</x:v>
      </x:c>
      <x:c r="M3724" s="274" t="s">
        <x:v>6966</x:v>
      </x:c>
      <x:c r="N3724" s="274" t="s">
        <x:v>155</x:v>
      </x:c>
    </x:row>
    <x:row r="3725" spans="1:14">
      <x:c r="A3725" s="274" t="s">
        <x:v>6967</x:v>
      </x:c>
      <x:c r="B3725" s="274" t="n">
        <x:v>0.66</x:v>
      </x:c>
      <x:c r="C3725" s="274" t="n">
        <x:v>0</x:v>
      </x:c>
      <x:c r="D3725" s="274" t="n">
        <x:v>0</x:v>
      </x:c>
      <x:c r="F3725" s="274" t="s">
        <x:v>184</x:v>
      </x:c>
      <x:c r="G3725" s="274" t="s">
        <x:v>129</x:v>
      </x:c>
      <x:c r="H3725" s="274" t="n">
        <x:v>45</x:v>
      </x:c>
      <x:c r="I3725" s="274" t="n">
        <x:v>1.2</x:v>
      </x:c>
      <x:c r="J3725" s="274" t="n">
        <x:v>79</x:v>
      </x:c>
      <x:c r="K3725" s="274" t="n">
        <x:v>879</x:v>
      </x:c>
      <x:c r="M3725" s="274" t="s">
        <x:v>6968</x:v>
      </x:c>
      <x:c r="N3725" s="274" t="s">
        <x:v>4250</x:v>
      </x:c>
    </x:row>
    <x:row r="3726" spans="1:14">
      <x:c r="A3726" s="274" t="s">
        <x:v>6969</x:v>
      </x:c>
      <x:c r="B3726" s="274" t="n">
        <x:v>0.68</x:v>
      </x:c>
      <x:c r="C3726" s="274" t="n">
        <x:v>0</x:v>
      </x:c>
      <x:c r="D3726" s="274" t="n">
        <x:v>0</x:v>
      </x:c>
      <x:c r="F3726" s="274" t="s">
        <x:v>184</x:v>
      </x:c>
      <x:c r="G3726" s="274" t="s">
        <x:v>129</x:v>
      </x:c>
      <x:c r="H3726" s="274" t="n">
        <x:v>45</x:v>
      </x:c>
      <x:c r="I3726" s="274" t="n">
        <x:v>1.2</x:v>
      </x:c>
      <x:c r="J3726" s="274" t="n">
        <x:v>76</x:v>
      </x:c>
      <x:c r="K3726" s="274" t="n">
        <x:v>938</x:v>
      </x:c>
      <x:c r="M3726" s="274" t="s">
        <x:v>6970</x:v>
      </x:c>
      <x:c r="N3726" s="274" t="s">
        <x:v>4250</x:v>
      </x:c>
    </x:row>
    <x:row r="3727" spans="1:14">
      <x:c r="A3727" s="274" t="s">
        <x:v>6971</x:v>
      </x:c>
      <x:c r="B3727" s="274" t="n">
        <x:v>1.27</x:v>
      </x:c>
      <x:c r="C3727" s="274" t="n">
        <x:v>0</x:v>
      </x:c>
      <x:c r="D3727" s="274" t="n">
        <x:v>0</x:v>
      </x:c>
      <x:c r="F3727" s="274" t="s">
        <x:v>133</x:v>
      </x:c>
      <x:c r="G3727" s="274" t="s">
        <x:v>209</x:v>
      </x:c>
      <x:c r="I3727" s="274" t="n">
        <x:v>1.2</x:v>
      </x:c>
      <x:c r="J3727" s="274" t="n">
        <x:v>213</x:v>
      </x:c>
      <x:c r="K3727" s="274" t="n">
        <x:v>634</x:v>
      </x:c>
      <x:c r="M3727" s="274" t="s">
        <x:v>245</x:v>
      </x:c>
      <x:c r="N3727" s="274" t="s">
        <x:v>4250</x:v>
      </x:c>
    </x:row>
    <x:row r="3728" spans="1:14">
      <x:c r="A3728" s="274" t="s">
        <x:v>6972</x:v>
      </x:c>
      <x:c r="B3728" s="274" t="n">
        <x:v>1.2</x:v>
      </x:c>
      <x:c r="C3728" s="274" t="n">
        <x:v>0</x:v>
      </x:c>
      <x:c r="D3728" s="274" t="n">
        <x:v>0</x:v>
      </x:c>
      <x:c r="F3728" s="274" t="s">
        <x:v>128</x:v>
      </x:c>
      <x:c r="G3728" s="274" t="s">
        <x:v>177</x:v>
      </x:c>
      <x:c r="H3728" s="274" t="n">
        <x:v>45</x:v>
      </x:c>
      <x:c r="I3728" s="274" t="n">
        <x:v>2</x:v>
      </x:c>
      <x:c r="J3728" s="274" t="n">
        <x:v>155</x:v>
      </x:c>
      <x:c r="K3728" s="274" t="n">
        <x:v>490</x:v>
      </x:c>
      <x:c r="M3728" s="274" t="s">
        <x:v>178</x:v>
      </x:c>
      <x:c r="N3728" s="274" t="s">
        <x:v>4250</x:v>
      </x:c>
    </x:row>
    <x:row r="3729" spans="1:14">
      <x:c r="A3729" s="274" t="s">
        <x:v>6973</x:v>
      </x:c>
      <x:c r="B3729" s="274" t="n">
        <x:v>2.54</x:v>
      </x:c>
      <x:c r="C3729" s="274" t="n">
        <x:v>0</x:v>
      </x:c>
      <x:c r="D3729" s="274" t="n">
        <x:v>20</x:v>
      </x:c>
      <x:c r="E3729" s="274" t="n">
        <x:v>18</x:v>
      </x:c>
      <x:c r="F3729" s="274" t="s">
        <x:v>123</x:v>
      </x:c>
      <x:c r="G3729" s="274" t="s">
        <x:v>148</x:v>
      </x:c>
      <x:c r="I3729" s="274" t="n">
        <x:v>1.8</x:v>
      </x:c>
      <x:c r="J3729" s="274" t="n">
        <x:v>180</x:v>
      </x:c>
      <x:c r="K3729" s="274" t="n">
        <x:v>1000</x:v>
      </x:c>
      <x:c r="M3729" s="274" t="s">
        <x:v>1827</x:v>
      </x:c>
      <x:c r="N3729" s="274" t="s">
        <x:v>870</x:v>
      </x:c>
    </x:row>
    <x:row r="3730" spans="1:14">
      <x:c r="A3730" s="274" t="s">
        <x:v>6974</x:v>
      </x:c>
      <x:c r="B3730" s="274" t="n">
        <x:v>0.6</x:v>
      </x:c>
      <x:c r="C3730" s="274" t="n">
        <x:v>0</x:v>
      </x:c>
      <x:c r="D3730" s="274" t="n">
        <x:v>0</x:v>
      </x:c>
      <x:c r="F3730" s="274" t="s">
        <x:v>133</x:v>
      </x:c>
      <x:c r="G3730" s="274" t="s">
        <x:v>148</x:v>
      </x:c>
      <x:c r="I3730" s="274" t="n">
        <x:v>2.9</x:v>
      </x:c>
      <x:c r="J3730" s="274" t="n">
        <x:v>175</x:v>
      </x:c>
      <x:c r="K3730" s="274" t="n">
        <x:v>150</x:v>
      </x:c>
      <x:c r="M3730" s="274" t="s">
        <x:v>1460</x:v>
      </x:c>
      <x:c r="N3730" s="274" t="s">
        <x:v>155</x:v>
      </x:c>
    </x:row>
    <x:row r="3731" spans="1:14">
      <x:c r="A3731" s="274" t="s">
        <x:v>6975</x:v>
      </x:c>
      <x:c r="B3731" s="274" t="n">
        <x:v>1.52</x:v>
      </x:c>
      <x:c r="C3731" s="274" t="n">
        <x:v>0</x:v>
      </x:c>
      <x:c r="D3731" s="274" t="n">
        <x:v>0</x:v>
      </x:c>
      <x:c r="F3731" s="274" t="s">
        <x:v>333</x:v>
      </x:c>
      <x:c r="G3731" s="274" t="s">
        <x:v>209</x:v>
      </x:c>
      <x:c r="I3731" s="274" t="n">
        <x:v>1.2</x:v>
      </x:c>
      <x:c r="J3731" s="274" t="n">
        <x:v>140</x:v>
      </x:c>
      <x:c r="K3731" s="274" t="n">
        <x:v>1155</x:v>
      </x:c>
      <x:c r="M3731" s="274" t="s">
        <x:v>4070</x:v>
      </x:c>
      <x:c r="N3731" s="274" t="s">
        <x:v>4071</x:v>
      </x:c>
    </x:row>
    <x:row r="3732" spans="1:14">
      <x:c r="A3732" s="274" t="s">
        <x:v>6976</x:v>
      </x:c>
      <x:c r="B3732" s="274" t="n">
        <x:v>0.96</x:v>
      </x:c>
      <x:c r="C3732" s="274" t="n">
        <x:v>0</x:v>
      </x:c>
      <x:c r="D3732" s="274" t="n">
        <x:v>0</x:v>
      </x:c>
      <x:c r="F3732" s="274" t="s">
        <x:v>333</x:v>
      </x:c>
      <x:c r="G3732" s="274" t="s">
        <x:v>209</x:v>
      </x:c>
      <x:c r="I3732" s="274" t="n">
        <x:v>1.4</x:v>
      </x:c>
      <x:c r="J3732" s="274" t="n">
        <x:v>322</x:v>
      </x:c>
      <x:c r="K3732" s="274" t="n">
        <x:v>270</x:v>
      </x:c>
      <x:c r="M3732" s="274" t="s">
        <x:v>731</x:v>
      </x:c>
    </x:row>
    <x:row r="3733" spans="1:14">
      <x:c r="A3733" s="274" t="s">
        <x:v>6977</x:v>
      </x:c>
      <x:c r="B3733" s="274" t="n">
        <x:v>0.7</x:v>
      </x:c>
      <x:c r="C3733" s="274" t="n">
        <x:v>0</x:v>
      </x:c>
      <x:c r="D3733" s="274" t="n">
        <x:v>0</x:v>
      </x:c>
      <x:c r="F3733" s="274" t="s">
        <x:v>133</x:v>
      </x:c>
      <x:c r="G3733" s="274" t="s">
        <x:v>136</x:v>
      </x:c>
      <x:c r="H3733" s="274" t="n">
        <x:v>45</x:v>
      </x:c>
      <x:c r="I3733" s="274" t="n">
        <x:v>0.8</x:v>
      </x:c>
      <x:c r="J3733" s="274" t="n">
        <x:v>130</x:v>
      </x:c>
      <x:c r="K3733" s="274" t="n">
        <x:v>850</x:v>
      </x:c>
      <x:c r="M3733" s="274" t="s">
        <x:v>6978</x:v>
      </x:c>
      <x:c r="N3733" s="274" t="s">
        <x:v>131</x:v>
      </x:c>
    </x:row>
    <x:row r="3734" spans="1:14">
      <x:c r="A3734" s="274" t="s">
        <x:v>6979</x:v>
      </x:c>
      <x:c r="B3734" s="274" t="n">
        <x:v>0.25</x:v>
      </x:c>
      <x:c r="C3734" s="274" t="n">
        <x:v>0</x:v>
      </x:c>
      <x:c r="D3734" s="274" t="n">
        <x:v>0</x:v>
      </x:c>
      <x:c r="F3734" s="274" t="s">
        <x:v>333</x:v>
      </x:c>
      <x:c r="G3734" s="274" t="s">
        <x:v>153</x:v>
      </x:c>
      <x:c r="I3734" s="274" t="n">
        <x:v>1.2</x:v>
      </x:c>
      <x:c r="J3734" s="274" t="n">
        <x:v>255</x:v>
      </x:c>
      <x:c r="K3734" s="274" t="n">
        <x:v>105</x:v>
      </x:c>
      <x:c r="M3734" s="274" t="s">
        <x:v>1347</x:v>
      </x:c>
      <x:c r="N3734" s="274" t="s">
        <x:v>131</x:v>
      </x:c>
    </x:row>
    <x:row r="3735" spans="1:14">
      <x:c r="A3735" s="274" t="s">
        <x:v>6980</x:v>
      </x:c>
      <x:c r="B3735" s="274" t="n">
        <x:v>1.45</x:v>
      </x:c>
      <x:c r="C3735" s="274" t="n">
        <x:v>0</x:v>
      </x:c>
      <x:c r="D3735" s="274" t="n">
        <x:v>0</x:v>
      </x:c>
      <x:c r="F3735" s="274" t="s">
        <x:v>133</x:v>
      </x:c>
      <x:c r="G3735" s="274" t="s">
        <x:v>136</x:v>
      </x:c>
      <x:c r="H3735" s="274" t="n">
        <x:v>45</x:v>
      </x:c>
      <x:c r="I3735" s="274" t="n">
        <x:v>1.2</x:v>
      </x:c>
      <x:c r="J3735" s="274" t="n">
        <x:v>320</x:v>
      </x:c>
      <x:c r="K3735" s="274" t="n">
        <x:v>475</x:v>
      </x:c>
      <x:c r="M3735" s="274" t="s">
        <x:v>2757</x:v>
      </x:c>
      <x:c r="N3735" s="274" t="s">
        <x:v>131</x:v>
      </x:c>
    </x:row>
    <x:row r="3736" spans="1:14">
      <x:c r="A3736" s="274" t="s">
        <x:v>6981</x:v>
      </x:c>
      <x:c r="B3736" s="274" t="n">
        <x:v>0.46</x:v>
      </x:c>
      <x:c r="C3736" s="274" t="n">
        <x:v>0</x:v>
      </x:c>
      <x:c r="D3736" s="274" t="n">
        <x:v>0</x:v>
      </x:c>
      <x:c r="F3736" s="274" t="s">
        <x:v>133</x:v>
      </x:c>
      <x:c r="G3736" s="274" t="s">
        <x:v>144</x:v>
      </x:c>
      <x:c r="H3736" s="274" t="n">
        <x:v>45</x:v>
      </x:c>
      <x:c r="I3736" s="274" t="n">
        <x:v>1.2</x:v>
      </x:c>
      <x:c r="J3736" s="274" t="n">
        <x:v>160</x:v>
      </x:c>
      <x:c r="K3736" s="274" t="n">
        <x:v>305</x:v>
      </x:c>
      <x:c r="M3736" s="274" t="s">
        <x:v>1343</x:v>
      </x:c>
      <x:c r="N3736" s="274" t="s">
        <x:v>870</x:v>
      </x:c>
    </x:row>
    <x:row r="3737" spans="1:14">
      <x:c r="A3737" s="274" t="s">
        <x:v>6982</x:v>
      </x:c>
      <x:c r="B3737" s="274" t="n">
        <x:v>0.42</x:v>
      </x:c>
      <x:c r="C3737" s="274" t="n">
        <x:v>0</x:v>
      </x:c>
      <x:c r="D3737" s="274" t="n">
        <x:v>0</x:v>
      </x:c>
      <x:c r="F3737" s="274" t="s">
        <x:v>333</x:v>
      </x:c>
      <x:c r="G3737" s="274" t="s">
        <x:v>209</x:v>
      </x:c>
      <x:c r="I3737" s="274" t="n">
        <x:v>1.2</x:v>
      </x:c>
      <x:c r="J3737" s="274" t="n">
        <x:v>155</x:v>
      </x:c>
      <x:c r="K3737" s="274" t="n">
        <x:v>291</x:v>
      </x:c>
      <x:c r="M3737" s="274" t="s">
        <x:v>735</x:v>
      </x:c>
      <x:c r="N3737" s="274" t="s">
        <x:v>155</x:v>
      </x:c>
    </x:row>
    <x:row r="3738" spans="1:14">
      <x:c r="A3738" s="274" t="s">
        <x:v>6983</x:v>
      </x:c>
      <x:c r="B3738" s="274" t="n">
        <x:v>0.18</x:v>
      </x:c>
      <x:c r="C3738" s="274" t="n">
        <x:v>0</x:v>
      </x:c>
      <x:c r="D3738" s="274" t="n">
        <x:v>0</x:v>
      </x:c>
      <x:c r="F3738" s="274" t="s">
        <x:v>333</x:v>
      </x:c>
      <x:c r="G3738" s="274" t="s">
        <x:v>153</x:v>
      </x:c>
      <x:c r="I3738" s="274" t="n">
        <x:v>1</x:v>
      </x:c>
      <x:c r="J3738" s="274" t="n">
        <x:v>152</x:v>
      </x:c>
      <x:c r="K3738" s="274" t="n">
        <x:v>152</x:v>
      </x:c>
      <x:c r="M3738" s="274" t="s">
        <x:v>780</x:v>
      </x:c>
      <x:c r="N3738" s="274" t="s">
        <x:v>155</x:v>
      </x:c>
    </x:row>
    <x:row r="3739" spans="1:14">
      <x:c r="A3739" s="274" t="s">
        <x:v>6984</x:v>
      </x:c>
      <x:c r="B3739" s="274" t="n">
        <x:v>1.08</x:v>
      </x:c>
      <x:c r="C3739" s="274" t="n">
        <x:v>0</x:v>
      </x:c>
      <x:c r="D3739" s="274" t="n">
        <x:v>30</x:v>
      </x:c>
      <x:c r="E3739" s="274" t="n">
        <x:v>28</x:v>
      </x:c>
      <x:c r="F3739" s="274" t="s">
        <x:v>133</x:v>
      </x:c>
      <x:c r="G3739" s="274" t="s">
        <x:v>148</x:v>
      </x:c>
      <x:c r="I3739" s="274" t="n">
        <x:v>2.3</x:v>
      </x:c>
      <x:c r="J3739" s="274" t="n">
        <x:v>116</x:v>
      </x:c>
      <x:c r="K3739" s="274" t="n">
        <x:v>515</x:v>
      </x:c>
      <x:c r="M3739" s="274" t="s">
        <x:v>282</x:v>
      </x:c>
      <x:c r="N3739" s="274" t="s">
        <x:v>131</x:v>
      </x:c>
    </x:row>
    <x:row r="3740" spans="1:14">
      <x:c r="A3740" s="274" t="s">
        <x:v>6985</x:v>
      </x:c>
      <x:c r="B3740" s="274" t="n">
        <x:v>41.32</x:v>
      </x:c>
      <x:c r="C3740" s="274" t="n">
        <x:v>0</x:v>
      </x:c>
      <x:c r="D3740" s="274" t="n">
        <x:v>0</x:v>
      </x:c>
      <x:c r="F3740" s="274" t="s">
        <x:v>2500</x:v>
      </x:c>
      <x:c r="G3740" s="274" t="s">
        <x:v>2501</x:v>
      </x:c>
      <x:c r="I3740" s="274" t="n">
        <x:v>2.3</x:v>
      </x:c>
      <x:c r="J3740" s="274" t="n">
        <x:v>1250</x:v>
      </x:c>
      <x:c r="K3740" s="274" t="n">
        <x:v>1830</x:v>
      </x:c>
      <x:c r="M3740" s="274" t="s">
        <x:v>1413</x:v>
      </x:c>
    </x:row>
    <x:row r="3741" spans="1:14">
      <x:c r="A3741" s="274" t="s">
        <x:v>6986</x:v>
      </x:c>
      <x:c r="B3741" s="274" t="n">
        <x:v>3.18</x:v>
      </x:c>
      <x:c r="C3741" s="274" t="n">
        <x:v>0</x:v>
      </x:c>
      <x:c r="D3741" s="274" t="n">
        <x:v>0</x:v>
      </x:c>
      <x:c r="F3741" s="274" t="s">
        <x:v>123</x:v>
      </x:c>
      <x:c r="G3741" s="274" t="s">
        <x:v>153</x:v>
      </x:c>
      <x:c r="I3741" s="274" t="n">
        <x:v>2.6</x:v>
      </x:c>
      <x:c r="J3741" s="274" t="n">
        <x:v>120</x:v>
      </x:c>
      <x:c r="K3741" s="274" t="n">
        <x:v>1300</x:v>
      </x:c>
      <x:c r="M3741" s="274" t="s">
        <x:v>6395</x:v>
      </x:c>
      <x:c r="N3741" s="274" t="s">
        <x:v>6987</x:v>
      </x:c>
    </x:row>
    <x:row r="3742" spans="1:14">
      <x:c r="A3742" s="274" t="s">
        <x:v>6988</x:v>
      </x:c>
      <x:c r="B3742" s="274" t="n">
        <x:v>2.01</x:v>
      </x:c>
      <x:c r="C3742" s="274" t="n">
        <x:v>0</x:v>
      </x:c>
      <x:c r="D3742" s="274" t="n">
        <x:v>45</x:v>
      </x:c>
      <x:c r="E3742" s="274" t="n">
        <x:v>40</x:v>
      </x:c>
      <x:c r="F3742" s="274" t="s">
        <x:v>123</x:v>
      </x:c>
      <x:c r="G3742" s="274" t="s">
        <x:v>4286</x:v>
      </x:c>
      <x:c r="I3742" s="274" t="n">
        <x:v>0.5</x:v>
      </x:c>
      <x:c r="J3742" s="274" t="n">
        <x:v>674</x:v>
      </x:c>
      <x:c r="K3742" s="274" t="n">
        <x:v>760</x:v>
      </x:c>
      <x:c r="M3742" s="274" t="s">
        <x:v>6989</x:v>
      </x:c>
      <x:c r="N3742" s="274" t="s">
        <x:v>4258</x:v>
      </x:c>
    </x:row>
    <x:row r="3743" spans="1:14">
      <x:c r="A3743" s="274" t="s">
        <x:v>6990</x:v>
      </x:c>
      <x:c r="B3743" s="274" t="n">
        <x:v>1.42</x:v>
      </x:c>
      <x:c r="C3743" s="274" t="n">
        <x:v>0</x:v>
      </x:c>
      <x:c r="D3743" s="274" t="n">
        <x:v>45</x:v>
      </x:c>
      <x:c r="E3743" s="274" t="n">
        <x:v>40</x:v>
      </x:c>
      <x:c r="F3743" s="274" t="s">
        <x:v>123</x:v>
      </x:c>
      <x:c r="G3743" s="274" t="s">
        <x:v>4286</x:v>
      </x:c>
      <x:c r="I3743" s="274" t="n">
        <x:v>0.5</x:v>
      </x:c>
      <x:c r="J3743" s="274" t="n">
        <x:v>540</x:v>
      </x:c>
      <x:c r="K3743" s="274" t="n">
        <x:v>670</x:v>
      </x:c>
      <x:c r="M3743" s="274" t="s">
        <x:v>6991</x:v>
      </x:c>
      <x:c r="N3743" s="274" t="s">
        <x:v>4258</x:v>
      </x:c>
    </x:row>
    <x:row r="3744" spans="1:14">
      <x:c r="A3744" s="274" t="s">
        <x:v>6992</x:v>
      </x:c>
      <x:c r="B3744" s="274" t="n">
        <x:v>1.57</x:v>
      </x:c>
      <x:c r="C3744" s="274" t="n">
        <x:v>0</x:v>
      </x:c>
      <x:c r="D3744" s="274" t="n">
        <x:v>0</x:v>
      </x:c>
      <x:c r="F3744" s="274" t="s">
        <x:v>333</x:v>
      </x:c>
      <x:c r="G3744" s="274" t="s">
        <x:v>4256</x:v>
      </x:c>
      <x:c r="I3744" s="274" t="n">
        <x:v>1.6</x:v>
      </x:c>
      <x:c r="J3744" s="274" t="n">
        <x:v>100</x:v>
      </x:c>
      <x:c r="K3744" s="274" t="n">
        <x:v>1250</x:v>
      </x:c>
      <x:c r="M3744" s="274" t="s">
        <x:v>6993</x:v>
      </x:c>
      <x:c r="N3744" s="274" t="s">
        <x:v>4258</x:v>
      </x:c>
    </x:row>
    <x:row r="3745" spans="1:14">
      <x:c r="A3745" s="274" t="s">
        <x:v>6994</x:v>
      </x:c>
      <x:c r="B3745" s="274" t="n">
        <x:v>2.51</x:v>
      </x:c>
      <x:c r="C3745" s="274" t="n">
        <x:v>0</x:v>
      </x:c>
      <x:c r="D3745" s="274" t="n">
        <x:v>0</x:v>
      </x:c>
      <x:c r="F3745" s="274" t="s">
        <x:v>123</x:v>
      </x:c>
      <x:c r="G3745" s="274" t="s">
        <x:v>4302</x:v>
      </x:c>
      <x:c r="I3745" s="274" t="n">
        <x:v>2</x:v>
      </x:c>
      <x:c r="J3745" s="274" t="n">
        <x:v>128</x:v>
      </x:c>
      <x:c r="K3745" s="274" t="n">
        <x:v>1250</x:v>
      </x:c>
      <x:c r="M3745" s="274" t="s">
        <x:v>6995</x:v>
      </x:c>
      <x:c r="N3745" s="274" t="s">
        <x:v>4258</x:v>
      </x:c>
    </x:row>
    <x:row r="3746" spans="1:14">
      <x:c r="A3746" s="274" t="s">
        <x:v>6996</x:v>
      </x:c>
      <x:c r="B3746" s="274" t="n">
        <x:v>1.65</x:v>
      </x:c>
      <x:c r="C3746" s="274" t="n">
        <x:v>0</x:v>
      </x:c>
      <x:c r="D3746" s="274" t="n">
        <x:v>0</x:v>
      </x:c>
      <x:c r="F3746" s="274" t="s">
        <x:v>133</x:v>
      </x:c>
      <x:c r="G3746" s="274" t="s">
        <x:v>4299</x:v>
      </x:c>
      <x:c r="I3746" s="274" t="n">
        <x:v>2</x:v>
      </x:c>
      <x:c r="J3746" s="274" t="n">
        <x:v>84</x:v>
      </x:c>
      <x:c r="K3746" s="274" t="n">
        <x:v>1250</x:v>
      </x:c>
      <x:c r="M3746" s="274" t="s">
        <x:v>6997</x:v>
      </x:c>
      <x:c r="N3746" s="274" t="s">
        <x:v>4258</x:v>
      </x:c>
    </x:row>
    <x:row r="3747" spans="1:14">
      <x:c r="A3747" s="274" t="s">
        <x:v>6998</x:v>
      </x:c>
      <x:c r="B3747" s="274" t="n">
        <x:v>6.1</x:v>
      </x:c>
      <x:c r="C3747" s="274" t="n">
        <x:v>0</x:v>
      </x:c>
      <x:c r="D3747" s="274" t="n">
        <x:v>0</x:v>
      </x:c>
      <x:c r="F3747" s="274" t="s">
        <x:v>333</x:v>
      </x:c>
      <x:c r="G3747" s="274" t="s">
        <x:v>4256</x:v>
      </x:c>
      <x:c r="I3747" s="274" t="n">
        <x:v>1.2</x:v>
      </x:c>
      <x:c r="J3747" s="274" t="n">
        <x:v>518</x:v>
      </x:c>
      <x:c r="K3747" s="274" t="n">
        <x:v>1250</x:v>
      </x:c>
      <x:c r="M3747" s="274" t="s">
        <x:v>6999</x:v>
      </x:c>
      <x:c r="N3747" s="274" t="s">
        <x:v>4258</x:v>
      </x:c>
    </x:row>
    <x:row r="3748" spans="1:14">
      <x:c r="A3748" s="274" t="s">
        <x:v>7000</x:v>
      </x:c>
      <x:c r="B3748" s="274" t="n">
        <x:v>4.78</x:v>
      </x:c>
      <x:c r="C3748" s="274" t="n">
        <x:v>0</x:v>
      </x:c>
      <x:c r="D3748" s="274" t="n">
        <x:v>0</x:v>
      </x:c>
      <x:c r="F3748" s="274" t="s">
        <x:v>333</x:v>
      </x:c>
      <x:c r="G3748" s="274" t="s">
        <x:v>4256</x:v>
      </x:c>
      <x:c r="I3748" s="274" t="n">
        <x:v>1.2</x:v>
      </x:c>
      <x:c r="J3748" s="274" t="n">
        <x:v>406</x:v>
      </x:c>
      <x:c r="K3748" s="274" t="n">
        <x:v>1250</x:v>
      </x:c>
      <x:c r="M3748" s="274" t="s">
        <x:v>7001</x:v>
      </x:c>
      <x:c r="N3748" s="274" t="s">
        <x:v>4258</x:v>
      </x:c>
    </x:row>
    <x:row r="3749" spans="1:14">
      <x:c r="A3749" s="274" t="s">
        <x:v>7002</x:v>
      </x:c>
      <x:c r="B3749" s="274" t="n">
        <x:v>4.4</x:v>
      </x:c>
      <x:c r="C3749" s="274" t="n">
        <x:v>0</x:v>
      </x:c>
      <x:c r="D3749" s="274" t="n">
        <x:v>0</x:v>
      </x:c>
      <x:c r="F3749" s="274" t="s">
        <x:v>333</x:v>
      </x:c>
      <x:c r="G3749" s="274" t="s">
        <x:v>4256</x:v>
      </x:c>
      <x:c r="I3749" s="274" t="n">
        <x:v>1.4</x:v>
      </x:c>
      <x:c r="J3749" s="274" t="n">
        <x:v>320</x:v>
      </x:c>
      <x:c r="K3749" s="274" t="n">
        <x:v>1250</x:v>
      </x:c>
      <x:c r="M3749" s="274" t="s">
        <x:v>7003</x:v>
      </x:c>
      <x:c r="N3749" s="274" t="s">
        <x:v>4258</x:v>
      </x:c>
    </x:row>
    <x:row r="3750" spans="1:14">
      <x:c r="A3750" s="274" t="s">
        <x:v>7004</x:v>
      </x:c>
      <x:c r="B3750" s="274" t="n">
        <x:v>7.09</x:v>
      </x:c>
      <x:c r="C3750" s="274" t="n">
        <x:v>0</x:v>
      </x:c>
      <x:c r="D3750" s="274" t="n">
        <x:v>0</x:v>
      </x:c>
      <x:c r="F3750" s="274" t="s">
        <x:v>333</x:v>
      </x:c>
      <x:c r="G3750" s="274" t="s">
        <x:v>4256</x:v>
      </x:c>
      <x:c r="I3750" s="274" t="n">
        <x:v>1.4</x:v>
      </x:c>
      <x:c r="J3750" s="274" t="n">
        <x:v>516</x:v>
      </x:c>
      <x:c r="K3750" s="274" t="n">
        <x:v>1250</x:v>
      </x:c>
      <x:c r="M3750" s="274" t="s">
        <x:v>7005</x:v>
      </x:c>
      <x:c r="N3750" s="274" t="s">
        <x:v>4258</x:v>
      </x:c>
    </x:row>
    <x:row r="3751" spans="1:14">
      <x:c r="A3751" s="274" t="s">
        <x:v>7006</x:v>
      </x:c>
      <x:c r="B3751" s="274" t="n">
        <x:v>1.82</x:v>
      </x:c>
      <x:c r="C3751" s="274" t="n">
        <x:v>0</x:v>
      </x:c>
      <x:c r="D3751" s="274" t="n">
        <x:v>0</x:v>
      </x:c>
      <x:c r="F3751" s="274" t="s">
        <x:v>133</x:v>
      </x:c>
      <x:c r="G3751" s="274" t="s">
        <x:v>4329</x:v>
      </x:c>
      <x:c r="I3751" s="274" t="n">
        <x:v>1.6</x:v>
      </x:c>
      <x:c r="J3751" s="274" t="n">
        <x:v>116</x:v>
      </x:c>
      <x:c r="K3751" s="274" t="n">
        <x:v>1250</x:v>
      </x:c>
      <x:c r="M3751" s="274" t="s">
        <x:v>7007</x:v>
      </x:c>
      <x:c r="N3751" s="274" t="s">
        <x:v>4258</x:v>
      </x:c>
    </x:row>
    <x:row r="3752" spans="1:14">
      <x:c r="A3752" s="274" t="s">
        <x:v>7008</x:v>
      </x:c>
      <x:c r="B3752" s="274" t="n">
        <x:v>3.63</x:v>
      </x:c>
      <x:c r="C3752" s="274" t="n">
        <x:v>0</x:v>
      </x:c>
      <x:c r="D3752" s="274" t="n">
        <x:v>0</x:v>
      </x:c>
      <x:c r="F3752" s="274" t="s">
        <x:v>123</x:v>
      </x:c>
      <x:c r="G3752" s="274" t="s">
        <x:v>4302</x:v>
      </x:c>
      <x:c r="I3752" s="274" t="n">
        <x:v>2</x:v>
      </x:c>
      <x:c r="J3752" s="274" t="n">
        <x:v>185</x:v>
      </x:c>
      <x:c r="K3752" s="274" t="n">
        <x:v>1250</x:v>
      </x:c>
      <x:c r="M3752" s="274" t="s">
        <x:v>7009</x:v>
      </x:c>
      <x:c r="N3752" s="274" t="s">
        <x:v>4258</x:v>
      </x:c>
    </x:row>
    <x:row r="3753" spans="1:14">
      <x:c r="A3753" s="274" t="s">
        <x:v>7010</x:v>
      </x:c>
      <x:c r="B3753" s="274" t="n">
        <x:v>5.67</x:v>
      </x:c>
      <x:c r="C3753" s="274" t="n">
        <x:v>0</x:v>
      </x:c>
      <x:c r="D3753" s="274" t="n">
        <x:v>0</x:v>
      </x:c>
      <x:c r="F3753" s="274" t="s">
        <x:v>133</x:v>
      </x:c>
      <x:c r="G3753" s="274" t="s">
        <x:v>4299</x:v>
      </x:c>
      <x:c r="I3753" s="274" t="n">
        <x:v>2</x:v>
      </x:c>
      <x:c r="J3753" s="274" t="n">
        <x:v>289</x:v>
      </x:c>
      <x:c r="K3753" s="274" t="n">
        <x:v>1250</x:v>
      </x:c>
      <x:c r="M3753" s="274" t="s">
        <x:v>7011</x:v>
      </x:c>
      <x:c r="N3753" s="274" t="s">
        <x:v>4258</x:v>
      </x:c>
    </x:row>
    <x:row r="3754" spans="1:14">
      <x:c r="A3754" s="274" t="s">
        <x:v>7012</x:v>
      </x:c>
      <x:c r="B3754" s="274" t="n">
        <x:v>5.1</x:v>
      </x:c>
      <x:c r="C3754" s="274" t="n">
        <x:v>0</x:v>
      </x:c>
      <x:c r="D3754" s="274" t="n">
        <x:v>0</x:v>
      </x:c>
      <x:c r="F3754" s="274" t="s">
        <x:v>133</x:v>
      </x:c>
      <x:c r="G3754" s="274" t="s">
        <x:v>4299</x:v>
      </x:c>
      <x:c r="I3754" s="274" t="n">
        <x:v>2</x:v>
      </x:c>
      <x:c r="J3754" s="274" t="n">
        <x:v>260</x:v>
      </x:c>
      <x:c r="K3754" s="274" t="n">
        <x:v>1250</x:v>
      </x:c>
      <x:c r="M3754" s="274" t="s">
        <x:v>7013</x:v>
      </x:c>
      <x:c r="N3754" s="274" t="s">
        <x:v>4258</x:v>
      </x:c>
    </x:row>
    <x:row r="3755" spans="1:14">
      <x:c r="A3755" s="274" t="s">
        <x:v>7014</x:v>
      </x:c>
      <x:c r="B3755" s="274" t="n">
        <x:v>5.42</x:v>
      </x:c>
      <x:c r="C3755" s="274" t="n">
        <x:v>0</x:v>
      </x:c>
      <x:c r="D3755" s="274" t="n">
        <x:v>0</x:v>
      </x:c>
      <x:c r="F3755" s="274" t="s">
        <x:v>133</x:v>
      </x:c>
      <x:c r="G3755" s="274" t="s">
        <x:v>4299</x:v>
      </x:c>
      <x:c r="I3755" s="274" t="n">
        <x:v>2</x:v>
      </x:c>
      <x:c r="J3755" s="274" t="n">
        <x:v>276</x:v>
      </x:c>
      <x:c r="K3755" s="274" t="n">
        <x:v>1250</x:v>
      </x:c>
      <x:c r="M3755" s="274" t="s">
        <x:v>7015</x:v>
      </x:c>
      <x:c r="N3755" s="274" t="s">
        <x:v>4258</x:v>
      </x:c>
    </x:row>
    <x:row r="3756" spans="1:14">
      <x:c r="A3756" s="274" t="s">
        <x:v>7016</x:v>
      </x:c>
      <x:c r="B3756" s="274" t="n">
        <x:v>5.5</x:v>
      </x:c>
      <x:c r="C3756" s="274" t="n">
        <x:v>0</x:v>
      </x:c>
      <x:c r="D3756" s="274" t="n">
        <x:v>0</x:v>
      </x:c>
      <x:c r="F3756" s="274" t="s">
        <x:v>133</x:v>
      </x:c>
      <x:c r="G3756" s="274" t="s">
        <x:v>4299</x:v>
      </x:c>
      <x:c r="I3756" s="274" t="n">
        <x:v>2</x:v>
      </x:c>
      <x:c r="J3756" s="274" t="n">
        <x:v>280</x:v>
      </x:c>
      <x:c r="K3756" s="274" t="n">
        <x:v>1250</x:v>
      </x:c>
      <x:c r="M3756" s="274" t="s">
        <x:v>7017</x:v>
      </x:c>
      <x:c r="N3756" s="274" t="s">
        <x:v>4258</x:v>
      </x:c>
    </x:row>
    <x:row r="3757" spans="1:14">
      <x:c r="A3757" s="274" t="s">
        <x:v>7018</x:v>
      </x:c>
      <x:c r="B3757" s="274" t="n">
        <x:v>2.09</x:v>
      </x:c>
      <x:c r="C3757" s="274" t="n">
        <x:v>0</x:v>
      </x:c>
      <x:c r="D3757" s="274" t="n">
        <x:v>0</x:v>
      </x:c>
      <x:c r="F3757" s="274" t="s">
        <x:v>123</x:v>
      </x:c>
      <x:c r="G3757" s="274" t="s">
        <x:v>5224</x:v>
      </x:c>
      <x:c r="I3757" s="274" t="n">
        <x:v>2.6</x:v>
      </x:c>
      <x:c r="J3757" s="274" t="n">
        <x:v>82</x:v>
      </x:c>
      <x:c r="K3757" s="274" t="n">
        <x:v>1250</x:v>
      </x:c>
      <x:c r="M3757" s="274" t="s">
        <x:v>7019</x:v>
      </x:c>
    </x:row>
    <x:row r="3758" spans="1:14">
      <x:c r="A3758" s="274" t="s">
        <x:v>7020</x:v>
      </x:c>
      <x:c r="B3758" s="274" t="n">
        <x:v>5.1</x:v>
      </x:c>
      <x:c r="C3758" s="274" t="n">
        <x:v>0</x:v>
      </x:c>
      <x:c r="D3758" s="274" t="n">
        <x:v>0</x:v>
      </x:c>
      <x:c r="F3758" s="274" t="s">
        <x:v>133</x:v>
      </x:c>
      <x:c r="G3758" s="274" t="s">
        <x:v>4299</x:v>
      </x:c>
      <x:c r="I3758" s="274" t="n">
        <x:v>2.6</x:v>
      </x:c>
      <x:c r="J3758" s="274" t="n">
        <x:v>200</x:v>
      </x:c>
      <x:c r="K3758" s="274" t="n">
        <x:v>1250</x:v>
      </x:c>
      <x:c r="M3758" s="274" t="s">
        <x:v>7021</x:v>
      </x:c>
    </x:row>
    <x:row r="3759" spans="1:14">
      <x:c r="A3759" s="274" t="s">
        <x:v>7022</x:v>
      </x:c>
      <x:c r="B3759" s="274" t="n">
        <x:v>5.38</x:v>
      </x:c>
      <x:c r="C3759" s="274" t="n">
        <x:v>0</x:v>
      </x:c>
      <x:c r="D3759" s="274" t="n">
        <x:v>0</x:v>
      </x:c>
      <x:c r="F3759" s="274" t="s">
        <x:v>133</x:v>
      </x:c>
      <x:c r="G3759" s="274" t="s">
        <x:v>4299</x:v>
      </x:c>
      <x:c r="I3759" s="274" t="n">
        <x:v>2.6</x:v>
      </x:c>
      <x:c r="J3759" s="274" t="n">
        <x:v>211</x:v>
      </x:c>
      <x:c r="K3759" s="274" t="n">
        <x:v>1250</x:v>
      </x:c>
      <x:c r="M3759" s="274" t="s">
        <x:v>7023</x:v>
      </x:c>
    </x:row>
    <x:row r="3760" spans="1:14">
      <x:c r="A3760" s="274" t="s">
        <x:v>7024</x:v>
      </x:c>
      <x:c r="B3760" s="274" t="n">
        <x:v>4.9</x:v>
      </x:c>
      <x:c r="C3760" s="274" t="n">
        <x:v>0</x:v>
      </x:c>
      <x:c r="D3760" s="274" t="n">
        <x:v>0</x:v>
      </x:c>
      <x:c r="F3760" s="274" t="s">
        <x:v>133</x:v>
      </x:c>
      <x:c r="G3760" s="274" t="s">
        <x:v>4299</x:v>
      </x:c>
      <x:c r="I3760" s="274" t="n">
        <x:v>2.6</x:v>
      </x:c>
      <x:c r="J3760" s="274" t="n">
        <x:v>192</x:v>
      </x:c>
      <x:c r="K3760" s="274" t="n">
        <x:v>1250</x:v>
      </x:c>
      <x:c r="M3760" s="274" t="s">
        <x:v>7025</x:v>
      </x:c>
    </x:row>
    <x:row r="3761" spans="1:14">
      <x:c r="A3761" s="274" t="s">
        <x:v>7026</x:v>
      </x:c>
      <x:c r="B3761" s="274" t="n">
        <x:v>3.11</x:v>
      </x:c>
      <x:c r="C3761" s="274" t="n">
        <x:v>0</x:v>
      </x:c>
      <x:c r="D3761" s="274" t="n">
        <x:v>0</x:v>
      </x:c>
      <x:c r="F3761" s="274" t="s">
        <x:v>133</x:v>
      </x:c>
      <x:c r="G3761" s="274" t="s">
        <x:v>4299</x:v>
      </x:c>
      <x:c r="I3761" s="274" t="n">
        <x:v>2.6</x:v>
      </x:c>
      <x:c r="J3761" s="274" t="n">
        <x:v>122</x:v>
      </x:c>
      <x:c r="K3761" s="274" t="n">
        <x:v>1250</x:v>
      </x:c>
      <x:c r="M3761" s="274" t="s">
        <x:v>7027</x:v>
      </x:c>
    </x:row>
    <x:row r="3762" spans="1:14">
      <x:c r="A3762" s="274" t="s">
        <x:v>7028</x:v>
      </x:c>
      <x:c r="B3762" s="274" t="n">
        <x:v>2.88</x:v>
      </x:c>
      <x:c r="C3762" s="274" t="n">
        <x:v>0</x:v>
      </x:c>
      <x:c r="D3762" s="274" t="n">
        <x:v>0</x:v>
      </x:c>
      <x:c r="F3762" s="274" t="s">
        <x:v>133</x:v>
      </x:c>
      <x:c r="G3762" s="274" t="s">
        <x:v>4299</x:v>
      </x:c>
      <x:c r="I3762" s="274" t="n">
        <x:v>2.6</x:v>
      </x:c>
      <x:c r="J3762" s="274" t="n">
        <x:v>113</x:v>
      </x:c>
      <x:c r="K3762" s="274" t="n">
        <x:v>1250</x:v>
      </x:c>
      <x:c r="M3762" s="274" t="s">
        <x:v>7029</x:v>
      </x:c>
    </x:row>
    <x:row r="3763" spans="1:14">
      <x:c r="A3763" s="274" t="s">
        <x:v>7030</x:v>
      </x:c>
      <x:c r="B3763" s="274" t="n">
        <x:v>1.57</x:v>
      </x:c>
      <x:c r="C3763" s="274" t="n">
        <x:v>0</x:v>
      </x:c>
      <x:c r="D3763" s="274" t="n">
        <x:v>0</x:v>
      </x:c>
      <x:c r="F3763" s="274" t="s">
        <x:v>333</x:v>
      </x:c>
      <x:c r="G3763" s="274" t="s">
        <x:v>4256</x:v>
      </x:c>
      <x:c r="I3763" s="274" t="n">
        <x:v>1.6</x:v>
      </x:c>
      <x:c r="J3763" s="274" t="n">
        <x:v>100</x:v>
      </x:c>
      <x:c r="K3763" s="274" t="n">
        <x:v>1250</x:v>
      </x:c>
      <x:c r="M3763" s="274" t="s">
        <x:v>6993</x:v>
      </x:c>
      <x:c r="N3763" s="274" t="s">
        <x:v>4258</x:v>
      </x:c>
    </x:row>
    <x:row r="3764" spans="1:14">
      <x:c r="A3764" s="274" t="s">
        <x:v>7031</x:v>
      </x:c>
      <x:c r="B3764" s="274" t="n">
        <x:v>8.62</x:v>
      </x:c>
      <x:c r="C3764" s="274" t="n">
        <x:v>0</x:v>
      </x:c>
      <x:c r="D3764" s="274" t="n">
        <x:v>28</x:v>
      </x:c>
      <x:c r="E3764" s="274" t="n">
        <x:v>23</x:v>
      </x:c>
      <x:c r="F3764" s="274" t="s">
        <x:v>128</x:v>
      </x:c>
      <x:c r="G3764" s="274" t="s">
        <x:v>3418</x:v>
      </x:c>
      <x:c r="H3764" s="274" t="n">
        <x:v>45</x:v>
      </x:c>
      <x:c r="I3764" s="274" t="n">
        <x:v>2.3</x:v>
      </x:c>
      <x:c r="J3764" s="274" t="n">
        <x:v>950</x:v>
      </x:c>
      <x:c r="K3764" s="274" t="n">
        <x:v>500</x:v>
      </x:c>
      <x:c r="N3764" s="274" t="s">
        <x:v>3671</x:v>
      </x:c>
    </x:row>
    <x:row r="3765" spans="1:14">
      <x:c r="A3765" s="274" t="s">
        <x:v>7032</x:v>
      </x:c>
      <x:c r="B3765" s="274" t="n">
        <x:v>2.73</x:v>
      </x:c>
      <x:c r="C3765" s="274" t="n">
        <x:v>38</x:v>
      </x:c>
      <x:c r="D3765" s="274" t="n">
        <x:v>60</x:v>
      </x:c>
      <x:c r="E3765" s="274" t="n">
        <x:v>0</x:v>
      </x:c>
      <x:c r="F3765" s="274" t="s">
        <x:v>123</x:v>
      </x:c>
      <x:c r="G3765" s="274" t="s">
        <x:v>153</x:v>
      </x:c>
      <x:c r="I3765" s="274" t="n">
        <x:v>0.8</x:v>
      </x:c>
      <x:c r="J3765" s="274" t="n">
        <x:v>835</x:v>
      </x:c>
      <x:c r="K3765" s="274" t="n">
        <x:v>570</x:v>
      </x:c>
      <x:c r="L3765" s="274" t="n">
        <x:v>470</x:v>
      </x:c>
      <x:c r="M3765" s="274" t="s">
        <x:v>1771</x:v>
      </x:c>
      <x:c r="N3765" s="274" t="s">
        <x:v>7033</x:v>
      </x:c>
    </x:row>
    <x:row r="3766" spans="1:14">
      <x:c r="A3766" s="274" t="s">
        <x:v>7034</x:v>
      </x:c>
      <x:c r="B3766" s="274" t="n">
        <x:v>3.13</x:v>
      </x:c>
      <x:c r="C3766" s="274" t="n">
        <x:v>0</x:v>
      </x:c>
      <x:c r="D3766" s="274" t="n">
        <x:v>0</x:v>
      </x:c>
      <x:c r="F3766" s="274" t="s">
        <x:v>333</x:v>
      </x:c>
      <x:c r="G3766" s="274" t="s">
        <x:v>4663</x:v>
      </x:c>
      <x:c r="I3766" s="274" t="n">
        <x:v>1.2</x:v>
      </x:c>
      <x:c r="J3766" s="274" t="n">
        <x:v>266</x:v>
      </x:c>
      <x:c r="K3766" s="274" t="n">
        <x:v>1250</x:v>
      </x:c>
      <x:c r="M3766" s="274" t="s">
        <x:v>4811</x:v>
      </x:c>
      <x:c r="N3766" s="274" t="s">
        <x:v>4258</x:v>
      </x:c>
    </x:row>
    <x:row r="3767" spans="1:14">
      <x:c r="A3767" s="274" t="s">
        <x:v>7035</x:v>
      </x:c>
      <x:c r="B3767" s="274" t="n">
        <x:v>2.48</x:v>
      </x:c>
      <x:c r="C3767" s="274" t="n">
        <x:v>0</x:v>
      </x:c>
      <x:c r="D3767" s="274" t="n">
        <x:v>0</x:v>
      </x:c>
      <x:c r="F3767" s="274" t="s">
        <x:v>333</x:v>
      </x:c>
      <x:c r="G3767" s="274" t="s">
        <x:v>4663</x:v>
      </x:c>
      <x:c r="I3767" s="274" t="n">
        <x:v>1.2</x:v>
      </x:c>
      <x:c r="J3767" s="274" t="n">
        <x:v>219</x:v>
      </x:c>
      <x:c r="K3767" s="274" t="n">
        <x:v>1200</x:v>
      </x:c>
      <x:c r="M3767" s="274" t="s">
        <x:v>4813</x:v>
      </x:c>
      <x:c r="N3767" s="274" t="s">
        <x:v>4258</x:v>
      </x:c>
    </x:row>
    <x:row r="3768" spans="1:14">
      <x:c r="A3768" s="274" t="s">
        <x:v>7036</x:v>
      </x:c>
      <x:c r="B3768" s="274" t="n">
        <x:v>1.08</x:v>
      </x:c>
      <x:c r="C3768" s="274" t="n">
        <x:v>0</x:v>
      </x:c>
      <x:c r="D3768" s="274" t="n">
        <x:v>0</x:v>
      </x:c>
      <x:c r="F3768" s="274" t="s">
        <x:v>133</x:v>
      </x:c>
      <x:c r="G3768" s="274" t="s">
        <x:v>4470</x:v>
      </x:c>
      <x:c r="H3768" s="274" t="s">
        <x:v>4471</x:v>
      </x:c>
      <x:c r="I3768" s="274" t="n">
        <x:v>1.4</x:v>
      </x:c>
      <x:c r="J3768" s="274" t="n">
        <x:v>176</x:v>
      </x:c>
      <x:c r="K3768" s="274" t="n">
        <x:v>560</x:v>
      </x:c>
      <x:c r="M3768" s="274" t="s">
        <x:v>5057</x:v>
      </x:c>
      <x:c r="N3768" s="274" t="s">
        <x:v>4258</x:v>
      </x:c>
    </x:row>
    <x:row r="3769" spans="1:14">
      <x:c r="A3769" s="274" t="s">
        <x:v>7037</x:v>
      </x:c>
      <x:c r="B3769" s="274" t="n">
        <x:v>3.4</x:v>
      </x:c>
      <x:c r="C3769" s="274" t="n">
        <x:v>0</x:v>
      </x:c>
      <x:c r="D3769" s="274" t="n">
        <x:v>0</x:v>
      </x:c>
      <x:c r="F3769" s="274" t="s">
        <x:v>184</x:v>
      </x:c>
      <x:c r="G3769" s="274" t="s">
        <x:v>4782</x:v>
      </x:c>
      <x:c r="H3769" s="274" t="s">
        <x:v>4471</x:v>
      </x:c>
      <x:c r="I3769" s="274" t="n">
        <x:v>1.4</x:v>
      </x:c>
      <x:c r="J3769" s="274" t="n">
        <x:v>258</x:v>
      </x:c>
      <x:c r="K3769" s="274" t="n">
        <x:v>1200</x:v>
      </x:c>
      <x:c r="M3769" s="274" t="s">
        <x:v>7038</x:v>
      </x:c>
      <x:c r="N3769" s="274" t="s">
        <x:v>4258</x:v>
      </x:c>
    </x:row>
    <x:row r="3770" spans="1:14">
      <x:c r="A3770" s="274" t="s">
        <x:v>7039</x:v>
      </x:c>
      <x:c r="B3770" s="274" t="n">
        <x:v>0.64</x:v>
      </x:c>
      <x:c r="C3770" s="274" t="n">
        <x:v>0</x:v>
      </x:c>
      <x:c r="D3770" s="274" t="n">
        <x:v>0</x:v>
      </x:c>
      <x:c r="F3770" s="274" t="s">
        <x:v>123</x:v>
      </x:c>
      <x:c r="G3770" s="274" t="s">
        <x:v>4787</x:v>
      </x:c>
      <x:c r="H3770" s="274" t="s">
        <x:v>4471</x:v>
      </x:c>
      <x:c r="I3770" s="274" t="n">
        <x:v>0.8</x:v>
      </x:c>
      <x:c r="J3770" s="274" t="n">
        <x:v>745</x:v>
      </x:c>
      <x:c r="K3770" s="274" t="n">
        <x:v>135</x:v>
      </x:c>
      <x:c r="M3770" s="274" t="s">
        <x:v>7040</x:v>
      </x:c>
      <x:c r="N3770" s="274" t="s">
        <x:v>4258</x:v>
      </x:c>
    </x:row>
    <x:row r="3771" spans="1:14">
      <x:c r="A3771" s="274" t="s">
        <x:v>7041</x:v>
      </x:c>
      <x:c r="B3771" s="274" t="n">
        <x:v>0.54</x:v>
      </x:c>
      <x:c r="C3771" s="274" t="n">
        <x:v>0</x:v>
      </x:c>
      <x:c r="D3771" s="274" t="n">
        <x:v>0</x:v>
      </x:c>
      <x:c r="F3771" s="274" t="s">
        <x:v>333</x:v>
      </x:c>
      <x:c r="G3771" s="274" t="s">
        <x:v>4663</x:v>
      </x:c>
      <x:c r="I3771" s="274" t="n">
        <x:v>1.2</x:v>
      </x:c>
      <x:c r="J3771" s="274" t="n">
        <x:v>474</x:v>
      </x:c>
      <x:c r="K3771" s="274" t="n">
        <x:v>120</x:v>
      </x:c>
      <x:c r="M3771" s="274" t="s">
        <x:v>7042</x:v>
      </x:c>
      <x:c r="N3771" s="274" t="s">
        <x:v>4258</x:v>
      </x:c>
    </x:row>
    <x:row r="3772" spans="1:14">
      <x:c r="A3772" s="274" t="s">
        <x:v>7043</x:v>
      </x:c>
      <x:c r="B3772" s="274" t="n">
        <x:v>4.51</x:v>
      </x:c>
      <x:c r="C3772" s="274" t="n">
        <x:v>0</x:v>
      </x:c>
      <x:c r="D3772" s="274" t="n">
        <x:v>0</x:v>
      </x:c>
      <x:c r="F3772" s="274" t="s">
        <x:v>333</x:v>
      </x:c>
      <x:c r="G3772" s="274" t="s">
        <x:v>4663</x:v>
      </x:c>
      <x:c r="I3772" s="274" t="n">
        <x:v>1.2</x:v>
      </x:c>
      <x:c r="J3772" s="274" t="n">
        <x:v>399</x:v>
      </x:c>
      <x:c r="K3772" s="274" t="n">
        <x:v>1200</x:v>
      </x:c>
      <x:c r="M3772" s="274" t="s">
        <x:v>7044</x:v>
      </x:c>
      <x:c r="N3772" s="274" t="s">
        <x:v>4258</x:v>
      </x:c>
    </x:row>
    <x:row r="3773" spans="1:14">
      <x:c r="A3773" s="274" t="s">
        <x:v>7045</x:v>
      </x:c>
      <x:c r="B3773" s="274" t="n">
        <x:v>0.72</x:v>
      </x:c>
      <x:c r="C3773" s="274" t="n">
        <x:v>0</x:v>
      </x:c>
      <x:c r="D3773" s="274" t="n">
        <x:v>0</x:v>
      </x:c>
      <x:c r="F3773" s="274" t="s">
        <x:v>133</x:v>
      </x:c>
      <x:c r="G3773" s="274" t="s">
        <x:v>4329</x:v>
      </x:c>
      <x:c r="I3773" s="274" t="n">
        <x:v>1.6</x:v>
      </x:c>
      <x:c r="J3773" s="274" t="n">
        <x:v>118</x:v>
      </x:c>
      <x:c r="K3773" s="274" t="n">
        <x:v>484</x:v>
      </x:c>
      <x:c r="M3773" s="274" t="s">
        <x:v>5197</x:v>
      </x:c>
      <x:c r="N3773" s="274" t="s">
        <x:v>4258</x:v>
      </x:c>
    </x:row>
    <x:row r="3774" spans="1:14">
      <x:c r="A3774" s="274" t="s">
        <x:v>7046</x:v>
      </x:c>
      <x:c r="B3774" s="274" t="n">
        <x:v>0.93</x:v>
      </x:c>
      <x:c r="C3774" s="274" t="n">
        <x:v>0</x:v>
      </x:c>
      <x:c r="D3774" s="274" t="n">
        <x:v>0</x:v>
      </x:c>
      <x:c r="F3774" s="274" t="s">
        <x:v>133</x:v>
      </x:c>
      <x:c r="G3774" s="274" t="s">
        <x:v>4470</x:v>
      </x:c>
      <x:c r="H3774" s="274" t="s">
        <x:v>4471</x:v>
      </x:c>
      <x:c r="I3774" s="274" t="n">
        <x:v>1.4</x:v>
      </x:c>
      <x:c r="J3774" s="274" t="n">
        <x:v>452</x:v>
      </x:c>
      <x:c r="K3774" s="274" t="n">
        <x:v>188</x:v>
      </x:c>
      <x:c r="M3774" s="274" t="s">
        <x:v>5055</x:v>
      </x:c>
      <x:c r="N3774" s="274" t="s">
        <x:v>4258</x:v>
      </x:c>
    </x:row>
    <x:row r="3775" spans="1:14">
      <x:c r="A3775" s="274" t="s">
        <x:v>7047</x:v>
      </x:c>
      <x:c r="B3775" s="274" t="n">
        <x:v>0.91</x:v>
      </x:c>
      <x:c r="C3775" s="274" t="n">
        <x:v>0</x:v>
      </x:c>
      <x:c r="D3775" s="274" t="n">
        <x:v>0</x:v>
      </x:c>
      <x:c r="F3775" s="274" t="s">
        <x:v>133</x:v>
      </x:c>
      <x:c r="G3775" s="274" t="s">
        <x:v>4329</x:v>
      </x:c>
      <x:c r="I3775" s="274" t="n">
        <x:v>2</x:v>
      </x:c>
      <x:c r="J3775" s="274" t="n">
        <x:v>160</x:v>
      </x:c>
      <x:c r="K3775" s="274" t="n">
        <x:v>362</x:v>
      </x:c>
      <x:c r="M3775" s="274" t="s">
        <x:v>4766</x:v>
      </x:c>
      <x:c r="N3775" s="274" t="s">
        <x:v>4258</x:v>
      </x:c>
    </x:row>
    <x:row r="3776" spans="1:14">
      <x:c r="A3776" s="274" t="s">
        <x:v>7048</x:v>
      </x:c>
      <x:c r="B3776" s="274" t="n">
        <x:v>1.81</x:v>
      </x:c>
      <x:c r="C3776" s="274" t="n">
        <x:v>0</x:v>
      </x:c>
      <x:c r="D3776" s="274" t="n">
        <x:v>0</x:v>
      </x:c>
      <x:c r="F3776" s="274" t="s">
        <x:v>333</x:v>
      </x:c>
      <x:c r="G3776" s="274" t="s">
        <x:v>334</x:v>
      </x:c>
      <x:c r="I3776" s="274" t="n">
        <x:v>0.8</x:v>
      </x:c>
      <x:c r="J3776" s="274" t="n">
        <x:v>1150</x:v>
      </x:c>
      <x:c r="K3776" s="274" t="n">
        <x:v>250</x:v>
      </x:c>
      <x:c r="M3776" s="274" t="s">
        <x:v>7049</x:v>
      </x:c>
      <x:c r="N3776" s="274" t="s">
        <x:v>3671</x:v>
      </x:c>
    </x:row>
    <x:row r="3777" spans="1:14">
      <x:c r="A3777" s="274" t="s">
        <x:v>7050</x:v>
      </x:c>
      <x:c r="B3777" s="274" t="n">
        <x:v>0.73</x:v>
      </x:c>
      <x:c r="C3777" s="274" t="n">
        <x:v>0</x:v>
      </x:c>
      <x:c r="D3777" s="274" t="n">
        <x:v>0</x:v>
      </x:c>
      <x:c r="F3777" s="274" t="s">
        <x:v>128</x:v>
      </x:c>
      <x:c r="G3777" s="274" t="s">
        <x:v>153</x:v>
      </x:c>
      <x:c r="I3777" s="274" t="n">
        <x:v>2.6</x:v>
      </x:c>
      <x:c r="J3777" s="274" t="n">
        <x:v>360</x:v>
      </x:c>
      <x:c r="K3777" s="274" t="n">
        <x:v>100</x:v>
      </x:c>
      <x:c r="M3777" s="274" t="s">
        <x:v>7051</x:v>
      </x:c>
      <x:c r="N3777" s="274" t="s">
        <x:v>3671</x:v>
      </x:c>
    </x:row>
    <x:row r="3778" spans="1:14">
      <x:c r="A3778" s="274" t="s">
        <x:v>7052</x:v>
      </x:c>
      <x:c r="B3778" s="274" t="n">
        <x:v>2.89</x:v>
      </x:c>
      <x:c r="C3778" s="274" t="n">
        <x:v>0</x:v>
      </x:c>
      <x:c r="D3778" s="274" t="n">
        <x:v>0</x:v>
      </x:c>
      <x:c r="F3778" s="274" t="s">
        <x:v>333</x:v>
      </x:c>
      <x:c r="G3778" s="274" t="s">
        <x:v>334</x:v>
      </x:c>
      <x:c r="I3778" s="274" t="n">
        <x:v>1.4</x:v>
      </x:c>
      <x:c r="J3778" s="274" t="n">
        <x:v>166</x:v>
      </x:c>
      <x:c r="K3778" s="274" t="n">
        <x:v>1586</x:v>
      </x:c>
      <x:c r="M3778" s="274" t="s">
        <x:v>7053</x:v>
      </x:c>
      <x:c r="N3778" s="274" t="s">
        <x:v>3671</x:v>
      </x:c>
    </x:row>
    <x:row r="3779" spans="1:14">
      <x:c r="A3779" s="274" t="s">
        <x:v>7054</x:v>
      </x:c>
      <x:c r="B3779" s="274" t="n">
        <x:v>22</x:v>
      </x:c>
      <x:c r="C3779" s="274" t="n">
        <x:v>0</x:v>
      </x:c>
      <x:c r="D3779" s="274" t="n">
        <x:v>29</x:v>
      </x:c>
      <x:c r="E3779" s="274" t="n">
        <x:v>24</x:v>
      </x:c>
      <x:c r="F3779" s="274" t="s">
        <x:v>311</x:v>
      </x:c>
      <x:c r="G3779" s="274" t="s">
        <x:v>124</x:v>
      </x:c>
      <x:c r="I3779" s="274" t="n">
        <x:v>1</x:v>
      </x:c>
      <x:c r="J3779" s="274" t="n">
        <x:v>1536</x:v>
      </x:c>
      <x:c r="K3779" s="274" t="n">
        <x:v>1824</x:v>
      </x:c>
      <x:c r="M3779" s="274" t="s">
        <x:v>5871</x:v>
      </x:c>
      <x:c r="N3779" s="274" t="s">
        <x:v>3671</x:v>
      </x:c>
    </x:row>
    <x:row r="3780" spans="1:14">
      <x:c r="A3780" s="274" t="s">
        <x:v>7055</x:v>
      </x:c>
      <x:c r="B3780" s="274" t="n">
        <x:v>7.31</x:v>
      </x:c>
      <x:c r="C3780" s="274" t="n">
        <x:v>0</x:v>
      </x:c>
      <x:c r="D3780" s="274" t="n">
        <x:v>0</x:v>
      </x:c>
      <x:c r="F3780" s="274" t="s">
        <x:v>133</x:v>
      </x:c>
      <x:c r="G3780" s="274" t="s">
        <x:v>4470</x:v>
      </x:c>
      <x:c r="H3780" s="274" t="s">
        <x:v>4471</x:v>
      </x:c>
      <x:c r="I3780" s="274" t="n">
        <x:v>1.4</x:v>
      </x:c>
      <x:c r="J3780" s="274" t="n">
        <x:v>465</x:v>
      </x:c>
      <x:c r="K3780" s="274" t="n">
        <x:v>1430</x:v>
      </x:c>
      <x:c r="M3780" s="274" t="s">
        <x:v>7056</x:v>
      </x:c>
      <x:c r="N3780" s="274" t="s">
        <x:v>4258</x:v>
      </x:c>
    </x:row>
    <x:row r="3781" spans="1:14">
      <x:c r="A3781" s="274" t="s">
        <x:v>7057</x:v>
      </x:c>
      <x:c r="B3781" s="274" t="n">
        <x:v>18.65</x:v>
      </x:c>
      <x:c r="C3781" s="274" t="n">
        <x:v>0</x:v>
      </x:c>
      <x:c r="D3781" s="274" t="n">
        <x:v>0</x:v>
      </x:c>
      <x:c r="E3781" s="274" t="n">
        <x:v>0</x:v>
      </x:c>
      <x:c r="F3781" s="274" t="s">
        <x:v>333</x:v>
      </x:c>
      <x:c r="G3781" s="274" t="s">
        <x:v>6639</x:v>
      </x:c>
      <x:c r="I3781" s="274" t="n">
        <x:v>0.75</x:v>
      </x:c>
      <x:c r="J3781" s="274" t="n">
        <x:v>1230</x:v>
      </x:c>
      <x:c r="K3781" s="274" t="n">
        <x:v>2575</x:v>
      </x:c>
      <x:c r="M3781" s="274" t="s">
        <x:v>2280</x:v>
      </x:c>
      <x:c r="N3781" s="274" t="s">
        <x:v>2281</x:v>
      </x:c>
    </x:row>
    <x:row r="3782" spans="1:14">
      <x:c r="A3782" s="274" t="s">
        <x:v>7058</x:v>
      </x:c>
      <x:c r="B3782" s="274" t="n">
        <x:v>2.28</x:v>
      </x:c>
      <x:c r="C3782" s="274" t="n">
        <x:v>0</x:v>
      </x:c>
      <x:c r="D3782" s="274" t="n">
        <x:v>0</x:v>
      </x:c>
      <x:c r="F3782" s="274" t="s">
        <x:v>311</x:v>
      </x:c>
      <x:c r="G3782" s="274" t="s">
        <x:v>134</x:v>
      </x:c>
      <x:c r="I3782" s="274" t="n">
        <x:v>3.4</x:v>
      </x:c>
      <x:c r="J3782" s="274" t="n">
        <x:v>150</x:v>
      </x:c>
      <x:c r="K3782" s="274" t="n">
        <x:v>570</x:v>
      </x:c>
      <x:c r="M3782" s="274" t="s">
        <x:v>7059</x:v>
      </x:c>
      <x:c r="N3782" s="274" t="s">
        <x:v>155</x:v>
      </x:c>
    </x:row>
    <x:row r="3783" spans="1:14">
      <x:c r="A3783" s="274" t="s">
        <x:v>7060</x:v>
      </x:c>
      <x:c r="B3783" s="274" t="n">
        <x:v>0.87</x:v>
      </x:c>
      <x:c r="C3783" s="274" t="n">
        <x:v>0</x:v>
      </x:c>
      <x:c r="D3783" s="274" t="n">
        <x:v>0</x:v>
      </x:c>
      <x:c r="F3783" s="274" t="s">
        <x:v>128</x:v>
      </x:c>
      <x:c r="G3783" s="274" t="s">
        <x:v>437</x:v>
      </x:c>
      <x:c r="I3783" s="274" t="n">
        <x:v>2</x:v>
      </x:c>
      <x:c r="J3783" s="274" t="n">
        <x:v>96</x:v>
      </x:c>
      <x:c r="K3783" s="274" t="n">
        <x:v>580</x:v>
      </x:c>
      <x:c r="M3783" s="274" t="s">
        <x:v>7061</x:v>
      </x:c>
      <x:c r="N3783" s="274" t="s">
        <x:v>155</x:v>
      </x:c>
    </x:row>
    <x:row r="3784" spans="1:14">
      <x:c r="A3784" s="274" t="s">
        <x:v>7062</x:v>
      </x:c>
      <x:c r="B3784" s="274" t="n">
        <x:v>1.42</x:v>
      </x:c>
      <x:c r="C3784" s="274" t="n">
        <x:v>0</x:v>
      </x:c>
      <x:c r="D3784" s="274" t="n">
        <x:v>0</x:v>
      </x:c>
      <x:c r="F3784" s="274" t="s">
        <x:v>128</x:v>
      </x:c>
      <x:c r="G3784" s="274" t="s">
        <x:v>437</x:v>
      </x:c>
      <x:c r="I3784" s="274" t="n">
        <x:v>2</x:v>
      </x:c>
      <x:c r="J3784" s="274" t="n">
        <x:v>161</x:v>
      </x:c>
      <x:c r="K3784" s="274" t="n">
        <x:v>560</x:v>
      </x:c>
      <x:c r="M3784" s="274" t="s">
        <x:v>7063</x:v>
      </x:c>
      <x:c r="N3784" s="274" t="s">
        <x:v>155</x:v>
      </x:c>
    </x:row>
    <x:row r="3785" spans="1:14">
      <x:c r="A3785" s="274" t="s">
        <x:v>7064</x:v>
      </x:c>
      <x:c r="B3785" s="274" t="n">
        <x:v>0.67</x:v>
      </x:c>
      <x:c r="C3785" s="274" t="n">
        <x:v>0</x:v>
      </x:c>
      <x:c r="D3785" s="274" t="n">
        <x:v>0</x:v>
      </x:c>
      <x:c r="F3785" s="274" t="s">
        <x:v>128</x:v>
      </x:c>
      <x:c r="G3785" s="274" t="s">
        <x:v>437</x:v>
      </x:c>
      <x:c r="I3785" s="274" t="n">
        <x:v>2</x:v>
      </x:c>
      <x:c r="J3785" s="274" t="n">
        <x:v>95</x:v>
      </x:c>
      <x:c r="K3785" s="274" t="n">
        <x:v>451</x:v>
      </x:c>
      <x:c r="M3785" s="274" t="s">
        <x:v>7065</x:v>
      </x:c>
      <x:c r="N3785" s="274" t="s">
        <x:v>155</x:v>
      </x:c>
    </x:row>
    <x:row r="3786" spans="1:14">
      <x:c r="A3786" s="274" t="s">
        <x:v>7066</x:v>
      </x:c>
      <x:c r="B3786" s="274" t="n">
        <x:v>1.01</x:v>
      </x:c>
      <x:c r="C3786" s="274" t="n">
        <x:v>25</x:v>
      </x:c>
      <x:c r="D3786" s="274" t="n">
        <x:v>36</x:v>
      </x:c>
      <x:c r="E3786" s="274" t="n">
        <x:v>33</x:v>
      </x:c>
      <x:c r="F3786" s="274" t="s">
        <x:v>311</x:v>
      </x:c>
      <x:c r="G3786" s="274" t="s">
        <x:v>828</x:v>
      </x:c>
      <x:c r="H3786" s="274" t="s">
        <x:v>837</x:v>
      </x:c>
      <x:c r="I3786" s="274" t="n">
        <x:v>0.8</x:v>
      </x:c>
      <x:c r="J3786" s="274" t="n">
        <x:v>380</x:v>
      </x:c>
      <x:c r="K3786" s="274" t="n">
        <x:v>420</x:v>
      </x:c>
      <x:c r="M3786" s="274" t="s">
        <x:v>3921</x:v>
      </x:c>
      <x:c r="N3786" s="274" t="s">
        <x:v>6623</x:v>
      </x:c>
    </x:row>
    <x:row r="3787" spans="1:14">
      <x:c r="A3787" s="274" t="s">
        <x:v>7067</x:v>
      </x:c>
      <x:c r="B3787" s="274" t="n">
        <x:v>5.06</x:v>
      </x:c>
      <x:c r="C3787" s="274" t="n">
        <x:v>0</x:v>
      </x:c>
      <x:c r="D3787" s="274" t="n">
        <x:v>30</x:v>
      </x:c>
      <x:c r="E3787" s="274" t="n">
        <x:v>0</x:v>
      </x:c>
      <x:c r="F3787" s="274" t="s">
        <x:v>333</x:v>
      </x:c>
      <x:c r="G3787" s="274" t="s">
        <x:v>4796</x:v>
      </x:c>
      <x:c r="I3787" s="274" t="n">
        <x:v>1.2</x:v>
      </x:c>
      <x:c r="J3787" s="274" t="n">
        <x:v>650</x:v>
      </x:c>
      <x:c r="K3787" s="274" t="n">
        <x:v>294</x:v>
      </x:c>
      <x:c r="L3787" s="274" t="n">
        <x:v>1360</x:v>
      </x:c>
      <x:c r="M3787" s="274" t="s">
        <x:v>7068</x:v>
      </x:c>
      <x:c r="N3787" s="274" t="s">
        <x:v>4258</x:v>
      </x:c>
    </x:row>
    <x:row r="3788" spans="1:14">
      <x:c r="A3788" s="274" t="s">
        <x:v>7069</x:v>
      </x:c>
      <x:c r="B3788" s="274" t="n">
        <x:v>3.66</x:v>
      </x:c>
      <x:c r="C3788" s="274" t="n">
        <x:v>0</x:v>
      </x:c>
      <x:c r="D3788" s="274" t="n">
        <x:v>0</x:v>
      </x:c>
      <x:c r="F3788" s="274" t="s">
        <x:v>133</x:v>
      </x:c>
      <x:c r="G3788" s="274" t="s">
        <x:v>136</x:v>
      </x:c>
      <x:c r="H3788" s="274" t="n">
        <x:v>45</x:v>
      </x:c>
      <x:c r="I3788" s="274" t="n">
        <x:v>0.6</x:v>
      </x:c>
      <x:c r="J3788" s="274" t="n">
        <x:v>530</x:v>
      </x:c>
      <x:c r="K3788" s="274" t="n">
        <x:v>1440</x:v>
      </x:c>
      <x:c r="M3788" s="274" t="s">
        <x:v>371</x:v>
      </x:c>
      <x:c r="N3788" s="274" t="s">
        <x:v>7070</x:v>
      </x:c>
    </x:row>
    <x:row r="3789" spans="1:14">
      <x:c r="A3789" s="274" t="s">
        <x:v>7071</x:v>
      </x:c>
      <x:c r="B3789" s="274" t="n">
        <x:v>2.47</x:v>
      </x:c>
      <x:c r="C3789" s="274" t="n">
        <x:v>0</x:v>
      </x:c>
      <x:c r="D3789" s="274" t="n">
        <x:v>0</x:v>
      </x:c>
      <x:c r="F3789" s="274" t="s">
        <x:v>333</x:v>
      </x:c>
      <x:c r="G3789" s="274" t="s">
        <x:v>5307</x:v>
      </x:c>
      <x:c r="I3789" s="274" t="n">
        <x:v>1.2</x:v>
      </x:c>
      <x:c r="J3789" s="274" t="n">
        <x:v>210</x:v>
      </x:c>
      <x:c r="K3789" s="274" t="n">
        <x:v>1250</x:v>
      </x:c>
      <x:c r="M3789" s="274" t="s">
        <x:v>7072</x:v>
      </x:c>
      <x:c r="N3789" s="274" t="s">
        <x:v>3671</x:v>
      </x:c>
    </x:row>
    <x:row r="3790" spans="1:14">
      <x:c r="A3790" s="274" t="s">
        <x:v>7073</x:v>
      </x:c>
      <x:c r="B3790" s="274" t="n">
        <x:v>0.91</x:v>
      </x:c>
      <x:c r="C3790" s="274" t="n">
        <x:v>0</x:v>
      </x:c>
      <x:c r="D3790" s="274" t="n">
        <x:v>0</x:v>
      </x:c>
      <x:c r="F3790" s="274" t="s">
        <x:v>133</x:v>
      </x:c>
      <x:c r="G3790" s="274" t="s">
        <x:v>4329</x:v>
      </x:c>
      <x:c r="I3790" s="274" t="n">
        <x:v>2</x:v>
      </x:c>
      <x:c r="J3790" s="274" t="n">
        <x:v>160</x:v>
      </x:c>
      <x:c r="K3790" s="274" t="n">
        <x:v>362</x:v>
      </x:c>
      <x:c r="M3790" s="274" t="s">
        <x:v>4766</x:v>
      </x:c>
      <x:c r="N3790" s="274" t="s">
        <x:v>4258</x:v>
      </x:c>
    </x:row>
    <x:row r="3791" spans="1:14">
      <x:c r="A3791" s="274" t="s">
        <x:v>7074</x:v>
      </x:c>
      <x:c r="B3791" s="274" t="n">
        <x:v>6.57</x:v>
      </x:c>
      <x:c r="C3791" s="274" t="n">
        <x:v>0</x:v>
      </x:c>
      <x:c r="D3791" s="274" t="n">
        <x:v>37</x:v>
      </x:c>
      <x:c r="E3791" s="274" t="n">
        <x:v>32</x:v>
      </x:c>
      <x:c r="F3791" s="274" t="s">
        <x:v>184</x:v>
      </x:c>
      <x:c r="G3791" s="274" t="s">
        <x:v>3413</x:v>
      </x:c>
      <x:c r="H3791" s="274" t="n">
        <x:v>45</x:v>
      </x:c>
      <x:c r="I3791" s="274" t="n">
        <x:v>0.8</x:v>
      </x:c>
      <x:c r="J3791" s="274" t="n">
        <x:v>860</x:v>
      </x:c>
      <x:c r="K3791" s="274" t="n">
        <x:v>1200</x:v>
      </x:c>
      <x:c r="M3791" s="274" t="s">
        <x:v>7075</x:v>
      </x:c>
      <x:c r="N3791" s="274" t="s">
        <x:v>3671</x:v>
      </x:c>
    </x:row>
    <x:row r="3792" spans="1:14">
      <x:c r="A3792" s="274" t="s">
        <x:v>7076</x:v>
      </x:c>
      <x:c r="B3792" s="274" t="n">
        <x:v>1.01</x:v>
      </x:c>
      <x:c r="C3792" s="274" t="n">
        <x:v>25</x:v>
      </x:c>
      <x:c r="D3792" s="274" t="n">
        <x:v>36</x:v>
      </x:c>
      <x:c r="E3792" s="274" t="n">
        <x:v>33</x:v>
      </x:c>
      <x:c r="F3792" s="274" t="s">
        <x:v>311</x:v>
      </x:c>
      <x:c r="G3792" s="274" t="s">
        <x:v>828</x:v>
      </x:c>
      <x:c r="H3792" s="274" t="s">
        <x:v>837</x:v>
      </x:c>
      <x:c r="I3792" s="274" t="n">
        <x:v>0.8</x:v>
      </x:c>
      <x:c r="J3792" s="274" t="n">
        <x:v>380</x:v>
      </x:c>
      <x:c r="K3792" s="274" t="n">
        <x:v>420</x:v>
      </x:c>
      <x:c r="M3792" s="274" t="s">
        <x:v>3921</x:v>
      </x:c>
      <x:c r="N3792" s="274" t="s">
        <x:v>6623</x:v>
      </x:c>
    </x:row>
    <x:row r="3793" spans="1:14">
      <x:c r="A3793" s="274" t="s">
        <x:v>7077</x:v>
      </x:c>
      <x:c r="B3793" s="274" t="n">
        <x:v>3.1</x:v>
      </x:c>
      <x:c r="C3793" s="274" t="n">
        <x:v>0</x:v>
      </x:c>
      <x:c r="D3793" s="274" t="n">
        <x:v>33</x:v>
      </x:c>
      <x:c r="E3793" s="274" t="n">
        <x:v>30</x:v>
      </x:c>
      <x:c r="F3793" s="274" t="s">
        <x:v>311</x:v>
      </x:c>
      <x:c r="G3793" s="274" t="s">
        <x:v>828</x:v>
      </x:c>
      <x:c r="H3793" s="274" t="s">
        <x:v>837</x:v>
      </x:c>
      <x:c r="I3793" s="274" t="n">
        <x:v>0.8</x:v>
      </x:c>
      <x:c r="J3793" s="274" t="n">
        <x:v>600</x:v>
      </x:c>
      <x:c r="K3793" s="274" t="n">
        <x:v>820</x:v>
      </x:c>
      <x:c r="M3793" s="274" t="s">
        <x:v>3166</x:v>
      </x:c>
    </x:row>
    <x:row r="3794" spans="1:14">
      <x:c r="A3794" s="274" t="s">
        <x:v>7078</x:v>
      </x:c>
      <x:c r="B3794" s="274" t="n">
        <x:v>2.62</x:v>
      </x:c>
      <x:c r="C3794" s="274" t="n">
        <x:v>0</x:v>
      </x:c>
      <x:c r="D3794" s="274" t="n">
        <x:v>45</x:v>
      </x:c>
      <x:c r="E3794" s="274" t="n">
        <x:v>40</x:v>
      </x:c>
      <x:c r="F3794" s="274" t="s">
        <x:v>3412</x:v>
      </x:c>
      <x:c r="G3794" s="274" t="s">
        <x:v>6622</x:v>
      </x:c>
      <x:c r="H3794" s="274" t="s">
        <x:v>829</x:v>
      </x:c>
      <x:c r="I3794" s="274" t="n">
        <x:v>0.8</x:v>
      </x:c>
      <x:c r="J3794" s="274" t="n">
        <x:v>590</x:v>
      </x:c>
      <x:c r="K3794" s="274" t="n">
        <x:v>705</x:v>
      </x:c>
      <x:c r="M3794" s="274" t="s">
        <x:v>3780</x:v>
      </x:c>
      <x:c r="N3794" s="274" t="s">
        <x:v>831</x:v>
      </x:c>
    </x:row>
    <x:row r="3795" spans="1:14">
      <x:c r="A3795" s="274" t="s">
        <x:v>7079</x:v>
      </x:c>
      <x:c r="B3795" s="274" t="n">
        <x:v>17.66</x:v>
      </x:c>
      <x:c r="C3795" s="274" t="n">
        <x:v>0</x:v>
      </x:c>
      <x:c r="D3795" s="274" t="n">
        <x:v>0</x:v>
      </x:c>
      <x:c r="F3795" s="274" t="s">
        <x:v>133</x:v>
      </x:c>
      <x:c r="G3795" s="274" t="s">
        <x:v>4329</x:v>
      </x:c>
      <x:c r="I3795" s="274" t="n">
        <x:v>4</x:v>
      </x:c>
      <x:c r="J3795" s="274" t="n">
        <x:v>450</x:v>
      </x:c>
      <x:c r="K3795" s="274" t="n">
        <x:v>1250</x:v>
      </x:c>
      <x:c r="M3795" s="274" t="s">
        <x:v>7080</x:v>
      </x:c>
      <x:c r="N3795" s="274" t="s">
        <x:v>4258</x:v>
      </x:c>
    </x:row>
    <x:row r="3796" spans="1:14">
      <x:c r="A3796" s="274" t="s">
        <x:v>7081</x:v>
      </x:c>
      <x:c r="B3796" s="274" t="n">
        <x:v>2.5</x:v>
      </x:c>
      <x:c r="C3796" s="274" t="n">
        <x:v>0</x:v>
      </x:c>
      <x:c r="D3796" s="274" t="n">
        <x:v>0</x:v>
      </x:c>
      <x:c r="F3796" s="274" t="s">
        <x:v>133</x:v>
      </x:c>
      <x:c r="G3796" s="274" t="s">
        <x:v>134</x:v>
      </x:c>
      <x:c r="I3796" s="274" t="n">
        <x:v>2.9</x:v>
      </x:c>
      <x:c r="J3796" s="274" t="n">
        <x:v>220</x:v>
      </x:c>
      <x:c r="K3796" s="274" t="n">
        <x:v>500</x:v>
      </x:c>
      <x:c r="M3796" s="274" t="s">
        <x:v>7082</x:v>
      </x:c>
      <x:c r="N3796" s="274" t="s">
        <x:v>7083</x:v>
      </x:c>
    </x:row>
    <x:row r="3797" spans="1:14">
      <x:c r="A3797" s="274" t="s">
        <x:v>7084</x:v>
      </x:c>
      <x:c r="B3797" s="274" t="n">
        <x:v>3.38</x:v>
      </x:c>
      <x:c r="C3797" s="274" t="n">
        <x:v>0</x:v>
      </x:c>
      <x:c r="D3797" s="274" t="n">
        <x:v>45</x:v>
      </x:c>
      <x:c r="E3797" s="274" t="n">
        <x:v>40</x:v>
      </x:c>
      <x:c r="F3797" s="274" t="s">
        <x:v>3412</x:v>
      </x:c>
      <x:c r="G3797" s="274" t="s">
        <x:v>6622</x:v>
      </x:c>
      <x:c r="H3797" s="274" t="s">
        <x:v>829</x:v>
      </x:c>
      <x:c r="I3797" s="274" t="n">
        <x:v>0.8</x:v>
      </x:c>
      <x:c r="J3797" s="274" t="n">
        <x:v>720</x:v>
      </x:c>
      <x:c r="K3797" s="274" t="n">
        <x:v>745</x:v>
      </x:c>
      <x:c r="M3797" s="274" t="s">
        <x:v>6421</x:v>
      </x:c>
      <x:c r="N3797" s="274" t="s">
        <x:v>6623</x:v>
      </x:c>
    </x:row>
    <x:row r="3798" spans="1:14">
      <x:c r="A3798" s="274" t="s">
        <x:v>7085</x:v>
      </x:c>
      <x:c r="B3798" s="274" t="n">
        <x:v>3.1</x:v>
      </x:c>
      <x:c r="C3798" s="274" t="n">
        <x:v>0</x:v>
      </x:c>
      <x:c r="D3798" s="274" t="n">
        <x:v>33</x:v>
      </x:c>
      <x:c r="E3798" s="274" t="n">
        <x:v>30</x:v>
      </x:c>
      <x:c r="F3798" s="274" t="s">
        <x:v>3412</x:v>
      </x:c>
      <x:c r="G3798" s="274" t="s">
        <x:v>6622</x:v>
      </x:c>
      <x:c r="H3798" s="274" t="s">
        <x:v>837</x:v>
      </x:c>
      <x:c r="I3798" s="274" t="n">
        <x:v>0.8</x:v>
      </x:c>
      <x:c r="J3798" s="274" t="n">
        <x:v>600</x:v>
      </x:c>
      <x:c r="K3798" s="274" t="n">
        <x:v>820</x:v>
      </x:c>
      <x:c r="M3798" s="274" t="s">
        <x:v>3166</x:v>
      </x:c>
      <x:c r="N3798" s="274" t="s">
        <x:v>3167</x:v>
      </x:c>
    </x:row>
    <x:row r="3799" spans="1:14">
      <x:c r="A3799" s="274" t="s">
        <x:v>7086</x:v>
      </x:c>
      <x:c r="B3799" s="274" t="n">
        <x:v>10.73</x:v>
      </x:c>
      <x:c r="C3799" s="274" t="n">
        <x:v>0</x:v>
      </x:c>
      <x:c r="D3799" s="274" t="n">
        <x:v>0</x:v>
      </x:c>
      <x:c r="F3799" s="274" t="s">
        <x:v>184</x:v>
      </x:c>
      <x:c r="G3799" s="274" t="s">
        <x:v>3413</x:v>
      </x:c>
      <x:c r="H3799" s="274" t="n">
        <x:v>45</x:v>
      </x:c>
      <x:c r="I3799" s="274" t="n">
        <x:v>1.2</x:v>
      </x:c>
      <x:c r="J3799" s="274" t="n">
        <x:v>940</x:v>
      </x:c>
      <x:c r="K3799" s="274" t="n">
        <x:v>1200</x:v>
      </x:c>
      <x:c r="M3799" s="274" t="s">
        <x:v>5778</x:v>
      </x:c>
      <x:c r="N3799" s="274" t="s">
        <x:v>3671</x:v>
      </x:c>
    </x:row>
    <x:row r="3800" spans="1:14">
      <x:c r="A3800" s="274" t="s">
        <x:v>7087</x:v>
      </x:c>
      <x:c r="B3800" s="274" t="n">
        <x:v>6.57</x:v>
      </x:c>
      <x:c r="C3800" s="274" t="n">
        <x:v>0</x:v>
      </x:c>
      <x:c r="D3800" s="274" t="n">
        <x:v>0</x:v>
      </x:c>
      <x:c r="F3800" s="274" t="s">
        <x:v>184</x:v>
      </x:c>
      <x:c r="G3800" s="274" t="s">
        <x:v>3413</x:v>
      </x:c>
      <x:c r="H3800" s="274" t="n">
        <x:v>45</x:v>
      </x:c>
      <x:c r="I3800" s="274" t="n">
        <x:v>0.8</x:v>
      </x:c>
      <x:c r="J3800" s="274" t="n">
        <x:v>860</x:v>
      </x:c>
      <x:c r="K3800" s="274" t="n">
        <x:v>1200</x:v>
      </x:c>
      <x:c r="M3800" s="274" t="s">
        <x:v>7075</x:v>
      </x:c>
      <x:c r="N3800" s="274" t="s">
        <x:v>3671</x:v>
      </x:c>
    </x:row>
    <x:row r="3801" spans="1:14">
      <x:c r="A3801" s="274" t="s">
        <x:v>7088</x:v>
      </x:c>
      <x:c r="B3801" s="274" t="n">
        <x:v>2.01</x:v>
      </x:c>
      <x:c r="C3801" s="274" t="n">
        <x:v>0</x:v>
      </x:c>
      <x:c r="D3801" s="274" t="n">
        <x:v>0</x:v>
      </x:c>
      <x:c r="F3801" s="274" t="s">
        <x:v>133</x:v>
      </x:c>
      <x:c r="G3801" s="274" t="s">
        <x:v>136</x:v>
      </x:c>
      <x:c r="H3801" s="274" t="n">
        <x:v>45</x:v>
      </x:c>
      <x:c r="I3801" s="274" t="n">
        <x:v>0.7</x:v>
      </x:c>
      <x:c r="J3801" s="274" t="n">
        <x:v>240</x:v>
      </x:c>
      <x:c r="K3801" s="274" t="n">
        <x:v>1500</x:v>
      </x:c>
      <x:c r="M3801" s="274" t="s">
        <x:v>7089</x:v>
      </x:c>
      <x:c r="N3801" s="274" t="s">
        <x:v>3671</x:v>
      </x:c>
    </x:row>
    <x:row r="3802" spans="1:14">
      <x:c r="A3802" s="274" t="s">
        <x:v>7090</x:v>
      </x:c>
      <x:c r="B3802" s="274" t="n">
        <x:v>1.68</x:v>
      </x:c>
      <x:c r="C3802" s="274" t="n">
        <x:v>0</x:v>
      </x:c>
      <x:c r="D3802" s="274" t="n">
        <x:v>0</x:v>
      </x:c>
      <x:c r="F3802" s="274" t="s">
        <x:v>133</x:v>
      </x:c>
      <x:c r="G3802" s="274" t="s">
        <x:v>136</x:v>
      </x:c>
      <x:c r="H3802" s="274" t="n">
        <x:v>45</x:v>
      </x:c>
      <x:c r="I3802" s="274" t="n">
        <x:v>1.2</x:v>
      </x:c>
      <x:c r="J3802" s="274" t="n">
        <x:v>141</x:v>
      </x:c>
      <x:c r="K3802" s="274" t="n">
        <x:v>1250</x:v>
      </x:c>
      <x:c r="M3802" s="274" t="s">
        <x:v>7091</x:v>
      </x:c>
      <x:c r="N3802" s="274" t="s">
        <x:v>3671</x:v>
      </x:c>
    </x:row>
    <x:row r="3803" spans="1:14">
      <x:c r="A3803" s="274" t="s">
        <x:v>7092</x:v>
      </x:c>
      <x:c r="B3803" s="274" t="n">
        <x:v>1.23</x:v>
      </x:c>
      <x:c r="C3803" s="274" t="n">
        <x:v>26</x:v>
      </x:c>
      <x:c r="D3803" s="274" t="n">
        <x:v>36</x:v>
      </x:c>
      <x:c r="E3803" s="274" t="n">
        <x:v>33</x:v>
      </x:c>
      <x:c r="F3803" s="274" t="s">
        <x:v>833</x:v>
      </x:c>
      <x:c r="G3803" s="274" t="s">
        <x:v>834</x:v>
      </x:c>
      <x:c r="H3803" s="274" t="s">
        <x:v>837</x:v>
      </x:c>
      <x:c r="I3803" s="274" t="n">
        <x:v>0.8</x:v>
      </x:c>
      <x:c r="J3803" s="274" t="n">
        <x:v>430</x:v>
      </x:c>
      <x:c r="K3803" s="274" t="n">
        <x:v>455</x:v>
      </x:c>
      <x:c r="M3803" s="274" t="s">
        <x:v>3923</x:v>
      </x:c>
      <x:c r="N3803" s="274" t="s">
        <x:v>831</x:v>
      </x:c>
    </x:row>
    <x:row r="3804" spans="1:14">
      <x:c r="A3804" s="274" t="s">
        <x:v>7093</x:v>
      </x:c>
      <x:c r="B3804" s="274" t="n">
        <x:v>0.97</x:v>
      </x:c>
      <x:c r="C3804" s="274" t="n">
        <x:v>26</x:v>
      </x:c>
      <x:c r="D3804" s="274" t="n">
        <x:v>36</x:v>
      </x:c>
      <x:c r="E3804" s="274" t="n">
        <x:v>33</x:v>
      </x:c>
      <x:c r="F3804" s="274" t="s">
        <x:v>3412</x:v>
      </x:c>
      <x:c r="G3804" s="274" t="s">
        <x:v>6622</x:v>
      </x:c>
      <x:c r="H3804" s="274" t="s">
        <x:v>837</x:v>
      </x:c>
      <x:c r="I3804" s="274" t="n">
        <x:v>0.8</x:v>
      </x:c>
      <x:c r="J3804" s="274" t="n">
        <x:v>370</x:v>
      </x:c>
      <x:c r="K3804" s="274" t="n">
        <x:v>415</x:v>
      </x:c>
      <x:c r="M3804" s="274" t="s">
        <x:v>3921</x:v>
      </x:c>
      <x:c r="N3804" s="274" t="s">
        <x:v>831</x:v>
      </x:c>
    </x:row>
    <x:row r="3805" spans="1:14">
      <x:c r="A3805" s="274" t="s">
        <x:v>7094</x:v>
      </x:c>
      <x:c r="B3805" s="274" t="n">
        <x:v>1.23</x:v>
      </x:c>
      <x:c r="C3805" s="274" t="n">
        <x:v>26</x:v>
      </x:c>
      <x:c r="D3805" s="274" t="n">
        <x:v>36</x:v>
      </x:c>
      <x:c r="E3805" s="274" t="n">
        <x:v>33</x:v>
      </x:c>
      <x:c r="F3805" s="274" t="s">
        <x:v>3412</x:v>
      </x:c>
      <x:c r="G3805" s="274" t="s">
        <x:v>6622</x:v>
      </x:c>
      <x:c r="H3805" s="274" t="s">
        <x:v>837</x:v>
      </x:c>
      <x:c r="I3805" s="274" t="n">
        <x:v>0.8</x:v>
      </x:c>
      <x:c r="J3805" s="274" t="n">
        <x:v>430</x:v>
      </x:c>
      <x:c r="K3805" s="274" t="n">
        <x:v>455</x:v>
      </x:c>
      <x:c r="M3805" s="274" t="s">
        <x:v>3923</x:v>
      </x:c>
      <x:c r="N3805" s="274" t="s">
        <x:v>831</x:v>
      </x:c>
    </x:row>
    <x:row r="3806" spans="1:14">
      <x:c r="A3806" s="274" t="s">
        <x:v>7095</x:v>
      </x:c>
      <x:c r="B3806" s="274" t="n">
        <x:v>1.09</x:v>
      </x:c>
      <x:c r="C3806" s="274" t="n">
        <x:v>0</x:v>
      </x:c>
      <x:c r="D3806" s="274" t="n">
        <x:v>0</x:v>
      </x:c>
      <x:c r="F3806" s="274" t="s">
        <x:v>133</x:v>
      </x:c>
      <x:c r="G3806" s="274" t="s">
        <x:v>136</x:v>
      </x:c>
      <x:c r="H3806" s="274" t="n">
        <x:v>45</x:v>
      </x:c>
      <x:c r="I3806" s="274" t="n">
        <x:v>1.2</x:v>
      </x:c>
      <x:c r="J3806" s="274" t="n">
        <x:v>104</x:v>
      </x:c>
      <x:c r="K3806" s="274" t="n">
        <x:v>1100</x:v>
      </x:c>
      <x:c r="M3806" s="274" t="s">
        <x:v>7096</x:v>
      </x:c>
      <x:c r="N3806" s="274" t="s">
        <x:v>7097</x:v>
      </x:c>
    </x:row>
    <x:row r="3807" spans="1:14">
      <x:c r="A3807" s="274" t="s">
        <x:v>7098</x:v>
      </x:c>
      <x:c r="B3807" s="274" t="n">
        <x:v>3.47</x:v>
      </x:c>
      <x:c r="C3807" s="274" t="n">
        <x:v>0</x:v>
      </x:c>
      <x:c r="D3807" s="274" t="n">
        <x:v>0</x:v>
      </x:c>
      <x:c r="F3807" s="274" t="s">
        <x:v>123</x:v>
      </x:c>
      <x:c r="G3807" s="274" t="s">
        <x:v>209</x:v>
      </x:c>
      <x:c r="I3807" s="274" t="n">
        <x:v>1.6</x:v>
      </x:c>
      <x:c r="J3807" s="274" t="n">
        <x:v>276</x:v>
      </x:c>
      <x:c r="K3807" s="274" t="n">
        <x:v>1000</x:v>
      </x:c>
      <x:c r="M3807" s="274" t="s">
        <x:v>7099</x:v>
      </x:c>
      <x:c r="N3807" s="274" t="s">
        <x:v>7097</x:v>
      </x:c>
    </x:row>
    <x:row r="3808" spans="1:14">
      <x:c r="A3808" s="274" t="s">
        <x:v>7100</x:v>
      </x:c>
      <x:c r="B3808" s="274" t="n">
        <x:v>3.97</x:v>
      </x:c>
      <x:c r="C3808" s="274" t="n">
        <x:v>0</x:v>
      </x:c>
      <x:c r="D3808" s="274" t="n">
        <x:v>0</x:v>
      </x:c>
      <x:c r="F3808" s="274" t="s">
        <x:v>123</x:v>
      </x:c>
      <x:c r="G3808" s="274" t="s">
        <x:v>153</x:v>
      </x:c>
      <x:c r="I3808" s="274" t="n">
        <x:v>2.3</x:v>
      </x:c>
      <x:c r="J3808" s="274" t="n">
        <x:v>220</x:v>
      </x:c>
      <x:c r="K3808" s="274" t="n">
        <x:v>1000</x:v>
      </x:c>
      <x:c r="M3808" s="274" t="s">
        <x:v>7101</x:v>
      </x:c>
      <x:c r="N3808" s="274" t="s">
        <x:v>7097</x:v>
      </x:c>
    </x:row>
    <x:row r="3809" spans="1:14">
      <x:c r="A3809" s="274" t="s">
        <x:v>7102</x:v>
      </x:c>
      <x:c r="B3809" s="274" t="n">
        <x:v>0.88</x:v>
      </x:c>
      <x:c r="C3809" s="274" t="n">
        <x:v>0</x:v>
      </x:c>
      <x:c r="D3809" s="274" t="n">
        <x:v>0</x:v>
      </x:c>
      <x:c r="F3809" s="274" t="s">
        <x:v>123</x:v>
      </x:c>
      <x:c r="G3809" s="274" t="s">
        <x:v>153</x:v>
      </x:c>
      <x:c r="I3809" s="274" t="n">
        <x:v>0.8</x:v>
      </x:c>
      <x:c r="J3809" s="274" t="n">
        <x:v>140</x:v>
      </x:c>
      <x:c r="K3809" s="274" t="n">
        <x:v>1000</x:v>
      </x:c>
      <x:c r="M3809" s="274" t="s">
        <x:v>7103</x:v>
      </x:c>
      <x:c r="N3809" s="274" t="s">
        <x:v>7097</x:v>
      </x:c>
    </x:row>
    <x:row r="3810" spans="1:14">
      <x:c r="A3810" s="274" t="s">
        <x:v>7104</x:v>
      </x:c>
      <x:c r="B3810" s="274" t="n">
        <x:v>0.37</x:v>
      </x:c>
      <x:c r="C3810" s="274" t="n">
        <x:v>0</x:v>
      </x:c>
      <x:c r="D3810" s="274" t="n">
        <x:v>0</x:v>
      </x:c>
      <x:c r="F3810" s="274" t="s">
        <x:v>311</x:v>
      </x:c>
      <x:c r="G3810" s="274" t="s">
        <x:v>1728</x:v>
      </x:c>
      <x:c r="H3810" s="274" t="s">
        <x:v>1732</x:v>
      </x:c>
      <x:c r="I3810" s="274" t="n">
        <x:v>0.65</x:v>
      </x:c>
      <x:c r="J3810" s="274" t="n">
        <x:v>330</x:v>
      </x:c>
      <x:c r="K3810" s="274" t="n">
        <x:v>217</x:v>
      </x:c>
      <x:c r="M3810" s="274" t="s">
        <x:v>7105</x:v>
      </x:c>
      <x:c r="N3810" s="274" t="s">
        <x:v>421</x:v>
      </x:c>
    </x:row>
    <x:row r="3811" spans="1:14">
      <x:c r="A3811" s="274" t="s">
        <x:v>7106</x:v>
      </x:c>
      <x:c r="B3811" s="274" t="n">
        <x:v>0.37</x:v>
      </x:c>
      <x:c r="C3811" s="274" t="n">
        <x:v>0</x:v>
      </x:c>
      <x:c r="D3811" s="274" t="n">
        <x:v>0</x:v>
      </x:c>
      <x:c r="F3811" s="274" t="s">
        <x:v>311</x:v>
      </x:c>
      <x:c r="G3811" s="274" t="s">
        <x:v>1728</x:v>
      </x:c>
      <x:c r="H3811" s="274" t="s">
        <x:v>1729</x:v>
      </x:c>
      <x:c r="I3811" s="274" t="n">
        <x:v>0.65</x:v>
      </x:c>
      <x:c r="J3811" s="274" t="n">
        <x:v>330</x:v>
      </x:c>
      <x:c r="K3811" s="274" t="n">
        <x:v>217</x:v>
      </x:c>
      <x:c r="M3811" s="274" t="s">
        <x:v>7105</x:v>
      </x:c>
      <x:c r="N3811" s="274" t="s">
        <x:v>421</x:v>
      </x:c>
    </x:row>
    <x:row r="3812" spans="1:14">
      <x:c r="A3812" s="274" t="s">
        <x:v>7107</x:v>
      </x:c>
      <x:c r="B3812" s="274" t="n">
        <x:v>6.5</x:v>
      </x:c>
      <x:c r="C3812" s="274" t="n">
        <x:v>0</x:v>
      </x:c>
      <x:c r="D3812" s="274" t="n">
        <x:v>0</x:v>
      </x:c>
      <x:c r="F3812" s="274" t="s">
        <x:v>133</x:v>
      </x:c>
      <x:c r="G3812" s="274" t="s">
        <x:v>148</x:v>
      </x:c>
      <x:c r="I3812" s="274" t="n">
        <x:v>3.8</x:v>
      </x:c>
      <x:c r="J3812" s="274" t="n">
        <x:v>200</x:v>
      </x:c>
      <x:c r="K3812" s="274" t="n">
        <x:v>1090</x:v>
      </x:c>
      <x:c r="M3812" s="274" t="s">
        <x:v>4107</x:v>
      </x:c>
      <x:c r="N3812" s="274" t="s">
        <x:v>6437</x:v>
      </x:c>
    </x:row>
    <x:row r="3813" spans="1:14">
      <x:c r="A3813" s="274" t="s">
        <x:v>7108</x:v>
      </x:c>
      <x:c r="B3813" s="274" t="n">
        <x:v>9.85</x:v>
      </x:c>
      <x:c r="C3813" s="274" t="n">
        <x:v>0</x:v>
      </x:c>
      <x:c r="D3813" s="274" t="n">
        <x:v>0</x:v>
      </x:c>
      <x:c r="F3813" s="274" t="s">
        <x:v>128</x:v>
      </x:c>
      <x:c r="G3813" s="274" t="s">
        <x:v>7109</x:v>
      </x:c>
      <x:c r="H3813" s="274" t="s">
        <x:v>285</x:v>
      </x:c>
      <x:c r="I3813" s="274" t="n">
        <x:v>0.65</x:v>
      </x:c>
      <x:c r="J3813" s="274" t="n">
        <x:v>1095</x:v>
      </x:c>
      <x:c r="K3813" s="274" t="n">
        <x:v>1926.1</x:v>
      </x:c>
      <x:c r="L3813" s="274" t="n">
        <x:v>1539.9</x:v>
      </x:c>
      <x:c r="M3813" s="274" t="s">
        <x:v>7110</x:v>
      </x:c>
      <x:c r="N3813" s="274" t="s">
        <x:v>155</x:v>
      </x:c>
    </x:row>
    <x:row r="3814" spans="1:14">
      <x:c r="A3814" s="274" t="s">
        <x:v>7111</x:v>
      </x:c>
      <x:c r="B3814" s="274" t="n">
        <x:v>2.62</x:v>
      </x:c>
      <x:c r="C3814" s="274" t="n">
        <x:v>0</x:v>
      </x:c>
      <x:c r="D3814" s="274" t="n">
        <x:v>45</x:v>
      </x:c>
      <x:c r="E3814" s="274" t="n">
        <x:v>40</x:v>
      </x:c>
      <x:c r="F3814" s="274" t="s">
        <x:v>3412</x:v>
      </x:c>
      <x:c r="G3814" s="274" t="s">
        <x:v>6622</x:v>
      </x:c>
      <x:c r="H3814" s="274" t="s">
        <x:v>829</x:v>
      </x:c>
      <x:c r="I3814" s="274" t="n">
        <x:v>0.8</x:v>
      </x:c>
      <x:c r="J3814" s="274" t="n">
        <x:v>590</x:v>
      </x:c>
      <x:c r="K3814" s="274" t="n">
        <x:v>705</x:v>
      </x:c>
      <x:c r="M3814" s="274" t="s">
        <x:v>3780</x:v>
      </x:c>
      <x:c r="N3814" s="274" t="s">
        <x:v>831</x:v>
      </x:c>
    </x:row>
    <x:row r="3815" spans="1:14">
      <x:c r="A3815" s="274" t="s">
        <x:v>7112</x:v>
      </x:c>
      <x:c r="B3815" s="274" t="n">
        <x:v>2.74</x:v>
      </x:c>
      <x:c r="C3815" s="274" t="n">
        <x:v>0</x:v>
      </x:c>
      <x:c r="D3815" s="274" t="n">
        <x:v>35</x:v>
      </x:c>
      <x:c r="E3815" s="274" t="n">
        <x:v>33</x:v>
      </x:c>
      <x:c r="F3815" s="274" t="s">
        <x:v>3412</x:v>
      </x:c>
      <x:c r="G3815" s="274" t="s">
        <x:v>6622</x:v>
      </x:c>
      <x:c r="H3815" s="274" t="s">
        <x:v>837</x:v>
      </x:c>
      <x:c r="I3815" s="274" t="n">
        <x:v>0.8</x:v>
      </x:c>
      <x:c r="J3815" s="274" t="n">
        <x:v>550</x:v>
      </x:c>
      <x:c r="K3815" s="274" t="n">
        <x:v>790</x:v>
      </x:c>
      <x:c r="M3815" s="274" t="s">
        <x:v>3778</x:v>
      </x:c>
      <x:c r="N3815" s="274" t="s">
        <x:v>831</x:v>
      </x:c>
    </x:row>
    <x:row r="3816" spans="1:14">
      <x:c r="A3816" s="274" t="s">
        <x:v>7113</x:v>
      </x:c>
      <x:c r="B3816" s="274" t="n">
        <x:v>2.49</x:v>
      </x:c>
      <x:c r="C3816" s="274" t="n">
        <x:v>0</x:v>
      </x:c>
      <x:c r="D3816" s="274" t="n">
        <x:v>35</x:v>
      </x:c>
      <x:c r="E3816" s="274" t="n">
        <x:v>33</x:v>
      </x:c>
      <x:c r="F3816" s="274" t="s">
        <x:v>3412</x:v>
      </x:c>
      <x:c r="G3816" s="274" t="s">
        <x:v>6622</x:v>
      </x:c>
      <x:c r="H3816" s="274" t="s">
        <x:v>829</x:v>
      </x:c>
      <x:c r="I3816" s="274" t="n">
        <x:v>0.8</x:v>
      </x:c>
      <x:c r="J3816" s="274" t="n">
        <x:v>600</x:v>
      </x:c>
      <x:c r="K3816" s="274" t="n">
        <x:v>660</x:v>
      </x:c>
      <x:c r="M3816" s="274" t="s">
        <x:v>3784</x:v>
      </x:c>
      <x:c r="N3816" s="274" t="s">
        <x:v>831</x:v>
      </x:c>
    </x:row>
    <x:row r="3817" spans="1:14">
      <x:c r="A3817" s="274" t="s">
        <x:v>7114</x:v>
      </x:c>
      <x:c r="B3817" s="274" t="n">
        <x:v>2.64</x:v>
      </x:c>
      <x:c r="C3817" s="274" t="n">
        <x:v>0</x:v>
      </x:c>
      <x:c r="D3817" s="274" t="n">
        <x:v>0</x:v>
      </x:c>
      <x:c r="F3817" s="274" t="s">
        <x:v>333</x:v>
      </x:c>
      <x:c r="G3817" s="274" t="s">
        <x:v>4663</x:v>
      </x:c>
      <x:c r="I3817" s="274" t="n">
        <x:v>1.2</x:v>
      </x:c>
      <x:c r="J3817" s="274" t="n">
        <x:v>400</x:v>
      </x:c>
      <x:c r="K3817" s="274" t="n">
        <x:v>700</x:v>
      </x:c>
      <x:c r="M3817" s="274" t="s">
        <x:v>7115</x:v>
      </x:c>
      <x:c r="N3817" s="274" t="s">
        <x:v>4258</x:v>
      </x:c>
    </x:row>
    <x:row r="3818" spans="1:14">
      <x:c r="A3818" s="274" t="s">
        <x:v>7116</x:v>
      </x:c>
      <x:c r="B3818" s="274" t="n">
        <x:v>2.19</x:v>
      </x:c>
      <x:c r="C3818" s="274" t="n">
        <x:v>0</x:v>
      </x:c>
      <x:c r="D3818" s="274" t="n">
        <x:v>0</x:v>
      </x:c>
      <x:c r="F3818" s="274" t="s">
        <x:v>333</x:v>
      </x:c>
      <x:c r="G3818" s="274" t="s">
        <x:v>153</x:v>
      </x:c>
      <x:c r="I3818" s="274" t="n">
        <x:v>1.2</x:v>
      </x:c>
      <x:c r="J3818" s="274" t="n">
        <x:v>186</x:v>
      </x:c>
      <x:c r="K3818" s="274" t="n">
        <x:v>1250</x:v>
      </x:c>
      <x:c r="M3818" s="274" t="s">
        <x:v>7117</x:v>
      </x:c>
    </x:row>
    <x:row r="3819" spans="1:14">
      <x:c r="A3819" s="274" t="s">
        <x:v>7118</x:v>
      </x:c>
      <x:c r="B3819" s="274" t="n">
        <x:v>2.04</x:v>
      </x:c>
      <x:c r="C3819" s="274" t="n">
        <x:v>0</x:v>
      </x:c>
      <x:c r="D3819" s="274" t="n">
        <x:v>0</x:v>
      </x:c>
      <x:c r="F3819" s="274" t="s">
        <x:v>133</x:v>
      </x:c>
      <x:c r="G3819" s="274" t="s">
        <x:v>134</x:v>
      </x:c>
      <x:c r="I3819" s="274" t="n">
        <x:v>1.6</x:v>
      </x:c>
      <x:c r="J3819" s="274" t="n">
        <x:v>130</x:v>
      </x:c>
      <x:c r="K3819" s="274" t="n">
        <x:v>1250</x:v>
      </x:c>
      <x:c r="M3819" s="274" t="s">
        <x:v>7119</x:v>
      </x:c>
      <x:c r="N3819" s="274" t="s">
        <x:v>7120</x:v>
      </x:c>
    </x:row>
    <x:row r="3820" spans="1:14">
      <x:c r="A3820" s="274" t="s">
        <x:v>7121</x:v>
      </x:c>
      <x:c r="B3820" s="274" t="n">
        <x:v>2.39</x:v>
      </x:c>
      <x:c r="C3820" s="274" t="n">
        <x:v>0</x:v>
      </x:c>
      <x:c r="D3820" s="274" t="n">
        <x:v>0</x:v>
      </x:c>
      <x:c r="F3820" s="274" t="s">
        <x:v>133</x:v>
      </x:c>
      <x:c r="G3820" s="274" t="s">
        <x:v>134</x:v>
      </x:c>
      <x:c r="I3820" s="274" t="n">
        <x:v>1.6</x:v>
      </x:c>
      <x:c r="J3820" s="274" t="n">
        <x:v>152</x:v>
      </x:c>
      <x:c r="K3820" s="274" t="n">
        <x:v>1250</x:v>
      </x:c>
      <x:c r="M3820" s="274" t="s">
        <x:v>7122</x:v>
      </x:c>
    </x:row>
    <x:row r="3821" spans="1:14">
      <x:c r="A3821" s="274" t="s">
        <x:v>7123</x:v>
      </x:c>
      <x:c r="B3821" s="274" t="n">
        <x:v>1.21</x:v>
      </x:c>
      <x:c r="C3821" s="274" t="n">
        <x:v>0</x:v>
      </x:c>
      <x:c r="D3821" s="274" t="n">
        <x:v>0</x:v>
      </x:c>
      <x:c r="F3821" s="274" t="s">
        <x:v>333</x:v>
      </x:c>
      <x:c r="G3821" s="274" t="s">
        <x:v>124</x:v>
      </x:c>
      <x:c r="I3821" s="274" t="n">
        <x:v>1.4</x:v>
      </x:c>
      <x:c r="J3821" s="274" t="n">
        <x:v>325</x:v>
      </x:c>
      <x:c r="K3821" s="274" t="n">
        <x:v>340</x:v>
      </x:c>
      <x:c r="M3821" s="274" t="s">
        <x:v>7124</x:v>
      </x:c>
      <x:c r="N3821" s="274" t="s">
        <x:v>421</x:v>
      </x:c>
    </x:row>
    <x:row r="3822" spans="1:14">
      <x:c r="A3822" s="274" t="s">
        <x:v>7125</x:v>
      </x:c>
      <x:c r="B3822" s="274" t="n">
        <x:v>3.38</x:v>
      </x:c>
      <x:c r="C3822" s="274" t="n">
        <x:v>0</x:v>
      </x:c>
      <x:c r="D3822" s="274" t="n">
        <x:v>45</x:v>
      </x:c>
      <x:c r="E3822" s="274" t="n">
        <x:v>40</x:v>
      </x:c>
      <x:c r="F3822" s="274" t="s">
        <x:v>3412</x:v>
      </x:c>
      <x:c r="G3822" s="274" t="s">
        <x:v>6622</x:v>
      </x:c>
      <x:c r="H3822" s="274" t="s">
        <x:v>829</x:v>
      </x:c>
      <x:c r="I3822" s="274" t="n">
        <x:v>0.8</x:v>
      </x:c>
      <x:c r="J3822" s="274" t="n">
        <x:v>720</x:v>
      </x:c>
      <x:c r="K3822" s="274" t="n">
        <x:v>745</x:v>
      </x:c>
      <x:c r="M3822" s="274" t="s">
        <x:v>6421</x:v>
      </x:c>
      <x:c r="N3822" s="274" t="s">
        <x:v>831</x:v>
      </x:c>
    </x:row>
    <x:row r="3823" spans="1:14">
      <x:c r="A3823" s="274" t="s">
        <x:v>7126</x:v>
      </x:c>
      <x:c r="B3823" s="274" t="n">
        <x:v>1.25</x:v>
      </x:c>
      <x:c r="C3823" s="274" t="n">
        <x:v>26</x:v>
      </x:c>
      <x:c r="D3823" s="274" t="n">
        <x:v>36</x:v>
      </x:c>
      <x:c r="F3823" s="274" t="s">
        <x:v>3412</x:v>
      </x:c>
      <x:c r="G3823" s="274" t="s">
        <x:v>6622</x:v>
      </x:c>
      <x:c r="H3823" s="274" t="s">
        <x:v>837</x:v>
      </x:c>
      <x:c r="I3823" s="274" t="n">
        <x:v>0.8</x:v>
      </x:c>
      <x:c r="J3823" s="274" t="n">
        <x:v>435</x:v>
      </x:c>
      <x:c r="K3823" s="274" t="n">
        <x:v>455</x:v>
      </x:c>
      <x:c r="M3823" s="274" t="s">
        <x:v>3923</x:v>
      </x:c>
    </x:row>
    <x:row r="3824" spans="1:14">
      <x:c r="A3824" s="274" t="s">
        <x:v>7127</x:v>
      </x:c>
      <x:c r="B3824" s="274" t="n">
        <x:v>1.23</x:v>
      </x:c>
      <x:c r="C3824" s="274" t="n">
        <x:v>26</x:v>
      </x:c>
      <x:c r="D3824" s="274" t="n">
        <x:v>36</x:v>
      </x:c>
      <x:c r="E3824" s="274" t="n">
        <x:v>33</x:v>
      </x:c>
      <x:c r="F3824" s="274" t="s">
        <x:v>3412</x:v>
      </x:c>
      <x:c r="G3824" s="274" t="s">
        <x:v>6622</x:v>
      </x:c>
      <x:c r="H3824" s="274" t="s">
        <x:v>837</x:v>
      </x:c>
      <x:c r="I3824" s="274" t="n">
        <x:v>0.8</x:v>
      </x:c>
      <x:c r="J3824" s="274" t="n">
        <x:v>430</x:v>
      </x:c>
      <x:c r="K3824" s="274" t="n">
        <x:v>455</x:v>
      </x:c>
      <x:c r="M3824" s="274" t="s">
        <x:v>3923</x:v>
      </x:c>
      <x:c r="N3824" s="274" t="s">
        <x:v>831</x:v>
      </x:c>
    </x:row>
    <x:row r="3825" spans="1:14">
      <x:c r="A3825" s="274" t="s">
        <x:v>7128</x:v>
      </x:c>
      <x:c r="B3825" s="274" t="n">
        <x:v>15.71</x:v>
      </x:c>
      <x:c r="C3825" s="274" t="n">
        <x:v>0</x:v>
      </x:c>
      <x:c r="D3825" s="274" t="n">
        <x:v>45</x:v>
      </x:c>
      <x:c r="E3825" s="274" t="n">
        <x:v>40</x:v>
      </x:c>
      <x:c r="F3825" s="274" t="s">
        <x:v>1980</x:v>
      </x:c>
      <x:c r="G3825" s="274" t="s">
        <x:v>1981</x:v>
      </x:c>
      <x:c r="I3825" s="274" t="n">
        <x:v>1</x:v>
      </x:c>
      <x:c r="J3825" s="274" t="n">
        <x:v>1450</x:v>
      </x:c>
      <x:c r="K3825" s="274" t="n">
        <x:v>1380</x:v>
      </x:c>
      <x:c r="M3825" s="274" t="s">
        <x:v>2006</x:v>
      </x:c>
      <x:c r="N3825" s="274" t="s">
        <x:v>1983</x:v>
      </x:c>
    </x:row>
    <x:row r="3826" spans="1:14">
      <x:c r="A3826" s="274" t="s">
        <x:v>7129</x:v>
      </x:c>
      <x:c r="B3826" s="274" t="n">
        <x:v>1.23</x:v>
      </x:c>
      <x:c r="C3826" s="274" t="n">
        <x:v>26</x:v>
      </x:c>
      <x:c r="D3826" s="274" t="n">
        <x:v>36</x:v>
      </x:c>
      <x:c r="E3826" s="274" t="n">
        <x:v>33</x:v>
      </x:c>
      <x:c r="F3826" s="274" t="s">
        <x:v>3412</x:v>
      </x:c>
      <x:c r="G3826" s="274" t="s">
        <x:v>6622</x:v>
      </x:c>
      <x:c r="H3826" s="274" t="s">
        <x:v>837</x:v>
      </x:c>
      <x:c r="I3826" s="274" t="n">
        <x:v>0.8</x:v>
      </x:c>
      <x:c r="J3826" s="274" t="n">
        <x:v>430</x:v>
      </x:c>
      <x:c r="K3826" s="274" t="n">
        <x:v>455</x:v>
      </x:c>
      <x:c r="M3826" s="274" t="s">
        <x:v>3923</x:v>
      </x:c>
      <x:c r="N3826" s="274" t="s">
        <x:v>831</x:v>
      </x:c>
    </x:row>
    <x:row r="3827" spans="1:14">
      <x:c r="A3827" s="274" t="s">
        <x:v>7130</x:v>
      </x:c>
      <x:c r="B3827" s="274" t="n">
        <x:v>2.74</x:v>
      </x:c>
      <x:c r="C3827" s="274" t="n">
        <x:v>0</x:v>
      </x:c>
      <x:c r="D3827" s="274" t="n">
        <x:v>35</x:v>
      </x:c>
      <x:c r="E3827" s="274" t="n">
        <x:v>33</x:v>
      </x:c>
      <x:c r="F3827" s="274" t="s">
        <x:v>3412</x:v>
      </x:c>
      <x:c r="G3827" s="274" t="s">
        <x:v>6622</x:v>
      </x:c>
      <x:c r="H3827" s="274" t="s">
        <x:v>837</x:v>
      </x:c>
      <x:c r="I3827" s="274" t="n">
        <x:v>0.8</x:v>
      </x:c>
      <x:c r="J3827" s="274" t="n">
        <x:v>550</x:v>
      </x:c>
      <x:c r="K3827" s="274" t="n">
        <x:v>790</x:v>
      </x:c>
      <x:c r="M3827" s="274" t="s">
        <x:v>3778</x:v>
      </x:c>
      <x:c r="N3827" s="274" t="s">
        <x:v>831</x:v>
      </x:c>
    </x:row>
    <x:row r="3828" spans="1:14">
      <x:c r="A3828" s="274" t="s">
        <x:v>7131</x:v>
      </x:c>
      <x:c r="B3828" s="274" t="n">
        <x:v>7.55</x:v>
      </x:c>
      <x:c r="C3828" s="274" t="n">
        <x:v>0</x:v>
      </x:c>
      <x:c r="D3828" s="274" t="n">
        <x:v>0</x:v>
      </x:c>
      <x:c r="F3828" s="274" t="s">
        <x:v>133</x:v>
      </x:c>
      <x:c r="G3828" s="274" t="s">
        <x:v>134</x:v>
      </x:c>
      <x:c r="I3828" s="274" t="n">
        <x:v>2.6</x:v>
      </x:c>
      <x:c r="J3828" s="274" t="n">
        <x:v>296</x:v>
      </x:c>
      <x:c r="K3828" s="274" t="n">
        <x:v>1250</x:v>
      </x:c>
      <x:c r="M3828" s="274" t="s">
        <x:v>6475</x:v>
      </x:c>
      <x:c r="N3828" s="274" t="s">
        <x:v>3671</x:v>
      </x:c>
    </x:row>
    <x:row r="3829" spans="1:14">
      <x:c r="A3829" s="274" t="s">
        <x:v>7132</x:v>
      </x:c>
      <x:c r="B3829" s="274" t="n">
        <x:v>2.64</x:v>
      </x:c>
      <x:c r="C3829" s="274" t="n">
        <x:v>0</x:v>
      </x:c>
      <x:c r="D3829" s="274" t="n">
        <x:v>0</x:v>
      </x:c>
      <x:c r="F3829" s="274" t="s">
        <x:v>133</x:v>
      </x:c>
      <x:c r="G3829" s="274" t="s">
        <x:v>134</x:v>
      </x:c>
      <x:c r="I3829" s="274" t="n">
        <x:v>1.6</x:v>
      </x:c>
      <x:c r="J3829" s="274" t="n">
        <x:v>168</x:v>
      </x:c>
      <x:c r="K3829" s="274" t="n">
        <x:v>1250</x:v>
      </x:c>
      <x:c r="M3829" s="274" t="s">
        <x:v>4606</x:v>
      </x:c>
      <x:c r="N3829" s="274" t="s">
        <x:v>3671</x:v>
      </x:c>
    </x:row>
    <x:row r="3830" spans="1:14">
      <x:c r="A3830" s="274" t="s">
        <x:v>7133</x:v>
      </x:c>
      <x:c r="B3830" s="274" t="n">
        <x:v>2.57</x:v>
      </x:c>
      <x:c r="C3830" s="274" t="n">
        <x:v>0</x:v>
      </x:c>
      <x:c r="D3830" s="274" t="n">
        <x:v>0</x:v>
      </x:c>
      <x:c r="F3830" s="274" t="s">
        <x:v>133</x:v>
      </x:c>
      <x:c r="G3830" s="274" t="s">
        <x:v>134</x:v>
      </x:c>
      <x:c r="I3830" s="274" t="n">
        <x:v>1.6</x:v>
      </x:c>
      <x:c r="J3830" s="274" t="n">
        <x:v>164</x:v>
      </x:c>
      <x:c r="K3830" s="274" t="n">
        <x:v>1250</x:v>
      </x:c>
      <x:c r="M3830" s="274" t="s">
        <x:v>4606</x:v>
      </x:c>
      <x:c r="N3830" s="274" t="s">
        <x:v>3671</x:v>
      </x:c>
    </x:row>
    <x:row r="3831" spans="1:14">
      <x:c r="A3831" s="274" t="s">
        <x:v>7134</x:v>
      </x:c>
      <x:c r="B3831" s="274" t="n">
        <x:v>0.19</x:v>
      </x:c>
      <x:c r="C3831" s="274" t="n">
        <x:v>0</x:v>
      </x:c>
      <x:c r="D3831" s="274" t="n">
        <x:v>0</x:v>
      </x:c>
      <x:c r="F3831" s="274" t="s">
        <x:v>123</x:v>
      </x:c>
      <x:c r="G3831" s="274" t="s">
        <x:v>6196</x:v>
      </x:c>
      <x:c r="I3831" s="274" t="n">
        <x:v>2</x:v>
      </x:c>
      <x:c r="J3831" s="274" t="n">
        <x:v>112</x:v>
      </x:c>
      <x:c r="K3831" s="274" t="n">
        <x:v>108</x:v>
      </x:c>
      <x:c r="M3831" s="274" t="s">
        <x:v>6565</x:v>
      </x:c>
      <x:c r="N3831" s="274" t="s">
        <x:v>3671</x:v>
      </x:c>
    </x:row>
    <x:row r="3832" spans="1:14">
      <x:c r="A3832" s="274" t="s">
        <x:v>7135</x:v>
      </x:c>
      <x:c r="B3832" s="274" t="n">
        <x:v>1.27</x:v>
      </x:c>
      <x:c r="C3832" s="274" t="n">
        <x:v>0</x:v>
      </x:c>
      <x:c r="D3832" s="274" t="n">
        <x:v>0</x:v>
      </x:c>
      <x:c r="F3832" s="274" t="s">
        <x:v>123</x:v>
      </x:c>
      <x:c r="G3832" s="274" t="s">
        <x:v>4299</x:v>
      </x:c>
      <x:c r="I3832" s="274" t="n">
        <x:v>1.6</x:v>
      </x:c>
      <x:c r="J3832" s="274" t="n">
        <x:v>81</x:v>
      </x:c>
      <x:c r="K3832" s="274" t="n">
        <x:v>1250</x:v>
      </x:c>
      <x:c r="M3832" s="274" t="s">
        <x:v>7136</x:v>
      </x:c>
      <x:c r="N3832" s="274" t="s">
        <x:v>4258</x:v>
      </x:c>
    </x:row>
    <x:row r="3833" spans="1:14">
      <x:c r="A3833" s="274" t="s">
        <x:v>7137</x:v>
      </x:c>
      <x:c r="B3833" s="274" t="n">
        <x:v>7.25</x:v>
      </x:c>
      <x:c r="C3833" s="274" t="n">
        <x:v>0</x:v>
      </x:c>
      <x:c r="D3833" s="274" t="n">
        <x:v>0</x:v>
      </x:c>
      <x:c r="F3833" s="274" t="s">
        <x:v>133</x:v>
      </x:c>
      <x:c r="G3833" s="274" t="s">
        <x:v>4329</x:v>
      </x:c>
      <x:c r="I3833" s="274" t="n">
        <x:v>2.3</x:v>
      </x:c>
      <x:c r="J3833" s="274" t="n">
        <x:v>321</x:v>
      </x:c>
      <x:c r="K3833" s="274" t="n">
        <x:v>1250</x:v>
      </x:c>
      <x:c r="M3833" s="274" t="s">
        <x:v>6843</x:v>
      </x:c>
      <x:c r="N3833" s="274" t="s">
        <x:v>4258</x:v>
      </x:c>
    </x:row>
    <x:row r="3834" spans="1:14">
      <x:c r="A3834" s="274" t="s">
        <x:v>7138</x:v>
      </x:c>
      <x:c r="B3834" s="274" t="n">
        <x:v>3.48</x:v>
      </x:c>
      <x:c r="C3834" s="274" t="n">
        <x:v>0</x:v>
      </x:c>
      <x:c r="D3834" s="274" t="n">
        <x:v>0</x:v>
      </x:c>
      <x:c r="F3834" s="274" t="s">
        <x:v>133</x:v>
      </x:c>
      <x:c r="G3834" s="274" t="s">
        <x:v>4329</x:v>
      </x:c>
      <x:c r="I3834" s="274" t="n">
        <x:v>2.3</x:v>
      </x:c>
      <x:c r="J3834" s="274" t="n">
        <x:v>154</x:v>
      </x:c>
      <x:c r="K3834" s="274" t="n">
        <x:v>1250</x:v>
      </x:c>
      <x:c r="M3834" s="274" t="s">
        <x:v>7139</x:v>
      </x:c>
      <x:c r="N3834" s="274" t="s">
        <x:v>4258</x:v>
      </x:c>
    </x:row>
    <x:row r="3835" spans="1:14">
      <x:c r="A3835" s="274" t="s">
        <x:v>7140</x:v>
      </x:c>
      <x:c r="B3835" s="274" t="n">
        <x:v>3.41</x:v>
      </x:c>
      <x:c r="C3835" s="274" t="n">
        <x:v>0</x:v>
      </x:c>
      <x:c r="D3835" s="274" t="n">
        <x:v>0</x:v>
      </x:c>
      <x:c r="F3835" s="274" t="s">
        <x:v>133</x:v>
      </x:c>
      <x:c r="G3835" s="274" t="s">
        <x:v>4329</x:v>
      </x:c>
      <x:c r="I3835" s="274" t="n">
        <x:v>2.3</x:v>
      </x:c>
      <x:c r="J3835" s="274" t="n">
        <x:v>151</x:v>
      </x:c>
      <x:c r="K3835" s="274" t="n">
        <x:v>1250</x:v>
      </x:c>
      <x:c r="M3835" s="274" t="s">
        <x:v>6733</x:v>
      </x:c>
      <x:c r="N3835" s="274" t="s">
        <x:v>4258</x:v>
      </x:c>
    </x:row>
    <x:row r="3836" spans="1:14">
      <x:c r="A3836" s="274" t="s">
        <x:v>7141</x:v>
      </x:c>
      <x:c r="B3836" s="274" t="n">
        <x:v>2.01</x:v>
      </x:c>
      <x:c r="C3836" s="274" t="n">
        <x:v>0</x:v>
      </x:c>
      <x:c r="D3836" s="274" t="n">
        <x:v>0</x:v>
      </x:c>
      <x:c r="F3836" s="274" t="s">
        <x:v>133</x:v>
      </x:c>
      <x:c r="G3836" s="274" t="s">
        <x:v>4329</x:v>
      </x:c>
      <x:c r="I3836" s="274" t="n">
        <x:v>2.3</x:v>
      </x:c>
      <x:c r="J3836" s="274" t="n">
        <x:v>89</x:v>
      </x:c>
      <x:c r="K3836" s="274" t="n">
        <x:v>1250</x:v>
      </x:c>
      <x:c r="M3836" s="274" t="s">
        <x:v>6733</x:v>
      </x:c>
      <x:c r="N3836" s="274" t="s">
        <x:v>4258</x:v>
      </x:c>
    </x:row>
    <x:row r="3837" spans="1:14">
      <x:c r="A3837" s="274" t="s">
        <x:v>7142</x:v>
      </x:c>
      <x:c r="B3837" s="274" t="n">
        <x:v>1.18</x:v>
      </x:c>
      <x:c r="C3837" s="274" t="n">
        <x:v>0</x:v>
      </x:c>
      <x:c r="D3837" s="274" t="n">
        <x:v>0</x:v>
      </x:c>
      <x:c r="F3837" s="274" t="s">
        <x:v>333</x:v>
      </x:c>
      <x:c r="G3837" s="274" t="s">
        <x:v>4663</x:v>
      </x:c>
      <x:c r="I3837" s="274" t="n">
        <x:v>1.2</x:v>
      </x:c>
      <x:c r="J3837" s="274" t="n">
        <x:v>520</x:v>
      </x:c>
      <x:c r="K3837" s="274" t="n">
        <x:v>240</x:v>
      </x:c>
      <x:c r="M3837" s="274" t="s">
        <x:v>5038</x:v>
      </x:c>
      <x:c r="N3837" s="274" t="s">
        <x:v>4258</x:v>
      </x:c>
    </x:row>
    <x:row r="3838" spans="1:14">
      <x:c r="A3838" s="274" t="s">
        <x:v>7143</x:v>
      </x:c>
      <x:c r="B3838" s="274" t="n">
        <x:v>1.14</x:v>
      </x:c>
      <x:c r="C3838" s="274" t="n">
        <x:v>0</x:v>
      </x:c>
      <x:c r="D3838" s="274" t="n">
        <x:v>0</x:v>
      </x:c>
      <x:c r="F3838" s="274" t="s">
        <x:v>333</x:v>
      </x:c>
      <x:c r="G3838" s="274" t="s">
        <x:v>4663</x:v>
      </x:c>
      <x:c r="I3838" s="274" t="n">
        <x:v>1.2</x:v>
      </x:c>
      <x:c r="J3838" s="274" t="n">
        <x:v>473</x:v>
      </x:c>
      <x:c r="K3838" s="274" t="n">
        <x:v>255</x:v>
      </x:c>
      <x:c r="M3838" s="274" t="s">
        <x:v>5125</x:v>
      </x:c>
      <x:c r="N3838" s="274" t="s">
        <x:v>4258</x:v>
      </x:c>
    </x:row>
    <x:row r="3839" spans="1:14">
      <x:c r="A3839" s="274" t="s">
        <x:v>7144</x:v>
      </x:c>
      <x:c r="B3839" s="274" t="n">
        <x:v>0.86</x:v>
      </x:c>
      <x:c r="C3839" s="274" t="n">
        <x:v>0</x:v>
      </x:c>
      <x:c r="D3839" s="274" t="n">
        <x:v>0</x:v>
      </x:c>
      <x:c r="F3839" s="274" t="s">
        <x:v>333</x:v>
      </x:c>
      <x:c r="G3839" s="274" t="s">
        <x:v>4663</x:v>
      </x:c>
      <x:c r="I3839" s="274" t="n">
        <x:v>1.2</x:v>
      </x:c>
      <x:c r="J3839" s="274" t="n">
        <x:v>462</x:v>
      </x:c>
      <x:c r="K3839" s="274" t="n">
        <x:v>197</x:v>
      </x:c>
      <x:c r="M3839" s="274" t="s">
        <x:v>5127</x:v>
      </x:c>
      <x:c r="N3839" s="274" t="s">
        <x:v>4258</x:v>
      </x:c>
    </x:row>
    <x:row r="3840" spans="1:14">
      <x:c r="A3840" s="274" t="s">
        <x:v>7145</x:v>
      </x:c>
      <x:c r="B3840" s="274" t="n">
        <x:v>0.82</x:v>
      </x:c>
      <x:c r="C3840" s="274" t="n">
        <x:v>0</x:v>
      </x:c>
      <x:c r="D3840" s="274" t="n">
        <x:v>0</x:v>
      </x:c>
      <x:c r="F3840" s="274" t="s">
        <x:v>333</x:v>
      </x:c>
      <x:c r="G3840" s="274" t="s">
        <x:v>4663</x:v>
      </x:c>
      <x:c r="I3840" s="274" t="n">
        <x:v>1.2</x:v>
      </x:c>
      <x:c r="J3840" s="274" t="n">
        <x:v>239</x:v>
      </x:c>
      <x:c r="K3840" s="274" t="n">
        <x:v>362</x:v>
      </x:c>
      <x:c r="M3840" s="274" t="s">
        <x:v>5131</x:v>
      </x:c>
      <x:c r="N3840" s="274" t="s">
        <x:v>4258</x:v>
      </x:c>
    </x:row>
    <x:row r="3841" spans="1:14">
      <x:c r="A3841" s="274" t="s">
        <x:v>7146</x:v>
      </x:c>
      <x:c r="B3841" s="274" t="n">
        <x:v>3.12</x:v>
      </x:c>
      <x:c r="C3841" s="274" t="n">
        <x:v>0</x:v>
      </x:c>
      <x:c r="D3841" s="274" t="n">
        <x:v>0</x:v>
      </x:c>
      <x:c r="F3841" s="274" t="s">
        <x:v>333</x:v>
      </x:c>
      <x:c r="G3841" s="274" t="s">
        <x:v>4663</x:v>
      </x:c>
      <x:c r="I3841" s="274" t="n">
        <x:v>1.2</x:v>
      </x:c>
      <x:c r="J3841" s="274" t="n">
        <x:v>620</x:v>
      </x:c>
      <x:c r="K3841" s="274" t="n">
        <x:v>534</x:v>
      </x:c>
      <x:c r="M3841" s="274" t="s">
        <x:v>4709</x:v>
      </x:c>
      <x:c r="N3841" s="274" t="s">
        <x:v>4258</x:v>
      </x:c>
    </x:row>
    <x:row r="3842" spans="1:14">
      <x:c r="A3842" s="274" t="s">
        <x:v>7147</x:v>
      </x:c>
      <x:c r="B3842" s="274" t="n">
        <x:v>2.28</x:v>
      </x:c>
      <x:c r="C3842" s="274" t="n">
        <x:v>0</x:v>
      </x:c>
      <x:c r="D3842" s="274" t="n">
        <x:v>23</x:v>
      </x:c>
      <x:c r="F3842" s="274" t="s">
        <x:v>333</x:v>
      </x:c>
      <x:c r="G3842" s="274" t="s">
        <x:v>4663</x:v>
      </x:c>
      <x:c r="I3842" s="274" t="n">
        <x:v>1</x:v>
      </x:c>
      <x:c r="J3842" s="274" t="n">
        <x:v>444</x:v>
      </x:c>
      <x:c r="K3842" s="274" t="n">
        <x:v>891</x:v>
      </x:c>
      <x:c r="L3842" s="274" t="n">
        <x:v>420</x:v>
      </x:c>
      <x:c r="M3842" s="274" t="s">
        <x:v>7148</x:v>
      </x:c>
      <x:c r="N3842" s="274" t="s">
        <x:v>4258</x:v>
      </x:c>
    </x:row>
    <x:row r="3843" spans="1:14">
      <x:c r="A3843" s="274" t="s">
        <x:v>7149</x:v>
      </x:c>
      <x:c r="B3843" s="274" t="n">
        <x:v>0.51</x:v>
      </x:c>
      <x:c r="C3843" s="274" t="n">
        <x:v>26</x:v>
      </x:c>
      <x:c r="D3843" s="274" t="n">
        <x:v>36</x:v>
      </x:c>
      <x:c r="E3843" s="274" t="n">
        <x:v>33</x:v>
      </x:c>
      <x:c r="F3843" s="274" t="s">
        <x:v>133</x:v>
      </x:c>
      <x:c r="G3843" s="274" t="s">
        <x:v>136</x:v>
      </x:c>
      <x:c r="H3843" s="274" t="n">
        <x:v>45</x:v>
      </x:c>
      <x:c r="I3843" s="274" t="n">
        <x:v>0.6</x:v>
      </x:c>
      <x:c r="J3843" s="274" t="n">
        <x:v>352</x:v>
      </x:c>
      <x:c r="K3843" s="274" t="n">
        <x:v>302</x:v>
      </x:c>
      <x:c r="M3843" s="274" t="s">
        <x:v>3759</x:v>
      </x:c>
      <x:c r="N3843" s="274" t="s">
        <x:v>1157</x:v>
      </x:c>
    </x:row>
    <x:row r="3844" spans="1:14">
      <x:c r="A3844" s="274" t="s">
        <x:v>7150</x:v>
      </x:c>
      <x:c r="B3844" s="274" t="n">
        <x:v>8.48</x:v>
      </x:c>
      <x:c r="C3844" s="274" t="n">
        <x:v>0</x:v>
      </x:c>
      <x:c r="D3844" s="274" t="n">
        <x:v>0</x:v>
      </x:c>
      <x:c r="F3844" s="274" t="s">
        <x:v>133</x:v>
      </x:c>
      <x:c r="G3844" s="274" t="s">
        <x:v>1636</x:v>
      </x:c>
      <x:c r="I3844" s="274" t="n">
        <x:v>8</x:v>
      </x:c>
      <x:c r="J3844" s="274" t="n">
        <x:v>1250</x:v>
      </x:c>
      <x:c r="K3844" s="274" t="n">
        <x:v>108</x:v>
      </x:c>
      <x:c r="M3844" s="274" t="s">
        <x:v>7151</x:v>
      </x:c>
      <x:c r="N3844" s="274" t="s">
        <x:v>3671</x:v>
      </x:c>
    </x:row>
    <x:row r="3845" spans="1:14">
      <x:c r="A3845" s="274" t="s">
        <x:v>7152</x:v>
      </x:c>
      <x:c r="B3845" s="274" t="n">
        <x:v>6.63</x:v>
      </x:c>
      <x:c r="C3845" s="274" t="n">
        <x:v>0</x:v>
      </x:c>
      <x:c r="D3845" s="274" t="n">
        <x:v>0</x:v>
      </x:c>
      <x:c r="F3845" s="274" t="s">
        <x:v>133</x:v>
      </x:c>
      <x:c r="G3845" s="274" t="s">
        <x:v>1170</x:v>
      </x:c>
      <x:c r="I3845" s="274" t="n">
        <x:v>8</x:v>
      </x:c>
      <x:c r="J3845" s="274" t="n">
        <x:v>284</x:v>
      </x:c>
      <x:c r="K3845" s="274" t="n">
        <x:v>372</x:v>
      </x:c>
      <x:c r="M3845" s="274" t="s">
        <x:v>7153</x:v>
      </x:c>
      <x:c r="N3845" s="274" t="s">
        <x:v>3671</x:v>
      </x:c>
    </x:row>
    <x:row r="3846" spans="1:14">
      <x:c r="A3846" s="274" t="s">
        <x:v>7154</x:v>
      </x:c>
      <x:c r="B3846" s="274" t="n">
        <x:v>7.79</x:v>
      </x:c>
      <x:c r="C3846" s="274" t="n">
        <x:v>0</x:v>
      </x:c>
      <x:c r="D3846" s="274" t="n">
        <x:v>0</x:v>
      </x:c>
      <x:c r="F3846" s="274" t="s">
        <x:v>133</x:v>
      </x:c>
      <x:c r="G3846" s="274" t="s">
        <x:v>1170</x:v>
      </x:c>
      <x:c r="I3846" s="274" t="n">
        <x:v>8</x:v>
      </x:c>
      <x:c r="J3846" s="274" t="n">
        <x:v>283</x:v>
      </x:c>
      <x:c r="K3846" s="274" t="n">
        <x:v>438</x:v>
      </x:c>
      <x:c r="M3846" s="274" t="s">
        <x:v>7155</x:v>
      </x:c>
      <x:c r="N3846" s="274" t="s">
        <x:v>3671</x:v>
      </x:c>
    </x:row>
    <x:row r="3847" spans="1:14">
      <x:c r="A3847" s="274" t="s">
        <x:v>7156</x:v>
      </x:c>
      <x:c r="B3847" s="274" t="n">
        <x:v>8.6</x:v>
      </x:c>
      <x:c r="C3847" s="274" t="n">
        <x:v>0</x:v>
      </x:c>
      <x:c r="D3847" s="274" t="n">
        <x:v>40</x:v>
      </x:c>
      <x:c r="E3847" s="274" t="n">
        <x:v>35</x:v>
      </x:c>
      <x:c r="F3847" s="274" t="s">
        <x:v>1980</x:v>
      </x:c>
      <x:c r="G3847" s="274" t="s">
        <x:v>1981</x:v>
      </x:c>
      <x:c r="I3847" s="274" t="n">
        <x:v>0.8</x:v>
      </x:c>
      <x:c r="J3847" s="274" t="n">
        <x:v>1330</x:v>
      </x:c>
      <x:c r="K3847" s="274" t="n">
        <x:v>1030</x:v>
      </x:c>
      <x:c r="M3847" s="274" t="s">
        <x:v>2278</x:v>
      </x:c>
      <x:c r="N3847" s="274" t="s">
        <x:v>1983</x:v>
      </x:c>
    </x:row>
    <x:row r="3848" spans="1:14">
      <x:c r="A3848" s="274" t="s">
        <x:v>7157</x:v>
      </x:c>
      <x:c r="B3848" s="274" t="n">
        <x:v>0.49</x:v>
      </x:c>
      <x:c r="C3848" s="274" t="n">
        <x:v>0</x:v>
      </x:c>
      <x:c r="D3848" s="274" t="n">
        <x:v>0</x:v>
      </x:c>
      <x:c r="F3848" s="274" t="s">
        <x:v>333</x:v>
      </x:c>
      <x:c r="G3848" s="274" t="s">
        <x:v>153</x:v>
      </x:c>
      <x:c r="I3848" s="274" t="n">
        <x:v>0.6</x:v>
      </x:c>
      <x:c r="J3848" s="274" t="n">
        <x:v>330</x:v>
      </x:c>
      <x:c r="K3848" s="274" t="n">
        <x:v>316</x:v>
      </x:c>
      <x:c r="M3848" s="274" t="s">
        <x:v>7158</x:v>
      </x:c>
      <x:c r="N3848" s="274" t="s">
        <x:v>3671</x:v>
      </x:c>
    </x:row>
    <x:row r="3849" spans="1:14">
      <x:c r="A3849" s="274" t="s">
        <x:v>7159</x:v>
      </x:c>
      <x:c r="B3849" s="274" t="n">
        <x:v>0.44</x:v>
      </x:c>
      <x:c r="C3849" s="274" t="n">
        <x:v>0</x:v>
      </x:c>
      <x:c r="D3849" s="274" t="n">
        <x:v>0</x:v>
      </x:c>
      <x:c r="F3849" s="274" t="s">
        <x:v>133</x:v>
      </x:c>
      <x:c r="G3849" s="274" t="s">
        <x:v>144</x:v>
      </x:c>
      <x:c r="H3849" s="274" t="n">
        <x:v>45</x:v>
      </x:c>
      <x:c r="I3849" s="274" t="n">
        <x:v>0.9</x:v>
      </x:c>
      <x:c r="J3849" s="274" t="n">
        <x:v>164</x:v>
      </x:c>
      <x:c r="K3849" s="274" t="n">
        <x:v>374</x:v>
      </x:c>
      <x:c r="M3849" s="274" t="s">
        <x:v>7160</x:v>
      </x:c>
      <x:c r="N3849" s="274" t="s">
        <x:v>3671</x:v>
      </x:c>
    </x:row>
    <x:row r="3850" spans="1:14">
      <x:c r="A3850" s="274" t="s">
        <x:v>7161</x:v>
      </x:c>
      <x:c r="B3850" s="274" t="n">
        <x:v>0.49</x:v>
      </x:c>
      <x:c r="C3850" s="274" t="n">
        <x:v>0</x:v>
      </x:c>
      <x:c r="D3850" s="274" t="n">
        <x:v>0</x:v>
      </x:c>
      <x:c r="F3850" s="274" t="s">
        <x:v>333</x:v>
      </x:c>
      <x:c r="G3850" s="274" t="s">
        <x:v>153</x:v>
      </x:c>
      <x:c r="I3850" s="274" t="n">
        <x:v>1</x:v>
      </x:c>
      <x:c r="J3850" s="274" t="n">
        <x:v>240</x:v>
      </x:c>
      <x:c r="K3850" s="274" t="n">
        <x:v>258</x:v>
      </x:c>
      <x:c r="M3850" s="274" t="s">
        <x:v>7162</x:v>
      </x:c>
      <x:c r="N3850" s="274" t="s">
        <x:v>3671</x:v>
      </x:c>
    </x:row>
    <x:row r="3851" spans="1:14">
      <x:c r="A3851" s="274" t="s">
        <x:v>7163</x:v>
      </x:c>
      <x:c r="B3851" s="274" t="n">
        <x:v>0.55</x:v>
      </x:c>
      <x:c r="C3851" s="274" t="n">
        <x:v>0</x:v>
      </x:c>
      <x:c r="D3851" s="274" t="n">
        <x:v>0</x:v>
      </x:c>
      <x:c r="F3851" s="274" t="s">
        <x:v>333</x:v>
      </x:c>
      <x:c r="G3851" s="274" t="s">
        <x:v>153</x:v>
      </x:c>
      <x:c r="I3851" s="274" t="n">
        <x:v>1</x:v>
      </x:c>
      <x:c r="J3851" s="274" t="n">
        <x:v>230</x:v>
      </x:c>
      <x:c r="K3851" s="274" t="n">
        <x:v>305</x:v>
      </x:c>
      <x:c r="M3851" s="274" t="s">
        <x:v>7164</x:v>
      </x:c>
      <x:c r="N3851" s="274" t="s">
        <x:v>3671</x:v>
      </x:c>
    </x:row>
    <x:row r="3852" spans="1:14">
      <x:c r="A3852" s="274" t="s">
        <x:v>7165</x:v>
      </x:c>
      <x:c r="B3852" s="274" t="n">
        <x:v>1.25</x:v>
      </x:c>
      <x:c r="C3852" s="274" t="n">
        <x:v>0</x:v>
      </x:c>
      <x:c r="D3852" s="274" t="n">
        <x:v>0</x:v>
      </x:c>
      <x:c r="F3852" s="274" t="s">
        <x:v>333</x:v>
      </x:c>
      <x:c r="G3852" s="274" t="s">
        <x:v>153</x:v>
      </x:c>
      <x:c r="I3852" s="274" t="n">
        <x:v>1</x:v>
      </x:c>
      <x:c r="J3852" s="274" t="n">
        <x:v>575</x:v>
      </x:c>
      <x:c r="K3852" s="274" t="n">
        <x:v>276</x:v>
      </x:c>
      <x:c r="M3852" s="274" t="s">
        <x:v>7166</x:v>
      </x:c>
      <x:c r="N3852" s="274" t="s">
        <x:v>3671</x:v>
      </x:c>
    </x:row>
    <x:row r="3853" spans="1:14">
      <x:c r="A3853" s="274" t="s">
        <x:v>7167</x:v>
      </x:c>
      <x:c r="B3853" s="274" t="n">
        <x:v>0.17</x:v>
      </x:c>
      <x:c r="C3853" s="274" t="n">
        <x:v>0</x:v>
      </x:c>
      <x:c r="D3853" s="274" t="n">
        <x:v>0</x:v>
      </x:c>
      <x:c r="F3853" s="274" t="s">
        <x:v>333</x:v>
      </x:c>
      <x:c r="G3853" s="274" t="s">
        <x:v>153</x:v>
      </x:c>
      <x:c r="I3853" s="274" t="n">
        <x:v>1</x:v>
      </x:c>
      <x:c r="J3853" s="274" t="n">
        <x:v>232</x:v>
      </x:c>
      <x:c r="K3853" s="274" t="n">
        <x:v>96</x:v>
      </x:c>
      <x:c r="M3853" s="274" t="s">
        <x:v>7168</x:v>
      </x:c>
      <x:c r="N3853" s="274" t="s">
        <x:v>3671</x:v>
      </x:c>
    </x:row>
    <x:row r="3854" spans="1:14">
      <x:c r="A3854" s="274" t="s">
        <x:v>7169</x:v>
      </x:c>
      <x:c r="B3854" s="274" t="n">
        <x:v>0.84</x:v>
      </x:c>
      <x:c r="C3854" s="274" t="n">
        <x:v>0</x:v>
      </x:c>
      <x:c r="D3854" s="274" t="n">
        <x:v>0</x:v>
      </x:c>
      <x:c r="F3854" s="274" t="s">
        <x:v>4735</x:v>
      </x:c>
      <x:c r="G3854" s="274" t="s">
        <x:v>4736</x:v>
      </x:c>
      <x:c r="I3854" s="274" t="n">
        <x:v>1</x:v>
      </x:c>
      <x:c r="J3854" s="274" t="n">
        <x:v>90</x:v>
      </x:c>
      <x:c r="K3854" s="274" t="n">
        <x:v>1200</x:v>
      </x:c>
      <x:c r="M3854" s="274" t="s">
        <x:v>5576</x:v>
      </x:c>
      <x:c r="N3854" s="274" t="s">
        <x:v>3671</x:v>
      </x:c>
    </x:row>
    <x:row r="3855" spans="1:14">
      <x:c r="A3855" s="274" t="s">
        <x:v>7170</x:v>
      </x:c>
      <x:c r="B3855" s="274" t="n">
        <x:v>0.51</x:v>
      </x:c>
      <x:c r="C3855" s="274" t="n">
        <x:v>0</x:v>
      </x:c>
      <x:c r="D3855" s="274" t="n">
        <x:v>0</x:v>
      </x:c>
      <x:c r="F3855" s="274" t="s">
        <x:v>333</x:v>
      </x:c>
      <x:c r="G3855" s="274" t="s">
        <x:v>153</x:v>
      </x:c>
      <x:c r="I3855" s="274" t="n">
        <x:v>1.2</x:v>
      </x:c>
      <x:c r="J3855" s="274" t="n">
        <x:v>166</x:v>
      </x:c>
      <x:c r="K3855" s="274" t="n">
        <x:v>324</x:v>
      </x:c>
      <x:c r="M3855" s="274" t="s">
        <x:v>7171</x:v>
      </x:c>
      <x:c r="N3855" s="274" t="s">
        <x:v>3671</x:v>
      </x:c>
    </x:row>
    <x:row r="3856" spans="1:14">
      <x:c r="A3856" s="274" t="s">
        <x:v>7172</x:v>
      </x:c>
      <x:c r="B3856" s="274" t="n">
        <x:v>2.73</x:v>
      </x:c>
      <x:c r="C3856" s="274" t="n">
        <x:v>0</x:v>
      </x:c>
      <x:c r="D3856" s="274" t="n">
        <x:v>0</x:v>
      </x:c>
      <x:c r="F3856" s="274" t="s">
        <x:v>123</x:v>
      </x:c>
      <x:c r="G3856" s="274" t="s">
        <x:v>881</x:v>
      </x:c>
      <x:c r="H3856" s="274" t="n">
        <x:v>45</x:v>
      </x:c>
      <x:c r="I3856" s="274" t="n">
        <x:v>1.2</x:v>
      </x:c>
      <x:c r="J3856" s="274" t="n">
        <x:v>463</x:v>
      </x:c>
      <x:c r="K3856" s="274" t="n">
        <x:v>620</x:v>
      </x:c>
      <x:c r="M3856" s="274" t="s">
        <x:v>7173</x:v>
      </x:c>
      <x:c r="N3856" s="274" t="s">
        <x:v>3671</x:v>
      </x:c>
    </x:row>
    <x:row r="3857" spans="1:14">
      <x:c r="A3857" s="274" t="s">
        <x:v>7174</x:v>
      </x:c>
      <x:c r="B3857" s="274" t="n">
        <x:v>2.68</x:v>
      </x:c>
      <x:c r="C3857" s="274" t="n">
        <x:v>0</x:v>
      </x:c>
      <x:c r="D3857" s="274" t="n">
        <x:v>0</x:v>
      </x:c>
      <x:c r="F3857" s="274" t="s">
        <x:v>184</x:v>
      </x:c>
      <x:c r="G3857" s="274" t="s">
        <x:v>4782</x:v>
      </x:c>
      <x:c r="H3857" s="274" t="s">
        <x:v>4471</x:v>
      </x:c>
      <x:c r="I3857" s="274" t="n">
        <x:v>1</x:v>
      </x:c>
      <x:c r="J3857" s="274" t="n">
        <x:v>270</x:v>
      </x:c>
      <x:c r="K3857" s="274" t="n">
        <x:v>1250</x:v>
      </x:c>
      <x:c r="M3857" s="274" t="s">
        <x:v>5547</x:v>
      </x:c>
      <x:c r="N3857" s="274" t="s">
        <x:v>4258</x:v>
      </x:c>
    </x:row>
    <x:row r="3858" spans="1:14">
      <x:c r="A3858" s="274" t="s">
        <x:v>7175</x:v>
      </x:c>
      <x:c r="B3858" s="274" t="n">
        <x:v>1.6</x:v>
      </x:c>
      <x:c r="C3858" s="274" t="n">
        <x:v>0</x:v>
      </x:c>
      <x:c r="D3858" s="274" t="n">
        <x:v>0</x:v>
      </x:c>
      <x:c r="F3858" s="274" t="s">
        <x:v>333</x:v>
      </x:c>
      <x:c r="G3858" s="274" t="s">
        <x:v>2468</x:v>
      </x:c>
      <x:c r="I3858" s="274" t="n">
        <x:v>0.7</x:v>
      </x:c>
      <x:c r="J3858" s="274" t="n">
        <x:v>341</x:v>
      </x:c>
      <x:c r="K3858" s="274" t="n">
        <x:v>854</x:v>
      </x:c>
      <x:c r="M3858" s="274" t="s">
        <x:v>7176</x:v>
      </x:c>
      <x:c r="N3858" s="274" t="s">
        <x:v>7177</x:v>
      </x:c>
    </x:row>
    <x:row r="3859" spans="1:14">
      <x:c r="A3859" s="274" t="s">
        <x:v>7178</x:v>
      </x:c>
      <x:c r="B3859" s="274" t="n">
        <x:v>0.63</x:v>
      </x:c>
      <x:c r="C3859" s="274" t="n">
        <x:v>0</x:v>
      </x:c>
      <x:c r="D3859" s="274" t="n">
        <x:v>0</x:v>
      </x:c>
      <x:c r="F3859" s="274" t="s">
        <x:v>333</x:v>
      </x:c>
      <x:c r="G3859" s="274" t="s">
        <x:v>2468</x:v>
      </x:c>
      <x:c r="I3859" s="274" t="n">
        <x:v>0.6</x:v>
      </x:c>
      <x:c r="J3859" s="274" t="n">
        <x:v>124</x:v>
      </x:c>
      <x:c r="K3859" s="274" t="n">
        <x:v>1072</x:v>
      </x:c>
      <x:c r="M3859" s="274" t="s">
        <x:v>7179</x:v>
      </x:c>
      <x:c r="N3859" s="274" t="s">
        <x:v>7177</x:v>
      </x:c>
    </x:row>
    <x:row r="3860" spans="1:14">
      <x:c r="A3860" s="274" t="s">
        <x:v>7180</x:v>
      </x:c>
      <x:c r="B3860" s="274" t="n">
        <x:v>0.66</x:v>
      </x:c>
      <x:c r="C3860" s="274" t="n">
        <x:v>0</x:v>
      </x:c>
      <x:c r="D3860" s="274" t="n">
        <x:v>0</x:v>
      </x:c>
      <x:c r="F3860" s="274" t="s">
        <x:v>333</x:v>
      </x:c>
      <x:c r="G3860" s="274" t="s">
        <x:v>2157</x:v>
      </x:c>
      <x:c r="I3860" s="274" t="n">
        <x:v>0.6</x:v>
      </x:c>
      <x:c r="J3860" s="274" t="n">
        <x:v>1092</x:v>
      </x:c>
      <x:c r="K3860" s="274" t="n">
        <x:v>128</x:v>
      </x:c>
      <x:c r="M3860" s="274" t="s">
        <x:v>7181</x:v>
      </x:c>
      <x:c r="N3860" s="274" t="s">
        <x:v>7177</x:v>
      </x:c>
    </x:row>
    <x:row r="3861" spans="1:14">
      <x:c r="A3861" s="274" t="s">
        <x:v>7182</x:v>
      </x:c>
      <x:c r="B3861" s="274" t="n">
        <x:v>1.7</x:v>
      </x:c>
      <x:c r="C3861" s="274" t="n">
        <x:v>0</x:v>
      </x:c>
      <x:c r="D3861" s="274" t="n">
        <x:v>0</x:v>
      </x:c>
      <x:c r="F3861" s="274" t="s">
        <x:v>333</x:v>
      </x:c>
      <x:c r="G3861" s="274" t="s">
        <x:v>2160</x:v>
      </x:c>
      <x:c r="I3861" s="274" t="n">
        <x:v>1</x:v>
      </x:c>
      <x:c r="J3861" s="274" t="n">
        <x:v>193</x:v>
      </x:c>
      <x:c r="K3861" s="274" t="n">
        <x:v>1121</x:v>
      </x:c>
      <x:c r="M3861" s="274" t="s">
        <x:v>7183</x:v>
      </x:c>
      <x:c r="N3861" s="274" t="s">
        <x:v>7177</x:v>
      </x:c>
    </x:row>
    <x:row r="3862" spans="1:14">
      <x:c r="A3862" s="274" t="s">
        <x:v>7184</x:v>
      </x:c>
      <x:c r="B3862" s="274" t="n">
        <x:v>0.66</x:v>
      </x:c>
      <x:c r="C3862" s="274" t="n">
        <x:v>0</x:v>
      </x:c>
      <x:c r="D3862" s="274" t="n">
        <x:v>0</x:v>
      </x:c>
      <x:c r="F3862" s="274" t="s">
        <x:v>333</x:v>
      </x:c>
      <x:c r="G3862" s="274" t="s">
        <x:v>2468</x:v>
      </x:c>
      <x:c r="I3862" s="274" t="n">
        <x:v>0.6</x:v>
      </x:c>
      <x:c r="J3862" s="274" t="n">
        <x:v>128</x:v>
      </x:c>
      <x:c r="K3862" s="274" t="n">
        <x:v>1092</x:v>
      </x:c>
      <x:c r="M3862" s="274" t="s">
        <x:v>7185</x:v>
      </x:c>
      <x:c r="N3862" s="274" t="s">
        <x:v>7177</x:v>
      </x:c>
    </x:row>
    <x:row r="3863" spans="1:14">
      <x:c r="A3863" s="274" t="s">
        <x:v>7186</x:v>
      </x:c>
      <x:c r="B3863" s="274" t="n">
        <x:v>3.1</x:v>
      </x:c>
      <x:c r="C3863" s="274" t="n">
        <x:v>0</x:v>
      </x:c>
      <x:c r="D3863" s="274" t="n">
        <x:v>33</x:v>
      </x:c>
      <x:c r="E3863" s="274" t="n">
        <x:v>30</x:v>
      </x:c>
      <x:c r="F3863" s="274" t="s">
        <x:v>3412</x:v>
      </x:c>
      <x:c r="G3863" s="274" t="s">
        <x:v>6622</x:v>
      </x:c>
      <x:c r="H3863" s="274" t="s">
        <x:v>837</x:v>
      </x:c>
      <x:c r="I3863" s="274" t="n">
        <x:v>0.8</x:v>
      </x:c>
      <x:c r="J3863" s="274" t="n">
        <x:v>600</x:v>
      </x:c>
      <x:c r="K3863" s="274" t="n">
        <x:v>820</x:v>
      </x:c>
      <x:c r="M3863" s="274" t="s">
        <x:v>3166</x:v>
      </x:c>
      <x:c r="N3863" s="274" t="s">
        <x:v>3167</x:v>
      </x:c>
    </x:row>
    <x:row r="3864" spans="1:14">
      <x:c r="A3864" s="274" t="s">
        <x:v>7187</x:v>
      </x:c>
      <x:c r="B3864" s="274" t="n">
        <x:v>0.97</x:v>
      </x:c>
      <x:c r="C3864" s="274" t="n">
        <x:v>26</x:v>
      </x:c>
      <x:c r="D3864" s="274" t="n">
        <x:v>36</x:v>
      </x:c>
      <x:c r="E3864" s="274" t="n">
        <x:v>33</x:v>
      </x:c>
      <x:c r="F3864" s="274" t="s">
        <x:v>3412</x:v>
      </x:c>
      <x:c r="G3864" s="274" t="s">
        <x:v>6622</x:v>
      </x:c>
      <x:c r="H3864" s="274" t="s">
        <x:v>837</x:v>
      </x:c>
      <x:c r="I3864" s="274" t="n">
        <x:v>0.8</x:v>
      </x:c>
      <x:c r="J3864" s="274" t="n">
        <x:v>370</x:v>
      </x:c>
      <x:c r="K3864" s="274" t="n">
        <x:v>415</x:v>
      </x:c>
      <x:c r="M3864" s="274" t="s">
        <x:v>3921</x:v>
      </x:c>
      <x:c r="N3864" s="274" t="s">
        <x:v>831</x:v>
      </x:c>
    </x:row>
    <x:row r="3865" spans="1:14">
      <x:c r="A3865" s="274" t="s">
        <x:v>7188</x:v>
      </x:c>
      <x:c r="B3865" s="274" t="n">
        <x:v>1.31</x:v>
      </x:c>
      <x:c r="C3865" s="274" t="n">
        <x:v>0</x:v>
      </x:c>
      <x:c r="D3865" s="274" t="n">
        <x:v>22</x:v>
      </x:c>
      <x:c r="E3865" s="274" t="n">
        <x:v>20</x:v>
      </x:c>
      <x:c r="F3865" s="274" t="s">
        <x:v>184</x:v>
      </x:c>
      <x:c r="G3865" s="274" t="s">
        <x:v>4782</x:v>
      </x:c>
      <x:c r="H3865" s="274" t="s">
        <x:v>4471</x:v>
      </x:c>
      <x:c r="I3865" s="274" t="n">
        <x:v>0.7</x:v>
      </x:c>
      <x:c r="J3865" s="274" t="n">
        <x:v>242</x:v>
      </x:c>
      <x:c r="K3865" s="274" t="n">
        <x:v>968</x:v>
      </x:c>
      <x:c r="M3865" s="274" t="s">
        <x:v>5464</x:v>
      </x:c>
      <x:c r="N3865" s="274" t="s">
        <x:v>4258</x:v>
      </x:c>
    </x:row>
    <x:row r="3866" spans="1:14">
      <x:c r="A3866" s="274" t="s">
        <x:v>7189</x:v>
      </x:c>
      <x:c r="B3866" s="274" t="n">
        <x:v>1.73</x:v>
      </x:c>
      <x:c r="C3866" s="274" t="n">
        <x:v>0</x:v>
      </x:c>
      <x:c r="D3866" s="274" t="n">
        <x:v>22</x:v>
      </x:c>
      <x:c r="E3866" s="274" t="n">
        <x:v>20</x:v>
      </x:c>
      <x:c r="F3866" s="274" t="s">
        <x:v>184</x:v>
      </x:c>
      <x:c r="G3866" s="274" t="s">
        <x:v>4782</x:v>
      </x:c>
      <x:c r="H3866" s="274" t="s">
        <x:v>4471</x:v>
      </x:c>
      <x:c r="I3866" s="274" t="n">
        <x:v>0.7</x:v>
      </x:c>
      <x:c r="J3866" s="274" t="n">
        <x:v>290</x:v>
      </x:c>
      <x:c r="K3866" s="274" t="n">
        <x:v>1070</x:v>
      </x:c>
      <x:c r="M3866" s="274" t="s">
        <x:v>5700</x:v>
      </x:c>
      <x:c r="N3866" s="274" t="s">
        <x:v>4258</x:v>
      </x:c>
    </x:row>
    <x:row r="3867" spans="1:14">
      <x:c r="A3867" s="274" t="s">
        <x:v>7190</x:v>
      </x:c>
      <x:c r="B3867" s="274" t="n">
        <x:v>0.59</x:v>
      </x:c>
      <x:c r="C3867" s="274" t="n">
        <x:v>0</x:v>
      </x:c>
      <x:c r="D3867" s="274" t="n">
        <x:v>0</x:v>
      </x:c>
      <x:c r="F3867" s="274" t="s">
        <x:v>184</x:v>
      </x:c>
      <x:c r="G3867" s="274" t="s">
        <x:v>4782</x:v>
      </x:c>
      <x:c r="H3867" s="274" t="s">
        <x:v>4471</x:v>
      </x:c>
      <x:c r="I3867" s="274" t="n">
        <x:v>0.7</x:v>
      </x:c>
      <x:c r="J3867" s="274" t="n">
        <x:v>84</x:v>
      </x:c>
      <x:c r="K3867" s="274" t="n">
        <x:v>1250</x:v>
      </x:c>
      <x:c r="M3867" s="274" t="s">
        <x:v>5470</x:v>
      </x:c>
      <x:c r="N3867" s="274" t="s">
        <x:v>4258</x:v>
      </x:c>
    </x:row>
    <x:row r="3868" spans="1:14">
      <x:c r="A3868" s="274" t="s">
        <x:v>7191</x:v>
      </x:c>
      <x:c r="B3868" s="274" t="n">
        <x:v>1.87</x:v>
      </x:c>
      <x:c r="C3868" s="274" t="n">
        <x:v>0</x:v>
      </x:c>
      <x:c r="D3868" s="274" t="n">
        <x:v>0</x:v>
      </x:c>
      <x:c r="F3868" s="274" t="s">
        <x:v>4735</x:v>
      </x:c>
      <x:c r="G3868" s="274" t="s">
        <x:v>4736</x:v>
      </x:c>
      <x:c r="I3868" s="274" t="n">
        <x:v>1.2</x:v>
      </x:c>
      <x:c r="J3868" s="274" t="n">
        <x:v>162</x:v>
      </x:c>
      <x:c r="K3868" s="274" t="n">
        <x:v>1230</x:v>
      </x:c>
      <x:c r="M3868" s="274" t="s">
        <x:v>4745</x:v>
      </x:c>
      <x:c r="N3868" s="274" t="s">
        <x:v>3671</x:v>
      </x:c>
    </x:row>
    <x:row r="3869" spans="1:14">
      <x:c r="A3869" s="274" t="s">
        <x:v>7192</x:v>
      </x:c>
      <x:c r="B3869" s="274" t="n">
        <x:v>2.3</x:v>
      </x:c>
      <x:c r="C3869" s="274" t="n">
        <x:v>0</x:v>
      </x:c>
      <x:c r="D3869" s="274" t="n">
        <x:v>0</x:v>
      </x:c>
      <x:c r="F3869" s="274" t="s">
        <x:v>133</x:v>
      </x:c>
      <x:c r="G3869" s="274" t="s">
        <x:v>148</x:v>
      </x:c>
      <x:c r="I3869" s="274" t="n">
        <x:v>3.8</x:v>
      </x:c>
      <x:c r="J3869" s="274" t="n">
        <x:v>195</x:v>
      </x:c>
      <x:c r="K3869" s="274" t="n">
        <x:v>396</x:v>
      </x:c>
      <x:c r="M3869" s="274" t="s">
        <x:v>4418</x:v>
      </x:c>
      <x:c r="N3869" s="274" t="s">
        <x:v>3671</x:v>
      </x:c>
    </x:row>
    <x:row r="3870" spans="1:14">
      <x:c r="A3870" s="274" t="s">
        <x:v>7193</x:v>
      </x:c>
      <x:c r="B3870" s="274" t="n">
        <x:v>2.8</x:v>
      </x:c>
      <x:c r="C3870" s="274" t="n">
        <x:v>0</x:v>
      </x:c>
      <x:c r="D3870" s="274" t="n">
        <x:v>0</x:v>
      </x:c>
      <x:c r="F3870" s="274" t="s">
        <x:v>123</x:v>
      </x:c>
      <x:c r="G3870" s="274" t="s">
        <x:v>437</x:v>
      </x:c>
      <x:c r="I3870" s="274" t="n">
        <x:v>3.2</x:v>
      </x:c>
      <x:c r="J3870" s="274" t="n">
        <x:v>267</x:v>
      </x:c>
      <x:c r="K3870" s="274" t="n">
        <x:v>418</x:v>
      </x:c>
      <x:c r="M3870" s="274" t="s">
        <x:v>7194</x:v>
      </x:c>
      <x:c r="N3870" s="274" t="s">
        <x:v>3671</x:v>
      </x:c>
    </x:row>
    <x:row r="3871" spans="1:14">
      <x:c r="A3871" s="274" t="s">
        <x:v>7195</x:v>
      </x:c>
      <x:c r="B3871" s="274" t="n">
        <x:v>5.35</x:v>
      </x:c>
      <x:c r="C3871" s="274" t="n">
        <x:v>0</x:v>
      </x:c>
      <x:c r="D3871" s="274" t="n">
        <x:v>0</x:v>
      </x:c>
      <x:c r="F3871" s="274" t="s">
        <x:v>133</x:v>
      </x:c>
      <x:c r="G3871" s="274" t="s">
        <x:v>148</x:v>
      </x:c>
      <x:c r="I3871" s="274" t="n">
        <x:v>2.9</x:v>
      </x:c>
      <x:c r="J3871" s="274" t="n">
        <x:v>336</x:v>
      </x:c>
      <x:c r="K3871" s="274" t="n">
        <x:v>700</x:v>
      </x:c>
      <x:c r="M3871" s="274" t="s">
        <x:v>7196</x:v>
      </x:c>
      <x:c r="N3871" s="274" t="s">
        <x:v>3671</x:v>
      </x:c>
    </x:row>
    <x:row r="3872" spans="1:14">
      <x:c r="A3872" s="274" t="s">
        <x:v>7197</x:v>
      </x:c>
      <x:c r="B3872" s="274" t="n">
        <x:v>1.85</x:v>
      </x:c>
      <x:c r="C3872" s="274" t="n">
        <x:v>0</x:v>
      </x:c>
      <x:c r="D3872" s="274" t="n">
        <x:v>0</x:v>
      </x:c>
      <x:c r="F3872" s="274" t="s">
        <x:v>133</x:v>
      </x:c>
      <x:c r="G3872" s="274" t="s">
        <x:v>134</x:v>
      </x:c>
      <x:c r="I3872" s="274" t="n">
        <x:v>2.8</x:v>
      </x:c>
      <x:c r="J3872" s="274" t="n">
        <x:v>227</x:v>
      </x:c>
      <x:c r="K3872" s="274" t="n">
        <x:v>370</x:v>
      </x:c>
      <x:c r="M3872" s="274" t="s">
        <x:v>7198</x:v>
      </x:c>
      <x:c r="N3872" s="274" t="s">
        <x:v>3671</x:v>
      </x:c>
    </x:row>
    <x:row r="3873" spans="1:14">
      <x:c r="A3873" s="274" t="s">
        <x:v>7199</x:v>
      </x:c>
      <x:c r="B3873" s="274" t="n">
        <x:v>1</x:v>
      </x:c>
      <x:c r="C3873" s="274" t="n">
        <x:v>0</x:v>
      </x:c>
      <x:c r="D3873" s="274" t="n">
        <x:v>0</x:v>
      </x:c>
      <x:c r="F3873" s="274" t="s">
        <x:v>133</x:v>
      </x:c>
      <x:c r="G3873" s="274" t="s">
        <x:v>134</x:v>
      </x:c>
      <x:c r="I3873" s="274" t="n">
        <x:v>2.8</x:v>
      </x:c>
      <x:c r="J3873" s="274" t="n">
        <x:v>97</x:v>
      </x:c>
      <x:c r="K3873" s="274" t="n">
        <x:v>469</x:v>
      </x:c>
      <x:c r="M3873" s="274" t="s">
        <x:v>7200</x:v>
      </x:c>
      <x:c r="N3873" s="274" t="s">
        <x:v>3671</x:v>
      </x:c>
    </x:row>
    <x:row r="3874" spans="1:14">
      <x:c r="A3874" s="274" t="s">
        <x:v>7201</x:v>
      </x:c>
      <x:c r="B3874" s="274" t="n">
        <x:v>3</x:v>
      </x:c>
      <x:c r="C3874" s="274" t="n">
        <x:v>0</x:v>
      </x:c>
      <x:c r="D3874" s="274" t="n">
        <x:v>0</x:v>
      </x:c>
      <x:c r="F3874" s="274" t="s">
        <x:v>133</x:v>
      </x:c>
      <x:c r="G3874" s="274" t="s">
        <x:v>148</x:v>
      </x:c>
      <x:c r="I3874" s="274" t="n">
        <x:v>2.3</x:v>
      </x:c>
      <x:c r="J3874" s="274" t="n">
        <x:v>133</x:v>
      </x:c>
      <x:c r="K3874" s="274" t="n">
        <x:v>1250</x:v>
      </x:c>
      <x:c r="M3874" s="274" t="s">
        <x:v>7202</x:v>
      </x:c>
      <x:c r="N3874" s="274" t="s">
        <x:v>3671</x:v>
      </x:c>
    </x:row>
    <x:row r="3875" spans="1:14">
      <x:c r="A3875" s="274" t="s">
        <x:v>7203</x:v>
      </x:c>
      <x:c r="B3875" s="274" t="n">
        <x:v>0.49</x:v>
      </x:c>
      <x:c r="C3875" s="274" t="n">
        <x:v>0</x:v>
      </x:c>
      <x:c r="D3875" s="274" t="n">
        <x:v>0</x:v>
      </x:c>
      <x:c r="F3875" s="274" t="s">
        <x:v>184</x:v>
      </x:c>
      <x:c r="G3875" s="274" t="s">
        <x:v>144</x:v>
      </x:c>
      <x:c r="H3875" s="274" t="n">
        <x:v>45</x:v>
      </x:c>
      <x:c r="I3875" s="274" t="n">
        <x:v>2.3</x:v>
      </x:c>
      <x:c r="J3875" s="274" t="n">
        <x:v>185</x:v>
      </x:c>
      <x:c r="K3875" s="274" t="n">
        <x:v>145</x:v>
      </x:c>
      <x:c r="M3875" s="274" t="s">
        <x:v>7204</x:v>
      </x:c>
      <x:c r="N3875" s="274" t="s">
        <x:v>3671</x:v>
      </x:c>
    </x:row>
    <x:row r="3876" spans="1:14">
      <x:c r="A3876" s="274" t="s">
        <x:v>7205</x:v>
      </x:c>
      <x:c r="B3876" s="274" t="n">
        <x:v>0.51</x:v>
      </x:c>
      <x:c r="C3876" s="274" t="n">
        <x:v>0</x:v>
      </x:c>
      <x:c r="D3876" s="274" t="n">
        <x:v>0</x:v>
      </x:c>
      <x:c r="F3876" s="274" t="s">
        <x:v>333</x:v>
      </x:c>
      <x:c r="G3876" s="274" t="s">
        <x:v>153</x:v>
      </x:c>
      <x:c r="I3876" s="274" t="n">
        <x:v>1.6</x:v>
      </x:c>
      <x:c r="J3876" s="274" t="n">
        <x:v>120</x:v>
      </x:c>
      <x:c r="K3876" s="274" t="n">
        <x:v>340</x:v>
      </x:c>
      <x:c r="M3876" s="274" t="s">
        <x:v>7206</x:v>
      </x:c>
      <x:c r="N3876" s="274" t="s">
        <x:v>3671</x:v>
      </x:c>
    </x:row>
    <x:row r="3877" spans="1:14">
      <x:c r="A3877" s="274" t="s">
        <x:v>7207</x:v>
      </x:c>
      <x:c r="B3877" s="274" t="n">
        <x:v>1.09</x:v>
      </x:c>
      <x:c r="C3877" s="274" t="n">
        <x:v>0</x:v>
      </x:c>
      <x:c r="D3877" s="274" t="n">
        <x:v>0</x:v>
      </x:c>
      <x:c r="F3877" s="274" t="s">
        <x:v>333</x:v>
      </x:c>
      <x:c r="G3877" s="274" t="s">
        <x:v>153</x:v>
      </x:c>
      <x:c r="I3877" s="274" t="n">
        <x:v>1.6</x:v>
      </x:c>
      <x:c r="J3877" s="274" t="n">
        <x:v>215</x:v>
      </x:c>
      <x:c r="K3877" s="274" t="n">
        <x:v>405</x:v>
      </x:c>
      <x:c r="M3877" s="274" t="s">
        <x:v>7208</x:v>
      </x:c>
      <x:c r="N3877" s="274" t="s">
        <x:v>3671</x:v>
      </x:c>
    </x:row>
    <x:row r="3878" spans="1:14">
      <x:c r="A3878" s="274" t="s">
        <x:v>7209</x:v>
      </x:c>
      <x:c r="B3878" s="274" t="n">
        <x:v>0.89</x:v>
      </x:c>
      <x:c r="C3878" s="274" t="n">
        <x:v>0</x:v>
      </x:c>
      <x:c r="D3878" s="274" t="n">
        <x:v>0</x:v>
      </x:c>
      <x:c r="F3878" s="274" t="s">
        <x:v>333</x:v>
      </x:c>
      <x:c r="G3878" s="274" t="s">
        <x:v>153</x:v>
      </x:c>
      <x:c r="I3878" s="274" t="n">
        <x:v>1.6</x:v>
      </x:c>
      <x:c r="J3878" s="274" t="n">
        <x:v>185</x:v>
      </x:c>
      <x:c r="K3878" s="274" t="n">
        <x:v>385</x:v>
      </x:c>
      <x:c r="M3878" s="274" t="s">
        <x:v>7210</x:v>
      </x:c>
      <x:c r="N3878" s="274" t="s">
        <x:v>3671</x:v>
      </x:c>
    </x:row>
    <x:row r="3879" spans="1:14">
      <x:c r="A3879" s="274" t="s">
        <x:v>7211</x:v>
      </x:c>
      <x:c r="B3879" s="274" t="n">
        <x:v>0.51</x:v>
      </x:c>
      <x:c r="C3879" s="274" t="n">
        <x:v>0</x:v>
      </x:c>
      <x:c r="D3879" s="274" t="n">
        <x:v>0</x:v>
      </x:c>
      <x:c r="F3879" s="274" t="s">
        <x:v>333</x:v>
      </x:c>
      <x:c r="G3879" s="274" t="s">
        <x:v>153</x:v>
      </x:c>
      <x:c r="I3879" s="274" t="n">
        <x:v>1.6</x:v>
      </x:c>
      <x:c r="J3879" s="274" t="n">
        <x:v>101</x:v>
      </x:c>
      <x:c r="K3879" s="274" t="n">
        <x:v>404</x:v>
      </x:c>
      <x:c r="M3879" s="274" t="s">
        <x:v>7210</x:v>
      </x:c>
      <x:c r="N3879" s="274" t="s">
        <x:v>3671</x:v>
      </x:c>
    </x:row>
    <x:row r="3880" spans="1:14">
      <x:c r="A3880" s="274" t="s">
        <x:v>7212</x:v>
      </x:c>
      <x:c r="B3880" s="274" t="n">
        <x:v>0.2</x:v>
      </x:c>
      <x:c r="C3880" s="274" t="n">
        <x:v>0</x:v>
      </x:c>
      <x:c r="D3880" s="274" t="n">
        <x:v>0</x:v>
      </x:c>
      <x:c r="F3880" s="274" t="s">
        <x:v>133</x:v>
      </x:c>
      <x:c r="G3880" s="274" t="s">
        <x:v>136</x:v>
      </x:c>
      <x:c r="H3880" s="274" t="n">
        <x:v>45</x:v>
      </x:c>
      <x:c r="I3880" s="274" t="n">
        <x:v>1.6</x:v>
      </x:c>
      <x:c r="J3880" s="274" t="n">
        <x:v>90</x:v>
      </x:c>
      <x:c r="K3880" s="274" t="n">
        <x:v>176</x:v>
      </x:c>
      <x:c r="M3880" s="274" t="s">
        <x:v>7213</x:v>
      </x:c>
      <x:c r="N3880" s="274" t="s">
        <x:v>3671</x:v>
      </x:c>
    </x:row>
    <x:row r="3881" spans="1:14">
      <x:c r="A3881" s="274" t="s">
        <x:v>7214</x:v>
      </x:c>
      <x:c r="B3881" s="274" t="n">
        <x:v>1.07</x:v>
      </x:c>
      <x:c r="C3881" s="274" t="n">
        <x:v>0</x:v>
      </x:c>
      <x:c r="D3881" s="274" t="n">
        <x:v>0</x:v>
      </x:c>
      <x:c r="F3881" s="274" t="s">
        <x:v>333</x:v>
      </x:c>
      <x:c r="G3881" s="274" t="s">
        <x:v>4286</x:v>
      </x:c>
      <x:c r="I3881" s="274" t="n">
        <x:v>1.4</x:v>
      </x:c>
      <x:c r="J3881" s="274" t="n">
        <x:v>78</x:v>
      </x:c>
      <x:c r="K3881" s="274" t="n">
        <x:v>1250</x:v>
      </x:c>
      <x:c r="M3881" s="274" t="s">
        <x:v>7215</x:v>
      </x:c>
      <x:c r="N3881" s="274" t="s">
        <x:v>4258</x:v>
      </x:c>
    </x:row>
    <x:row r="3882" spans="1:14">
      <x:c r="A3882" s="274" t="s">
        <x:v>7216</x:v>
      </x:c>
      <x:c r="B3882" s="274" t="n">
        <x:v>3.18</x:v>
      </x:c>
      <x:c r="C3882" s="274" t="n">
        <x:v>0</x:v>
      </x:c>
      <x:c r="D3882" s="274" t="n">
        <x:v>0</x:v>
      </x:c>
      <x:c r="F3882" s="274" t="s">
        <x:v>4735</x:v>
      </x:c>
      <x:c r="G3882" s="274" t="s">
        <x:v>4749</x:v>
      </x:c>
      <x:c r="I3882" s="274" t="n">
        <x:v>1.2</x:v>
      </x:c>
      <x:c r="J3882" s="274" t="n">
        <x:v>274</x:v>
      </x:c>
      <x:c r="K3882" s="274" t="n">
        <x:v>1240</x:v>
      </x:c>
      <x:c r="M3882" s="274" t="s">
        <x:v>7217</x:v>
      </x:c>
      <x:c r="N3882" s="274" t="s">
        <x:v>3671</x:v>
      </x:c>
    </x:row>
    <x:row r="3883" spans="1:14">
      <x:c r="A3883" s="274" t="s">
        <x:v>7218</x:v>
      </x:c>
      <x:c r="B3883" s="274" t="n">
        <x:v>1.34</x:v>
      </x:c>
      <x:c r="C3883" s="274" t="n">
        <x:v>0</x:v>
      </x:c>
      <x:c r="D3883" s="274" t="n">
        <x:v>0</x:v>
      </x:c>
      <x:c r="F3883" s="274" t="s">
        <x:v>333</x:v>
      </x:c>
      <x:c r="G3883" s="274" t="s">
        <x:v>209</x:v>
      </x:c>
      <x:c r="I3883" s="274" t="n">
        <x:v>1.2</x:v>
      </x:c>
      <x:c r="J3883" s="274" t="n">
        <x:v>206</x:v>
      </x:c>
      <x:c r="K3883" s="274" t="n">
        <x:v>689</x:v>
      </x:c>
      <x:c r="M3883" s="274" t="s">
        <x:v>4655</x:v>
      </x:c>
      <x:c r="N3883" s="274" t="s">
        <x:v>3671</x:v>
      </x:c>
    </x:row>
    <x:row r="3884" spans="1:14">
      <x:c r="A3884" s="274" t="s">
        <x:v>7219</x:v>
      </x:c>
      <x:c r="B3884" s="274" t="n">
        <x:v>0.47</x:v>
      </x:c>
      <x:c r="C3884" s="274" t="n">
        <x:v>0</x:v>
      </x:c>
      <x:c r="D3884" s="274" t="n">
        <x:v>0</x:v>
      </x:c>
      <x:c r="F3884" s="274" t="s">
        <x:v>333</x:v>
      </x:c>
      <x:c r="G3884" s="274" t="s">
        <x:v>209</x:v>
      </x:c>
      <x:c r="I3884" s="274" t="n">
        <x:v>1.2</x:v>
      </x:c>
      <x:c r="J3884" s="274" t="n">
        <x:v>148</x:v>
      </x:c>
      <x:c r="K3884" s="274" t="n">
        <x:v>334</x:v>
      </x:c>
      <x:c r="M3884" s="274" t="s">
        <x:v>4651</x:v>
      </x:c>
      <x:c r="N3884" s="274" t="s">
        <x:v>3671</x:v>
      </x:c>
    </x:row>
    <x:row r="3885" spans="1:14">
      <x:c r="A3885" s="274" t="s">
        <x:v>7220</x:v>
      </x:c>
      <x:c r="B3885" s="274" t="n">
        <x:v>7.03</x:v>
      </x:c>
      <x:c r="C3885" s="274" t="n">
        <x:v>0</x:v>
      </x:c>
      <x:c r="D3885" s="274" t="n">
        <x:v>0</x:v>
      </x:c>
      <x:c r="F3885" s="274" t="s">
        <x:v>133</x:v>
      </x:c>
      <x:c r="G3885" s="274" t="s">
        <x:v>148</x:v>
      </x:c>
      <x:c r="I3885" s="274" t="n">
        <x:v>2.6</x:v>
      </x:c>
      <x:c r="J3885" s="274" t="n">
        <x:v>287</x:v>
      </x:c>
      <x:c r="K3885" s="274" t="n">
        <x:v>1200</x:v>
      </x:c>
      <x:c r="M3885" s="274" t="s">
        <x:v>7221</x:v>
      </x:c>
      <x:c r="N3885" s="274" t="s">
        <x:v>3671</x:v>
      </x:c>
    </x:row>
    <x:row r="3886" spans="1:14">
      <x:c r="A3886" s="274" t="s">
        <x:v>7222</x:v>
      </x:c>
      <x:c r="B3886" s="274" t="n">
        <x:v>6.12</x:v>
      </x:c>
      <x:c r="C3886" s="274" t="n">
        <x:v>0</x:v>
      </x:c>
      <x:c r="D3886" s="274" t="n">
        <x:v>0</x:v>
      </x:c>
      <x:c r="F3886" s="274" t="s">
        <x:v>133</x:v>
      </x:c>
      <x:c r="G3886" s="274" t="s">
        <x:v>134</x:v>
      </x:c>
      <x:c r="I3886" s="274" t="n">
        <x:v>2.6</x:v>
      </x:c>
      <x:c r="J3886" s="274" t="n">
        <x:v>250</x:v>
      </x:c>
      <x:c r="K3886" s="274" t="n">
        <x:v>1200</x:v>
      </x:c>
      <x:c r="M3886" s="274" t="s">
        <x:v>7223</x:v>
      </x:c>
      <x:c r="N3886" s="274" t="s">
        <x:v>3671</x:v>
      </x:c>
    </x:row>
    <x:row r="3887" spans="1:14">
      <x:c r="A3887" s="274" t="s">
        <x:v>7224</x:v>
      </x:c>
      <x:c r="B3887" s="274" t="n">
        <x:v>0.75</x:v>
      </x:c>
      <x:c r="C3887" s="274" t="n">
        <x:v>0</x:v>
      </x:c>
      <x:c r="D3887" s="274" t="n">
        <x:v>0</x:v>
      </x:c>
      <x:c r="F3887" s="274" t="s">
        <x:v>128</x:v>
      </x:c>
      <x:c r="G3887" s="274" t="s">
        <x:v>136</x:v>
      </x:c>
      <x:c r="H3887" s="274" t="n">
        <x:v>45</x:v>
      </x:c>
      <x:c r="I3887" s="274" t="n">
        <x:v>2.6</x:v>
      </x:c>
      <x:c r="J3887" s="274" t="n">
        <x:v>40</x:v>
      </x:c>
      <x:c r="K3887" s="274" t="n">
        <x:v>918</x:v>
      </x:c>
      <x:c r="M3887" s="274" t="s">
        <x:v>7225</x:v>
      </x:c>
      <x:c r="N3887" s="274" t="s">
        <x:v>3671</x:v>
      </x:c>
    </x:row>
    <x:row r="3888" spans="1:14">
      <x:c r="A3888" s="274" t="s">
        <x:v>7226</x:v>
      </x:c>
      <x:c r="B3888" s="274" t="n">
        <x:v>0.7</x:v>
      </x:c>
      <x:c r="C3888" s="274" t="n">
        <x:v>0</x:v>
      </x:c>
      <x:c r="D3888" s="274" t="n">
        <x:v>0</x:v>
      </x:c>
      <x:c r="F3888" s="274" t="s">
        <x:v>128</x:v>
      </x:c>
      <x:c r="G3888" s="274" t="s">
        <x:v>136</x:v>
      </x:c>
      <x:c r="H3888" s="274" t="n">
        <x:v>45</x:v>
      </x:c>
      <x:c r="I3888" s="274" t="n">
        <x:v>2.6</x:v>
      </x:c>
      <x:c r="J3888" s="274" t="n">
        <x:v>40</x:v>
      </x:c>
      <x:c r="K3888" s="274" t="n">
        <x:v>850</x:v>
      </x:c>
      <x:c r="M3888" s="274" t="s">
        <x:v>7227</x:v>
      </x:c>
      <x:c r="N3888" s="274" t="s">
        <x:v>3671</x:v>
      </x:c>
    </x:row>
    <x:row r="3889" spans="1:14">
      <x:c r="A3889" s="274" t="s">
        <x:v>7228</x:v>
      </x:c>
      <x:c r="B3889" s="274" t="n">
        <x:v>2.45</x:v>
      </x:c>
      <x:c r="C3889" s="274" t="n">
        <x:v>0</x:v>
      </x:c>
      <x:c r="D3889" s="274" t="n">
        <x:v>0</x:v>
      </x:c>
      <x:c r="F3889" s="274" t="s">
        <x:v>128</x:v>
      </x:c>
      <x:c r="G3889" s="274" t="s">
        <x:v>177</x:v>
      </x:c>
      <x:c r="H3889" s="274" t="n">
        <x:v>45</x:v>
      </x:c>
      <x:c r="I3889" s="274" t="n">
        <x:v>2.6</x:v>
      </x:c>
      <x:c r="J3889" s="274" t="n">
        <x:v>148</x:v>
      </x:c>
      <x:c r="K3889" s="274" t="n">
        <x:v>809</x:v>
      </x:c>
      <x:c r="M3889" s="274" t="s">
        <x:v>6067</x:v>
      </x:c>
      <x:c r="N3889" s="274" t="s">
        <x:v>3671</x:v>
      </x:c>
    </x:row>
    <x:row r="3890" spans="1:14">
      <x:c r="A3890" s="274" t="s">
        <x:v>7229</x:v>
      </x:c>
      <x:c r="B3890" s="274" t="n">
        <x:v>3.42</x:v>
      </x:c>
      <x:c r="C3890" s="274" t="n">
        <x:v>0</x:v>
      </x:c>
      <x:c r="D3890" s="274" t="n">
        <x:v>0</x:v>
      </x:c>
      <x:c r="F3890" s="274" t="s">
        <x:v>128</x:v>
      </x:c>
      <x:c r="G3890" s="274" t="s">
        <x:v>177</x:v>
      </x:c>
      <x:c r="H3890" s="274" t="n">
        <x:v>45</x:v>
      </x:c>
      <x:c r="I3890" s="274" t="n">
        <x:v>2.6</x:v>
      </x:c>
      <x:c r="J3890" s="274" t="n">
        <x:v>198</x:v>
      </x:c>
      <x:c r="K3890" s="274" t="n">
        <x:v>843</x:v>
      </x:c>
      <x:c r="M3890" s="274" t="s">
        <x:v>6069</x:v>
      </x:c>
      <x:c r="N3890" s="274" t="s">
        <x:v>3671</x:v>
      </x:c>
    </x:row>
    <x:row r="3891" spans="1:14">
      <x:c r="A3891" s="274" t="s">
        <x:v>7230</x:v>
      </x:c>
      <x:c r="B3891" s="274" t="n">
        <x:v>2.06</x:v>
      </x:c>
      <x:c r="C3891" s="274" t="n">
        <x:v>0</x:v>
      </x:c>
      <x:c r="D3891" s="274" t="n">
        <x:v>0</x:v>
      </x:c>
      <x:c r="F3891" s="274" t="s">
        <x:v>4735</x:v>
      </x:c>
      <x:c r="G3891" s="274" t="s">
        <x:v>4736</x:v>
      </x:c>
      <x:c r="I3891" s="274" t="n">
        <x:v>2</x:v>
      </x:c>
      <x:c r="J3891" s="274" t="n">
        <x:v>110</x:v>
      </x:c>
      <x:c r="K3891" s="274" t="n">
        <x:v>1200</x:v>
      </x:c>
      <x:c r="M3891" s="274" t="s">
        <x:v>4747</x:v>
      </x:c>
      <x:c r="N3891" s="274" t="s">
        <x:v>3671</x:v>
      </x:c>
    </x:row>
    <x:row r="3892" spans="1:14">
      <x:c r="A3892" s="274" t="s">
        <x:v>7231</x:v>
      </x:c>
      <x:c r="B3892" s="274" t="n">
        <x:v>1.36</x:v>
      </x:c>
      <x:c r="C3892" s="274" t="n">
        <x:v>0</x:v>
      </x:c>
      <x:c r="D3892" s="274" t="n">
        <x:v>0</x:v>
      </x:c>
      <x:c r="F3892" s="274" t="s">
        <x:v>128</x:v>
      </x:c>
      <x:c r="G3892" s="274" t="s">
        <x:v>177</x:v>
      </x:c>
      <x:c r="H3892" s="274" t="n">
        <x:v>45</x:v>
      </x:c>
      <x:c r="I3892" s="274" t="n">
        <x:v>2</x:v>
      </x:c>
      <x:c r="J3892" s="274" t="n">
        <x:v>223</x:v>
      </x:c>
      <x:c r="K3892" s="274" t="n">
        <x:v>385</x:v>
      </x:c>
      <x:c r="M3892" s="274" t="s">
        <x:v>4395</x:v>
      </x:c>
      <x:c r="N3892" s="274" t="s">
        <x:v>3671</x:v>
      </x:c>
    </x:row>
    <x:row r="3893" spans="1:14">
      <x:c r="A3893" s="274" t="s">
        <x:v>7232</x:v>
      </x:c>
      <x:c r="B3893" s="274" t="n">
        <x:v>1.17</x:v>
      </x:c>
      <x:c r="C3893" s="274" t="n">
        <x:v>0</x:v>
      </x:c>
      <x:c r="D3893" s="274" t="n">
        <x:v>0</x:v>
      </x:c>
      <x:c r="F3893" s="274" t="s">
        <x:v>128</x:v>
      </x:c>
      <x:c r="G3893" s="274" t="s">
        <x:v>177</x:v>
      </x:c>
      <x:c r="H3893" s="274" t="n">
        <x:v>45</x:v>
      </x:c>
      <x:c r="I3893" s="274" t="n">
        <x:v>2</x:v>
      </x:c>
      <x:c r="J3893" s="274" t="n">
        <x:v>216</x:v>
      </x:c>
      <x:c r="K3893" s="274" t="n">
        <x:v>344</x:v>
      </x:c>
      <x:c r="M3893" s="274" t="s">
        <x:v>4397</x:v>
      </x:c>
      <x:c r="N3893" s="274" t="s">
        <x:v>3671</x:v>
      </x:c>
    </x:row>
    <x:row r="3894" spans="1:14">
      <x:c r="A3894" s="274" t="s">
        <x:v>7233</x:v>
      </x:c>
      <x:c r="B3894" s="274" t="n">
        <x:v>2.6</x:v>
      </x:c>
      <x:c r="C3894" s="274" t="n">
        <x:v>0</x:v>
      </x:c>
      <x:c r="D3894" s="274" t="n">
        <x:v>0</x:v>
      </x:c>
      <x:c r="F3894" s="274" t="s">
        <x:v>128</x:v>
      </x:c>
      <x:c r="G3894" s="274" t="s">
        <x:v>177</x:v>
      </x:c>
      <x:c r="H3894" s="274" t="n">
        <x:v>45</x:v>
      </x:c>
      <x:c r="I3894" s="274" t="n">
        <x:v>2</x:v>
      </x:c>
      <x:c r="J3894" s="274" t="n">
        <x:v>425</x:v>
      </x:c>
      <x:c r="K3894" s="274" t="n">
        <x:v>388</x:v>
      </x:c>
      <x:c r="M3894" s="274" t="s">
        <x:v>4395</x:v>
      </x:c>
      <x:c r="N3894" s="274" t="s">
        <x:v>3671</x:v>
      </x:c>
    </x:row>
    <x:row r="3895" spans="1:14">
      <x:c r="A3895" s="274" t="s">
        <x:v>7234</x:v>
      </x:c>
      <x:c r="B3895" s="274" t="n">
        <x:v>0.95</x:v>
      </x:c>
      <x:c r="C3895" s="274" t="n">
        <x:v>0</x:v>
      </x:c>
      <x:c r="D3895" s="274" t="n">
        <x:v>0</x:v>
      </x:c>
      <x:c r="F3895" s="274" t="s">
        <x:v>333</x:v>
      </x:c>
      <x:c r="G3895" s="274" t="s">
        <x:v>153</x:v>
      </x:c>
      <x:c r="I3895" s="274" t="n">
        <x:v>1.4</x:v>
      </x:c>
      <x:c r="J3895" s="274" t="n">
        <x:v>254</x:v>
      </x:c>
      <x:c r="K3895" s="274" t="n">
        <x:v>339</x:v>
      </x:c>
      <x:c r="M3895" s="274" t="s">
        <x:v>5330</x:v>
      </x:c>
      <x:c r="N3895" s="274" t="s">
        <x:v>3671</x:v>
      </x:c>
    </x:row>
    <x:row r="3896" spans="1:14">
      <x:c r="A3896" s="274" t="s">
        <x:v>7235</x:v>
      </x:c>
      <x:c r="B3896" s="274" t="n">
        <x:v>0.68</x:v>
      </x:c>
      <x:c r="C3896" s="274" t="n">
        <x:v>0</x:v>
      </x:c>
      <x:c r="D3896" s="274" t="n">
        <x:v>0</x:v>
      </x:c>
      <x:c r="F3896" s="274" t="s">
        <x:v>333</x:v>
      </x:c>
      <x:c r="G3896" s="274" t="s">
        <x:v>153</x:v>
      </x:c>
      <x:c r="I3896" s="274" t="n">
        <x:v>1.4</x:v>
      </x:c>
      <x:c r="J3896" s="274" t="n">
        <x:v>156</x:v>
      </x:c>
      <x:c r="K3896" s="274" t="n">
        <x:v>398</x:v>
      </x:c>
      <x:c r="M3896" s="274" t="s">
        <x:v>5328</x:v>
      </x:c>
      <x:c r="N3896" s="274" t="s">
        <x:v>3671</x:v>
      </x:c>
    </x:row>
    <x:row r="3897" spans="1:14">
      <x:c r="A3897" s="274" t="s">
        <x:v>7236</x:v>
      </x:c>
      <x:c r="B3897" s="274" t="n">
        <x:v>0.35</x:v>
      </x:c>
      <x:c r="C3897" s="274" t="n">
        <x:v>0</x:v>
      </x:c>
      <x:c r="D3897" s="274" t="n">
        <x:v>0</x:v>
      </x:c>
      <x:c r="F3897" s="274" t="s">
        <x:v>133</x:v>
      </x:c>
      <x:c r="G3897" s="274" t="s">
        <x:v>144</x:v>
      </x:c>
      <x:c r="H3897" s="274" t="n">
        <x:v>45</x:v>
      </x:c>
      <x:c r="I3897" s="274" t="n">
        <x:v>1.4</x:v>
      </x:c>
      <x:c r="J3897" s="274" t="n">
        <x:v>171</x:v>
      </x:c>
      <x:c r="K3897" s="274" t="n">
        <x:v>183</x:v>
      </x:c>
      <x:c r="M3897" s="274" t="s">
        <x:v>7237</x:v>
      </x:c>
      <x:c r="N3897" s="274" t="s">
        <x:v>3671</x:v>
      </x:c>
    </x:row>
    <x:row r="3898" spans="1:14">
      <x:c r="A3898" s="274" t="s">
        <x:v>7238</x:v>
      </x:c>
      <x:c r="B3898" s="274" t="n">
        <x:v>0.52</x:v>
      </x:c>
      <x:c r="C3898" s="274" t="n">
        <x:v>0</x:v>
      </x:c>
      <x:c r="D3898" s="274" t="n">
        <x:v>0</x:v>
      </x:c>
      <x:c r="F3898" s="274" t="s">
        <x:v>333</x:v>
      </x:c>
      <x:c r="G3898" s="274" t="s">
        <x:v>124</x:v>
      </x:c>
      <x:c r="I3898" s="274" t="n">
        <x:v>1.4</x:v>
      </x:c>
      <x:c r="J3898" s="274" t="n">
        <x:v>119</x:v>
      </x:c>
      <x:c r="K3898" s="274" t="n">
        <x:v>400</x:v>
      </x:c>
      <x:c r="M3898" s="274" t="s">
        <x:v>7239</x:v>
      </x:c>
      <x:c r="N3898" s="274" t="s">
        <x:v>3671</x:v>
      </x:c>
    </x:row>
    <x:row r="3899" spans="1:14">
      <x:c r="A3899" s="274" t="s">
        <x:v>7240</x:v>
      </x:c>
      <x:c r="B3899" s="274" t="n">
        <x:v>0.75</x:v>
      </x:c>
      <x:c r="C3899" s="274" t="n">
        <x:v>0</x:v>
      </x:c>
      <x:c r="D3899" s="274" t="n">
        <x:v>0</x:v>
      </x:c>
      <x:c r="F3899" s="274" t="s">
        <x:v>123</x:v>
      </x:c>
      <x:c r="G3899" s="274" t="s">
        <x:v>129</x:v>
      </x:c>
      <x:c r="H3899" s="274" t="n">
        <x:v>45</x:v>
      </x:c>
      <x:c r="I3899" s="274" t="n">
        <x:v>1.4</x:v>
      </x:c>
      <x:c r="J3899" s="274" t="n">
        <x:v>172</x:v>
      </x:c>
      <x:c r="K3899" s="274" t="n">
        <x:v>392</x:v>
      </x:c>
      <x:c r="M3899" s="274" t="s">
        <x:v>7241</x:v>
      </x:c>
      <x:c r="N3899" s="274" t="s">
        <x:v>3671</x:v>
      </x:c>
    </x:row>
    <x:row r="3900" spans="1:14">
      <x:c r="A3900" s="274" t="s">
        <x:v>7242</x:v>
      </x:c>
      <x:c r="B3900" s="274" t="n">
        <x:v>0.84</x:v>
      </x:c>
      <x:c r="C3900" s="274" t="n">
        <x:v>0</x:v>
      </x:c>
      <x:c r="D3900" s="274" t="n">
        <x:v>0</x:v>
      </x:c>
      <x:c r="F3900" s="274" t="s">
        <x:v>333</x:v>
      </x:c>
      <x:c r="G3900" s="274" t="s">
        <x:v>209</x:v>
      </x:c>
      <x:c r="I3900" s="274" t="n">
        <x:v>1.4</x:v>
      </x:c>
      <x:c r="J3900" s="274" t="n">
        <x:v>210</x:v>
      </x:c>
      <x:c r="K3900" s="274" t="n">
        <x:v>365</x:v>
      </x:c>
      <x:c r="M3900" s="274" t="s">
        <x:v>7243</x:v>
      </x:c>
      <x:c r="N3900" s="274" t="s">
        <x:v>3671</x:v>
      </x:c>
    </x:row>
    <x:row r="3901" spans="1:14">
      <x:c r="A3901" s="274" t="s">
        <x:v>7244</x:v>
      </x:c>
      <x:c r="B3901" s="274" t="n">
        <x:v>1.9</x:v>
      </x:c>
      <x:c r="C3901" s="274" t="n">
        <x:v>0</x:v>
      </x:c>
      <x:c r="D3901" s="274" t="n">
        <x:v>60</x:v>
      </x:c>
      <x:c r="E3901" s="274" t="n">
        <x:v>0</x:v>
      </x:c>
      <x:c r="F3901" s="274" t="s">
        <x:v>133</x:v>
      </x:c>
      <x:c r="G3901" s="274" t="s">
        <x:v>4487</x:v>
      </x:c>
      <x:c r="I3901" s="274" t="n">
        <x:v>0.7</x:v>
      </x:c>
      <x:c r="J3901" s="274" t="n">
        <x:v>775</x:v>
      </x:c>
      <x:c r="K3901" s="274" t="n">
        <x:v>570</x:v>
      </x:c>
      <x:c r="L3901" s="274" t="n">
        <x:v>320</x:v>
      </x:c>
      <x:c r="M3901" s="274" t="s">
        <x:v>7245</x:v>
      </x:c>
      <x:c r="N3901" s="274" t="s">
        <x:v>3302</x:v>
      </x:c>
    </x:row>
    <x:row r="3902" spans="1:14">
      <x:c r="A3902" s="274" t="s">
        <x:v>7246</x:v>
      </x:c>
      <x:c r="B3902" s="274" t="n">
        <x:v>0.63</x:v>
      </x:c>
      <x:c r="C3902" s="274" t="n">
        <x:v>0</x:v>
      </x:c>
      <x:c r="D3902" s="274" t="n">
        <x:v>0</x:v>
      </x:c>
      <x:c r="F3902" s="274" t="s">
        <x:v>333</x:v>
      </x:c>
      <x:c r="G3902" s="274" t="s">
        <x:v>4663</x:v>
      </x:c>
      <x:c r="I3902" s="274" t="n">
        <x:v>1</x:v>
      </x:c>
      <x:c r="J3902" s="274" t="n">
        <x:v>310</x:v>
      </x:c>
      <x:c r="K3902" s="274" t="n">
        <x:v>260</x:v>
      </x:c>
      <x:c r="M3902" s="274" t="s">
        <x:v>4922</x:v>
      </x:c>
      <x:c r="N3902" s="274" t="s">
        <x:v>4258</x:v>
      </x:c>
    </x:row>
    <x:row r="3903" spans="1:14">
      <x:c r="A3903" s="274" t="s">
        <x:v>7247</x:v>
      </x:c>
      <x:c r="B3903" s="274" t="n">
        <x:v>2.98</x:v>
      </x:c>
      <x:c r="C3903" s="274" t="n">
        <x:v>0</x:v>
      </x:c>
      <x:c r="D3903" s="274" t="n">
        <x:v>0</x:v>
      </x:c>
      <x:c r="F3903" s="274" t="s">
        <x:v>333</x:v>
      </x:c>
      <x:c r="G3903" s="274" t="s">
        <x:v>4663</x:v>
      </x:c>
      <x:c r="I3903" s="274" t="n">
        <x:v>1</x:v>
      </x:c>
      <x:c r="J3903" s="274" t="n">
        <x:v>304</x:v>
      </x:c>
      <x:c r="K3903" s="274" t="n">
        <x:v>1250</x:v>
      </x:c>
      <x:c r="M3903" s="274" t="s">
        <x:v>4792</x:v>
      </x:c>
      <x:c r="N3903" s="274" t="s">
        <x:v>4258</x:v>
      </x:c>
    </x:row>
    <x:row r="3904" spans="1:14">
      <x:c r="A3904" s="274" t="s">
        <x:v>7248</x:v>
      </x:c>
      <x:c r="B3904" s="274" t="n">
        <x:v>0.96</x:v>
      </x:c>
      <x:c r="C3904" s="274" t="n">
        <x:v>0</x:v>
      </x:c>
      <x:c r="D3904" s="274" t="n">
        <x:v>0</x:v>
      </x:c>
      <x:c r="F3904" s="274" t="s">
        <x:v>333</x:v>
      </x:c>
      <x:c r="G3904" s="274" t="s">
        <x:v>4796</x:v>
      </x:c>
      <x:c r="I3904" s="274" t="n">
        <x:v>1.2</x:v>
      </x:c>
      <x:c r="J3904" s="274" t="n">
        <x:v>525</x:v>
      </x:c>
      <x:c r="K3904" s="274" t="n">
        <x:v>195</x:v>
      </x:c>
      <x:c r="M3904" s="274" t="s">
        <x:v>5669</x:v>
      </x:c>
      <x:c r="N3904" s="274" t="s">
        <x:v>4258</x:v>
      </x:c>
    </x:row>
    <x:row r="3905" spans="1:14">
      <x:c r="A3905" s="274" t="s">
        <x:v>7249</x:v>
      </x:c>
      <x:c r="B3905" s="274" t="n">
        <x:v>1.92</x:v>
      </x:c>
      <x:c r="C3905" s="274" t="n">
        <x:v>0</x:v>
      </x:c>
      <x:c r="D3905" s="274" t="n">
        <x:v>0</x:v>
      </x:c>
      <x:c r="F3905" s="274" t="s">
        <x:v>333</x:v>
      </x:c>
      <x:c r="G3905" s="274" t="s">
        <x:v>4796</x:v>
      </x:c>
      <x:c r="I3905" s="274" t="n">
        <x:v>1.2</x:v>
      </x:c>
      <x:c r="J3905" s="274" t="n">
        <x:v>1020</x:v>
      </x:c>
      <x:c r="K3905" s="274" t="n">
        <x:v>200</x:v>
      </x:c>
      <x:c r="M3905" s="274" t="s">
        <x:v>5567</x:v>
      </x:c>
      <x:c r="N3905" s="274" t="s">
        <x:v>4258</x:v>
      </x:c>
    </x:row>
    <x:row r="3906" spans="1:14">
      <x:c r="A3906" s="274" t="s">
        <x:v>7250</x:v>
      </x:c>
      <x:c r="B3906" s="274" t="n">
        <x:v>0.89</x:v>
      </x:c>
      <x:c r="C3906" s="274" t="n">
        <x:v>0</x:v>
      </x:c>
      <x:c r="D3906" s="274" t="n">
        <x:v>0</x:v>
      </x:c>
      <x:c r="F3906" s="274" t="s">
        <x:v>333</x:v>
      </x:c>
      <x:c r="G3906" s="274" t="s">
        <x:v>4796</x:v>
      </x:c>
      <x:c r="I3906" s="274" t="n">
        <x:v>1</x:v>
      </x:c>
      <x:c r="J3906" s="274" t="n">
        <x:v>211</x:v>
      </x:c>
      <x:c r="K3906" s="274" t="n">
        <x:v>535</x:v>
      </x:c>
      <x:c r="M3906" s="274" t="s">
        <x:v>7251</x:v>
      </x:c>
      <x:c r="N3906" s="274" t="s">
        <x:v>4258</x:v>
      </x:c>
    </x:row>
    <x:row r="3907" spans="1:14">
      <x:c r="A3907" s="274" t="s">
        <x:v>7252</x:v>
      </x:c>
      <x:c r="B3907" s="274" t="n">
        <x:v>0.97</x:v>
      </x:c>
      <x:c r="C3907" s="274" t="n">
        <x:v>0</x:v>
      </x:c>
      <x:c r="D3907" s="274" t="n">
        <x:v>0</x:v>
      </x:c>
      <x:c r="F3907" s="274" t="s">
        <x:v>3412</x:v>
      </x:c>
      <x:c r="G3907" s="274" t="s">
        <x:v>5367</x:v>
      </x:c>
      <x:c r="H3907" s="274" t="s">
        <x:v>4471</x:v>
      </x:c>
      <x:c r="I3907" s="274" t="n">
        <x:v>1.6</x:v>
      </x:c>
      <x:c r="J3907" s="274" t="n">
        <x:v>315</x:v>
      </x:c>
      <x:c r="K3907" s="274" t="n">
        <x:v>244</x:v>
      </x:c>
      <x:c r="M3907" s="274" t="s">
        <x:v>7253</x:v>
      </x:c>
      <x:c r="N3907" s="274" t="s">
        <x:v>4258</x:v>
      </x:c>
    </x:row>
    <x:row r="3908" spans="1:14">
      <x:c r="A3908" s="274" t="s">
        <x:v>7254</x:v>
      </x:c>
      <x:c r="B3908" s="274" t="n">
        <x:v>2.07</x:v>
      </x:c>
      <x:c r="C3908" s="274" t="n">
        <x:v>0</x:v>
      </x:c>
      <x:c r="D3908" s="274" t="n">
        <x:v>0</x:v>
      </x:c>
      <x:c r="F3908" s="274" t="s">
        <x:v>3412</x:v>
      </x:c>
      <x:c r="G3908" s="274" t="s">
        <x:v>5378</x:v>
      </x:c>
      <x:c r="H3908" s="274" t="s">
        <x:v>4471</x:v>
      </x:c>
      <x:c r="I3908" s="274" t="n">
        <x:v>2.6</x:v>
      </x:c>
      <x:c r="J3908" s="274" t="n">
        <x:v>284</x:v>
      </x:c>
      <x:c r="K3908" s="274" t="n">
        <x:v>355</x:v>
      </x:c>
      <x:c r="M3908" s="274" t="s">
        <x:v>7255</x:v>
      </x:c>
      <x:c r="N3908" s="274" t="s">
        <x:v>4258</x:v>
      </x:c>
    </x:row>
    <x:row r="3909" spans="1:14">
      <x:c r="A3909" s="274" t="s">
        <x:v>7256</x:v>
      </x:c>
      <x:c r="B3909" s="274" t="n">
        <x:v>0.65</x:v>
      </x:c>
      <x:c r="C3909" s="274" t="n">
        <x:v>0</x:v>
      </x:c>
      <x:c r="D3909" s="274" t="n">
        <x:v>0</x:v>
      </x:c>
      <x:c r="F3909" s="274" t="s">
        <x:v>123</x:v>
      </x:c>
      <x:c r="G3909" s="274" t="s">
        <x:v>4256</x:v>
      </x:c>
      <x:c r="I3909" s="274" t="n">
        <x:v>2.3</x:v>
      </x:c>
      <x:c r="J3909" s="274" t="n">
        <x:v>81</x:v>
      </x:c>
      <x:c r="K3909" s="274" t="n">
        <x:v>446</x:v>
      </x:c>
      <x:c r="M3909" s="274" t="s">
        <x:v>4920</x:v>
      </x:c>
      <x:c r="N3909" s="274" t="s">
        <x:v>4258</x:v>
      </x:c>
    </x:row>
    <x:row r="3910" spans="1:14">
      <x:c r="A3910" s="274" t="s">
        <x:v>7257</x:v>
      </x:c>
      <x:c r="B3910" s="274" t="n">
        <x:v>3.65</x:v>
      </x:c>
      <x:c r="C3910" s="274" t="n">
        <x:v>0</x:v>
      </x:c>
      <x:c r="D3910" s="274" t="n">
        <x:v>0</x:v>
      </x:c>
      <x:c r="F3910" s="274" t="s">
        <x:v>333</x:v>
      </x:c>
      <x:c r="G3910" s="274" t="s">
        <x:v>4796</x:v>
      </x:c>
      <x:c r="I3910" s="274" t="n">
        <x:v>1</x:v>
      </x:c>
      <x:c r="J3910" s="274" t="n">
        <x:v>346</x:v>
      </x:c>
      <x:c r="K3910" s="274" t="n">
        <x:v>1344</x:v>
      </x:c>
      <x:c r="M3910" s="274" t="s">
        <x:v>7258</x:v>
      </x:c>
      <x:c r="N3910" s="274" t="s">
        <x:v>4258</x:v>
      </x:c>
    </x:row>
    <x:row r="3911" spans="1:14">
      <x:c r="A3911" s="274" t="s">
        <x:v>7259</x:v>
      </x:c>
      <x:c r="B3911" s="274" t="n">
        <x:v>3.07</x:v>
      </x:c>
      <x:c r="C3911" s="274" t="n">
        <x:v>0</x:v>
      </x:c>
      <x:c r="D3911" s="274" t="n">
        <x:v>0</x:v>
      </x:c>
      <x:c r="F3911" s="274" t="s">
        <x:v>123</x:v>
      </x:c>
      <x:c r="G3911" s="274" t="s">
        <x:v>4256</x:v>
      </x:c>
      <x:c r="I3911" s="274" t="n">
        <x:v>2.3</x:v>
      </x:c>
      <x:c r="J3911" s="274" t="n">
        <x:v>732</x:v>
      </x:c>
      <x:c r="K3911" s="274" t="n">
        <x:v>232</x:v>
      </x:c>
      <x:c r="M3911" s="274" t="s">
        <x:v>5698</x:v>
      </x:c>
      <x:c r="N3911" s="274" t="s">
        <x:v>4258</x:v>
      </x:c>
    </x:row>
    <x:row r="3912" spans="1:14">
      <x:c r="A3912" s="274" t="s">
        <x:v>7260</x:v>
      </x:c>
      <x:c r="B3912" s="274" t="n">
        <x:v>1.21</x:v>
      </x:c>
      <x:c r="C3912" s="274" t="n">
        <x:v>0</x:v>
      </x:c>
      <x:c r="D3912" s="274" t="n">
        <x:v>0</x:v>
      </x:c>
      <x:c r="F3912" s="274" t="s">
        <x:v>123</x:v>
      </x:c>
      <x:c r="G3912" s="274" t="s">
        <x:v>4256</x:v>
      </x:c>
      <x:c r="I3912" s="274" t="n">
        <x:v>1</x:v>
      </x:c>
      <x:c r="J3912" s="274" t="n">
        <x:v>735</x:v>
      </x:c>
      <x:c r="K3912" s="274" t="n">
        <x:v>210</x:v>
      </x:c>
      <x:c r="M3912" s="274" t="s">
        <x:v>7261</x:v>
      </x:c>
      <x:c r="N3912" s="274" t="s">
        <x:v>4258</x:v>
      </x:c>
    </x:row>
    <x:row r="3913" spans="1:14">
      <x:c r="A3913" s="274" t="s">
        <x:v>7262</x:v>
      </x:c>
      <x:c r="B3913" s="274" t="n">
        <x:v>3.1</x:v>
      </x:c>
      <x:c r="C3913" s="274" t="n">
        <x:v>0</x:v>
      </x:c>
      <x:c r="D3913" s="274" t="n">
        <x:v>0</x:v>
      </x:c>
      <x:c r="F3913" s="274" t="s">
        <x:v>133</x:v>
      </x:c>
      <x:c r="G3913" s="274" t="s">
        <x:v>4642</x:v>
      </x:c>
      <x:c r="H3913" s="274" t="s">
        <x:v>4471</x:v>
      </x:c>
      <x:c r="I3913" s="274" t="n">
        <x:v>1</x:v>
      </x:c>
      <x:c r="J3913" s="274" t="n">
        <x:v>940</x:v>
      </x:c>
      <x:c r="K3913" s="274" t="n">
        <x:v>415</x:v>
      </x:c>
      <x:c r="M3913" s="274" t="s">
        <x:v>4643</x:v>
      </x:c>
      <x:c r="N3913" s="274" t="s">
        <x:v>4258</x:v>
      </x:c>
    </x:row>
    <x:row r="3914" spans="1:14">
      <x:c r="A3914" s="274" t="s">
        <x:v>7263</x:v>
      </x:c>
      <x:c r="B3914" s="274" t="n">
        <x:v>9.08</x:v>
      </x:c>
      <x:c r="C3914" s="274" t="n">
        <x:v>35</x:v>
      </x:c>
      <x:c r="D3914" s="274" t="n">
        <x:v>36</x:v>
      </x:c>
      <x:c r="E3914" s="274" t="n">
        <x:v>24</x:v>
      </x:c>
      <x:c r="F3914" s="274" t="s">
        <x:v>133</x:v>
      </x:c>
      <x:c r="G3914" s="274" t="s">
        <x:v>136</x:v>
      </x:c>
      <x:c r="H3914" s="274" t="n">
        <x:v>45</x:v>
      </x:c>
      <x:c r="I3914" s="274" t="n">
        <x:v>0.65</x:v>
      </x:c>
      <x:c r="J3914" s="274" t="n">
        <x:v>915</x:v>
      </x:c>
      <x:c r="K3914" s="274" t="n">
        <x:v>1910</x:v>
      </x:c>
      <x:c r="M3914" s="274" t="s">
        <x:v>1219</x:v>
      </x:c>
      <x:c r="N3914" s="274" t="s">
        <x:v>5222</x:v>
      </x:c>
    </x:row>
    <x:row r="3915" spans="1:14">
      <x:c r="A3915" s="274" t="s">
        <x:v>7264</x:v>
      </x:c>
      <x:c r="B3915" s="274" t="n">
        <x:v>1.12</x:v>
      </x:c>
      <x:c r="C3915" s="274" t="n">
        <x:v>0</x:v>
      </x:c>
      <x:c r="D3915" s="274" t="n">
        <x:v>36</x:v>
      </x:c>
      <x:c r="E3915" s="274" t="n">
        <x:v>0</x:v>
      </x:c>
      <x:c r="F3915" s="274" t="s">
        <x:v>333</x:v>
      </x:c>
      <x:c r="G3915" s="274" t="s">
        <x:v>4663</x:v>
      </x:c>
      <x:c r="I3915" s="274" t="n">
        <x:v>1.2</x:v>
      </x:c>
      <x:c r="J3915" s="274" t="n">
        <x:v>342</x:v>
      </x:c>
      <x:c r="K3915" s="274" t="n">
        <x:v>445</x:v>
      </x:c>
      <x:c r="L3915" s="274" t="n">
        <x:v>249</x:v>
      </x:c>
      <x:c r="M3915" s="274" t="s">
        <x:v>4693</x:v>
      </x:c>
      <x:c r="N3915" s="274" t="s">
        <x:v>4258</x:v>
      </x:c>
    </x:row>
    <x:row r="3916" spans="1:14">
      <x:c r="A3916" s="274" t="s">
        <x:v>7265</x:v>
      </x:c>
      <x:c r="B3916" s="274" t="n">
        <x:v>0.97</x:v>
      </x:c>
      <x:c r="C3916" s="274" t="n">
        <x:v>26</x:v>
      </x:c>
      <x:c r="D3916" s="274" t="n">
        <x:v>36</x:v>
      </x:c>
      <x:c r="E3916" s="274" t="n">
        <x:v>33</x:v>
      </x:c>
      <x:c r="F3916" s="274" t="s">
        <x:v>3412</x:v>
      </x:c>
      <x:c r="G3916" s="274" t="s">
        <x:v>6622</x:v>
      </x:c>
      <x:c r="H3916" s="274" t="s">
        <x:v>837</x:v>
      </x:c>
      <x:c r="I3916" s="274" t="n">
        <x:v>0.8</x:v>
      </x:c>
      <x:c r="J3916" s="274" t="n">
        <x:v>370</x:v>
      </x:c>
      <x:c r="K3916" s="274" t="n">
        <x:v>415</x:v>
      </x:c>
      <x:c r="M3916" s="274" t="s">
        <x:v>3921</x:v>
      </x:c>
      <x:c r="N3916" s="274" t="s">
        <x:v>831</x:v>
      </x:c>
    </x:row>
    <x:row r="3917" spans="1:14">
      <x:c r="A3917" s="274" t="s">
        <x:v>7266</x:v>
      </x:c>
      <x:c r="B3917" s="274" t="n">
        <x:v>0.16</x:v>
      </x:c>
      <x:c r="C3917" s="274" t="n">
        <x:v>0</x:v>
      </x:c>
      <x:c r="D3917" s="274" t="n">
        <x:v>0</x:v>
      </x:c>
      <x:c r="F3917" s="274" t="s">
        <x:v>333</x:v>
      </x:c>
      <x:c r="G3917" s="274" t="s">
        <x:v>153</x:v>
      </x:c>
      <x:c r="I3917" s="274" t="n">
        <x:v>1</x:v>
      </x:c>
      <x:c r="J3917" s="274" t="n">
        <x:v>53</x:v>
      </x:c>
      <x:c r="K3917" s="274" t="n">
        <x:v>394</x:v>
      </x:c>
      <x:c r="M3917" s="274" t="s">
        <x:v>7267</x:v>
      </x:c>
      <x:c r="N3917" s="274" t="s">
        <x:v>5222</x:v>
      </x:c>
    </x:row>
    <x:row r="3918" spans="1:14">
      <x:c r="A3918" s="274" t="s">
        <x:v>7268</x:v>
      </x:c>
      <x:c r="B3918" s="274" t="n">
        <x:v>1.02</x:v>
      </x:c>
      <x:c r="C3918" s="274" t="n">
        <x:v>0</x:v>
      </x:c>
      <x:c r="D3918" s="274" t="n">
        <x:v>0</x:v>
      </x:c>
      <x:c r="F3918" s="274" t="s">
        <x:v>133</x:v>
      </x:c>
      <x:c r="G3918" s="274" t="s">
        <x:v>136</x:v>
      </x:c>
      <x:c r="H3918" s="274" t="n">
        <x:v>45</x:v>
      </x:c>
      <x:c r="I3918" s="274" t="n">
        <x:v>0.8</x:v>
      </x:c>
      <x:c r="J3918" s="274" t="n">
        <x:v>850</x:v>
      </x:c>
      <x:c r="K3918" s="274" t="n">
        <x:v>188</x:v>
      </x:c>
      <x:c r="M3918" s="274" t="s">
        <x:v>4078</x:v>
      </x:c>
      <x:c r="N3918" s="274" t="s">
        <x:v>421</x:v>
      </x:c>
    </x:row>
    <x:row r="3919" spans="1:14">
      <x:c r="A3919" s="274" t="s">
        <x:v>7269</x:v>
      </x:c>
      <x:c r="B3919" s="274" t="n">
        <x:v>1.23</x:v>
      </x:c>
      <x:c r="C3919" s="274" t="n">
        <x:v>26</x:v>
      </x:c>
      <x:c r="D3919" s="274" t="n">
        <x:v>36</x:v>
      </x:c>
      <x:c r="E3919" s="274" t="n">
        <x:v>33</x:v>
      </x:c>
      <x:c r="F3919" s="274" t="s">
        <x:v>3412</x:v>
      </x:c>
      <x:c r="G3919" s="274" t="s">
        <x:v>6622</x:v>
      </x:c>
      <x:c r="H3919" s="274" t="s">
        <x:v>837</x:v>
      </x:c>
      <x:c r="I3919" s="274" t="n">
        <x:v>0.8</x:v>
      </x:c>
      <x:c r="J3919" s="274" t="n">
        <x:v>430</x:v>
      </x:c>
      <x:c r="K3919" s="274" t="n">
        <x:v>455</x:v>
      </x:c>
      <x:c r="M3919" s="274" t="s">
        <x:v>3923</x:v>
      </x:c>
      <x:c r="N3919" s="274" t="s">
        <x:v>831</x:v>
      </x:c>
    </x:row>
    <x:row r="3920" spans="1:14">
      <x:c r="A3920" s="274" t="s">
        <x:v>7270</x:v>
      </x:c>
      <x:c r="B3920" s="274" t="n">
        <x:v>0.68</x:v>
      </x:c>
      <x:c r="C3920" s="274" t="n">
        <x:v>0</x:v>
      </x:c>
      <x:c r="D3920" s="274" t="n">
        <x:v>0</x:v>
      </x:c>
      <x:c r="F3920" s="274" t="s">
        <x:v>333</x:v>
      </x:c>
      <x:c r="G3920" s="274" t="s">
        <x:v>209</x:v>
      </x:c>
      <x:c r="I3920" s="274" t="n">
        <x:v>1.4</x:v>
      </x:c>
      <x:c r="J3920" s="274" t="n">
        <x:v>246</x:v>
      </x:c>
      <x:c r="K3920" s="274" t="n">
        <x:v>252</x:v>
      </x:c>
      <x:c r="M3920" s="274" t="s">
        <x:v>4420</x:v>
      </x:c>
      <x:c r="N3920" s="274" t="s">
        <x:v>3671</x:v>
      </x:c>
    </x:row>
    <x:row r="3921" spans="1:14">
      <x:c r="A3921" s="274" t="s">
        <x:v>7271</x:v>
      </x:c>
      <x:c r="B3921" s="274" t="n">
        <x:v>3.36</x:v>
      </x:c>
      <x:c r="C3921" s="274" t="n">
        <x:v>0</x:v>
      </x:c>
      <x:c r="D3921" s="274" t="n">
        <x:v>0</x:v>
      </x:c>
      <x:c r="F3921" s="274" t="s">
        <x:v>4735</x:v>
      </x:c>
      <x:c r="G3921" s="274" t="s">
        <x:v>4736</x:v>
      </x:c>
      <x:c r="I3921" s="274" t="n">
        <x:v>1.5</x:v>
      </x:c>
      <x:c r="J3921" s="274" t="n">
        <x:v>254</x:v>
      </x:c>
      <x:c r="K3921" s="274" t="n">
        <x:v>1130</x:v>
      </x:c>
      <x:c r="M3921" s="274" t="s">
        <x:v>4737</x:v>
      </x:c>
      <x:c r="N3921" s="274" t="s">
        <x:v>3671</x:v>
      </x:c>
    </x:row>
    <x:row r="3922" spans="1:14">
      <x:c r="A3922" s="274" t="s">
        <x:v>7272</x:v>
      </x:c>
      <x:c r="B3922" s="274" t="n">
        <x:v>2.39</x:v>
      </x:c>
      <x:c r="C3922" s="274" t="n">
        <x:v>0</x:v>
      </x:c>
      <x:c r="D3922" s="274" t="n">
        <x:v>0</x:v>
      </x:c>
      <x:c r="F3922" s="274" t="s">
        <x:v>4735</x:v>
      </x:c>
      <x:c r="G3922" s="274" t="s">
        <x:v>4736</x:v>
      </x:c>
      <x:c r="I3922" s="274" t="n">
        <x:v>1.5</x:v>
      </x:c>
      <x:c r="J3922" s="274" t="n">
        <x:v>170</x:v>
      </x:c>
      <x:c r="K3922" s="274" t="n">
        <x:v>1200</x:v>
      </x:c>
      <x:c r="M3922" s="274" t="s">
        <x:v>4739</x:v>
      </x:c>
      <x:c r="N3922" s="274" t="s">
        <x:v>3671</x:v>
      </x:c>
    </x:row>
    <x:row r="3923" spans="1:14">
      <x:c r="A3923" s="274" t="s">
        <x:v>7273</x:v>
      </x:c>
      <x:c r="B3923" s="274" t="n">
        <x:v>2.01</x:v>
      </x:c>
      <x:c r="C3923" s="274" t="n">
        <x:v>0</x:v>
      </x:c>
      <x:c r="D3923" s="274" t="n">
        <x:v>0</x:v>
      </x:c>
      <x:c r="F3923" s="274" t="s">
        <x:v>4735</x:v>
      </x:c>
      <x:c r="G3923" s="274" t="s">
        <x:v>4736</x:v>
      </x:c>
      <x:c r="I3923" s="274" t="n">
        <x:v>1.5</x:v>
      </x:c>
      <x:c r="J3923" s="274" t="n">
        <x:v>142</x:v>
      </x:c>
      <x:c r="K3923" s="274" t="n">
        <x:v>1210</x:v>
      </x:c>
      <x:c r="M3923" s="274" t="s">
        <x:v>4741</x:v>
      </x:c>
      <x:c r="N3923" s="274" t="s">
        <x:v>3671</x:v>
      </x:c>
    </x:row>
    <x:row r="3924" spans="1:14">
      <x:c r="A3924" s="274" t="s">
        <x:v>7274</x:v>
      </x:c>
      <x:c r="B3924" s="274" t="n">
        <x:v>0.36</x:v>
      </x:c>
      <x:c r="C3924" s="274" t="n">
        <x:v>0</x:v>
      </x:c>
      <x:c r="D3924" s="274" t="n">
        <x:v>0</x:v>
      </x:c>
      <x:c r="F3924" s="274" t="s">
        <x:v>123</x:v>
      </x:c>
      <x:c r="G3924" s="274" t="s">
        <x:v>148</x:v>
      </x:c>
      <x:c r="I3924" s="274" t="n">
        <x:v>1.6</x:v>
      </x:c>
      <x:c r="J3924" s="274" t="n">
        <x:v>155</x:v>
      </x:c>
      <x:c r="K3924" s="274" t="n">
        <x:v>185</x:v>
      </x:c>
      <x:c r="M3924" s="274" t="s">
        <x:v>7275</x:v>
      </x:c>
      <x:c r="N3924" s="274" t="s">
        <x:v>3671</x:v>
      </x:c>
    </x:row>
    <x:row r="3925" spans="1:14">
      <x:c r="A3925" s="274" t="s">
        <x:v>7276</x:v>
      </x:c>
      <x:c r="B3925" s="274" t="n">
        <x:v>2.38</x:v>
      </x:c>
      <x:c r="C3925" s="274" t="n">
        <x:v>0</x:v>
      </x:c>
      <x:c r="D3925" s="274" t="n">
        <x:v>0</x:v>
      </x:c>
      <x:c r="F3925" s="274" t="s">
        <x:v>333</x:v>
      </x:c>
      <x:c r="G3925" s="274" t="s">
        <x:v>153</x:v>
      </x:c>
      <x:c r="I3925" s="274" t="n">
        <x:v>1.6</x:v>
      </x:c>
      <x:c r="J3925" s="274" t="n">
        <x:v>414</x:v>
      </x:c>
      <x:c r="K3925" s="274" t="n">
        <x:v>458</x:v>
      </x:c>
      <x:c r="M3925" s="274" t="s">
        <x:v>7277</x:v>
      </x:c>
      <x:c r="N3925" s="274" t="s">
        <x:v>3671</x:v>
      </x:c>
    </x:row>
    <x:row r="3926" spans="1:14">
      <x:c r="A3926" s="274" t="s">
        <x:v>7278</x:v>
      </x:c>
      <x:c r="B3926" s="274" t="n">
        <x:v>4.16</x:v>
      </x:c>
      <x:c r="C3926" s="274" t="n">
        <x:v>0</x:v>
      </x:c>
      <x:c r="D3926" s="274" t="n">
        <x:v>22</x:v>
      </x:c>
      <x:c r="E3926" s="274" t="n">
        <x:v>20</x:v>
      </x:c>
      <x:c r="F3926" s="274" t="s">
        <x:v>128</x:v>
      </x:c>
      <x:c r="G3926" s="274" t="s">
        <x:v>3418</x:v>
      </x:c>
      <x:c r="H3926" s="274" t="n">
        <x:v>45</x:v>
      </x:c>
      <x:c r="I3926" s="274" t="n">
        <x:v>2.3</x:v>
      </x:c>
      <x:c r="J3926" s="274" t="n">
        <x:v>187</x:v>
      </x:c>
      <x:c r="K3926" s="274" t="n">
        <x:v>1225</x:v>
      </x:c>
      <x:c r="M3926" s="274" t="s">
        <x:v>7279</x:v>
      </x:c>
      <x:c r="N3926" s="274" t="s">
        <x:v>3671</x:v>
      </x:c>
    </x:row>
    <x:row r="3927" spans="1:14">
      <x:c r="A3927" s="274" t="s">
        <x:v>7280</x:v>
      </x:c>
      <x:c r="B3927" s="274" t="n">
        <x:v>2.32</x:v>
      </x:c>
      <x:c r="C3927" s="274" t="n">
        <x:v>0</x:v>
      </x:c>
      <x:c r="D3927" s="274" t="n">
        <x:v>35</x:v>
      </x:c>
      <x:c r="E3927" s="274" t="n">
        <x:v>33</x:v>
      </x:c>
      <x:c r="F3927" s="274" t="s">
        <x:v>833</x:v>
      </x:c>
      <x:c r="G3927" s="274" t="s">
        <x:v>834</x:v>
      </x:c>
      <x:c r="H3927" s="274" t="s">
        <x:v>837</x:v>
      </x:c>
      <x:c r="I3927" s="274" t="n">
        <x:v>0.8</x:v>
      </x:c>
      <x:c r="J3927" s="274" t="n">
        <x:v>515</x:v>
      </x:c>
      <x:c r="K3927" s="274" t="n">
        <x:v>715</x:v>
      </x:c>
      <x:c r="M3927" s="274" t="s">
        <x:v>3774</x:v>
      </x:c>
    </x:row>
    <x:row r="3928" spans="1:14">
      <x:c r="A3928" s="274" t="s">
        <x:v>7281</x:v>
      </x:c>
      <x:c r="B3928" s="274" t="n">
        <x:v>0.89</x:v>
      </x:c>
      <x:c r="C3928" s="274" t="n">
        <x:v>0</x:v>
      </x:c>
      <x:c r="D3928" s="274" t="n">
        <x:v>0</x:v>
      </x:c>
      <x:c r="F3928" s="274" t="s">
        <x:v>333</x:v>
      </x:c>
      <x:c r="G3928" s="274" t="s">
        <x:v>4796</x:v>
      </x:c>
      <x:c r="I3928" s="274" t="n">
        <x:v>1</x:v>
      </x:c>
      <x:c r="J3928" s="274" t="n">
        <x:v>211</x:v>
      </x:c>
      <x:c r="K3928" s="274" t="n">
        <x:v>535</x:v>
      </x:c>
      <x:c r="M3928" s="274" t="s">
        <x:v>7251</x:v>
      </x:c>
      <x:c r="N3928" s="274" t="s">
        <x:v>4258</x:v>
      </x:c>
    </x:row>
    <x:row r="3929" spans="1:14">
      <x:c r="A3929" s="274" t="s">
        <x:v>7282</x:v>
      </x:c>
      <x:c r="B3929" s="274" t="n">
        <x:v>12.68</x:v>
      </x:c>
      <x:c r="C3929" s="274" t="n">
        <x:v>0</x:v>
      </x:c>
      <x:c r="D3929" s="274" t="n">
        <x:v>30</x:v>
      </x:c>
      <x:c r="E3929" s="274" t="n">
        <x:v>24</x:v>
      </x:c>
      <x:c r="F3929" s="274" t="s">
        <x:v>1980</x:v>
      </x:c>
      <x:c r="G3929" s="274" t="s">
        <x:v>6434</x:v>
      </x:c>
      <x:c r="I3929" s="274" t="n">
        <x:v>0.9</x:v>
      </x:c>
      <x:c r="J3929" s="274" t="n">
        <x:v>960</x:v>
      </x:c>
      <x:c r="K3929" s="274" t="n">
        <x:v>1870</x:v>
      </x:c>
      <x:c r="M3929" s="274" t="s">
        <x:v>7283</x:v>
      </x:c>
      <x:c r="N3929" s="274" t="s">
        <x:v>1983</x:v>
      </x:c>
    </x:row>
    <x:row r="3930" spans="1:14">
      <x:c r="A3930" s="274" t="s">
        <x:v>7284</x:v>
      </x:c>
      <x:c r="B3930" s="274" t="n">
        <x:v>0.33</x:v>
      </x:c>
      <x:c r="C3930" s="274" t="n">
        <x:v>0</x:v>
      </x:c>
      <x:c r="D3930" s="274" t="n">
        <x:v>0</x:v>
      </x:c>
      <x:c r="F3930" s="274" t="s">
        <x:v>3412</x:v>
      </x:c>
      <x:c r="G3930" s="274" t="s">
        <x:v>5449</x:v>
      </x:c>
      <x:c r="I3930" s="274" t="n">
        <x:v>1</x:v>
      </x:c>
      <x:c r="J3930" s="274" t="n">
        <x:v>170</x:v>
      </x:c>
      <x:c r="K3930" s="274" t="n">
        <x:v>250</x:v>
      </x:c>
      <x:c r="M3930" s="274" t="s">
        <x:v>7285</x:v>
      </x:c>
      <x:c r="N3930" s="274" t="s">
        <x:v>4258</x:v>
      </x:c>
    </x:row>
    <x:row r="3931" spans="1:14">
      <x:c r="A3931" s="274" t="s">
        <x:v>7286</x:v>
      </x:c>
      <x:c r="B3931" s="274" t="n">
        <x:v>1.15</x:v>
      </x:c>
      <x:c r="C3931" s="274" t="n">
        <x:v>0</x:v>
      </x:c>
      <x:c r="D3931" s="274" t="n">
        <x:v>0</x:v>
      </x:c>
      <x:c r="F3931" s="274" t="s">
        <x:v>3412</x:v>
      </x:c>
      <x:c r="G3931" s="274" t="s">
        <x:v>5449</x:v>
      </x:c>
      <x:c r="I3931" s="274" t="n">
        <x:v>1</x:v>
      </x:c>
      <x:c r="J3931" s="274" t="n">
        <x:v>132</x:v>
      </x:c>
      <x:c r="K3931" s="274" t="n">
        <x:v>1130</x:v>
      </x:c>
      <x:c r="M3931" s="274" t="s">
        <x:v>7287</x:v>
      </x:c>
      <x:c r="N3931" s="274" t="s">
        <x:v>4258</x:v>
      </x:c>
    </x:row>
    <x:row r="3932" spans="1:14">
      <x:c r="A3932" s="274" t="s">
        <x:v>7288</x:v>
      </x:c>
      <x:c r="B3932" s="274" t="n">
        <x:v>1.46</x:v>
      </x:c>
      <x:c r="C3932" s="274" t="n">
        <x:v>0</x:v>
      </x:c>
      <x:c r="D3932" s="274" t="n">
        <x:v>0</x:v>
      </x:c>
      <x:c r="F3932" s="274" t="s">
        <x:v>3412</x:v>
      </x:c>
      <x:c r="G3932" s="274" t="s">
        <x:v>5449</x:v>
      </x:c>
      <x:c r="I3932" s="274" t="n">
        <x:v>1</x:v>
      </x:c>
      <x:c r="J3932" s="274" t="n">
        <x:v>165</x:v>
      </x:c>
      <x:c r="K3932" s="274" t="n">
        <x:v>1140</x:v>
      </x:c>
      <x:c r="M3932" s="274" t="s">
        <x:v>7289</x:v>
      </x:c>
      <x:c r="N3932" s="274" t="s">
        <x:v>4258</x:v>
      </x:c>
    </x:row>
    <x:row r="3933" spans="1:14">
      <x:c r="A3933" s="274" t="s">
        <x:v>7290</x:v>
      </x:c>
      <x:c r="B3933" s="274" t="n">
        <x:v>1.55</x:v>
      </x:c>
      <x:c r="C3933" s="274" t="n">
        <x:v>0</x:v>
      </x:c>
      <x:c r="D3933" s="274" t="n">
        <x:v>0</x:v>
      </x:c>
      <x:c r="F3933" s="274" t="s">
        <x:v>3412</x:v>
      </x:c>
      <x:c r="G3933" s="274" t="s">
        <x:v>5449</x:v>
      </x:c>
      <x:c r="I3933" s="274" t="n">
        <x:v>1</x:v>
      </x:c>
      <x:c r="J3933" s="274" t="n">
        <x:v>182</x:v>
      </x:c>
      <x:c r="K3933" s="274" t="n">
        <x:v>1100</x:v>
      </x:c>
      <x:c r="M3933" s="274" t="s">
        <x:v>7291</x:v>
      </x:c>
      <x:c r="N3933" s="274" t="s">
        <x:v>4258</x:v>
      </x:c>
    </x:row>
    <x:row r="3934" spans="1:14">
      <x:c r="A3934" s="274" t="s">
        <x:v>7292</x:v>
      </x:c>
      <x:c r="B3934" s="274" t="n">
        <x:v>1.61</x:v>
      </x:c>
      <x:c r="C3934" s="274" t="n">
        <x:v>0</x:v>
      </x:c>
      <x:c r="D3934" s="274" t="n">
        <x:v>0</x:v>
      </x:c>
      <x:c r="F3934" s="274" t="s">
        <x:v>3412</x:v>
      </x:c>
      <x:c r="G3934" s="274" t="s">
        <x:v>5449</x:v>
      </x:c>
      <x:c r="I3934" s="274" t="n">
        <x:v>1</x:v>
      </x:c>
      <x:c r="J3934" s="274" t="n">
        <x:v>187</x:v>
      </x:c>
      <x:c r="K3934" s="274" t="n">
        <x:v>1115</x:v>
      </x:c>
      <x:c r="M3934" s="274" t="s">
        <x:v>7293</x:v>
      </x:c>
      <x:c r="N3934" s="274" t="s">
        <x:v>4258</x:v>
      </x:c>
    </x:row>
    <x:row r="3935" spans="1:14">
      <x:c r="A3935" s="274" t="s">
        <x:v>7294</x:v>
      </x:c>
      <x:c r="B3935" s="274" t="n">
        <x:v>3.75</x:v>
      </x:c>
      <x:c r="C3935" s="274" t="n">
        <x:v>0</x:v>
      </x:c>
      <x:c r="D3935" s="274" t="n">
        <x:v>0</x:v>
      </x:c>
      <x:c r="F3935" s="274" t="s">
        <x:v>3412</x:v>
      </x:c>
      <x:c r="G3935" s="274" t="s">
        <x:v>5449</x:v>
      </x:c>
      <x:c r="I3935" s="274" t="n">
        <x:v>2</x:v>
      </x:c>
      <x:c r="J3935" s="274" t="n">
        <x:v>202</x:v>
      </x:c>
      <x:c r="K3935" s="274" t="n">
        <x:v>1200</x:v>
      </x:c>
      <x:c r="M3935" s="274" t="s">
        <x:v>7295</x:v>
      </x:c>
      <x:c r="N3935" s="274" t="s">
        <x:v>4258</x:v>
      </x:c>
    </x:row>
    <x:row r="3936" spans="1:14">
      <x:c r="A3936" s="274" t="s">
        <x:v>7296</x:v>
      </x:c>
      <x:c r="B3936" s="274" t="n">
        <x:v>2.71</x:v>
      </x:c>
      <x:c r="C3936" s="274" t="n">
        <x:v>0</x:v>
      </x:c>
      <x:c r="D3936" s="274" t="n">
        <x:v>0</x:v>
      </x:c>
      <x:c r="F3936" s="274" t="s">
        <x:v>3412</x:v>
      </x:c>
      <x:c r="G3936" s="274" t="s">
        <x:v>5449</x:v>
      </x:c>
      <x:c r="I3936" s="274" t="n">
        <x:v>2</x:v>
      </x:c>
      <x:c r="J3936" s="274" t="n">
        <x:v>140</x:v>
      </x:c>
      <x:c r="K3936" s="274" t="n">
        <x:v>1250</x:v>
      </x:c>
      <x:c r="M3936" s="274" t="s">
        <x:v>7297</x:v>
      </x:c>
      <x:c r="N3936" s="274" t="s">
        <x:v>4258</x:v>
      </x:c>
    </x:row>
    <x:row r="3937" spans="1:14">
      <x:c r="A3937" s="274" t="s">
        <x:v>7298</x:v>
      </x:c>
      <x:c r="B3937" s="274" t="n">
        <x:v>2.45</x:v>
      </x:c>
      <x:c r="C3937" s="274" t="n">
        <x:v>0</x:v>
      </x:c>
      <x:c r="D3937" s="274" t="n">
        <x:v>0</x:v>
      </x:c>
      <x:c r="F3937" s="274" t="s">
        <x:v>3412</x:v>
      </x:c>
      <x:c r="G3937" s="274" t="s">
        <x:v>5476</x:v>
      </x:c>
      <x:c r="I3937" s="274" t="n">
        <x:v>1.2</x:v>
      </x:c>
      <x:c r="J3937" s="274" t="n">
        <x:v>240</x:v>
      </x:c>
      <x:c r="K3937" s="274" t="n">
        <x:v>1100</x:v>
      </x:c>
      <x:c r="M3937" s="274" t="s">
        <x:v>7299</x:v>
      </x:c>
      <x:c r="N3937" s="274" t="s">
        <x:v>4258</x:v>
      </x:c>
    </x:row>
    <x:row r="3938" spans="1:14">
      <x:c r="A3938" s="274" t="s">
        <x:v>7300</x:v>
      </x:c>
      <x:c r="B3938" s="274" t="n">
        <x:v>3.64</x:v>
      </x:c>
      <x:c r="C3938" s="274" t="n">
        <x:v>0</x:v>
      </x:c>
      <x:c r="D3938" s="274" t="n">
        <x:v>0</x:v>
      </x:c>
      <x:c r="F3938" s="274" t="s">
        <x:v>133</x:v>
      </x:c>
      <x:c r="G3938" s="274" t="s">
        <x:v>148</x:v>
      </x:c>
      <x:c r="I3938" s="274" t="n">
        <x:v>2.9</x:v>
      </x:c>
      <x:c r="J3938" s="274" t="n">
        <x:v>160</x:v>
      </x:c>
      <x:c r="K3938" s="274" t="n">
        <x:v>1000</x:v>
      </x:c>
    </x:row>
    <x:row r="3939" spans="1:14">
      <x:c r="A3939" s="274" t="s">
        <x:v>7301</x:v>
      </x:c>
      <x:c r="B3939" s="274" t="n">
        <x:v>1.09</x:v>
      </x:c>
      <x:c r="C3939" s="274" t="n">
        <x:v>0</x:v>
      </x:c>
      <x:c r="D3939" s="274" t="n">
        <x:v>0</x:v>
      </x:c>
      <x:c r="F3939" s="274" t="s">
        <x:v>333</x:v>
      </x:c>
      <x:c r="G3939" s="274" t="s">
        <x:v>153</x:v>
      </x:c>
      <x:c r="I3939" s="274" t="n">
        <x:v>1.8</x:v>
      </x:c>
      <x:c r="J3939" s="274" t="n">
        <x:v>200</x:v>
      </x:c>
      <x:c r="K3939" s="274" t="n">
        <x:v>385</x:v>
      </x:c>
      <x:c r="M3939" s="274" t="s">
        <x:v>7302</x:v>
      </x:c>
    </x:row>
    <x:row r="3940" spans="1:14">
      <x:c r="A3940" s="274" t="s">
        <x:v>7303</x:v>
      </x:c>
      <x:c r="B3940" s="274" t="n">
        <x:v>0.45</x:v>
      </x:c>
      <x:c r="C3940" s="274" t="n">
        <x:v>0</x:v>
      </x:c>
      <x:c r="D3940" s="274" t="n">
        <x:v>0</x:v>
      </x:c>
      <x:c r="F3940" s="274" t="s">
        <x:v>123</x:v>
      </x:c>
      <x:c r="G3940" s="274" t="s">
        <x:v>148</x:v>
      </x:c>
      <x:c r="I3940" s="274" t="n">
        <x:v>1.8</x:v>
      </x:c>
      <x:c r="J3940" s="274" t="n">
        <x:v>100</x:v>
      </x:c>
      <x:c r="K3940" s="274" t="n">
        <x:v>320</x:v>
      </x:c>
      <x:c r="M3940" s="274" t="s">
        <x:v>7304</x:v>
      </x:c>
      <x:c r="N3940" s="274" t="s">
        <x:v>3671</x:v>
      </x:c>
    </x:row>
    <x:row r="3941" spans="1:14">
      <x:c r="A3941" s="274" t="s">
        <x:v>7305</x:v>
      </x:c>
      <x:c r="B3941" s="274" t="n">
        <x:v>0.99</x:v>
      </x:c>
      <x:c r="C3941" s="274" t="n">
        <x:v>0</x:v>
      </x:c>
      <x:c r="D3941" s="274" t="n">
        <x:v>0</x:v>
      </x:c>
      <x:c r="F3941" s="274" t="s">
        <x:v>123</x:v>
      </x:c>
      <x:c r="G3941" s="274" t="s">
        <x:v>148</x:v>
      </x:c>
      <x:c r="I3941" s="274" t="n">
        <x:v>1.8</x:v>
      </x:c>
      <x:c r="J3941" s="274" t="n">
        <x:v>167</x:v>
      </x:c>
      <x:c r="K3941" s="274" t="n">
        <x:v>420</x:v>
      </x:c>
      <x:c r="M3941" s="274" t="s">
        <x:v>7306</x:v>
      </x:c>
      <x:c r="N3941" s="274" t="s">
        <x:v>3671</x:v>
      </x:c>
    </x:row>
    <x:row r="3942" spans="1:14">
      <x:c r="A3942" s="274" t="s">
        <x:v>7307</x:v>
      </x:c>
      <x:c r="B3942" s="274" t="n">
        <x:v>1.7</x:v>
      </x:c>
      <x:c r="C3942" s="274" t="n">
        <x:v>0</x:v>
      </x:c>
      <x:c r="D3942" s="274" t="n">
        <x:v>0</x:v>
      </x:c>
      <x:c r="F3942" s="274" t="s">
        <x:v>123</x:v>
      </x:c>
      <x:c r="G3942" s="274" t="s">
        <x:v>148</x:v>
      </x:c>
      <x:c r="I3942" s="274" t="n">
        <x:v>1.8</x:v>
      </x:c>
      <x:c r="J3942" s="274" t="n">
        <x:v>204</x:v>
      </x:c>
      <x:c r="K3942" s="274" t="n">
        <x:v>590</x:v>
      </x:c>
      <x:c r="M3942" s="274" t="s">
        <x:v>4649</x:v>
      </x:c>
      <x:c r="N3942" s="274" t="s">
        <x:v>3671</x:v>
      </x:c>
    </x:row>
    <x:row r="3943" spans="1:14">
      <x:c r="A3943" s="274" t="s">
        <x:v>7308</x:v>
      </x:c>
      <x:c r="B3943" s="274" t="n">
        <x:v>0.56</x:v>
      </x:c>
      <x:c r="C3943" s="274" t="n">
        <x:v>0</x:v>
      </x:c>
      <x:c r="D3943" s="274" t="n">
        <x:v>0</x:v>
      </x:c>
      <x:c r="F3943" s="274" t="s">
        <x:v>123</x:v>
      </x:c>
      <x:c r="G3943" s="274" t="s">
        <x:v>148</x:v>
      </x:c>
      <x:c r="I3943" s="274" t="n">
        <x:v>1.8</x:v>
      </x:c>
      <x:c r="J3943" s="274" t="n">
        <x:v>196</x:v>
      </x:c>
      <x:c r="K3943" s="274" t="n">
        <x:v>203</x:v>
      </x:c>
      <x:c r="M3943" s="274" t="s">
        <x:v>7309</x:v>
      </x:c>
      <x:c r="N3943" s="274" t="s">
        <x:v>3671</x:v>
      </x:c>
    </x:row>
    <x:row r="3944" spans="1:14">
      <x:c r="A3944" s="274" t="s">
        <x:v>7310</x:v>
      </x:c>
      <x:c r="B3944" s="274" t="n">
        <x:v>0.4</x:v>
      </x:c>
      <x:c r="C3944" s="274" t="n">
        <x:v>0</x:v>
      </x:c>
      <x:c r="D3944" s="274" t="n">
        <x:v>0</x:v>
      </x:c>
      <x:c r="F3944" s="274" t="s">
        <x:v>333</x:v>
      </x:c>
      <x:c r="G3944" s="274" t="s">
        <x:v>2468</x:v>
      </x:c>
      <x:c r="I3944" s="274" t="n">
        <x:v>1.2</x:v>
      </x:c>
      <x:c r="J3944" s="274" t="n">
        <x:v>70</x:v>
      </x:c>
      <x:c r="K3944" s="274" t="n">
        <x:v>600</x:v>
      </x:c>
      <x:c r="M3944" s="274" t="s">
        <x:v>7311</x:v>
      </x:c>
      <x:c r="N3944" s="274" t="s">
        <x:v>3984</x:v>
      </x:c>
    </x:row>
    <x:row r="3945" spans="1:14">
      <x:c r="A3945" s="274" t="s">
        <x:v>7312</x:v>
      </x:c>
      <x:c r="B3945" s="274" t="n">
        <x:v>9.93</x:v>
      </x:c>
      <x:c r="C3945" s="274" t="n">
        <x:v>22</x:v>
      </x:c>
      <x:c r="D3945" s="274" t="n">
        <x:v>22</x:v>
      </x:c>
      <x:c r="E3945" s="274" t="n">
        <x:v>15</x:v>
      </x:c>
      <x:c r="F3945" s="274" t="s">
        <x:v>123</x:v>
      </x:c>
      <x:c r="G3945" s="274" t="s">
        <x:v>7313</x:v>
      </x:c>
      <x:c r="H3945" s="274" t="s">
        <x:v>7314</x:v>
      </x:c>
      <x:c r="I3945" s="274" t="n">
        <x:v>0.6</x:v>
      </x:c>
      <x:c r="J3945" s="274" t="n">
        <x:v>1233</x:v>
      </x:c>
      <x:c r="K3945" s="274" t="n">
        <x:v>1677</x:v>
      </x:c>
      <x:c r="M3945" s="274" t="s">
        <x:v>7315</x:v>
      </x:c>
      <x:c r="N3945" s="274" t="s">
        <x:v>4258</x:v>
      </x:c>
    </x:row>
    <x:row r="3946" spans="1:14">
      <x:c r="A3946" s="274" t="s">
        <x:v>7316</x:v>
      </x:c>
      <x:c r="B3946" s="274" t="n">
        <x:v>1.73</x:v>
      </x:c>
      <x:c r="C3946" s="274" t="n">
        <x:v>0</x:v>
      </x:c>
      <x:c r="D3946" s="274" t="n">
        <x:v>20</x:v>
      </x:c>
      <x:c r="E3946" s="274" t="n">
        <x:v>18</x:v>
      </x:c>
      <x:c r="F3946" s="274" t="s">
        <x:v>4735</x:v>
      </x:c>
      <x:c r="G3946" s="274" t="s">
        <x:v>4749</x:v>
      </x:c>
      <x:c r="I3946" s="274" t="n">
        <x:v>1</x:v>
      </x:c>
      <x:c r="J3946" s="274" t="n">
        <x:v>188.5</x:v>
      </x:c>
      <x:c r="K3946" s="274" t="n">
        <x:v>1180</x:v>
      </x:c>
      <x:c r="M3946" s="274" t="s">
        <x:v>5571</x:v>
      </x:c>
      <x:c r="N3946" s="274" t="s">
        <x:v>3671</x:v>
      </x:c>
    </x:row>
    <x:row r="3947" spans="1:14">
      <x:c r="A3947" s="274" t="s">
        <x:v>7317</x:v>
      </x:c>
      <x:c r="B3947" s="274" t="n">
        <x:v>0.55</x:v>
      </x:c>
      <x:c r="C3947" s="274" t="n">
        <x:v>22</x:v>
      </x:c>
      <x:c r="D3947" s="274" t="n">
        <x:v>30</x:v>
      </x:c>
      <x:c r="E3947" s="274" t="n">
        <x:v>28</x:v>
      </x:c>
      <x:c r="F3947" s="274" t="s">
        <x:v>4735</x:v>
      </x:c>
      <x:c r="G3947" s="274" t="s">
        <x:v>4749</x:v>
      </x:c>
      <x:c r="I3947" s="274" t="n">
        <x:v>1</x:v>
      </x:c>
      <x:c r="J3947" s="274" t="n">
        <x:v>160.5</x:v>
      </x:c>
      <x:c r="K3947" s="274" t="n">
        <x:v>440</x:v>
      </x:c>
      <x:c r="N3947" s="274" t="s">
        <x:v>3671</x:v>
      </x:c>
    </x:row>
    <x:row r="3948" spans="1:14">
      <x:c r="A3948" s="274" t="s">
        <x:v>7318</x:v>
      </x:c>
      <x:c r="B3948" s="274" t="n">
        <x:v>2.62</x:v>
      </x:c>
      <x:c r="C3948" s="274" t="n">
        <x:v>0</x:v>
      </x:c>
      <x:c r="D3948" s="274" t="n">
        <x:v>45</x:v>
      </x:c>
      <x:c r="E3948" s="274" t="n">
        <x:v>40</x:v>
      </x:c>
      <x:c r="F3948" s="274" t="s">
        <x:v>3412</x:v>
      </x:c>
      <x:c r="G3948" s="274" t="s">
        <x:v>6622</x:v>
      </x:c>
      <x:c r="H3948" s="274" t="s">
        <x:v>829</x:v>
      </x:c>
      <x:c r="I3948" s="274" t="n">
        <x:v>0.8</x:v>
      </x:c>
      <x:c r="J3948" s="274" t="n">
        <x:v>590</x:v>
      </x:c>
      <x:c r="K3948" s="274" t="n">
        <x:v>705</x:v>
      </x:c>
      <x:c r="M3948" s="274" t="s">
        <x:v>3780</x:v>
      </x:c>
      <x:c r="N3948" s="274" t="s">
        <x:v>831</x:v>
      </x:c>
    </x:row>
    <x:row r="3949" spans="1:14">
      <x:c r="A3949" s="274" t="s">
        <x:v>7319</x:v>
      </x:c>
      <x:c r="B3949" s="274" t="n">
        <x:v>2.74</x:v>
      </x:c>
      <x:c r="C3949" s="274" t="n">
        <x:v>0</x:v>
      </x:c>
      <x:c r="D3949" s="274" t="n">
        <x:v>35</x:v>
      </x:c>
      <x:c r="E3949" s="274" t="n">
        <x:v>33</x:v>
      </x:c>
      <x:c r="F3949" s="274" t="s">
        <x:v>3412</x:v>
      </x:c>
      <x:c r="G3949" s="274" t="s">
        <x:v>6622</x:v>
      </x:c>
      <x:c r="H3949" s="274" t="s">
        <x:v>837</x:v>
      </x:c>
      <x:c r="I3949" s="274" t="n">
        <x:v>0.8</x:v>
      </x:c>
      <x:c r="J3949" s="274" t="n">
        <x:v>550</x:v>
      </x:c>
      <x:c r="K3949" s="274" t="n">
        <x:v>790</x:v>
      </x:c>
      <x:c r="M3949" s="274" t="s">
        <x:v>3778</x:v>
      </x:c>
      <x:c r="N3949" s="274" t="s">
        <x:v>831</x:v>
      </x:c>
    </x:row>
    <x:row r="3950" spans="1:14">
      <x:c r="A3950" s="274" t="s">
        <x:v>7320</x:v>
      </x:c>
      <x:c r="B3950" s="274" t="n">
        <x:v>0.97</x:v>
      </x:c>
      <x:c r="C3950" s="274" t="n">
        <x:v>26</x:v>
      </x:c>
      <x:c r="D3950" s="274" t="n">
        <x:v>36</x:v>
      </x:c>
      <x:c r="E3950" s="274" t="n">
        <x:v>33</x:v>
      </x:c>
      <x:c r="F3950" s="274" t="s">
        <x:v>3412</x:v>
      </x:c>
      <x:c r="G3950" s="274" t="s">
        <x:v>6622</x:v>
      </x:c>
      <x:c r="H3950" s="274" t="s">
        <x:v>837</x:v>
      </x:c>
      <x:c r="I3950" s="274" t="n">
        <x:v>0.8</x:v>
      </x:c>
      <x:c r="J3950" s="274" t="n">
        <x:v>370</x:v>
      </x:c>
      <x:c r="K3950" s="274" t="n">
        <x:v>415</x:v>
      </x:c>
      <x:c r="M3950" s="274" t="s">
        <x:v>3921</x:v>
      </x:c>
      <x:c r="N3950" s="274" t="s">
        <x:v>831</x:v>
      </x:c>
    </x:row>
    <x:row r="3951" spans="1:14">
      <x:c r="A3951" s="274" t="s">
        <x:v>7321</x:v>
      </x:c>
      <x:c r="B3951" s="274" t="n">
        <x:v>2.55</x:v>
      </x:c>
      <x:c r="C3951" s="274" t="n">
        <x:v>0</x:v>
      </x:c>
      <x:c r="D3951" s="274" t="n">
        <x:v>34</x:v>
      </x:c>
      <x:c r="E3951" s="274" t="n">
        <x:v>32</x:v>
      </x:c>
      <x:c r="F3951" s="274" t="s">
        <x:v>311</x:v>
      </x:c>
      <x:c r="G3951" s="274" t="s">
        <x:v>828</x:v>
      </x:c>
      <x:c r="H3951" s="274" t="s">
        <x:v>837</x:v>
      </x:c>
      <x:c r="I3951" s="274" t="n">
        <x:v>0.8</x:v>
      </x:c>
      <x:c r="J3951" s="274" t="n">
        <x:v>530</x:v>
      </x:c>
      <x:c r="K3951" s="274" t="n">
        <x:v>765</x:v>
      </x:c>
      <x:c r="M3951" s="274" t="s">
        <x:v>2387</x:v>
      </x:c>
    </x:row>
    <x:row r="3952" spans="1:14">
      <x:c r="A3952" s="274" t="s">
        <x:v>7322</x:v>
      </x:c>
      <x:c r="B3952" s="274" t="n">
        <x:v>1.23</x:v>
      </x:c>
      <x:c r="C3952" s="274" t="n">
        <x:v>26</x:v>
      </x:c>
      <x:c r="D3952" s="274" t="n">
        <x:v>36</x:v>
      </x:c>
      <x:c r="E3952" s="274" t="n">
        <x:v>33</x:v>
      </x:c>
      <x:c r="F3952" s="274" t="s">
        <x:v>311</x:v>
      </x:c>
      <x:c r="G3952" s="274" t="s">
        <x:v>828</x:v>
      </x:c>
      <x:c r="H3952" s="274" t="s">
        <x:v>837</x:v>
      </x:c>
      <x:c r="I3952" s="274" t="n">
        <x:v>0.8</x:v>
      </x:c>
      <x:c r="J3952" s="274" t="n">
        <x:v>430</x:v>
      </x:c>
      <x:c r="K3952" s="274" t="n">
        <x:v>455</x:v>
      </x:c>
      <x:c r="M3952" s="274" t="s">
        <x:v>3923</x:v>
      </x:c>
      <x:c r="N3952" s="274" t="s">
        <x:v>831</x:v>
      </x:c>
    </x:row>
    <x:row r="3953" spans="1:14">
      <x:c r="A3953" s="274" t="s">
        <x:v>7323</x:v>
      </x:c>
      <x:c r="B3953" s="274" t="n">
        <x:v>2.48</x:v>
      </x:c>
      <x:c r="C3953" s="274" t="n">
        <x:v>0</x:v>
      </x:c>
      <x:c r="D3953" s="274" t="n">
        <x:v>0</x:v>
      </x:c>
      <x:c r="F3953" s="274" t="s">
        <x:v>333</x:v>
      </x:c>
      <x:c r="G3953" s="274" t="s">
        <x:v>4663</x:v>
      </x:c>
      <x:c r="I3953" s="274" t="n">
        <x:v>1.4</x:v>
      </x:c>
      <x:c r="J3953" s="274" t="n">
        <x:v>256</x:v>
      </x:c>
      <x:c r="K3953" s="274" t="n">
        <x:v>880</x:v>
      </x:c>
      <x:c r="M3953" s="274" t="s">
        <x:v>7324</x:v>
      </x:c>
      <x:c r="N3953" s="274" t="s">
        <x:v>4258</x:v>
      </x:c>
    </x:row>
    <x:row r="3954" spans="1:14">
      <x:c r="A3954" s="274" t="s">
        <x:v>7325</x:v>
      </x:c>
      <x:c r="B3954" s="274" t="n">
        <x:v>0.32</x:v>
      </x:c>
      <x:c r="C3954" s="274" t="n">
        <x:v>29</x:v>
      </x:c>
      <x:c r="D3954" s="274" t="n">
        <x:v>33</x:v>
      </x:c>
      <x:c r="E3954" s="274" t="n">
        <x:v>30</x:v>
      </x:c>
      <x:c r="F3954" s="274" t="s">
        <x:v>4735</x:v>
      </x:c>
      <x:c r="G3954" s="274" t="s">
        <x:v>4749</x:v>
      </x:c>
      <x:c r="I3954" s="274" t="n">
        <x:v>1</x:v>
      </x:c>
      <x:c r="J3954" s="274" t="n">
        <x:v>203.5</x:v>
      </x:c>
      <x:c r="K3954" s="274" t="n">
        <x:v>204</x:v>
      </x:c>
      <x:c r="M3954" s="274" t="s">
        <x:v>5573</x:v>
      </x:c>
      <x:c r="N3954" s="274" t="s">
        <x:v>3671</x:v>
      </x:c>
    </x:row>
    <x:row r="3955" spans="1:14">
      <x:c r="A3955" s="274" t="s">
        <x:v>7326</x:v>
      </x:c>
      <x:c r="B3955" s="274" t="n">
        <x:v>2.63</x:v>
      </x:c>
      <x:c r="C3955" s="274" t="n">
        <x:v>0</x:v>
      </x:c>
      <x:c r="D3955" s="274" t="n">
        <x:v>24</x:v>
      </x:c>
      <x:c r="E3955" s="274" t="n">
        <x:v>22</x:v>
      </x:c>
      <x:c r="F3955" s="274" t="s">
        <x:v>133</x:v>
      </x:c>
      <x:c r="G3955" s="274" t="s">
        <x:v>136</x:v>
      </x:c>
      <x:c r="H3955" s="274" t="n">
        <x:v>45</x:v>
      </x:c>
      <x:c r="I3955" s="274" t="n">
        <x:v>2</x:v>
      </x:c>
      <x:c r="J3955" s="274" t="n">
        <x:v>147</x:v>
      </x:c>
      <x:c r="K3955" s="274" t="n">
        <x:v>1135</x:v>
      </x:c>
      <x:c r="M3955" s="274" t="s">
        <x:v>7327</x:v>
      </x:c>
      <x:c r="N3955" s="274" t="s">
        <x:v>4481</x:v>
      </x:c>
    </x:row>
    <x:row r="3956" spans="1:14">
      <x:c r="A3956" s="274" t="s">
        <x:v>7328</x:v>
      </x:c>
      <x:c r="B3956" s="274" t="n">
        <x:v>0.97</x:v>
      </x:c>
      <x:c r="C3956" s="274" t="n">
        <x:v>23</x:v>
      </x:c>
      <x:c r="D3956" s="274" t="n">
        <x:v>36</x:v>
      </x:c>
      <x:c r="E3956" s="274" t="n">
        <x:v>33</x:v>
      </x:c>
      <x:c r="F3956" s="274" t="s">
        <x:v>3412</x:v>
      </x:c>
      <x:c r="G3956" s="274" t="s">
        <x:v>6622</x:v>
      </x:c>
      <x:c r="H3956" s="274" t="s">
        <x:v>837</x:v>
      </x:c>
      <x:c r="I3956" s="274" t="n">
        <x:v>0.8</x:v>
      </x:c>
      <x:c r="J3956" s="274" t="n">
        <x:v>370</x:v>
      </x:c>
      <x:c r="K3956" s="274" t="n">
        <x:v>415</x:v>
      </x:c>
      <x:c r="M3956" s="274" t="s">
        <x:v>3921</x:v>
      </x:c>
      <x:c r="N3956" s="274" t="s">
        <x:v>831</x:v>
      </x:c>
    </x:row>
    <x:row r="3957" spans="1:14">
      <x:c r="A3957" s="274" t="s">
        <x:v>7329</x:v>
      </x:c>
      <x:c r="B3957" s="274" t="n">
        <x:v>3.1</x:v>
      </x:c>
      <x:c r="C3957" s="274" t="n">
        <x:v>0</x:v>
      </x:c>
      <x:c r="D3957" s="274" t="n">
        <x:v>33</x:v>
      </x:c>
      <x:c r="E3957" s="274" t="n">
        <x:v>30</x:v>
      </x:c>
      <x:c r="F3957" s="274" t="s">
        <x:v>3412</x:v>
      </x:c>
      <x:c r="G3957" s="274" t="s">
        <x:v>6622</x:v>
      </x:c>
      <x:c r="H3957" s="274" t="s">
        <x:v>837</x:v>
      </x:c>
      <x:c r="I3957" s="274" t="n">
        <x:v>0.8</x:v>
      </x:c>
      <x:c r="J3957" s="274" t="n">
        <x:v>600</x:v>
      </x:c>
      <x:c r="K3957" s="274" t="n">
        <x:v>820</x:v>
      </x:c>
      <x:c r="M3957" s="274" t="s">
        <x:v>3166</x:v>
      </x:c>
      <x:c r="N3957" s="274" t="s">
        <x:v>831</x:v>
      </x:c>
    </x:row>
    <x:row r="3958" spans="1:14">
      <x:c r="A3958" s="274" t="s">
        <x:v>7330</x:v>
      </x:c>
      <x:c r="B3958" s="274" t="n">
        <x:v>3.78</x:v>
      </x:c>
      <x:c r="C3958" s="274" t="n">
        <x:v>0</x:v>
      </x:c>
      <x:c r="D3958" s="274" t="n">
        <x:v>35</x:v>
      </x:c>
      <x:c r="F3958" s="274" t="s">
        <x:v>333</x:v>
      </x:c>
      <x:c r="G3958" s="274" t="s">
        <x:v>153</x:v>
      </x:c>
      <x:c r="I3958" s="274" t="n">
        <x:v>1.6</x:v>
      </x:c>
      <x:c r="J3958" s="274" t="n">
        <x:v>510</x:v>
      </x:c>
      <x:c r="K3958" s="274" t="n">
        <x:v>770</x:v>
      </x:c>
      <x:c r="L3958" s="274" t="n">
        <x:v>410</x:v>
      </x:c>
      <x:c r="M3958" s="274" t="s">
        <x:v>5135</x:v>
      </x:c>
      <x:c r="N3958" s="274" t="s">
        <x:v>3671</x:v>
      </x:c>
    </x:row>
    <x:row r="3959" spans="1:14">
      <x:c r="A3959" s="274" t="s">
        <x:v>7331</x:v>
      </x:c>
      <x:c r="B3959" s="274" t="n">
        <x:v>5.6</x:v>
      </x:c>
      <x:c r="C3959" s="274" t="n">
        <x:v>0</x:v>
      </x:c>
      <x:c r="D3959" s="274" t="n">
        <x:v>0</x:v>
      </x:c>
      <x:c r="F3959" s="274" t="s">
        <x:v>333</x:v>
      </x:c>
      <x:c r="G3959" s="274" t="s">
        <x:v>4663</x:v>
      </x:c>
      <x:c r="I3959" s="274" t="n">
        <x:v>1.4</x:v>
      </x:c>
      <x:c r="J3959" s="274" t="n">
        <x:v>408</x:v>
      </x:c>
      <x:c r="K3959" s="274" t="n">
        <x:v>1250</x:v>
      </x:c>
      <x:c r="M3959" s="274" t="s">
        <x:v>4817</x:v>
      </x:c>
      <x:c r="N3959" s="274" t="s">
        <x:v>4258</x:v>
      </x:c>
    </x:row>
    <x:row r="3960" spans="1:14">
      <x:c r="A3960" s="274" t="s">
        <x:v>7332</x:v>
      </x:c>
      <x:c r="B3960" s="274" t="n">
        <x:v>2.34</x:v>
      </x:c>
      <x:c r="C3960" s="274" t="n">
        <x:v>0</x:v>
      </x:c>
      <x:c r="D3960" s="274" t="n">
        <x:v>0</x:v>
      </x:c>
      <x:c r="F3960" s="274" t="s">
        <x:v>184</x:v>
      </x:c>
      <x:c r="G3960" s="274" t="s">
        <x:v>4782</x:v>
      </x:c>
      <x:c r="H3960" s="274" t="s">
        <x:v>4471</x:v>
      </x:c>
      <x:c r="I3960" s="274" t="n">
        <x:v>2</x:v>
      </x:c>
      <x:c r="J3960" s="274" t="n">
        <x:v>201</x:v>
      </x:c>
      <x:c r="K3960" s="274" t="n">
        <x:v>736</x:v>
      </x:c>
      <x:c r="M3960" s="274" t="s">
        <x:v>5338</x:v>
      </x:c>
      <x:c r="N3960" s="274" t="s">
        <x:v>4258</x:v>
      </x:c>
    </x:row>
    <x:row r="3961" spans="1:14">
      <x:c r="A3961" s="274" t="s">
        <x:v>7333</x:v>
      </x:c>
      <x:c r="B3961" s="274" t="n">
        <x:v>0.83</x:v>
      </x:c>
      <x:c r="C3961" s="274" t="n">
        <x:v>0</x:v>
      </x:c>
      <x:c r="D3961" s="274" t="n">
        <x:v>0</x:v>
      </x:c>
      <x:c r="F3961" s="274" t="s">
        <x:v>184</x:v>
      </x:c>
      <x:c r="G3961" s="274" t="s">
        <x:v>4782</x:v>
      </x:c>
      <x:c r="H3961" s="274" t="s">
        <x:v>4471</x:v>
      </x:c>
      <x:c r="I3961" s="274" t="n">
        <x:v>2</x:v>
      </x:c>
      <x:c r="J3961" s="274" t="n">
        <x:v>106</x:v>
      </x:c>
      <x:c r="K3961" s="274" t="n">
        <x:v>496</x:v>
      </x:c>
      <x:c r="M3961" s="274" t="s">
        <x:v>4993</x:v>
      </x:c>
      <x:c r="N3961" s="274" t="s">
        <x:v>4258</x:v>
      </x:c>
    </x:row>
    <x:row r="3962" spans="1:14">
      <x:c r="A3962" s="274" t="s">
        <x:v>7334</x:v>
      </x:c>
      <x:c r="B3962" s="274" t="n">
        <x:v>1.86</x:v>
      </x:c>
      <x:c r="C3962" s="274" t="n">
        <x:v>0</x:v>
      </x:c>
      <x:c r="D3962" s="274" t="n">
        <x:v>0</x:v>
      </x:c>
      <x:c r="F3962" s="274" t="s">
        <x:v>184</x:v>
      </x:c>
      <x:c r="G3962" s="274" t="s">
        <x:v>4782</x:v>
      </x:c>
      <x:c r="H3962" s="274" t="s">
        <x:v>4471</x:v>
      </x:c>
      <x:c r="I3962" s="274" t="n">
        <x:v>2</x:v>
      </x:c>
      <x:c r="J3962" s="274" t="n">
        <x:v>245</x:v>
      </x:c>
      <x:c r="K3962" s="274" t="n">
        <x:v>480</x:v>
      </x:c>
      <x:c r="M3962" s="274" t="s">
        <x:v>7335</x:v>
      </x:c>
      <x:c r="N3962" s="274" t="s">
        <x:v>4258</x:v>
      </x:c>
    </x:row>
    <x:row r="3963" spans="1:14">
      <x:c r="A3963" s="274" t="s">
        <x:v>7336</x:v>
      </x:c>
      <x:c r="B3963" s="274" t="n">
        <x:v>2.28</x:v>
      </x:c>
      <x:c r="C3963" s="274" t="n">
        <x:v>0</x:v>
      </x:c>
      <x:c r="D3963" s="274" t="n">
        <x:v>0</x:v>
      </x:c>
      <x:c r="F3963" s="274" t="s">
        <x:v>184</x:v>
      </x:c>
      <x:c r="G3963" s="274" t="s">
        <x:v>4782</x:v>
      </x:c>
      <x:c r="H3963" s="274" t="s">
        <x:v>4471</x:v>
      </x:c>
      <x:c r="I3963" s="274" t="n">
        <x:v>2</x:v>
      </x:c>
      <x:c r="J3963" s="274" t="n">
        <x:v>202</x:v>
      </x:c>
      <x:c r="K3963" s="274" t="n">
        <x:v>715</x:v>
      </x:c>
      <x:c r="M3963" s="274" t="s">
        <x:v>7337</x:v>
      </x:c>
      <x:c r="N3963" s="274" t="s">
        <x:v>4258</x:v>
      </x:c>
    </x:row>
    <x:row r="3964" spans="1:14">
      <x:c r="A3964" s="274" t="s">
        <x:v>7338</x:v>
      </x:c>
      <x:c r="B3964" s="274" t="n">
        <x:v>0.65</x:v>
      </x:c>
      <x:c r="C3964" s="274" t="n">
        <x:v>0</x:v>
      </x:c>
      <x:c r="D3964" s="274" t="n">
        <x:v>0</x:v>
      </x:c>
      <x:c r="F3964" s="274" t="s">
        <x:v>184</x:v>
      </x:c>
      <x:c r="G3964" s="274" t="s">
        <x:v>4782</x:v>
      </x:c>
      <x:c r="H3964" s="274" t="s">
        <x:v>4471</x:v>
      </x:c>
      <x:c r="I3964" s="274" t="n">
        <x:v>2</x:v>
      </x:c>
      <x:c r="J3964" s="274" t="n">
        <x:v>145</x:v>
      </x:c>
      <x:c r="K3964" s="274" t="n">
        <x:v>285</x:v>
      </x:c>
      <x:c r="M3964" s="274" t="s">
        <x:v>7339</x:v>
      </x:c>
      <x:c r="N3964" s="274" t="s">
        <x:v>4258</x:v>
      </x:c>
    </x:row>
    <x:row r="3965" spans="1:14">
      <x:c r="A3965" s="274" t="s">
        <x:v>7340</x:v>
      </x:c>
      <x:c r="B3965" s="274" t="n">
        <x:v>0.33</x:v>
      </x:c>
      <x:c r="C3965" s="274" t="n">
        <x:v>0</x:v>
      </x:c>
      <x:c r="D3965" s="274" t="n">
        <x:v>0</x:v>
      </x:c>
      <x:c r="F3965" s="274" t="s">
        <x:v>184</x:v>
      </x:c>
      <x:c r="G3965" s="274" t="s">
        <x:v>4782</x:v>
      </x:c>
      <x:c r="H3965" s="274" t="s">
        <x:v>4471</x:v>
      </x:c>
      <x:c r="I3965" s="274" t="n">
        <x:v>2</x:v>
      </x:c>
      <x:c r="J3965" s="274" t="n">
        <x:v>180</x:v>
      </x:c>
      <x:c r="K3965" s="274" t="n">
        <x:v>115</x:v>
      </x:c>
      <x:c r="M3965" s="274" t="s">
        <x:v>4991</x:v>
      </x:c>
      <x:c r="N3965" s="274" t="s">
        <x:v>4258</x:v>
      </x:c>
    </x:row>
    <x:row r="3966" spans="1:14">
      <x:c r="A3966" s="274" t="s">
        <x:v>7341</x:v>
      </x:c>
      <x:c r="B3966" s="274" t="n">
        <x:v>1.28</x:v>
      </x:c>
      <x:c r="C3966" s="274" t="n">
        <x:v>0</x:v>
      </x:c>
      <x:c r="D3966" s="274" t="n">
        <x:v>0</x:v>
      </x:c>
      <x:c r="F3966" s="274" t="s">
        <x:v>333</x:v>
      </x:c>
      <x:c r="G3966" s="274" t="s">
        <x:v>4663</x:v>
      </x:c>
      <x:c r="I3966" s="274" t="n">
        <x:v>2</x:v>
      </x:c>
      <x:c r="J3966" s="274" t="n">
        <x:v>158</x:v>
      </x:c>
      <x:c r="K3966" s="274" t="n">
        <x:v>518</x:v>
      </x:c>
      <x:c r="M3966" s="274" t="s">
        <x:v>4946</x:v>
      </x:c>
      <x:c r="N3966" s="274" t="s">
        <x:v>4258</x:v>
      </x:c>
    </x:row>
    <x:row r="3967" spans="1:14">
      <x:c r="A3967" s="274" t="s">
        <x:v>7342</x:v>
      </x:c>
      <x:c r="B3967" s="274" t="n">
        <x:v>0.6</x:v>
      </x:c>
      <x:c r="C3967" s="274" t="n">
        <x:v>0</x:v>
      </x:c>
      <x:c r="D3967" s="274" t="n">
        <x:v>0</x:v>
      </x:c>
      <x:c r="F3967" s="274" t="s">
        <x:v>133</x:v>
      </x:c>
      <x:c r="G3967" s="274" t="s">
        <x:v>4329</x:v>
      </x:c>
      <x:c r="I3967" s="274" t="n">
        <x:v>1.6</x:v>
      </x:c>
      <x:c r="J3967" s="274" t="n">
        <x:v>106</x:v>
      </x:c>
      <x:c r="K3967" s="274" t="n">
        <x:v>450</x:v>
      </x:c>
      <x:c r="M3967" s="274" t="s">
        <x:v>5197</x:v>
      </x:c>
      <x:c r="N3967" s="274" t="s">
        <x:v>4258</x:v>
      </x:c>
    </x:row>
    <x:row r="3968" spans="1:14">
      <x:c r="A3968" s="274" t="s">
        <x:v>7343</x:v>
      </x:c>
      <x:c r="B3968" s="274" t="n">
        <x:v>4.32</x:v>
      </x:c>
      <x:c r="C3968" s="274" t="n">
        <x:v>0</x:v>
      </x:c>
      <x:c r="D3968" s="274" t="n">
        <x:v>0</x:v>
      </x:c>
      <x:c r="F3968" s="274" t="s">
        <x:v>333</x:v>
      </x:c>
      <x:c r="G3968" s="274" t="s">
        <x:v>4663</x:v>
      </x:c>
      <x:c r="I3968" s="274" t="n">
        <x:v>1.6</x:v>
      </x:c>
      <x:c r="J3968" s="274" t="n">
        <x:v>419</x:v>
      </x:c>
      <x:c r="K3968" s="274" t="n">
        <x:v>820</x:v>
      </x:c>
      <x:c r="M3968" s="274" t="s">
        <x:v>4918</x:v>
      </x:c>
      <x:c r="N3968" s="274" t="s">
        <x:v>4258</x:v>
      </x:c>
    </x:row>
    <x:row r="3969" spans="1:14">
      <x:c r="A3969" s="274" t="s">
        <x:v>7344</x:v>
      </x:c>
      <x:c r="B3969" s="274" t="n">
        <x:v>0.75</x:v>
      </x:c>
      <x:c r="C3969" s="274" t="n">
        <x:v>0</x:v>
      </x:c>
      <x:c r="D3969" s="274" t="n">
        <x:v>0</x:v>
      </x:c>
      <x:c r="F3969" s="274" t="s">
        <x:v>133</x:v>
      </x:c>
      <x:c r="G3969" s="274" t="s">
        <x:v>4470</x:v>
      </x:c>
      <x:c r="H3969" s="274" t="s">
        <x:v>4471</x:v>
      </x:c>
      <x:c r="I3969" s="274" t="n">
        <x:v>1.2</x:v>
      </x:c>
      <x:c r="J3969" s="274" t="n">
        <x:v>192</x:v>
      </x:c>
      <x:c r="K3969" s="274" t="n">
        <x:v>412</x:v>
      </x:c>
      <x:c r="M3969" s="274" t="s">
        <x:v>4757</x:v>
      </x:c>
      <x:c r="N3969" s="274" t="s">
        <x:v>4258</x:v>
      </x:c>
    </x:row>
    <x:row r="3970" spans="1:14">
      <x:c r="A3970" s="274" t="s">
        <x:v>7345</x:v>
      </x:c>
      <x:c r="B3970" s="274" t="n">
        <x:v>0.73</x:v>
      </x:c>
      <x:c r="C3970" s="274" t="n">
        <x:v>0</x:v>
      </x:c>
      <x:c r="D3970" s="274" t="n">
        <x:v>0</x:v>
      </x:c>
      <x:c r="F3970" s="274" t="s">
        <x:v>133</x:v>
      </x:c>
      <x:c r="G3970" s="274" t="s">
        <x:v>4470</x:v>
      </x:c>
      <x:c r="H3970" s="274" t="s">
        <x:v>4471</x:v>
      </x:c>
      <x:c r="I3970" s="274" t="n">
        <x:v>1.2</x:v>
      </x:c>
      <x:c r="J3970" s="274" t="n">
        <x:v>197</x:v>
      </x:c>
      <x:c r="K3970" s="274" t="n">
        <x:v>387</x:v>
      </x:c>
      <x:c r="M3970" s="274" t="s">
        <x:v>4759</x:v>
      </x:c>
      <x:c r="N3970" s="274" t="s">
        <x:v>4258</x:v>
      </x:c>
    </x:row>
    <x:row r="3971" spans="1:14">
      <x:c r="A3971" s="274" t="s">
        <x:v>7346</x:v>
      </x:c>
      <x:c r="B3971" s="274" t="n">
        <x:v>5.28</x:v>
      </x:c>
      <x:c r="C3971" s="274" t="n">
        <x:v>0</x:v>
      </x:c>
      <x:c r="D3971" s="274" t="n">
        <x:v>0</x:v>
      </x:c>
      <x:c r="F3971" s="274" t="s">
        <x:v>133</x:v>
      </x:c>
      <x:c r="G3971" s="274" t="s">
        <x:v>4663</x:v>
      </x:c>
      <x:c r="I3971" s="274" t="n">
        <x:v>1.2</x:v>
      </x:c>
      <x:c r="J3971" s="274" t="n">
        <x:v>1368</x:v>
      </x:c>
      <x:c r="K3971" s="274" t="n">
        <x:v>410</x:v>
      </x:c>
      <x:c r="M3971" s="274" t="s">
        <x:v>6417</x:v>
      </x:c>
      <x:c r="N3971" s="274" t="s">
        <x:v>4258</x:v>
      </x:c>
    </x:row>
    <x:row r="3972" spans="1:14">
      <x:c r="A3972" s="274" t="s">
        <x:v>7347</x:v>
      </x:c>
      <x:c r="B3972" s="274" t="n">
        <x:v>0.79</x:v>
      </x:c>
      <x:c r="C3972" s="274" t="n">
        <x:v>0</x:v>
      </x:c>
      <x:c r="D3972" s="274" t="n">
        <x:v>0</x:v>
      </x:c>
      <x:c r="F3972" s="274" t="s">
        <x:v>3412</x:v>
      </x:c>
      <x:c r="G3972" s="274" t="s">
        <x:v>5370</x:v>
      </x:c>
      <x:c r="H3972" s="274" t="s">
        <x:v>4471</x:v>
      </x:c>
      <x:c r="I3972" s="274" t="n">
        <x:v>2</x:v>
      </x:c>
      <x:c r="J3972" s="274" t="n">
        <x:v>167</x:v>
      </x:c>
      <x:c r="K3972" s="274" t="n">
        <x:v>300</x:v>
      </x:c>
      <x:c r="M3972" s="274" t="s">
        <x:v>7348</x:v>
      </x:c>
      <x:c r="N3972" s="274" t="s">
        <x:v>4258</x:v>
      </x:c>
    </x:row>
    <x:row r="3973" spans="1:14">
      <x:c r="A3973" s="274" t="s">
        <x:v>7349</x:v>
      </x:c>
      <x:c r="B3973" s="274" t="n">
        <x:v>0.96</x:v>
      </x:c>
      <x:c r="C3973" s="274" t="n">
        <x:v>0</x:v>
      </x:c>
      <x:c r="D3973" s="274" t="n">
        <x:v>0</x:v>
      </x:c>
      <x:c r="F3973" s="274" t="s">
        <x:v>133</x:v>
      </x:c>
      <x:c r="G3973" s="274" t="s">
        <x:v>4470</x:v>
      </x:c>
      <x:c r="H3973" s="274" t="s">
        <x:v>4471</x:v>
      </x:c>
      <x:c r="I3973" s="274" t="n">
        <x:v>1.4</x:v>
      </x:c>
      <x:c r="J3973" s="274" t="n">
        <x:v>452</x:v>
      </x:c>
      <x:c r="K3973" s="274" t="n">
        <x:v>191</x:v>
      </x:c>
      <x:c r="M3973" s="274" t="s">
        <x:v>5055</x:v>
      </x:c>
      <x:c r="N3973" s="274" t="s">
        <x:v>4258</x:v>
      </x:c>
    </x:row>
    <x:row r="3974" spans="1:14">
      <x:c r="A3974" s="274" t="s">
        <x:v>7350</x:v>
      </x:c>
      <x:c r="B3974" s="274" t="n">
        <x:v>0.48</x:v>
      </x:c>
      <x:c r="C3974" s="274" t="n">
        <x:v>0</x:v>
      </x:c>
      <x:c r="D3974" s="274" t="n">
        <x:v>0</x:v>
      </x:c>
      <x:c r="F3974" s="274" t="s">
        <x:v>333</x:v>
      </x:c>
      <x:c r="G3974" s="274" t="s">
        <x:v>4796</x:v>
      </x:c>
      <x:c r="I3974" s="274" t="n">
        <x:v>0.8</x:v>
      </x:c>
      <x:c r="J3974" s="274" t="n">
        <x:v>448</x:v>
      </x:c>
      <x:c r="K3974" s="274" t="n">
        <x:v>171</x:v>
      </x:c>
      <x:c r="M3974" s="274" t="s">
        <x:v>5677</x:v>
      </x:c>
      <x:c r="N3974" s="274" t="s">
        <x:v>4258</x:v>
      </x:c>
    </x:row>
    <x:row r="3975" spans="1:14">
      <x:c r="A3975" s="274" t="s">
        <x:v>7351</x:v>
      </x:c>
      <x:c r="B3975" s="274" t="n">
        <x:v>0.24</x:v>
      </x:c>
      <x:c r="C3975" s="274" t="n">
        <x:v>0</x:v>
      </x:c>
      <x:c r="D3975" s="274" t="n">
        <x:v>0</x:v>
      </x:c>
      <x:c r="F3975" s="274" t="s">
        <x:v>123</x:v>
      </x:c>
      <x:c r="G3975" s="274" t="s">
        <x:v>4256</x:v>
      </x:c>
      <x:c r="I3975" s="274" t="n">
        <x:v>0.8</x:v>
      </x:c>
      <x:c r="J3975" s="274" t="n">
        <x:v>380</x:v>
      </x:c>
      <x:c r="K3975" s="274" t="n">
        <x:v>100</x:v>
      </x:c>
      <x:c r="M3975" s="274" t="s">
        <x:v>7352</x:v>
      </x:c>
      <x:c r="N3975" s="274" t="s">
        <x:v>4258</x:v>
      </x:c>
    </x:row>
    <x:row r="3976" spans="1:14">
      <x:c r="A3976" s="274" t="s">
        <x:v>7353</x:v>
      </x:c>
      <x:c r="B3976" s="274" t="n">
        <x:v>2.99</x:v>
      </x:c>
      <x:c r="C3976" s="274" t="n">
        <x:v>0</x:v>
      </x:c>
      <x:c r="D3976" s="274" t="n">
        <x:v>0</x:v>
      </x:c>
      <x:c r="F3976" s="274" t="s">
        <x:v>184</x:v>
      </x:c>
      <x:c r="G3976" s="274" t="s">
        <x:v>4782</x:v>
      </x:c>
      <x:c r="H3976" s="274" t="s">
        <x:v>4471</x:v>
      </x:c>
      <x:c r="I3976" s="274" t="n">
        <x:v>1.4</x:v>
      </x:c>
      <x:c r="J3976" s="274" t="n">
        <x:v>710</x:v>
      </x:c>
      <x:c r="K3976" s="274" t="n">
        <x:v>380</x:v>
      </x:c>
      <x:c r="M3976" s="274" t="s">
        <x:v>7354</x:v>
      </x:c>
      <x:c r="N3976" s="274" t="s">
        <x:v>4258</x:v>
      </x:c>
    </x:row>
    <x:row r="3977" spans="1:14">
      <x:c r="A3977" s="274" t="s">
        <x:v>7355</x:v>
      </x:c>
      <x:c r="B3977" s="274" t="n">
        <x:v>0.55</x:v>
      </x:c>
      <x:c r="C3977" s="274" t="n">
        <x:v>0</x:v>
      </x:c>
      <x:c r="D3977" s="274" t="n">
        <x:v>0</x:v>
      </x:c>
      <x:c r="F3977" s="274" t="s">
        <x:v>123</x:v>
      </x:c>
      <x:c r="G3977" s="274" t="s">
        <x:v>4787</x:v>
      </x:c>
      <x:c r="H3977" s="274" t="s">
        <x:v>4471</x:v>
      </x:c>
      <x:c r="I3977" s="274" t="n">
        <x:v>0.8</x:v>
      </x:c>
      <x:c r="J3977" s="274" t="n">
        <x:v>723</x:v>
      </x:c>
      <x:c r="K3977" s="274" t="n">
        <x:v>119</x:v>
      </x:c>
      <x:c r="M3977" s="274" t="s">
        <x:v>7356</x:v>
      </x:c>
      <x:c r="N3977" s="274" t="s">
        <x:v>4258</x:v>
      </x:c>
    </x:row>
    <x:row r="3978" spans="1:14">
      <x:c r="A3978" s="274" t="s">
        <x:v>7357</x:v>
      </x:c>
      <x:c r="B3978" s="274" t="n">
        <x:v>1.39</x:v>
      </x:c>
      <x:c r="C3978" s="274" t="n">
        <x:v>0</x:v>
      </x:c>
      <x:c r="D3978" s="274" t="n">
        <x:v>0</x:v>
      </x:c>
      <x:c r="F3978" s="274" t="s">
        <x:v>184</x:v>
      </x:c>
      <x:c r="G3978" s="274" t="s">
        <x:v>4782</x:v>
      </x:c>
      <x:c r="H3978" s="274" t="s">
        <x:v>4471</x:v>
      </x:c>
      <x:c r="I3978" s="274" t="n">
        <x:v>1.4</x:v>
      </x:c>
      <x:c r="J3978" s="274" t="n">
        <x:v>463</x:v>
      </x:c>
      <x:c r="K3978" s="274" t="n">
        <x:v>272</x:v>
      </x:c>
      <x:c r="M3978" s="274" t="s">
        <x:v>5053</x:v>
      </x:c>
      <x:c r="N3978" s="274" t="s">
        <x:v>4258</x:v>
      </x:c>
    </x:row>
    <x:row r="3979" spans="1:14">
      <x:c r="A3979" s="274" t="s">
        <x:v>7358</x:v>
      </x:c>
      <x:c r="B3979" s="274" t="n">
        <x:v>0.51</x:v>
      </x:c>
      <x:c r="C3979" s="274" t="n">
        <x:v>0</x:v>
      </x:c>
      <x:c r="D3979" s="274" t="n">
        <x:v>0</x:v>
      </x:c>
      <x:c r="F3979" s="274" t="s">
        <x:v>184</x:v>
      </x:c>
      <x:c r="G3979" s="274" t="s">
        <x:v>4782</x:v>
      </x:c>
      <x:c r="H3979" s="274" t="s">
        <x:v>4471</x:v>
      </x:c>
      <x:c r="I3979" s="274" t="n">
        <x:v>0.8</x:v>
      </x:c>
      <x:c r="J3979" s="274" t="n">
        <x:v>175</x:v>
      </x:c>
      <x:c r="K3979" s="274" t="n">
        <x:v>455</x:v>
      </x:c>
      <x:c r="M3979" s="274" t="s">
        <x:v>7359</x:v>
      </x:c>
      <x:c r="N3979" s="274" t="s">
        <x:v>4258</x:v>
      </x:c>
    </x:row>
    <x:row r="3980" spans="1:14">
      <x:c r="A3980" s="274" t="s">
        <x:v>7360</x:v>
      </x:c>
      <x:c r="B3980" s="274" t="n">
        <x:v>1.97</x:v>
      </x:c>
      <x:c r="C3980" s="274" t="n">
        <x:v>0</x:v>
      </x:c>
      <x:c r="D3980" s="274" t="n">
        <x:v>0</x:v>
      </x:c>
      <x:c r="F3980" s="274" t="s">
        <x:v>333</x:v>
      </x:c>
      <x:c r="G3980" s="274" t="s">
        <x:v>4663</x:v>
      </x:c>
      <x:c r="I3980" s="274" t="n">
        <x:v>1</x:v>
      </x:c>
      <x:c r="J3980" s="274" t="n">
        <x:v>597</x:v>
      </x:c>
      <x:c r="K3980" s="274" t="n">
        <x:v>421</x:v>
      </x:c>
      <x:c r="M3980" s="274" t="s">
        <x:v>5089</x:v>
      </x:c>
      <x:c r="N3980" s="274" t="s">
        <x:v>4258</x:v>
      </x:c>
    </x:row>
    <x:row r="3981" spans="1:14">
      <x:c r="A3981" s="274" t="s">
        <x:v>7361</x:v>
      </x:c>
      <x:c r="B3981" s="274" t="n">
        <x:v>1.27</x:v>
      </x:c>
      <x:c r="C3981" s="274" t="n">
        <x:v>0</x:v>
      </x:c>
      <x:c r="D3981" s="274" t="n">
        <x:v>0</x:v>
      </x:c>
      <x:c r="F3981" s="274" t="s">
        <x:v>333</x:v>
      </x:c>
      <x:c r="G3981" s="274" t="s">
        <x:v>4663</x:v>
      </x:c>
      <x:c r="I3981" s="274" t="n">
        <x:v>1</x:v>
      </x:c>
      <x:c r="J3981" s="274" t="n">
        <x:v>1090</x:v>
      </x:c>
      <x:c r="K3981" s="274" t="n">
        <x:v>148</x:v>
      </x:c>
      <x:c r="M3981" s="274" t="s">
        <x:v>5096</x:v>
      </x:c>
      <x:c r="N3981" s="274" t="s">
        <x:v>4258</x:v>
      </x:c>
    </x:row>
    <x:row r="3982" spans="1:14">
      <x:c r="A3982" s="274" t="s">
        <x:v>7362</x:v>
      </x:c>
      <x:c r="B3982" s="274" t="n">
        <x:v>0.65</x:v>
      </x:c>
      <x:c r="C3982" s="274" t="n">
        <x:v>0</x:v>
      </x:c>
      <x:c r="D3982" s="274" t="n">
        <x:v>0</x:v>
      </x:c>
      <x:c r="F3982" s="274" t="s">
        <x:v>184</x:v>
      </x:c>
      <x:c r="G3982" s="274" t="s">
        <x:v>4782</x:v>
      </x:c>
      <x:c r="H3982" s="274" t="s">
        <x:v>4471</x:v>
      </x:c>
      <x:c r="I3982" s="274" t="n">
        <x:v>1</x:v>
      </x:c>
      <x:c r="J3982" s="274" t="n">
        <x:v>217</x:v>
      </x:c>
      <x:c r="K3982" s="274" t="n">
        <x:v>375</x:v>
      </x:c>
      <x:c r="M3982" s="274" t="s">
        <x:v>7363</x:v>
      </x:c>
      <x:c r="N3982" s="274" t="s">
        <x:v>4258</x:v>
      </x:c>
    </x:row>
    <x:row r="3983" spans="1:14">
      <x:c r="A3983" s="274" t="s">
        <x:v>7364</x:v>
      </x:c>
      <x:c r="B3983" s="274" t="n">
        <x:v>0.61</x:v>
      </x:c>
      <x:c r="C3983" s="274" t="n">
        <x:v>0</x:v>
      </x:c>
      <x:c r="D3983" s="274" t="n">
        <x:v>0</x:v>
      </x:c>
      <x:c r="F3983" s="274" t="s">
        <x:v>184</x:v>
      </x:c>
      <x:c r="G3983" s="274" t="s">
        <x:v>4782</x:v>
      </x:c>
      <x:c r="H3983" s="274" t="s">
        <x:v>4471</x:v>
      </x:c>
      <x:c r="I3983" s="274" t="n">
        <x:v>1</x:v>
      </x:c>
      <x:c r="J3983" s="274" t="n">
        <x:v>125</x:v>
      </x:c>
      <x:c r="K3983" s="274" t="n">
        <x:v>611</x:v>
      </x:c>
      <x:c r="M3983" s="274" t="s">
        <x:v>4924</x:v>
      </x:c>
      <x:c r="N3983" s="274" t="s">
        <x:v>4258</x:v>
      </x:c>
    </x:row>
    <x:row r="3984" spans="1:14">
      <x:c r="A3984" s="274" t="s">
        <x:v>7365</x:v>
      </x:c>
      <x:c r="B3984" s="274" t="n">
        <x:v>1.51</x:v>
      </x:c>
      <x:c r="C3984" s="274" t="n">
        <x:v>0</x:v>
      </x:c>
      <x:c r="D3984" s="274" t="n">
        <x:v>0</x:v>
      </x:c>
      <x:c r="F3984" s="274" t="s">
        <x:v>184</x:v>
      </x:c>
      <x:c r="G3984" s="274" t="s">
        <x:v>4782</x:v>
      </x:c>
      <x:c r="H3984" s="274" t="s">
        <x:v>4471</x:v>
      </x:c>
      <x:c r="I3984" s="274" t="n">
        <x:v>1</x:v>
      </x:c>
      <x:c r="J3984" s="274" t="n">
        <x:v>1055</x:v>
      </x:c>
      <x:c r="K3984" s="274" t="n">
        <x:v>180</x:v>
      </x:c>
      <x:c r="M3984" s="274" t="s">
        <x:v>4980</x:v>
      </x:c>
      <x:c r="N3984" s="274" t="s">
        <x:v>4258</x:v>
      </x:c>
    </x:row>
    <x:row r="3985" spans="1:14">
      <x:c r="A3985" s="274" t="s">
        <x:v>7366</x:v>
      </x:c>
      <x:c r="B3985" s="274" t="n">
        <x:v>0.57</x:v>
      </x:c>
      <x:c r="C3985" s="274" t="n">
        <x:v>0</x:v>
      </x:c>
      <x:c r="D3985" s="274" t="n">
        <x:v>0</x:v>
      </x:c>
      <x:c r="F3985" s="274" t="s">
        <x:v>184</x:v>
      </x:c>
      <x:c r="G3985" s="274" t="s">
        <x:v>4782</x:v>
      </x:c>
      <x:c r="H3985" s="274" t="s">
        <x:v>4471</x:v>
      </x:c>
      <x:c r="I3985" s="274" t="n">
        <x:v>1</x:v>
      </x:c>
      <x:c r="J3985" s="274" t="n">
        <x:v>140</x:v>
      </x:c>
      <x:c r="K3985" s="274" t="n">
        <x:v>512</x:v>
      </x:c>
      <x:c r="M3985" s="274" t="s">
        <x:v>7367</x:v>
      </x:c>
      <x:c r="N3985" s="274" t="s">
        <x:v>4258</x:v>
      </x:c>
    </x:row>
    <x:row r="3986" spans="1:14">
      <x:c r="A3986" s="274" t="s">
        <x:v>7368</x:v>
      </x:c>
      <x:c r="B3986" s="274" t="n">
        <x:v>0.34</x:v>
      </x:c>
      <x:c r="C3986" s="274" t="n">
        <x:v>0</x:v>
      </x:c>
      <x:c r="D3986" s="274" t="n">
        <x:v>0</x:v>
      </x:c>
      <x:c r="F3986" s="274" t="s">
        <x:v>333</x:v>
      </x:c>
      <x:c r="G3986" s="274" t="s">
        <x:v>4663</x:v>
      </x:c>
      <x:c r="I3986" s="274" t="n">
        <x:v>1.2</x:v>
      </x:c>
      <x:c r="J3986" s="274" t="n">
        <x:v>169</x:v>
      </x:c>
      <x:c r="K3986" s="274" t="n">
        <x:v>216</x:v>
      </x:c>
      <x:c r="M3986" s="274" t="s">
        <x:v>4664</x:v>
      </x:c>
      <x:c r="N3986" s="274" t="s">
        <x:v>4258</x:v>
      </x:c>
    </x:row>
    <x:row r="3987" spans="1:14">
      <x:c r="A3987" s="274" t="s">
        <x:v>7369</x:v>
      </x:c>
      <x:c r="B3987" s="274" t="n">
        <x:v>0.59</x:v>
      </x:c>
      <x:c r="C3987" s="274" t="n">
        <x:v>0</x:v>
      </x:c>
      <x:c r="D3987" s="274" t="n">
        <x:v>0</x:v>
      </x:c>
      <x:c r="F3987" s="274" t="s">
        <x:v>333</x:v>
      </x:c>
      <x:c r="G3987" s="274" t="s">
        <x:v>4663</x:v>
      </x:c>
      <x:c r="I3987" s="274" t="n">
        <x:v>1.2</x:v>
      </x:c>
      <x:c r="J3987" s="274" t="n">
        <x:v>350</x:v>
      </x:c>
      <x:c r="K3987" s="274" t="n">
        <x:v>180</x:v>
      </x:c>
      <x:c r="M3987" s="274" t="s">
        <x:v>7370</x:v>
      </x:c>
      <x:c r="N3987" s="274" t="s">
        <x:v>4258</x:v>
      </x:c>
    </x:row>
    <x:row r="3988" spans="1:14">
      <x:c r="A3988" s="274" t="s">
        <x:v>7371</x:v>
      </x:c>
      <x:c r="B3988" s="274" t="n">
        <x:v>0.52</x:v>
      </x:c>
      <x:c r="C3988" s="274" t="n">
        <x:v>0</x:v>
      </x:c>
      <x:c r="D3988" s="274" t="n">
        <x:v>0</x:v>
      </x:c>
      <x:c r="F3988" s="274" t="s">
        <x:v>333</x:v>
      </x:c>
      <x:c r="G3988" s="274" t="s">
        <x:v>4663</x:v>
      </x:c>
      <x:c r="I3988" s="274" t="n">
        <x:v>1.2</x:v>
      </x:c>
      <x:c r="J3988" s="274" t="n">
        <x:v>120</x:v>
      </x:c>
      <x:c r="K3988" s="274" t="n">
        <x:v>464</x:v>
      </x:c>
      <x:c r="M3988" s="274" t="s">
        <x:v>7372</x:v>
      </x:c>
      <x:c r="N3988" s="274" t="s">
        <x:v>4258</x:v>
      </x:c>
    </x:row>
    <x:row r="3989" spans="1:14">
      <x:c r="A3989" s="274" t="s">
        <x:v>7373</x:v>
      </x:c>
      <x:c r="B3989" s="274" t="n">
        <x:v>2.9</x:v>
      </x:c>
      <x:c r="C3989" s="274" t="n">
        <x:v>0</x:v>
      </x:c>
      <x:c r="D3989" s="274" t="n">
        <x:v>0</x:v>
      </x:c>
      <x:c r="F3989" s="274" t="s">
        <x:v>333</x:v>
      </x:c>
      <x:c r="G3989" s="274" t="s">
        <x:v>4663</x:v>
      </x:c>
      <x:c r="I3989" s="274" t="n">
        <x:v>1.2</x:v>
      </x:c>
      <x:c r="J3989" s="274" t="n">
        <x:v>246</x:v>
      </x:c>
      <x:c r="K3989" s="274" t="n">
        <x:v>1250</x:v>
      </x:c>
      <x:c r="M3989" s="274" t="s">
        <x:v>4811</x:v>
      </x:c>
      <x:c r="N3989" s="274" t="s">
        <x:v>4258</x:v>
      </x:c>
    </x:row>
    <x:row r="3990" spans="1:14">
      <x:c r="A3990" s="274" t="s">
        <x:v>7374</x:v>
      </x:c>
      <x:c r="B3990" s="274" t="n">
        <x:v>0.66</x:v>
      </x:c>
      <x:c r="C3990" s="274" t="n">
        <x:v>0</x:v>
      </x:c>
      <x:c r="D3990" s="274" t="n">
        <x:v>0</x:v>
      </x:c>
      <x:c r="F3990" s="274" t="s">
        <x:v>333</x:v>
      </x:c>
      <x:c r="G3990" s="274" t="s">
        <x:v>4663</x:v>
      </x:c>
      <x:c r="I3990" s="274" t="n">
        <x:v>1.2</x:v>
      </x:c>
      <x:c r="J3990" s="274" t="n">
        <x:v>190</x:v>
      </x:c>
      <x:c r="K3990" s="274" t="n">
        <x:v>367</x:v>
      </x:c>
      <x:c r="M3990" s="274" t="s">
        <x:v>4721</x:v>
      </x:c>
      <x:c r="N3990" s="274" t="s">
        <x:v>4258</x:v>
      </x:c>
    </x:row>
    <x:row r="3991" spans="1:14">
      <x:c r="A3991" s="274" t="s">
        <x:v>7375</x:v>
      </x:c>
      <x:c r="B3991" s="274" t="n">
        <x:v>0.88</x:v>
      </x:c>
      <x:c r="C3991" s="274" t="n">
        <x:v>0</x:v>
      </x:c>
      <x:c r="D3991" s="274" t="n">
        <x:v>0</x:v>
      </x:c>
      <x:c r="F3991" s="274" t="s">
        <x:v>333</x:v>
      </x:c>
      <x:c r="G3991" s="274" t="s">
        <x:v>4663</x:v>
      </x:c>
      <x:c r="I3991" s="274" t="n">
        <x:v>1.2</x:v>
      </x:c>
      <x:c r="J3991" s="274" t="n">
        <x:v>255</x:v>
      </x:c>
      <x:c r="K3991" s="274" t="n">
        <x:v>365</x:v>
      </x:c>
      <x:c r="M3991" s="274" t="s">
        <x:v>4723</x:v>
      </x:c>
      <x:c r="N3991" s="274" t="s">
        <x:v>4258</x:v>
      </x:c>
    </x:row>
    <x:row r="3992" spans="1:14">
      <x:c r="A3992" s="274" t="s">
        <x:v>7376</x:v>
      </x:c>
      <x:c r="B3992" s="274" t="n">
        <x:v>1.97</x:v>
      </x:c>
      <x:c r="C3992" s="274" t="n">
        <x:v>0</x:v>
      </x:c>
      <x:c r="D3992" s="274" t="n">
        <x:v>0</x:v>
      </x:c>
      <x:c r="F3992" s="274" t="s">
        <x:v>333</x:v>
      </x:c>
      <x:c r="G3992" s="274" t="s">
        <x:v>4663</x:v>
      </x:c>
      <x:c r="I3992" s="274" t="n">
        <x:v>1.2</x:v>
      </x:c>
      <x:c r="J3992" s="274" t="n">
        <x:v>898</x:v>
      </x:c>
      <x:c r="K3992" s="274" t="n">
        <x:v>233</x:v>
      </x:c>
      <x:c r="M3992" s="274" t="s">
        <x:v>4696</x:v>
      </x:c>
      <x:c r="N3992" s="274" t="s">
        <x:v>4258</x:v>
      </x:c>
    </x:row>
    <x:row r="3993" spans="1:14">
      <x:c r="A3993" s="274" t="s">
        <x:v>7377</x:v>
      </x:c>
      <x:c r="B3993" s="274" t="n">
        <x:v>0.24</x:v>
      </x:c>
      <x:c r="C3993" s="274" t="n">
        <x:v>0</x:v>
      </x:c>
      <x:c r="D3993" s="274" t="n">
        <x:v>0</x:v>
      </x:c>
      <x:c r="F3993" s="274" t="s">
        <x:v>333</x:v>
      </x:c>
      <x:c r="G3993" s="274" t="s">
        <x:v>4663</x:v>
      </x:c>
      <x:c r="I3993" s="274" t="n">
        <x:v>1.2</x:v>
      </x:c>
      <x:c r="J3993" s="274" t="n">
        <x:v>168</x:v>
      </x:c>
      <x:c r="K3993" s="274" t="n">
        <x:v>150</x:v>
      </x:c>
      <x:c r="M3993" s="274" t="s">
        <x:v>4753</x:v>
      </x:c>
      <x:c r="N3993" s="274" t="s">
        <x:v>4258</x:v>
      </x:c>
    </x:row>
    <x:row r="3994" spans="1:14">
      <x:c r="A3994" s="274" t="s">
        <x:v>7378</x:v>
      </x:c>
      <x:c r="B3994" s="274" t="n">
        <x:v>1.29</x:v>
      </x:c>
      <x:c r="C3994" s="274" t="n">
        <x:v>0</x:v>
      </x:c>
      <x:c r="D3994" s="274" t="n">
        <x:v>0</x:v>
      </x:c>
      <x:c r="F3994" s="274" t="s">
        <x:v>333</x:v>
      </x:c>
      <x:c r="G3994" s="274" t="s">
        <x:v>4663</x:v>
      </x:c>
      <x:c r="I3994" s="274" t="n">
        <x:v>1.2</x:v>
      </x:c>
      <x:c r="J3994" s="274" t="n">
        <x:v>243</x:v>
      </x:c>
      <x:c r="K3994" s="274" t="n">
        <x:v>565</x:v>
      </x:c>
      <x:c r="M3994" s="274" t="s">
        <x:v>7379</x:v>
      </x:c>
      <x:c r="N3994" s="274" t="s">
        <x:v>4258</x:v>
      </x:c>
    </x:row>
    <x:row r="3995" spans="1:14">
      <x:c r="A3995" s="274" t="s">
        <x:v>7380</x:v>
      </x:c>
      <x:c r="B3995" s="274" t="n">
        <x:v>2.48</x:v>
      </x:c>
      <x:c r="C3995" s="274" t="n">
        <x:v>0</x:v>
      </x:c>
      <x:c r="D3995" s="274" t="n">
        <x:v>0</x:v>
      </x:c>
      <x:c r="F3995" s="274" t="s">
        <x:v>333</x:v>
      </x:c>
      <x:c r="G3995" s="274" t="s">
        <x:v>5164</x:v>
      </x:c>
      <x:c r="I3995" s="274" t="n">
        <x:v>1.2</x:v>
      </x:c>
      <x:c r="J3995" s="274" t="n">
        <x:v>1095</x:v>
      </x:c>
      <x:c r="K3995" s="274" t="n">
        <x:v>240</x:v>
      </x:c>
      <x:c r="M3995" s="274" t="s">
        <x:v>7381</x:v>
      </x:c>
      <x:c r="N3995" s="274" t="s">
        <x:v>4258</x:v>
      </x:c>
    </x:row>
    <x:row r="3996" spans="1:14">
      <x:c r="A3996" s="274" t="s">
        <x:v>7382</x:v>
      </x:c>
      <x:c r="B3996" s="274" t="n">
        <x:v>0.68</x:v>
      </x:c>
      <x:c r="C3996" s="274" t="n">
        <x:v>0</x:v>
      </x:c>
      <x:c r="D3996" s="274" t="n">
        <x:v>0</x:v>
      </x:c>
      <x:c r="F3996" s="274" t="s">
        <x:v>123</x:v>
      </x:c>
      <x:c r="G3996" s="274" t="s">
        <x:v>4256</x:v>
      </x:c>
      <x:c r="I3996" s="274" t="n">
        <x:v>1.2</x:v>
      </x:c>
      <x:c r="J3996" s="274" t="n">
        <x:v>366</x:v>
      </x:c>
      <x:c r="K3996" s="274" t="n">
        <x:v>198</x:v>
      </x:c>
      <x:c r="M3996" s="274" t="s">
        <x:v>5032</x:v>
      </x:c>
      <x:c r="N3996" s="274" t="s">
        <x:v>4258</x:v>
      </x:c>
    </x:row>
    <x:row r="3997" spans="1:14">
      <x:c r="A3997" s="274" t="s">
        <x:v>7383</x:v>
      </x:c>
      <x:c r="B3997" s="274" t="n">
        <x:v>0.32</x:v>
      </x:c>
      <x:c r="C3997" s="274" t="n">
        <x:v>0</x:v>
      </x:c>
      <x:c r="D3997" s="274" t="n">
        <x:v>0</x:v>
      </x:c>
      <x:c r="F3997" s="274" t="s">
        <x:v>184</x:v>
      </x:c>
      <x:c r="G3997" s="274" t="s">
        <x:v>4782</x:v>
      </x:c>
      <x:c r="H3997" s="274" t="s">
        <x:v>4471</x:v>
      </x:c>
      <x:c r="I3997" s="274" t="n">
        <x:v>1.2</x:v>
      </x:c>
      <x:c r="J3997" s="274" t="n">
        <x:v>122</x:v>
      </x:c>
      <x:c r="K3997" s="274" t="n">
        <x:v>280</x:v>
      </x:c>
      <x:c r="M3997" s="274" t="s">
        <x:v>4807</x:v>
      </x:c>
      <x:c r="N3997" s="274" t="s">
        <x:v>4258</x:v>
      </x:c>
    </x:row>
    <x:row r="3998" spans="1:14">
      <x:c r="A3998" s="274" t="s">
        <x:v>7384</x:v>
      </x:c>
      <x:c r="B3998" s="274" t="n">
        <x:v>0.47</x:v>
      </x:c>
      <x:c r="C3998" s="274" t="n">
        <x:v>0</x:v>
      </x:c>
      <x:c r="D3998" s="274" t="n">
        <x:v>0</x:v>
      </x:c>
      <x:c r="F3998" s="274" t="s">
        <x:v>184</x:v>
      </x:c>
      <x:c r="G3998" s="274" t="s">
        <x:v>4782</x:v>
      </x:c>
      <x:c r="H3998" s="274" t="s">
        <x:v>4471</x:v>
      </x:c>
      <x:c r="I3998" s="274" t="n">
        <x:v>1.2</x:v>
      </x:c>
      <x:c r="J3998" s="274" t="n">
        <x:v>151</x:v>
      </x:c>
      <x:c r="K3998" s="274" t="n">
        <x:v>325</x:v>
      </x:c>
      <x:c r="M3998" s="274" t="s">
        <x:v>7385</x:v>
      </x:c>
      <x:c r="N3998" s="274" t="s">
        <x:v>4258</x:v>
      </x:c>
    </x:row>
    <x:row r="3999" spans="1:14">
      <x:c r="A3999" s="274" t="s">
        <x:v>7386</x:v>
      </x:c>
      <x:c r="B3999" s="274" t="n">
        <x:v>0.3</x:v>
      </x:c>
      <x:c r="C3999" s="274" t="n">
        <x:v>0</x:v>
      </x:c>
      <x:c r="D3999" s="274" t="n">
        <x:v>0</x:v>
      </x:c>
      <x:c r="F3999" s="274" t="s">
        <x:v>184</x:v>
      </x:c>
      <x:c r="G3999" s="274" t="s">
        <x:v>4782</x:v>
      </x:c>
      <x:c r="H3999" s="274" t="s">
        <x:v>4471</x:v>
      </x:c>
      <x:c r="I3999" s="274" t="n">
        <x:v>1.2</x:v>
      </x:c>
      <x:c r="J3999" s="274" t="n">
        <x:v>254</x:v>
      </x:c>
      <x:c r="K3999" s="274" t="n">
        <x:v>125</x:v>
      </x:c>
      <x:c r="M3999" s="274" t="s">
        <x:v>7387</x:v>
      </x:c>
      <x:c r="N3999" s="274" t="s">
        <x:v>4258</x:v>
      </x:c>
    </x:row>
    <x:row r="4000" spans="1:14">
      <x:c r="A4000" s="274" t="s">
        <x:v>7388</x:v>
      </x:c>
      <x:c r="B4000" s="274" t="n">
        <x:v>0.43</x:v>
      </x:c>
      <x:c r="C4000" s="274" t="n">
        <x:v>0</x:v>
      </x:c>
      <x:c r="D4000" s="274" t="n">
        <x:v>32</x:v>
      </x:c>
      <x:c r="E4000" s="274" t="n">
        <x:v>32</x:v>
      </x:c>
      <x:c r="F4000" s="274" t="s">
        <x:v>133</x:v>
      </x:c>
      <x:c r="G4000" s="274" t="s">
        <x:v>4470</x:v>
      </x:c>
      <x:c r="H4000" s="274" t="s">
        <x:v>4471</x:v>
      </x:c>
      <x:c r="I4000" s="274" t="n">
        <x:v>1</x:v>
      </x:c>
      <x:c r="J4000" s="274" t="n">
        <x:v>110</x:v>
      </x:c>
      <x:c r="K4000" s="274" t="n">
        <x:v>490</x:v>
      </x:c>
      <x:c r="M4000" s="274" t="s">
        <x:v>7389</x:v>
      </x:c>
      <x:c r="N4000" s="274" t="s">
        <x:v>4258</x:v>
      </x:c>
    </x:row>
    <x:row r="4001" spans="1:14">
      <x:c r="A4001" s="274" t="s">
        <x:v>7390</x:v>
      </x:c>
      <x:c r="B4001" s="274" t="n">
        <x:v>3.14</x:v>
      </x:c>
      <x:c r="C4001" s="274" t="n">
        <x:v>0</x:v>
      </x:c>
      <x:c r="D4001" s="274" t="n">
        <x:v>0</x:v>
      </x:c>
      <x:c r="F4001" s="274" t="s">
        <x:v>123</x:v>
      </x:c>
      <x:c r="G4001" s="274" t="s">
        <x:v>881</x:v>
      </x:c>
      <x:c r="H4001" s="274" t="n">
        <x:v>45</x:v>
      </x:c>
      <x:c r="I4001" s="274" t="n">
        <x:v>1.2</x:v>
      </x:c>
      <x:c r="J4001" s="274" t="n">
        <x:v>275</x:v>
      </x:c>
      <x:c r="K4001" s="274" t="n">
        <x:v>1200</x:v>
      </x:c>
      <x:c r="M4001" s="274" t="s">
        <x:v>7391</x:v>
      </x:c>
      <x:c r="N4001" s="274" t="s">
        <x:v>3671</x:v>
      </x:c>
    </x:row>
    <x:row r="4002" spans="1:14">
      <x:c r="A4002" s="274" t="s">
        <x:v>7392</x:v>
      </x:c>
      <x:c r="B4002" s="274" t="n">
        <x:v>5.26</x:v>
      </x:c>
      <x:c r="C4002" s="274" t="n">
        <x:v>0</x:v>
      </x:c>
      <x:c r="D4002" s="274" t="n">
        <x:v>0</x:v>
      </x:c>
      <x:c r="F4002" s="274" t="s">
        <x:v>333</x:v>
      </x:c>
      <x:c r="G4002" s="274" t="s">
        <x:v>4286</x:v>
      </x:c>
      <x:c r="I4002" s="274" t="n">
        <x:v>1.2</x:v>
      </x:c>
      <x:c r="J4002" s="274" t="n">
        <x:v>1470</x:v>
      </x:c>
      <x:c r="K4002" s="274" t="n">
        <x:v>380</x:v>
      </x:c>
      <x:c r="M4002" s="274" t="s">
        <x:v>5702</x:v>
      </x:c>
    </x:row>
    <x:row r="4003" spans="1:14">
      <x:c r="A4003" s="274" t="s">
        <x:v>7393</x:v>
      </x:c>
      <x:c r="B4003" s="274" t="n">
        <x:v>1.98</x:v>
      </x:c>
      <x:c r="C4003" s="274" t="n">
        <x:v>0</x:v>
      </x:c>
      <x:c r="D4003" s="274" t="n">
        <x:v>0</x:v>
      </x:c>
      <x:c r="F4003" s="274" t="s">
        <x:v>133</x:v>
      </x:c>
      <x:c r="G4003" s="274" t="s">
        <x:v>4761</x:v>
      </x:c>
      <x:c r="H4003" s="274" t="s">
        <x:v>4471</x:v>
      </x:c>
      <x:c r="I4003" s="274" t="n">
        <x:v>1.4</x:v>
      </x:c>
      <x:c r="J4003" s="274" t="n">
        <x:v>149</x:v>
      </x:c>
      <x:c r="K4003" s="274" t="n">
        <x:v>1200</x:v>
      </x:c>
      <x:c r="M4003" s="274" t="s">
        <x:v>7394</x:v>
      </x:c>
    </x:row>
    <x:row r="4004" spans="1:14">
      <x:c r="A4004" s="274" t="s">
        <x:v>7395</x:v>
      </x:c>
      <x:c r="B4004" s="274" t="n">
        <x:v>0.89</x:v>
      </x:c>
      <x:c r="C4004" s="274" t="n">
        <x:v>0</x:v>
      </x:c>
      <x:c r="D4004" s="274" t="n">
        <x:v>0</x:v>
      </x:c>
      <x:c r="F4004" s="274" t="s">
        <x:v>133</x:v>
      </x:c>
      <x:c r="G4004" s="274" t="s">
        <x:v>4329</x:v>
      </x:c>
      <x:c r="I4004" s="274" t="n">
        <x:v>2</x:v>
      </x:c>
      <x:c r="J4004" s="274" t="n">
        <x:v>159</x:v>
      </x:c>
      <x:c r="K4004" s="274" t="n">
        <x:v>357</x:v>
      </x:c>
      <x:c r="M4004" s="274" t="s">
        <x:v>4766</x:v>
      </x:c>
    </x:row>
    <x:row r="4005" spans="1:14">
      <x:c r="A4005" s="274" t="s">
        <x:v>7396</x:v>
      </x:c>
      <x:c r="B4005" s="274" t="n">
        <x:v>0.42</x:v>
      </x:c>
      <x:c r="C4005" s="274" t="n">
        <x:v>0</x:v>
      </x:c>
      <x:c r="D4005" s="274" t="n">
        <x:v>0</x:v>
      </x:c>
      <x:c r="F4005" s="274" t="s">
        <x:v>133</x:v>
      </x:c>
      <x:c r="G4005" s="274" t="s">
        <x:v>4329</x:v>
      </x:c>
      <x:c r="I4005" s="274" t="n">
        <x:v>2</x:v>
      </x:c>
      <x:c r="J4005" s="274" t="n">
        <x:v>62</x:v>
      </x:c>
      <x:c r="K4005" s="274" t="n">
        <x:v>433</x:v>
      </x:c>
      <x:c r="M4005" s="274" t="s">
        <x:v>7397</x:v>
      </x:c>
      <x:c r="N4005" s="274" t="s">
        <x:v>4258</x:v>
      </x:c>
    </x:row>
    <x:row r="4006" spans="1:14">
      <x:c r="A4006" s="274" t="s">
        <x:v>7398</x:v>
      </x:c>
      <x:c r="B4006" s="274" t="n">
        <x:v>11.15</x:v>
      </x:c>
      <x:c r="C4006" s="274" t="n">
        <x:v>0</x:v>
      </x:c>
      <x:c r="D4006" s="274" t="n">
        <x:v>31</x:v>
      </x:c>
      <x:c r="E4006" s="274" t="n">
        <x:v>26</x:v>
      </x:c>
      <x:c r="F4006" s="274" t="s">
        <x:v>133</x:v>
      </x:c>
      <x:c r="G4006" s="274" t="s">
        <x:v>1728</x:v>
      </x:c>
      <x:c r="H4006" s="274" t="n">
        <x:v>45</x:v>
      </x:c>
      <x:c r="I4006" s="274" t="n">
        <x:v>0.9</x:v>
      </x:c>
      <x:c r="J4006" s="274" t="n">
        <x:v>917</x:v>
      </x:c>
      <x:c r="K4006" s="274" t="n">
        <x:v>1700</x:v>
      </x:c>
      <x:c r="M4006" s="274" t="s">
        <x:v>7399</x:v>
      </x:c>
      <x:c r="N4006" s="274" t="s">
        <x:v>6437</x:v>
      </x:c>
    </x:row>
    <x:row r="4007" spans="1:14">
      <x:c r="A4007" s="274" t="s">
        <x:v>7400</x:v>
      </x:c>
      <x:c r="B4007" s="274" t="n">
        <x:v>1.39</x:v>
      </x:c>
      <x:c r="C4007" s="274" t="n">
        <x:v>0</x:v>
      </x:c>
      <x:c r="D4007" s="274" t="n">
        <x:v>0</x:v>
      </x:c>
      <x:c r="F4007" s="274" t="s">
        <x:v>133</x:v>
      </x:c>
      <x:c r="G4007" s="274" t="s">
        <x:v>209</x:v>
      </x:c>
      <x:c r="I4007" s="274" t="n">
        <x:v>1.2</x:v>
      </x:c>
      <x:c r="J4007" s="274" t="n">
        <x:v>122</x:v>
      </x:c>
      <x:c r="K4007" s="274" t="n">
        <x:v>1210</x:v>
      </x:c>
      <x:c r="M4007" s="274" t="s">
        <x:v>533</x:v>
      </x:c>
      <x:c r="N4007" s="274" t="s">
        <x:v>131</x:v>
      </x:c>
    </x:row>
    <x:row r="4008" spans="1:14">
      <x:c r="A4008" s="274" t="s">
        <x:v>7401</x:v>
      </x:c>
      <x:c r="B4008" s="274" t="n">
        <x:v>5.28</x:v>
      </x:c>
      <x:c r="C4008" s="274" t="n">
        <x:v>0</x:v>
      </x:c>
      <x:c r="D4008" s="274" t="n">
        <x:v>45</x:v>
      </x:c>
      <x:c r="E4008" s="274" t="n">
        <x:v>40</x:v>
      </x:c>
      <x:c r="F4008" s="274" t="s">
        <x:v>133</x:v>
      </x:c>
      <x:c r="G4008" s="274" t="s">
        <x:v>4663</x:v>
      </x:c>
      <x:c r="I4008" s="274" t="n">
        <x:v>1.2</x:v>
      </x:c>
      <x:c r="J4008" s="274" t="n">
        <x:v>1368</x:v>
      </x:c>
      <x:c r="K4008" s="274" t="n">
        <x:v>410</x:v>
      </x:c>
      <x:c r="M4008" s="274" t="s">
        <x:v>6417</x:v>
      </x:c>
    </x:row>
    <x:row r="4009" spans="1:14">
      <x:c r="A4009" s="274" t="s">
        <x:v>7402</x:v>
      </x:c>
      <x:c r="B4009" s="274" t="n">
        <x:v>4.43</x:v>
      </x:c>
      <x:c r="C4009" s="274" t="n">
        <x:v>0</x:v>
      </x:c>
      <x:c r="D4009" s="274" t="n">
        <x:v>0</x:v>
      </x:c>
      <x:c r="F4009" s="274" t="s">
        <x:v>333</x:v>
      </x:c>
      <x:c r="G4009" s="274" t="s">
        <x:v>153</x:v>
      </x:c>
      <x:c r="I4009" s="274" t="n">
        <x:v>1.4</x:v>
      </x:c>
      <x:c r="J4009" s="274" t="n">
        <x:v>336</x:v>
      </x:c>
      <x:c r="K4009" s="274" t="n">
        <x:v>1200</x:v>
      </x:c>
      <x:c r="M4009" s="274" t="s">
        <x:v>4877</x:v>
      </x:c>
      <x:c r="N4009" s="274" t="s">
        <x:v>3671</x:v>
      </x:c>
    </x:row>
    <x:row r="4010" spans="1:14">
      <x:c r="A4010" s="274" t="s">
        <x:v>7403</x:v>
      </x:c>
      <x:c r="B4010" s="274" t="n">
        <x:v>0.98</x:v>
      </x:c>
      <x:c r="C4010" s="274" t="n">
        <x:v>0</x:v>
      </x:c>
      <x:c r="D4010" s="274" t="n">
        <x:v>0</x:v>
      </x:c>
      <x:c r="F4010" s="274" t="s">
        <x:v>333</x:v>
      </x:c>
      <x:c r="G4010" s="274" t="s">
        <x:v>209</x:v>
      </x:c>
      <x:c r="I4010" s="274" t="n">
        <x:v>1.4</x:v>
      </x:c>
      <x:c r="J4010" s="274" t="n">
        <x:v>71</x:v>
      </x:c>
      <x:c r="K4010" s="274" t="n">
        <x:v>1250</x:v>
      </x:c>
      <x:c r="M4010" s="274" t="s">
        <x:v>5259</x:v>
      </x:c>
      <x:c r="N4010" s="274" t="s">
        <x:v>3671</x:v>
      </x:c>
    </x:row>
    <x:row r="4011" spans="1:14">
      <x:c r="A4011" s="274" t="s">
        <x:v>7404</x:v>
      </x:c>
      <x:c r="B4011" s="274" t="n">
        <x:v>2.24</x:v>
      </x:c>
      <x:c r="C4011" s="274" t="n">
        <x:v>0</x:v>
      </x:c>
      <x:c r="D4011" s="274" t="n">
        <x:v>0</x:v>
      </x:c>
      <x:c r="F4011" s="274" t="s">
        <x:v>333</x:v>
      </x:c>
      <x:c r="G4011" s="274" t="s">
        <x:v>209</x:v>
      </x:c>
      <x:c r="I4011" s="274" t="n">
        <x:v>1.4</x:v>
      </x:c>
      <x:c r="J4011" s="274" t="n">
        <x:v>170</x:v>
      </x:c>
      <x:c r="K4011" s="274" t="n">
        <x:v>1200</x:v>
      </x:c>
      <x:c r="M4011" s="274" t="s">
        <x:v>4885</x:v>
      </x:c>
      <x:c r="N4011" s="274" t="s">
        <x:v>3671</x:v>
      </x:c>
    </x:row>
    <x:row r="4012" spans="1:14">
      <x:c r="A4012" s="274" t="s">
        <x:v>7405</x:v>
      </x:c>
      <x:c r="B4012" s="274" t="n">
        <x:v>2.5</x:v>
      </x:c>
      <x:c r="C4012" s="274" t="n">
        <x:v>0</x:v>
      </x:c>
      <x:c r="D4012" s="274" t="n">
        <x:v>0</x:v>
      </x:c>
      <x:c r="F4012" s="274" t="s">
        <x:v>333</x:v>
      </x:c>
      <x:c r="G4012" s="274" t="s">
        <x:v>209</x:v>
      </x:c>
      <x:c r="I4012" s="274" t="n">
        <x:v>1.4</x:v>
      </x:c>
      <x:c r="J4012" s="274" t="n">
        <x:v>182</x:v>
      </x:c>
      <x:c r="K4012" s="274" t="n">
        <x:v>1250</x:v>
      </x:c>
      <x:c r="M4012" s="274" t="s">
        <x:v>4887</x:v>
      </x:c>
      <x:c r="N4012" s="274" t="s">
        <x:v>3671</x:v>
      </x:c>
    </x:row>
    <x:row r="4013" spans="1:14">
      <x:c r="A4013" s="274" t="s">
        <x:v>7406</x:v>
      </x:c>
      <x:c r="B4013" s="274" t="n">
        <x:v>3.5</x:v>
      </x:c>
      <x:c r="C4013" s="274" t="n">
        <x:v>0</x:v>
      </x:c>
      <x:c r="D4013" s="274" t="n">
        <x:v>0</x:v>
      </x:c>
      <x:c r="F4013" s="274" t="s">
        <x:v>333</x:v>
      </x:c>
      <x:c r="G4013" s="274" t="s">
        <x:v>209</x:v>
      </x:c>
      <x:c r="I4013" s="274" t="n">
        <x:v>1.6</x:v>
      </x:c>
      <x:c r="J4013" s="274" t="n">
        <x:v>232</x:v>
      </x:c>
      <x:c r="K4013" s="274" t="n">
        <x:v>1200</x:v>
      </x:c>
      <x:c r="M4013" s="274" t="s">
        <x:v>4827</x:v>
      </x:c>
      <x:c r="N4013" s="274" t="s">
        <x:v>3671</x:v>
      </x:c>
    </x:row>
    <x:row r="4014" spans="1:14">
      <x:c r="A4014" s="274" t="s">
        <x:v>7407</x:v>
      </x:c>
      <x:c r="B4014" s="274" t="n">
        <x:v>3.06</x:v>
      </x:c>
      <x:c r="C4014" s="274" t="n">
        <x:v>0</x:v>
      </x:c>
      <x:c r="D4014" s="274" t="n">
        <x:v>0</x:v>
      </x:c>
      <x:c r="F4014" s="274" t="s">
        <x:v>333</x:v>
      </x:c>
      <x:c r="G4014" s="274" t="s">
        <x:v>209</x:v>
      </x:c>
      <x:c r="I4014" s="274" t="n">
        <x:v>1.8</x:v>
      </x:c>
      <x:c r="J4014" s="274" t="n">
        <x:v>177</x:v>
      </x:c>
      <x:c r="K4014" s="274" t="n">
        <x:v>1225</x:v>
      </x:c>
      <x:c r="M4014" s="274" t="s">
        <x:v>5657</x:v>
      </x:c>
      <x:c r="N4014" s="274" t="s">
        <x:v>3671</x:v>
      </x:c>
    </x:row>
    <x:row r="4015" spans="1:14">
      <x:c r="A4015" s="274" t="s">
        <x:v>7408</x:v>
      </x:c>
      <x:c r="B4015" s="274" t="n">
        <x:v>4.95</x:v>
      </x:c>
      <x:c r="C4015" s="274" t="n">
        <x:v>0</x:v>
      </x:c>
      <x:c r="D4015" s="274" t="n">
        <x:v>0</x:v>
      </x:c>
      <x:c r="F4015" s="274" t="s">
        <x:v>333</x:v>
      </x:c>
      <x:c r="G4015" s="274" t="s">
        <x:v>209</x:v>
      </x:c>
      <x:c r="I4015" s="274" t="n">
        <x:v>1.8</x:v>
      </x:c>
      <x:c r="J4015" s="274" t="n">
        <x:v>280</x:v>
      </x:c>
      <x:c r="K4015" s="274" t="n">
        <x:v>1250</x:v>
      </x:c>
      <x:c r="M4015" s="274" t="s">
        <x:v>5659</x:v>
      </x:c>
      <x:c r="N4015" s="274" t="s">
        <x:v>3671</x:v>
      </x:c>
    </x:row>
    <x:row r="4016" spans="1:14">
      <x:c r="A4016" s="274" t="s">
        <x:v>7409</x:v>
      </x:c>
      <x:c r="B4016" s="274" t="n">
        <x:v>1.55</x:v>
      </x:c>
      <x:c r="C4016" s="274" t="n">
        <x:v>0</x:v>
      </x:c>
      <x:c r="D4016" s="274" t="n">
        <x:v>0</x:v>
      </x:c>
      <x:c r="F4016" s="274" t="s">
        <x:v>133</x:v>
      </x:c>
      <x:c r="G4016" s="274" t="s">
        <x:v>134</x:v>
      </x:c>
      <x:c r="I4016" s="274" t="n">
        <x:v>2</x:v>
      </x:c>
      <x:c r="J4016" s="274" t="n">
        <x:v>79</x:v>
      </x:c>
      <x:c r="K4016" s="274" t="n">
        <x:v>1250</x:v>
      </x:c>
      <x:c r="M4016" s="274" t="s">
        <x:v>5212</x:v>
      </x:c>
      <x:c r="N4016" s="274" t="s">
        <x:v>3671</x:v>
      </x:c>
    </x:row>
    <x:row r="4017" spans="1:14">
      <x:c r="A4017" s="274" t="s">
        <x:v>7410</x:v>
      </x:c>
      <x:c r="B4017" s="274" t="n">
        <x:v>1.67</x:v>
      </x:c>
      <x:c r="C4017" s="274" t="n">
        <x:v>0</x:v>
      </x:c>
      <x:c r="D4017" s="274" t="n">
        <x:v>0</x:v>
      </x:c>
      <x:c r="F4017" s="274" t="s">
        <x:v>133</x:v>
      </x:c>
      <x:c r="G4017" s="274" t="s">
        <x:v>134</x:v>
      </x:c>
      <x:c r="I4017" s="274" t="n">
        <x:v>2</x:v>
      </x:c>
      <x:c r="J4017" s="274" t="n">
        <x:v>85</x:v>
      </x:c>
      <x:c r="K4017" s="274" t="n">
        <x:v>1250</x:v>
      </x:c>
      <x:c r="M4017" s="274" t="s">
        <x:v>5263</x:v>
      </x:c>
      <x:c r="N4017" s="274" t="s">
        <x:v>3671</x:v>
      </x:c>
    </x:row>
    <x:row r="4018" spans="1:14">
      <x:c r="A4018" s="274" t="s">
        <x:v>7411</x:v>
      </x:c>
      <x:c r="B4018" s="274" t="n">
        <x:v>1.94</x:v>
      </x:c>
      <x:c r="C4018" s="274" t="n">
        <x:v>0</x:v>
      </x:c>
      <x:c r="D4018" s="274" t="n">
        <x:v>0</x:v>
      </x:c>
      <x:c r="F4018" s="274" t="s">
        <x:v>133</x:v>
      </x:c>
      <x:c r="G4018" s="274" t="s">
        <x:v>134</x:v>
      </x:c>
      <x:c r="I4018" s="274" t="n">
        <x:v>2</x:v>
      </x:c>
      <x:c r="J4018" s="274" t="n">
        <x:v>103</x:v>
      </x:c>
      <x:c r="K4018" s="274" t="n">
        <x:v>1200</x:v>
      </x:c>
      <x:c r="M4018" s="274" t="s">
        <x:v>4819</x:v>
      </x:c>
      <x:c r="N4018" s="274" t="s">
        <x:v>3671</x:v>
      </x:c>
    </x:row>
    <x:row r="4019" spans="1:14">
      <x:c r="A4019" s="274" t="s">
        <x:v>7412</x:v>
      </x:c>
      <x:c r="B4019" s="274" t="n">
        <x:v>2.14</x:v>
      </x:c>
      <x:c r="C4019" s="274" t="n">
        <x:v>0</x:v>
      </x:c>
      <x:c r="D4019" s="274" t="n">
        <x:v>0</x:v>
      </x:c>
      <x:c r="F4019" s="274" t="s">
        <x:v>133</x:v>
      </x:c>
      <x:c r="G4019" s="274" t="s">
        <x:v>134</x:v>
      </x:c>
      <x:c r="I4019" s="274" t="n">
        <x:v>2</x:v>
      </x:c>
      <x:c r="J4019" s="274" t="n">
        <x:v>109</x:v>
      </x:c>
      <x:c r="K4019" s="274" t="n">
        <x:v>1250</x:v>
      </x:c>
      <x:c r="M4019" s="274" t="s">
        <x:v>4821</x:v>
      </x:c>
      <x:c r="N4019" s="274" t="s">
        <x:v>3671</x:v>
      </x:c>
    </x:row>
    <x:row r="4020" spans="1:14">
      <x:c r="A4020" s="274" t="s">
        <x:v>7413</x:v>
      </x:c>
      <x:c r="B4020" s="274" t="n">
        <x:v>4.95</x:v>
      </x:c>
      <x:c r="C4020" s="274" t="n">
        <x:v>0</x:v>
      </x:c>
      <x:c r="D4020" s="274" t="n">
        <x:v>0</x:v>
      </x:c>
      <x:c r="F4020" s="274" t="s">
        <x:v>133</x:v>
      </x:c>
      <x:c r="G4020" s="274" t="s">
        <x:v>134</x:v>
      </x:c>
      <x:c r="I4020" s="274" t="n">
        <x:v>2</x:v>
      </x:c>
      <x:c r="J4020" s="274" t="n">
        <x:v>254</x:v>
      </x:c>
      <x:c r="K4020" s="274" t="n">
        <x:v>1240</x:v>
      </x:c>
      <x:c r="M4020" s="274" t="s">
        <x:v>4829</x:v>
      </x:c>
      <x:c r="N4020" s="274" t="s">
        <x:v>3671</x:v>
      </x:c>
    </x:row>
    <x:row r="4021" spans="1:14">
      <x:c r="A4021" s="274" t="s">
        <x:v>7414</x:v>
      </x:c>
      <x:c r="B4021" s="274" t="n">
        <x:v>9.92</x:v>
      </x:c>
      <x:c r="C4021" s="274" t="n">
        <x:v>0</x:v>
      </x:c>
      <x:c r="D4021" s="274" t="n">
        <x:v>0</x:v>
      </x:c>
      <x:c r="F4021" s="274" t="s">
        <x:v>133</x:v>
      </x:c>
      <x:c r="G4021" s="274" t="s">
        <x:v>1170</x:v>
      </x:c>
      <x:c r="I4021" s="274" t="n">
        <x:v>8</x:v>
      </x:c>
      <x:c r="J4021" s="274" t="n">
        <x:v>445</x:v>
      </x:c>
      <x:c r="K4021" s="274" t="n">
        <x:v>355</x:v>
      </x:c>
      <x:c r="M4021" s="274" t="s">
        <x:v>1171</x:v>
      </x:c>
      <x:c r="N4021" s="274" t="s">
        <x:v>4481</x:v>
      </x:c>
    </x:row>
    <x:row r="4022" spans="1:14">
      <x:c r="A4022" s="274" t="s">
        <x:v>7415</x:v>
      </x:c>
      <x:c r="B4022" s="274" t="n">
        <x:v>9.45</x:v>
      </x:c>
      <x:c r="C4022" s="274" t="n">
        <x:v>0</x:v>
      </x:c>
      <x:c r="D4022" s="274" t="n">
        <x:v>0</x:v>
      </x:c>
      <x:c r="F4022" s="274" t="s">
        <x:v>133</x:v>
      </x:c>
      <x:c r="G4022" s="274" t="s">
        <x:v>1170</x:v>
      </x:c>
      <x:c r="I4022" s="274" t="n">
        <x:v>8</x:v>
      </x:c>
      <x:c r="J4022" s="274" t="n">
        <x:v>435</x:v>
      </x:c>
      <x:c r="K4022" s="274" t="n">
        <x:v>346</x:v>
      </x:c>
      <x:c r="M4022" s="274" t="s">
        <x:v>1173</x:v>
      </x:c>
      <x:c r="N4022" s="274" t="s">
        <x:v>4481</x:v>
      </x:c>
    </x:row>
    <x:row r="4023" spans="1:14">
      <x:c r="A4023" s="274" t="s">
        <x:v>7416</x:v>
      </x:c>
      <x:c r="B4023" s="274" t="n">
        <x:v>0.73</x:v>
      </x:c>
      <x:c r="C4023" s="274" t="n">
        <x:v>0</x:v>
      </x:c>
      <x:c r="D4023" s="274" t="n">
        <x:v>0</x:v>
      </x:c>
      <x:c r="F4023" s="274" t="s">
        <x:v>133</x:v>
      </x:c>
      <x:c r="G4023" s="274" t="s">
        <x:v>4470</x:v>
      </x:c>
      <x:c r="H4023" s="274" t="s">
        <x:v>4471</x:v>
      </x:c>
      <x:c r="I4023" s="274" t="n">
        <x:v>1.2</x:v>
      </x:c>
      <x:c r="J4023" s="274" t="n">
        <x:v>197</x:v>
      </x:c>
      <x:c r="K4023" s="274" t="n">
        <x:v>387</x:v>
      </x:c>
      <x:c r="M4023" s="274" t="s">
        <x:v>4759</x:v>
      </x:c>
      <x:c r="N4023" s="274" t="s">
        <x:v>4258</x:v>
      </x:c>
    </x:row>
    <x:row r="4024" spans="1:14">
      <x:c r="A4024" s="274" t="s">
        <x:v>7417</x:v>
      </x:c>
      <x:c r="B4024" s="274" t="n">
        <x:v>0.75</x:v>
      </x:c>
      <x:c r="C4024" s="274" t="n">
        <x:v>0</x:v>
      </x:c>
      <x:c r="D4024" s="274" t="n">
        <x:v>0</x:v>
      </x:c>
      <x:c r="F4024" s="274" t="s">
        <x:v>133</x:v>
      </x:c>
      <x:c r="G4024" s="274" t="s">
        <x:v>4470</x:v>
      </x:c>
      <x:c r="H4024" s="274" t="s">
        <x:v>4471</x:v>
      </x:c>
      <x:c r="I4024" s="274" t="n">
        <x:v>1.2</x:v>
      </x:c>
      <x:c r="J4024" s="274" t="n">
        <x:v>192</x:v>
      </x:c>
      <x:c r="K4024" s="274" t="n">
        <x:v>412</x:v>
      </x:c>
      <x:c r="M4024" s="274" t="s">
        <x:v>4757</x:v>
      </x:c>
      <x:c r="N4024" s="274" t="s">
        <x:v>4258</x:v>
      </x:c>
    </x:row>
    <x:row r="4025" spans="1:14">
      <x:c r="A4025" s="274" t="s">
        <x:v>7418</x:v>
      </x:c>
      <x:c r="B4025" s="274" t="n">
        <x:v>6.63</x:v>
      </x:c>
      <x:c r="C4025" s="274" t="n">
        <x:v>0</x:v>
      </x:c>
      <x:c r="D4025" s="274" t="n">
        <x:v>0</x:v>
      </x:c>
      <x:c r="F4025" s="274" t="s">
        <x:v>133</x:v>
      </x:c>
      <x:c r="G4025" s="274" t="s">
        <x:v>1170</x:v>
      </x:c>
      <x:c r="I4025" s="274" t="n">
        <x:v>8</x:v>
      </x:c>
      <x:c r="J4025" s="274" t="n">
        <x:v>284</x:v>
      </x:c>
      <x:c r="K4025" s="274" t="n">
        <x:v>372</x:v>
      </x:c>
      <x:c r="M4025" s="274" t="s">
        <x:v>7153</x:v>
      </x:c>
      <x:c r="N4025" s="274" t="s">
        <x:v>3671</x:v>
      </x:c>
    </x:row>
    <x:row r="4026" spans="1:14">
      <x:c r="A4026" s="274" t="s">
        <x:v>7419</x:v>
      </x:c>
      <x:c r="B4026" s="274" t="n">
        <x:v>7.79</x:v>
      </x:c>
      <x:c r="C4026" s="274" t="n">
        <x:v>0</x:v>
      </x:c>
      <x:c r="D4026" s="274" t="n">
        <x:v>0</x:v>
      </x:c>
      <x:c r="F4026" s="274" t="s">
        <x:v>133</x:v>
      </x:c>
      <x:c r="G4026" s="274" t="s">
        <x:v>1170</x:v>
      </x:c>
      <x:c r="I4026" s="274" t="n">
        <x:v>8</x:v>
      </x:c>
      <x:c r="J4026" s="274" t="n">
        <x:v>283</x:v>
      </x:c>
      <x:c r="K4026" s="274" t="n">
        <x:v>438</x:v>
      </x:c>
      <x:c r="M4026" s="274" t="s">
        <x:v>7155</x:v>
      </x:c>
      <x:c r="N4026" s="274" t="s">
        <x:v>3671</x:v>
      </x:c>
    </x:row>
    <x:row r="4027" spans="1:14">
      <x:c r="A4027" s="274" t="s">
        <x:v>7420</x:v>
      </x:c>
      <x:c r="B4027" s="274" t="n">
        <x:v>2.04</x:v>
      </x:c>
      <x:c r="C4027" s="274" t="n">
        <x:v>0</x:v>
      </x:c>
      <x:c r="D4027" s="274" t="n">
        <x:v>0</x:v>
      </x:c>
      <x:c r="F4027" s="274" t="s">
        <x:v>333</x:v>
      </x:c>
      <x:c r="G4027" s="274" t="s">
        <x:v>4663</x:v>
      </x:c>
      <x:c r="I4027" s="274" t="n">
        <x:v>1.6</x:v>
      </x:c>
      <x:c r="J4027" s="274" t="n">
        <x:v>420</x:v>
      </x:c>
      <x:c r="K4027" s="274" t="n">
        <x:v>387</x:v>
      </x:c>
      <x:c r="M4027" s="274" t="s">
        <x:v>4995</x:v>
      </x:c>
      <x:c r="N4027" s="274" t="s">
        <x:v>4258</x:v>
      </x:c>
    </x:row>
    <x:row r="4028" spans="1:14">
      <x:c r="A4028" s="274" t="s">
        <x:v>7421</x:v>
      </x:c>
      <x:c r="B4028" s="274" t="n">
        <x:v>0.26</x:v>
      </x:c>
      <x:c r="C4028" s="274" t="n">
        <x:v>0</x:v>
      </x:c>
      <x:c r="D4028" s="274" t="n">
        <x:v>0</x:v>
      </x:c>
      <x:c r="F4028" s="274" t="s">
        <x:v>333</x:v>
      </x:c>
      <x:c r="G4028" s="274" t="s">
        <x:v>4663</x:v>
      </x:c>
      <x:c r="I4028" s="274" t="n">
        <x:v>1.6</x:v>
      </x:c>
      <x:c r="J4028" s="274" t="n">
        <x:v>140</x:v>
      </x:c>
      <x:c r="K4028" s="274" t="n">
        <x:v>150</x:v>
      </x:c>
      <x:c r="M4028" s="274" t="s">
        <x:v>4997</x:v>
      </x:c>
      <x:c r="N4028" s="274" t="s">
        <x:v>4258</x:v>
      </x:c>
    </x:row>
    <x:row r="4029" spans="1:14">
      <x:c r="A4029" s="274" t="s">
        <x:v>7422</x:v>
      </x:c>
      <x:c r="B4029" s="274" t="n">
        <x:v>0.67</x:v>
      </x:c>
      <x:c r="C4029" s="274" t="n">
        <x:v>0</x:v>
      </x:c>
      <x:c r="D4029" s="274" t="n">
        <x:v>0</x:v>
      </x:c>
      <x:c r="F4029" s="274" t="s">
        <x:v>333</x:v>
      </x:c>
      <x:c r="G4029" s="274" t="s">
        <x:v>4663</x:v>
      </x:c>
      <x:c r="I4029" s="274" t="n">
        <x:v>1.6</x:v>
      </x:c>
      <x:c r="J4029" s="274" t="n">
        <x:v>485</x:v>
      </x:c>
      <x:c r="K4029" s="274" t="n">
        <x:v>110</x:v>
      </x:c>
      <x:c r="M4029" s="274" t="s">
        <x:v>4999</x:v>
      </x:c>
      <x:c r="N4029" s="274" t="s">
        <x:v>4258</x:v>
      </x:c>
    </x:row>
    <x:row r="4030" spans="1:14">
      <x:c r="A4030" s="274" t="s">
        <x:v>7423</x:v>
      </x:c>
      <x:c r="B4030" s="274" t="n">
        <x:v>1.53</x:v>
      </x:c>
      <x:c r="C4030" s="274" t="n">
        <x:v>0</x:v>
      </x:c>
      <x:c r="D4030" s="274" t="n">
        <x:v>0</x:v>
      </x:c>
      <x:c r="F4030" s="274" t="s">
        <x:v>333</x:v>
      </x:c>
      <x:c r="G4030" s="274" t="s">
        <x:v>4663</x:v>
      </x:c>
      <x:c r="I4030" s="274" t="n">
        <x:v>1.6</x:v>
      </x:c>
      <x:c r="J4030" s="274" t="n">
        <x:v>370</x:v>
      </x:c>
      <x:c r="K4030" s="274" t="n">
        <x:v>330</x:v>
      </x:c>
      <x:c r="M4030" s="274" t="s">
        <x:v>5001</x:v>
      </x:c>
      <x:c r="N4030" s="274" t="s">
        <x:v>4258</x:v>
      </x:c>
    </x:row>
    <x:row r="4031" spans="1:14">
      <x:c r="A4031" s="274" t="s">
        <x:v>7424</x:v>
      </x:c>
      <x:c r="B4031" s="274" t="n">
        <x:v>4.55</x:v>
      </x:c>
      <x:c r="C4031" s="274" t="n">
        <x:v>0</x:v>
      </x:c>
      <x:c r="D4031" s="274" t="n">
        <x:v>0</x:v>
      </x:c>
      <x:c r="F4031" s="274" t="s">
        <x:v>333</x:v>
      </x:c>
      <x:c r="G4031" s="274" t="s">
        <x:v>4663</x:v>
      </x:c>
      <x:c r="I4031" s="274" t="n">
        <x:v>1.6</x:v>
      </x:c>
      <x:c r="J4031" s="274" t="n">
        <x:v>302</x:v>
      </x:c>
      <x:c r="K4031" s="274" t="n">
        <x:v>1200</x:v>
      </x:c>
      <x:c r="M4031" s="274" t="s">
        <x:v>7425</x:v>
      </x:c>
      <x:c r="N4031" s="274" t="s">
        <x:v>4258</x:v>
      </x:c>
    </x:row>
    <x:row r="4032" spans="1:14">
      <x:c r="A4032" s="274" t="s">
        <x:v>7426</x:v>
      </x:c>
      <x:c r="B4032" s="274" t="n">
        <x:v>2.14</x:v>
      </x:c>
      <x:c r="C4032" s="274" t="n">
        <x:v>0</x:v>
      </x:c>
      <x:c r="D4032" s="274" t="n">
        <x:v>0</x:v>
      </x:c>
      <x:c r="F4032" s="274" t="s">
        <x:v>333</x:v>
      </x:c>
      <x:c r="G4032" s="274" t="s">
        <x:v>2157</x:v>
      </x:c>
      <x:c r="I4032" s="274" t="n">
        <x:v>1</x:v>
      </x:c>
      <x:c r="J4032" s="274" t="n">
        <x:v>1055</x:v>
      </x:c>
      <x:c r="K4032" s="274" t="n">
        <x:v>259</x:v>
      </x:c>
      <x:c r="M4032" s="274" t="s">
        <x:v>7427</x:v>
      </x:c>
      <x:c r="N4032" s="274" t="s">
        <x:v>7428</x:v>
      </x:c>
    </x:row>
    <x:row r="4033" spans="1:14">
      <x:c r="A4033" s="274" t="s">
        <x:v>7429</x:v>
      </x:c>
      <x:c r="B4033" s="274" t="n">
        <x:v>0.63</x:v>
      </x:c>
      <x:c r="C4033" s="274" t="n">
        <x:v>0</x:v>
      </x:c>
      <x:c r="D4033" s="274" t="n">
        <x:v>0</x:v>
      </x:c>
      <x:c r="F4033" s="274" t="s">
        <x:v>333</x:v>
      </x:c>
      <x:c r="G4033" s="274" t="s">
        <x:v>2157</x:v>
      </x:c>
      <x:c r="I4033" s="274" t="n">
        <x:v>0.6</x:v>
      </x:c>
      <x:c r="J4033" s="274" t="n">
        <x:v>115</x:v>
      </x:c>
      <x:c r="K4033" s="274" t="n">
        <x:v>1165</x:v>
      </x:c>
      <x:c r="M4033" s="274" t="s">
        <x:v>7430</x:v>
      </x:c>
      <x:c r="N4033" s="274" t="s">
        <x:v>7428</x:v>
      </x:c>
    </x:row>
    <x:row r="4034" spans="1:14">
      <x:c r="A4034" s="274" t="s">
        <x:v>7431</x:v>
      </x:c>
      <x:c r="B4034" s="274" t="n">
        <x:v>1.86</x:v>
      </x:c>
      <x:c r="C4034" s="274" t="n">
        <x:v>0</x:v>
      </x:c>
      <x:c r="D4034" s="274" t="n">
        <x:v>0</x:v>
      </x:c>
      <x:c r="F4034" s="274" t="s">
        <x:v>123</x:v>
      </x:c>
      <x:c r="G4034" s="274" t="s">
        <x:v>153</x:v>
      </x:c>
      <x:c r="I4034" s="274" t="n">
        <x:v>0.8</x:v>
      </x:c>
      <x:c r="J4034" s="274" t="n">
        <x:v>585</x:v>
      </x:c>
      <x:c r="K4034" s="274" t="n">
        <x:v>505</x:v>
      </x:c>
      <x:c r="M4034" s="274" t="s">
        <x:v>7432</x:v>
      </x:c>
      <x:c r="N4034" s="274" t="s">
        <x:v>372</x:v>
      </x:c>
    </x:row>
    <x:row r="4035" spans="1:14">
      <x:c r="A4035" s="274" t="s">
        <x:v>7433</x:v>
      </x:c>
      <x:c r="B4035" s="274" t="n">
        <x:v>2.84</x:v>
      </x:c>
      <x:c r="C4035" s="274" t="n">
        <x:v>0</x:v>
      </x:c>
      <x:c r="D4035" s="274" t="n">
        <x:v>0</x:v>
      </x:c>
      <x:c r="F4035" s="274" t="s">
        <x:v>128</x:v>
      </x:c>
      <x:c r="G4035" s="274" t="s">
        <x:v>136</x:v>
      </x:c>
      <x:c r="H4035" s="274" t="s">
        <x:v>1729</x:v>
      </x:c>
      <x:c r="I4035" s="274" t="n">
        <x:v>0.75</x:v>
      </x:c>
      <x:c r="J4035" s="274" t="n">
        <x:v>360</x:v>
      </x:c>
      <x:c r="K4035" s="274" t="n">
        <x:v>1320</x:v>
      </x:c>
      <x:c r="M4035" s="274" t="s">
        <x:v>7434</x:v>
      </x:c>
      <x:c r="N4035" s="274" t="s">
        <x:v>465</x:v>
      </x:c>
    </x:row>
    <x:row r="4036" spans="1:14">
      <x:c r="A4036" s="274" t="s">
        <x:v>7435</x:v>
      </x:c>
      <x:c r="B4036" s="274" t="n">
        <x:v>0.41</x:v>
      </x:c>
      <x:c r="C4036" s="274" t="n">
        <x:v>0</x:v>
      </x:c>
      <x:c r="D4036" s="274" t="n">
        <x:v>0</x:v>
      </x:c>
      <x:c r="F4036" s="274" t="s">
        <x:v>123</x:v>
      </x:c>
      <x:c r="G4036" s="274" t="s">
        <x:v>906</x:v>
      </x:c>
      <x:c r="H4036" s="274" t="s">
        <x:v>907</x:v>
      </x:c>
      <x:c r="I4036" s="274" t="n">
        <x:v>0.65</x:v>
      </x:c>
      <x:c r="J4036" s="274" t="n">
        <x:v>155</x:v>
      </x:c>
      <x:c r="K4036" s="274" t="n">
        <x:v>515</x:v>
      </x:c>
      <x:c r="M4036" s="274" t="s">
        <x:v>7436</x:v>
      </x:c>
      <x:c r="N4036" s="274" t="s">
        <x:v>3671</x:v>
      </x:c>
    </x:row>
    <x:row r="4037" spans="1:14">
      <x:c r="A4037" s="274" t="s">
        <x:v>7437</x:v>
      </x:c>
      <x:c r="B4037" s="274" t="n">
        <x:v>0.48</x:v>
      </x:c>
      <x:c r="C4037" s="274" t="n">
        <x:v>0</x:v>
      </x:c>
      <x:c r="D4037" s="274" t="n">
        <x:v>0</x:v>
      </x:c>
      <x:c r="F4037" s="274" t="s">
        <x:v>333</x:v>
      </x:c>
      <x:c r="G4037" s="274" t="s">
        <x:v>2157</x:v>
      </x:c>
      <x:c r="I4037" s="274" t="n">
        <x:v>0.6</x:v>
      </x:c>
      <x:c r="J4037" s="274" t="n">
        <x:v>90</x:v>
      </x:c>
      <x:c r="K4037" s="274" t="n">
        <x:v>1130</x:v>
      </x:c>
      <x:c r="M4037" s="274" t="s">
        <x:v>7438</x:v>
      </x:c>
      <x:c r="N4037" s="274" t="s">
        <x:v>7439</x:v>
      </x:c>
    </x:row>
    <x:row r="4038" spans="1:14">
      <x:c r="A4038" s="274" t="s">
        <x:v>7440</x:v>
      </x:c>
      <x:c r="B4038" s="274" t="n">
        <x:v>1.82</x:v>
      </x:c>
      <x:c r="C4038" s="274" t="n">
        <x:v>0</x:v>
      </x:c>
      <x:c r="D4038" s="274" t="n">
        <x:v>0</x:v>
      </x:c>
      <x:c r="F4038" s="274" t="s">
        <x:v>333</x:v>
      </x:c>
      <x:c r="G4038" s="274" t="s">
        <x:v>2160</x:v>
      </x:c>
      <x:c r="I4038" s="274" t="n">
        <x:v>1</x:v>
      </x:c>
      <x:c r="J4038" s="274" t="n">
        <x:v>205</x:v>
      </x:c>
      <x:c r="K4038" s="274" t="n">
        <x:v>1130</x:v>
      </x:c>
      <x:c r="M4038" s="274" t="s">
        <x:v>7441</x:v>
      </x:c>
      <x:c r="N4038" s="274" t="s">
        <x:v>7439</x:v>
      </x:c>
    </x:row>
    <x:row r="4039" spans="1:14">
      <x:c r="A4039" s="274" t="s">
        <x:v>7442</x:v>
      </x:c>
      <x:c r="B4039" s="274" t="n">
        <x:v>0.65</x:v>
      </x:c>
      <x:c r="C4039" s="274" t="n">
        <x:v>0</x:v>
      </x:c>
      <x:c r="D4039" s="274" t="n">
        <x:v>0</x:v>
      </x:c>
      <x:c r="F4039" s="274" t="s">
        <x:v>333</x:v>
      </x:c>
      <x:c r="G4039" s="274" t="s">
        <x:v>2468</x:v>
      </x:c>
      <x:c r="I4039" s="274" t="n">
        <x:v>0.6</x:v>
      </x:c>
      <x:c r="J4039" s="274" t="n">
        <x:v>124</x:v>
      </x:c>
      <x:c r="K4039" s="274" t="n">
        <x:v>1110</x:v>
      </x:c>
      <x:c r="M4039" s="274" t="s">
        <x:v>7443</x:v>
      </x:c>
      <x:c r="N4039" s="274" t="s">
        <x:v>7439</x:v>
      </x:c>
    </x:row>
    <x:row r="4040" spans="1:14">
      <x:c r="A4040" s="274" t="s">
        <x:v>7444</x:v>
      </x:c>
      <x:c r="B4040" s="274" t="n">
        <x:v>0.26</x:v>
      </x:c>
      <x:c r="C4040" s="274" t="n">
        <x:v>0</x:v>
      </x:c>
      <x:c r="D4040" s="274" t="n">
        <x:v>0</x:v>
      </x:c>
      <x:c r="F4040" s="274" t="s">
        <x:v>333</x:v>
      </x:c>
      <x:c r="G4040" s="274" t="s">
        <x:v>2157</x:v>
      </x:c>
      <x:c r="I4040" s="274" t="n">
        <x:v>1</x:v>
      </x:c>
      <x:c r="J4040" s="274" t="n">
        <x:v>185</x:v>
      </x:c>
      <x:c r="K4040" s="274" t="n">
        <x:v>180</x:v>
      </x:c>
      <x:c r="M4040" s="274" t="s">
        <x:v>7445</x:v>
      </x:c>
      <x:c r="N4040" s="274" t="s">
        <x:v>7439</x:v>
      </x:c>
    </x:row>
    <x:row r="4041" spans="1:14">
      <x:c r="A4041" s="274" t="s">
        <x:v>7446</x:v>
      </x:c>
      <x:c r="B4041" s="274" t="n">
        <x:v>7.76</x:v>
      </x:c>
      <x:c r="C4041" s="274" t="n">
        <x:v>40</x:v>
      </x:c>
      <x:c r="D4041" s="274" t="n">
        <x:v>48</x:v>
      </x:c>
      <x:c r="F4041" s="274" t="s">
        <x:v>133</x:v>
      </x:c>
      <x:c r="G4041" s="274" t="s">
        <x:v>136</x:v>
      </x:c>
      <x:c r="H4041" s="274" t="n">
        <x:v>45</x:v>
      </x:c>
      <x:c r="I4041" s="274" t="n">
        <x:v>0.65</x:v>
      </x:c>
      <x:c r="J4041" s="274" t="n">
        <x:v>1175</x:v>
      </x:c>
      <x:c r="K4041" s="274" t="n">
        <x:v>1210.5</x:v>
      </x:c>
      <x:c r="L4041" s="274" t="n">
        <x:v>1332.9</x:v>
      </x:c>
      <x:c r="M4041" s="274" t="s">
        <x:v>7447</x:v>
      </x:c>
      <x:c r="N4041" s="274" t="s">
        <x:v>372</x:v>
      </x:c>
    </x:row>
    <x:row r="4042" spans="1:14">
      <x:c r="A4042" s="274" t="s">
        <x:v>7448</x:v>
      </x:c>
      <x:c r="B4042" s="274" t="n">
        <x:v>0.6</x:v>
      </x:c>
      <x:c r="C4042" s="274" t="n">
        <x:v>0</x:v>
      </x:c>
      <x:c r="D4042" s="274" t="n">
        <x:v>0</x:v>
      </x:c>
      <x:c r="F4042" s="274" t="s">
        <x:v>333</x:v>
      </x:c>
      <x:c r="G4042" s="274" t="s">
        <x:v>2468</x:v>
      </x:c>
      <x:c r="I4042" s="274" t="n">
        <x:v>0.6</x:v>
      </x:c>
      <x:c r="J4042" s="274" t="n">
        <x:v>1065</x:v>
      </x:c>
      <x:c r="K4042" s="274" t="n">
        <x:v>119</x:v>
      </x:c>
      <x:c r="M4042" s="274" t="s">
        <x:v>4229</x:v>
      </x:c>
      <x:c r="N4042" s="274" t="s">
        <x:v>7439</x:v>
      </x:c>
    </x:row>
    <x:row r="4043" spans="1:14">
      <x:c r="A4043" s="274" t="s">
        <x:v>7449</x:v>
      </x:c>
      <x:c r="B4043" s="274" t="n">
        <x:v>0.27</x:v>
      </x:c>
      <x:c r="C4043" s="274" t="n">
        <x:v>0</x:v>
      </x:c>
      <x:c r="D4043" s="274" t="n">
        <x:v>0</x:v>
      </x:c>
      <x:c r="F4043" s="274" t="s">
        <x:v>333</x:v>
      </x:c>
      <x:c r="G4043" s="274" t="s">
        <x:v>2157</x:v>
      </x:c>
      <x:c r="I4043" s="274" t="n">
        <x:v>1</x:v>
      </x:c>
      <x:c r="J4043" s="274" t="n">
        <x:v>300</x:v>
      </x:c>
      <x:c r="K4043" s="274" t="n">
        <x:v>115</x:v>
      </x:c>
      <x:c r="M4043" s="274" t="s">
        <x:v>7450</x:v>
      </x:c>
      <x:c r="N4043" s="274" t="s">
        <x:v>7439</x:v>
      </x:c>
    </x:row>
    <x:row r="4044" spans="1:14">
      <x:c r="A4044" s="274" t="s">
        <x:v>7451</x:v>
      </x:c>
      <x:c r="B4044" s="274" t="n">
        <x:v>0.35</x:v>
      </x:c>
      <x:c r="C4044" s="274" t="n">
        <x:v>0</x:v>
      </x:c>
      <x:c r="D4044" s="274" t="n">
        <x:v>0</x:v>
      </x:c>
      <x:c r="F4044" s="274" t="s">
        <x:v>333</x:v>
      </x:c>
      <x:c r="G4044" s="274" t="s">
        <x:v>2468</x:v>
      </x:c>
      <x:c r="I4044" s="274" t="n">
        <x:v>1.2</x:v>
      </x:c>
      <x:c r="J4044" s="274" t="n">
        <x:v>206</x:v>
      </x:c>
      <x:c r="K4044" s="274" t="n">
        <x:v>181</x:v>
      </x:c>
      <x:c r="M4044" s="274" t="s">
        <x:v>7452</x:v>
      </x:c>
      <x:c r="N4044" s="274" t="s">
        <x:v>7439</x:v>
      </x:c>
    </x:row>
    <x:row r="4045" spans="1:14">
      <x:c r="A4045" s="274" t="s">
        <x:v>7453</x:v>
      </x:c>
      <x:c r="B4045" s="274" t="n">
        <x:v>0.52</x:v>
      </x:c>
      <x:c r="C4045" s="274" t="n">
        <x:v>0</x:v>
      </x:c>
      <x:c r="D4045" s="274" t="n">
        <x:v>0</x:v>
      </x:c>
      <x:c r="F4045" s="274" t="s">
        <x:v>333</x:v>
      </x:c>
      <x:c r="G4045" s="274" t="s">
        <x:v>2157</x:v>
      </x:c>
      <x:c r="I4045" s="274" t="n">
        <x:v>0.8</x:v>
      </x:c>
      <x:c r="J4045" s="274" t="n">
        <x:v>405</x:v>
      </x:c>
      <x:c r="K4045" s="274" t="n">
        <x:v>205</x:v>
      </x:c>
      <x:c r="M4045" s="274" t="s">
        <x:v>7454</x:v>
      </x:c>
      <x:c r="N4045" s="274" t="s">
        <x:v>7439</x:v>
      </x:c>
    </x:row>
    <x:row r="4046" spans="1:14">
      <x:c r="A4046" s="274" t="s">
        <x:v>7455</x:v>
      </x:c>
      <x:c r="B4046" s="274" t="n">
        <x:v>1.78</x:v>
      </x:c>
      <x:c r="C4046" s="274" t="n">
        <x:v>0</x:v>
      </x:c>
      <x:c r="D4046" s="274" t="n">
        <x:v>45</x:v>
      </x:c>
      <x:c r="E4046" s="274" t="n">
        <x:v>40</x:v>
      </x:c>
      <x:c r="F4046" s="274" t="s">
        <x:v>333</x:v>
      </x:c>
      <x:c r="G4046" s="274" t="s">
        <x:v>2468</x:v>
      </x:c>
      <x:c r="I4046" s="274" t="n">
        <x:v>0.7</x:v>
      </x:c>
      <x:c r="J4046" s="274" t="n">
        <x:v>980</x:v>
      </x:c>
      <x:c r="K4046" s="274" t="n">
        <x:v>330</x:v>
      </x:c>
      <x:c r="M4046" s="274" t="s">
        <x:v>7456</x:v>
      </x:c>
      <x:c r="N4046" s="274" t="s">
        <x:v>7439</x:v>
      </x:c>
    </x:row>
    <x:row r="4047" spans="1:14">
      <x:c r="A4047" s="274" t="s">
        <x:v>7457</x:v>
      </x:c>
      <x:c r="B4047" s="274" t="n">
        <x:v>2.27</x:v>
      </x:c>
      <x:c r="C4047" s="274" t="n">
        <x:v>0</x:v>
      </x:c>
      <x:c r="D4047" s="274" t="n">
        <x:v>45</x:v>
      </x:c>
      <x:c r="E4047" s="274" t="n">
        <x:v>40</x:v>
      </x:c>
      <x:c r="F4047" s="274" t="s">
        <x:v>333</x:v>
      </x:c>
      <x:c r="G4047" s="274" t="s">
        <x:v>2468</x:v>
      </x:c>
      <x:c r="I4047" s="274" t="n">
        <x:v>0.9</x:v>
      </x:c>
      <x:c r="J4047" s="274" t="n">
        <x:v>1035</x:v>
      </x:c>
      <x:c r="K4047" s="274" t="n">
        <x:v>310</x:v>
      </x:c>
      <x:c r="M4047" s="274" t="s">
        <x:v>7458</x:v>
      </x:c>
      <x:c r="N4047" s="274" t="s">
        <x:v>7439</x:v>
      </x:c>
    </x:row>
    <x:row r="4048" spans="1:14">
      <x:c r="A4048" s="274" t="s">
        <x:v>7459</x:v>
      </x:c>
      <x:c r="B4048" s="274" t="n">
        <x:v>9.23</x:v>
      </x:c>
      <x:c r="C4048" s="274" t="n">
        <x:v>0</x:v>
      </x:c>
      <x:c r="D4048" s="274" t="n">
        <x:v>37</x:v>
      </x:c>
      <x:c r="E4048" s="274" t="n">
        <x:v>32</x:v>
      </x:c>
      <x:c r="F4048" s="274" t="s">
        <x:v>333</x:v>
      </x:c>
      <x:c r="G4048" s="274" t="s">
        <x:v>153</x:v>
      </x:c>
      <x:c r="I4048" s="274" t="n">
        <x:v>0.9</x:v>
      </x:c>
      <x:c r="J4048" s="274" t="n">
        <x:v>1112</x:v>
      </x:c>
      <x:c r="K4048" s="274" t="n">
        <x:v>1175</x:v>
      </x:c>
      <x:c r="M4048" s="274" t="s">
        <x:v>5381</x:v>
      </x:c>
      <x:c r="N4048" s="274" t="s">
        <x:v>3671</x:v>
      </x:c>
    </x:row>
    <x:row r="4049" spans="1:14">
      <x:c r="A4049" s="274" t="s">
        <x:v>7460</x:v>
      </x:c>
      <x:c r="B4049" s="274" t="n">
        <x:v>0.98</x:v>
      </x:c>
      <x:c r="C4049" s="274" t="n">
        <x:v>0</x:v>
      </x:c>
      <x:c r="D4049" s="274" t="n">
        <x:v>0</x:v>
      </x:c>
      <x:c r="F4049" s="274" t="s">
        <x:v>333</x:v>
      </x:c>
      <x:c r="G4049" s="274" t="s">
        <x:v>2468</x:v>
      </x:c>
      <x:c r="I4049" s="274" t="n">
        <x:v>0.7</x:v>
      </x:c>
      <x:c r="J4049" s="274" t="n">
        <x:v>605</x:v>
      </x:c>
      <x:c r="K4049" s="274" t="n">
        <x:v>295</x:v>
      </x:c>
      <x:c r="M4049" s="274" t="s">
        <x:v>7461</x:v>
      </x:c>
      <x:c r="N4049" s="274" t="s">
        <x:v>7439</x:v>
      </x:c>
    </x:row>
    <x:row r="4050" spans="1:14">
      <x:c r="A4050" s="274" t="s">
        <x:v>7462</x:v>
      </x:c>
      <x:c r="B4050" s="274" t="n">
        <x:v>1.21</x:v>
      </x:c>
      <x:c r="C4050" s="274" t="n">
        <x:v>0</x:v>
      </x:c>
      <x:c r="D4050" s="274" t="n">
        <x:v>0</x:v>
      </x:c>
      <x:c r="F4050" s="274" t="s">
        <x:v>333</x:v>
      </x:c>
      <x:c r="G4050" s="274" t="s">
        <x:v>2468</x:v>
      </x:c>
      <x:c r="I4050" s="274" t="n">
        <x:v>0.7</x:v>
      </x:c>
      <x:c r="J4050" s="274" t="n">
        <x:v>275</x:v>
      </x:c>
      <x:c r="K4050" s="274" t="n">
        <x:v>800</x:v>
      </x:c>
      <x:c r="M4050" s="274" t="s">
        <x:v>7463</x:v>
      </x:c>
      <x:c r="N4050" s="274" t="s">
        <x:v>7439</x:v>
      </x:c>
    </x:row>
    <x:row r="4051" spans="1:14">
      <x:c r="A4051" s="274" t="s">
        <x:v>7464</x:v>
      </x:c>
      <x:c r="B4051" s="274" t="n">
        <x:v>1.04</x:v>
      </x:c>
      <x:c r="C4051" s="274" t="n">
        <x:v>0</x:v>
      </x:c>
      <x:c r="D4051" s="274" t="n">
        <x:v>0</x:v>
      </x:c>
      <x:c r="F4051" s="274" t="s">
        <x:v>333</x:v>
      </x:c>
      <x:c r="G4051" s="274" t="s">
        <x:v>124</x:v>
      </x:c>
      <x:c r="I4051" s="274" t="n">
        <x:v>2</x:v>
      </x:c>
      <x:c r="J4051" s="274" t="n">
        <x:v>415</x:v>
      </x:c>
      <x:c r="K4051" s="274" t="n">
        <x:v>160</x:v>
      </x:c>
      <x:c r="M4051" s="274" t="s">
        <x:v>7465</x:v>
      </x:c>
      <x:c r="N4051" s="274" t="s">
        <x:v>7439</x:v>
      </x:c>
    </x:row>
    <x:row r="4052" spans="1:14">
      <x:c r="A4052" s="274" t="s">
        <x:v>7466</x:v>
      </x:c>
      <x:c r="B4052" s="274" t="n">
        <x:v>0.29</x:v>
      </x:c>
      <x:c r="C4052" s="274" t="n">
        <x:v>0</x:v>
      </x:c>
      <x:c r="D4052" s="274" t="n">
        <x:v>0</x:v>
      </x:c>
      <x:c r="F4052" s="274" t="s">
        <x:v>333</x:v>
      </x:c>
      <x:c r="G4052" s="274" t="s">
        <x:v>124</x:v>
      </x:c>
      <x:c r="I4052" s="274" t="n">
        <x:v>2</x:v>
      </x:c>
      <x:c r="J4052" s="274" t="n">
        <x:v>260</x:v>
      </x:c>
      <x:c r="K4052" s="274" t="n">
        <x:v>70</x:v>
      </x:c>
      <x:c r="M4052" s="274" t="s">
        <x:v>7467</x:v>
      </x:c>
      <x:c r="N4052" s="274" t="s">
        <x:v>7439</x:v>
      </x:c>
    </x:row>
    <x:row r="4053" spans="1:14">
      <x:c r="A4053" s="274" t="s">
        <x:v>7468</x:v>
      </x:c>
      <x:c r="B4053" s="274" t="n">
        <x:v>0.13</x:v>
      </x:c>
      <x:c r="C4053" s="274" t="n">
        <x:v>0</x:v>
      </x:c>
      <x:c r="D4053" s="274" t="n">
        <x:v>0</x:v>
      </x:c>
      <x:c r="F4053" s="274" t="s">
        <x:v>333</x:v>
      </x:c>
      <x:c r="G4053" s="274" t="s">
        <x:v>124</x:v>
      </x:c>
      <x:c r="I4053" s="274" t="n">
        <x:v>1</x:v>
      </x:c>
      <x:c r="J4053" s="274" t="n">
        <x:v>135</x:v>
      </x:c>
      <x:c r="K4053" s="274" t="n">
        <x:v>125</x:v>
      </x:c>
      <x:c r="M4053" s="274" t="s">
        <x:v>7469</x:v>
      </x:c>
      <x:c r="N4053" s="274" t="s">
        <x:v>7439</x:v>
      </x:c>
    </x:row>
    <x:row r="4054" spans="1:14">
      <x:c r="A4054" s="274" t="s">
        <x:v>7470</x:v>
      </x:c>
      <x:c r="B4054" s="274" t="n">
        <x:v>0.95</x:v>
      </x:c>
      <x:c r="C4054" s="274" t="n">
        <x:v>0</x:v>
      </x:c>
      <x:c r="D4054" s="274" t="n">
        <x:v>0</x:v>
      </x:c>
      <x:c r="F4054" s="274" t="s">
        <x:v>333</x:v>
      </x:c>
      <x:c r="G4054" s="274" t="s">
        <x:v>124</x:v>
      </x:c>
      <x:c r="I4054" s="274" t="n">
        <x:v>1</x:v>
      </x:c>
      <x:c r="J4054" s="274" t="n">
        <x:v>236</x:v>
      </x:c>
      <x:c r="K4054" s="274" t="n">
        <x:v>512</x:v>
      </x:c>
      <x:c r="M4054" s="274" t="s">
        <x:v>7471</x:v>
      </x:c>
      <x:c r="N4054" s="274" t="s">
        <x:v>7439</x:v>
      </x:c>
    </x:row>
    <x:row r="4055" spans="1:14">
      <x:c r="A4055" s="274" t="s">
        <x:v>7472</x:v>
      </x:c>
      <x:c r="B4055" s="274" t="n">
        <x:v>0.98</x:v>
      </x:c>
      <x:c r="C4055" s="274" t="n">
        <x:v>0</x:v>
      </x:c>
      <x:c r="D4055" s="274" t="n">
        <x:v>40</x:v>
      </x:c>
      <x:c r="F4055" s="274" t="s">
        <x:v>333</x:v>
      </x:c>
      <x:c r="G4055" s="274" t="s">
        <x:v>2468</x:v>
      </x:c>
      <x:c r="I4055" s="274" t="n">
        <x:v>0.7</x:v>
      </x:c>
      <x:c r="J4055" s="274" t="n">
        <x:v>605</x:v>
      </x:c>
      <x:c r="K4055" s="274" t="n">
        <x:v>295</x:v>
      </x:c>
      <x:c r="M4055" s="274" t="s">
        <x:v>7461</x:v>
      </x:c>
      <x:c r="N4055" s="274" t="s">
        <x:v>7439</x:v>
      </x:c>
    </x:row>
    <x:row r="4056" spans="1:14">
      <x:c r="A4056" s="274" t="s">
        <x:v>7473</x:v>
      </x:c>
      <x:c r="B4056" s="274" t="n">
        <x:v>1.21</x:v>
      </x:c>
      <x:c r="C4056" s="274" t="n">
        <x:v>0</x:v>
      </x:c>
      <x:c r="D4056" s="274" t="n">
        <x:v>30</x:v>
      </x:c>
      <x:c r="E4056" s="274" t="n">
        <x:v>22</x:v>
      </x:c>
      <x:c r="F4056" s="274" t="s">
        <x:v>333</x:v>
      </x:c>
      <x:c r="G4056" s="274" t="s">
        <x:v>2468</x:v>
      </x:c>
      <x:c r="I4056" s="274" t="n">
        <x:v>0.7</x:v>
      </x:c>
      <x:c r="J4056" s="274" t="n">
        <x:v>275</x:v>
      </x:c>
      <x:c r="K4056" s="274" t="n">
        <x:v>800</x:v>
      </x:c>
      <x:c r="M4056" s="274" t="s">
        <x:v>7463</x:v>
      </x:c>
      <x:c r="N4056" s="274" t="s">
        <x:v>7439</x:v>
      </x:c>
    </x:row>
    <x:row r="4057" spans="1:14">
      <x:c r="A4057" s="274" t="s">
        <x:v>7474</x:v>
      </x:c>
      <x:c r="B4057" s="274" t="n">
        <x:v>1.04</x:v>
      </x:c>
      <x:c r="C4057" s="274" t="n">
        <x:v>0</x:v>
      </x:c>
      <x:c r="D4057" s="274" t="n">
        <x:v>0</x:v>
      </x:c>
      <x:c r="F4057" s="274" t="s">
        <x:v>333</x:v>
      </x:c>
      <x:c r="G4057" s="274" t="s">
        <x:v>2711</x:v>
      </x:c>
      <x:c r="I4057" s="274" t="n">
        <x:v>2</x:v>
      </x:c>
      <x:c r="J4057" s="274" t="n">
        <x:v>415</x:v>
      </x:c>
      <x:c r="K4057" s="274" t="n">
        <x:v>160</x:v>
      </x:c>
      <x:c r="M4057" s="274" t="s">
        <x:v>7465</x:v>
      </x:c>
      <x:c r="N4057" s="274" t="s">
        <x:v>7439</x:v>
      </x:c>
    </x:row>
    <x:row r="4058" spans="1:14">
      <x:c r="A4058" s="274" t="s">
        <x:v>7475</x:v>
      </x:c>
      <x:c r="B4058" s="274" t="n">
        <x:v>0.29</x:v>
      </x:c>
      <x:c r="C4058" s="274" t="n">
        <x:v>0</x:v>
      </x:c>
      <x:c r="D4058" s="274" t="n">
        <x:v>0</x:v>
      </x:c>
      <x:c r="F4058" s="274" t="s">
        <x:v>333</x:v>
      </x:c>
      <x:c r="G4058" s="274" t="s">
        <x:v>2711</x:v>
      </x:c>
      <x:c r="I4058" s="274" t="n">
        <x:v>2</x:v>
      </x:c>
      <x:c r="J4058" s="274" t="n">
        <x:v>260</x:v>
      </x:c>
      <x:c r="K4058" s="274" t="n">
        <x:v>70</x:v>
      </x:c>
      <x:c r="M4058" s="274" t="s">
        <x:v>7467</x:v>
      </x:c>
      <x:c r="N4058" s="274" t="s">
        <x:v>7439</x:v>
      </x:c>
    </x:row>
    <x:row r="4059" spans="1:14">
      <x:c r="A4059" s="274" t="s">
        <x:v>7476</x:v>
      </x:c>
      <x:c r="B4059" s="274" t="n">
        <x:v>0.13</x:v>
      </x:c>
      <x:c r="C4059" s="274" t="n">
        <x:v>0</x:v>
      </x:c>
      <x:c r="D4059" s="274" t="n">
        <x:v>0</x:v>
      </x:c>
      <x:c r="F4059" s="274" t="s">
        <x:v>333</x:v>
      </x:c>
      <x:c r="G4059" s="274" t="s">
        <x:v>2468</x:v>
      </x:c>
      <x:c r="I4059" s="274" t="n">
        <x:v>1</x:v>
      </x:c>
      <x:c r="J4059" s="274" t="n">
        <x:v>135</x:v>
      </x:c>
      <x:c r="K4059" s="274" t="n">
        <x:v>125</x:v>
      </x:c>
      <x:c r="M4059" s="274" t="s">
        <x:v>7471</x:v>
      </x:c>
      <x:c r="N4059" s="274" t="s">
        <x:v>7439</x:v>
      </x:c>
    </x:row>
    <x:row r="4060" spans="1:14">
      <x:c r="A4060" s="274" t="s">
        <x:v>7477</x:v>
      </x:c>
      <x:c r="B4060" s="274" t="n">
        <x:v>0.95</x:v>
      </x:c>
      <x:c r="C4060" s="274" t="n">
        <x:v>0</x:v>
      </x:c>
      <x:c r="D4060" s="274" t="n">
        <x:v>0</x:v>
      </x:c>
      <x:c r="F4060" s="274" t="s">
        <x:v>333</x:v>
      </x:c>
      <x:c r="G4060" s="274" t="s">
        <x:v>2468</x:v>
      </x:c>
      <x:c r="I4060" s="274" t="n">
        <x:v>1</x:v>
      </x:c>
      <x:c r="J4060" s="274" t="n">
        <x:v>236</x:v>
      </x:c>
      <x:c r="K4060" s="274" t="n">
        <x:v>512</x:v>
      </x:c>
      <x:c r="M4060" s="274" t="s">
        <x:v>7469</x:v>
      </x:c>
      <x:c r="N4060" s="274" t="s">
        <x:v>7439</x:v>
      </x:c>
    </x:row>
    <x:row r="4061" spans="1:14">
      <x:c r="A4061" s="274" t="s">
        <x:v>7478</x:v>
      </x:c>
      <x:c r="B4061" s="274" t="n">
        <x:v>1.4</x:v>
      </x:c>
      <x:c r="C4061" s="274" t="n">
        <x:v>0</x:v>
      </x:c>
      <x:c r="D4061" s="274" t="n">
        <x:v>0</x:v>
      </x:c>
      <x:c r="F4061" s="274" t="s">
        <x:v>333</x:v>
      </x:c>
      <x:c r="G4061" s="274" t="s">
        <x:v>4663</x:v>
      </x:c>
      <x:c r="I4061" s="274" t="n">
        <x:v>1</x:v>
      </x:c>
      <x:c r="J4061" s="274" t="n">
        <x:v>990</x:v>
      </x:c>
      <x:c r="K4061" s="274" t="n">
        <x:v>180</x:v>
      </x:c>
      <x:c r="M4061" s="274" t="s">
        <x:v>4974</x:v>
      </x:c>
      <x:c r="N4061" s="274" t="s">
        <x:v>4258</x:v>
      </x:c>
    </x:row>
    <x:row r="4062" spans="1:14">
      <x:c r="A4062" s="274" t="s">
        <x:v>7479</x:v>
      </x:c>
      <x:c r="B4062" s="274" t="n">
        <x:v>0.68</x:v>
      </x:c>
      <x:c r="C4062" s="274" t="n">
        <x:v>0</x:v>
      </x:c>
      <x:c r="D4062" s="274" t="n">
        <x:v>0</x:v>
      </x:c>
      <x:c r="F4062" s="274" t="s">
        <x:v>333</x:v>
      </x:c>
      <x:c r="G4062" s="274" t="s">
        <x:v>4663</x:v>
      </x:c>
      <x:c r="I4062" s="274" t="n">
        <x:v>1</x:v>
      </x:c>
      <x:c r="J4062" s="274" t="n">
        <x:v>205</x:v>
      </x:c>
      <x:c r="K4062" s="274" t="n">
        <x:v>425</x:v>
      </x:c>
      <x:c r="M4062" s="274" t="s">
        <x:v>5606</x:v>
      </x:c>
      <x:c r="N4062" s="274" t="s">
        <x:v>4258</x:v>
      </x:c>
    </x:row>
    <x:row r="4063" spans="1:14">
      <x:c r="A4063" s="274" t="s">
        <x:v>7480</x:v>
      </x:c>
      <x:c r="B4063" s="274" t="n">
        <x:v>0.27</x:v>
      </x:c>
      <x:c r="C4063" s="274" t="n">
        <x:v>0</x:v>
      </x:c>
      <x:c r="D4063" s="274" t="n">
        <x:v>0</x:v>
      </x:c>
      <x:c r="F4063" s="274" t="s">
        <x:v>333</x:v>
      </x:c>
      <x:c r="G4063" s="274" t="s">
        <x:v>4663</x:v>
      </x:c>
      <x:c r="I4063" s="274" t="n">
        <x:v>1</x:v>
      </x:c>
      <x:c r="J4063" s="274" t="n">
        <x:v>149</x:v>
      </x:c>
      <x:c r="K4063" s="274" t="n">
        <x:v>232</x:v>
      </x:c>
      <x:c r="M4063" s="274" t="s">
        <x:v>4976</x:v>
      </x:c>
      <x:c r="N4063" s="274" t="s">
        <x:v>4258</x:v>
      </x:c>
    </x:row>
    <x:row r="4064" spans="1:14">
      <x:c r="A4064" s="274" t="s">
        <x:v>7481</x:v>
      </x:c>
      <x:c r="B4064" s="274" t="n">
        <x:v>0.64</x:v>
      </x:c>
      <x:c r="C4064" s="274" t="n">
        <x:v>0</x:v>
      </x:c>
      <x:c r="D4064" s="274" t="n">
        <x:v>0</x:v>
      </x:c>
      <x:c r="F4064" s="274" t="s">
        <x:v>333</x:v>
      </x:c>
      <x:c r="G4064" s="274" t="s">
        <x:v>4663</x:v>
      </x:c>
      <x:c r="I4064" s="274" t="n">
        <x:v>1</x:v>
      </x:c>
      <x:c r="J4064" s="274" t="n">
        <x:v>68</x:v>
      </x:c>
      <x:c r="K4064" s="274" t="n">
        <x:v>1200</x:v>
      </x:c>
      <x:c r="M4064" s="274" t="s">
        <x:v>4803</x:v>
      </x:c>
      <x:c r="N4064" s="274" t="s">
        <x:v>4258</x:v>
      </x:c>
    </x:row>
    <x:row r="4065" spans="1:14">
      <x:c r="A4065" s="274" t="s">
        <x:v>7482</x:v>
      </x:c>
      <x:c r="B4065" s="274" t="n">
        <x:v>0.78</x:v>
      </x:c>
      <x:c r="C4065" s="274" t="n">
        <x:v>0</x:v>
      </x:c>
      <x:c r="D4065" s="274" t="n">
        <x:v>45</x:v>
      </x:c>
      <x:c r="E4065" s="274" t="n">
        <x:v>40</x:v>
      </x:c>
      <x:c r="F4065" s="274" t="s">
        <x:v>333</x:v>
      </x:c>
      <x:c r="G4065" s="274" t="s">
        <x:v>4663</x:v>
      </x:c>
      <x:c r="I4065" s="274" t="n">
        <x:v>1.2</x:v>
      </x:c>
      <x:c r="J4065" s="274" t="n">
        <x:v>378</x:v>
      </x:c>
      <x:c r="K4065" s="274" t="n">
        <x:v>220</x:v>
      </x:c>
      <x:c r="M4065" s="274" t="s">
        <x:v>5038</x:v>
      </x:c>
      <x:c r="N4065" s="274" t="s">
        <x:v>4258</x:v>
      </x:c>
    </x:row>
    <x:row r="4066" spans="1:14">
      <x:c r="A4066" s="274" t="s">
        <x:v>7483</x:v>
      </x:c>
      <x:c r="B4066" s="274" t="n">
        <x:v>2.44</x:v>
      </x:c>
      <x:c r="C4066" s="274" t="n">
        <x:v>0</x:v>
      </x:c>
      <x:c r="D4066" s="274" t="n">
        <x:v>0</x:v>
      </x:c>
      <x:c r="F4066" s="274" t="s">
        <x:v>333</x:v>
      </x:c>
      <x:c r="G4066" s="274" t="s">
        <x:v>4663</x:v>
      </x:c>
      <x:c r="I4066" s="274" t="n">
        <x:v>1.2</x:v>
      </x:c>
      <x:c r="J4066" s="274" t="n">
        <x:v>692</x:v>
      </x:c>
      <x:c r="K4066" s="274" t="n">
        <x:v>375</x:v>
      </x:c>
      <x:c r="M4066" s="274" t="s">
        <x:v>7484</x:v>
      </x:c>
      <x:c r="N4066" s="274" t="s">
        <x:v>4258</x:v>
      </x:c>
    </x:row>
    <x:row r="4067" spans="1:14">
      <x:c r="A4067" s="274" t="s">
        <x:v>7485</x:v>
      </x:c>
      <x:c r="B4067" s="274" t="n">
        <x:v>1.51</x:v>
      </x:c>
      <x:c r="C4067" s="274" t="n">
        <x:v>0</x:v>
      </x:c>
      <x:c r="D4067" s="274" t="n">
        <x:v>0</x:v>
      </x:c>
      <x:c r="F4067" s="274" t="s">
        <x:v>333</x:v>
      </x:c>
      <x:c r="G4067" s="274" t="s">
        <x:v>4663</x:v>
      </x:c>
      <x:c r="I4067" s="274" t="n">
        <x:v>1.2</x:v>
      </x:c>
      <x:c r="J4067" s="274" t="n">
        <x:v>276</x:v>
      </x:c>
      <x:c r="K4067" s="274" t="n">
        <x:v>580</x:v>
      </x:c>
      <x:c r="M4067" s="274" t="s">
        <x:v>7486</x:v>
      </x:c>
      <x:c r="N4067" s="274" t="s">
        <x:v>4258</x:v>
      </x:c>
    </x:row>
    <x:row r="4068" spans="1:14">
      <x:c r="A4068" s="274" t="s">
        <x:v>7487</x:v>
      </x:c>
      <x:c r="B4068" s="274" t="n">
        <x:v>0.97</x:v>
      </x:c>
      <x:c r="C4068" s="274" t="n">
        <x:v>0</x:v>
      </x:c>
      <x:c r="D4068" s="274" t="n">
        <x:v>0</x:v>
      </x:c>
      <x:c r="F4068" s="274" t="s">
        <x:v>333</x:v>
      </x:c>
      <x:c r="G4068" s="274" t="s">
        <x:v>4663</x:v>
      </x:c>
      <x:c r="I4068" s="274" t="n">
        <x:v>1.2</x:v>
      </x:c>
      <x:c r="J4068" s="274" t="n">
        <x:v>457</x:v>
      </x:c>
      <x:c r="K4068" s="274" t="n">
        <x:v>225</x:v>
      </x:c>
      <x:c r="M4068" s="274" t="s">
        <x:v>5125</x:v>
      </x:c>
      <x:c r="N4068" s="274" t="s">
        <x:v>4258</x:v>
      </x:c>
    </x:row>
    <x:row r="4069" spans="1:14">
      <x:c r="A4069" s="274" t="s">
        <x:v>7488</x:v>
      </x:c>
      <x:c r="B4069" s="274" t="n">
        <x:v>0.7</x:v>
      </x:c>
      <x:c r="C4069" s="274" t="n">
        <x:v>0</x:v>
      </x:c>
      <x:c r="D4069" s="274" t="n">
        <x:v>0</x:v>
      </x:c>
      <x:c r="F4069" s="274" t="s">
        <x:v>333</x:v>
      </x:c>
      <x:c r="G4069" s="274" t="s">
        <x:v>4663</x:v>
      </x:c>
      <x:c r="I4069" s="274" t="n">
        <x:v>1.2</x:v>
      </x:c>
      <x:c r="J4069" s="274" t="n">
        <x:v>439</x:v>
      </x:c>
      <x:c r="K4069" s="274" t="n">
        <x:v>170</x:v>
      </x:c>
      <x:c r="M4069" s="274" t="s">
        <x:v>7489</x:v>
      </x:c>
      <x:c r="N4069" s="274" t="s">
        <x:v>4258</x:v>
      </x:c>
    </x:row>
    <x:row r="4070" spans="1:14">
      <x:c r="A4070" s="274" t="s">
        <x:v>7490</x:v>
      </x:c>
      <x:c r="B4070" s="274" t="n">
        <x:v>0.67</x:v>
      </x:c>
      <x:c r="C4070" s="274" t="n">
        <x:v>0</x:v>
      </x:c>
      <x:c r="D4070" s="274" t="n">
        <x:v>0</x:v>
      </x:c>
      <x:c r="F4070" s="274" t="s">
        <x:v>333</x:v>
      </x:c>
      <x:c r="G4070" s="274" t="s">
        <x:v>4663</x:v>
      </x:c>
      <x:c r="I4070" s="274" t="n">
        <x:v>1.2</x:v>
      </x:c>
      <x:c r="J4070" s="274" t="n">
        <x:v>795</x:v>
      </x:c>
      <x:c r="K4070" s="274" t="n">
        <x:v>89</x:v>
      </x:c>
      <x:c r="M4070" s="274" t="s">
        <x:v>4703</x:v>
      </x:c>
      <x:c r="N4070" s="274" t="s">
        <x:v>4258</x:v>
      </x:c>
    </x:row>
    <x:row r="4071" spans="1:14">
      <x:c r="A4071" s="274" t="s">
        <x:v>7491</x:v>
      </x:c>
      <x:c r="B4071" s="274" t="n">
        <x:v>1.32</x:v>
      </x:c>
      <x:c r="C4071" s="274" t="n">
        <x:v>0</x:v>
      </x:c>
      <x:c r="D4071" s="274" t="n">
        <x:v>0</x:v>
      </x:c>
      <x:c r="F4071" s="274" t="s">
        <x:v>333</x:v>
      </x:c>
      <x:c r="G4071" s="274" t="s">
        <x:v>4663</x:v>
      </x:c>
      <x:c r="I4071" s="274" t="n">
        <x:v>1.2</x:v>
      </x:c>
      <x:c r="J4071" s="274" t="n">
        <x:v>800</x:v>
      </x:c>
      <x:c r="K4071" s="274" t="n">
        <x:v>175</x:v>
      </x:c>
      <x:c r="M4071" s="274" t="s">
        <x:v>4705</x:v>
      </x:c>
      <x:c r="N4071" s="274" t="s">
        <x:v>4258</x:v>
      </x:c>
    </x:row>
    <x:row r="4072" spans="1:14">
      <x:c r="A4072" s="274" t="s">
        <x:v>7492</x:v>
      </x:c>
      <x:c r="B4072" s="274" t="n">
        <x:v>1.07</x:v>
      </x:c>
      <x:c r="C4072" s="274" t="n">
        <x:v>0</x:v>
      </x:c>
      <x:c r="D4072" s="274" t="n">
        <x:v>0</x:v>
      </x:c>
      <x:c r="F4072" s="274" t="s">
        <x:v>333</x:v>
      </x:c>
      <x:c r="G4072" s="274" t="s">
        <x:v>4663</x:v>
      </x:c>
      <x:c r="I4072" s="274" t="n">
        <x:v>1.2</x:v>
      </x:c>
      <x:c r="J4072" s="274" t="n">
        <x:v>911</x:v>
      </x:c>
      <x:c r="K4072" s="274" t="n">
        <x:v>125</x:v>
      </x:c>
      <x:c r="M4072" s="274" t="s">
        <x:v>4707</x:v>
      </x:c>
      <x:c r="N4072" s="274" t="s">
        <x:v>4258</x:v>
      </x:c>
    </x:row>
    <x:row r="4073" spans="1:14">
      <x:c r="A4073" s="274" t="s">
        <x:v>7493</x:v>
      </x:c>
      <x:c r="B4073" s="274" t="n">
        <x:v>0.39</x:v>
      </x:c>
      <x:c r="C4073" s="274" t="n">
        <x:v>0</x:v>
      </x:c>
      <x:c r="D4073" s="274" t="n">
        <x:v>0</x:v>
      </x:c>
      <x:c r="F4073" s="274" t="s">
        <x:v>333</x:v>
      </x:c>
      <x:c r="G4073" s="274" t="s">
        <x:v>4663</x:v>
      </x:c>
      <x:c r="I4073" s="274" t="n">
        <x:v>1.2</x:v>
      </x:c>
      <x:c r="J4073" s="274" t="n">
        <x:v>830</x:v>
      </x:c>
      <x:c r="K4073" s="274" t="n">
        <x:v>49.5</x:v>
      </x:c>
      <x:c r="M4073" s="274" t="s">
        <x:v>4928</x:v>
      </x:c>
      <x:c r="N4073" s="274" t="s">
        <x:v>4258</x:v>
      </x:c>
    </x:row>
    <x:row r="4074" spans="1:14">
      <x:c r="A4074" s="274" t="s">
        <x:v>7494</x:v>
      </x:c>
      <x:c r="B4074" s="274" t="n">
        <x:v>0.71</x:v>
      </x:c>
      <x:c r="C4074" s="274" t="n">
        <x:v>0</x:v>
      </x:c>
      <x:c r="D4074" s="274" t="n">
        <x:v>0</x:v>
      </x:c>
      <x:c r="F4074" s="274" t="s">
        <x:v>333</x:v>
      </x:c>
      <x:c r="G4074" s="274" t="s">
        <x:v>4663</x:v>
      </x:c>
      <x:c r="I4074" s="274" t="n">
        <x:v>1.2</x:v>
      </x:c>
      <x:c r="J4074" s="274" t="n">
        <x:v>219</x:v>
      </x:c>
      <x:c r="K4074" s="274" t="n">
        <x:v>342</x:v>
      </x:c>
      <x:c r="M4074" s="274" t="s">
        <x:v>5131</x:v>
      </x:c>
      <x:c r="N4074" s="274" t="s">
        <x:v>4258</x:v>
      </x:c>
    </x:row>
    <x:row r="4075" spans="1:14">
      <x:c r="A4075" s="274" t="s">
        <x:v>7495</x:v>
      </x:c>
      <x:c r="B4075" s="274" t="n">
        <x:v>0.63</x:v>
      </x:c>
      <x:c r="C4075" s="274" t="n">
        <x:v>0</x:v>
      </x:c>
      <x:c r="D4075" s="274" t="n">
        <x:v>0</x:v>
      </x:c>
      <x:c r="F4075" s="274" t="s">
        <x:v>333</x:v>
      </x:c>
      <x:c r="G4075" s="274" t="s">
        <x:v>4663</x:v>
      </x:c>
      <x:c r="I4075" s="274" t="n">
        <x:v>1.2</x:v>
      </x:c>
      <x:c r="J4075" s="274" t="n">
        <x:v>330</x:v>
      </x:c>
      <x:c r="K4075" s="274" t="n">
        <x:v>202</x:v>
      </x:c>
      <x:c r="M4075" s="274" t="s">
        <x:v>7496</x:v>
      </x:c>
      <x:c r="N4075" s="274" t="s">
        <x:v>4258</x:v>
      </x:c>
    </x:row>
    <x:row r="4076" spans="1:14">
      <x:c r="A4076" s="274" t="s">
        <x:v>7497</x:v>
      </x:c>
      <x:c r="B4076" s="274" t="n">
        <x:v>0.73</x:v>
      </x:c>
      <x:c r="C4076" s="274" t="n">
        <x:v>0</x:v>
      </x:c>
      <x:c r="D4076" s="274" t="n">
        <x:v>0</x:v>
      </x:c>
      <x:c r="F4076" s="274" t="s">
        <x:v>333</x:v>
      </x:c>
      <x:c r="G4076" s="274" t="s">
        <x:v>4663</x:v>
      </x:c>
      <x:c r="I4076" s="274" t="n">
        <x:v>1.2</x:v>
      </x:c>
      <x:c r="J4076" s="274" t="n">
        <x:v>205</x:v>
      </x:c>
      <x:c r="K4076" s="274" t="n">
        <x:v>380</x:v>
      </x:c>
      <x:c r="M4076" s="274" t="s">
        <x:v>7498</x:v>
      </x:c>
      <x:c r="N4076" s="274" t="s">
        <x:v>4258</x:v>
      </x:c>
    </x:row>
    <x:row r="4077" spans="1:14">
      <x:c r="A4077" s="274" t="s">
        <x:v>7499</x:v>
      </x:c>
      <x:c r="B4077" s="274" t="n">
        <x:v>5.26</x:v>
      </x:c>
      <x:c r="C4077" s="274" t="n">
        <x:v>0</x:v>
      </x:c>
      <x:c r="D4077" s="274" t="n">
        <x:v>45</x:v>
      </x:c>
      <x:c r="E4077" s="274" t="n">
        <x:v>40</x:v>
      </x:c>
      <x:c r="F4077" s="274" t="s">
        <x:v>333</x:v>
      </x:c>
      <x:c r="G4077" s="274" t="s">
        <x:v>4286</x:v>
      </x:c>
      <x:c r="I4077" s="274" t="n">
        <x:v>1.2</x:v>
      </x:c>
      <x:c r="J4077" s="274" t="n">
        <x:v>1470</x:v>
      </x:c>
      <x:c r="K4077" s="274" t="n">
        <x:v>380</x:v>
      </x:c>
      <x:c r="M4077" s="274" t="s">
        <x:v>5702</x:v>
      </x:c>
    </x:row>
    <x:row r="4078" spans="1:14">
      <x:c r="A4078" s="274" t="s">
        <x:v>7500</x:v>
      </x:c>
      <x:c r="B4078" s="274" t="n">
        <x:v>2.38</x:v>
      </x:c>
      <x:c r="C4078" s="274" t="n">
        <x:v>0</x:v>
      </x:c>
      <x:c r="D4078" s="274" t="n">
        <x:v>0</x:v>
      </x:c>
      <x:c r="F4078" s="274" t="s">
        <x:v>333</x:v>
      </x:c>
      <x:c r="G4078" s="274" t="s">
        <x:v>4286</x:v>
      </x:c>
      <x:c r="I4078" s="274" t="n">
        <x:v>1</x:v>
      </x:c>
      <x:c r="J4078" s="274" t="n">
        <x:v>440</x:v>
      </x:c>
      <x:c r="K4078" s="274" t="n">
        <x:v>690</x:v>
      </x:c>
      <x:c r="M4078" s="274" t="s">
        <x:v>4972</x:v>
      </x:c>
      <x:c r="N4078" s="274" t="s">
        <x:v>4258</x:v>
      </x:c>
    </x:row>
    <x:row r="4079" spans="1:14">
      <x:c r="A4079" s="274" t="s">
        <x:v>7501</x:v>
      </x:c>
      <x:c r="B4079" s="274" t="n">
        <x:v>2.63</x:v>
      </x:c>
      <x:c r="C4079" s="274" t="n">
        <x:v>0</x:v>
      </x:c>
      <x:c r="D4079" s="274" t="n">
        <x:v>0</x:v>
      </x:c>
      <x:c r="F4079" s="274" t="s">
        <x:v>333</x:v>
      </x:c>
      <x:c r="G4079" s="274" t="s">
        <x:v>4286</x:v>
      </x:c>
      <x:c r="I4079" s="274" t="n">
        <x:v>1</x:v>
      </x:c>
      <x:c r="J4079" s="274" t="n">
        <x:v>456</x:v>
      </x:c>
      <x:c r="K4079" s="274" t="n">
        <x:v>736</x:v>
      </x:c>
      <x:c r="M4079" s="274" t="s">
        <x:v>4970</x:v>
      </x:c>
      <x:c r="N4079" s="274" t="s">
        <x:v>4258</x:v>
      </x:c>
    </x:row>
    <x:row r="4080" spans="1:14">
      <x:c r="A4080" s="274" t="s">
        <x:v>7502</x:v>
      </x:c>
      <x:c r="B4080" s="274" t="n">
        <x:v>1.56</x:v>
      </x:c>
      <x:c r="C4080" s="274" t="n">
        <x:v>0</x:v>
      </x:c>
      <x:c r="D4080" s="274" t="n">
        <x:v>0</x:v>
      </x:c>
      <x:c r="F4080" s="274" t="s">
        <x:v>333</x:v>
      </x:c>
      <x:c r="G4080" s="274" t="s">
        <x:v>4958</x:v>
      </x:c>
      <x:c r="I4080" s="274" t="n">
        <x:v>1.2</x:v>
      </x:c>
      <x:c r="J4080" s="274" t="n">
        <x:v>138</x:v>
      </x:c>
      <x:c r="K4080" s="274" t="n">
        <x:v>1200</x:v>
      </x:c>
      <x:c r="M4080" s="274" t="s">
        <x:v>4959</x:v>
      </x:c>
      <x:c r="N4080" s="274" t="s">
        <x:v>4258</x:v>
      </x:c>
    </x:row>
    <x:row r="4081" spans="1:14">
      <x:c r="A4081" s="274" t="s">
        <x:v>7503</x:v>
      </x:c>
      <x:c r="B4081" s="274" t="n">
        <x:v>2.17</x:v>
      </x:c>
      <x:c r="C4081" s="274" t="n">
        <x:v>0</x:v>
      </x:c>
      <x:c r="D4081" s="274" t="n">
        <x:v>0</x:v>
      </x:c>
      <x:c r="F4081" s="274" t="s">
        <x:v>333</x:v>
      </x:c>
      <x:c r="G4081" s="274" t="s">
        <x:v>4286</x:v>
      </x:c>
      <x:c r="I4081" s="274" t="n">
        <x:v>1.2</x:v>
      </x:c>
      <x:c r="J4081" s="274" t="n">
        <x:v>669</x:v>
      </x:c>
      <x:c r="K4081" s="274" t="n">
        <x:v>344</x:v>
      </x:c>
      <x:c r="M4081" s="274" t="s">
        <x:v>5034</x:v>
      </x:c>
    </x:row>
    <x:row r="4082" spans="1:14">
      <x:c r="A4082" s="274" t="s">
        <x:v>7504</x:v>
      </x:c>
      <x:c r="B4082" s="274" t="n">
        <x:v>2.23</x:v>
      </x:c>
      <x:c r="C4082" s="274" t="n">
        <x:v>0</x:v>
      </x:c>
      <x:c r="D4082" s="274" t="n">
        <x:v>0</x:v>
      </x:c>
      <x:c r="F4082" s="274" t="s">
        <x:v>333</x:v>
      </x:c>
      <x:c r="G4082" s="274" t="s">
        <x:v>4663</x:v>
      </x:c>
      <x:c r="I4082" s="274" t="n">
        <x:v>1.2</x:v>
      </x:c>
      <x:c r="J4082" s="274" t="n">
        <x:v>1355</x:v>
      </x:c>
      <x:c r="K4082" s="274" t="n">
        <x:v>175</x:v>
      </x:c>
      <x:c r="M4082" s="274" t="s">
        <x:v>7505</x:v>
      </x:c>
      <x:c r="N4082" s="274" t="s">
        <x:v>4258</x:v>
      </x:c>
    </x:row>
    <x:row r="4083" spans="1:14">
      <x:c r="A4083" s="274" t="s">
        <x:v>7506</x:v>
      </x:c>
      <x:c r="B4083" s="274" t="n">
        <x:v>2.58</x:v>
      </x:c>
      <x:c r="C4083" s="274" t="n">
        <x:v>0</x:v>
      </x:c>
      <x:c r="D4083" s="274" t="n">
        <x:v>0</x:v>
      </x:c>
      <x:c r="F4083" s="274" t="s">
        <x:v>333</x:v>
      </x:c>
      <x:c r="G4083" s="274" t="s">
        <x:v>4663</x:v>
      </x:c>
      <x:c r="I4083" s="274" t="n">
        <x:v>1.2</x:v>
      </x:c>
      <x:c r="J4083" s="274" t="n">
        <x:v>570</x:v>
      </x:c>
      <x:c r="K4083" s="274" t="n">
        <x:v>480</x:v>
      </x:c>
      <x:c r="M4083" s="274" t="s">
        <x:v>7507</x:v>
      </x:c>
      <x:c r="N4083" s="274" t="s">
        <x:v>4258</x:v>
      </x:c>
    </x:row>
    <x:row r="4084" spans="1:14">
      <x:c r="A4084" s="274" t="s">
        <x:v>7508</x:v>
      </x:c>
      <x:c r="B4084" s="274" t="n">
        <x:v>2.78</x:v>
      </x:c>
      <x:c r="C4084" s="274" t="n">
        <x:v>0</x:v>
      </x:c>
      <x:c r="D4084" s="274" t="n">
        <x:v>0</x:v>
      </x:c>
      <x:c r="F4084" s="274" t="s">
        <x:v>333</x:v>
      </x:c>
      <x:c r="G4084" s="274" t="s">
        <x:v>4663</x:v>
      </x:c>
      <x:c r="I4084" s="274" t="n">
        <x:v>1.2</x:v>
      </x:c>
      <x:c r="J4084" s="274" t="n">
        <x:v>590</x:v>
      </x:c>
      <x:c r="K4084" s="274" t="n">
        <x:v>500</x:v>
      </x:c>
      <x:c r="M4084" s="274" t="s">
        <x:v>7509</x:v>
      </x:c>
      <x:c r="N4084" s="274" t="s">
        <x:v>4258</x:v>
      </x:c>
    </x:row>
    <x:row r="4085" spans="1:14">
      <x:c r="A4085" s="274" t="s">
        <x:v>7510</x:v>
      </x:c>
      <x:c r="B4085" s="274" t="n">
        <x:v>0.87</x:v>
      </x:c>
      <x:c r="C4085" s="274" t="n">
        <x:v>0</x:v>
      </x:c>
      <x:c r="D4085" s="274" t="n">
        <x:v>0</x:v>
      </x:c>
      <x:c r="F4085" s="274" t="s">
        <x:v>333</x:v>
      </x:c>
      <x:c r="G4085" s="274" t="s">
        <x:v>4663</x:v>
      </x:c>
      <x:c r="I4085" s="274" t="n">
        <x:v>1.4</x:v>
      </x:c>
      <x:c r="J4085" s="274" t="n">
        <x:v>384</x:v>
      </x:c>
      <x:c r="K4085" s="274" t="n">
        <x:v>207</x:v>
      </x:c>
      <x:c r="M4085" s="274" t="s">
        <x:v>5171</x:v>
      </x:c>
      <x:c r="N4085" s="274" t="s">
        <x:v>4258</x:v>
      </x:c>
    </x:row>
    <x:row r="4086" spans="1:14">
      <x:c r="A4086" s="274" t="s">
        <x:v>7511</x:v>
      </x:c>
      <x:c r="B4086" s="274" t="n">
        <x:v>1.53</x:v>
      </x:c>
      <x:c r="C4086" s="274" t="n">
        <x:v>0</x:v>
      </x:c>
      <x:c r="D4086" s="274" t="n">
        <x:v>45</x:v>
      </x:c>
      <x:c r="E4086" s="274" t="n">
        <x:v>40</x:v>
      </x:c>
      <x:c r="F4086" s="274" t="s">
        <x:v>333</x:v>
      </x:c>
      <x:c r="G4086" s="274" t="s">
        <x:v>4663</x:v>
      </x:c>
      <x:c r="I4086" s="274" t="n">
        <x:v>0.8</x:v>
      </x:c>
      <x:c r="J4086" s="274" t="n">
        <x:v>590</x:v>
      </x:c>
      <x:c r="K4086" s="274" t="n">
        <x:v>413</x:v>
      </x:c>
      <x:c r="M4086" s="274" t="s">
        <x:v>7512</x:v>
      </x:c>
      <x:c r="N4086" s="274" t="s">
        <x:v>4258</x:v>
      </x:c>
    </x:row>
    <x:row r="4087" spans="1:14">
      <x:c r="A4087" s="274" t="s">
        <x:v>7513</x:v>
      </x:c>
      <x:c r="B4087" s="274" t="n">
        <x:v>0.28</x:v>
      </x:c>
      <x:c r="C4087" s="274" t="n">
        <x:v>0</x:v>
      </x:c>
      <x:c r="D4087" s="274" t="n">
        <x:v>0</x:v>
      </x:c>
      <x:c r="F4087" s="274" t="s">
        <x:v>333</x:v>
      </x:c>
      <x:c r="G4087" s="274" t="s">
        <x:v>4663</x:v>
      </x:c>
      <x:c r="I4087" s="274" t="n">
        <x:v>0.8</x:v>
      </x:c>
      <x:c r="J4087" s="274" t="n">
        <x:v>110</x:v>
      </x:c>
      <x:c r="K4087" s="274" t="n">
        <x:v>405</x:v>
      </x:c>
      <x:c r="M4087" s="274" t="s">
        <x:v>4713</x:v>
      </x:c>
      <x:c r="N4087" s="274" t="s">
        <x:v>4258</x:v>
      </x:c>
    </x:row>
    <x:row r="4088" spans="1:14">
      <x:c r="A4088" s="274" t="s">
        <x:v>7514</x:v>
      </x:c>
      <x:c r="B4088" s="274" t="n">
        <x:v>0.63</x:v>
      </x:c>
      <x:c r="C4088" s="274" t="n">
        <x:v>0</x:v>
      </x:c>
      <x:c r="D4088" s="274" t="n">
        <x:v>0</x:v>
      </x:c>
      <x:c r="F4088" s="274" t="s">
        <x:v>333</x:v>
      </x:c>
      <x:c r="G4088" s="274" t="s">
        <x:v>4663</x:v>
      </x:c>
      <x:c r="I4088" s="274" t="n">
        <x:v>0.8</x:v>
      </x:c>
      <x:c r="J4088" s="274" t="n">
        <x:v>463</x:v>
      </x:c>
      <x:c r="K4088" s="274" t="n">
        <x:v>217</x:v>
      </x:c>
      <x:c r="M4088" s="274" t="s">
        <x:v>4711</x:v>
      </x:c>
      <x:c r="N4088" s="274" t="s">
        <x:v>4258</x:v>
      </x:c>
    </x:row>
    <x:row r="4089" spans="1:14">
      <x:c r="A4089" s="274" t="s">
        <x:v>7515</x:v>
      </x:c>
      <x:c r="B4089" s="274" t="n">
        <x:v>4.35</x:v>
      </x:c>
      <x:c r="C4089" s="274" t="n">
        <x:v>0</x:v>
      </x:c>
      <x:c r="D4089" s="274" t="n">
        <x:v>0</x:v>
      </x:c>
      <x:c r="F4089" s="274" t="s">
        <x:v>184</x:v>
      </x:c>
      <x:c r="G4089" s="274" t="s">
        <x:v>4782</x:v>
      </x:c>
      <x:c r="H4089" s="274" t="s">
        <x:v>4471</x:v>
      </x:c>
      <x:c r="I4089" s="274" t="n">
        <x:v>1.2</x:v>
      </x:c>
      <x:c r="J4089" s="274" t="n">
        <x:v>366</x:v>
      </x:c>
      <x:c r="K4089" s="274" t="n">
        <x:v>1250</x:v>
      </x:c>
      <x:c r="M4089" s="274" t="s">
        <x:v>5525</x:v>
      </x:c>
      <x:c r="N4089" s="274" t="s">
        <x:v>4258</x:v>
      </x:c>
    </x:row>
    <x:row r="4090" spans="1:14">
      <x:c r="A4090" s="274" t="s">
        <x:v>7516</x:v>
      </x:c>
      <x:c r="B4090" s="274" t="n">
        <x:v>0.3</x:v>
      </x:c>
      <x:c r="C4090" s="274" t="n">
        <x:v>0</x:v>
      </x:c>
      <x:c r="D4090" s="274" t="n">
        <x:v>0</x:v>
      </x:c>
      <x:c r="F4090" s="274" t="s">
        <x:v>184</x:v>
      </x:c>
      <x:c r="G4090" s="274" t="s">
        <x:v>4782</x:v>
      </x:c>
      <x:c r="H4090" s="274" t="s">
        <x:v>4471</x:v>
      </x:c>
      <x:c r="I4090" s="274" t="n">
        <x:v>1.2</x:v>
      </x:c>
      <x:c r="J4090" s="274" t="n">
        <x:v>254</x:v>
      </x:c>
      <x:c r="K4090" s="274" t="n">
        <x:v>125</x:v>
      </x:c>
      <x:c r="M4090" s="274" t="s">
        <x:v>7387</x:v>
      </x:c>
      <x:c r="N4090" s="274" t="s">
        <x:v>4258</x:v>
      </x:c>
    </x:row>
    <x:row r="4091" spans="1:14">
      <x:c r="A4091" s="274" t="s">
        <x:v>7517</x:v>
      </x:c>
      <x:c r="B4091" s="274" t="n">
        <x:v>2.85</x:v>
      </x:c>
      <x:c r="C4091" s="274" t="n">
        <x:v>0</x:v>
      </x:c>
      <x:c r="D4091" s="274" t="n">
        <x:v>0</x:v>
      </x:c>
      <x:c r="F4091" s="274" t="s">
        <x:v>184</x:v>
      </x:c>
      <x:c r="G4091" s="274" t="s">
        <x:v>4782</x:v>
      </x:c>
      <x:c r="H4091" s="274" t="s">
        <x:v>4471</x:v>
      </x:c>
      <x:c r="I4091" s="274" t="n">
        <x:v>1.2</x:v>
      </x:c>
      <x:c r="J4091" s="274" t="n">
        <x:v>240</x:v>
      </x:c>
      <x:c r="K4091" s="274" t="n">
        <x:v>1250</x:v>
      </x:c>
      <x:c r="M4091" s="274" t="s">
        <x:v>5527</x:v>
      </x:c>
      <x:c r="N4091" s="274" t="s">
        <x:v>4258</x:v>
      </x:c>
    </x:row>
    <x:row r="4092" spans="1:14">
      <x:c r="A4092" s="274" t="s">
        <x:v>7518</x:v>
      </x:c>
      <x:c r="B4092" s="274" t="n">
        <x:v>3.98</x:v>
      </x:c>
      <x:c r="C4092" s="274" t="n">
        <x:v>0</x:v>
      </x:c>
      <x:c r="D4092" s="274" t="n">
        <x:v>0</x:v>
      </x:c>
      <x:c r="F4092" s="274" t="s">
        <x:v>184</x:v>
      </x:c>
      <x:c r="G4092" s="274" t="s">
        <x:v>4782</x:v>
      </x:c>
      <x:c r="H4092" s="274" t="s">
        <x:v>4471</x:v>
      </x:c>
      <x:c r="I4092" s="274" t="n">
        <x:v>1.2</x:v>
      </x:c>
      <x:c r="J4092" s="274" t="n">
        <x:v>335</x:v>
      </x:c>
      <x:c r="K4092" s="274" t="n">
        <x:v>1250</x:v>
      </x:c>
      <x:c r="M4092" s="274" t="s">
        <x:v>5529</x:v>
      </x:c>
      <x:c r="N4092" s="274" t="s">
        <x:v>4258</x:v>
      </x:c>
    </x:row>
    <x:row r="4093" spans="1:14">
      <x:c r="A4093" s="274" t="s">
        <x:v>7519</x:v>
      </x:c>
      <x:c r="B4093" s="274" t="n">
        <x:v>2.04</x:v>
      </x:c>
      <x:c r="C4093" s="274" t="n">
        <x:v>0</x:v>
      </x:c>
      <x:c r="D4093" s="274" t="n">
        <x:v>0</x:v>
      </x:c>
      <x:c r="F4093" s="274" t="s">
        <x:v>184</x:v>
      </x:c>
      <x:c r="G4093" s="274" t="s">
        <x:v>4782</x:v>
      </x:c>
      <x:c r="H4093" s="274" t="s">
        <x:v>4471</x:v>
      </x:c>
      <x:c r="I4093" s="274" t="n">
        <x:v>1.2</x:v>
      </x:c>
      <x:c r="J4093" s="274" t="n">
        <x:v>172</x:v>
      </x:c>
      <x:c r="K4093" s="274" t="n">
        <x:v>1250</x:v>
      </x:c>
      <x:c r="M4093" s="274" t="s">
        <x:v>5531</x:v>
      </x:c>
      <x:c r="N4093" s="274" t="s">
        <x:v>4258</x:v>
      </x:c>
    </x:row>
    <x:row r="4094" spans="1:14">
      <x:c r="A4094" s="274" t="s">
        <x:v>7520</x:v>
      </x:c>
      <x:c r="B4094" s="274" t="n">
        <x:v>2.46</x:v>
      </x:c>
      <x:c r="C4094" s="274" t="n">
        <x:v>0</x:v>
      </x:c>
      <x:c r="D4094" s="274" t="n">
        <x:v>0</x:v>
      </x:c>
      <x:c r="F4094" s="274" t="s">
        <x:v>184</x:v>
      </x:c>
      <x:c r="G4094" s="274" t="s">
        <x:v>4782</x:v>
      </x:c>
      <x:c r="H4094" s="274" t="s">
        <x:v>4471</x:v>
      </x:c>
      <x:c r="I4094" s="274" t="n">
        <x:v>1.2</x:v>
      </x:c>
      <x:c r="J4094" s="274" t="n">
        <x:v>207</x:v>
      </x:c>
      <x:c r="K4094" s="274" t="n">
        <x:v>1250</x:v>
      </x:c>
      <x:c r="M4094" s="274" t="s">
        <x:v>6783</x:v>
      </x:c>
      <x:c r="N4094" s="274" t="s">
        <x:v>4258</x:v>
      </x:c>
    </x:row>
    <x:row r="4095" spans="1:14">
      <x:c r="A4095" s="274" t="s">
        <x:v>7521</x:v>
      </x:c>
      <x:c r="B4095" s="274" t="n">
        <x:v>2.4</x:v>
      </x:c>
      <x:c r="C4095" s="274" t="n">
        <x:v>0</x:v>
      </x:c>
      <x:c r="D4095" s="274" t="n">
        <x:v>0</x:v>
      </x:c>
      <x:c r="F4095" s="274" t="s">
        <x:v>184</x:v>
      </x:c>
      <x:c r="G4095" s="274" t="s">
        <x:v>4782</x:v>
      </x:c>
      <x:c r="H4095" s="274" t="s">
        <x:v>4471</x:v>
      </x:c>
      <x:c r="I4095" s="274" t="n">
        <x:v>1.2</x:v>
      </x:c>
      <x:c r="J4095" s="274" t="n">
        <x:v>202</x:v>
      </x:c>
      <x:c r="K4095" s="274" t="n">
        <x:v>1250</x:v>
      </x:c>
      <x:c r="M4095" s="274" t="s">
        <x:v>7522</x:v>
      </x:c>
      <x:c r="N4095" s="274" t="s">
        <x:v>4258</x:v>
      </x:c>
    </x:row>
    <x:row r="4096" spans="1:14">
      <x:c r="A4096" s="274" t="s">
        <x:v>7523</x:v>
      </x:c>
      <x:c r="B4096" s="274" t="n">
        <x:v>2.16</x:v>
      </x:c>
      <x:c r="C4096" s="274" t="n">
        <x:v>0</x:v>
      </x:c>
      <x:c r="D4096" s="274" t="n">
        <x:v>0</x:v>
      </x:c>
      <x:c r="F4096" s="274" t="s">
        <x:v>184</x:v>
      </x:c>
      <x:c r="G4096" s="274" t="s">
        <x:v>4782</x:v>
      </x:c>
      <x:c r="H4096" s="274" t="s">
        <x:v>4471</x:v>
      </x:c>
      <x:c r="I4096" s="274" t="n">
        <x:v>1.2</x:v>
      </x:c>
      <x:c r="J4096" s="274" t="n">
        <x:v>182</x:v>
      </x:c>
      <x:c r="K4096" s="274" t="n">
        <x:v>1250</x:v>
      </x:c>
      <x:c r="M4096" s="274" t="s">
        <x:v>7524</x:v>
      </x:c>
      <x:c r="N4096" s="274" t="s">
        <x:v>4258</x:v>
      </x:c>
    </x:row>
    <x:row r="4097" spans="1:14">
      <x:c r="A4097" s="274" t="s">
        <x:v>7525</x:v>
      </x:c>
      <x:c r="B4097" s="274" t="n">
        <x:v>3.24</x:v>
      </x:c>
      <x:c r="C4097" s="274" t="n">
        <x:v>0</x:v>
      </x:c>
      <x:c r="D4097" s="274" t="n">
        <x:v>0</x:v>
      </x:c>
      <x:c r="F4097" s="274" t="s">
        <x:v>184</x:v>
      </x:c>
      <x:c r="G4097" s="274" t="s">
        <x:v>4782</x:v>
      </x:c>
      <x:c r="H4097" s="274" t="s">
        <x:v>4471</x:v>
      </x:c>
      <x:c r="I4097" s="274" t="n">
        <x:v>1.2</x:v>
      </x:c>
      <x:c r="J4097" s="274" t="n">
        <x:v>273</x:v>
      </x:c>
      <x:c r="K4097" s="274" t="n">
        <x:v>1250</x:v>
      </x:c>
      <x:c r="M4097" s="274" t="s">
        <x:v>7526</x:v>
      </x:c>
      <x:c r="N4097" s="274" t="s">
        <x:v>4258</x:v>
      </x:c>
    </x:row>
    <x:row r="4098" spans="1:14">
      <x:c r="A4098" s="274" t="s">
        <x:v>7527</x:v>
      </x:c>
      <x:c r="B4098" s="274" t="n">
        <x:v>0.89</x:v>
      </x:c>
      <x:c r="C4098" s="274" t="n">
        <x:v>0</x:v>
      </x:c>
      <x:c r="D4098" s="274" t="n">
        <x:v>0</x:v>
      </x:c>
      <x:c r="F4098" s="274" t="s">
        <x:v>184</x:v>
      </x:c>
      <x:c r="G4098" s="274" t="s">
        <x:v>4782</x:v>
      </x:c>
      <x:c r="H4098" s="274" t="s">
        <x:v>4471</x:v>
      </x:c>
      <x:c r="I4098" s="274" t="n">
        <x:v>1.2</x:v>
      </x:c>
      <x:c r="J4098" s="274" t="n">
        <x:v>75</x:v>
      </x:c>
      <x:c r="K4098" s="274" t="n">
        <x:v>1250</x:v>
      </x:c>
      <x:c r="M4098" s="274" t="s">
        <x:v>6773</x:v>
      </x:c>
      <x:c r="N4098" s="274" t="s">
        <x:v>4258</x:v>
      </x:c>
    </x:row>
    <x:row r="4099" spans="1:14">
      <x:c r="A4099" s="274" t="s">
        <x:v>7528</x:v>
      </x:c>
      <x:c r="B4099" s="274" t="n">
        <x:v>1.93</x:v>
      </x:c>
      <x:c r="C4099" s="274" t="n">
        <x:v>0</x:v>
      </x:c>
      <x:c r="D4099" s="274" t="n">
        <x:v>0</x:v>
      </x:c>
      <x:c r="F4099" s="274" t="s">
        <x:v>184</x:v>
      </x:c>
      <x:c r="G4099" s="274" t="s">
        <x:v>4782</x:v>
      </x:c>
      <x:c r="H4099" s="274" t="s">
        <x:v>4471</x:v>
      </x:c>
      <x:c r="I4099" s="274" t="n">
        <x:v>1.2</x:v>
      </x:c>
      <x:c r="J4099" s="274" t="n">
        <x:v>162</x:v>
      </x:c>
      <x:c r="K4099" s="274" t="n">
        <x:v>1250</x:v>
      </x:c>
      <x:c r="M4099" s="274" t="s">
        <x:v>6777</x:v>
      </x:c>
      <x:c r="N4099" s="274" t="s">
        <x:v>4258</x:v>
      </x:c>
    </x:row>
    <x:row r="4100" spans="1:14">
      <x:c r="A4100" s="274" t="s">
        <x:v>7529</x:v>
      </x:c>
      <x:c r="B4100" s="274" t="n">
        <x:v>5.69</x:v>
      </x:c>
      <x:c r="C4100" s="274" t="n">
        <x:v>0</x:v>
      </x:c>
      <x:c r="D4100" s="274" t="n">
        <x:v>45</x:v>
      </x:c>
      <x:c r="E4100" s="274" t="n">
        <x:v>40</x:v>
      </x:c>
      <x:c r="F4100" s="274" t="s">
        <x:v>133</x:v>
      </x:c>
      <x:c r="G4100" s="274" t="s">
        <x:v>4470</x:v>
      </x:c>
      <x:c r="H4100" s="274" t="s">
        <x:v>4471</x:v>
      </x:c>
      <x:c r="I4100" s="274" t="n">
        <x:v>1.4</x:v>
      </x:c>
      <x:c r="J4100" s="274" t="n">
        <x:v>1180</x:v>
      </x:c>
      <x:c r="K4100" s="274" t="n">
        <x:v>435</x:v>
      </x:c>
      <x:c r="M4100" s="274" t="s">
        <x:v>6419</x:v>
      </x:c>
      <x:c r="N4100" s="274" t="s">
        <x:v>4258</x:v>
      </x:c>
    </x:row>
    <x:row r="4101" spans="1:14">
      <x:c r="A4101" s="274" t="s">
        <x:v>7530</x:v>
      </x:c>
      <x:c r="B4101" s="274" t="n">
        <x:v>0.06</x:v>
      </x:c>
      <x:c r="C4101" s="274" t="n">
        <x:v>0</x:v>
      </x:c>
      <x:c r="D4101" s="274" t="n">
        <x:v>0</x:v>
      </x:c>
      <x:c r="F4101" s="274" t="s">
        <x:v>123</x:v>
      </x:c>
      <x:c r="G4101" s="274" t="s">
        <x:v>129</x:v>
      </x:c>
      <x:c r="H4101" s="274" t="n">
        <x:v>45</x:v>
      </x:c>
      <x:c r="I4101" s="274" t="n">
        <x:v>0.7</x:v>
      </x:c>
      <x:c r="J4101" s="274" t="n">
        <x:v>150</x:v>
      </x:c>
      <x:c r="K4101" s="274" t="n">
        <x:v>70</x:v>
      </x:c>
      <x:c r="N4101" s="274" t="s">
        <x:v>7531</x:v>
      </x:c>
    </x:row>
    <x:row r="4102" spans="1:14">
      <x:c r="A4102" s="274" t="s">
        <x:v>7532</x:v>
      </x:c>
      <x:c r="B4102" s="274" t="n">
        <x:v>0.07</x:v>
      </x:c>
      <x:c r="C4102" s="274" t="n">
        <x:v>0</x:v>
      </x:c>
      <x:c r="D4102" s="274" t="n">
        <x:v>0</x:v>
      </x:c>
      <x:c r="F4102" s="274" t="s">
        <x:v>133</x:v>
      </x:c>
      <x:c r="G4102" s="274" t="s">
        <x:v>136</x:v>
      </x:c>
      <x:c r="H4102" s="274" t="n">
        <x:v>45</x:v>
      </x:c>
      <x:c r="I4102" s="274" t="n">
        <x:v>0.8</x:v>
      </x:c>
      <x:c r="J4102" s="274" t="n">
        <x:v>150</x:v>
      </x:c>
      <x:c r="K4102" s="274" t="n">
        <x:v>70</x:v>
      </x:c>
      <x:c r="N4102" s="274" t="s">
        <x:v>7531</x:v>
      </x:c>
    </x:row>
    <x:row r="4103" spans="1:14">
      <x:c r="A4103" s="274" t="s">
        <x:v>7533</x:v>
      </x:c>
      <x:c r="B4103" s="274" t="n">
        <x:v>0.25</x:v>
      </x:c>
      <x:c r="C4103" s="274" t="n">
        <x:v>0</x:v>
      </x:c>
      <x:c r="D4103" s="274" t="n">
        <x:v>0</x:v>
      </x:c>
      <x:c r="F4103" s="274" t="s">
        <x:v>133</x:v>
      </x:c>
      <x:c r="G4103" s="274" t="s">
        <x:v>136</x:v>
      </x:c>
      <x:c r="H4103" s="274" t="n">
        <x:v>45</x:v>
      </x:c>
      <x:c r="I4103" s="274" t="n">
        <x:v>0.8</x:v>
      </x:c>
      <x:c r="J4103" s="274" t="n">
        <x:v>200</x:v>
      </x:c>
      <x:c r="K4103" s="274" t="n">
        <x:v>200</x:v>
      </x:c>
      <x:c r="N4103" s="274" t="s">
        <x:v>7534</x:v>
      </x:c>
    </x:row>
    <x:row r="4104" spans="1:14">
      <x:c r="A4104" s="274" t="s">
        <x:v>7535</x:v>
      </x:c>
      <x:c r="B4104" s="274" t="n">
        <x:v>0.19</x:v>
      </x:c>
      <x:c r="C4104" s="274" t="n">
        <x:v>0</x:v>
      </x:c>
      <x:c r="D4104" s="274" t="n">
        <x:v>0</x:v>
      </x:c>
      <x:c r="F4104" s="274" t="s">
        <x:v>133</x:v>
      </x:c>
      <x:c r="G4104" s="274" t="s">
        <x:v>136</x:v>
      </x:c>
      <x:c r="H4104" s="274" t="n">
        <x:v>45</x:v>
      </x:c>
      <x:c r="I4104" s="274" t="n">
        <x:v>0.8</x:v>
      </x:c>
      <x:c r="J4104" s="274" t="n">
        <x:v>300</x:v>
      </x:c>
      <x:c r="K4104" s="274" t="n">
        <x:v>100</x:v>
      </x:c>
      <x:c r="N4104" s="274" t="s">
        <x:v>7534</x:v>
      </x:c>
    </x:row>
    <x:row r="4105" spans="1:14">
      <x:c r="A4105" s="274" t="s">
        <x:v>7536</x:v>
      </x:c>
      <x:c r="B4105" s="274" t="n">
        <x:v>0.06</x:v>
      </x:c>
      <x:c r="C4105" s="274" t="n">
        <x:v>0</x:v>
      </x:c>
      <x:c r="D4105" s="274" t="n">
        <x:v>0</x:v>
      </x:c>
      <x:c r="F4105" s="274" t="s">
        <x:v>333</x:v>
      </x:c>
      <x:c r="G4105" s="274" t="s">
        <x:v>6639</x:v>
      </x:c>
      <x:c r="I4105" s="274" t="n">
        <x:v>0.75</x:v>
      </x:c>
      <x:c r="J4105" s="274" t="n">
        <x:v>150</x:v>
      </x:c>
      <x:c r="K4105" s="274" t="n">
        <x:v>70</x:v>
      </x:c>
      <x:c r="N4105" s="274" t="s">
        <x:v>7534</x:v>
      </x:c>
    </x:row>
    <x:row r="4106" spans="1:14">
      <x:c r="A4106" s="274" t="s">
        <x:v>7537</x:v>
      </x:c>
      <x:c r="B4106" s="274" t="n">
        <x:v>0.13</x:v>
      </x:c>
      <x:c r="C4106" s="274" t="n">
        <x:v>0</x:v>
      </x:c>
      <x:c r="D4106" s="274" t="n">
        <x:v>0</x:v>
      </x:c>
      <x:c r="F4106" s="274" t="s">
        <x:v>133</x:v>
      </x:c>
      <x:c r="G4106" s="274" t="s">
        <x:v>136</x:v>
      </x:c>
      <x:c r="H4106" s="274" t="n">
        <x:v>45</x:v>
      </x:c>
      <x:c r="I4106" s="274" t="n">
        <x:v>1.6</x:v>
      </x:c>
      <x:c r="J4106" s="274" t="n">
        <x:v>100</x:v>
      </x:c>
      <x:c r="K4106" s="274" t="n">
        <x:v>100</x:v>
      </x:c>
      <x:c r="N4106" s="274" t="s">
        <x:v>7534</x:v>
      </x:c>
    </x:row>
    <x:row r="4107" spans="1:14">
      <x:c r="A4107" s="274" t="s">
        <x:v>7538</x:v>
      </x:c>
      <x:c r="B4107" s="274" t="n">
        <x:v>0.13</x:v>
      </x:c>
      <x:c r="C4107" s="274" t="n">
        <x:v>0</x:v>
      </x:c>
      <x:c r="D4107" s="274" t="n">
        <x:v>0</x:v>
      </x:c>
      <x:c r="F4107" s="274" t="s">
        <x:v>133</x:v>
      </x:c>
      <x:c r="G4107" s="274" t="s">
        <x:v>136</x:v>
      </x:c>
      <x:c r="H4107" s="274" t="n">
        <x:v>45</x:v>
      </x:c>
      <x:c r="I4107" s="274" t="n">
        <x:v>1.6</x:v>
      </x:c>
      <x:c r="J4107" s="274" t="n">
        <x:v>150</x:v>
      </x:c>
      <x:c r="K4107" s="274" t="n">
        <x:v>70</x:v>
      </x:c>
      <x:c r="N4107" s="274" t="s">
        <x:v>7534</x:v>
      </x:c>
    </x:row>
    <x:row r="4108" spans="1:14">
      <x:c r="A4108" s="274" t="s">
        <x:v>7539</x:v>
      </x:c>
      <x:c r="B4108" s="274" t="n">
        <x:v>0.15</x:v>
      </x:c>
      <x:c r="C4108" s="274" t="n">
        <x:v>0</x:v>
      </x:c>
      <x:c r="D4108" s="274" t="n">
        <x:v>0</x:v>
      </x:c>
      <x:c r="F4108" s="274" t="s">
        <x:v>184</x:v>
      </x:c>
      <x:c r="G4108" s="274" t="s">
        <x:v>1614</x:v>
      </x:c>
      <x:c r="H4108" s="274" t="n">
        <x:v>45</x:v>
      </x:c>
      <x:c r="I4108" s="274" t="n">
        <x:v>1.8</x:v>
      </x:c>
      <x:c r="J4108" s="274" t="n">
        <x:v>150</x:v>
      </x:c>
      <x:c r="K4108" s="274" t="n">
        <x:v>70</x:v>
      </x:c>
      <x:c r="N4108" s="274" t="s">
        <x:v>7534</x:v>
      </x:c>
    </x:row>
    <x:row r="4109" spans="1:14">
      <x:c r="A4109" s="274" t="s">
        <x:v>7540</x:v>
      </x:c>
      <x:c r="B4109" s="274" t="n">
        <x:v>35.9</x:v>
      </x:c>
      <x:c r="C4109" s="274" t="n">
        <x:v>0</x:v>
      </x:c>
      <x:c r="D4109" s="274" t="n">
        <x:v>0</x:v>
      </x:c>
      <x:c r="E4109" s="274" t="n">
        <x:v>10</x:v>
      </x:c>
      <x:c r="F4109" s="274" t="s">
        <x:v>128</x:v>
      </x:c>
      <x:c r="G4109" s="274" t="s">
        <x:v>136</x:v>
      </x:c>
      <x:c r="H4109" s="274" t="s">
        <x:v>1729</x:v>
      </x:c>
      <x:c r="I4109" s="274" t="n">
        <x:v>0.75</x:v>
      </x:c>
      <x:c r="J4109" s="274" t="n">
        <x:v>1675</x:v>
      </x:c>
      <x:c r="K4109" s="274" t="n">
        <x:v>3585</x:v>
      </x:c>
      <x:c r="M4109" s="274" t="s">
        <x:v>7541</x:v>
      </x:c>
      <x:c r="N4109" s="274" t="s">
        <x:v>126</x:v>
      </x:c>
    </x:row>
    <x:row r="4110" spans="1:14">
      <x:c r="A4110" s="274" t="s">
        <x:v>7542</x:v>
      </x:c>
      <x:c r="B4110" s="274" t="n">
        <x:v>35.9</x:v>
      </x:c>
      <x:c r="C4110" s="274" t="n">
        <x:v>0</x:v>
      </x:c>
      <x:c r="D4110" s="274" t="n">
        <x:v>0</x:v>
      </x:c>
      <x:c r="E4110" s="274" t="n">
        <x:v>10</x:v>
      </x:c>
      <x:c r="F4110" s="274" t="s">
        <x:v>128</x:v>
      </x:c>
      <x:c r="G4110" s="274" t="s">
        <x:v>136</x:v>
      </x:c>
      <x:c r="H4110" s="274" t="s">
        <x:v>1729</x:v>
      </x:c>
      <x:c r="I4110" s="274" t="n">
        <x:v>0.75</x:v>
      </x:c>
      <x:c r="J4110" s="274" t="n">
        <x:v>1675</x:v>
      </x:c>
      <x:c r="K4110" s="274" t="n">
        <x:v>3585</x:v>
      </x:c>
      <x:c r="M4110" s="274" t="s">
        <x:v>7543</x:v>
      </x:c>
      <x:c r="N4110" s="274" t="s">
        <x:v>847</x:v>
      </x:c>
    </x:row>
    <x:row r="4111" spans="1:14">
      <x:c r="A4111" s="274" t="s">
        <x:v>7544</x:v>
      </x:c>
      <x:c r="B4111" s="274" t="n">
        <x:v>2.17</x:v>
      </x:c>
      <x:c r="C4111" s="274" t="n">
        <x:v>0</x:v>
      </x:c>
      <x:c r="D4111" s="274" t="n">
        <x:v>0</x:v>
      </x:c>
      <x:c r="F4111" s="274" t="s">
        <x:v>333</x:v>
      </x:c>
      <x:c r="G4111" s="274" t="s">
        <x:v>4286</x:v>
      </x:c>
      <x:c r="I4111" s="274" t="n">
        <x:v>1.2</x:v>
      </x:c>
      <x:c r="J4111" s="274" t="n">
        <x:v>669</x:v>
      </x:c>
      <x:c r="K4111" s="274" t="n">
        <x:v>344</x:v>
      </x:c>
      <x:c r="M4111" s="274" t="s">
        <x:v>5034</x:v>
      </x:c>
      <x:c r="N4111" s="274" t="s">
        <x:v>4258</x:v>
      </x:c>
    </x:row>
    <x:row r="4112" spans="1:14">
      <x:c r="A4112" s="274" t="s">
        <x:v>7545</x:v>
      </x:c>
      <x:c r="B4112" s="274" t="n">
        <x:v>2.17</x:v>
      </x:c>
      <x:c r="C4112" s="274" t="n">
        <x:v>0</x:v>
      </x:c>
      <x:c r="D4112" s="274" t="n">
        <x:v>0</x:v>
      </x:c>
      <x:c r="F4112" s="274" t="s">
        <x:v>333</x:v>
      </x:c>
      <x:c r="G4112" s="274" t="s">
        <x:v>4286</x:v>
      </x:c>
      <x:c r="I4112" s="274" t="n">
        <x:v>1.2</x:v>
      </x:c>
      <x:c r="J4112" s="274" t="n">
        <x:v>669</x:v>
      </x:c>
      <x:c r="K4112" s="274" t="n">
        <x:v>344</x:v>
      </x:c>
      <x:c r="M4112" s="274" t="s">
        <x:v>5034</x:v>
      </x:c>
    </x:row>
    <x:row r="4113" spans="1:14">
      <x:c r="A4113" s="274" t="s">
        <x:v>7546</x:v>
      </x:c>
      <x:c r="B4113" s="274" t="n">
        <x:v>2.05</x:v>
      </x:c>
      <x:c r="C4113" s="274" t="n">
        <x:v>0</x:v>
      </x:c>
      <x:c r="D4113" s="274" t="n">
        <x:v>22</x:v>
      </x:c>
      <x:c r="E4113" s="274" t="n">
        <x:v>20</x:v>
      </x:c>
      <x:c r="F4113" s="274" t="s">
        <x:v>123</x:v>
      </x:c>
      <x:c r="G4113" s="274" t="s">
        <x:v>4256</x:v>
      </x:c>
      <x:c r="I4113" s="274" t="n">
        <x:v>1.6</x:v>
      </x:c>
      <x:c r="J4113" s="274" t="n">
        <x:v>136</x:v>
      </x:c>
      <x:c r="K4113" s="274" t="n">
        <x:v>1200</x:v>
      </x:c>
      <x:c r="M4113" s="274" t="s">
        <x:v>4729</x:v>
      </x:c>
      <x:c r="N4113" s="274" t="s">
        <x:v>4258</x:v>
      </x:c>
    </x:row>
    <x:row r="4114" spans="1:14">
      <x:c r="A4114" s="274" t="s">
        <x:v>7547</x:v>
      </x:c>
      <x:c r="B4114" s="274" t="n">
        <x:v>0.91</x:v>
      </x:c>
      <x:c r="C4114" s="274" t="n">
        <x:v>0</x:v>
      </x:c>
      <x:c r="D4114" s="274" t="n">
        <x:v>33</x:v>
      </x:c>
      <x:c r="E4114" s="274" t="n">
        <x:v>30</x:v>
      </x:c>
      <x:c r="F4114" s="274" t="s">
        <x:v>184</x:v>
      </x:c>
      <x:c r="G4114" s="274" t="s">
        <x:v>4782</x:v>
      </x:c>
      <x:c r="H4114" s="274" t="s">
        <x:v>4471</x:v>
      </x:c>
      <x:c r="I4114" s="274" t="n">
        <x:v>1.6</x:v>
      </x:c>
      <x:c r="J4114" s="274" t="n">
        <x:v>416</x:v>
      </x:c>
      <x:c r="K4114" s="274" t="n">
        <x:v>172</x:v>
      </x:c>
      <x:c r="M4114" s="274" t="s">
        <x:v>5336</x:v>
      </x:c>
      <x:c r="N4114" s="274" t="s">
        <x:v>4258</x:v>
      </x:c>
    </x:row>
    <x:row r="4115" spans="1:14">
      <x:c r="A4115" s="274" t="s">
        <x:v>7548</x:v>
      </x:c>
      <x:c r="B4115" s="274" t="n">
        <x:v>0.25</x:v>
      </x:c>
      <x:c r="C4115" s="274" t="n">
        <x:v>0</x:v>
      </x:c>
      <x:c r="D4115" s="274" t="n">
        <x:v>0</x:v>
      </x:c>
      <x:c r="F4115" s="274" t="s">
        <x:v>133</x:v>
      </x:c>
      <x:c r="G4115" s="274" t="s">
        <x:v>136</x:v>
      </x:c>
      <x:c r="H4115" s="274" t="n">
        <x:v>45</x:v>
      </x:c>
      <x:c r="I4115" s="274" t="n">
        <x:v>0.8</x:v>
      </x:c>
      <x:c r="J4115" s="274" t="n">
        <x:v>200</x:v>
      </x:c>
      <x:c r="K4115" s="274" t="n">
        <x:v>200</x:v>
      </x:c>
      <x:c r="M4115" s="274" t="s">
        <x:v>7549</x:v>
      </x:c>
      <x:c r="N4115" s="274" t="s">
        <x:v>7534</x:v>
      </x:c>
    </x:row>
    <x:row r="4116" spans="1:14">
      <x:c r="A4116" s="274" t="s">
        <x:v>7550</x:v>
      </x:c>
      <x:c r="B4116" s="274" t="n">
        <x:v>0.84</x:v>
      </x:c>
      <x:c r="C4116" s="274" t="n">
        <x:v>0</x:v>
      </x:c>
      <x:c r="D4116" s="274" t="n">
        <x:v>0</x:v>
      </x:c>
      <x:c r="F4116" s="274" t="s">
        <x:v>333</x:v>
      </x:c>
      <x:c r="G4116" s="274" t="s">
        <x:v>4663</x:v>
      </x:c>
      <x:c r="I4116" s="274" t="n">
        <x:v>1.4</x:v>
      </x:c>
      <x:c r="J4116" s="274" t="n">
        <x:v>405</x:v>
      </x:c>
      <x:c r="K4116" s="274" t="n">
        <x:v>188</x:v>
      </x:c>
      <x:c r="M4116" s="274" t="s">
        <x:v>7551</x:v>
      </x:c>
      <x:c r="N4116" s="274" t="s">
        <x:v>4258</x:v>
      </x:c>
    </x:row>
    <x:row r="4117" spans="1:14">
      <x:c r="A4117" s="274" t="s">
        <x:v>7552</x:v>
      </x:c>
      <x:c r="B4117" s="274" t="n">
        <x:v>3.34</x:v>
      </x:c>
      <x:c r="C4117" s="274" t="n">
        <x:v>0</x:v>
      </x:c>
      <x:c r="D4117" s="274" t="n">
        <x:v>0</x:v>
      </x:c>
      <x:c r="F4117" s="274" t="s">
        <x:v>333</x:v>
      </x:c>
      <x:c r="G4117" s="274" t="s">
        <x:v>4663</x:v>
      </x:c>
      <x:c r="I4117" s="274" t="n">
        <x:v>1.4</x:v>
      </x:c>
      <x:c r="J4117" s="274" t="n">
        <x:v>253</x:v>
      </x:c>
      <x:c r="K4117" s="274" t="n">
        <x:v>1200</x:v>
      </x:c>
      <x:c r="M4117" s="274" t="s">
        <x:v>7553</x:v>
      </x:c>
      <x:c r="N4117" s="274" t="s">
        <x:v>4258</x:v>
      </x:c>
    </x:row>
    <x:row r="4118" spans="1:14">
      <x:c r="A4118" s="274" t="s">
        <x:v>7554</x:v>
      </x:c>
      <x:c r="B4118" s="274" t="n">
        <x:v>0.67</x:v>
      </x:c>
      <x:c r="C4118" s="274" t="n">
        <x:v>0</x:v>
      </x:c>
      <x:c r="D4118" s="274" t="n">
        <x:v>0</x:v>
      </x:c>
      <x:c r="F4118" s="274" t="s">
        <x:v>333</x:v>
      </x:c>
      <x:c r="G4118" s="274" t="s">
        <x:v>4663</x:v>
      </x:c>
      <x:c r="I4118" s="274" t="n">
        <x:v>1.4</x:v>
      </x:c>
      <x:c r="J4118" s="274" t="n">
        <x:v>253</x:v>
      </x:c>
      <x:c r="K4118" s="274" t="n">
        <x:v>241</x:v>
      </x:c>
      <x:c r="M4118" s="274" t="s">
        <x:v>5179</x:v>
      </x:c>
      <x:c r="N4118" s="274" t="s">
        <x:v>4258</x:v>
      </x:c>
    </x:row>
    <x:row r="4119" spans="1:14">
      <x:c r="A4119" s="274" t="s">
        <x:v>7555</x:v>
      </x:c>
      <x:c r="B4119" s="274" t="n">
        <x:v>0.96</x:v>
      </x:c>
      <x:c r="C4119" s="274" t="n">
        <x:v>0</x:v>
      </x:c>
      <x:c r="D4119" s="274" t="n">
        <x:v>0</x:v>
      </x:c>
      <x:c r="F4119" s="274" t="s">
        <x:v>333</x:v>
      </x:c>
      <x:c r="G4119" s="274" t="s">
        <x:v>4663</x:v>
      </x:c>
      <x:c r="I4119" s="274" t="n">
        <x:v>1.4</x:v>
      </x:c>
      <x:c r="J4119" s="274" t="n">
        <x:v>185</x:v>
      </x:c>
      <x:c r="K4119" s="274" t="n">
        <x:v>472</x:v>
      </x:c>
      <x:c r="M4119" s="274" t="s">
        <x:v>5183</x:v>
      </x:c>
      <x:c r="N4119" s="274" t="s">
        <x:v>4258</x:v>
      </x:c>
    </x:row>
    <x:row r="4120" spans="1:14">
      <x:c r="A4120" s="274" t="s">
        <x:v>7556</x:v>
      </x:c>
      <x:c r="B4120" s="274" t="n">
        <x:v>1.07</x:v>
      </x:c>
      <x:c r="C4120" s="274" t="n">
        <x:v>0</x:v>
      </x:c>
      <x:c r="D4120" s="274" t="n">
        <x:v>0</x:v>
      </x:c>
      <x:c r="F4120" s="274" t="s">
        <x:v>333</x:v>
      </x:c>
      <x:c r="G4120" s="274" t="s">
        <x:v>4663</x:v>
      </x:c>
      <x:c r="I4120" s="274" t="n">
        <x:v>1.4</x:v>
      </x:c>
      <x:c r="J4120" s="274" t="n">
        <x:v>204</x:v>
      </x:c>
      <x:c r="K4120" s="274" t="n">
        <x:v>476</x:v>
      </x:c>
      <x:c r="M4120" s="274" t="s">
        <x:v>7557</x:v>
      </x:c>
      <x:c r="N4120" s="274" t="s">
        <x:v>4258</x:v>
      </x:c>
    </x:row>
    <x:row r="4121" spans="1:14">
      <x:c r="A4121" s="274" t="s">
        <x:v>7558</x:v>
      </x:c>
      <x:c r="B4121" s="274" t="n">
        <x:v>0.76</x:v>
      </x:c>
      <x:c r="C4121" s="274" t="n">
        <x:v>0</x:v>
      </x:c>
      <x:c r="D4121" s="274" t="n">
        <x:v>0</x:v>
      </x:c>
      <x:c r="F4121" s="274" t="s">
        <x:v>333</x:v>
      </x:c>
      <x:c r="G4121" s="274" t="s">
        <x:v>4663</x:v>
      </x:c>
      <x:c r="I4121" s="274" t="n">
        <x:v>1.4</x:v>
      </x:c>
      <x:c r="J4121" s="274" t="n">
        <x:v>156</x:v>
      </x:c>
      <x:c r="K4121" s="274" t="n">
        <x:v>445</x:v>
      </x:c>
      <x:c r="M4121" s="274" t="s">
        <x:v>5191</x:v>
      </x:c>
      <x:c r="N4121" s="274" t="s">
        <x:v>4258</x:v>
      </x:c>
    </x:row>
    <x:row r="4122" spans="1:14">
      <x:c r="A4122" s="274" t="s">
        <x:v>7559</x:v>
      </x:c>
      <x:c r="B4122" s="274" t="n">
        <x:v>1.25</x:v>
      </x:c>
      <x:c r="C4122" s="274" t="n">
        <x:v>0</x:v>
      </x:c>
      <x:c r="D4122" s="274" t="n">
        <x:v>0</x:v>
      </x:c>
      <x:c r="F4122" s="274" t="s">
        <x:v>333</x:v>
      </x:c>
      <x:c r="G4122" s="274" t="s">
        <x:v>4663</x:v>
      </x:c>
      <x:c r="I4122" s="274" t="n">
        <x:v>1.4</x:v>
      </x:c>
      <x:c r="J4122" s="274" t="n">
        <x:v>501</x:v>
      </x:c>
      <x:c r="K4122" s="274" t="n">
        <x:v>227</x:v>
      </x:c>
      <x:c r="M4122" s="274" t="s">
        <x:v>5187</x:v>
      </x:c>
      <x:c r="N4122" s="274" t="s">
        <x:v>4258</x:v>
      </x:c>
    </x:row>
    <x:row r="4123" spans="1:14">
      <x:c r="A4123" s="274" t="s">
        <x:v>7560</x:v>
      </x:c>
      <x:c r="B4123" s="274" t="n">
        <x:v>1.07</x:v>
      </x:c>
      <x:c r="C4123" s="274" t="n">
        <x:v>0</x:v>
      </x:c>
      <x:c r="D4123" s="274" t="n">
        <x:v>0</x:v>
      </x:c>
      <x:c r="F4123" s="274" t="s">
        <x:v>333</x:v>
      </x:c>
      <x:c r="G4123" s="274" t="s">
        <x:v>4663</x:v>
      </x:c>
      <x:c r="I4123" s="274" t="n">
        <x:v>1.4</x:v>
      </x:c>
      <x:c r="J4123" s="274" t="n">
        <x:v>243</x:v>
      </x:c>
      <x:c r="K4123" s="274" t="n">
        <x:v>400</x:v>
      </x:c>
      <x:c r="M4123" s="274" t="s">
        <x:v>5193</x:v>
      </x:c>
      <x:c r="N4123" s="274" t="s">
        <x:v>4258</x:v>
      </x:c>
    </x:row>
    <x:row r="4124" spans="1:14">
      <x:c r="A4124" s="274" t="s">
        <x:v>7561</x:v>
      </x:c>
      <x:c r="B4124" s="274" t="n">
        <x:v>2.16</x:v>
      </x:c>
      <x:c r="C4124" s="274" t="n">
        <x:v>0</x:v>
      </x:c>
      <x:c r="D4124" s="274" t="n">
        <x:v>0</x:v>
      </x:c>
      <x:c r="F4124" s="274" t="s">
        <x:v>333</x:v>
      </x:c>
      <x:c r="G4124" s="274" t="s">
        <x:v>4663</x:v>
      </x:c>
      <x:c r="I4124" s="274" t="n">
        <x:v>1.4</x:v>
      </x:c>
      <x:c r="J4124" s="274" t="n">
        <x:v>393</x:v>
      </x:c>
      <x:c r="K4124" s="274" t="n">
        <x:v>500</x:v>
      </x:c>
      <x:c r="M4124" s="274" t="s">
        <x:v>7562</x:v>
      </x:c>
      <x:c r="N4124" s="274" t="s">
        <x:v>4258</x:v>
      </x:c>
    </x:row>
    <x:row r="4125" spans="1:14">
      <x:c r="A4125" s="274" t="s">
        <x:v>7563</x:v>
      </x:c>
      <x:c r="B4125" s="274" t="n">
        <x:v>0.91</x:v>
      </x:c>
      <x:c r="C4125" s="274" t="n">
        <x:v>0</x:v>
      </x:c>
      <x:c r="D4125" s="274" t="n">
        <x:v>0</x:v>
      </x:c>
      <x:c r="F4125" s="274" t="s">
        <x:v>184</x:v>
      </x:c>
      <x:c r="G4125" s="274" t="s">
        <x:v>4782</x:v>
      </x:c>
      <x:c r="H4125" s="274" t="s">
        <x:v>4471</x:v>
      </x:c>
      <x:c r="I4125" s="274" t="n">
        <x:v>1.6</x:v>
      </x:c>
      <x:c r="J4125" s="274" t="n">
        <x:v>416</x:v>
      </x:c>
      <x:c r="K4125" s="274" t="n">
        <x:v>172</x:v>
      </x:c>
      <x:c r="M4125" s="274" t="s">
        <x:v>5336</x:v>
      </x:c>
      <x:c r="N4125" s="274" t="s">
        <x:v>4258</x:v>
      </x:c>
    </x:row>
    <x:row r="4126" spans="1:14">
      <x:c r="A4126" s="274" t="s">
        <x:v>7564</x:v>
      </x:c>
      <x:c r="B4126" s="274" t="n">
        <x:v>2.05</x:v>
      </x:c>
      <x:c r="C4126" s="274" t="n">
        <x:v>0</x:v>
      </x:c>
      <x:c r="D4126" s="274" t="n">
        <x:v>0</x:v>
      </x:c>
      <x:c r="F4126" s="274" t="s">
        <x:v>123</x:v>
      </x:c>
      <x:c r="G4126" s="274" t="s">
        <x:v>4256</x:v>
      </x:c>
      <x:c r="I4126" s="274" t="n">
        <x:v>1.6</x:v>
      </x:c>
      <x:c r="J4126" s="274" t="n">
        <x:v>136</x:v>
      </x:c>
      <x:c r="K4126" s="274" t="n">
        <x:v>1200</x:v>
      </x:c>
      <x:c r="M4126" s="274" t="s">
        <x:v>4729</x:v>
      </x:c>
      <x:c r="N4126" s="274" t="s">
        <x:v>4258</x:v>
      </x:c>
    </x:row>
    <x:row r="4127" spans="1:14">
      <x:c r="A4127" s="274" t="s">
        <x:v>7565</x:v>
      </x:c>
      <x:c r="B4127" s="274" t="n">
        <x:v>1.59</x:v>
      </x:c>
      <x:c r="C4127" s="274" t="n">
        <x:v>0</x:v>
      </x:c>
      <x:c r="D4127" s="274" t="n">
        <x:v>0</x:v>
      </x:c>
      <x:c r="F4127" s="274" t="s">
        <x:v>333</x:v>
      </x:c>
      <x:c r="G4127" s="274" t="s">
        <x:v>4663</x:v>
      </x:c>
      <x:c r="I4127" s="274" t="n">
        <x:v>1.8</x:v>
      </x:c>
      <x:c r="J4127" s="274" t="n">
        <x:v>242</x:v>
      </x:c>
      <x:c r="K4127" s="274" t="n">
        <x:v>464</x:v>
      </x:c>
      <x:c r="M4127" s="274" t="s">
        <x:v>4950</x:v>
      </x:c>
      <x:c r="N4127" s="274" t="s">
        <x:v>4258</x:v>
      </x:c>
    </x:row>
    <x:row r="4128" spans="1:14">
      <x:c r="A4128" s="274" t="s">
        <x:v>7566</x:v>
      </x:c>
      <x:c r="B4128" s="274" t="n">
        <x:v>2</x:v>
      </x:c>
      <x:c r="C4128" s="274" t="n">
        <x:v>0</x:v>
      </x:c>
      <x:c r="D4128" s="274" t="n">
        <x:v>0</x:v>
      </x:c>
      <x:c r="F4128" s="274" t="s">
        <x:v>333</x:v>
      </x:c>
      <x:c r="G4128" s="274" t="s">
        <x:v>5139</x:v>
      </x:c>
      <x:c r="I4128" s="274" t="n">
        <x:v>0.6</x:v>
      </x:c>
      <x:c r="J4128" s="274" t="n">
        <x:v>340</x:v>
      </x:c>
      <x:c r="K4128" s="274" t="n">
        <x:v>1250</x:v>
      </x:c>
      <x:c r="M4128" s="274" t="s">
        <x:v>5167</x:v>
      </x:c>
      <x:c r="N4128" s="274" t="s">
        <x:v>4258</x:v>
      </x:c>
    </x:row>
    <x:row r="4129" spans="1:14">
      <x:c r="A4129" s="274" t="s">
        <x:v>7567</x:v>
      </x:c>
      <x:c r="B4129" s="274" t="n">
        <x:v>2.58</x:v>
      </x:c>
      <x:c r="C4129" s="274" t="n">
        <x:v>0</x:v>
      </x:c>
      <x:c r="D4129" s="274" t="n">
        <x:v>0</x:v>
      </x:c>
      <x:c r="F4129" s="274" t="s">
        <x:v>184</x:v>
      </x:c>
      <x:c r="G4129" s="274" t="s">
        <x:v>4782</x:v>
      </x:c>
      <x:c r="H4129" s="274" t="s">
        <x:v>4471</x:v>
      </x:c>
      <x:c r="I4129" s="274" t="n">
        <x:v>0.55</x:v>
      </x:c>
      <x:c r="J4129" s="274" t="n">
        <x:v>548</x:v>
      </x:c>
      <x:c r="K4129" s="274" t="n">
        <x:v>1070</x:v>
      </x:c>
      <x:c r="M4129" s="274" t="s">
        <x:v>7568</x:v>
      </x:c>
      <x:c r="N4129" s="274" t="s">
        <x:v>4258</x:v>
      </x:c>
    </x:row>
    <x:row r="4130" spans="1:14">
      <x:c r="A4130" s="274" t="s">
        <x:v>7569</x:v>
      </x:c>
      <x:c r="B4130" s="274" t="n">
        <x:v>2.55</x:v>
      </x:c>
      <x:c r="C4130" s="274" t="n">
        <x:v>0</x:v>
      </x:c>
      <x:c r="D4130" s="274" t="n">
        <x:v>34</x:v>
      </x:c>
      <x:c r="E4130" s="274" t="n">
        <x:v>32</x:v>
      </x:c>
      <x:c r="F4130" s="274" t="s">
        <x:v>311</x:v>
      </x:c>
      <x:c r="G4130" s="274" t="s">
        <x:v>828</x:v>
      </x:c>
      <x:c r="H4130" s="274" t="s">
        <x:v>837</x:v>
      </x:c>
      <x:c r="I4130" s="274" t="n">
        <x:v>0.8</x:v>
      </x:c>
      <x:c r="J4130" s="274" t="n">
        <x:v>530</x:v>
      </x:c>
      <x:c r="K4130" s="274" t="n">
        <x:v>765</x:v>
      </x:c>
      <x:c r="M4130" s="274" t="s">
        <x:v>2387</x:v>
      </x:c>
      <x:c r="N4130" s="274" t="s">
        <x:v>831</x:v>
      </x:c>
    </x:row>
    <x:row r="4131" spans="1:14">
      <x:c r="A4131" s="274" t="s">
        <x:v>7570</x:v>
      </x:c>
      <x:c r="B4131" s="274" t="n">
        <x:v>2.55</x:v>
      </x:c>
      <x:c r="C4131" s="274" t="n">
        <x:v>0</x:v>
      </x:c>
      <x:c r="D4131" s="274" t="n">
        <x:v>34</x:v>
      </x:c>
      <x:c r="E4131" s="274" t="n">
        <x:v>32</x:v>
      </x:c>
      <x:c r="F4131" s="274" t="s">
        <x:v>311</x:v>
      </x:c>
      <x:c r="G4131" s="274" t="s">
        <x:v>828</x:v>
      </x:c>
      <x:c r="H4131" s="274" t="s">
        <x:v>837</x:v>
      </x:c>
      <x:c r="I4131" s="274" t="n">
        <x:v>0.8</x:v>
      </x:c>
      <x:c r="J4131" s="274" t="n">
        <x:v>530</x:v>
      </x:c>
      <x:c r="K4131" s="274" t="n">
        <x:v>765</x:v>
      </x:c>
      <x:c r="M4131" s="274" t="s">
        <x:v>2387</x:v>
      </x:c>
      <x:c r="N4131" s="274" t="s">
        <x:v>831</x:v>
      </x:c>
    </x:row>
    <x:row r="4132" spans="1:14">
      <x:c r="A4132" s="274" t="s">
        <x:v>7571</x:v>
      </x:c>
      <x:c r="B4132" s="274" t="n">
        <x:v>2.32</x:v>
      </x:c>
      <x:c r="C4132" s="274" t="n">
        <x:v>0</x:v>
      </x:c>
      <x:c r="D4132" s="274" t="n">
        <x:v>34</x:v>
      </x:c>
      <x:c r="E4132" s="274" t="n">
        <x:v>30</x:v>
      </x:c>
      <x:c r="F4132" s="274" t="s">
        <x:v>311</x:v>
      </x:c>
      <x:c r="G4132" s="274" t="s">
        <x:v>828</x:v>
      </x:c>
      <x:c r="H4132" s="274" t="s">
        <x:v>829</x:v>
      </x:c>
      <x:c r="I4132" s="274" t="n">
        <x:v>0.8</x:v>
      </x:c>
      <x:c r="J4132" s="274" t="n">
        <x:v>575</x:v>
      </x:c>
      <x:c r="K4132" s="274" t="n">
        <x:v>640</x:v>
      </x:c>
      <x:c r="M4132" s="274" t="s">
        <x:v>830</x:v>
      </x:c>
    </x:row>
    <x:row r="4133" spans="1:14">
      <x:c r="A4133" s="274" t="s">
        <x:v>7572</x:v>
      </x:c>
      <x:c r="B4133" s="274" t="n">
        <x:v>2.32</x:v>
      </x:c>
      <x:c r="C4133" s="274" t="n">
        <x:v>0</x:v>
      </x:c>
      <x:c r="D4133" s="274" t="n">
        <x:v>34</x:v>
      </x:c>
      <x:c r="E4133" s="274" t="n">
        <x:v>30</x:v>
      </x:c>
      <x:c r="F4133" s="274" t="s">
        <x:v>311</x:v>
      </x:c>
      <x:c r="G4133" s="274" t="s">
        <x:v>828</x:v>
      </x:c>
      <x:c r="H4133" s="274" t="s">
        <x:v>829</x:v>
      </x:c>
      <x:c r="I4133" s="274" t="n">
        <x:v>0.8</x:v>
      </x:c>
      <x:c r="J4133" s="274" t="n">
        <x:v>575</x:v>
      </x:c>
      <x:c r="K4133" s="274" t="n">
        <x:v>640</x:v>
      </x:c>
      <x:c r="M4133" s="274" t="s">
        <x:v>830</x:v>
      </x:c>
    </x:row>
    <x:row r="4134" spans="1:14">
      <x:c r="A4134" s="274" t="s">
        <x:v>7573</x:v>
      </x:c>
      <x:c r="B4134" s="274" t="n">
        <x:v>0.05</x:v>
      </x:c>
      <x:c r="C4134" s="274" t="n">
        <x:v>0</x:v>
      </x:c>
      <x:c r="D4134" s="274" t="n">
        <x:v>0</x:v>
      </x:c>
      <x:c r="F4134" s="274" t="s">
        <x:v>128</x:v>
      </x:c>
      <x:c r="G4134" s="274" t="s">
        <x:v>7109</x:v>
      </x:c>
      <x:c r="H4134" s="274" t="s">
        <x:v>285</x:v>
      </x:c>
      <x:c r="I4134" s="274" t="n">
        <x:v>0.65</x:v>
      </x:c>
      <x:c r="J4134" s="274" t="n">
        <x:v>150</x:v>
      </x:c>
      <x:c r="K4134" s="274" t="n">
        <x:v>70</x:v>
      </x:c>
      <x:c r="N4134" s="274" t="s">
        <x:v>7534</x:v>
      </x:c>
    </x:row>
    <x:row r="4135" spans="1:14">
      <x:c r="A4135" s="274" t="s">
        <x:v>7574</x:v>
      </x:c>
      <x:c r="B4135" s="274" t="n">
        <x:v>2.58</x:v>
      </x:c>
      <x:c r="C4135" s="274" t="n">
        <x:v>0</x:v>
      </x:c>
      <x:c r="D4135" s="274" t="n">
        <x:v>0</x:v>
      </x:c>
      <x:c r="F4135" s="274" t="s">
        <x:v>184</x:v>
      </x:c>
      <x:c r="G4135" s="274" t="s">
        <x:v>4782</x:v>
      </x:c>
      <x:c r="H4135" s="274" t="s">
        <x:v>4471</x:v>
      </x:c>
      <x:c r="I4135" s="274" t="n">
        <x:v>0.55</x:v>
      </x:c>
      <x:c r="J4135" s="274" t="n">
        <x:v>548</x:v>
      </x:c>
      <x:c r="K4135" s="274" t="n">
        <x:v>1070</x:v>
      </x:c>
      <x:c r="M4135" s="274" t="s">
        <x:v>7568</x:v>
      </x:c>
      <x:c r="N4135" s="274" t="s">
        <x:v>4258</x:v>
      </x:c>
    </x:row>
    <x:row r="4136" spans="1:14">
      <x:c r="A4136" s="274" t="s">
        <x:v>7575</x:v>
      </x:c>
      <x:c r="B4136" s="274" t="n">
        <x:v>0.53</x:v>
      </x:c>
      <x:c r="C4136" s="274" t="n">
        <x:v>0</x:v>
      </x:c>
      <x:c r="D4136" s="274" t="n">
        <x:v>0</x:v>
      </x:c>
      <x:c r="F4136" s="274" t="s">
        <x:v>333</x:v>
      </x:c>
      <x:c r="G4136" s="274" t="s">
        <x:v>4663</x:v>
      </x:c>
      <x:c r="I4136" s="274" t="n">
        <x:v>0.6</x:v>
      </x:c>
      <x:c r="J4136" s="274" t="n">
        <x:v>235</x:v>
      </x:c>
      <x:c r="K4136" s="274" t="n">
        <x:v>475</x:v>
      </x:c>
      <x:c r="M4136" s="274" t="s">
        <x:v>4926</x:v>
      </x:c>
      <x:c r="N4136" s="274" t="s">
        <x:v>4258</x:v>
      </x:c>
    </x:row>
    <x:row r="4137" spans="1:14">
      <x:c r="A4137" s="274" t="s">
        <x:v>7576</x:v>
      </x:c>
      <x:c r="B4137" s="274" t="n">
        <x:v>2.06</x:v>
      </x:c>
      <x:c r="C4137" s="274" t="n">
        <x:v>0</x:v>
      </x:c>
      <x:c r="D4137" s="274" t="n">
        <x:v>0</x:v>
      </x:c>
      <x:c r="F4137" s="274" t="s">
        <x:v>333</x:v>
      </x:c>
      <x:c r="G4137" s="274" t="s">
        <x:v>4286</x:v>
      </x:c>
      <x:c r="I4137" s="274" t="n">
        <x:v>0.6</x:v>
      </x:c>
      <x:c r="J4137" s="274" t="n">
        <x:v>510</x:v>
      </x:c>
      <x:c r="K4137" s="274" t="n">
        <x:v>857</x:v>
      </x:c>
      <x:c r="M4137" s="274" t="s">
        <x:v>4772</x:v>
      </x:c>
      <x:c r="N4137" s="274" t="s">
        <x:v>4258</x:v>
      </x:c>
    </x:row>
    <x:row r="4138" spans="1:14">
      <x:c r="A4138" s="274" t="s">
        <x:v>7577</x:v>
      </x:c>
      <x:c r="B4138" s="274" t="n">
        <x:v>0.57</x:v>
      </x:c>
      <x:c r="C4138" s="274" t="n">
        <x:v>0</x:v>
      </x:c>
      <x:c r="D4138" s="274" t="n">
        <x:v>0</x:v>
      </x:c>
      <x:c r="F4138" s="274" t="s">
        <x:v>184</x:v>
      </x:c>
      <x:c r="G4138" s="274" t="s">
        <x:v>4642</x:v>
      </x:c>
      <x:c r="H4138" s="274" t="s">
        <x:v>4471</x:v>
      </x:c>
      <x:c r="I4138" s="274" t="n">
        <x:v>0.6</x:v>
      </x:c>
      <x:c r="J4138" s="274" t="n">
        <x:v>908</x:v>
      </x:c>
      <x:c r="K4138" s="274" t="n">
        <x:v>130</x:v>
      </x:c>
      <x:c r="M4138" s="274" t="s">
        <x:v>6462</x:v>
      </x:c>
      <x:c r="N4138" s="274" t="s">
        <x:v>4258</x:v>
      </x:c>
    </x:row>
    <x:row r="4139" spans="1:14">
      <x:c r="A4139" s="274" t="s">
        <x:v>7578</x:v>
      </x:c>
      <x:c r="B4139" s="274" t="n">
        <x:v>1.09</x:v>
      </x:c>
      <x:c r="C4139" s="274" t="n">
        <x:v>0</x:v>
      </x:c>
      <x:c r="D4139" s="274" t="n">
        <x:v>0</x:v>
      </x:c>
      <x:c r="F4139" s="274" t="s">
        <x:v>333</x:v>
      </x:c>
      <x:c r="G4139" s="274" t="s">
        <x:v>4663</x:v>
      </x:c>
      <x:c r="I4139" s="274" t="n">
        <x:v>0.65</x:v>
      </x:c>
      <x:c r="J4139" s="274" t="n">
        <x:v>230</x:v>
      </x:c>
      <x:c r="K4139" s="274" t="n">
        <x:v>930</x:v>
      </x:c>
      <x:c r="M4139" s="274" t="s">
        <x:v>7579</x:v>
      </x:c>
      <x:c r="N4139" s="274" t="s">
        <x:v>4258</x:v>
      </x:c>
    </x:row>
    <x:row r="4140" spans="1:14">
      <x:c r="A4140" s="274" t="s">
        <x:v>7580</x:v>
      </x:c>
      <x:c r="B4140" s="274" t="n">
        <x:v>0.39</x:v>
      </x:c>
      <x:c r="C4140" s="274" t="n">
        <x:v>0</x:v>
      </x:c>
      <x:c r="D4140" s="274" t="n">
        <x:v>0</x:v>
      </x:c>
      <x:c r="F4140" s="274" t="s">
        <x:v>333</x:v>
      </x:c>
      <x:c r="G4140" s="274" t="s">
        <x:v>4663</x:v>
      </x:c>
      <x:c r="I4140" s="274" t="n">
        <x:v>0.65</x:v>
      </x:c>
      <x:c r="J4140" s="274" t="n">
        <x:v>200</x:v>
      </x:c>
      <x:c r="K4140" s="274" t="n">
        <x:v>378</x:v>
      </x:c>
      <x:c r="M4140" s="274" t="s">
        <x:v>4780</x:v>
      </x:c>
      <x:c r="N4140" s="274" t="s">
        <x:v>4258</x:v>
      </x:c>
    </x:row>
    <x:row r="4141" spans="1:14">
      <x:c r="A4141" s="274" t="s">
        <x:v>7581</x:v>
      </x:c>
      <x:c r="B4141" s="274" t="n">
        <x:v>0.5</x:v>
      </x:c>
      <x:c r="C4141" s="274" t="n">
        <x:v>0</x:v>
      </x:c>
      <x:c r="D4141" s="274" t="n">
        <x:v>0</x:v>
      </x:c>
      <x:c r="F4141" s="274" t="s">
        <x:v>333</x:v>
      </x:c>
      <x:c r="G4141" s="274" t="s">
        <x:v>4663</x:v>
      </x:c>
      <x:c r="I4141" s="274" t="n">
        <x:v>0.65</x:v>
      </x:c>
      <x:c r="J4141" s="274" t="n">
        <x:v>158</x:v>
      </x:c>
      <x:c r="K4141" s="274" t="n">
        <x:v>615</x:v>
      </x:c>
      <x:c r="M4141" s="274" t="s">
        <x:v>6363</x:v>
      </x:c>
      <x:c r="N4141" s="274" t="s">
        <x:v>4258</x:v>
      </x:c>
    </x:row>
    <x:row r="4142" spans="1:14">
      <x:c r="A4142" s="274" t="s">
        <x:v>7582</x:v>
      </x:c>
      <x:c r="B4142" s="274" t="n">
        <x:v>2.46</x:v>
      </x:c>
      <x:c r="C4142" s="274" t="n">
        <x:v>0</x:v>
      </x:c>
      <x:c r="D4142" s="274" t="n">
        <x:v>45</x:v>
      </x:c>
      <x:c r="E4142" s="274" t="n">
        <x:v>40</x:v>
      </x:c>
      <x:c r="F4142" s="274" t="s">
        <x:v>333</x:v>
      </x:c>
      <x:c r="G4142" s="274" t="s">
        <x:v>4663</x:v>
      </x:c>
      <x:c r="I4142" s="274" t="n">
        <x:v>0.8</x:v>
      </x:c>
      <x:c r="J4142" s="274" t="n">
        <x:v>1159</x:v>
      </x:c>
      <x:c r="K4142" s="274" t="n">
        <x:v>338</x:v>
      </x:c>
      <x:c r="M4142" s="274" t="s">
        <x:v>7583</x:v>
      </x:c>
      <x:c r="N4142" s="274" t="s">
        <x:v>4258</x:v>
      </x:c>
    </x:row>
    <x:row r="4143" spans="1:14">
      <x:c r="A4143" s="274" t="s">
        <x:v>7584</x:v>
      </x:c>
      <x:c r="B4143" s="274" t="n">
        <x:v>0.81</x:v>
      </x:c>
      <x:c r="C4143" s="274" t="n">
        <x:v>0</x:v>
      </x:c>
      <x:c r="D4143" s="274" t="n">
        <x:v>0</x:v>
      </x:c>
      <x:c r="F4143" s="274" t="s">
        <x:v>123</x:v>
      </x:c>
      <x:c r="G4143" s="274" t="s">
        <x:v>153</x:v>
      </x:c>
      <x:c r="I4143" s="274" t="n">
        <x:v>2.6</x:v>
      </x:c>
      <x:c r="J4143" s="274" t="n">
        <x:v>307</x:v>
      </x:c>
      <x:c r="K4143" s="274" t="n">
        <x:v>130</x:v>
      </x:c>
      <x:c r="M4143" s="274" t="s">
        <x:v>7585</x:v>
      </x:c>
      <x:c r="N4143" s="274" t="s">
        <x:v>299</x:v>
      </x:c>
    </x:row>
    <x:row r="4144" spans="1:14">
      <x:c r="A4144" s="274" t="s">
        <x:v>7586</x:v>
      </x:c>
      <x:c r="B4144" s="274" t="n">
        <x:v>1.01</x:v>
      </x:c>
      <x:c r="C4144" s="274" t="n">
        <x:v>0</x:v>
      </x:c>
      <x:c r="D4144" s="274" t="n">
        <x:v>45</x:v>
      </x:c>
      <x:c r="E4144" s="274" t="n">
        <x:v>40</x:v>
      </x:c>
      <x:c r="F4144" s="274" t="s">
        <x:v>333</x:v>
      </x:c>
      <x:c r="G4144" s="274" t="s">
        <x:v>4286</x:v>
      </x:c>
      <x:c r="I4144" s="274" t="n">
        <x:v>0.8</x:v>
      </x:c>
      <x:c r="J4144" s="274" t="n">
        <x:v>366</x:v>
      </x:c>
      <x:c r="K4144" s="274" t="n">
        <x:v>440</x:v>
      </x:c>
      <x:c r="M4144" s="274" t="s">
        <x:v>4952</x:v>
      </x:c>
      <x:c r="N4144" s="274" t="s">
        <x:v>4258</x:v>
      </x:c>
    </x:row>
    <x:row r="4145" spans="1:14">
      <x:c r="A4145" s="274" t="s">
        <x:v>7587</x:v>
      </x:c>
      <x:c r="B4145" s="274" t="n">
        <x:v>0.9</x:v>
      </x:c>
      <x:c r="C4145" s="274" t="n">
        <x:v>0</x:v>
      </x:c>
      <x:c r="D4145" s="274" t="n">
        <x:v>0</x:v>
      </x:c>
      <x:c r="F4145" s="274" t="s">
        <x:v>123</x:v>
      </x:c>
      <x:c r="G4145" s="274" t="s">
        <x:v>153</x:v>
      </x:c>
      <x:c r="I4145" s="274" t="n">
        <x:v>2.6</x:v>
      </x:c>
      <x:c r="J4145" s="274" t="n">
        <x:v>553</x:v>
      </x:c>
      <x:c r="K4145" s="274" t="n">
        <x:v>80</x:v>
      </x:c>
      <x:c r="M4145" s="274" t="s">
        <x:v>5314</x:v>
      </x:c>
      <x:c r="N4145" s="274" t="s">
        <x:v>155</x:v>
      </x:c>
    </x:row>
    <x:row r="4146" spans="1:14">
      <x:c r="A4146" s="274" t="s">
        <x:v>7588</x:v>
      </x:c>
      <x:c r="B4146" s="274" t="n">
        <x:v>0.49</x:v>
      </x:c>
      <x:c r="C4146" s="274" t="n">
        <x:v>0</x:v>
      </x:c>
      <x:c r="D4146" s="274" t="n">
        <x:v>0</x:v>
      </x:c>
      <x:c r="F4146" s="274" t="s">
        <x:v>333</x:v>
      </x:c>
      <x:c r="G4146" s="274" t="s">
        <x:v>5139</x:v>
      </x:c>
      <x:c r="I4146" s="274" t="n">
        <x:v>0.6</x:v>
      </x:c>
      <x:c r="J4146" s="274" t="n">
        <x:v>340</x:v>
      </x:c>
      <x:c r="K4146" s="274" t="n">
        <x:v>305</x:v>
      </x:c>
      <x:c r="M4146" s="274" t="s">
        <x:v>5167</x:v>
      </x:c>
      <x:c r="N4146" s="274" t="s">
        <x:v>4258</x:v>
      </x:c>
    </x:row>
    <x:row r="4147" spans="1:14">
      <x:c r="A4147" s="274" t="s">
        <x:v>7589</x:v>
      </x:c>
      <x:c r="B4147" s="274" t="n">
        <x:v>3.62</x:v>
      </x:c>
      <x:c r="C4147" s="274" t="n">
        <x:v>0</x:v>
      </x:c>
      <x:c r="D4147" s="274" t="n">
        <x:v>0</x:v>
      </x:c>
      <x:c r="F4147" s="274" t="s">
        <x:v>184</x:v>
      </x:c>
      <x:c r="G4147" s="274" t="s">
        <x:v>136</x:v>
      </x:c>
      <x:c r="H4147" s="274" t="n">
        <x:v>45</x:v>
      </x:c>
      <x:c r="I4147" s="274" t="n">
        <x:v>0.6</x:v>
      </x:c>
      <x:c r="J4147" s="274" t="n">
        <x:v>1435</x:v>
      </x:c>
      <x:c r="K4147" s="274" t="n">
        <x:v>525</x:v>
      </x:c>
      <x:c r="M4147" s="274" t="s">
        <x:v>7590</x:v>
      </x:c>
      <x:c r="N4147" s="274" t="s">
        <x:v>421</x:v>
      </x:c>
    </x:row>
    <x:row r="4148" spans="1:14">
      <x:c r="A4148" s="274" t="s">
        <x:v>7591</x:v>
      </x:c>
      <x:c r="B4148" s="274" t="n">
        <x:v>8.37</x:v>
      </x:c>
      <x:c r="C4148" s="274" t="n">
        <x:v>0</x:v>
      </x:c>
      <x:c r="D4148" s="274" t="n">
        <x:v>37</x:v>
      </x:c>
      <x:c r="E4148" s="274" t="n">
        <x:v>0</x:v>
      </x:c>
      <x:c r="F4148" s="274" t="s">
        <x:v>133</x:v>
      </x:c>
      <x:c r="G4148" s="274" t="s">
        <x:v>4244</x:v>
      </x:c>
      <x:c r="I4148" s="274" t="n">
        <x:v>0.75</x:v>
      </x:c>
      <x:c r="J4148" s="274" t="n">
        <x:v>980</x:v>
      </x:c>
      <x:c r="K4148" s="274" t="n">
        <x:v>1350</x:v>
      </x:c>
      <x:c r="L4148" s="274" t="n">
        <x:v>1550</x:v>
      </x:c>
      <x:c r="M4148" s="274" t="s">
        <x:v>7592</x:v>
      </x:c>
      <x:c r="N4148" s="274" t="s">
        <x:v>3302</x:v>
      </x:c>
    </x:row>
    <x:row r="4149" spans="1:14">
      <x:c r="A4149" s="274" t="s">
        <x:v>7593</x:v>
      </x:c>
      <x:c r="B4149" s="274" t="n">
        <x:v>43.97</x:v>
      </x:c>
      <x:c r="C4149" s="274" t="n">
        <x:v>0</x:v>
      </x:c>
      <x:c r="D4149" s="274" t="n">
        <x:v>0</x:v>
      </x:c>
      <x:c r="F4149" s="274" t="s">
        <x:v>123</x:v>
      </x:c>
      <x:c r="G4149" s="274" t="s">
        <x:v>139</x:v>
      </x:c>
      <x:c r="I4149" s="274" t="n">
        <x:v>2.9</x:v>
      </x:c>
      <x:c r="J4149" s="274" t="n">
        <x:v>1162</x:v>
      </x:c>
      <x:c r="K4149" s="274" t="n">
        <x:v>1662.4</x:v>
      </x:c>
      <x:c r="M4149" s="274" t="s">
        <x:v>7594</x:v>
      </x:c>
      <x:c r="N4149" s="274" t="s">
        <x:v>4481</x:v>
      </x:c>
    </x:row>
    <x:row r="4150" spans="1:14">
      <x:c r="A4150" s="274" t="s">
        <x:v>7595</x:v>
      </x:c>
      <x:c r="B4150" s="274" t="n">
        <x:v>0.16</x:v>
      </x:c>
      <x:c r="C4150" s="274" t="n">
        <x:v>0</x:v>
      </x:c>
      <x:c r="D4150" s="274" t="n">
        <x:v>0</x:v>
      </x:c>
      <x:c r="F4150" s="274" t="s">
        <x:v>133</x:v>
      </x:c>
      <x:c r="G4150" s="274" t="s">
        <x:v>136</x:v>
      </x:c>
      <x:c r="H4150" s="274" t="n">
        <x:v>45</x:v>
      </x:c>
      <x:c r="I4150" s="274" t="n">
        <x:v>0.65</x:v>
      </x:c>
      <x:c r="J4150" s="274" t="n">
        <x:v>148</x:v>
      </x:c>
      <x:c r="K4150" s="274" t="n">
        <x:v>210</x:v>
      </x:c>
      <x:c r="N4150" s="274" t="s">
        <x:v>7596</x:v>
      </x:c>
    </x:row>
    <x:row r="4151" spans="1:14">
      <x:c r="A4151" s="274" t="s">
        <x:v>7597</x:v>
      </x:c>
      <x:c r="B4151" s="274" t="n">
        <x:v>1.84</x:v>
      </x:c>
      <x:c r="C4151" s="274" t="n">
        <x:v>0</x:v>
      </x:c>
      <x:c r="D4151" s="274" t="n">
        <x:v>0</x:v>
      </x:c>
      <x:c r="F4151" s="274" t="s">
        <x:v>333</x:v>
      </x:c>
      <x:c r="G4151" s="274" t="s">
        <x:v>4286</x:v>
      </x:c>
      <x:c r="I4151" s="274" t="n">
        <x:v>0.6</x:v>
      </x:c>
      <x:c r="J4151" s="274" t="n">
        <x:v>500</x:v>
      </x:c>
      <x:c r="K4151" s="274" t="n">
        <x:v>780</x:v>
      </x:c>
      <x:c r="M4151" s="274" t="s">
        <x:v>4774</x:v>
      </x:c>
      <x:c r="N4151" s="274" t="s">
        <x:v>4258</x:v>
      </x:c>
    </x:row>
    <x:row r="4152" spans="1:14">
      <x:c r="A4152" s="274" t="s">
        <x:v>7598</x:v>
      </x:c>
      <x:c r="B4152" s="274" t="n">
        <x:v>1.2</x:v>
      </x:c>
      <x:c r="C4152" s="274" t="n">
        <x:v>0</x:v>
      </x:c>
      <x:c r="D4152" s="274" t="n">
        <x:v>0</x:v>
      </x:c>
      <x:c r="F4152" s="274" t="s">
        <x:v>333</x:v>
      </x:c>
      <x:c r="G4152" s="274" t="s">
        <x:v>5139</x:v>
      </x:c>
      <x:c r="I4152" s="274" t="n">
        <x:v>2</x:v>
      </x:c>
      <x:c r="J4152" s="274" t="n">
        <x:v>254</x:v>
      </x:c>
      <x:c r="K4152" s="274" t="n">
        <x:v>301</x:v>
      </x:c>
      <x:c r="M4152" s="274" t="s">
        <x:v>5140</x:v>
      </x:c>
      <x:c r="N4152" s="274" t="s">
        <x:v>4258</x:v>
      </x:c>
    </x:row>
    <x:row r="4153" spans="1:14">
      <x:c r="A4153" s="274" t="s">
        <x:v>7599</x:v>
      </x:c>
      <x:c r="B4153" s="274" t="n">
        <x:v>1.07</x:v>
      </x:c>
      <x:c r="C4153" s="274" t="n">
        <x:v>0</x:v>
      </x:c>
      <x:c r="D4153" s="274" t="n">
        <x:v>38</x:v>
      </x:c>
      <x:c r="E4153" s="274" t="n">
        <x:v>0</x:v>
      </x:c>
      <x:c r="F4153" s="274" t="s">
        <x:v>133</x:v>
      </x:c>
      <x:c r="G4153" s="274" t="s">
        <x:v>4470</x:v>
      </x:c>
      <x:c r="H4153" s="274" t="s">
        <x:v>4471</x:v>
      </x:c>
      <x:c r="I4153" s="274" t="n">
        <x:v>2</x:v>
      </x:c>
      <x:c r="J4153" s="274" t="n">
        <x:v>230</x:v>
      </x:c>
      <x:c r="K4153" s="274" t="n">
        <x:v>360</x:v>
      </x:c>
      <x:c r="L4153" s="274" t="n">
        <x:v>230</x:v>
      </x:c>
      <x:c r="M4153" s="274" t="s">
        <x:v>7600</x:v>
      </x:c>
      <x:c r="N4153" s="274" t="s">
        <x:v>4258</x:v>
      </x:c>
    </x:row>
    <x:row r="4154" spans="1:14">
      <x:c r="A4154" s="274" t="s">
        <x:v>7601</x:v>
      </x:c>
      <x:c r="B4154" s="274" t="n">
        <x:v>1.66</x:v>
      </x:c>
      <x:c r="C4154" s="274" t="n">
        <x:v>0</x:v>
      </x:c>
      <x:c r="D4154" s="274" t="n">
        <x:v>0</x:v>
      </x:c>
      <x:c r="F4154" s="274" t="s">
        <x:v>333</x:v>
      </x:c>
      <x:c r="G4154" s="274" t="s">
        <x:v>4663</x:v>
      </x:c>
      <x:c r="I4154" s="274" t="n">
        <x:v>1.8</x:v>
      </x:c>
      <x:c r="J4154" s="274" t="n">
        <x:v>340</x:v>
      </x:c>
      <x:c r="K4154" s="274" t="n">
        <x:v>346</x:v>
      </x:c>
      <x:c r="M4154" s="274" t="s">
        <x:v>4940</x:v>
      </x:c>
      <x:c r="N4154" s="274" t="s">
        <x:v>4258</x:v>
      </x:c>
    </x:row>
    <x:row r="4155" spans="1:14">
      <x:c r="A4155" s="274" t="s">
        <x:v>7602</x:v>
      </x:c>
      <x:c r="B4155" s="274" t="n">
        <x:v>8.59</x:v>
      </x:c>
      <x:c r="C4155" s="274" t="n">
        <x:v>0</x:v>
      </x:c>
      <x:c r="D4155" s="274" t="n">
        <x:v>0</x:v>
      </x:c>
      <x:c r="F4155" s="274" t="s">
        <x:v>133</x:v>
      </x:c>
      <x:c r="G4155" s="274" t="s">
        <x:v>4893</x:v>
      </x:c>
      <x:c r="I4155" s="274" t="n">
        <x:v>2</x:v>
      </x:c>
      <x:c r="J4155" s="274" t="n">
        <x:v>456</x:v>
      </x:c>
      <x:c r="K4155" s="274" t="n">
        <x:v>1200</x:v>
      </x:c>
      <x:c r="M4155" s="274" t="s">
        <x:v>7603</x:v>
      </x:c>
      <x:c r="N4155" s="274" t="s">
        <x:v>4258</x:v>
      </x:c>
    </x:row>
    <x:row r="4156" spans="1:14">
      <x:c r="A4156" s="274" t="s">
        <x:v>7604</x:v>
      </x:c>
      <x:c r="B4156" s="274" t="n">
        <x:v>2.7</x:v>
      </x:c>
      <x:c r="C4156" s="274" t="n">
        <x:v>0</x:v>
      </x:c>
      <x:c r="D4156" s="274" t="n">
        <x:v>33</x:v>
      </x:c>
      <x:c r="E4156" s="274" t="n">
        <x:v>31</x:v>
      </x:c>
      <x:c r="F4156" s="274" t="s">
        <x:v>311</x:v>
      </x:c>
      <x:c r="G4156" s="274" t="s">
        <x:v>828</x:v>
      </x:c>
      <x:c r="H4156" s="274" t="s">
        <x:v>829</x:v>
      </x:c>
      <x:c r="I4156" s="274" t="n">
        <x:v>0.8</x:v>
      </x:c>
      <x:c r="J4156" s="274" t="n">
        <x:v>600</x:v>
      </x:c>
      <x:c r="K4156" s="274" t="n">
        <x:v>715</x:v>
      </x:c>
      <x:c r="M4156" s="274" t="s">
        <x:v>6412</x:v>
      </x:c>
      <x:c r="N4156" s="274" t="s">
        <x:v>6413</x:v>
      </x:c>
    </x:row>
    <x:row r="4157" spans="1:14">
      <x:c r="A4157" s="274" t="s">
        <x:v>7605</x:v>
      </x:c>
      <x:c r="B4157" s="274" t="n">
        <x:v>2.09</x:v>
      </x:c>
      <x:c r="C4157" s="274" t="n">
        <x:v>0</x:v>
      </x:c>
      <x:c r="D4157" s="274" t="n">
        <x:v>0</x:v>
      </x:c>
      <x:c r="F4157" s="274" t="s">
        <x:v>133</x:v>
      </x:c>
      <x:c r="G4157" s="274" t="s">
        <x:v>4329</x:v>
      </x:c>
      <x:c r="I4157" s="274" t="n">
        <x:v>2</x:v>
      </x:c>
      <x:c r="J4157" s="274" t="n">
        <x:v>111</x:v>
      </x:c>
      <x:c r="K4157" s="274" t="n">
        <x:v>1200</x:v>
      </x:c>
      <x:c r="M4157" s="274" t="s">
        <x:v>7606</x:v>
      </x:c>
      <x:c r="N4157" s="274" t="s">
        <x:v>4258</x:v>
      </x:c>
    </x:row>
    <x:row r="4158" spans="1:14">
      <x:c r="A4158" s="274" t="s">
        <x:v>7607</x:v>
      </x:c>
      <x:c r="B4158" s="274" t="n">
        <x:v>0.07</x:v>
      </x:c>
      <x:c r="C4158" s="274" t="n">
        <x:v>0</x:v>
      </x:c>
      <x:c r="D4158" s="274" t="n">
        <x:v>0</x:v>
      </x:c>
      <x:c r="F4158" s="274" t="s">
        <x:v>133</x:v>
      </x:c>
      <x:c r="G4158" s="274" t="s">
        <x:v>4329</x:v>
      </x:c>
      <x:c r="I4158" s="274" t="n">
        <x:v>2</x:v>
      </x:c>
      <x:c r="J4158" s="274" t="n">
        <x:v>111</x:v>
      </x:c>
      <x:c r="K4158" s="274" t="n">
        <x:v>43</x:v>
      </x:c>
      <x:c r="M4158" s="274" t="s">
        <x:v>7606</x:v>
      </x:c>
      <x:c r="N4158" s="274" t="s">
        <x:v>4258</x:v>
      </x:c>
    </x:row>
    <x:row r="4159" spans="1:14">
      <x:c r="A4159" s="274" t="s">
        <x:v>7608</x:v>
      </x:c>
      <x:c r="B4159" s="274" t="n">
        <x:v>2.98</x:v>
      </x:c>
      <x:c r="C4159" s="274" t="n">
        <x:v>0</x:v>
      </x:c>
      <x:c r="D4159" s="274" t="n">
        <x:v>33</x:v>
      </x:c>
      <x:c r="F4159" s="274" t="s">
        <x:v>311</x:v>
      </x:c>
      <x:c r="G4159" s="274" t="s">
        <x:v>828</x:v>
      </x:c>
      <x:c r="H4159" s="274" t="s">
        <x:v>837</x:v>
      </x:c>
      <x:c r="I4159" s="274" t="n">
        <x:v>0.8</x:v>
      </x:c>
      <x:c r="J4159" s="274" t="n">
        <x:v>570</x:v>
      </x:c>
      <x:c r="K4159" s="274" t="n">
        <x:v>830</x:v>
      </x:c>
      <x:c r="M4159" s="274" t="s">
        <x:v>6415</x:v>
      </x:c>
      <x:c r="N4159" s="274" t="s">
        <x:v>6413</x:v>
      </x:c>
    </x:row>
    <x:row r="4160" spans="1:14">
      <x:c r="A4160" s="274" t="s">
        <x:v>7609</x:v>
      </x:c>
      <x:c r="B4160" s="274" t="n">
        <x:v>0.91</x:v>
      </x:c>
      <x:c r="C4160" s="274" t="n">
        <x:v>0</x:v>
      </x:c>
      <x:c r="D4160" s="274" t="n">
        <x:v>0</x:v>
      </x:c>
      <x:c r="F4160" s="274" t="s">
        <x:v>123</x:v>
      </x:c>
      <x:c r="G4160" s="274" t="s">
        <x:v>4256</x:v>
      </x:c>
      <x:c r="I4160" s="274" t="n">
        <x:v>2</x:v>
      </x:c>
      <x:c r="J4160" s="274" t="n">
        <x:v>119</x:v>
      </x:c>
      <x:c r="K4160" s="274" t="n">
        <x:v>486</x:v>
      </x:c>
      <x:c r="M4160" s="274" t="s">
        <x:v>7610</x:v>
      </x:c>
      <x:c r="N4160" s="274" t="s">
        <x:v>4258</x:v>
      </x:c>
    </x:row>
    <x:row r="4161" spans="1:14">
      <x:c r="A4161" s="274" t="s">
        <x:v>7611</x:v>
      </x:c>
      <x:c r="B4161" s="274" t="n">
        <x:v>3.63</x:v>
      </x:c>
      <x:c r="C4161" s="274" t="n">
        <x:v>0</x:v>
      </x:c>
      <x:c r="D4161" s="274" t="n">
        <x:v>0</x:v>
      </x:c>
      <x:c r="F4161" s="274" t="s">
        <x:v>133</x:v>
      </x:c>
      <x:c r="G4161" s="274" t="s">
        <x:v>4299</x:v>
      </x:c>
      <x:c r="I4161" s="274" t="n">
        <x:v>2.3</x:v>
      </x:c>
      <x:c r="J4161" s="274" t="n">
        <x:v>428</x:v>
      </x:c>
      <x:c r="K4161" s="274" t="n">
        <x:v>470</x:v>
      </x:c>
      <x:c r="M4161" s="274" t="s">
        <x:v>5003</x:v>
      </x:c>
      <x:c r="N4161" s="274" t="s">
        <x:v>4258</x:v>
      </x:c>
    </x:row>
    <x:row r="4162" spans="1:14">
      <x:c r="A4162" s="274" t="s">
        <x:v>7612</x:v>
      </x:c>
      <x:c r="B4162" s="274" t="n">
        <x:v>3.87</x:v>
      </x:c>
      <x:c r="C4162" s="274" t="n">
        <x:v>0</x:v>
      </x:c>
      <x:c r="D4162" s="274" t="n">
        <x:v>0</x:v>
      </x:c>
      <x:c r="F4162" s="274" t="s">
        <x:v>133</x:v>
      </x:c>
      <x:c r="G4162" s="274" t="s">
        <x:v>4299</x:v>
      </x:c>
      <x:c r="I4162" s="274" t="n">
        <x:v>2.3</x:v>
      </x:c>
      <x:c r="J4162" s="274" t="n">
        <x:v>457</x:v>
      </x:c>
      <x:c r="K4162" s="274" t="n">
        <x:v>469</x:v>
      </x:c>
      <x:c r="M4162" s="274" t="s">
        <x:v>5005</x:v>
      </x:c>
      <x:c r="N4162" s="274" t="s">
        <x:v>4258</x:v>
      </x:c>
    </x:row>
    <x:row r="4163" spans="1:14">
      <x:c r="A4163" s="274" t="s">
        <x:v>7613</x:v>
      </x:c>
      <x:c r="B4163" s="274" t="n">
        <x:v>4.87</x:v>
      </x:c>
      <x:c r="C4163" s="274" t="n">
        <x:v>0</x:v>
      </x:c>
      <x:c r="D4163" s="274" t="n">
        <x:v>0</x:v>
      </x:c>
      <x:c r="F4163" s="274" t="s">
        <x:v>133</x:v>
      </x:c>
      <x:c r="G4163" s="274" t="s">
        <x:v>4329</x:v>
      </x:c>
      <x:c r="I4163" s="274" t="n">
        <x:v>2.6</x:v>
      </x:c>
      <x:c r="J4163" s="274" t="n">
        <x:v>199</x:v>
      </x:c>
      <x:c r="K4163" s="274" t="n">
        <x:v>1200</x:v>
      </x:c>
      <x:c r="M4163" s="274" t="s">
        <x:v>4906</x:v>
      </x:c>
      <x:c r="N4163" s="274" t="s">
        <x:v>4258</x:v>
      </x:c>
    </x:row>
    <x:row r="4164" spans="1:14">
      <x:c r="A4164" s="274" t="s">
        <x:v>7614</x:v>
      </x:c>
      <x:c r="B4164" s="274" t="n">
        <x:v>1.67</x:v>
      </x:c>
      <x:c r="C4164" s="274" t="n">
        <x:v>0</x:v>
      </x:c>
      <x:c r="D4164" s="274" t="n">
        <x:v>0</x:v>
      </x:c>
      <x:c r="F4164" s="274" t="s">
        <x:v>133</x:v>
      </x:c>
      <x:c r="G4164" s="274" t="s">
        <x:v>4329</x:v>
      </x:c>
      <x:c r="I4164" s="274" t="n">
        <x:v>2.6</x:v>
      </x:c>
      <x:c r="J4164" s="274" t="n">
        <x:v>207</x:v>
      </x:c>
      <x:c r="K4164" s="274" t="n">
        <x:v>395</x:v>
      </x:c>
      <x:c r="M4164" s="274" t="s">
        <x:v>7615</x:v>
      </x:c>
      <x:c r="N4164" s="274" t="s">
        <x:v>4258</x:v>
      </x:c>
    </x:row>
    <x:row r="4165" spans="1:14">
      <x:c r="A4165" s="274" t="s">
        <x:v>7616</x:v>
      </x:c>
      <x:c r="B4165" s="274" t="n">
        <x:v>3.84</x:v>
      </x:c>
      <x:c r="C4165" s="274" t="n">
        <x:v>0</x:v>
      </x:c>
      <x:c r="D4165" s="274" t="n">
        <x:v>0</x:v>
      </x:c>
      <x:c r="F4165" s="274" t="s">
        <x:v>133</x:v>
      </x:c>
      <x:c r="G4165" s="274" t="s">
        <x:v>4299</x:v>
      </x:c>
      <x:c r="I4165" s="274" t="n">
        <x:v>3.2</x:v>
      </x:c>
      <x:c r="J4165" s="274" t="n">
        <x:v>433</x:v>
      </x:c>
      <x:c r="K4165" s="274" t="n">
        <x:v>353</x:v>
      </x:c>
      <x:c r="M4165" s="274" t="s">
        <x:v>7617</x:v>
      </x:c>
      <x:c r="N4165" s="274" t="s">
        <x:v>4258</x:v>
      </x:c>
    </x:row>
    <x:row r="4166" spans="1:14">
      <x:c r="A4166" s="274" t="s">
        <x:v>7618</x:v>
      </x:c>
      <x:c r="B4166" s="274" t="n">
        <x:v>3.84</x:v>
      </x:c>
      <x:c r="C4166" s="274" t="n">
        <x:v>0</x:v>
      </x:c>
      <x:c r="D4166" s="274" t="n">
        <x:v>0</x:v>
      </x:c>
      <x:c r="F4166" s="274" t="s">
        <x:v>133</x:v>
      </x:c>
      <x:c r="G4166" s="274" t="s">
        <x:v>4299</x:v>
      </x:c>
      <x:c r="I4166" s="274" t="n">
        <x:v>3.2</x:v>
      </x:c>
      <x:c r="J4166" s="274" t="n">
        <x:v>433</x:v>
      </x:c>
      <x:c r="K4166" s="274" t="n">
        <x:v>353</x:v>
      </x:c>
      <x:c r="M4166" s="274" t="s">
        <x:v>7619</x:v>
      </x:c>
      <x:c r="N4166" s="274" t="s">
        <x:v>4258</x:v>
      </x:c>
    </x:row>
    <x:row r="4167" spans="1:14">
      <x:c r="A4167" s="274" t="s">
        <x:v>7620</x:v>
      </x:c>
      <x:c r="B4167" s="274" t="n">
        <x:v>10.19</x:v>
      </x:c>
      <x:c r="C4167" s="274" t="n">
        <x:v>0</x:v>
      </x:c>
      <x:c r="D4167" s="274" t="n">
        <x:v>0</x:v>
      </x:c>
      <x:c r="F4167" s="274" t="s">
        <x:v>133</x:v>
      </x:c>
      <x:c r="G4167" s="274" t="s">
        <x:v>4893</x:v>
      </x:c>
      <x:c r="I4167" s="274" t="n">
        <x:v>3.2</x:v>
      </x:c>
      <x:c r="J4167" s="274" t="n">
        <x:v>338</x:v>
      </x:c>
      <x:c r="K4167" s="274" t="n">
        <x:v>1200</x:v>
      </x:c>
      <x:c r="M4167" s="274" t="s">
        <x:v>7621</x:v>
      </x:c>
      <x:c r="N4167" s="274" t="s">
        <x:v>4258</x:v>
      </x:c>
    </x:row>
    <x:row r="4168" spans="1:14">
      <x:c r="A4168" s="274" t="s">
        <x:v>7622</x:v>
      </x:c>
      <x:c r="B4168" s="274" t="n">
        <x:v>0.64</x:v>
      </x:c>
      <x:c r="C4168" s="274" t="n">
        <x:v>0</x:v>
      </x:c>
      <x:c r="D4168" s="274" t="n">
        <x:v>0</x:v>
      </x:c>
      <x:c r="F4168" s="274" t="s">
        <x:v>133</x:v>
      </x:c>
      <x:c r="G4168" s="274" t="s">
        <x:v>4893</x:v>
      </x:c>
      <x:c r="I4168" s="274" t="n">
        <x:v>3.2</x:v>
      </x:c>
      <x:c r="J4168" s="274" t="n">
        <x:v>60</x:v>
      </x:c>
      <x:c r="K4168" s="274" t="n">
        <x:v>427</x:v>
      </x:c>
      <x:c r="M4168" s="274" t="s">
        <x:v>4912</x:v>
      </x:c>
      <x:c r="N4168" s="274" t="s">
        <x:v>4258</x:v>
      </x:c>
    </x:row>
    <x:row r="4169" spans="1:14">
      <x:c r="A4169" s="274" t="s">
        <x:v>7623</x:v>
      </x:c>
      <x:c r="B4169" s="274" t="n">
        <x:v>2.66</x:v>
      </x:c>
      <x:c r="C4169" s="274" t="n">
        <x:v>0</x:v>
      </x:c>
      <x:c r="D4169" s="274" t="n">
        <x:v>0</x:v>
      </x:c>
      <x:c r="F4169" s="274" t="s">
        <x:v>133</x:v>
      </x:c>
      <x:c r="G4169" s="274" t="s">
        <x:v>4329</x:v>
      </x:c>
      <x:c r="I4169" s="274" t="n">
        <x:v>5</x:v>
      </x:c>
      <x:c r="J4169" s="274" t="n">
        <x:v>186</x:v>
      </x:c>
      <x:c r="K4169" s="274" t="n">
        <x:v>365</x:v>
      </x:c>
      <x:c r="M4169" s="274" t="s">
        <x:v>4731</x:v>
      </x:c>
      <x:c r="N4169" s="274" t="s">
        <x:v>4258</x:v>
      </x:c>
    </x:row>
    <x:row r="4170" spans="1:14">
      <x:c r="A4170" s="274" t="s">
        <x:v>7624</x:v>
      </x:c>
      <x:c r="B4170" s="274" t="n">
        <x:v>0.94</x:v>
      </x:c>
      <x:c r="C4170" s="274" t="n">
        <x:v>0</x:v>
      </x:c>
      <x:c r="D4170" s="274" t="n">
        <x:v>0</x:v>
      </x:c>
      <x:c r="F4170" s="274" t="s">
        <x:v>133</x:v>
      </x:c>
      <x:c r="G4170" s="274" t="s">
        <x:v>144</x:v>
      </x:c>
      <x:c r="H4170" s="274" t="n">
        <x:v>45</x:v>
      </x:c>
      <x:c r="I4170" s="274" t="n">
        <x:v>1.6</x:v>
      </x:c>
      <x:c r="J4170" s="274" t="n">
        <x:v>113</x:v>
      </x:c>
      <x:c r="K4170" s="274" t="n">
        <x:v>656</x:v>
      </x:c>
      <x:c r="M4170" s="274" t="s">
        <x:v>340</x:v>
      </x:c>
      <x:c r="N4170" s="274" t="s">
        <x:v>299</x:v>
      </x:c>
    </x:row>
    <x:row r="4171" spans="1:14">
      <x:c r="A4171" s="274" t="s">
        <x:v>7625</x:v>
      </x:c>
      <x:c r="B4171" s="274" t="n">
        <x:v>0.96</x:v>
      </x:c>
      <x:c r="C4171" s="274" t="n">
        <x:v>0</x:v>
      </x:c>
      <x:c r="D4171" s="274" t="n">
        <x:v>0</x:v>
      </x:c>
      <x:c r="F4171" s="274" t="s">
        <x:v>333</x:v>
      </x:c>
      <x:c r="G4171" s="274" t="s">
        <x:v>4663</x:v>
      </x:c>
      <x:c r="I4171" s="274" t="n">
        <x:v>1.4</x:v>
      </x:c>
      <x:c r="J4171" s="274" t="n">
        <x:v>185</x:v>
      </x:c>
      <x:c r="K4171" s="274" t="n">
        <x:v>472</x:v>
      </x:c>
      <x:c r="M4171" s="274" t="s">
        <x:v>5183</x:v>
      </x:c>
      <x:c r="N4171" s="274" t="s">
        <x:v>4258</x:v>
      </x:c>
    </x:row>
    <x:row r="4172" spans="1:14">
      <x:c r="A4172" s="274" t="s">
        <x:v>7626</x:v>
      </x:c>
      <x:c r="B4172" s="274" t="n">
        <x:v>3.6</x:v>
      </x:c>
      <x:c r="C4172" s="274" t="n">
        <x:v>0</x:v>
      </x:c>
      <x:c r="D4172" s="274" t="n">
        <x:v>38</x:v>
      </x:c>
      <x:c r="E4172" s="274" t="n">
        <x:v>0</x:v>
      </x:c>
      <x:c r="F4172" s="274" t="s">
        <x:v>333</x:v>
      </x:c>
      <x:c r="G4172" s="274" t="s">
        <x:v>153</x:v>
      </x:c>
      <x:c r="I4172" s="274" t="n">
        <x:v>0.65</x:v>
      </x:c>
      <x:c r="J4172" s="274" t="n">
        <x:v>750</x:v>
      </x:c>
      <x:c r="K4172" s="274" t="n">
        <x:v>940</x:v>
      </x:c>
      <x:c r="L4172" s="274" t="n">
        <x:v>940</x:v>
      </x:c>
      <x:c r="M4172" s="274" t="s">
        <x:v>7627</x:v>
      </x:c>
      <x:c r="N4172" s="274" t="s">
        <x:v>3671</x:v>
      </x:c>
    </x:row>
    <x:row r="4173" spans="1:14">
      <x:c r="A4173" s="274" t="s">
        <x:v>7628</x:v>
      </x:c>
      <x:c r="B4173" s="274" t="n">
        <x:v>0.58</x:v>
      </x:c>
      <x:c r="C4173" s="274" t="n">
        <x:v>0</x:v>
      </x:c>
      <x:c r="D4173" s="274" t="n">
        <x:v>0</x:v>
      </x:c>
      <x:c r="F4173" s="274" t="s">
        <x:v>133</x:v>
      </x:c>
      <x:c r="G4173" s="274" t="s">
        <x:v>136</x:v>
      </x:c>
      <x:c r="H4173" s="274" t="n">
        <x:v>45</x:v>
      </x:c>
      <x:c r="I4173" s="274" t="n">
        <x:v>0.7</x:v>
      </x:c>
      <x:c r="J4173" s="274" t="n">
        <x:v>298</x:v>
      </x:c>
      <x:c r="K4173" s="274" t="n">
        <x:v>350</x:v>
      </x:c>
      <x:c r="M4173" s="274" t="s">
        <x:v>511</x:v>
      </x:c>
      <x:c r="N4173" s="274" t="s">
        <x:v>155</x:v>
      </x:c>
    </x:row>
    <x:row r="4174" spans="1:14">
      <x:c r="A4174" s="274" t="s">
        <x:v>7629</x:v>
      </x:c>
      <x:c r="B4174" s="274" t="n">
        <x:v>0.96</x:v>
      </x:c>
      <x:c r="C4174" s="274" t="n">
        <x:v>28</x:v>
      </x:c>
      <x:c r="D4174" s="274" t="n">
        <x:v>32</x:v>
      </x:c>
      <x:c r="E4174" s="274" t="n">
        <x:v>30</x:v>
      </x:c>
      <x:c r="F4174" s="274" t="s">
        <x:v>333</x:v>
      </x:c>
      <x:c r="G4174" s="274" t="s">
        <x:v>4663</x:v>
      </x:c>
      <x:c r="I4174" s="274" t="n">
        <x:v>1.4</x:v>
      </x:c>
      <x:c r="J4174" s="274" t="n">
        <x:v>185</x:v>
      </x:c>
      <x:c r="K4174" s="274" t="n">
        <x:v>472</x:v>
      </x:c>
      <x:c r="M4174" s="274" t="s">
        <x:v>5183</x:v>
      </x:c>
      <x:c r="N4174" s="274" t="s">
        <x:v>4258</x:v>
      </x:c>
    </x:row>
    <x:row r="4175" spans="1:14">
      <x:c r="A4175" s="274" t="s">
        <x:v>7630</x:v>
      </x:c>
      <x:c r="B4175" s="274" t="n">
        <x:v>1.07</x:v>
      </x:c>
      <x:c r="C4175" s="274" t="n">
        <x:v>28</x:v>
      </x:c>
      <x:c r="D4175" s="274" t="n">
        <x:v>32</x:v>
      </x:c>
      <x:c r="E4175" s="274" t="n">
        <x:v>30</x:v>
      </x:c>
      <x:c r="F4175" s="274" t="s">
        <x:v>333</x:v>
      </x:c>
      <x:c r="G4175" s="274" t="s">
        <x:v>4663</x:v>
      </x:c>
      <x:c r="I4175" s="274" t="n">
        <x:v>1.4</x:v>
      </x:c>
      <x:c r="J4175" s="274" t="n">
        <x:v>204</x:v>
      </x:c>
      <x:c r="K4175" s="274" t="n">
        <x:v>476</x:v>
      </x:c>
      <x:c r="M4175" s="274" t="s">
        <x:v>7557</x:v>
      </x:c>
      <x:c r="N4175" s="274" t="s">
        <x:v>4258</x:v>
      </x:c>
    </x:row>
    <x:row r="4176" spans="1:14">
      <x:c r="A4176" s="274" t="s">
        <x:v>7631</x:v>
      </x:c>
      <x:c r="B4176" s="274" t="n">
        <x:v>4.08</x:v>
      </x:c>
      <x:c r="C4176" s="274" t="n">
        <x:v>0</x:v>
      </x:c>
      <x:c r="D4176" s="274" t="n">
        <x:v>0</x:v>
      </x:c>
      <x:c r="F4176" s="274" t="s">
        <x:v>184</x:v>
      </x:c>
      <x:c r="G4176" s="274" t="s">
        <x:v>129</x:v>
      </x:c>
      <x:c r="H4176" s="274" t="n">
        <x:v>45</x:v>
      </x:c>
      <x:c r="I4176" s="274" t="n">
        <x:v>1.2</x:v>
      </x:c>
      <x:c r="J4176" s="274" t="n">
        <x:v>375</x:v>
      </x:c>
      <x:c r="K4176" s="274" t="n">
        <x:v>1143</x:v>
      </x:c>
      <x:c r="M4176" s="274" t="s">
        <x:v>7632</x:v>
      </x:c>
      <x:c r="N4176" s="274" t="s">
        <x:v>131</x:v>
      </x:c>
    </x:row>
    <x:row r="4177" spans="1:14">
      <x:c r="A4177" s="274" t="s">
        <x:v>7633</x:v>
      </x:c>
      <x:c r="B4177" s="274" t="n">
        <x:v>0.76</x:v>
      </x:c>
      <x:c r="C4177" s="274" t="n">
        <x:v>0</x:v>
      </x:c>
      <x:c r="D4177" s="274" t="n">
        <x:v>0</x:v>
      </x:c>
      <x:c r="F4177" s="274" t="s">
        <x:v>133</x:v>
      </x:c>
      <x:c r="G4177" s="274" t="s">
        <x:v>209</x:v>
      </x:c>
      <x:c r="I4177" s="274" t="n">
        <x:v>1.2</x:v>
      </x:c>
      <x:c r="J4177" s="274" t="n">
        <x:v>67</x:v>
      </x:c>
      <x:c r="K4177" s="274" t="n">
        <x:v>1210</x:v>
      </x:c>
      <x:c r="M4177" s="274" t="s">
        <x:v>7634</x:v>
      </x:c>
      <x:c r="N4177" s="274" t="s">
        <x:v>131</x:v>
      </x:c>
    </x:row>
    <x:row r="4178" spans="1:14">
      <x:c r="A4178" s="274" t="s">
        <x:v>7635</x:v>
      </x:c>
      <x:c r="B4178" s="274" t="n">
        <x:v>0.91</x:v>
      </x:c>
      <x:c r="C4178" s="274" t="n">
        <x:v>0</x:v>
      </x:c>
      <x:c r="D4178" s="274" t="n">
        <x:v>0</x:v>
      </x:c>
      <x:c r="F4178" s="274" t="s">
        <x:v>333</x:v>
      </x:c>
      <x:c r="G4178" s="274" t="s">
        <x:v>153</x:v>
      </x:c>
      <x:c r="I4178" s="274" t="n">
        <x:v>1.2</x:v>
      </x:c>
      <x:c r="J4178" s="274" t="n">
        <x:v>135</x:v>
      </x:c>
      <x:c r="K4178" s="274" t="n">
        <x:v>719</x:v>
      </x:c>
      <x:c r="M4178" s="274" t="s">
        <x:v>7636</x:v>
      </x:c>
      <x:c r="N4178" s="274" t="s">
        <x:v>155</x:v>
      </x:c>
    </x:row>
    <x:row r="4179" spans="1:14">
      <x:c r="A4179" s="274" t="s">
        <x:v>7637</x:v>
      </x:c>
      <x:c r="B4179" s="274" t="n">
        <x:v>5.34</x:v>
      </x:c>
      <x:c r="C4179" s="274" t="n">
        <x:v>0</x:v>
      </x:c>
      <x:c r="D4179" s="274" t="n">
        <x:v>0</x:v>
      </x:c>
      <x:c r="F4179" s="274" t="s">
        <x:v>133</x:v>
      </x:c>
      <x:c r="G4179" s="274" t="s">
        <x:v>136</x:v>
      </x:c>
      <x:c r="H4179" s="274" t="n">
        <x:v>45</x:v>
      </x:c>
      <x:c r="I4179" s="274" t="n">
        <x:v>1.4</x:v>
      </x:c>
      <x:c r="J4179" s="274" t="n">
        <x:v>335</x:v>
      </x:c>
      <x:c r="K4179" s="274" t="n">
        <x:v>1440</x:v>
      </x:c>
      <x:c r="M4179" s="274" t="s">
        <x:v>2606</x:v>
      </x:c>
      <x:c r="N4179" s="274" t="s">
        <x:v>131</x:v>
      </x:c>
    </x:row>
    <x:row r="4180" spans="1:14">
      <x:c r="A4180" s="274" t="s">
        <x:v>7638</x:v>
      </x:c>
      <x:c r="B4180" s="274" t="n">
        <x:v>2.86</x:v>
      </x:c>
      <x:c r="C4180" s="274" t="n">
        <x:v>0</x:v>
      </x:c>
      <x:c r="D4180" s="274" t="n">
        <x:v>0</x:v>
      </x:c>
      <x:c r="F4180" s="274" t="s">
        <x:v>123</x:v>
      </x:c>
      <x:c r="G4180" s="274" t="s">
        <x:v>148</x:v>
      </x:c>
      <x:c r="I4180" s="274" t="n">
        <x:v>1.8</x:v>
      </x:c>
      <x:c r="J4180" s="274" t="n">
        <x:v>166</x:v>
      </x:c>
      <x:c r="K4180" s="274" t="n">
        <x:v>1220</x:v>
      </x:c>
      <x:c r="M4180" s="274" t="s">
        <x:v>7639</x:v>
      </x:c>
      <x:c r="N4180" s="274" t="s">
        <x:v>155</x:v>
      </x:c>
    </x:row>
    <x:row r="4181" spans="1:14">
      <x:c r="A4181" s="274" t="s">
        <x:v>7640</x:v>
      </x:c>
      <x:c r="B4181" s="274" t="n">
        <x:v>3.7</x:v>
      </x:c>
      <x:c r="C4181" s="274" t="n">
        <x:v>0</x:v>
      </x:c>
      <x:c r="D4181" s="274" t="n">
        <x:v>0</x:v>
      </x:c>
      <x:c r="F4181" s="274" t="s">
        <x:v>133</x:v>
      </x:c>
      <x:c r="G4181" s="274" t="s">
        <x:v>136</x:v>
      </x:c>
      <x:c r="H4181" s="274" t="n">
        <x:v>45</x:v>
      </x:c>
      <x:c r="I4181" s="274" t="n">
        <x:v>1.8</x:v>
      </x:c>
      <x:c r="J4181" s="274" t="n">
        <x:v>214</x:v>
      </x:c>
      <x:c r="K4181" s="274" t="n">
        <x:v>1215</x:v>
      </x:c>
      <x:c r="M4181" s="274" t="s">
        <x:v>7641</x:v>
      </x:c>
      <x:c r="N4181" s="274" t="s">
        <x:v>155</x:v>
      </x:c>
    </x:row>
    <x:row r="4182" spans="1:14">
      <x:c r="A4182" s="274" t="s">
        <x:v>7642</x:v>
      </x:c>
      <x:c r="B4182" s="274" t="n">
        <x:v>3.06</x:v>
      </x:c>
      <x:c r="C4182" s="274" t="n">
        <x:v>0</x:v>
      </x:c>
      <x:c r="D4182" s="274" t="n">
        <x:v>0</x:v>
      </x:c>
      <x:c r="F4182" s="274" t="s">
        <x:v>133</x:v>
      </x:c>
      <x:c r="G4182" s="274" t="s">
        <x:v>148</x:v>
      </x:c>
      <x:c r="I4182" s="274" t="n">
        <x:v>3.2</x:v>
      </x:c>
      <x:c r="J4182" s="274" t="n">
        <x:v>112</x:v>
      </x:c>
      <x:c r="K4182" s="274" t="n">
        <x:v>1089</x:v>
      </x:c>
      <x:c r="M4182" s="274" t="s">
        <x:v>7643</x:v>
      </x:c>
      <x:c r="N4182" s="274" t="s">
        <x:v>155</x:v>
      </x:c>
    </x:row>
    <x:row r="4183" spans="1:14">
      <x:c r="A4183" s="274" t="s">
        <x:v>7644</x:v>
      </x:c>
      <x:c r="B4183" s="274" t="n">
        <x:v>2.61</x:v>
      </x:c>
      <x:c r="C4183" s="274" t="n">
        <x:v>0</x:v>
      </x:c>
      <x:c r="D4183" s="274" t="n">
        <x:v>0</x:v>
      </x:c>
      <x:c r="F4183" s="274" t="s">
        <x:v>133</x:v>
      </x:c>
      <x:c r="G4183" s="274" t="s">
        <x:v>148</x:v>
      </x:c>
      <x:c r="I4183" s="274" t="n">
        <x:v>3.2</x:v>
      </x:c>
      <x:c r="J4183" s="274" t="n">
        <x:v>88</x:v>
      </x:c>
      <x:c r="K4183" s="274" t="n">
        <x:v>1182</x:v>
      </x:c>
      <x:c r="M4183" s="274" t="s">
        <x:v>7645</x:v>
      </x:c>
      <x:c r="N4183" s="274" t="s">
        <x:v>299</x:v>
      </x:c>
    </x:row>
    <x:row r="4184" spans="1:14">
      <x:c r="A4184" s="274" t="s">
        <x:v>7646</x:v>
      </x:c>
      <x:c r="B4184" s="274" t="n">
        <x:v>4.95</x:v>
      </x:c>
      <x:c r="C4184" s="274" t="n">
        <x:v>38</x:v>
      </x:c>
      <x:c r="D4184" s="274" t="n">
        <x:v>39</x:v>
      </x:c>
      <x:c r="F4184" s="274" t="s">
        <x:v>133</x:v>
      </x:c>
      <x:c r="G4184" s="274" t="s">
        <x:v>144</x:v>
      </x:c>
      <x:c r="H4184" s="274" t="n">
        <x:v>45</x:v>
      </x:c>
      <x:c r="I4184" s="274" t="n">
        <x:v>1.6</x:v>
      </x:c>
      <x:c r="J4184" s="274" t="n">
        <x:v>450</x:v>
      </x:c>
      <x:c r="K4184" s="274" t="n">
        <x:v>1740</x:v>
      </x:c>
      <x:c r="M4184" s="274" t="s">
        <x:v>7647</x:v>
      </x:c>
      <x:c r="N4184" s="274" t="s">
        <x:v>162</x:v>
      </x:c>
    </x:row>
    <x:row r="4185" spans="1:14">
      <x:c r="A4185" s="274" t="s">
        <x:v>7648</x:v>
      </x:c>
      <x:c r="B4185" s="274" t="n">
        <x:v>0.77</x:v>
      </x:c>
      <x:c r="C4185" s="274" t="n">
        <x:v>26</x:v>
      </x:c>
      <x:c r="D4185" s="274" t="n">
        <x:v>35</x:v>
      </x:c>
      <x:c r="E4185" s="274" t="n">
        <x:v>33</x:v>
      </x:c>
      <x:c r="F4185" s="274" t="s">
        <x:v>133</x:v>
      </x:c>
      <x:c r="G4185" s="274" t="s">
        <x:v>136</x:v>
      </x:c>
      <x:c r="H4185" s="274" t="n">
        <x:v>45</x:v>
      </x:c>
      <x:c r="I4185" s="274" t="n">
        <x:v>0.7</x:v>
      </x:c>
      <x:c r="J4185" s="274" t="n">
        <x:v>290</x:v>
      </x:c>
      <x:c r="K4185" s="274" t="n">
        <x:v>475</x:v>
      </x:c>
      <x:c r="M4185" s="274" t="s">
        <x:v>7649</x:v>
      </x:c>
      <x:c r="N4185" s="274" t="s">
        <x:v>155</x:v>
      </x:c>
    </x:row>
    <x:row r="4186" spans="1:14">
      <x:c r="A4186" s="274" t="s">
        <x:v>7650</x:v>
      </x:c>
      <x:c r="B4186" s="274" t="n">
        <x:v>0.67</x:v>
      </x:c>
      <x:c r="C4186" s="274" t="n">
        <x:v>0</x:v>
      </x:c>
      <x:c r="D4186" s="274" t="n">
        <x:v>0</x:v>
      </x:c>
      <x:c r="F4186" s="274" t="s">
        <x:v>123</x:v>
      </x:c>
      <x:c r="G4186" s="274" t="s">
        <x:v>153</x:v>
      </x:c>
      <x:c r="I4186" s="274" t="n">
        <x:v>1</x:v>
      </x:c>
      <x:c r="J4186" s="274" t="n">
        <x:v>570</x:v>
      </x:c>
      <x:c r="K4186" s="274" t="n">
        <x:v>150</x:v>
      </x:c>
      <x:c r="M4186" s="274" t="s">
        <x:v>2568</x:v>
      </x:c>
      <x:c r="N4186" s="274" t="s">
        <x:v>787</x:v>
      </x:c>
    </x:row>
    <x:row r="4187" spans="1:14">
      <x:c r="A4187" s="274" t="s">
        <x:v>7651</x:v>
      </x:c>
      <x:c r="B4187" s="274" t="n">
        <x:v>1.39</x:v>
      </x:c>
      <x:c r="C4187" s="274" t="n">
        <x:v>26</x:v>
      </x:c>
      <x:c r="D4187" s="274" t="n">
        <x:v>35</x:v>
      </x:c>
      <x:c r="E4187" s="274" t="n">
        <x:v>33</x:v>
      </x:c>
      <x:c r="F4187" s="274" t="s">
        <x:v>184</x:v>
      </x:c>
      <x:c r="G4187" s="274" t="s">
        <x:v>4782</x:v>
      </x:c>
      <x:c r="H4187" s="274" t="s">
        <x:v>4471</x:v>
      </x:c>
      <x:c r="I4187" s="274" t="n">
        <x:v>1.4</x:v>
      </x:c>
      <x:c r="J4187" s="274" t="n">
        <x:v>463</x:v>
      </x:c>
      <x:c r="K4187" s="274" t="n">
        <x:v>272</x:v>
      </x:c>
      <x:c r="M4187" s="274" t="s">
        <x:v>5053</x:v>
      </x:c>
      <x:c r="N4187" s="274" t="s">
        <x:v>4258</x:v>
      </x:c>
    </x:row>
    <x:row r="4188" spans="1:14">
      <x:c r="A4188" s="274" t="s">
        <x:v>7652</x:v>
      </x:c>
      <x:c r="B4188" s="274" t="n">
        <x:v>3.83</x:v>
      </x:c>
      <x:c r="C4188" s="274" t="n">
        <x:v>0</x:v>
      </x:c>
      <x:c r="D4188" s="274" t="n">
        <x:v>0</x:v>
      </x:c>
      <x:c r="F4188" s="274" t="s">
        <x:v>133</x:v>
      </x:c>
      <x:c r="G4188" s="274" t="s">
        <x:v>4299</x:v>
      </x:c>
      <x:c r="I4188" s="274" t="n">
        <x:v>3.2</x:v>
      </x:c>
      <x:c r="J4188" s="274" t="n">
        <x:v>432</x:v>
      </x:c>
      <x:c r="K4188" s="274" t="n">
        <x:v>353</x:v>
      </x:c>
      <x:c r="M4188" s="274" t="s">
        <x:v>7617</x:v>
      </x:c>
      <x:c r="N4188" s="274" t="s">
        <x:v>4258</x:v>
      </x:c>
    </x:row>
    <x:row r="4189" spans="1:14">
      <x:c r="A4189" s="274" t="s">
        <x:v>7653</x:v>
      </x:c>
      <x:c r="B4189" s="274" t="n">
        <x:v>1.88</x:v>
      </x:c>
      <x:c r="C4189" s="274" t="n">
        <x:v>0</x:v>
      </x:c>
      <x:c r="D4189" s="274" t="n">
        <x:v>0</x:v>
      </x:c>
      <x:c r="F4189" s="274" t="s">
        <x:v>333</x:v>
      </x:c>
      <x:c r="G4189" s="274" t="s">
        <x:v>2157</x:v>
      </x:c>
      <x:c r="I4189" s="274" t="n">
        <x:v>0.7</x:v>
      </x:c>
      <x:c r="J4189" s="274" t="n">
        <x:v>1150</x:v>
      </x:c>
      <x:c r="K4189" s="274" t="n">
        <x:v>298</x:v>
      </x:c>
      <x:c r="M4189" s="274" t="s">
        <x:v>7654</x:v>
      </x:c>
      <x:c r="N4189" s="274" t="s">
        <x:v>7428</x:v>
      </x:c>
    </x:row>
    <x:row r="4190" spans="1:14">
      <x:c r="A4190" s="274" t="s">
        <x:v>7655</x:v>
      </x:c>
      <x:c r="B4190" s="274" t="n">
        <x:v>1.59</x:v>
      </x:c>
      <x:c r="C4190" s="274" t="n">
        <x:v>0</x:v>
      </x:c>
      <x:c r="D4190" s="274" t="n">
        <x:v>0</x:v>
      </x:c>
      <x:c r="F4190" s="274" t="s">
        <x:v>333</x:v>
      </x:c>
      <x:c r="G4190" s="274" t="s">
        <x:v>4663</x:v>
      </x:c>
      <x:c r="I4190" s="274" t="n">
        <x:v>1.8</x:v>
      </x:c>
      <x:c r="J4190" s="274" t="n">
        <x:v>242</x:v>
      </x:c>
      <x:c r="K4190" s="274" t="n">
        <x:v>464</x:v>
      </x:c>
      <x:c r="M4190" s="274" t="s">
        <x:v>4950</x:v>
      </x:c>
      <x:c r="N4190" s="274" t="s">
        <x:v>4258</x:v>
      </x:c>
    </x:row>
    <x:row r="4191" spans="1:14">
      <x:c r="A4191" s="274" t="s">
        <x:v>7656</x:v>
      </x:c>
      <x:c r="B4191" s="274" t="n">
        <x:v>0</x:v>
      </x:c>
      <x:c r="C4191" s="274" t="n">
        <x:v>0</x:v>
      </x:c>
      <x:c r="D4191" s="274" t="n">
        <x:v>0</x:v>
      </x:c>
      <x:c r="E4191" s="274" t="n">
        <x:v>20</x:v>
      </x:c>
      <x:c r="F4191" s="274" t="s">
        <x:v>128</x:v>
      </x:c>
      <x:c r="G4191" s="274" t="s">
        <x:v>136</x:v>
      </x:c>
      <x:c r="H4191" s="274" t="s">
        <x:v>1729</x:v>
      </x:c>
      <x:c r="I4191" s="274" t="n">
        <x:v>0.75</x:v>
      </x:c>
      <x:c r="J4191" s="274" t="n">
        <x:v>350</x:v>
      </x:c>
      <x:c r="K4191" s="274" t="n">
        <x:v>460</x:v>
      </x:c>
      <x:c r="M4191" s="274" t="s">
        <x:v>7657</x:v>
      </x:c>
      <x:c r="N4191" s="274" t="s">
        <x:v>465</x:v>
      </x:c>
    </x:row>
    <x:row r="4192" spans="1:14">
      <x:c r="A4192" s="274" t="s">
        <x:v>7658</x:v>
      </x:c>
      <x:c r="B4192" s="274" t="n">
        <x:v>0</x:v>
      </x:c>
      <x:c r="C4192" s="274" t="n">
        <x:v>0</x:v>
      </x:c>
      <x:c r="D4192" s="274" t="n">
        <x:v>0</x:v>
      </x:c>
      <x:c r="E4192" s="274" t="n">
        <x:v>20</x:v>
      </x:c>
      <x:c r="F4192" s="274" t="s">
        <x:v>128</x:v>
      </x:c>
      <x:c r="G4192" s="274" t="s">
        <x:v>136</x:v>
      </x:c>
      <x:c r="H4192" s="274" t="s">
        <x:v>1729</x:v>
      </x:c>
      <x:c r="I4192" s="274" t="n">
        <x:v>0.75</x:v>
      </x:c>
      <x:c r="J4192" s="274" t="n">
        <x:v>920</x:v>
      </x:c>
      <x:c r="K4192" s="274" t="n">
        <x:v>520</x:v>
      </x:c>
      <x:c r="M4192" s="274" t="s">
        <x:v>7659</x:v>
      </x:c>
      <x:c r="N4192" s="274" t="s">
        <x:v>465</x:v>
      </x:c>
    </x:row>
    <x:row r="4193" spans="1:14">
      <x:c r="A4193" s="274" t="s">
        <x:v>7660</x:v>
      </x:c>
      <x:c r="B4193" s="274" t="n">
        <x:v>0.7</x:v>
      </x:c>
      <x:c r="C4193" s="274" t="n">
        <x:v>0</x:v>
      </x:c>
      <x:c r="D4193" s="274" t="n">
        <x:v>0</x:v>
      </x:c>
      <x:c r="F4193" s="274" t="s">
        <x:v>128</x:v>
      </x:c>
      <x:c r="G4193" s="274" t="s">
        <x:v>136</x:v>
      </x:c>
      <x:c r="H4193" s="274" t="s">
        <x:v>1729</x:v>
      </x:c>
      <x:c r="I4193" s="274" t="n">
        <x:v>0.75</x:v>
      </x:c>
      <x:c r="J4193" s="274" t="n">
        <x:v>515</x:v>
      </x:c>
      <x:c r="K4193" s="274" t="n">
        <x:v>230</x:v>
      </x:c>
      <x:c r="M4193" s="274" t="s">
        <x:v>398</x:v>
      </x:c>
      <x:c r="N4193" s="274" t="s">
        <x:v>465</x:v>
      </x:c>
    </x:row>
    <x:row r="4194" spans="1:14">
      <x:c r="A4194" s="274" t="s">
        <x:v>7661</x:v>
      </x:c>
      <x:c r="B4194" s="274" t="n">
        <x:v>0.22</x:v>
      </x:c>
      <x:c r="C4194" s="274" t="n">
        <x:v>0</x:v>
      </x:c>
      <x:c r="D4194" s="274" t="n">
        <x:v>0</x:v>
      </x:c>
      <x:c r="F4194" s="274" t="s">
        <x:v>128</x:v>
      </x:c>
      <x:c r="G4194" s="274" t="s">
        <x:v>136</x:v>
      </x:c>
      <x:c r="H4194" s="274" t="s">
        <x:v>1729</x:v>
      </x:c>
      <x:c r="I4194" s="274" t="n">
        <x:v>0.75</x:v>
      </x:c>
      <x:c r="J4194" s="274" t="n">
        <x:v>130</x:v>
      </x:c>
      <x:c r="K4194" s="274" t="n">
        <x:v>280</x:v>
      </x:c>
      <x:c r="M4194" s="274" t="s">
        <x:v>7662</x:v>
      </x:c>
      <x:c r="N4194" s="274" t="s">
        <x:v>465</x:v>
      </x:c>
    </x:row>
    <x:row r="4195" spans="1:14">
      <x:c r="A4195" s="274" t="s">
        <x:v>7663</x:v>
      </x:c>
      <x:c r="B4195" s="274" t="n">
        <x:v>1.65</x:v>
      </x:c>
      <x:c r="C4195" s="274" t="n">
        <x:v>0</x:v>
      </x:c>
      <x:c r="D4195" s="274" t="n">
        <x:v>0</x:v>
      </x:c>
      <x:c r="F4195" s="274" t="s">
        <x:v>128</x:v>
      </x:c>
      <x:c r="G4195" s="274" t="s">
        <x:v>136</x:v>
      </x:c>
      <x:c r="H4195" s="274" t="s">
        <x:v>1729</x:v>
      </x:c>
      <x:c r="I4195" s="274" t="n">
        <x:v>0.75</x:v>
      </x:c>
      <x:c r="J4195" s="274" t="n">
        <x:v>418</x:v>
      </x:c>
      <x:c r="K4195" s="274" t="n">
        <x:v>660</x:v>
      </x:c>
      <x:c r="M4195" s="274" t="s">
        <x:v>7664</x:v>
      </x:c>
      <x:c r="N4195" s="274" t="s">
        <x:v>465</x:v>
      </x:c>
    </x:row>
    <x:row r="4196" spans="1:14">
      <x:c r="A4196" s="274" t="s">
        <x:v>7665</x:v>
      </x:c>
      <x:c r="B4196" s="274" t="n">
        <x:v>0.95</x:v>
      </x:c>
      <x:c r="C4196" s="274" t="n">
        <x:v>0</x:v>
      </x:c>
      <x:c r="D4196" s="274" t="n">
        <x:v>0</x:v>
      </x:c>
      <x:c r="F4196" s="274" t="s">
        <x:v>333</x:v>
      </x:c>
      <x:c r="G4196" s="274" t="s">
        <x:v>2157</x:v>
      </x:c>
      <x:c r="I4196" s="274" t="n">
        <x:v>0.7</x:v>
      </x:c>
      <x:c r="J4196" s="274" t="n">
        <x:v>1117</x:v>
      </x:c>
      <x:c r="K4196" s="274" t="n">
        <x:v>155</x:v>
      </x:c>
      <x:c r="M4196" s="274" t="s">
        <x:v>7666</x:v>
      </x:c>
      <x:c r="N4196" s="274" t="s">
        <x:v>7428</x:v>
      </x:c>
    </x:row>
    <x:row r="4197" spans="1:14">
      <x:c r="A4197" s="274" t="s">
        <x:v>7667</x:v>
      </x:c>
      <x:c r="B4197" s="274" t="n">
        <x:v>0.33</x:v>
      </x:c>
      <x:c r="C4197" s="274" t="n">
        <x:v>0</x:v>
      </x:c>
      <x:c r="D4197" s="274" t="n">
        <x:v>0</x:v>
      </x:c>
      <x:c r="F4197" s="274" t="s">
        <x:v>333</x:v>
      </x:c>
      <x:c r="G4197" s="274" t="s">
        <x:v>2157</x:v>
      </x:c>
      <x:c r="I4197" s="274" t="n">
        <x:v>0.9</x:v>
      </x:c>
      <x:c r="J4197" s="274" t="n">
        <x:v>235</x:v>
      </x:c>
      <x:c r="K4197" s="274" t="n">
        <x:v>201</x:v>
      </x:c>
      <x:c r="M4197" s="274" t="s">
        <x:v>7668</x:v>
      </x:c>
      <x:c r="N4197" s="274" t="s">
        <x:v>7428</x:v>
      </x:c>
    </x:row>
    <x:row r="4198" spans="1:14">
      <x:c r="A4198" s="274" t="s">
        <x:v>7669</x:v>
      </x:c>
      <x:c r="B4198" s="274" t="n">
        <x:v>1.51</x:v>
      </x:c>
      <x:c r="C4198" s="274" t="n">
        <x:v>0</x:v>
      </x:c>
      <x:c r="D4198" s="274" t="n">
        <x:v>0</x:v>
      </x:c>
      <x:c r="F4198" s="274" t="s">
        <x:v>123</x:v>
      </x:c>
      <x:c r="G4198" s="274" t="s">
        <x:v>4256</x:v>
      </x:c>
      <x:c r="I4198" s="274" t="n">
        <x:v>1.2</x:v>
      </x:c>
      <x:c r="J4198" s="274" t="n">
        <x:v>276</x:v>
      </x:c>
      <x:c r="K4198" s="274" t="n">
        <x:v>580</x:v>
      </x:c>
      <x:c r="M4198" s="274" t="s">
        <x:v>7670</x:v>
      </x:c>
      <x:c r="N4198" s="274" t="s">
        <x:v>4258</x:v>
      </x:c>
    </x:row>
    <x:row r="4199" spans="1:14">
      <x:c r="A4199" s="274" t="s">
        <x:v>7671</x:v>
      </x:c>
      <x:c r="B4199" s="274" t="n">
        <x:v>1.56</x:v>
      </x:c>
      <x:c r="C4199" s="274" t="n">
        <x:v>0</x:v>
      </x:c>
      <x:c r="D4199" s="274" t="n">
        <x:v>0</x:v>
      </x:c>
      <x:c r="F4199" s="274" t="s">
        <x:v>333</x:v>
      </x:c>
      <x:c r="G4199" s="274" t="s">
        <x:v>4958</x:v>
      </x:c>
      <x:c r="I4199" s="274" t="n">
        <x:v>1.2</x:v>
      </x:c>
      <x:c r="J4199" s="274" t="n">
        <x:v>138</x:v>
      </x:c>
      <x:c r="K4199" s="274" t="n">
        <x:v>1200</x:v>
      </x:c>
      <x:c r="M4199" s="274" t="s">
        <x:v>4959</x:v>
      </x:c>
      <x:c r="N4199" s="274" t="s">
        <x:v>4258</x:v>
      </x:c>
    </x:row>
    <x:row r="4200" spans="1:14">
      <x:c r="A4200" s="274" t="s">
        <x:v>7672</x:v>
      </x:c>
      <x:c r="B4200" s="274" t="n">
        <x:v>8.73</x:v>
      </x:c>
      <x:c r="C4200" s="274" t="n">
        <x:v>0</x:v>
      </x:c>
      <x:c r="D4200" s="274" t="n">
        <x:v>0</x:v>
      </x:c>
      <x:c r="F4200" s="274" t="s">
        <x:v>133</x:v>
      </x:c>
      <x:c r="G4200" s="274" t="s">
        <x:v>1728</x:v>
      </x:c>
      <x:c r="H4200" s="274" t="n">
        <x:v>45</x:v>
      </x:c>
      <x:c r="I4200" s="274" t="n">
        <x:v>1.2</x:v>
      </x:c>
      <x:c r="J4200" s="274" t="n">
        <x:v>1020</x:v>
      </x:c>
      <x:c r="K4200" s="274" t="n">
        <x:v>900</x:v>
      </x:c>
      <x:c r="M4200" s="274" t="s">
        <x:v>7673</x:v>
      </x:c>
      <x:c r="N4200" s="274" t="s">
        <x:v>3671</x:v>
      </x:c>
    </x:row>
    <x:row r="4201" spans="1:14">
      <x:c r="A4201" s="274" t="s">
        <x:v>7674</x:v>
      </x:c>
      <x:c r="B4201" s="274" t="n">
        <x:v>8.56</x:v>
      </x:c>
      <x:c r="C4201" s="274" t="n">
        <x:v>0</x:v>
      </x:c>
      <x:c r="D4201" s="274" t="n">
        <x:v>36</x:v>
      </x:c>
      <x:c r="E4201" s="274" t="n">
        <x:v>0</x:v>
      </x:c>
      <x:c r="F4201" s="274" t="s">
        <x:v>133</x:v>
      </x:c>
      <x:c r="G4201" s="274" t="s">
        <x:v>1728</x:v>
      </x:c>
      <x:c r="H4201" s="274" t="n">
        <x:v>45</x:v>
      </x:c>
      <x:c r="I4201" s="274" t="n">
        <x:v>1.2</x:v>
      </x:c>
      <x:c r="J4201" s="274" t="n">
        <x:v>471</x:v>
      </x:c>
      <x:c r="K4201" s="274" t="n">
        <x:v>1910</x:v>
      </x:c>
      <x:c r="M4201" s="274" t="s">
        <x:v>7675</x:v>
      </x:c>
      <x:c r="N4201" s="274" t="s">
        <x:v>3671</x:v>
      </x:c>
    </x:row>
    <x:row r="4202" spans="1:14">
      <x:c r="A4202" s="274" t="s">
        <x:v>7676</x:v>
      </x:c>
      <x:c r="B4202" s="274" t="n">
        <x:v>2.76</x:v>
      </x:c>
      <x:c r="C4202" s="274" t="n">
        <x:v>0</x:v>
      </x:c>
      <x:c r="D4202" s="274" t="n">
        <x:v>37</x:v>
      </x:c>
      <x:c r="E4202" s="274" t="n">
        <x:v>0</x:v>
      </x:c>
      <x:c r="F4202" s="274" t="s">
        <x:v>133</x:v>
      </x:c>
      <x:c r="G4202" s="274" t="s">
        <x:v>3402</x:v>
      </x:c>
      <x:c r="I4202" s="274" t="n">
        <x:v>0.75</x:v>
      </x:c>
      <x:c r="J4202" s="274" t="n">
        <x:v>720</x:v>
      </x:c>
      <x:c r="K4202" s="274" t="n">
        <x:v>700</x:v>
      </x:c>
      <x:c r="L4202" s="274" t="n">
        <x:v>600</x:v>
      </x:c>
      <x:c r="M4202" s="274" t="s">
        <x:v>6882</x:v>
      </x:c>
      <x:c r="N4202" s="274" t="s">
        <x:v>6441</x:v>
      </x:c>
    </x:row>
    <x:row r="4203" spans="1:14">
      <x:c r="A4203" s="274" t="s">
        <x:v>7677</x:v>
      </x:c>
      <x:c r="B4203" s="274" t="n">
        <x:v>0.65</x:v>
      </x:c>
      <x:c r="C4203" s="274" t="n">
        <x:v>0</x:v>
      </x:c>
      <x:c r="D4203" s="274" t="n">
        <x:v>0</x:v>
      </x:c>
      <x:c r="F4203" s="274" t="s">
        <x:v>133</x:v>
      </x:c>
      <x:c r="G4203" s="274" t="s">
        <x:v>4299</x:v>
      </x:c>
      <x:c r="I4203" s="274" t="n">
        <x:v>2.3</x:v>
      </x:c>
      <x:c r="J4203" s="274" t="n">
        <x:v>180</x:v>
      </x:c>
      <x:c r="K4203" s="274" t="n">
        <x:v>200</x:v>
      </x:c>
      <x:c r="M4203" s="274" t="s">
        <x:v>5137</x:v>
      </x:c>
      <x:c r="N4203" s="274" t="s">
        <x:v>4258</x:v>
      </x:c>
    </x:row>
    <x:row r="4204" spans="1:14">
      <x:c r="A4204" s="274" t="s">
        <x:v>7678</x:v>
      </x:c>
      <x:c r="B4204" s="274" t="n">
        <x:v>7.72</x:v>
      </x:c>
      <x:c r="C4204" s="274" t="n">
        <x:v>0</x:v>
      </x:c>
      <x:c r="D4204" s="274" t="n">
        <x:v>0</x:v>
      </x:c>
      <x:c r="F4204" s="274" t="s">
        <x:v>128</x:v>
      </x:c>
      <x:c r="G4204" s="274" t="s">
        <x:v>136</x:v>
      </x:c>
      <x:c r="H4204" s="274" t="n">
        <x:v>45</x:v>
      </x:c>
      <x:c r="I4204" s="274" t="n">
        <x:v>2.6</x:v>
      </x:c>
      <x:c r="J4204" s="274" t="n">
        <x:v>918</x:v>
      </x:c>
      <x:c r="K4204" s="274" t="n">
        <x:v>410</x:v>
      </x:c>
      <x:c r="M4204" s="274" t="s">
        <x:v>7679</x:v>
      </x:c>
      <x:c r="N4204" s="274" t="s">
        <x:v>3671</x:v>
      </x:c>
    </x:row>
    <x:row r="4205" spans="1:14">
      <x:c r="A4205" s="274" t="s">
        <x:v>7680</x:v>
      </x:c>
      <x:c r="B4205" s="274" t="n">
        <x:v>7.72</x:v>
      </x:c>
      <x:c r="C4205" s="274" t="n">
        <x:v>0</x:v>
      </x:c>
      <x:c r="D4205" s="274" t="n">
        <x:v>0</x:v>
      </x:c>
      <x:c r="F4205" s="274" t="s">
        <x:v>128</x:v>
      </x:c>
      <x:c r="G4205" s="274" t="s">
        <x:v>136</x:v>
      </x:c>
      <x:c r="H4205" s="274" t="n">
        <x:v>45</x:v>
      </x:c>
      <x:c r="I4205" s="274" t="n">
        <x:v>2.6</x:v>
      </x:c>
      <x:c r="J4205" s="274" t="n">
        <x:v>918</x:v>
      </x:c>
      <x:c r="K4205" s="274" t="n">
        <x:v>410</x:v>
      </x:c>
      <x:c r="M4205" s="274" t="s">
        <x:v>7679</x:v>
      </x:c>
      <x:c r="N4205" s="274" t="s">
        <x:v>3671</x:v>
      </x:c>
    </x:row>
    <x:row r="4206" spans="1:14">
      <x:c r="A4206" s="274" t="s">
        <x:v>7681</x:v>
      </x:c>
      <x:c r="B4206" s="274" t="n">
        <x:v>5.83</x:v>
      </x:c>
      <x:c r="C4206" s="274" t="n">
        <x:v>0</x:v>
      </x:c>
      <x:c r="D4206" s="274" t="n">
        <x:v>0</x:v>
      </x:c>
      <x:c r="F4206" s="274" t="s">
        <x:v>133</x:v>
      </x:c>
      <x:c r="G4206" s="274" t="s">
        <x:v>136</x:v>
      </x:c>
      <x:c r="H4206" s="274" t="n">
        <x:v>45</x:v>
      </x:c>
      <x:c r="I4206" s="274" t="n">
        <x:v>1.6</x:v>
      </x:c>
      <x:c r="J4206" s="274" t="n">
        <x:v>800</x:v>
      </x:c>
      <x:c r="K4206" s="274" t="n">
        <x:v>576</x:v>
      </x:c>
      <x:c r="M4206" s="274" t="s">
        <x:v>1024</x:v>
      </x:c>
      <x:c r="N4206" s="274" t="s">
        <x:v>5222</x:v>
      </x:c>
    </x:row>
    <x:row r="4207" spans="1:14">
      <x:c r="A4207" s="274" t="s">
        <x:v>7682</x:v>
      </x:c>
      <x:c r="B4207" s="274" t="n">
        <x:v>5.1</x:v>
      </x:c>
      <x:c r="C4207" s="274" t="n">
        <x:v>0</x:v>
      </x:c>
      <x:c r="D4207" s="274" t="n">
        <x:v>0</x:v>
      </x:c>
      <x:c r="F4207" s="274" t="s">
        <x:v>133</x:v>
      </x:c>
      <x:c r="G4207" s="274" t="s">
        <x:v>136</x:v>
      </x:c>
      <x:c r="H4207" s="274" t="n">
        <x:v>45</x:v>
      </x:c>
      <x:c r="I4207" s="274" t="n">
        <x:v>1.2</x:v>
      </x:c>
      <x:c r="J4207" s="274" t="n">
        <x:v>371</x:v>
      </x:c>
      <x:c r="K4207" s="274" t="n">
        <x:v>1445</x:v>
      </x:c>
      <x:c r="M4207" s="274" t="s">
        <x:v>7683</x:v>
      </x:c>
      <x:c r="N4207" s="274" t="s">
        <x:v>5222</x:v>
      </x:c>
    </x:row>
    <x:row r="4208" spans="1:14">
      <x:c r="A4208" s="274" t="s">
        <x:v>7684</x:v>
      </x:c>
      <x:c r="B4208" s="274" t="n">
        <x:v>3.09</x:v>
      </x:c>
      <x:c r="C4208" s="274" t="n">
        <x:v>0</x:v>
      </x:c>
      <x:c r="D4208" s="274" t="n">
        <x:v>0</x:v>
      </x:c>
      <x:c r="F4208" s="274" t="s">
        <x:v>133</x:v>
      </x:c>
      <x:c r="G4208" s="274" t="s">
        <x:v>136</x:v>
      </x:c>
      <x:c r="H4208" s="274" t="n">
        <x:v>45</x:v>
      </x:c>
      <x:c r="I4208" s="274" t="n">
        <x:v>1.2</x:v>
      </x:c>
      <x:c r="J4208" s="274" t="n">
        <x:v>347</x:v>
      </x:c>
      <x:c r="K4208" s="274" t="n">
        <x:v>936</x:v>
      </x:c>
      <x:c r="M4208" s="274" t="s">
        <x:v>7685</x:v>
      </x:c>
      <x:c r="N4208" s="274" t="s">
        <x:v>5222</x:v>
      </x:c>
    </x:row>
    <x:row r="4209" spans="1:14">
      <x:c r="A4209" s="274" t="s">
        <x:v>7686</x:v>
      </x:c>
      <x:c r="B4209" s="274" t="n">
        <x:v>2.51</x:v>
      </x:c>
      <x:c r="C4209" s="274" t="n">
        <x:v>0</x:v>
      </x:c>
      <x:c r="D4209" s="274" t="n">
        <x:v>35</x:v>
      </x:c>
      <x:c r="E4209" s="274" t="n">
        <x:v>33</x:v>
      </x:c>
      <x:c r="F4209" s="274" t="s">
        <x:v>833</x:v>
      </x:c>
      <x:c r="G4209" s="274" t="s">
        <x:v>834</x:v>
      </x:c>
      <x:c r="H4209" s="274" t="s">
        <x:v>837</x:v>
      </x:c>
      <x:c r="I4209" s="274" t="n">
        <x:v>0.8</x:v>
      </x:c>
      <x:c r="J4209" s="274" t="n">
        <x:v>520</x:v>
      </x:c>
      <x:c r="K4209" s="274" t="n">
        <x:v>765</x:v>
      </x:c>
      <x:c r="M4209" s="274" t="s">
        <x:v>838</x:v>
      </x:c>
    </x:row>
    <x:row r="4210" spans="1:14">
      <x:c r="A4210" s="274" t="s">
        <x:v>7687</x:v>
      </x:c>
      <x:c r="B4210" s="274" t="n">
        <x:v>2.32</x:v>
      </x:c>
      <x:c r="C4210" s="274" t="n">
        <x:v>0</x:v>
      </x:c>
      <x:c r="D4210" s="274" t="n">
        <x:v>34</x:v>
      </x:c>
      <x:c r="E4210" s="274" t="n">
        <x:v>30</x:v>
      </x:c>
      <x:c r="F4210" s="274" t="s">
        <x:v>311</x:v>
      </x:c>
      <x:c r="G4210" s="274" t="s">
        <x:v>828</x:v>
      </x:c>
      <x:c r="H4210" s="274" t="s">
        <x:v>829</x:v>
      </x:c>
      <x:c r="I4210" s="274" t="n">
        <x:v>0.8</x:v>
      </x:c>
      <x:c r="J4210" s="274" t="n">
        <x:v>575</x:v>
      </x:c>
      <x:c r="K4210" s="274" t="n">
        <x:v>640</x:v>
      </x:c>
      <x:c r="M4210" s="274" t="s">
        <x:v>830</x:v>
      </x:c>
      <x:c r="N4210" s="274" t="s">
        <x:v>7688</x:v>
      </x:c>
    </x:row>
    <x:row r="4211" spans="1:14">
      <x:c r="A4211" s="274" t="s">
        <x:v>7689</x:v>
      </x:c>
      <x:c r="B4211" s="274" t="n">
        <x:v>2.55</x:v>
      </x:c>
      <x:c r="C4211" s="274" t="n">
        <x:v>0</x:v>
      </x:c>
      <x:c r="D4211" s="274" t="n">
        <x:v>34</x:v>
      </x:c>
      <x:c r="E4211" s="274" t="n">
        <x:v>32</x:v>
      </x:c>
      <x:c r="F4211" s="274" t="s">
        <x:v>311</x:v>
      </x:c>
      <x:c r="G4211" s="274" t="s">
        <x:v>828</x:v>
      </x:c>
      <x:c r="H4211" s="274" t="s">
        <x:v>837</x:v>
      </x:c>
      <x:c r="I4211" s="274" t="n">
        <x:v>0.8</x:v>
      </x:c>
      <x:c r="J4211" s="274" t="n">
        <x:v>530</x:v>
      </x:c>
      <x:c r="K4211" s="274" t="n">
        <x:v>765</x:v>
      </x:c>
      <x:c r="M4211" s="274" t="s">
        <x:v>2387</x:v>
      </x:c>
      <x:c r="N4211" s="274" t="s">
        <x:v>831</x:v>
      </x:c>
    </x:row>
    <x:row r="4212" spans="1:14">
      <x:c r="A4212" s="274" t="s">
        <x:v>7690</x:v>
      </x:c>
      <x:c r="B4212" s="274" t="n">
        <x:v>2.05</x:v>
      </x:c>
      <x:c r="C4212" s="274" t="n">
        <x:v>0</x:v>
      </x:c>
      <x:c r="D4212" s="274" t="n">
        <x:v>0</x:v>
      </x:c>
      <x:c r="F4212" s="274" t="s">
        <x:v>123</x:v>
      </x:c>
      <x:c r="G4212" s="274" t="s">
        <x:v>4256</x:v>
      </x:c>
      <x:c r="I4212" s="274" t="n">
        <x:v>1.6</x:v>
      </x:c>
      <x:c r="J4212" s="274" t="n">
        <x:v>136</x:v>
      </x:c>
      <x:c r="K4212" s="274" t="n">
        <x:v>1200</x:v>
      </x:c>
      <x:c r="M4212" s="274" t="s">
        <x:v>7691</x:v>
      </x:c>
      <x:c r="N4212" s="274" t="s">
        <x:v>4258</x:v>
      </x:c>
    </x:row>
    <x:row r="4213" spans="1:14">
      <x:c r="A4213" s="274" t="s">
        <x:v>7692</x:v>
      </x:c>
      <x:c r="B4213" s="274" t="n">
        <x:v>0.19</x:v>
      </x:c>
      <x:c r="C4213" s="274" t="n">
        <x:v>0</x:v>
      </x:c>
      <x:c r="D4213" s="274" t="n">
        <x:v>0</x:v>
      </x:c>
      <x:c r="F4213" s="274" t="s">
        <x:v>2985</x:v>
      </x:c>
      <x:c r="G4213" s="274" t="s">
        <x:v>153</x:v>
      </x:c>
      <x:c r="I4213" s="274" t="n">
        <x:v>1.4</x:v>
      </x:c>
      <x:c r="J4213" s="274" t="n">
        <x:v>65</x:v>
      </x:c>
      <x:c r="K4213" s="274" t="n">
        <x:v>262</x:v>
      </x:c>
      <x:c r="M4213" s="274" t="s">
        <x:v>1421</x:v>
      </x:c>
      <x:c r="N4213" s="274" t="s">
        <x:v>5222</x:v>
      </x:c>
    </x:row>
    <x:row r="4214" spans="1:14">
      <x:c r="A4214" s="274" t="s">
        <x:v>7693</x:v>
      </x:c>
      <x:c r="B4214" s="274" t="n">
        <x:v>1.19</x:v>
      </x:c>
      <x:c r="C4214" s="274" t="n">
        <x:v>0</x:v>
      </x:c>
      <x:c r="D4214" s="274" t="n">
        <x:v>0</x:v>
      </x:c>
      <x:c r="F4214" s="274" t="s">
        <x:v>133</x:v>
      </x:c>
      <x:c r="G4214" s="274" t="s">
        <x:v>136</x:v>
      </x:c>
      <x:c r="H4214" s="274" t="n">
        <x:v>45</x:v>
      </x:c>
      <x:c r="I4214" s="274" t="n">
        <x:v>0.65</x:v>
      </x:c>
      <x:c r="J4214" s="274" t="n">
        <x:v>230</x:v>
      </x:c>
      <x:c r="K4214" s="274" t="n">
        <x:v>1000</x:v>
      </x:c>
      <x:c r="M4214" s="274" t="s">
        <x:v>1692</x:v>
      </x:c>
      <x:c r="N4214" s="274" t="s">
        <x:v>5222</x:v>
      </x:c>
    </x:row>
    <x:row r="4215" spans="1:14">
      <x:c r="A4215" s="274" t="s">
        <x:v>7694</x:v>
      </x:c>
      <x:c r="B4215" s="274" t="n">
        <x:v>1.47</x:v>
      </x:c>
      <x:c r="C4215" s="274" t="n">
        <x:v>0</x:v>
      </x:c>
      <x:c r="D4215" s="274" t="n">
        <x:v>35</x:v>
      </x:c>
      <x:c r="E4215" s="274" t="n">
        <x:v>33</x:v>
      </x:c>
      <x:c r="F4215" s="274" t="s">
        <x:v>128</x:v>
      </x:c>
      <x:c r="G4215" s="274" t="s">
        <x:v>496</x:v>
      </x:c>
      <x:c r="H4215" s="274" t="n">
        <x:v>45</x:v>
      </x:c>
      <x:c r="I4215" s="274" t="n">
        <x:v>2.6</x:v>
      </x:c>
      <x:c r="J4215" s="274" t="n">
        <x:v>147</x:v>
      </x:c>
      <x:c r="K4215" s="274" t="n">
        <x:v>487</x:v>
      </x:c>
      <x:c r="M4215" s="274" t="s">
        <x:v>2715</x:v>
      </x:c>
      <x:c r="N4215" s="274" t="s">
        <x:v>155</x:v>
      </x:c>
    </x:row>
    <x:row r="4216" spans="1:14">
      <x:c r="A4216" s="274" t="s">
        <x:v>7695</x:v>
      </x:c>
      <x:c r="B4216" s="274" t="n">
        <x:v>2.96</x:v>
      </x:c>
      <x:c r="C4216" s="274" t="n">
        <x:v>0</x:v>
      </x:c>
      <x:c r="D4216" s="274" t="n">
        <x:v>0</x:v>
      </x:c>
      <x:c r="F4216" s="274" t="s">
        <x:v>333</x:v>
      </x:c>
      <x:c r="G4216" s="274" t="s">
        <x:v>2157</x:v>
      </x:c>
      <x:c r="I4216" s="274" t="n">
        <x:v>0.9</x:v>
      </x:c>
      <x:c r="J4216" s="274" t="n">
        <x:v>1164</x:v>
      </x:c>
      <x:c r="K4216" s="274" t="n">
        <x:v>360</x:v>
      </x:c>
      <x:c r="M4216" s="274" t="s">
        <x:v>7696</x:v>
      </x:c>
      <x:c r="N4216" s="274" t="s">
        <x:v>7177</x:v>
      </x:c>
    </x:row>
    <x:row r="4217" spans="1:14">
      <x:c r="A4217" s="274" t="s">
        <x:v>7697</x:v>
      </x:c>
      <x:c r="B4217" s="274" t="n">
        <x:v>4.67</x:v>
      </x:c>
      <x:c r="C4217" s="274" t="n">
        <x:v>0</x:v>
      </x:c>
      <x:c r="D4217" s="274" t="n">
        <x:v>51</x:v>
      </x:c>
      <x:c r="E4217" s="274" t="n">
        <x:v>35</x:v>
      </x:c>
      <x:c r="F4217" s="274" t="s">
        <x:v>133</x:v>
      </x:c>
      <x:c r="G4217" s="274" t="s">
        <x:v>1728</x:v>
      </x:c>
      <x:c r="H4217" s="274" t="n">
        <x:v>45</x:v>
      </x:c>
      <x:c r="I4217" s="274" t="n">
        <x:v>0.65</x:v>
      </x:c>
      <x:c r="J4217" s="274" t="n">
        <x:v>840</x:v>
      </x:c>
      <x:c r="K4217" s="274" t="n">
        <x:v>1070</x:v>
      </x:c>
      <x:c r="M4217" s="274" t="s">
        <x:v>7698</x:v>
      </x:c>
      <x:c r="N4217" s="274" t="s">
        <x:v>3671</x:v>
      </x:c>
    </x:row>
    <x:row r="4218" spans="1:14">
      <x:c r="A4218" s="274" t="s">
        <x:v>7699</x:v>
      </x:c>
      <x:c r="B4218" s="274" t="n">
        <x:v>3.8</x:v>
      </x:c>
      <x:c r="C4218" s="274" t="n">
        <x:v>0</x:v>
      </x:c>
      <x:c r="D4218" s="274" t="n">
        <x:v>0</x:v>
      </x:c>
      <x:c r="F4218" s="274" t="s">
        <x:v>123</x:v>
      </x:c>
      <x:c r="G4218" s="274" t="s">
        <x:v>153</x:v>
      </x:c>
      <x:c r="I4218" s="274" t="n">
        <x:v>2</x:v>
      </x:c>
      <x:c r="J4218" s="274" t="n">
        <x:v>1100</x:v>
      </x:c>
      <x:c r="K4218" s="274" t="n">
        <x:v>220</x:v>
      </x:c>
      <x:c r="M4218" s="274" t="s">
        <x:v>7700</x:v>
      </x:c>
      <x:c r="N4218" s="274" t="s">
        <x:v>421</x:v>
      </x:c>
    </x:row>
    <x:row r="4219" spans="1:14">
      <x:c r="A4219" s="274" t="s">
        <x:v>7701</x:v>
      </x:c>
      <x:c r="B4219" s="274" t="n">
        <x:v>6.93</x:v>
      </x:c>
      <x:c r="C4219" s="274" t="n">
        <x:v>0</x:v>
      </x:c>
      <x:c r="D4219" s="274" t="n">
        <x:v>0</x:v>
      </x:c>
      <x:c r="F4219" s="274" t="s">
        <x:v>133</x:v>
      </x:c>
      <x:c r="G4219" s="274" t="s">
        <x:v>134</x:v>
      </x:c>
      <x:c r="I4219" s="274" t="n">
        <x:v>1.6</x:v>
      </x:c>
      <x:c r="J4219" s="274" t="n">
        <x:v>460</x:v>
      </x:c>
      <x:c r="K4219" s="274" t="n">
        <x:v>1200</x:v>
      </x:c>
      <x:c r="M4219" s="274" t="s">
        <x:v>7702</x:v>
      </x:c>
      <x:c r="N4219" s="274" t="s">
        <x:v>870</x:v>
      </x:c>
    </x:row>
    <x:row r="4220" spans="1:14">
      <x:c r="A4220" s="274" t="s">
        <x:v>7703</x:v>
      </x:c>
      <x:c r="B4220" s="274" t="n">
        <x:v>1.56</x:v>
      </x:c>
      <x:c r="C4220" s="274" t="n">
        <x:v>0</x:v>
      </x:c>
      <x:c r="D4220" s="274" t="n">
        <x:v>0</x:v>
      </x:c>
      <x:c r="F4220" s="274" t="s">
        <x:v>333</x:v>
      </x:c>
      <x:c r="G4220" s="274" t="s">
        <x:v>4663</x:v>
      </x:c>
      <x:c r="I4220" s="274" t="n">
        <x:v>0.5</x:v>
      </x:c>
      <x:c r="J4220" s="274" t="n">
        <x:v>315</x:v>
      </x:c>
      <x:c r="K4220" s="274" t="n">
        <x:v>1260</x:v>
      </x:c>
      <x:c r="M4220" s="274" t="s">
        <x:v>7704</x:v>
      </x:c>
      <x:c r="N4220" s="274" t="s">
        <x:v>4258</x:v>
      </x:c>
    </x:row>
    <x:row r="4221" spans="1:14">
      <x:c r="A4221" s="274" t="s">
        <x:v>7705</x:v>
      </x:c>
      <x:c r="B4221" s="274" t="n">
        <x:v>1.29</x:v>
      </x:c>
      <x:c r="C4221" s="274" t="n">
        <x:v>0</x:v>
      </x:c>
      <x:c r="D4221" s="274" t="n">
        <x:v>0</x:v>
      </x:c>
      <x:c r="F4221" s="274" t="s">
        <x:v>184</x:v>
      </x:c>
      <x:c r="G4221" s="274" t="s">
        <x:v>4782</x:v>
      </x:c>
      <x:c r="H4221" s="274" t="s">
        <x:v>4471</x:v>
      </x:c>
      <x:c r="I4221" s="274" t="n">
        <x:v>0.55</x:v>
      </x:c>
      <x:c r="J4221" s="274" t="n">
        <x:v>549</x:v>
      </x:c>
      <x:c r="K4221" s="274" t="n">
        <x:v>531.6</x:v>
      </x:c>
      <x:c r="M4221" s="274" t="s">
        <x:v>7706</x:v>
      </x:c>
      <x:c r="N4221" s="274" t="s">
        <x:v>4258</x:v>
      </x:c>
    </x:row>
    <x:row r="4222" spans="1:14">
      <x:c r="A4222" s="274" t="s">
        <x:v>7707</x:v>
      </x:c>
      <x:c r="B4222" s="274" t="n">
        <x:v>1.95</x:v>
      </x:c>
      <x:c r="C4222" s="274" t="n">
        <x:v>0</x:v>
      </x:c>
      <x:c r="D4222" s="274" t="n">
        <x:v>0</x:v>
      </x:c>
      <x:c r="F4222" s="274" t="s">
        <x:v>333</x:v>
      </x:c>
      <x:c r="G4222" s="274" t="s">
        <x:v>4663</x:v>
      </x:c>
      <x:c r="I4222" s="274" t="n">
        <x:v>0.8</x:v>
      </x:c>
      <x:c r="J4222" s="274" t="n">
        <x:v>249</x:v>
      </x:c>
      <x:c r="K4222" s="274" t="n">
        <x:v>1250</x:v>
      </x:c>
      <x:c r="M4222" s="274" t="s">
        <x:v>6224</x:v>
      </x:c>
      <x:c r="N4222" s="274" t="s">
        <x:v>4258</x:v>
      </x:c>
    </x:row>
    <x:row r="4223" spans="1:14">
      <x:c r="A4223" s="274" t="s">
        <x:v>7708</x:v>
      </x:c>
      <x:c r="B4223" s="274" t="n">
        <x:v>0.53</x:v>
      </x:c>
      <x:c r="C4223" s="274" t="n">
        <x:v>0</x:v>
      </x:c>
      <x:c r="D4223" s="274" t="n">
        <x:v>0</x:v>
      </x:c>
      <x:c r="F4223" s="274" t="s">
        <x:v>333</x:v>
      </x:c>
      <x:c r="G4223" s="274" t="s">
        <x:v>4663</x:v>
      </x:c>
      <x:c r="I4223" s="274" t="n">
        <x:v>0.8</x:v>
      </x:c>
      <x:c r="J4223" s="274" t="n">
        <x:v>67</x:v>
      </x:c>
      <x:c r="K4223" s="274" t="n">
        <x:v>1250</x:v>
      </x:c>
      <x:c r="M4223" s="274" t="s">
        <x:v>6245</x:v>
      </x:c>
      <x:c r="N4223" s="274" t="s">
        <x:v>4258</x:v>
      </x:c>
    </x:row>
    <x:row r="4224" spans="1:14">
      <x:c r="A4224" s="274" t="s">
        <x:v>7709</x:v>
      </x:c>
      <x:c r="B4224" s="274" t="n">
        <x:v>1.42</x:v>
      </x:c>
      <x:c r="C4224" s="274" t="n">
        <x:v>0</x:v>
      </x:c>
      <x:c r="D4224" s="274" t="n">
        <x:v>0</x:v>
      </x:c>
      <x:c r="F4224" s="274" t="s">
        <x:v>184</x:v>
      </x:c>
      <x:c r="G4224" s="274" t="s">
        <x:v>4782</x:v>
      </x:c>
      <x:c r="H4224" s="274" t="s">
        <x:v>4471</x:v>
      </x:c>
      <x:c r="I4224" s="274" t="n">
        <x:v>1</x:v>
      </x:c>
      <x:c r="J4224" s="274" t="n">
        <x:v>320</x:v>
      </x:c>
      <x:c r="K4224" s="274" t="n">
        <x:v>560</x:v>
      </x:c>
      <x:c r="M4224" s="274" t="s">
        <x:v>7710</x:v>
      </x:c>
      <x:c r="N4224" s="274" t="s">
        <x:v>4258</x:v>
      </x:c>
    </x:row>
    <x:row r="4225" spans="1:14">
      <x:c r="A4225" s="274" t="s">
        <x:v>7711</x:v>
      </x:c>
      <x:c r="B4225" s="274" t="n">
        <x:v>2.1</x:v>
      </x:c>
      <x:c r="C4225" s="274" t="n">
        <x:v>0</x:v>
      </x:c>
      <x:c r="D4225" s="274" t="n">
        <x:v>0</x:v>
      </x:c>
      <x:c r="F4225" s="274" t="s">
        <x:v>333</x:v>
      </x:c>
      <x:c r="G4225" s="274" t="s">
        <x:v>4663</x:v>
      </x:c>
      <x:c r="I4225" s="274" t="n">
        <x:v>1.2</x:v>
      </x:c>
      <x:c r="J4225" s="274" t="n">
        <x:v>340</x:v>
      </x:c>
      <x:c r="K4225" s="274" t="n">
        <x:v>655</x:v>
      </x:c>
      <x:c r="M4225" s="274" t="s">
        <x:v>7712</x:v>
      </x:c>
      <x:c r="N4225" s="274" t="s">
        <x:v>4258</x:v>
      </x:c>
    </x:row>
    <x:row r="4226" spans="1:14">
      <x:c r="A4226" s="274" t="s">
        <x:v>7713</x:v>
      </x:c>
      <x:c r="B4226" s="274" t="n">
        <x:v>4.62</x:v>
      </x:c>
      <x:c r="C4226" s="274" t="n">
        <x:v>0</x:v>
      </x:c>
      <x:c r="D4226" s="274" t="n">
        <x:v>0</x:v>
      </x:c>
      <x:c r="F4226" s="274" t="s">
        <x:v>333</x:v>
      </x:c>
      <x:c r="G4226" s="274" t="s">
        <x:v>4663</x:v>
      </x:c>
      <x:c r="I4226" s="274" t="n">
        <x:v>1.2</x:v>
      </x:c>
      <x:c r="J4226" s="274" t="n">
        <x:v>392</x:v>
      </x:c>
      <x:c r="K4226" s="274" t="n">
        <x:v>1250</x:v>
      </x:c>
      <x:c r="M4226" s="274" t="s">
        <x:v>6255</x:v>
      </x:c>
      <x:c r="N4226" s="274" t="s">
        <x:v>4258</x:v>
      </x:c>
    </x:row>
    <x:row r="4227" spans="1:14">
      <x:c r="A4227" s="274" t="s">
        <x:v>7714</x:v>
      </x:c>
      <x:c r="B4227" s="274" t="n">
        <x:v>4.24</x:v>
      </x:c>
      <x:c r="C4227" s="274" t="n">
        <x:v>0</x:v>
      </x:c>
      <x:c r="D4227" s="274" t="n">
        <x:v>0</x:v>
      </x:c>
      <x:c r="F4227" s="274" t="s">
        <x:v>333</x:v>
      </x:c>
      <x:c r="G4227" s="274" t="s">
        <x:v>4663</x:v>
      </x:c>
      <x:c r="I4227" s="274" t="n">
        <x:v>1.2</x:v>
      </x:c>
      <x:c r="J4227" s="274" t="n">
        <x:v>360</x:v>
      </x:c>
      <x:c r="K4227" s="274" t="n">
        <x:v>1250</x:v>
      </x:c>
      <x:c r="M4227" s="274" t="s">
        <x:v>7715</x:v>
      </x:c>
      <x:c r="N4227" s="274" t="s">
        <x:v>4258</x:v>
      </x:c>
    </x:row>
    <x:row r="4228" spans="1:14">
      <x:c r="A4228" s="274" t="s">
        <x:v>7716</x:v>
      </x:c>
      <x:c r="B4228" s="274" t="n">
        <x:v>2.81</x:v>
      </x:c>
      <x:c r="C4228" s="274" t="n">
        <x:v>0</x:v>
      </x:c>
      <x:c r="D4228" s="274" t="n">
        <x:v>0</x:v>
      </x:c>
      <x:c r="F4228" s="274" t="s">
        <x:v>333</x:v>
      </x:c>
      <x:c r="G4228" s="274" t="s">
        <x:v>4663</x:v>
      </x:c>
      <x:c r="I4228" s="274" t="n">
        <x:v>1.2</x:v>
      </x:c>
      <x:c r="J4228" s="274" t="n">
        <x:v>239</x:v>
      </x:c>
      <x:c r="K4228" s="274" t="n">
        <x:v>1250</x:v>
      </x:c>
      <x:c r="M4228" s="274" t="s">
        <x:v>7717</x:v>
      </x:c>
      <x:c r="N4228" s="274" t="s">
        <x:v>4258</x:v>
      </x:c>
    </x:row>
    <x:row r="4229" spans="1:14">
      <x:c r="A4229" s="274" t="s">
        <x:v>7718</x:v>
      </x:c>
      <x:c r="B4229" s="274" t="n">
        <x:v>2.15</x:v>
      </x:c>
      <x:c r="C4229" s="274" t="n">
        <x:v>0</x:v>
      </x:c>
      <x:c r="D4229" s="274" t="n">
        <x:v>0</x:v>
      </x:c>
      <x:c r="F4229" s="274" t="s">
        <x:v>133</x:v>
      </x:c>
      <x:c r="G4229" s="274" t="s">
        <x:v>136</x:v>
      </x:c>
      <x:c r="H4229" s="274" t="n">
        <x:v>45</x:v>
      </x:c>
      <x:c r="I4229" s="274" t="n">
        <x:v>1.2</x:v>
      </x:c>
      <x:c r="J4229" s="274" t="n">
        <x:v>200</x:v>
      </x:c>
      <x:c r="K4229" s="274" t="n">
        <x:v>1129</x:v>
      </x:c>
      <x:c r="M4229" s="274" t="s">
        <x:v>2255</x:v>
      </x:c>
      <x:c r="N4229" s="274" t="s">
        <x:v>4258</x:v>
      </x:c>
    </x:row>
    <x:row r="4230" spans="1:14">
      <x:c r="A4230" s="274" t="s">
        <x:v>7719</x:v>
      </x:c>
      <x:c r="B4230" s="274" t="n">
        <x:v>1.14</x:v>
      </x:c>
      <x:c r="C4230" s="274" t="n">
        <x:v>0</x:v>
      </x:c>
      <x:c r="D4230" s="274" t="n">
        <x:v>0</x:v>
      </x:c>
      <x:c r="F4230" s="274" t="s">
        <x:v>333</x:v>
      </x:c>
      <x:c r="G4230" s="274" t="s">
        <x:v>4286</x:v>
      </x:c>
      <x:c r="I4230" s="274" t="n">
        <x:v>1.4</x:v>
      </x:c>
      <x:c r="J4230" s="274" t="n">
        <x:v>83</x:v>
      </x:c>
      <x:c r="K4230" s="274" t="n">
        <x:v>1250</x:v>
      </x:c>
      <x:c r="M4230" s="274" t="s">
        <x:v>7215</x:v>
      </x:c>
      <x:c r="N4230" s="274" t="s">
        <x:v>4258</x:v>
      </x:c>
    </x:row>
    <x:row r="4231" spans="1:14">
      <x:c r="A4231" s="274" t="s">
        <x:v>7720</x:v>
      </x:c>
      <x:c r="B4231" s="274" t="n">
        <x:v>16.56</x:v>
      </x:c>
      <x:c r="C4231" s="274" t="n">
        <x:v>0</x:v>
      </x:c>
      <x:c r="D4231" s="274" t="n">
        <x:v>0</x:v>
      </x:c>
      <x:c r="F4231" s="274" t="s">
        <x:v>133</x:v>
      </x:c>
      <x:c r="G4231" s="274" t="s">
        <x:v>4329</x:v>
      </x:c>
      <x:c r="I4231" s="274" t="n">
        <x:v>4</x:v>
      </x:c>
      <x:c r="J4231" s="274" t="n">
        <x:v>422</x:v>
      </x:c>
      <x:c r="K4231" s="274" t="n">
        <x:v>1250</x:v>
      </x:c>
      <x:c r="M4231" s="274" t="s">
        <x:v>7080</x:v>
      </x:c>
      <x:c r="N4231" s="274" t="s">
        <x:v>4258</x:v>
      </x:c>
    </x:row>
    <x:row r="4232" spans="1:14">
      <x:c r="A4232" s="274" t="s">
        <x:v>7721</x:v>
      </x:c>
      <x:c r="B4232" s="274" t="n">
        <x:v>1.2</x:v>
      </x:c>
      <x:c r="C4232" s="274" t="n">
        <x:v>0</x:v>
      </x:c>
      <x:c r="D4232" s="274" t="n">
        <x:v>0</x:v>
      </x:c>
      <x:c r="F4232" s="274" t="s">
        <x:v>333</x:v>
      </x:c>
      <x:c r="G4232" s="274" t="s">
        <x:v>4663</x:v>
      </x:c>
      <x:c r="I4232" s="274" t="n">
        <x:v>2</x:v>
      </x:c>
      <x:c r="J4232" s="274" t="n">
        <x:v>63</x:v>
      </x:c>
      <x:c r="K4232" s="274" t="n">
        <x:v>1210</x:v>
      </x:c>
      <x:c r="M4232" s="274" t="s">
        <x:v>6847</x:v>
      </x:c>
      <x:c r="N4232" s="274" t="s">
        <x:v>4258</x:v>
      </x:c>
    </x:row>
    <x:row r="4233" spans="1:14">
      <x:c r="A4233" s="274" t="s">
        <x:v>7722</x:v>
      </x:c>
      <x:c r="B4233" s="274" t="n">
        <x:v>2.39</x:v>
      </x:c>
      <x:c r="C4233" s="274" t="n">
        <x:v>0</x:v>
      </x:c>
      <x:c r="D4233" s="274" t="n">
        <x:v>0</x:v>
      </x:c>
      <x:c r="F4233" s="274" t="s">
        <x:v>133</x:v>
      </x:c>
      <x:c r="G4233" s="274" t="s">
        <x:v>4329</x:v>
      </x:c>
      <x:c r="I4233" s="274" t="n">
        <x:v>1.6</x:v>
      </x:c>
      <x:c r="J4233" s="274" t="n">
        <x:v>152</x:v>
      </x:c>
      <x:c r="K4233" s="274" t="n">
        <x:v>1250</x:v>
      </x:c>
      <x:c r="M4233" s="274" t="s">
        <x:v>6372</x:v>
      </x:c>
      <x:c r="N4233" s="274" t="s">
        <x:v>4258</x:v>
      </x:c>
    </x:row>
    <x:row r="4234" spans="1:14">
      <x:c r="A4234" s="274" t="s">
        <x:v>7723</x:v>
      </x:c>
      <x:c r="B4234" s="274" t="n">
        <x:v>5.4</x:v>
      </x:c>
      <x:c r="C4234" s="274" t="n">
        <x:v>0</x:v>
      </x:c>
      <x:c r="D4234" s="274" t="n">
        <x:v>0</x:v>
      </x:c>
      <x:c r="F4234" s="274" t="s">
        <x:v>133</x:v>
      </x:c>
      <x:c r="G4234" s="274" t="s">
        <x:v>4329</x:v>
      </x:c>
      <x:c r="I4234" s="274" t="n">
        <x:v>1.6</x:v>
      </x:c>
      <x:c r="J4234" s="274" t="n">
        <x:v>344</x:v>
      </x:c>
      <x:c r="K4234" s="274" t="n">
        <x:v>1250</x:v>
      </x:c>
      <x:c r="M4234" s="274" t="s">
        <x:v>6374</x:v>
      </x:c>
      <x:c r="N4234" s="274" t="s">
        <x:v>4258</x:v>
      </x:c>
    </x:row>
    <x:row r="4235" spans="1:14">
      <x:c r="A4235" s="274" t="s">
        <x:v>7724</x:v>
      </x:c>
      <x:c r="B4235" s="274" t="n">
        <x:v>1.21</x:v>
      </x:c>
      <x:c r="C4235" s="274" t="n">
        <x:v>0</x:v>
      </x:c>
      <x:c r="D4235" s="274" t="n">
        <x:v>0</x:v>
      </x:c>
      <x:c r="F4235" s="274" t="s">
        <x:v>133</x:v>
      </x:c>
      <x:c r="G4235" s="274" t="s">
        <x:v>4329</x:v>
      </x:c>
      <x:c r="I4235" s="274" t="n">
        <x:v>1.6</x:v>
      </x:c>
      <x:c r="J4235" s="274" t="n">
        <x:v>77</x:v>
      </x:c>
      <x:c r="K4235" s="274" t="n">
        <x:v>1250</x:v>
      </x:c>
      <x:c r="M4235" s="274" t="s">
        <x:v>6811</x:v>
      </x:c>
      <x:c r="N4235" s="274" t="s">
        <x:v>4258</x:v>
      </x:c>
    </x:row>
    <x:row r="4236" spans="1:14">
      <x:c r="A4236" s="274" t="s">
        <x:v>7725</x:v>
      </x:c>
      <x:c r="B4236" s="274" t="n">
        <x:v>2.78</x:v>
      </x:c>
      <x:c r="C4236" s="274" t="n">
        <x:v>0</x:v>
      </x:c>
      <x:c r="D4236" s="274" t="n">
        <x:v>0</x:v>
      </x:c>
      <x:c r="F4236" s="274" t="s">
        <x:v>133</x:v>
      </x:c>
      <x:c r="G4236" s="274" t="s">
        <x:v>4329</x:v>
      </x:c>
      <x:c r="I4236" s="274" t="n">
        <x:v>1.6</x:v>
      </x:c>
      <x:c r="J4236" s="274" t="n">
        <x:v>177</x:v>
      </x:c>
      <x:c r="K4236" s="274" t="n">
        <x:v>1250</x:v>
      </x:c>
      <x:c r="M4236" s="274" t="s">
        <x:v>6815</x:v>
      </x:c>
      <x:c r="N4236" s="274" t="s">
        <x:v>4258</x:v>
      </x:c>
    </x:row>
    <x:row r="4237" spans="1:14">
      <x:c r="A4237" s="274" t="s">
        <x:v>7726</x:v>
      </x:c>
      <x:c r="B4237" s="274" t="n">
        <x:v>3.3</x:v>
      </x:c>
      <x:c r="C4237" s="274" t="n">
        <x:v>0</x:v>
      </x:c>
      <x:c r="D4237" s="274" t="n">
        <x:v>0</x:v>
      </x:c>
      <x:c r="F4237" s="274" t="s">
        <x:v>333</x:v>
      </x:c>
      <x:c r="G4237" s="274" t="s">
        <x:v>4663</x:v>
      </x:c>
      <x:c r="I4237" s="274" t="n">
        <x:v>1.2</x:v>
      </x:c>
      <x:c r="J4237" s="274" t="n">
        <x:v>280</x:v>
      </x:c>
      <x:c r="K4237" s="274" t="n">
        <x:v>1250</x:v>
      </x:c>
      <x:c r="M4237" s="274" t="s">
        <x:v>7727</x:v>
      </x:c>
      <x:c r="N4237" s="274" t="s">
        <x:v>4258</x:v>
      </x:c>
    </x:row>
    <x:row r="4238" spans="1:14">
      <x:c r="A4238" s="274" t="s">
        <x:v>7728</x:v>
      </x:c>
      <x:c r="B4238" s="274" t="n">
        <x:v>3.67</x:v>
      </x:c>
      <x:c r="C4238" s="274" t="n">
        <x:v>0</x:v>
      </x:c>
      <x:c r="D4238" s="274" t="n">
        <x:v>0</x:v>
      </x:c>
      <x:c r="F4238" s="274" t="s">
        <x:v>333</x:v>
      </x:c>
      <x:c r="G4238" s="274" t="s">
        <x:v>4663</x:v>
      </x:c>
      <x:c r="I4238" s="274" t="n">
        <x:v>1.2</x:v>
      </x:c>
      <x:c r="J4238" s="274" t="n">
        <x:v>312</x:v>
      </x:c>
      <x:c r="K4238" s="274" t="n">
        <x:v>1250</x:v>
      </x:c>
      <x:c r="M4238" s="274" t="s">
        <x:v>7729</x:v>
      </x:c>
      <x:c r="N4238" s="274" t="s">
        <x:v>4258</x:v>
      </x:c>
    </x:row>
    <x:row r="4239" spans="1:14">
      <x:c r="A4239" s="274" t="s">
        <x:v>7730</x:v>
      </x:c>
      <x:c r="B4239" s="274" t="n">
        <x:v>2.44</x:v>
      </x:c>
      <x:c r="C4239" s="274" t="n">
        <x:v>0</x:v>
      </x:c>
      <x:c r="D4239" s="274" t="n">
        <x:v>0</x:v>
      </x:c>
      <x:c r="F4239" s="274" t="s">
        <x:v>333</x:v>
      </x:c>
      <x:c r="G4239" s="274" t="s">
        <x:v>4663</x:v>
      </x:c>
      <x:c r="I4239" s="274" t="n">
        <x:v>1.2</x:v>
      </x:c>
      <x:c r="J4239" s="274" t="n">
        <x:v>207</x:v>
      </x:c>
      <x:c r="K4239" s="274" t="n">
        <x:v>1250</x:v>
      </x:c>
      <x:c r="M4239" s="274" t="s">
        <x:v>7731</x:v>
      </x:c>
      <x:c r="N4239" s="274" t="s">
        <x:v>4258</x:v>
      </x:c>
    </x:row>
    <x:row r="4240" spans="1:14">
      <x:c r="A4240" s="274" t="s">
        <x:v>7732</x:v>
      </x:c>
      <x:c r="B4240" s="274" t="n">
        <x:v>3.41</x:v>
      </x:c>
      <x:c r="C4240" s="274" t="n">
        <x:v>0</x:v>
      </x:c>
      <x:c r="D4240" s="274" t="n">
        <x:v>0</x:v>
      </x:c>
      <x:c r="F4240" s="274" t="s">
        <x:v>333</x:v>
      </x:c>
      <x:c r="G4240" s="274" t="s">
        <x:v>4663</x:v>
      </x:c>
      <x:c r="I4240" s="274" t="n">
        <x:v>1.2</x:v>
      </x:c>
      <x:c r="J4240" s="274" t="n">
        <x:v>290</x:v>
      </x:c>
      <x:c r="K4240" s="274" t="n">
        <x:v>1250</x:v>
      </x:c>
      <x:c r="M4240" s="274" t="s">
        <x:v>6253</x:v>
      </x:c>
      <x:c r="N4240" s="274" t="s">
        <x:v>4258</x:v>
      </x:c>
    </x:row>
    <x:row r="4241" spans="1:14">
      <x:c r="A4241" s="274" t="s">
        <x:v>7733</x:v>
      </x:c>
      <x:c r="B4241" s="274" t="n">
        <x:v>1.66</x:v>
      </x:c>
      <x:c r="C4241" s="274" t="n">
        <x:v>0</x:v>
      </x:c>
      <x:c r="D4241" s="274" t="n">
        <x:v>0</x:v>
      </x:c>
      <x:c r="F4241" s="274" t="s">
        <x:v>184</x:v>
      </x:c>
      <x:c r="G4241" s="274" t="s">
        <x:v>4782</x:v>
      </x:c>
      <x:c r="H4241" s="274" t="s">
        <x:v>4471</x:v>
      </x:c>
      <x:c r="I4241" s="274" t="n">
        <x:v>1.2</x:v>
      </x:c>
      <x:c r="J4241" s="274" t="n">
        <x:v>140</x:v>
      </x:c>
      <x:c r="K4241" s="274" t="n">
        <x:v>1250</x:v>
      </x:c>
      <x:c r="M4241" s="274" t="s">
        <x:v>6775</x:v>
      </x:c>
    </x:row>
    <x:row r="4242" spans="1:14">
      <x:c r="A4242" s="274" t="s">
        <x:v>7734</x:v>
      </x:c>
      <x:c r="B4242" s="274" t="n">
        <x:v>2.38</x:v>
      </x:c>
      <x:c r="C4242" s="274" t="n">
        <x:v>0</x:v>
      </x:c>
      <x:c r="D4242" s="274" t="n">
        <x:v>0</x:v>
      </x:c>
      <x:c r="F4242" s="274" t="s">
        <x:v>184</x:v>
      </x:c>
      <x:c r="G4242" s="274" t="s">
        <x:v>4782</x:v>
      </x:c>
      <x:c r="H4242" s="274" t="s">
        <x:v>4471</x:v>
      </x:c>
      <x:c r="I4242" s="274" t="n">
        <x:v>1.2</x:v>
      </x:c>
      <x:c r="J4242" s="274" t="n">
        <x:v>200</x:v>
      </x:c>
      <x:c r="K4242" s="274" t="n">
        <x:v>1250</x:v>
      </x:c>
      <x:c r="M4242" s="274" t="s">
        <x:v>6787</x:v>
      </x:c>
      <x:c r="N4242" s="274" t="s">
        <x:v>4258</x:v>
      </x:c>
    </x:row>
    <x:row r="4243" spans="1:14">
      <x:c r="A4243" s="274" t="s">
        <x:v>7735</x:v>
      </x:c>
      <x:c r="B4243" s="274" t="n">
        <x:v>2.97</x:v>
      </x:c>
      <x:c r="C4243" s="274" t="n">
        <x:v>0</x:v>
      </x:c>
      <x:c r="D4243" s="274" t="n">
        <x:v>0</x:v>
      </x:c>
      <x:c r="F4243" s="274" t="s">
        <x:v>184</x:v>
      </x:c>
      <x:c r="G4243" s="274" t="s">
        <x:v>4782</x:v>
      </x:c>
      <x:c r="H4243" s="274" t="s">
        <x:v>4471</x:v>
      </x:c>
      <x:c r="I4243" s="274" t="n">
        <x:v>1.2</x:v>
      </x:c>
      <x:c r="J4243" s="274" t="n">
        <x:v>250</x:v>
      </x:c>
      <x:c r="K4243" s="274" t="n">
        <x:v>1250</x:v>
      </x:c>
      <x:c r="M4243" s="274" t="s">
        <x:v>6785</x:v>
      </x:c>
      <x:c r="N4243" s="274" t="s">
        <x:v>4258</x:v>
      </x:c>
    </x:row>
    <x:row r="4244" spans="1:14">
      <x:c r="A4244" s="274" t="s">
        <x:v>7736</x:v>
      </x:c>
      <x:c r="B4244" s="274" t="n">
        <x:v>2.3</x:v>
      </x:c>
      <x:c r="C4244" s="274" t="n">
        <x:v>0</x:v>
      </x:c>
      <x:c r="D4244" s="274" t="n">
        <x:v>34</x:v>
      </x:c>
      <x:c r="E4244" s="274" t="n">
        <x:v>32</x:v>
      </x:c>
      <x:c r="F4244" s="274" t="s">
        <x:v>833</x:v>
      </x:c>
      <x:c r="G4244" s="274" t="s">
        <x:v>834</x:v>
      </x:c>
      <x:c r="H4244" s="274" t="s">
        <x:v>829</x:v>
      </x:c>
      <x:c r="I4244" s="274" t="n">
        <x:v>0.8</x:v>
      </x:c>
      <x:c r="J4244" s="274" t="n">
        <x:v>565</x:v>
      </x:c>
      <x:c r="K4244" s="274" t="n">
        <x:v>645</x:v>
      </x:c>
      <x:c r="M4244" s="274" t="s">
        <x:v>835</x:v>
      </x:c>
    </x:row>
    <x:row r="4245" spans="1:14">
      <x:c r="A4245" s="274" t="s">
        <x:v>7737</x:v>
      </x:c>
      <x:c r="B4245" s="274" t="n">
        <x:v>5.19</x:v>
      </x:c>
      <x:c r="C4245" s="274" t="n">
        <x:v>0</x:v>
      </x:c>
      <x:c r="D4245" s="274" t="n">
        <x:v>35</x:v>
      </x:c>
      <x:c r="E4245" s="274" t="n">
        <x:v>0</x:v>
      </x:c>
      <x:c r="F4245" s="274" t="s">
        <x:v>1980</x:v>
      </x:c>
      <x:c r="G4245" s="274" t="s">
        <x:v>6434</x:v>
      </x:c>
      <x:c r="I4245" s="274" t="n">
        <x:v>0.7</x:v>
      </x:c>
      <x:c r="J4245" s="274" t="n">
        <x:v>470</x:v>
      </x:c>
      <x:c r="K4245" s="274" t="n">
        <x:v>2010</x:v>
      </x:c>
      <x:c r="M4245" s="274" t="s">
        <x:v>7738</x:v>
      </x:c>
      <x:c r="N4245" s="274" t="s">
        <x:v>1983</x:v>
      </x:c>
    </x:row>
    <x:row r="4246" spans="1:14">
      <x:c r="A4246" s="274" t="s">
        <x:v>7739</x:v>
      </x:c>
      <x:c r="B4246" s="274" t="n">
        <x:v>4.63</x:v>
      </x:c>
      <x:c r="C4246" s="274" t="n">
        <x:v>0</x:v>
      </x:c>
      <x:c r="D4246" s="274" t="n">
        <x:v>0</x:v>
      </x:c>
      <x:c r="F4246" s="274" t="s">
        <x:v>133</x:v>
      </x:c>
      <x:c r="G4246" s="274" t="s">
        <x:v>4299</x:v>
      </x:c>
      <x:c r="I4246" s="274" t="n">
        <x:v>4</x:v>
      </x:c>
      <x:c r="J4246" s="274" t="n">
        <x:v>118</x:v>
      </x:c>
      <x:c r="K4246" s="274" t="n">
        <x:v>1250</x:v>
      </x:c>
      <x:c r="M4246" s="274" t="s">
        <x:v>7740</x:v>
      </x:c>
      <x:c r="N4246" s="274" t="s">
        <x:v>4258</x:v>
      </x:c>
    </x:row>
    <x:row r="4247" spans="1:14">
      <x:c r="A4247" s="274" t="s">
        <x:v>7741</x:v>
      </x:c>
      <x:c r="B4247" s="274" t="n">
        <x:v>3.89</x:v>
      </x:c>
      <x:c r="C4247" s="274" t="n">
        <x:v>0</x:v>
      </x:c>
      <x:c r="D4247" s="274" t="n">
        <x:v>0</x:v>
      </x:c>
      <x:c r="F4247" s="274" t="s">
        <x:v>133</x:v>
      </x:c>
      <x:c r="G4247" s="274" t="s">
        <x:v>4329</x:v>
      </x:c>
      <x:c r="I4247" s="274" t="n">
        <x:v>3.2</x:v>
      </x:c>
      <x:c r="J4247" s="274" t="n">
        <x:v>124</x:v>
      </x:c>
      <x:c r="K4247" s="274" t="n">
        <x:v>1250</x:v>
      </x:c>
      <x:c r="M4247" s="274" t="s">
        <x:v>7742</x:v>
      </x:c>
      <x:c r="N4247" s="274" t="s">
        <x:v>4258</x:v>
      </x:c>
    </x:row>
    <x:row r="4248" spans="1:14">
      <x:c r="A4248" s="274" t="s">
        <x:v>7743</x:v>
      </x:c>
      <x:c r="B4248" s="274" t="n">
        <x:v>8.79</x:v>
      </x:c>
      <x:c r="C4248" s="274" t="n">
        <x:v>0</x:v>
      </x:c>
      <x:c r="D4248" s="274" t="n">
        <x:v>0</x:v>
      </x:c>
      <x:c r="F4248" s="274" t="s">
        <x:v>133</x:v>
      </x:c>
      <x:c r="G4248" s="274" t="s">
        <x:v>4299</x:v>
      </x:c>
      <x:c r="I4248" s="274" t="n">
        <x:v>4</x:v>
      </x:c>
      <x:c r="J4248" s="274" t="n">
        <x:v>224</x:v>
      </x:c>
      <x:c r="K4248" s="274" t="n">
        <x:v>1250</x:v>
      </x:c>
      <x:c r="M4248" s="274" t="s">
        <x:v>7744</x:v>
      </x:c>
      <x:c r="N4248" s="274" t="s">
        <x:v>4258</x:v>
      </x:c>
    </x:row>
    <x:row r="4249" spans="1:14">
      <x:c r="A4249" s="274" t="s">
        <x:v>7745</x:v>
      </x:c>
      <x:c r="B4249" s="274" t="n">
        <x:v>1.65</x:v>
      </x:c>
      <x:c r="C4249" s="274" t="n">
        <x:v>0</x:v>
      </x:c>
      <x:c r="D4249" s="274" t="n">
        <x:v>0</x:v>
      </x:c>
      <x:c r="F4249" s="274" t="s">
        <x:v>133</x:v>
      </x:c>
      <x:c r="G4249" s="274" t="s">
        <x:v>4299</x:v>
      </x:c>
      <x:c r="I4249" s="274" t="n">
        <x:v>2</x:v>
      </x:c>
      <x:c r="J4249" s="274" t="n">
        <x:v>84</x:v>
      </x:c>
      <x:c r="K4249" s="274" t="n">
        <x:v>1250</x:v>
      </x:c>
      <x:c r="M4249" s="274" t="s">
        <x:v>6997</x:v>
      </x:c>
      <x:c r="N4249" s="274" t="s">
        <x:v>4258</x:v>
      </x:c>
    </x:row>
    <x:row r="4250" spans="1:14">
      <x:c r="A4250" s="274" t="s">
        <x:v>7746</x:v>
      </x:c>
      <x:c r="B4250" s="274" t="n">
        <x:v>5.67</x:v>
      </x:c>
      <x:c r="C4250" s="274" t="n">
        <x:v>0</x:v>
      </x:c>
      <x:c r="D4250" s="274" t="n">
        <x:v>0</x:v>
      </x:c>
      <x:c r="F4250" s="274" t="s">
        <x:v>133</x:v>
      </x:c>
      <x:c r="G4250" s="274" t="s">
        <x:v>4299</x:v>
      </x:c>
      <x:c r="I4250" s="274" t="n">
        <x:v>2</x:v>
      </x:c>
      <x:c r="J4250" s="274" t="n">
        <x:v>289</x:v>
      </x:c>
      <x:c r="K4250" s="274" t="n">
        <x:v>1250</x:v>
      </x:c>
      <x:c r="M4250" s="274" t="s">
        <x:v>7011</x:v>
      </x:c>
      <x:c r="N4250" s="274" t="s">
        <x:v>4258</x:v>
      </x:c>
    </x:row>
    <x:row r="4251" spans="1:14">
      <x:c r="A4251" s="274" t="s">
        <x:v>7747</x:v>
      </x:c>
      <x:c r="B4251" s="274" t="n">
        <x:v>5.38</x:v>
      </x:c>
      <x:c r="C4251" s="274" t="n">
        <x:v>0</x:v>
      </x:c>
      <x:c r="D4251" s="274" t="n">
        <x:v>0</x:v>
      </x:c>
      <x:c r="F4251" s="274" t="s">
        <x:v>133</x:v>
      </x:c>
      <x:c r="G4251" s="274" t="s">
        <x:v>4299</x:v>
      </x:c>
      <x:c r="I4251" s="274" t="n">
        <x:v>2.6</x:v>
      </x:c>
      <x:c r="J4251" s="274" t="n">
        <x:v>211</x:v>
      </x:c>
      <x:c r="K4251" s="274" t="n">
        <x:v>1250</x:v>
      </x:c>
      <x:c r="M4251" s="274" t="s">
        <x:v>7023</x:v>
      </x:c>
      <x:c r="N4251" s="274" t="s">
        <x:v>4258</x:v>
      </x:c>
    </x:row>
    <x:row r="4252" spans="1:14">
      <x:c r="A4252" s="274" t="s">
        <x:v>7748</x:v>
      </x:c>
      <x:c r="B4252" s="274" t="n">
        <x:v>4.9</x:v>
      </x:c>
      <x:c r="C4252" s="274" t="n">
        <x:v>0</x:v>
      </x:c>
      <x:c r="D4252" s="274" t="n">
        <x:v>0</x:v>
      </x:c>
      <x:c r="F4252" s="274" t="s">
        <x:v>133</x:v>
      </x:c>
      <x:c r="G4252" s="274" t="s">
        <x:v>4299</x:v>
      </x:c>
      <x:c r="I4252" s="274" t="n">
        <x:v>2.6</x:v>
      </x:c>
      <x:c r="J4252" s="274" t="n">
        <x:v>192</x:v>
      </x:c>
      <x:c r="K4252" s="274" t="n">
        <x:v>1250</x:v>
      </x:c>
      <x:c r="M4252" s="274" t="s">
        <x:v>7025</x:v>
      </x:c>
      <x:c r="N4252" s="274" t="s">
        <x:v>4258</x:v>
      </x:c>
    </x:row>
    <x:row r="4253" spans="1:14">
      <x:c r="A4253" s="274" t="s">
        <x:v>7749</x:v>
      </x:c>
      <x:c r="B4253" s="274" t="n">
        <x:v>2.32</x:v>
      </x:c>
      <x:c r="C4253" s="274" t="n">
        <x:v>0</x:v>
      </x:c>
      <x:c r="D4253" s="274" t="n">
        <x:v>35</x:v>
      </x:c>
      <x:c r="E4253" s="274" t="n">
        <x:v>33</x:v>
      </x:c>
      <x:c r="F4253" s="274" t="s">
        <x:v>833</x:v>
      </x:c>
      <x:c r="G4253" s="274" t="s">
        <x:v>834</x:v>
      </x:c>
      <x:c r="H4253" s="274" t="s">
        <x:v>837</x:v>
      </x:c>
      <x:c r="I4253" s="274" t="n">
        <x:v>0.8</x:v>
      </x:c>
      <x:c r="J4253" s="274" t="n">
        <x:v>515</x:v>
      </x:c>
      <x:c r="K4253" s="274" t="n">
        <x:v>715</x:v>
      </x:c>
      <x:c r="M4253" s="274" t="s">
        <x:v>3774</x:v>
      </x:c>
    </x:row>
    <x:row r="4254" spans="1:14">
      <x:c r="A4254" s="274" t="s">
        <x:v>7750</x:v>
      </x:c>
      <x:c r="B4254" s="274" t="n">
        <x:v>0.97</x:v>
      </x:c>
      <x:c r="C4254" s="274" t="n">
        <x:v>26</x:v>
      </x:c>
      <x:c r="D4254" s="274" t="n">
        <x:v>36</x:v>
      </x:c>
      <x:c r="E4254" s="274" t="n">
        <x:v>33</x:v>
      </x:c>
      <x:c r="F4254" s="274" t="s">
        <x:v>833</x:v>
      </x:c>
      <x:c r="G4254" s="274" t="s">
        <x:v>834</x:v>
      </x:c>
      <x:c r="H4254" s="274" t="s">
        <x:v>837</x:v>
      </x:c>
      <x:c r="I4254" s="274" t="n">
        <x:v>0.8</x:v>
      </x:c>
      <x:c r="J4254" s="274" t="n">
        <x:v>370</x:v>
      </x:c>
      <x:c r="K4254" s="274" t="n">
        <x:v>415</x:v>
      </x:c>
      <x:c r="M4254" s="274" t="s">
        <x:v>3921</x:v>
      </x:c>
      <x:c r="N4254" s="274" t="s">
        <x:v>831</x:v>
      </x:c>
    </x:row>
    <x:row r="4255" spans="1:14">
      <x:c r="A4255" s="274" t="s">
        <x:v>7751</x:v>
      </x:c>
      <x:c r="B4255" s="274" t="n">
        <x:v>0.97</x:v>
      </x:c>
      <x:c r="C4255" s="274" t="n">
        <x:v>26</x:v>
      </x:c>
      <x:c r="D4255" s="274" t="n">
        <x:v>36</x:v>
      </x:c>
      <x:c r="E4255" s="274" t="n">
        <x:v>33</x:v>
      </x:c>
      <x:c r="F4255" s="274" t="s">
        <x:v>833</x:v>
      </x:c>
      <x:c r="G4255" s="274" t="s">
        <x:v>834</x:v>
      </x:c>
      <x:c r="H4255" s="274" t="s">
        <x:v>837</x:v>
      </x:c>
      <x:c r="I4255" s="274" t="n">
        <x:v>0.8</x:v>
      </x:c>
      <x:c r="J4255" s="274" t="n">
        <x:v>370</x:v>
      </x:c>
      <x:c r="K4255" s="274" t="n">
        <x:v>415</x:v>
      </x:c>
      <x:c r="M4255" s="274" t="s">
        <x:v>3921</x:v>
      </x:c>
      <x:c r="N4255" s="274" t="s">
        <x:v>831</x:v>
      </x:c>
    </x:row>
    <x:row r="4256" spans="1:14">
      <x:c r="A4256" s="274" t="s">
        <x:v>7752</x:v>
      </x:c>
      <x:c r="B4256" s="274" t="n">
        <x:v>3.34</x:v>
      </x:c>
      <x:c r="C4256" s="274" t="n">
        <x:v>0</x:v>
      </x:c>
      <x:c r="D4256" s="274" t="n">
        <x:v>45</x:v>
      </x:c>
      <x:c r="E4256" s="274" t="n">
        <x:v>40</x:v>
      </x:c>
      <x:c r="F4256" s="274" t="s">
        <x:v>3412</x:v>
      </x:c>
      <x:c r="G4256" s="274" t="s">
        <x:v>6312</x:v>
      </x:c>
      <x:c r="I4256" s="274" t="n">
        <x:v>1.2</x:v>
      </x:c>
      <x:c r="J4256" s="274" t="n">
        <x:v>666.2</x:v>
      </x:c>
      <x:c r="K4256" s="274" t="n">
        <x:v>540.5</x:v>
      </x:c>
      <x:c r="M4256" s="274" t="s">
        <x:v>7753</x:v>
      </x:c>
      <x:c r="N4256" s="274" t="s">
        <x:v>3671</x:v>
      </x:c>
    </x:row>
    <x:row r="4257" spans="1:14">
      <x:c r="A4257" s="274" t="s">
        <x:v>7754</x:v>
      </x:c>
      <x:c r="B4257" s="274" t="n">
        <x:v>1.53</x:v>
      </x:c>
      <x:c r="C4257" s="274" t="n">
        <x:v>0</x:v>
      </x:c>
      <x:c r="D4257" s="274" t="n">
        <x:v>34</x:v>
      </x:c>
      <x:c r="E4257" s="274" t="n">
        <x:v>32</x:v>
      </x:c>
      <x:c r="F4257" s="274" t="s">
        <x:v>3412</x:v>
      </x:c>
      <x:c r="G4257" s="274" t="s">
        <x:v>6312</x:v>
      </x:c>
      <x:c r="I4257" s="274" t="n">
        <x:v>1.2</x:v>
      </x:c>
      <x:c r="J4257" s="274" t="n">
        <x:v>470.8</x:v>
      </x:c>
      <x:c r="K4257" s="274" t="n">
        <x:v>349.5</x:v>
      </x:c>
      <x:c r="M4257" s="274" t="s">
        <x:v>7755</x:v>
      </x:c>
      <x:c r="N4257" s="274" t="s">
        <x:v>3671</x:v>
      </x:c>
    </x:row>
    <x:row r="4258" spans="1:14">
      <x:c r="A4258" s="274" t="s">
        <x:v>7756</x:v>
      </x:c>
      <x:c r="B4258" s="274" t="n">
        <x:v>2.04</x:v>
      </x:c>
      <x:c r="C4258" s="274" t="n">
        <x:v>0</x:v>
      </x:c>
      <x:c r="D4258" s="274" t="n">
        <x:v>34</x:v>
      </x:c>
      <x:c r="E4258" s="274" t="n">
        <x:v>32</x:v>
      </x:c>
      <x:c r="F4258" s="274" t="s">
        <x:v>333</x:v>
      </x:c>
      <x:c r="G4258" s="274" t="s">
        <x:v>4663</x:v>
      </x:c>
      <x:c r="I4258" s="274" t="n">
        <x:v>1.6</x:v>
      </x:c>
      <x:c r="J4258" s="274" t="n">
        <x:v>420</x:v>
      </x:c>
      <x:c r="K4258" s="274" t="n">
        <x:v>387</x:v>
      </x:c>
      <x:c r="M4258" s="274" t="s">
        <x:v>4995</x:v>
      </x:c>
      <x:c r="N4258" s="274" t="s">
        <x:v>4258</x:v>
      </x:c>
    </x:row>
    <x:row r="4259" spans="1:14">
      <x:c r="A4259" s="274" t="s">
        <x:v>7757</x:v>
      </x:c>
      <x:c r="B4259" s="274" t="n">
        <x:v>3.47</x:v>
      </x:c>
      <x:c r="C4259" s="274" t="n">
        <x:v>0</x:v>
      </x:c>
      <x:c r="D4259" s="274" t="n">
        <x:v>0</x:v>
      </x:c>
      <x:c r="F4259" s="274" t="s">
        <x:v>333</x:v>
      </x:c>
      <x:c r="G4259" s="274" t="s">
        <x:v>124</x:v>
      </x:c>
      <x:c r="I4259" s="274" t="n">
        <x:v>1.2</x:v>
      </x:c>
      <x:c r="J4259" s="274" t="n">
        <x:v>380</x:v>
      </x:c>
      <x:c r="K4259" s="274" t="n">
        <x:v>970</x:v>
      </x:c>
      <x:c r="M4259" s="274" t="s">
        <x:v>1925</x:v>
      </x:c>
      <x:c r="N4259" s="274" t="s">
        <x:v>5222</x:v>
      </x:c>
    </x:row>
    <x:row r="4260" spans="1:14">
      <x:c r="A4260" s="274" t="s">
        <x:v>7758</x:v>
      </x:c>
      <x:c r="B4260" s="274" t="n">
        <x:v>0.52</x:v>
      </x:c>
      <x:c r="C4260" s="274" t="n">
        <x:v>0</x:v>
      </x:c>
      <x:c r="D4260" s="274" t="n">
        <x:v>0</x:v>
      </x:c>
      <x:c r="F4260" s="274" t="s">
        <x:v>333</x:v>
      </x:c>
      <x:c r="G4260" s="274" t="s">
        <x:v>124</x:v>
      </x:c>
      <x:c r="I4260" s="274" t="n">
        <x:v>0.8</x:v>
      </x:c>
      <x:c r="J4260" s="274" t="n">
        <x:v>66</x:v>
      </x:c>
      <x:c r="K4260" s="274" t="n">
        <x:v>1250</x:v>
      </x:c>
      <x:c r="M4260" s="274" t="s">
        <x:v>5671</x:v>
      </x:c>
      <x:c r="N4260" s="274" t="s">
        <x:v>3671</x:v>
      </x:c>
    </x:row>
    <x:row r="4261" spans="1:14">
      <x:c r="A4261" s="274" t="s">
        <x:v>7759</x:v>
      </x:c>
      <x:c r="B4261" s="274" t="n">
        <x:v>0.5</x:v>
      </x:c>
      <x:c r="C4261" s="274" t="n">
        <x:v>0</x:v>
      </x:c>
      <x:c r="D4261" s="274" t="n">
        <x:v>0</x:v>
      </x:c>
      <x:c r="F4261" s="274" t="s">
        <x:v>333</x:v>
      </x:c>
      <x:c r="G4261" s="274" t="s">
        <x:v>209</x:v>
      </x:c>
      <x:c r="I4261" s="274" t="n">
        <x:v>1</x:v>
      </x:c>
      <x:c r="J4261" s="274" t="n">
        <x:v>51</x:v>
      </x:c>
      <x:c r="K4261" s="274" t="n">
        <x:v>1250</x:v>
      </x:c>
      <x:c r="M4261" s="274" t="s">
        <x:v>4948</x:v>
      </x:c>
      <x:c r="N4261" s="274" t="s">
        <x:v>3671</x:v>
      </x:c>
    </x:row>
    <x:row r="4262" spans="1:14">
      <x:c r="A4262" s="274" t="s">
        <x:v>7760</x:v>
      </x:c>
      <x:c r="B4262" s="274" t="n">
        <x:v>0.51</x:v>
      </x:c>
      <x:c r="C4262" s="274" t="n">
        <x:v>0</x:v>
      </x:c>
      <x:c r="D4262" s="274" t="n">
        <x:v>0</x:v>
      </x:c>
      <x:c r="F4262" s="274" t="s">
        <x:v>333</x:v>
      </x:c>
      <x:c r="G4262" s="274" t="s">
        <x:v>209</x:v>
      </x:c>
      <x:c r="I4262" s="274" t="n">
        <x:v>1</x:v>
      </x:c>
      <x:c r="J4262" s="274" t="n">
        <x:v>52</x:v>
      </x:c>
      <x:c r="K4262" s="274" t="n">
        <x:v>1250</x:v>
      </x:c>
      <x:c r="M4262" s="274" t="s">
        <x:v>4944</x:v>
      </x:c>
      <x:c r="N4262" s="274" t="s">
        <x:v>3671</x:v>
      </x:c>
    </x:row>
    <x:row r="4263" spans="1:14">
      <x:c r="A4263" s="274" t="s">
        <x:v>7761</x:v>
      </x:c>
      <x:c r="B4263" s="274" t="n">
        <x:v>0.54</x:v>
      </x:c>
      <x:c r="C4263" s="274" t="n">
        <x:v>0</x:v>
      </x:c>
      <x:c r="D4263" s="274" t="n">
        <x:v>0</x:v>
      </x:c>
      <x:c r="F4263" s="274" t="s">
        <x:v>333</x:v>
      </x:c>
      <x:c r="G4263" s="274" t="s">
        <x:v>209</x:v>
      </x:c>
      <x:c r="I4263" s="274" t="n">
        <x:v>1</x:v>
      </x:c>
      <x:c r="J4263" s="274" t="n">
        <x:v>55</x:v>
      </x:c>
      <x:c r="K4263" s="274" t="n">
        <x:v>1250</x:v>
      </x:c>
      <x:c r="M4263" s="274" t="s">
        <x:v>4889</x:v>
      </x:c>
      <x:c r="N4263" s="274" t="s">
        <x:v>3671</x:v>
      </x:c>
    </x:row>
    <x:row r="4264" spans="1:14">
      <x:c r="A4264" s="274" t="s">
        <x:v>7762</x:v>
      </x:c>
      <x:c r="B4264" s="274" t="n">
        <x:v>0.65</x:v>
      </x:c>
      <x:c r="C4264" s="274" t="n">
        <x:v>0</x:v>
      </x:c>
      <x:c r="D4264" s="274" t="n">
        <x:v>0</x:v>
      </x:c>
      <x:c r="F4264" s="274" t="s">
        <x:v>333</x:v>
      </x:c>
      <x:c r="G4264" s="274" t="s">
        <x:v>209</x:v>
      </x:c>
      <x:c r="I4264" s="274" t="n">
        <x:v>1</x:v>
      </x:c>
      <x:c r="J4264" s="274" t="n">
        <x:v>66</x:v>
      </x:c>
      <x:c r="K4264" s="274" t="n">
        <x:v>1250</x:v>
      </x:c>
      <x:c r="M4264" s="274" t="s">
        <x:v>4938</x:v>
      </x:c>
      <x:c r="N4264" s="274" t="s">
        <x:v>3671</x:v>
      </x:c>
    </x:row>
    <x:row r="4265" spans="1:14">
      <x:c r="A4265" s="274" t="s">
        <x:v>7763</x:v>
      </x:c>
      <x:c r="B4265" s="274" t="n">
        <x:v>0.85</x:v>
      </x:c>
      <x:c r="C4265" s="274" t="n">
        <x:v>0</x:v>
      </x:c>
      <x:c r="D4265" s="274" t="n">
        <x:v>0</x:v>
      </x:c>
      <x:c r="F4265" s="274" t="s">
        <x:v>333</x:v>
      </x:c>
      <x:c r="G4265" s="274" t="s">
        <x:v>209</x:v>
      </x:c>
      <x:c r="I4265" s="274" t="n">
        <x:v>1</x:v>
      </x:c>
      <x:c r="J4265" s="274" t="n">
        <x:v>87</x:v>
      </x:c>
      <x:c r="K4265" s="274" t="n">
        <x:v>1250</x:v>
      </x:c>
      <x:c r="M4265" s="274" t="s">
        <x:v>5253</x:v>
      </x:c>
      <x:c r="N4265" s="274" t="s">
        <x:v>3671</x:v>
      </x:c>
    </x:row>
    <x:row r="4266" spans="1:14">
      <x:c r="A4266" s="274" t="s">
        <x:v>7764</x:v>
      </x:c>
      <x:c r="B4266" s="274" t="n">
        <x:v>1.01</x:v>
      </x:c>
      <x:c r="C4266" s="274" t="n">
        <x:v>0</x:v>
      </x:c>
      <x:c r="D4266" s="274" t="n">
        <x:v>0</x:v>
      </x:c>
      <x:c r="F4266" s="274" t="s">
        <x:v>333</x:v>
      </x:c>
      <x:c r="G4266" s="274" t="s">
        <x:v>209</x:v>
      </x:c>
      <x:c r="I4266" s="274" t="n">
        <x:v>1</x:v>
      </x:c>
      <x:c r="J4266" s="274" t="n">
        <x:v>103</x:v>
      </x:c>
      <x:c r="K4266" s="274" t="n">
        <x:v>1250</x:v>
      </x:c>
      <x:c r="M4266" s="274" t="s">
        <x:v>5251</x:v>
      </x:c>
      <x:c r="N4266" s="274" t="s">
        <x:v>3671</x:v>
      </x:c>
    </x:row>
    <x:row r="4267" spans="1:14">
      <x:c r="A4267" s="274" t="s">
        <x:v>7765</x:v>
      </x:c>
      <x:c r="B4267" s="274" t="n">
        <x:v>1.28</x:v>
      </x:c>
      <x:c r="C4267" s="274" t="n">
        <x:v>0</x:v>
      </x:c>
      <x:c r="D4267" s="274" t="n">
        <x:v>0</x:v>
      </x:c>
      <x:c r="F4267" s="274" t="s">
        <x:v>333</x:v>
      </x:c>
      <x:c r="G4267" s="274" t="s">
        <x:v>209</x:v>
      </x:c>
      <x:c r="I4267" s="274" t="n">
        <x:v>1</x:v>
      </x:c>
      <x:c r="J4267" s="274" t="n">
        <x:v>130</x:v>
      </x:c>
      <x:c r="K4267" s="274" t="n">
        <x:v>1250</x:v>
      </x:c>
      <x:c r="M4267" s="274" t="s">
        <x:v>4930</x:v>
      </x:c>
    </x:row>
    <x:row r="4268" spans="1:14">
      <x:c r="A4268" s="274" t="s">
        <x:v>7766</x:v>
      </x:c>
      <x:c r="B4268" s="274" t="n">
        <x:v>1.38</x:v>
      </x:c>
      <x:c r="C4268" s="274" t="n">
        <x:v>0</x:v>
      </x:c>
      <x:c r="D4268" s="274" t="n">
        <x:v>0</x:v>
      </x:c>
      <x:c r="F4268" s="274" t="s">
        <x:v>333</x:v>
      </x:c>
      <x:c r="G4268" s="274" t="s">
        <x:v>209</x:v>
      </x:c>
      <x:c r="I4268" s="274" t="n">
        <x:v>1</x:v>
      </x:c>
      <x:c r="J4268" s="274" t="n">
        <x:v>141</x:v>
      </x:c>
      <x:c r="K4268" s="274" t="n">
        <x:v>1250</x:v>
      </x:c>
      <x:c r="M4268" s="274" t="s">
        <x:v>4916</x:v>
      </x:c>
      <x:c r="N4268" s="274" t="s">
        <x:v>3671</x:v>
      </x:c>
    </x:row>
    <x:row r="4269" spans="1:14">
      <x:c r="A4269" s="274" t="s">
        <x:v>7767</x:v>
      </x:c>
      <x:c r="B4269" s="274" t="n">
        <x:v>0.98</x:v>
      </x:c>
      <x:c r="C4269" s="274" t="n">
        <x:v>0</x:v>
      </x:c>
      <x:c r="D4269" s="274" t="n">
        <x:v>0</x:v>
      </x:c>
      <x:c r="F4269" s="274" t="s">
        <x:v>133</x:v>
      </x:c>
      <x:c r="G4269" s="274" t="s">
        <x:v>134</x:v>
      </x:c>
      <x:c r="I4269" s="274" t="n">
        <x:v>2.9</x:v>
      </x:c>
      <x:c r="J4269" s="274" t="n">
        <x:v>254</x:v>
      </x:c>
      <x:c r="K4269" s="274" t="n">
        <x:v>170</x:v>
      </x:c>
      <x:c r="M4269" s="274" t="s">
        <x:v>4041</x:v>
      </x:c>
      <x:c r="N4269" s="274" t="s">
        <x:v>3671</x:v>
      </x:c>
    </x:row>
    <x:row r="4270" spans="1:14">
      <x:c r="A4270" s="274" t="s">
        <x:v>7768</x:v>
      </x:c>
      <x:c r="B4270" s="274" t="n">
        <x:v>10.84</x:v>
      </x:c>
      <x:c r="C4270" s="274" t="n">
        <x:v>38</x:v>
      </x:c>
      <x:c r="D4270" s="274" t="n">
        <x:v>38</x:v>
      </x:c>
      <x:c r="E4270" s="274" t="n">
        <x:v>0</x:v>
      </x:c>
      <x:c r="F4270" s="274" t="s">
        <x:v>184</x:v>
      </x:c>
      <x:c r="G4270" s="274" t="s">
        <x:v>136</x:v>
      </x:c>
      <x:c r="H4270" s="274" t="n">
        <x:v>45</x:v>
      </x:c>
      <x:c r="I4270" s="274" t="n">
        <x:v>0.65</x:v>
      </x:c>
      <x:c r="J4270" s="274" t="n">
        <x:v>1425</x:v>
      </x:c>
      <x:c r="K4270" s="274" t="n">
        <x:v>1436.5</x:v>
      </x:c>
      <x:c r="L4270" s="274" t="n">
        <x:v>1492.5</x:v>
      </x:c>
      <x:c r="M4270" s="274" t="s">
        <x:v>2922</x:v>
      </x:c>
      <x:c r="N4270" s="274" t="s">
        <x:v>480</x:v>
      </x:c>
    </x:row>
    <x:row r="4271" spans="1:14">
      <x:c r="A4271" s="274" t="s">
        <x:v>7769</x:v>
      </x:c>
      <x:c r="B4271" s="274" t="n">
        <x:v>1.12</x:v>
      </x:c>
      <x:c r="C4271" s="274" t="n">
        <x:v>0</x:v>
      </x:c>
      <x:c r="D4271" s="274" t="n">
        <x:v>0</x:v>
      </x:c>
      <x:c r="F4271" s="274" t="s">
        <x:v>184</x:v>
      </x:c>
      <x:c r="G4271" s="274" t="s">
        <x:v>136</x:v>
      </x:c>
      <x:c r="H4271" s="274" t="n">
        <x:v>45</x:v>
      </x:c>
      <x:c r="I4271" s="274" t="n">
        <x:v>0.65</x:v>
      </x:c>
      <x:c r="J4271" s="274" t="n">
        <x:v>1400</x:v>
      </x:c>
      <x:c r="K4271" s="274" t="n">
        <x:v>154</x:v>
      </x:c>
      <x:c r="M4271" s="274" t="s">
        <x:v>342</x:v>
      </x:c>
      <x:c r="N4271" s="274" t="s">
        <x:v>299</x:v>
      </x:c>
    </x:row>
    <x:row r="4272" spans="1:14">
      <x:c r="A4272" s="274" t="s">
        <x:v>7770</x:v>
      </x:c>
      <x:c r="B4272" s="274" t="n">
        <x:v>1.93</x:v>
      </x:c>
      <x:c r="C4272" s="274" t="n">
        <x:v>0</x:v>
      </x:c>
      <x:c r="D4272" s="274" t="n">
        <x:v>0</x:v>
      </x:c>
      <x:c r="F4272" s="274" t="s">
        <x:v>133</x:v>
      </x:c>
      <x:c r="G4272" s="274" t="s">
        <x:v>134</x:v>
      </x:c>
      <x:c r="I4272" s="274" t="n">
        <x:v>1.6</x:v>
      </x:c>
      <x:c r="J4272" s="274" t="n">
        <x:v>123</x:v>
      </x:c>
      <x:c r="K4272" s="274" t="n">
        <x:v>1250</x:v>
      </x:c>
      <x:c r="M4272" s="274" t="s">
        <x:v>7771</x:v>
      </x:c>
      <x:c r="N4272" s="274" t="s">
        <x:v>3671</x:v>
      </x:c>
    </x:row>
    <x:row r="4273" spans="1:14">
      <x:c r="A4273" s="274" t="s">
        <x:v>7772</x:v>
      </x:c>
      <x:c r="B4273" s="274" t="n">
        <x:v>3.53</x:v>
      </x:c>
      <x:c r="C4273" s="274" t="n">
        <x:v>0</x:v>
      </x:c>
      <x:c r="D4273" s="274" t="n">
        <x:v>0</x:v>
      </x:c>
      <x:c r="F4273" s="274" t="s">
        <x:v>133</x:v>
      </x:c>
      <x:c r="G4273" s="274" t="s">
        <x:v>148</x:v>
      </x:c>
      <x:c r="I4273" s="274" t="n">
        <x:v>3.6</x:v>
      </x:c>
      <x:c r="J4273" s="274" t="n">
        <x:v>100</x:v>
      </x:c>
      <x:c r="K4273" s="274" t="n">
        <x:v>1250</x:v>
      </x:c>
      <x:c r="M4273" s="274" t="s">
        <x:v>7773</x:v>
      </x:c>
      <x:c r="N4273" s="274" t="s">
        <x:v>3671</x:v>
      </x:c>
    </x:row>
    <x:row r="4274" spans="1:14">
      <x:c r="A4274" s="274" t="s">
        <x:v>7774</x:v>
      </x:c>
      <x:c r="B4274" s="274" t="n">
        <x:v>4.59</x:v>
      </x:c>
      <x:c r="C4274" s="274" t="n">
        <x:v>0</x:v>
      </x:c>
      <x:c r="D4274" s="274" t="n">
        <x:v>0</x:v>
      </x:c>
      <x:c r="F4274" s="274" t="s">
        <x:v>133</x:v>
      </x:c>
      <x:c r="G4274" s="274" t="s">
        <x:v>148</x:v>
      </x:c>
      <x:c r="I4274" s="274" t="n">
        <x:v>4</x:v>
      </x:c>
      <x:c r="J4274" s="274" t="n">
        <x:v>126</x:v>
      </x:c>
      <x:c r="K4274" s="274" t="n">
        <x:v>1160</x:v>
      </x:c>
      <x:c r="M4274" s="274" t="s">
        <x:v>7775</x:v>
      </x:c>
      <x:c r="N4274" s="274" t="s">
        <x:v>3671</x:v>
      </x:c>
    </x:row>
    <x:row r="4275" spans="1:14">
      <x:c r="A4275" s="274" t="s">
        <x:v>7776</x:v>
      </x:c>
      <x:c r="B4275" s="274" t="n">
        <x:v>1.23</x:v>
      </x:c>
      <x:c r="C4275" s="274" t="n">
        <x:v>26</x:v>
      </x:c>
      <x:c r="D4275" s="274" t="n">
        <x:v>36</x:v>
      </x:c>
      <x:c r="E4275" s="274" t="n">
        <x:v>33</x:v>
      </x:c>
      <x:c r="F4275" s="274" t="s">
        <x:v>311</x:v>
      </x:c>
      <x:c r="G4275" s="274" t="s">
        <x:v>828</x:v>
      </x:c>
      <x:c r="H4275" s="274" t="s">
        <x:v>837</x:v>
      </x:c>
      <x:c r="I4275" s="274" t="n">
        <x:v>0.8</x:v>
      </x:c>
      <x:c r="J4275" s="274" t="n">
        <x:v>430</x:v>
      </x:c>
      <x:c r="K4275" s="274" t="n">
        <x:v>455</x:v>
      </x:c>
      <x:c r="M4275" s="274" t="s">
        <x:v>3923</x:v>
      </x:c>
      <x:c r="N4275" s="274" t="s">
        <x:v>831</x:v>
      </x:c>
    </x:row>
    <x:row r="4276" spans="1:14">
      <x:c r="A4276" s="274" t="s">
        <x:v>7777</x:v>
      </x:c>
      <x:c r="B4276" s="274" t="n">
        <x:v>3.38</x:v>
      </x:c>
      <x:c r="C4276" s="274" t="n">
        <x:v>0</x:v>
      </x:c>
      <x:c r="D4276" s="274" t="n">
        <x:v>45</x:v>
      </x:c>
      <x:c r="E4276" s="274" t="n">
        <x:v>40</x:v>
      </x:c>
      <x:c r="F4276" s="274" t="s">
        <x:v>311</x:v>
      </x:c>
      <x:c r="G4276" s="274" t="s">
        <x:v>828</x:v>
      </x:c>
      <x:c r="H4276" s="274" t="s">
        <x:v>829</x:v>
      </x:c>
      <x:c r="I4276" s="274" t="n">
        <x:v>0.8</x:v>
      </x:c>
      <x:c r="J4276" s="274" t="n">
        <x:v>720</x:v>
      </x:c>
      <x:c r="K4276" s="274" t="n">
        <x:v>745</x:v>
      </x:c>
      <x:c r="M4276" s="274" t="s">
        <x:v>6421</x:v>
      </x:c>
      <x:c r="N4276" s="274" t="s">
        <x:v>6623</x:v>
      </x:c>
    </x:row>
    <x:row r="4277" spans="1:14">
      <x:c r="A4277" s="274" t="s">
        <x:v>7778</x:v>
      </x:c>
      <x:c r="B4277" s="274" t="n">
        <x:v>11.41</x:v>
      </x:c>
      <x:c r="C4277" s="274" t="n">
        <x:v>28</x:v>
      </x:c>
      <x:c r="D4277" s="274" t="n">
        <x:v>28</x:v>
      </x:c>
      <x:c r="F4277" s="274" t="s">
        <x:v>123</x:v>
      </x:c>
      <x:c r="G4277" s="274" t="s">
        <x:v>906</x:v>
      </x:c>
      <x:c r="H4277" s="274" t="s">
        <x:v>907</x:v>
      </x:c>
      <x:c r="I4277" s="274" t="n">
        <x:v>0.65</x:v>
      </x:c>
      <x:c r="J4277" s="274" t="n">
        <x:v>1068</x:v>
      </x:c>
      <x:c r="K4277" s="274" t="n">
        <x:v>2020.7</x:v>
      </x:c>
      <x:c r="L4277" s="274" t="n">
        <x:v>2095.3</x:v>
      </x:c>
      <x:c r="M4277" s="274" t="s">
        <x:v>7779</x:v>
      </x:c>
      <x:c r="N4277" s="274" t="s">
        <x:v>3671</x:v>
      </x:c>
    </x:row>
    <x:row r="4278" spans="1:14">
      <x:c r="A4278" s="274" t="s">
        <x:v>7780</x:v>
      </x:c>
      <x:c r="B4278" s="274" t="n">
        <x:v>0.41</x:v>
      </x:c>
      <x:c r="C4278" s="274" t="n">
        <x:v>0</x:v>
      </x:c>
      <x:c r="D4278" s="274" t="n">
        <x:v>0</x:v>
      </x:c>
      <x:c r="F4278" s="274" t="s">
        <x:v>133</x:v>
      </x:c>
      <x:c r="G4278" s="274" t="s">
        <x:v>136</x:v>
      </x:c>
      <x:c r="H4278" s="274" t="n">
        <x:v>45</x:v>
      </x:c>
      <x:c r="I4278" s="274" t="n">
        <x:v>1.2</x:v>
      </x:c>
      <x:c r="J4278" s="274" t="n">
        <x:v>185</x:v>
      </x:c>
      <x:c r="K4278" s="274" t="n">
        <x:v>235</x:v>
      </x:c>
      <x:c r="M4278" s="274" t="s">
        <x:v>7781</x:v>
      </x:c>
      <x:c r="N4278" s="274" t="s">
        <x:v>3671</x:v>
      </x:c>
    </x:row>
    <x:row r="4279" spans="1:14">
      <x:c r="A4279" s="274" t="s">
        <x:v>7782</x:v>
      </x:c>
      <x:c r="B4279" s="274" t="n">
        <x:v>10.78</x:v>
      </x:c>
      <x:c r="C4279" s="274" t="n">
        <x:v>0</x:v>
      </x:c>
      <x:c r="D4279" s="274" t="n">
        <x:v>0</x:v>
      </x:c>
      <x:c r="F4279" s="274" t="s">
        <x:v>123</x:v>
      </x:c>
      <x:c r="G4279" s="274" t="s">
        <x:v>136</x:v>
      </x:c>
      <x:c r="H4279" s="274" t="n">
        <x:v>45</x:v>
      </x:c>
      <x:c r="I4279" s="274" t="n">
        <x:v>2.3</x:v>
      </x:c>
      <x:c r="J4279" s="274" t="n">
        <x:v>450</x:v>
      </x:c>
      <x:c r="K4279" s="274" t="n">
        <x:v>1320</x:v>
      </x:c>
      <x:c r="M4279" s="274" t="s">
        <x:v>7783</x:v>
      </x:c>
      <x:c r="N4279" s="274" t="s">
        <x:v>3671</x:v>
      </x:c>
    </x:row>
    <x:row r="4280" spans="1:14">
      <x:c r="A4280" s="274" t="s">
        <x:v>7784</x:v>
      </x:c>
      <x:c r="B4280" s="274" t="n">
        <x:v>0.87</x:v>
      </x:c>
      <x:c r="C4280" s="274" t="n">
        <x:v>0</x:v>
      </x:c>
      <x:c r="D4280" s="274" t="n">
        <x:v>0</x:v>
      </x:c>
      <x:c r="F4280" s="274" t="s">
        <x:v>333</x:v>
      </x:c>
      <x:c r="G4280" s="274" t="s">
        <x:v>209</x:v>
      </x:c>
      <x:c r="I4280" s="274" t="n">
        <x:v>1</x:v>
      </x:c>
      <x:c r="J4280" s="274" t="n">
        <x:v>89</x:v>
      </x:c>
      <x:c r="K4280" s="274" t="n">
        <x:v>1250</x:v>
      </x:c>
      <x:c r="M4280" s="274" t="s">
        <x:v>7785</x:v>
      </x:c>
      <x:c r="N4280" s="274" t="s">
        <x:v>3671</x:v>
      </x:c>
    </x:row>
    <x:row r="4281" spans="1:14">
      <x:c r="A4281" s="274" t="s">
        <x:v>7786</x:v>
      </x:c>
      <x:c r="B4281" s="274" t="n">
        <x:v>2.36</x:v>
      </x:c>
      <x:c r="C4281" s="274" t="n">
        <x:v>0</x:v>
      </x:c>
      <x:c r="D4281" s="274" t="n">
        <x:v>0</x:v>
      </x:c>
      <x:c r="F4281" s="274" t="s">
        <x:v>133</x:v>
      </x:c>
      <x:c r="G4281" s="274" t="s">
        <x:v>148</x:v>
      </x:c>
      <x:c r="I4281" s="274" t="n">
        <x:v>2</x:v>
      </x:c>
      <x:c r="J4281" s="274" t="n">
        <x:v>120</x:v>
      </x:c>
      <x:c r="K4281" s="274" t="n">
        <x:v>1250</x:v>
      </x:c>
      <x:c r="M4281" s="274" t="s">
        <x:v>7787</x:v>
      </x:c>
      <x:c r="N4281" s="274" t="s">
        <x:v>3671</x:v>
      </x:c>
    </x:row>
    <x:row r="4282" spans="1:14">
      <x:c r="A4282" s="274" t="s">
        <x:v>7788</x:v>
      </x:c>
      <x:c r="B4282" s="274" t="n">
        <x:v>1.71</x:v>
      </x:c>
      <x:c r="C4282" s="274" t="n">
        <x:v>0</x:v>
      </x:c>
      <x:c r="D4282" s="274" t="n">
        <x:v>0</x:v>
      </x:c>
      <x:c r="F4282" s="274" t="s">
        <x:v>333</x:v>
      </x:c>
      <x:c r="G4282" s="274" t="s">
        <x:v>209</x:v>
      </x:c>
      <x:c r="I4282" s="274" t="n">
        <x:v>1.2</x:v>
      </x:c>
      <x:c r="J4282" s="274" t="n">
        <x:v>145</x:v>
      </x:c>
      <x:c r="K4282" s="274" t="n">
        <x:v>1250</x:v>
      </x:c>
      <x:c r="M4282" s="274" t="s">
        <x:v>7789</x:v>
      </x:c>
      <x:c r="N4282" s="274" t="s">
        <x:v>3671</x:v>
      </x:c>
    </x:row>
    <x:row r="4283" spans="1:14">
      <x:c r="A4283" s="274" t="s">
        <x:v>7790</x:v>
      </x:c>
      <x:c r="B4283" s="274" t="n">
        <x:v>1.4</x:v>
      </x:c>
      <x:c r="C4283" s="274" t="n">
        <x:v>0</x:v>
      </x:c>
      <x:c r="D4283" s="274" t="n">
        <x:v>0</x:v>
      </x:c>
      <x:c r="F4283" s="274" t="s">
        <x:v>333</x:v>
      </x:c>
      <x:c r="G4283" s="274" t="s">
        <x:v>124</x:v>
      </x:c>
      <x:c r="I4283" s="274" t="n">
        <x:v>1.2</x:v>
      </x:c>
      <x:c r="J4283" s="274" t="n">
        <x:v>119</x:v>
      </x:c>
      <x:c r="K4283" s="274" t="n">
        <x:v>1250</x:v>
      </x:c>
      <x:c r="M4283" s="274" t="s">
        <x:v>7791</x:v>
      </x:c>
      <x:c r="N4283" s="274" t="s">
        <x:v>3671</x:v>
      </x:c>
    </x:row>
    <x:row r="4284" spans="1:14">
      <x:c r="A4284" s="274" t="s">
        <x:v>7792</x:v>
      </x:c>
      <x:c r="B4284" s="274" t="n">
        <x:v>0.92</x:v>
      </x:c>
      <x:c r="C4284" s="274" t="n">
        <x:v>0</x:v>
      </x:c>
      <x:c r="D4284" s="274" t="n">
        <x:v>0</x:v>
      </x:c>
      <x:c r="F4284" s="274" t="s">
        <x:v>333</x:v>
      </x:c>
      <x:c r="G4284" s="274" t="s">
        <x:v>124</x:v>
      </x:c>
      <x:c r="I4284" s="274" t="n">
        <x:v>1.2</x:v>
      </x:c>
      <x:c r="J4284" s="274" t="n">
        <x:v>78</x:v>
      </x:c>
      <x:c r="K4284" s="274" t="n">
        <x:v>1250</x:v>
      </x:c>
      <x:c r="M4284" s="274" t="s">
        <x:v>7793</x:v>
      </x:c>
      <x:c r="N4284" s="274" t="s">
        <x:v>3671</x:v>
      </x:c>
    </x:row>
    <x:row r="4285" spans="1:14">
      <x:c r="A4285" s="274" t="s">
        <x:v>7794</x:v>
      </x:c>
      <x:c r="B4285" s="274" t="n">
        <x:v>1.39</x:v>
      </x:c>
      <x:c r="C4285" s="274" t="n">
        <x:v>0</x:v>
      </x:c>
      <x:c r="D4285" s="274" t="n">
        <x:v>0</x:v>
      </x:c>
      <x:c r="F4285" s="274" t="s">
        <x:v>133</x:v>
      </x:c>
      <x:c r="G4285" s="274" t="s">
        <x:v>134</x:v>
      </x:c>
      <x:c r="I4285" s="274" t="n">
        <x:v>2</x:v>
      </x:c>
      <x:c r="J4285" s="274" t="n">
        <x:v>71</x:v>
      </x:c>
      <x:c r="K4285" s="274" t="n">
        <x:v>1250</x:v>
      </x:c>
      <x:c r="M4285" s="274" t="s">
        <x:v>7795</x:v>
      </x:c>
      <x:c r="N4285" s="274" t="s">
        <x:v>3671</x:v>
      </x:c>
    </x:row>
    <x:row r="4286" spans="1:14">
      <x:c r="A4286" s="274" t="s">
        <x:v>7796</x:v>
      </x:c>
      <x:c r="B4286" s="274" t="n">
        <x:v>1.45</x:v>
      </x:c>
      <x:c r="C4286" s="274" t="n">
        <x:v>0</x:v>
      </x:c>
      <x:c r="D4286" s="274" t="n">
        <x:v>0</x:v>
      </x:c>
      <x:c r="F4286" s="274" t="s">
        <x:v>333</x:v>
      </x:c>
      <x:c r="G4286" s="274" t="s">
        <x:v>209</x:v>
      </x:c>
      <x:c r="I4286" s="274" t="n">
        <x:v>1.2</x:v>
      </x:c>
      <x:c r="J4286" s="274" t="n">
        <x:v>123</x:v>
      </x:c>
      <x:c r="K4286" s="274" t="n">
        <x:v>1250</x:v>
      </x:c>
      <x:c r="M4286" s="274" t="s">
        <x:v>7797</x:v>
      </x:c>
      <x:c r="N4286" s="274" t="s">
        <x:v>3671</x:v>
      </x:c>
    </x:row>
    <x:row r="4287" spans="1:14">
      <x:c r="A4287" s="274" t="s">
        <x:v>7798</x:v>
      </x:c>
      <x:c r="B4287" s="274" t="n">
        <x:v>1.52</x:v>
      </x:c>
      <x:c r="C4287" s="274" t="n">
        <x:v>0</x:v>
      </x:c>
      <x:c r="D4287" s="274" t="n">
        <x:v>0</x:v>
      </x:c>
      <x:c r="F4287" s="274" t="s">
        <x:v>133</x:v>
      </x:c>
      <x:c r="G4287" s="274" t="s">
        <x:v>134</x:v>
      </x:c>
      <x:c r="I4287" s="274" t="n">
        <x:v>1.8</x:v>
      </x:c>
      <x:c r="J4287" s="274" t="n">
        <x:v>86</x:v>
      </x:c>
      <x:c r="K4287" s="274" t="n">
        <x:v>1250</x:v>
      </x:c>
      <x:c r="M4287" s="274" t="s">
        <x:v>7799</x:v>
      </x:c>
      <x:c r="N4287" s="274" t="s">
        <x:v>3671</x:v>
      </x:c>
    </x:row>
    <x:row r="4288" spans="1:14">
      <x:c r="A4288" s="274" t="s">
        <x:v>7800</x:v>
      </x:c>
      <x:c r="B4288" s="274" t="n">
        <x:v>3.14</x:v>
      </x:c>
      <x:c r="C4288" s="274" t="n">
        <x:v>0</x:v>
      </x:c>
      <x:c r="D4288" s="274" t="n">
        <x:v>0</x:v>
      </x:c>
      <x:c r="F4288" s="274" t="s">
        <x:v>133</x:v>
      </x:c>
      <x:c r="G4288" s="274" t="s">
        <x:v>148</x:v>
      </x:c>
      <x:c r="I4288" s="274" t="n">
        <x:v>3.2</x:v>
      </x:c>
      <x:c r="J4288" s="274" t="n">
        <x:v>100</x:v>
      </x:c>
      <x:c r="K4288" s="274" t="n">
        <x:v>1250</x:v>
      </x:c>
      <x:c r="M4288" s="274" t="s">
        <x:v>7801</x:v>
      </x:c>
      <x:c r="N4288" s="274" t="s">
        <x:v>3671</x:v>
      </x:c>
    </x:row>
    <x:row r="4289" spans="1:14">
      <x:c r="A4289" s="274" t="s">
        <x:v>7802</x:v>
      </x:c>
      <x:c r="B4289" s="274" t="n">
        <x:v>4.59</x:v>
      </x:c>
      <x:c r="C4289" s="274" t="n">
        <x:v>0</x:v>
      </x:c>
      <x:c r="D4289" s="274" t="n">
        <x:v>0</x:v>
      </x:c>
      <x:c r="F4289" s="274" t="s">
        <x:v>133</x:v>
      </x:c>
      <x:c r="G4289" s="274" t="s">
        <x:v>148</x:v>
      </x:c>
      <x:c r="I4289" s="274" t="n">
        <x:v>4</x:v>
      </x:c>
      <x:c r="J4289" s="274" t="n">
        <x:v>126</x:v>
      </x:c>
      <x:c r="K4289" s="274" t="n">
        <x:v>1160</x:v>
      </x:c>
      <x:c r="M4289" s="274" t="s">
        <x:v>7775</x:v>
      </x:c>
      <x:c r="N4289" s="274" t="s">
        <x:v>3671</x:v>
      </x:c>
    </x:row>
    <x:row r="4290" spans="1:14">
      <x:c r="A4290" s="274" t="s">
        <x:v>7803</x:v>
      </x:c>
      <x:c r="B4290" s="274" t="n">
        <x:v>1.99</x:v>
      </x:c>
      <x:c r="C4290" s="274" t="n">
        <x:v>0</x:v>
      </x:c>
      <x:c r="D4290" s="274" t="n">
        <x:v>0</x:v>
      </x:c>
      <x:c r="F4290" s="274" t="s">
        <x:v>333</x:v>
      </x:c>
      <x:c r="G4290" s="274" t="s">
        <x:v>124</x:v>
      </x:c>
      <x:c r="I4290" s="274" t="n">
        <x:v>1</x:v>
      </x:c>
      <x:c r="J4290" s="274" t="n">
        <x:v>203</x:v>
      </x:c>
      <x:c r="K4290" s="274" t="n">
        <x:v>1250</x:v>
      </x:c>
      <x:c r="M4290" s="274" t="s">
        <x:v>7804</x:v>
      </x:c>
      <x:c r="N4290" s="274" t="s">
        <x:v>3671</x:v>
      </x:c>
    </x:row>
    <x:row r="4291" spans="1:14">
      <x:c r="A4291" s="274" t="s">
        <x:v>7805</x:v>
      </x:c>
      <x:c r="B4291" s="274" t="n">
        <x:v>3.67</x:v>
      </x:c>
      <x:c r="C4291" s="274" t="n">
        <x:v>0</x:v>
      </x:c>
      <x:c r="D4291" s="274" t="n">
        <x:v>0</x:v>
      </x:c>
      <x:c r="F4291" s="274" t="s">
        <x:v>123</x:v>
      </x:c>
      <x:c r="G4291" s="274" t="s">
        <x:v>437</x:v>
      </x:c>
      <x:c r="I4291" s="274" t="n">
        <x:v>3.2</x:v>
      </x:c>
      <x:c r="J4291" s="274" t="n">
        <x:v>117</x:v>
      </x:c>
      <x:c r="K4291" s="274" t="n">
        <x:v>1250</x:v>
      </x:c>
      <x:c r="M4291" s="274" t="s">
        <x:v>7806</x:v>
      </x:c>
      <x:c r="N4291" s="274" t="s">
        <x:v>3671</x:v>
      </x:c>
    </x:row>
    <x:row r="4292" spans="1:14">
      <x:c r="A4292" s="274" t="s">
        <x:v>7807</x:v>
      </x:c>
      <x:c r="B4292" s="274" t="n">
        <x:v>0.97</x:v>
      </x:c>
      <x:c r="C4292" s="274" t="n">
        <x:v>26</x:v>
      </x:c>
      <x:c r="D4292" s="274" t="n">
        <x:v>36</x:v>
      </x:c>
      <x:c r="E4292" s="274" t="n">
        <x:v>33</x:v>
      </x:c>
      <x:c r="F4292" s="274" t="s">
        <x:v>311</x:v>
      </x:c>
      <x:c r="G4292" s="274" t="s">
        <x:v>828</x:v>
      </x:c>
      <x:c r="H4292" s="274" t="s">
        <x:v>837</x:v>
      </x:c>
      <x:c r="I4292" s="274" t="n">
        <x:v>0.8</x:v>
      </x:c>
      <x:c r="J4292" s="274" t="n">
        <x:v>370</x:v>
      </x:c>
      <x:c r="K4292" s="274" t="n">
        <x:v>415</x:v>
      </x:c>
      <x:c r="M4292" s="274" t="s">
        <x:v>3921</x:v>
      </x:c>
    </x:row>
    <x:row r="4293" spans="1:14">
      <x:c r="A4293" s="274" t="s">
        <x:v>7808</x:v>
      </x:c>
      <x:c r="B4293" s="274" t="n">
        <x:v>0.97</x:v>
      </x:c>
      <x:c r="C4293" s="274" t="n">
        <x:v>26</x:v>
      </x:c>
      <x:c r="D4293" s="274" t="n">
        <x:v>36</x:v>
      </x:c>
      <x:c r="E4293" s="274" t="n">
        <x:v>33</x:v>
      </x:c>
      <x:c r="F4293" s="274" t="s">
        <x:v>311</x:v>
      </x:c>
      <x:c r="G4293" s="274" t="s">
        <x:v>828</x:v>
      </x:c>
      <x:c r="H4293" s="274" t="s">
        <x:v>837</x:v>
      </x:c>
      <x:c r="I4293" s="274" t="n">
        <x:v>0.8</x:v>
      </x:c>
      <x:c r="J4293" s="274" t="n">
        <x:v>370</x:v>
      </x:c>
      <x:c r="K4293" s="274" t="n">
        <x:v>415</x:v>
      </x:c>
      <x:c r="M4293" s="274" t="s">
        <x:v>3921</x:v>
      </x:c>
    </x:row>
    <x:row r="4294" spans="1:14">
      <x:c r="A4294" s="274" t="s">
        <x:v>7809</x:v>
      </x:c>
      <x:c r="B4294" s="274" t="n">
        <x:v>0.97</x:v>
      </x:c>
      <x:c r="C4294" s="274" t="n">
        <x:v>26</x:v>
      </x:c>
      <x:c r="D4294" s="274" t="n">
        <x:v>36</x:v>
      </x:c>
      <x:c r="E4294" s="274" t="n">
        <x:v>33</x:v>
      </x:c>
      <x:c r="F4294" s="274" t="s">
        <x:v>311</x:v>
      </x:c>
      <x:c r="G4294" s="274" t="s">
        <x:v>828</x:v>
      </x:c>
      <x:c r="H4294" s="274" t="s">
        <x:v>837</x:v>
      </x:c>
      <x:c r="I4294" s="274" t="n">
        <x:v>0.8</x:v>
      </x:c>
      <x:c r="J4294" s="274" t="n">
        <x:v>370</x:v>
      </x:c>
      <x:c r="K4294" s="274" t="n">
        <x:v>415</x:v>
      </x:c>
      <x:c r="M4294" s="274" t="s">
        <x:v>3921</x:v>
      </x:c>
    </x:row>
    <x:row r="4295" spans="1:14">
      <x:c r="A4295" s="274" t="s">
        <x:v>7810</x:v>
      </x:c>
      <x:c r="B4295" s="274" t="n">
        <x:v>3.21</x:v>
      </x:c>
      <x:c r="C4295" s="274" t="n">
        <x:v>0</x:v>
      </x:c>
      <x:c r="D4295" s="274" t="n">
        <x:v>0</x:v>
      </x:c>
      <x:c r="F4295" s="274" t="s">
        <x:v>133</x:v>
      </x:c>
      <x:c r="G4295" s="274" t="s">
        <x:v>148</x:v>
      </x:c>
      <x:c r="I4295" s="274" t="n">
        <x:v>2.6</x:v>
      </x:c>
      <x:c r="J4295" s="274" t="n">
        <x:v>126</x:v>
      </x:c>
      <x:c r="K4295" s="274" t="n">
        <x:v>1250</x:v>
      </x:c>
      <x:c r="M4295" s="274" t="s">
        <x:v>7811</x:v>
      </x:c>
      <x:c r="N4295" s="274" t="s">
        <x:v>3671</x:v>
      </x:c>
    </x:row>
    <x:row r="4296" spans="1:14">
      <x:c r="A4296" s="274" t="s">
        <x:v>7812</x:v>
      </x:c>
      <x:c r="B4296" s="274" t="n">
        <x:v>1.69</x:v>
      </x:c>
      <x:c r="C4296" s="274" t="n">
        <x:v>0</x:v>
      </x:c>
      <x:c r="D4296" s="274" t="n">
        <x:v>0</x:v>
      </x:c>
      <x:c r="F4296" s="274" t="s">
        <x:v>123</x:v>
      </x:c>
      <x:c r="G4296" s="274" t="s">
        <x:v>139</x:v>
      </x:c>
      <x:c r="I4296" s="274" t="n">
        <x:v>2</x:v>
      </x:c>
      <x:c r="J4296" s="274" t="n">
        <x:v>86</x:v>
      </x:c>
      <x:c r="K4296" s="274" t="n">
        <x:v>1250</x:v>
      </x:c>
      <x:c r="M4296" s="274" t="s">
        <x:v>7813</x:v>
      </x:c>
      <x:c r="N4296" s="274" t="s">
        <x:v>3671</x:v>
      </x:c>
    </x:row>
    <x:row r="4297" spans="1:14">
      <x:c r="A4297" s="274" t="s">
        <x:v>7814</x:v>
      </x:c>
      <x:c r="B4297" s="274" t="n">
        <x:v>4.86</x:v>
      </x:c>
      <x:c r="C4297" s="274" t="n">
        <x:v>0</x:v>
      </x:c>
      <x:c r="D4297" s="274" t="n">
        <x:v>0</x:v>
      </x:c>
      <x:c r="F4297" s="274" t="s">
        <x:v>123</x:v>
      </x:c>
      <x:c r="G4297" s="274" t="s">
        <x:v>148</x:v>
      </x:c>
      <x:c r="I4297" s="274" t="n">
        <x:v>1.8</x:v>
      </x:c>
      <x:c r="J4297" s="274" t="n">
        <x:v>275</x:v>
      </x:c>
      <x:c r="K4297" s="274" t="n">
        <x:v>1250</x:v>
      </x:c>
      <x:c r="M4297" s="274" t="s">
        <x:v>7815</x:v>
      </x:c>
      <x:c r="N4297" s="274" t="s">
        <x:v>3671</x:v>
      </x:c>
    </x:row>
    <x:row r="4298" spans="1:14">
      <x:c r="A4298" s="274" t="s">
        <x:v>7816</x:v>
      </x:c>
      <x:c r="B4298" s="274" t="n">
        <x:v>4.5</x:v>
      </x:c>
      <x:c r="C4298" s="274" t="n">
        <x:v>0</x:v>
      </x:c>
      <x:c r="D4298" s="274" t="n">
        <x:v>0</x:v>
      </x:c>
      <x:c r="F4298" s="274" t="s">
        <x:v>123</x:v>
      </x:c>
      <x:c r="G4298" s="274" t="s">
        <x:v>148</x:v>
      </x:c>
      <x:c r="I4298" s="274" t="n">
        <x:v>1.8</x:v>
      </x:c>
      <x:c r="J4298" s="274" t="n">
        <x:v>255</x:v>
      </x:c>
      <x:c r="K4298" s="274" t="n">
        <x:v>1250</x:v>
      </x:c>
      <x:c r="M4298" s="274" t="s">
        <x:v>7817</x:v>
      </x:c>
      <x:c r="N4298" s="274" t="s">
        <x:v>3671</x:v>
      </x:c>
    </x:row>
    <x:row r="4299" spans="1:14">
      <x:c r="A4299" s="274" t="s">
        <x:v>7818</x:v>
      </x:c>
      <x:c r="B4299" s="274" t="n">
        <x:v>3.53</x:v>
      </x:c>
      <x:c r="C4299" s="274" t="n">
        <x:v>0</x:v>
      </x:c>
      <x:c r="D4299" s="274" t="n">
        <x:v>0</x:v>
      </x:c>
      <x:c r="F4299" s="274" t="s">
        <x:v>133</x:v>
      </x:c>
      <x:c r="G4299" s="274" t="s">
        <x:v>148</x:v>
      </x:c>
      <x:c r="I4299" s="274" t="n">
        <x:v>3.6</x:v>
      </x:c>
      <x:c r="J4299" s="274" t="n">
        <x:v>100</x:v>
      </x:c>
      <x:c r="K4299" s="274" t="n">
        <x:v>1250</x:v>
      </x:c>
      <x:c r="M4299" s="274" t="s">
        <x:v>7819</x:v>
      </x:c>
      <x:c r="N4299" s="274" t="s">
        <x:v>3671</x:v>
      </x:c>
    </x:row>
    <x:row r="4300" spans="1:14">
      <x:c r="A4300" s="274" t="s">
        <x:v>7820</x:v>
      </x:c>
      <x:c r="B4300" s="274" t="n">
        <x:v>1.03</x:v>
      </x:c>
      <x:c r="C4300" s="274" t="n">
        <x:v>0</x:v>
      </x:c>
      <x:c r="D4300" s="274" t="n">
        <x:v>0</x:v>
      </x:c>
      <x:c r="F4300" s="274" t="s">
        <x:v>333</x:v>
      </x:c>
      <x:c r="G4300" s="274" t="s">
        <x:v>209</x:v>
      </x:c>
      <x:c r="I4300" s="274" t="n">
        <x:v>0.6</x:v>
      </x:c>
      <x:c r="J4300" s="274" t="n">
        <x:v>175</x:v>
      </x:c>
      <x:c r="K4300" s="274" t="n">
        <x:v>1250</x:v>
      </x:c>
      <x:c r="M4300" s="274" t="s">
        <x:v>7821</x:v>
      </x:c>
      <x:c r="N4300" s="274" t="s">
        <x:v>3671</x:v>
      </x:c>
    </x:row>
    <x:row r="4301" spans="1:14">
      <x:c r="A4301" s="274" t="s">
        <x:v>7822</x:v>
      </x:c>
      <x:c r="B4301" s="274" t="n">
        <x:v>9.5</x:v>
      </x:c>
      <x:c r="C4301" s="274" t="n">
        <x:v>0</x:v>
      </x:c>
      <x:c r="D4301" s="274" t="n">
        <x:v>33</x:v>
      </x:c>
      <x:c r="E4301" s="274" t="n">
        <x:v>28</x:v>
      </x:c>
      <x:c r="F4301" s="274" t="s">
        <x:v>1980</x:v>
      </x:c>
      <x:c r="G4301" s="274" t="s">
        <x:v>1981</x:v>
      </x:c>
      <x:c r="I4301" s="274" t="n">
        <x:v>0.7</x:v>
      </x:c>
      <x:c r="J4301" s="274" t="n">
        <x:v>1160</x:v>
      </x:c>
      <x:c r="K4301" s="274" t="n">
        <x:v>1490</x:v>
      </x:c>
      <x:c r="M4301" s="274" t="s">
        <x:v>1988</x:v>
      </x:c>
      <x:c r="N4301" s="274" t="s">
        <x:v>1983</x:v>
      </x:c>
    </x:row>
    <x:row r="4302" spans="1:14">
      <x:c r="A4302" s="274" t="s">
        <x:v>7823</x:v>
      </x:c>
      <x:c r="B4302" s="274" t="n">
        <x:v>8.6</x:v>
      </x:c>
      <x:c r="C4302" s="274" t="n">
        <x:v>0</x:v>
      </x:c>
      <x:c r="D4302" s="274" t="n">
        <x:v>40</x:v>
      </x:c>
      <x:c r="E4302" s="274" t="n">
        <x:v>35</x:v>
      </x:c>
      <x:c r="F4302" s="274" t="s">
        <x:v>1980</x:v>
      </x:c>
      <x:c r="G4302" s="274" t="s">
        <x:v>1981</x:v>
      </x:c>
      <x:c r="I4302" s="274" t="n">
        <x:v>0.8</x:v>
      </x:c>
      <x:c r="J4302" s="274" t="n">
        <x:v>1330</x:v>
      </x:c>
      <x:c r="K4302" s="274" t="n">
        <x:v>1030</x:v>
      </x:c>
      <x:c r="M4302" s="274" t="s">
        <x:v>2278</x:v>
      </x:c>
      <x:c r="N4302" s="274" t="s">
        <x:v>1983</x:v>
      </x:c>
    </x:row>
    <x:row r="4303" spans="1:14">
      <x:c r="A4303" s="274" t="s">
        <x:v>7824</x:v>
      </x:c>
      <x:c r="B4303" s="274" t="n">
        <x:v>3.11</x:v>
      </x:c>
      <x:c r="C4303" s="274" t="n">
        <x:v>0</x:v>
      </x:c>
      <x:c r="D4303" s="274" t="n">
        <x:v>0</x:v>
      </x:c>
      <x:c r="F4303" s="274" t="s">
        <x:v>123</x:v>
      </x:c>
      <x:c r="G4303" s="274" t="s">
        <x:v>6196</x:v>
      </x:c>
      <x:c r="I4303" s="274" t="n">
        <x:v>2</x:v>
      </x:c>
      <x:c r="J4303" s="274" t="n">
        <x:v>180</x:v>
      </x:c>
      <x:c r="K4303" s="274" t="n">
        <x:v>1100</x:v>
      </x:c>
      <x:c r="M4303" s="274" t="s">
        <x:v>6197</x:v>
      </x:c>
      <x:c r="N4303" s="274" t="s">
        <x:v>3671</x:v>
      </x:c>
    </x:row>
    <x:row r="4304" spans="1:14">
      <x:c r="A4304" s="274" t="s">
        <x:v>7825</x:v>
      </x:c>
      <x:c r="B4304" s="274" t="n">
        <x:v>3.53</x:v>
      </x:c>
      <x:c r="C4304" s="274" t="n">
        <x:v>0</x:v>
      </x:c>
      <x:c r="D4304" s="274" t="n">
        <x:v>0</x:v>
      </x:c>
      <x:c r="F4304" s="274" t="s">
        <x:v>333</x:v>
      </x:c>
      <x:c r="G4304" s="274" t="s">
        <x:v>209</x:v>
      </x:c>
      <x:c r="I4304" s="274" t="n">
        <x:v>1.2</x:v>
      </x:c>
      <x:c r="J4304" s="274" t="n">
        <x:v>306</x:v>
      </x:c>
      <x:c r="K4304" s="274" t="n">
        <x:v>1225</x:v>
      </x:c>
      <x:c r="M4304" s="274" t="s">
        <x:v>4879</x:v>
      </x:c>
      <x:c r="N4304" s="274" t="s">
        <x:v>3671</x:v>
      </x:c>
    </x:row>
    <x:row r="4305" spans="1:14">
      <x:c r="A4305" s="274" t="s">
        <x:v>7826</x:v>
      </x:c>
      <x:c r="B4305" s="274" t="n">
        <x:v>1.22</x:v>
      </x:c>
      <x:c r="C4305" s="274" t="n">
        <x:v>0</x:v>
      </x:c>
      <x:c r="D4305" s="274" t="n">
        <x:v>0</x:v>
      </x:c>
      <x:c r="F4305" s="274" t="s">
        <x:v>333</x:v>
      </x:c>
      <x:c r="G4305" s="274" t="s">
        <x:v>209</x:v>
      </x:c>
      <x:c r="I4305" s="274" t="n">
        <x:v>1.2</x:v>
      </x:c>
      <x:c r="J4305" s="274" t="n">
        <x:v>106</x:v>
      </x:c>
      <x:c r="K4305" s="274" t="n">
        <x:v>1225</x:v>
      </x:c>
      <x:c r="M4305" s="274" t="s">
        <x:v>4831</x:v>
      </x:c>
      <x:c r="N4305" s="274" t="s">
        <x:v>3671</x:v>
      </x:c>
    </x:row>
    <x:row r="4306" spans="1:14">
      <x:c r="A4306" s="274" t="s">
        <x:v>7827</x:v>
      </x:c>
      <x:c r="B4306" s="274" t="n">
        <x:v>4.55</x:v>
      </x:c>
      <x:c r="C4306" s="274" t="n">
        <x:v>28</x:v>
      </x:c>
      <x:c r="D4306" s="274" t="n">
        <x:v>28</x:v>
      </x:c>
      <x:c r="F4306" s="274" t="s">
        <x:v>184</x:v>
      </x:c>
      <x:c r="G4306" s="274" t="s">
        <x:v>4286</x:v>
      </x:c>
      <x:c r="I4306" s="274" t="n">
        <x:v>0.6</x:v>
      </x:c>
      <x:c r="J4306" s="274" t="n">
        <x:v>1018</x:v>
      </x:c>
      <x:c r="K4306" s="274" t="n">
        <x:v>949</x:v>
      </x:c>
      <x:c r="M4306" s="274" t="s">
        <x:v>7828</x:v>
      </x:c>
      <x:c r="N4306" s="274" t="s">
        <x:v>4258</x:v>
      </x:c>
    </x:row>
    <x:row r="4307" spans="1:14">
      <x:c r="A4307" s="274" t="s">
        <x:v>7829</x:v>
      </x:c>
      <x:c r="B4307" s="274" t="n">
        <x:v>8.55</x:v>
      </x:c>
      <x:c r="C4307" s="274" t="n">
        <x:v>28</x:v>
      </x:c>
      <x:c r="D4307" s="274" t="n">
        <x:v>28</x:v>
      </x:c>
      <x:c r="E4307" s="274" t="n">
        <x:v>0</x:v>
      </x:c>
      <x:c r="F4307" s="274" t="s">
        <x:v>123</x:v>
      </x:c>
      <x:c r="G4307" s="274" t="s">
        <x:v>4286</x:v>
      </x:c>
      <x:c r="I4307" s="274" t="n">
        <x:v>0.65</x:v>
      </x:c>
      <x:c r="J4307" s="274" t="n">
        <x:v>1435</x:v>
      </x:c>
      <x:c r="K4307" s="274" t="n">
        <x:v>1168</x:v>
      </x:c>
      <x:c r="M4307" s="274" t="s">
        <x:v>7830</x:v>
      </x:c>
      <x:c r="N4307" s="274" t="s">
        <x:v>4258</x:v>
      </x:c>
    </x:row>
    <x:row r="4308" spans="1:14">
      <x:c r="A4308" s="274" t="s">
        <x:v>7831</x:v>
      </x:c>
      <x:c r="B4308" s="274" t="n">
        <x:v>1.61</x:v>
      </x:c>
      <x:c r="C4308" s="274" t="n">
        <x:v>0</x:v>
      </x:c>
      <x:c r="D4308" s="274" t="n">
        <x:v>0</x:v>
      </x:c>
      <x:c r="F4308" s="274" t="s">
        <x:v>3412</x:v>
      </x:c>
      <x:c r="G4308" s="274" t="s">
        <x:v>5476</x:v>
      </x:c>
      <x:c r="I4308" s="274" t="n">
        <x:v>1</x:v>
      </x:c>
      <x:c r="J4308" s="274" t="n">
        <x:v>187</x:v>
      </x:c>
      <x:c r="K4308" s="274" t="n">
        <x:v>1115</x:v>
      </x:c>
      <x:c r="M4308" s="274" t="s">
        <x:v>7293</x:v>
      </x:c>
      <x:c r="N4308" s="274" t="s">
        <x:v>4258</x:v>
      </x:c>
    </x:row>
    <x:row r="4309" spans="1:14">
      <x:c r="A4309" s="274" t="s">
        <x:v>7832</x:v>
      </x:c>
      <x:c r="B4309" s="274" t="n">
        <x:v>1.15</x:v>
      </x:c>
      <x:c r="C4309" s="274" t="n">
        <x:v>0</x:v>
      </x:c>
      <x:c r="D4309" s="274" t="n">
        <x:v>0</x:v>
      </x:c>
      <x:c r="F4309" s="274" t="s">
        <x:v>3412</x:v>
      </x:c>
      <x:c r="G4309" s="274" t="s">
        <x:v>5476</x:v>
      </x:c>
      <x:c r="I4309" s="274" t="n">
        <x:v>1</x:v>
      </x:c>
      <x:c r="J4309" s="274" t="n">
        <x:v>132</x:v>
      </x:c>
      <x:c r="K4309" s="274" t="n">
        <x:v>1130</x:v>
      </x:c>
      <x:c r="M4309" s="274" t="s">
        <x:v>7287</x:v>
      </x:c>
      <x:c r="N4309" s="274" t="s">
        <x:v>4258</x:v>
      </x:c>
    </x:row>
    <x:row r="4310" spans="1:14">
      <x:c r="A4310" s="274" t="s">
        <x:v>7833</x:v>
      </x:c>
      <x:c r="B4310" s="274" t="n">
        <x:v>0.33</x:v>
      </x:c>
      <x:c r="C4310" s="274" t="n">
        <x:v>0</x:v>
      </x:c>
      <x:c r="D4310" s="274" t="n">
        <x:v>0</x:v>
      </x:c>
      <x:c r="F4310" s="274" t="s">
        <x:v>3412</x:v>
      </x:c>
      <x:c r="G4310" s="274" t="s">
        <x:v>5476</x:v>
      </x:c>
      <x:c r="I4310" s="274" t="n">
        <x:v>1</x:v>
      </x:c>
      <x:c r="J4310" s="274" t="n">
        <x:v>170</x:v>
      </x:c>
      <x:c r="K4310" s="274" t="n">
        <x:v>250</x:v>
      </x:c>
      <x:c r="M4310" s="274" t="s">
        <x:v>7285</x:v>
      </x:c>
      <x:c r="N4310" s="274" t="s">
        <x:v>4258</x:v>
      </x:c>
    </x:row>
    <x:row r="4311" spans="1:14">
      <x:c r="A4311" s="274" t="s">
        <x:v>7834</x:v>
      </x:c>
      <x:c r="B4311" s="274" t="n">
        <x:v>0.81</x:v>
      </x:c>
      <x:c r="C4311" s="274" t="n">
        <x:v>0</x:v>
      </x:c>
      <x:c r="D4311" s="274" t="n">
        <x:v>0</x:v>
      </x:c>
      <x:c r="F4311" s="274" t="s">
        <x:v>333</x:v>
      </x:c>
      <x:c r="G4311" s="274" t="s">
        <x:v>209</x:v>
      </x:c>
      <x:c r="I4311" s="274" t="n">
        <x:v>1.2</x:v>
      </x:c>
      <x:c r="J4311" s="274" t="n">
        <x:v>69</x:v>
      </x:c>
      <x:c r="K4311" s="274" t="n">
        <x:v>1250</x:v>
      </x:c>
      <x:c r="M4311" s="274" t="s">
        <x:v>7835</x:v>
      </x:c>
      <x:c r="N4311" s="274" t="s">
        <x:v>3671</x:v>
      </x:c>
    </x:row>
    <x:row r="4312" spans="1:14">
      <x:c r="A4312" s="274" t="s">
        <x:v>7836</x:v>
      </x:c>
      <x:c r="B4312" s="274" t="n">
        <x:v>0.86</x:v>
      </x:c>
      <x:c r="C4312" s="274" t="n">
        <x:v>0</x:v>
      </x:c>
      <x:c r="D4312" s="274" t="n">
        <x:v>0</x:v>
      </x:c>
      <x:c r="F4312" s="274" t="s">
        <x:v>333</x:v>
      </x:c>
      <x:c r="G4312" s="274" t="s">
        <x:v>209</x:v>
      </x:c>
      <x:c r="I4312" s="274" t="n">
        <x:v>1.2</x:v>
      </x:c>
      <x:c r="J4312" s="274" t="n">
        <x:v>73</x:v>
      </x:c>
      <x:c r="K4312" s="274" t="n">
        <x:v>1250</x:v>
      </x:c>
      <x:c r="M4312" s="274" t="s">
        <x:v>5255</x:v>
      </x:c>
      <x:c r="N4312" s="274" t="s">
        <x:v>3671</x:v>
      </x:c>
    </x:row>
    <x:row r="4313" spans="1:14">
      <x:c r="A4313" s="274" t="s">
        <x:v>7837</x:v>
      </x:c>
      <x:c r="B4313" s="274" t="n">
        <x:v>0.87</x:v>
      </x:c>
      <x:c r="C4313" s="274" t="n">
        <x:v>0</x:v>
      </x:c>
      <x:c r="D4313" s="274" t="n">
        <x:v>0</x:v>
      </x:c>
      <x:c r="F4313" s="274" t="s">
        <x:v>333</x:v>
      </x:c>
      <x:c r="G4313" s="274" t="s">
        <x:v>209</x:v>
      </x:c>
      <x:c r="I4313" s="274" t="n">
        <x:v>1.2</x:v>
      </x:c>
      <x:c r="J4313" s="274" t="n">
        <x:v>74</x:v>
      </x:c>
      <x:c r="K4313" s="274" t="n">
        <x:v>1250</x:v>
      </x:c>
      <x:c r="M4313" s="274" t="s">
        <x:v>5210</x:v>
      </x:c>
      <x:c r="N4313" s="274" t="s">
        <x:v>3671</x:v>
      </x:c>
    </x:row>
    <x:row r="4314" spans="1:14">
      <x:c r="A4314" s="274" t="s">
        <x:v>7838</x:v>
      </x:c>
      <x:c r="B4314" s="274" t="n">
        <x:v>1.01</x:v>
      </x:c>
      <x:c r="C4314" s="274" t="n">
        <x:v>0</x:v>
      </x:c>
      <x:c r="D4314" s="274" t="n">
        <x:v>0</x:v>
      </x:c>
      <x:c r="F4314" s="274" t="s">
        <x:v>333</x:v>
      </x:c>
      <x:c r="G4314" s="274" t="s">
        <x:v>209</x:v>
      </x:c>
      <x:c r="I4314" s="274" t="n">
        <x:v>1.2</x:v>
      </x:c>
      <x:c r="J4314" s="274" t="n">
        <x:v>86</x:v>
      </x:c>
      <x:c r="K4314" s="274" t="n">
        <x:v>1250</x:v>
      </x:c>
      <x:c r="M4314" s="274" t="s">
        <x:v>5247</x:v>
      </x:c>
      <x:c r="N4314" s="274" t="s">
        <x:v>3671</x:v>
      </x:c>
    </x:row>
    <x:row r="4315" spans="1:14">
      <x:c r="A4315" s="274" t="s">
        <x:v>7839</x:v>
      </x:c>
      <x:c r="B4315" s="274" t="n">
        <x:v>7.13</x:v>
      </x:c>
      <x:c r="C4315" s="274" t="n">
        <x:v>28</x:v>
      </x:c>
      <x:c r="D4315" s="274" t="n">
        <x:v>28</x:v>
      </x:c>
      <x:c r="F4315" s="274" t="s">
        <x:v>123</x:v>
      </x:c>
      <x:c r="G4315" s="274" t="s">
        <x:v>4663</x:v>
      </x:c>
      <x:c r="I4315" s="274" t="n">
        <x:v>0.65</x:v>
      </x:c>
      <x:c r="J4315" s="274" t="n">
        <x:v>1318</x:v>
      </x:c>
      <x:c r="K4315" s="274" t="n">
        <x:v>1061</x:v>
      </x:c>
      <x:c r="M4315" s="274" t="s">
        <x:v>7840</x:v>
      </x:c>
      <x:c r="N4315" s="274" t="s">
        <x:v>4258</x:v>
      </x:c>
    </x:row>
    <x:row r="4316" spans="1:14">
      <x:c r="A4316" s="274" t="s">
        <x:v>7841</x:v>
      </x:c>
      <x:c r="B4316" s="274" t="n">
        <x:v>5.11</x:v>
      </x:c>
      <x:c r="C4316" s="274" t="n">
        <x:v>28</x:v>
      </x:c>
      <x:c r="D4316" s="274" t="n">
        <x:v>28</x:v>
      </x:c>
      <x:c r="F4316" s="274" t="s">
        <x:v>333</x:v>
      </x:c>
      <x:c r="G4316" s="274" t="s">
        <x:v>4663</x:v>
      </x:c>
      <x:c r="I4316" s="274" t="n">
        <x:v>0.65</x:v>
      </x:c>
      <x:c r="J4316" s="274" t="n">
        <x:v>1040</x:v>
      </x:c>
      <x:c r="K4316" s="274" t="n">
        <x:v>928</x:v>
      </x:c>
      <x:c r="L4316" s="274" t="n">
        <x:v>998</x:v>
      </x:c>
      <x:c r="M4316" s="274" t="s">
        <x:v>7842</x:v>
      </x:c>
      <x:c r="N4316" s="274" t="s">
        <x:v>4258</x:v>
      </x:c>
    </x:row>
    <x:row r="4317" spans="1:14">
      <x:c r="A4317" s="274" t="s">
        <x:v>7843</x:v>
      </x:c>
      <x:c r="B4317" s="274" t="n">
        <x:v>9.32</x:v>
      </x:c>
      <x:c r="C4317" s="274" t="n">
        <x:v>32</x:v>
      </x:c>
      <x:c r="D4317" s="274" t="n">
        <x:v>32</x:v>
      </x:c>
      <x:c r="E4317" s="274" t="n">
        <x:v>0</x:v>
      </x:c>
      <x:c r="F4317" s="274" t="s">
        <x:v>123</x:v>
      </x:c>
      <x:c r="G4317" s="274" t="s">
        <x:v>4286</x:v>
      </x:c>
      <x:c r="I4317" s="274" t="n">
        <x:v>0.9</x:v>
      </x:c>
      <x:c r="J4317" s="274" t="n">
        <x:v>1599</x:v>
      </x:c>
      <x:c r="K4317" s="274" t="n">
        <x:v>825</x:v>
      </x:c>
      <x:c r="M4317" s="274" t="s">
        <x:v>7844</x:v>
      </x:c>
      <x:c r="N4317" s="274" t="s">
        <x:v>4258</x:v>
      </x:c>
    </x:row>
    <x:row r="4318" spans="1:14">
      <x:c r="A4318" s="274" t="s">
        <x:v>7845</x:v>
      </x:c>
      <x:c r="B4318" s="274" t="n">
        <x:v>3.1</x:v>
      </x:c>
      <x:c r="C4318" s="274" t="n">
        <x:v>0</x:v>
      </x:c>
      <x:c r="D4318" s="274" t="n">
        <x:v>33</x:v>
      </x:c>
      <x:c r="E4318" s="274" t="n">
        <x:v>30</x:v>
      </x:c>
      <x:c r="F4318" s="274" t="s">
        <x:v>311</x:v>
      </x:c>
      <x:c r="G4318" s="274" t="s">
        <x:v>6529</x:v>
      </x:c>
      <x:c r="H4318" s="274" t="s">
        <x:v>837</x:v>
      </x:c>
      <x:c r="I4318" s="274" t="n">
        <x:v>0.8</x:v>
      </x:c>
      <x:c r="J4318" s="274" t="n">
        <x:v>600</x:v>
      </x:c>
      <x:c r="K4318" s="274" t="n">
        <x:v>820</x:v>
      </x:c>
      <x:c r="M4318" s="274" t="s">
        <x:v>3166</x:v>
      </x:c>
      <x:c r="N4318" s="274" t="s">
        <x:v>831</x:v>
      </x:c>
    </x:row>
    <x:row r="4319" spans="1:14">
      <x:c r="A4319" s="274" t="s">
        <x:v>7846</x:v>
      </x:c>
      <x:c r="B4319" s="274" t="n">
        <x:v>0.72</x:v>
      </x:c>
      <x:c r="C4319" s="274" t="n">
        <x:v>0</x:v>
      </x:c>
      <x:c r="D4319" s="274" t="n">
        <x:v>0</x:v>
      </x:c>
      <x:c r="F4319" s="274" t="s">
        <x:v>133</x:v>
      </x:c>
      <x:c r="G4319" s="274" t="s">
        <x:v>144</x:v>
      </x:c>
      <x:c r="H4319" s="274" t="n">
        <x:v>45</x:v>
      </x:c>
      <x:c r="I4319" s="274" t="n">
        <x:v>1.2</x:v>
      </x:c>
      <x:c r="J4319" s="274" t="n">
        <x:v>200</x:v>
      </x:c>
      <x:c r="K4319" s="274" t="n">
        <x:v>380</x:v>
      </x:c>
      <x:c r="M4319" s="274" t="s">
        <x:v>7847</x:v>
      </x:c>
      <x:c r="N4319" s="274" t="s">
        <x:v>3671</x:v>
      </x:c>
    </x:row>
    <x:row r="4320" spans="1:14">
      <x:c r="A4320" s="274" t="s">
        <x:v>7848</x:v>
      </x:c>
      <x:c r="B4320" s="274" t="n">
        <x:v>0.86</x:v>
      </x:c>
      <x:c r="C4320" s="274" t="n">
        <x:v>0</x:v>
      </x:c>
      <x:c r="D4320" s="274" t="n">
        <x:v>0</x:v>
      </x:c>
      <x:c r="F4320" s="274" t="s">
        <x:v>123</x:v>
      </x:c>
      <x:c r="G4320" s="274" t="s">
        <x:v>136</x:v>
      </x:c>
      <x:c r="H4320" s="274" t="n">
        <x:v>45</x:v>
      </x:c>
      <x:c r="I4320" s="274" t="n">
        <x:v>0.55</x:v>
      </x:c>
      <x:c r="J4320" s="274" t="n">
        <x:v>455</x:v>
      </x:c>
      <x:c r="K4320" s="274" t="n">
        <x:v>430</x:v>
      </x:c>
      <x:c r="M4320" s="274" t="s">
        <x:v>7849</x:v>
      </x:c>
      <x:c r="N4320" s="274" t="s">
        <x:v>3671</x:v>
      </x:c>
    </x:row>
    <x:row r="4321" spans="1:14">
      <x:c r="A4321" s="274" t="s">
        <x:v>7850</x:v>
      </x:c>
      <x:c r="B4321" s="274" t="n">
        <x:v>1.38</x:v>
      </x:c>
      <x:c r="C4321" s="274" t="n">
        <x:v>0</x:v>
      </x:c>
      <x:c r="D4321" s="274" t="n">
        <x:v>0</x:v>
      </x:c>
      <x:c r="F4321" s="274" t="s">
        <x:v>123</x:v>
      </x:c>
      <x:c r="G4321" s="274" t="s">
        <x:v>136</x:v>
      </x:c>
      <x:c r="H4321" s="274" t="n">
        <x:v>45</x:v>
      </x:c>
      <x:c r="I4321" s="274" t="n">
        <x:v>0.55</x:v>
      </x:c>
      <x:c r="J4321" s="274" t="n">
        <x:v>285</x:v>
      </x:c>
      <x:c r="K4321" s="274" t="n">
        <x:v>1100</x:v>
      </x:c>
      <x:c r="M4321" s="274" t="s">
        <x:v>5080</x:v>
      </x:c>
      <x:c r="N4321" s="274" t="s">
        <x:v>3671</x:v>
      </x:c>
    </x:row>
    <x:row r="4322" spans="1:14">
      <x:c r="A4322" s="274" t="s">
        <x:v>7851</x:v>
      </x:c>
      <x:c r="B4322" s="274" t="n">
        <x:v>2.9</x:v>
      </x:c>
      <x:c r="C4322" s="274" t="n">
        <x:v>0</x:v>
      </x:c>
      <x:c r="D4322" s="274" t="n">
        <x:v>0</x:v>
      </x:c>
      <x:c r="F4322" s="274" t="s">
        <x:v>133</x:v>
      </x:c>
      <x:c r="G4322" s="274" t="s">
        <x:v>144</x:v>
      </x:c>
      <x:c r="H4322" s="274" t="n">
        <x:v>45</x:v>
      </x:c>
      <x:c r="I4322" s="274" t="n">
        <x:v>1.2</x:v>
      </x:c>
      <x:c r="J4322" s="274" t="n">
        <x:v>250</x:v>
      </x:c>
      <x:c r="K4322" s="274" t="n">
        <x:v>1219</x:v>
      </x:c>
      <x:c r="M4322" s="274" t="s">
        <x:v>7852</x:v>
      </x:c>
      <x:c r="N4322" s="274" t="s">
        <x:v>3671</x:v>
      </x:c>
    </x:row>
    <x:row r="4323" spans="1:14">
      <x:c r="A4323" s="274" t="s">
        <x:v>7853</x:v>
      </x:c>
      <x:c r="B4323" s="274" t="n">
        <x:v>8.13</x:v>
      </x:c>
      <x:c r="C4323" s="274" t="n">
        <x:v>0</x:v>
      </x:c>
      <x:c r="D4323" s="274" t="n">
        <x:v>0</x:v>
      </x:c>
      <x:c r="F4323" s="274" t="s">
        <x:v>133</x:v>
      </x:c>
      <x:c r="G4323" s="274" t="s">
        <x:v>144</x:v>
      </x:c>
      <x:c r="H4323" s="274" t="n">
        <x:v>45</x:v>
      </x:c>
      <x:c r="I4323" s="274" t="n">
        <x:v>1.2</x:v>
      </x:c>
      <x:c r="J4323" s="274" t="n">
        <x:v>900</x:v>
      </x:c>
      <x:c r="K4323" s="274" t="n">
        <x:v>950</x:v>
      </x:c>
      <x:c r="M4323" s="274" t="s">
        <x:v>4440</x:v>
      </x:c>
      <x:c r="N4323" s="274" t="s">
        <x:v>3671</x:v>
      </x:c>
    </x:row>
    <x:row r="4324" spans="1:14">
      <x:c r="A4324" s="274" t="s">
        <x:v>7854</x:v>
      </x:c>
      <x:c r="B4324" s="274" t="n">
        <x:v>2.44</x:v>
      </x:c>
      <x:c r="C4324" s="274" t="n">
        <x:v>0</x:v>
      </x:c>
      <x:c r="D4324" s="274" t="n">
        <x:v>0</x:v>
      </x:c>
      <x:c r="F4324" s="274" t="s">
        <x:v>133</x:v>
      </x:c>
      <x:c r="G4324" s="274" t="s">
        <x:v>144</x:v>
      </x:c>
      <x:c r="H4324" s="274" t="n">
        <x:v>45</x:v>
      </x:c>
      <x:c r="I4324" s="274" t="n">
        <x:v>1.2</x:v>
      </x:c>
      <x:c r="J4324" s="274" t="n">
        <x:v>205</x:v>
      </x:c>
      <x:c r="K4324" s="274" t="n">
        <x:v>1250</x:v>
      </x:c>
      <x:c r="M4324" s="274" t="s">
        <x:v>7855</x:v>
      </x:c>
      <x:c r="N4324" s="274" t="s">
        <x:v>3671</x:v>
      </x:c>
    </x:row>
    <x:row r="4325" spans="1:14">
      <x:c r="A4325" s="274" t="s">
        <x:v>7856</x:v>
      </x:c>
      <x:c r="B4325" s="274" t="n">
        <x:v>0.91</x:v>
      </x:c>
      <x:c r="C4325" s="274" t="n">
        <x:v>0</x:v>
      </x:c>
      <x:c r="D4325" s="274" t="n">
        <x:v>0</x:v>
      </x:c>
      <x:c r="F4325" s="274" t="s">
        <x:v>333</x:v>
      </x:c>
      <x:c r="G4325" s="274" t="s">
        <x:v>209</x:v>
      </x:c>
      <x:c r="I4325" s="274" t="n">
        <x:v>1.2</x:v>
      </x:c>
      <x:c r="J4325" s="274" t="n">
        <x:v>77</x:v>
      </x:c>
      <x:c r="K4325" s="274" t="n">
        <x:v>1250</x:v>
      </x:c>
      <x:c r="M4325" s="274" t="s">
        <x:v>7857</x:v>
      </x:c>
      <x:c r="N4325" s="274" t="s">
        <x:v>3671</x:v>
      </x:c>
    </x:row>
    <x:row r="4326" spans="1:14">
      <x:c r="A4326" s="274" t="s">
        <x:v>7858</x:v>
      </x:c>
      <x:c r="B4326" s="274" t="n">
        <x:v>2.27</x:v>
      </x:c>
      <x:c r="C4326" s="274" t="n">
        <x:v>0</x:v>
      </x:c>
      <x:c r="D4326" s="274" t="n">
        <x:v>0</x:v>
      </x:c>
      <x:c r="F4326" s="274" t="s">
        <x:v>333</x:v>
      </x:c>
      <x:c r="G4326" s="274" t="s">
        <x:v>209</x:v>
      </x:c>
      <x:c r="I4326" s="274" t="n">
        <x:v>1.2</x:v>
      </x:c>
      <x:c r="J4326" s="274" t="n">
        <x:v>193</x:v>
      </x:c>
      <x:c r="K4326" s="274" t="n">
        <x:v>1250</x:v>
      </x:c>
      <x:c r="M4326" s="274" t="s">
        <x:v>7859</x:v>
      </x:c>
      <x:c r="N4326" s="274" t="s">
        <x:v>3671</x:v>
      </x:c>
    </x:row>
    <x:row r="4327" spans="1:14">
      <x:c r="A4327" s="274" t="s">
        <x:v>7860</x:v>
      </x:c>
      <x:c r="B4327" s="274" t="n">
        <x:v>1.55</x:v>
      </x:c>
      <x:c r="C4327" s="274" t="n">
        <x:v>0</x:v>
      </x:c>
      <x:c r="D4327" s="274" t="n">
        <x:v>30</x:v>
      </x:c>
      <x:c r="E4327" s="274" t="n">
        <x:v>30</x:v>
      </x:c>
      <x:c r="F4327" s="274" t="s">
        <x:v>333</x:v>
      </x:c>
      <x:c r="G4327" s="274" t="s">
        <x:v>209</x:v>
      </x:c>
      <x:c r="I4327" s="274" t="n">
        <x:v>1.2</x:v>
      </x:c>
      <x:c r="J4327" s="274" t="n">
        <x:v>132</x:v>
      </x:c>
      <x:c r="K4327" s="274" t="n">
        <x:v>1250</x:v>
      </x:c>
      <x:c r="M4327" s="274" t="s">
        <x:v>7861</x:v>
      </x:c>
      <x:c r="N4327" s="274" t="s">
        <x:v>3671</x:v>
      </x:c>
    </x:row>
    <x:row r="4328" spans="1:14">
      <x:c r="A4328" s="274" t="s">
        <x:v>7862</x:v>
      </x:c>
      <x:c r="B4328" s="274" t="n">
        <x:v>1.76</x:v>
      </x:c>
      <x:c r="C4328" s="274" t="n">
        <x:v>0</x:v>
      </x:c>
      <x:c r="D4328" s="274" t="n">
        <x:v>0</x:v>
      </x:c>
      <x:c r="F4328" s="274" t="s">
        <x:v>133</x:v>
      </x:c>
      <x:c r="G4328" s="274" t="s">
        <x:v>136</x:v>
      </x:c>
      <x:c r="H4328" s="274" t="n">
        <x:v>45</x:v>
      </x:c>
      <x:c r="I4328" s="274" t="n">
        <x:v>0.7</x:v>
      </x:c>
      <x:c r="J4328" s="274" t="n">
        <x:v>450</x:v>
      </x:c>
      <x:c r="K4328" s="274" t="n">
        <x:v>700</x:v>
      </x:c>
      <x:c r="M4328" s="274" t="s">
        <x:v>6116</x:v>
      </x:c>
      <x:c r="N4328" s="274" t="s">
        <x:v>3671</x:v>
      </x:c>
    </x:row>
    <x:row r="4329" spans="1:14">
      <x:c r="A4329" s="274" t="s">
        <x:v>7863</x:v>
      </x:c>
      <x:c r="B4329" s="274" t="n">
        <x:v>1.68</x:v>
      </x:c>
      <x:c r="C4329" s="274" t="n">
        <x:v>0</x:v>
      </x:c>
      <x:c r="D4329" s="274" t="n">
        <x:v>0</x:v>
      </x:c>
      <x:c r="F4329" s="274" t="s">
        <x:v>333</x:v>
      </x:c>
      <x:c r="G4329" s="274" t="s">
        <x:v>209</x:v>
      </x:c>
      <x:c r="I4329" s="274" t="n">
        <x:v>0.65</x:v>
      </x:c>
      <x:c r="J4329" s="274" t="n">
        <x:v>310</x:v>
      </x:c>
      <x:c r="K4329" s="274" t="n">
        <x:v>1060</x:v>
      </x:c>
      <x:c r="M4329" s="274" t="s">
        <x:v>7864</x:v>
      </x:c>
    </x:row>
    <x:row r="4330" spans="1:14">
      <x:c r="A4330" s="274" t="s">
        <x:v>7865</x:v>
      </x:c>
      <x:c r="B4330" s="274" t="n">
        <x:v>0.98</x:v>
      </x:c>
      <x:c r="C4330" s="274" t="n">
        <x:v>0</x:v>
      </x:c>
      <x:c r="D4330" s="274" t="n">
        <x:v>0</x:v>
      </x:c>
      <x:c r="F4330" s="274" t="s">
        <x:v>333</x:v>
      </x:c>
      <x:c r="G4330" s="274" t="s">
        <x:v>209</x:v>
      </x:c>
      <x:c r="I4330" s="274" t="n">
        <x:v>0.6</x:v>
      </x:c>
      <x:c r="J4330" s="274" t="n">
        <x:v>166</x:v>
      </x:c>
      <x:c r="K4330" s="274" t="n">
        <x:v>1250</x:v>
      </x:c>
      <x:c r="M4330" s="274" t="s">
        <x:v>7866</x:v>
      </x:c>
      <x:c r="N4330" s="274" t="s">
        <x:v>3671</x:v>
      </x:c>
    </x:row>
    <x:row r="4331" spans="1:14">
      <x:c r="A4331" s="274" t="s">
        <x:v>7867</x:v>
      </x:c>
      <x:c r="B4331" s="274" t="n">
        <x:v>0.93</x:v>
      </x:c>
      <x:c r="C4331" s="274" t="n">
        <x:v>0</x:v>
      </x:c>
      <x:c r="D4331" s="274" t="n">
        <x:v>0</x:v>
      </x:c>
      <x:c r="F4331" s="274" t="s">
        <x:v>333</x:v>
      </x:c>
      <x:c r="G4331" s="274" t="s">
        <x:v>209</x:v>
      </x:c>
      <x:c r="I4331" s="274" t="n">
        <x:v>0.6</x:v>
      </x:c>
      <x:c r="J4331" s="274" t="n">
        <x:v>158</x:v>
      </x:c>
      <x:c r="K4331" s="274" t="n">
        <x:v>1250</x:v>
      </x:c>
      <x:c r="M4331" s="274" t="s">
        <x:v>7821</x:v>
      </x:c>
    </x:row>
    <x:row r="4332" spans="1:14">
      <x:c r="A4332" s="274" t="s">
        <x:v>7868</x:v>
      </x:c>
      <x:c r="B4332" s="274" t="n">
        <x:v>2.27</x:v>
      </x:c>
      <x:c r="C4332" s="274" t="n">
        <x:v>0</x:v>
      </x:c>
      <x:c r="D4332" s="274" t="n">
        <x:v>0</x:v>
      </x:c>
      <x:c r="F4332" s="274" t="s">
        <x:v>133</x:v>
      </x:c>
      <x:c r="G4332" s="274" t="s">
        <x:v>153</x:v>
      </x:c>
      <x:c r="I4332" s="274" t="n">
        <x:v>0.6</x:v>
      </x:c>
      <x:c r="J4332" s="274" t="n">
        <x:v>386</x:v>
      </x:c>
      <x:c r="K4332" s="274" t="n">
        <x:v>1250</x:v>
      </x:c>
      <x:c r="M4332" s="274" t="s">
        <x:v>7869</x:v>
      </x:c>
      <x:c r="N4332" s="274" t="s">
        <x:v>3671</x:v>
      </x:c>
    </x:row>
    <x:row r="4333" spans="1:14">
      <x:c r="A4333" s="274" t="s">
        <x:v>7870</x:v>
      </x:c>
      <x:c r="B4333" s="274" t="n">
        <x:v>2.14</x:v>
      </x:c>
      <x:c r="C4333" s="274" t="n">
        <x:v>0</x:v>
      </x:c>
      <x:c r="D4333" s="274" t="n">
        <x:v>0</x:v>
      </x:c>
      <x:c r="F4333" s="274" t="s">
        <x:v>133</x:v>
      </x:c>
      <x:c r="G4333" s="274" t="s">
        <x:v>153</x:v>
      </x:c>
      <x:c r="I4333" s="274" t="n">
        <x:v>0.6</x:v>
      </x:c>
      <x:c r="J4333" s="274" t="n">
        <x:v>363</x:v>
      </x:c>
      <x:c r="K4333" s="274" t="n">
        <x:v>1250</x:v>
      </x:c>
      <x:c r="M4333" s="274" t="s">
        <x:v>7871</x:v>
      </x:c>
      <x:c r="N4333" s="274" t="s">
        <x:v>3671</x:v>
      </x:c>
    </x:row>
    <x:row r="4334" spans="1:14">
      <x:c r="A4334" s="274" t="s">
        <x:v>7872</x:v>
      </x:c>
      <x:c r="B4334" s="274" t="n">
        <x:v>2.47</x:v>
      </x:c>
      <x:c r="C4334" s="274" t="n">
        <x:v>0</x:v>
      </x:c>
      <x:c r="D4334" s="274" t="n">
        <x:v>0</x:v>
      </x:c>
      <x:c r="F4334" s="274" t="s">
        <x:v>133</x:v>
      </x:c>
      <x:c r="G4334" s="274" t="s">
        <x:v>136</x:v>
      </x:c>
      <x:c r="H4334" s="274" t="n">
        <x:v>45</x:v>
      </x:c>
      <x:c r="I4334" s="274" t="n">
        <x:v>0.8</x:v>
      </x:c>
      <x:c r="J4334" s="274" t="n">
        <x:v>310</x:v>
      </x:c>
      <x:c r="K4334" s="274" t="n">
        <x:v>1250</x:v>
      </x:c>
      <x:c r="M4334" s="274" t="s">
        <x:v>7873</x:v>
      </x:c>
    </x:row>
    <x:row r="4335" spans="1:14">
      <x:c r="A4335" s="274" t="s">
        <x:v>7874</x:v>
      </x:c>
      <x:c r="B4335" s="274" t="n">
        <x:v>0.9</x:v>
      </x:c>
      <x:c r="C4335" s="274" t="n">
        <x:v>0</x:v>
      </x:c>
      <x:c r="D4335" s="274" t="n">
        <x:v>0</x:v>
      </x:c>
      <x:c r="F4335" s="274" t="s">
        <x:v>123</x:v>
      </x:c>
      <x:c r="G4335" s="274" t="s">
        <x:v>129</x:v>
      </x:c>
      <x:c r="H4335" s="274" t="n">
        <x:v>45</x:v>
      </x:c>
      <x:c r="I4335" s="274" t="n">
        <x:v>0.8</x:v>
      </x:c>
      <x:c r="J4335" s="274" t="n">
        <x:v>155</x:v>
      </x:c>
      <x:c r="K4335" s="274" t="n">
        <x:v>915</x:v>
      </x:c>
      <x:c r="M4335" s="274" t="s">
        <x:v>5569</x:v>
      </x:c>
    </x:row>
    <x:row r="4336" spans="1:14">
      <x:c r="A4336" s="274" t="s">
        <x:v>7875</x:v>
      </x:c>
      <x:c r="B4336" s="274" t="n">
        <x:v>1.23</x:v>
      </x:c>
      <x:c r="C4336" s="274" t="n">
        <x:v>0</x:v>
      </x:c>
      <x:c r="D4336" s="274" t="n">
        <x:v>0</x:v>
      </x:c>
      <x:c r="F4336" s="274" t="s">
        <x:v>123</x:v>
      </x:c>
      <x:c r="G4336" s="274" t="s">
        <x:v>129</x:v>
      </x:c>
      <x:c r="H4336" s="274" t="n">
        <x:v>45</x:v>
      </x:c>
      <x:c r="I4336" s="274" t="n">
        <x:v>0.8</x:v>
      </x:c>
      <x:c r="J4336" s="274" t="n">
        <x:v>155</x:v>
      </x:c>
      <x:c r="K4336" s="274" t="n">
        <x:v>1250</x:v>
      </x:c>
      <x:c r="M4336" s="274" t="s">
        <x:v>6118</x:v>
      </x:c>
    </x:row>
    <x:row r="4337" spans="1:14">
      <x:c r="A4337" s="274" t="s">
        <x:v>7876</x:v>
      </x:c>
      <x:c r="B4337" s="274" t="n">
        <x:v>0.6</x:v>
      </x:c>
      <x:c r="C4337" s="274" t="n">
        <x:v>0</x:v>
      </x:c>
      <x:c r="D4337" s="274" t="n">
        <x:v>0</x:v>
      </x:c>
      <x:c r="F4337" s="274" t="s">
        <x:v>123</x:v>
      </x:c>
      <x:c r="G4337" s="274" t="s">
        <x:v>129</x:v>
      </x:c>
      <x:c r="H4337" s="274" t="n">
        <x:v>45</x:v>
      </x:c>
      <x:c r="I4337" s="274" t="n">
        <x:v>0.8</x:v>
      </x:c>
      <x:c r="J4337" s="274" t="n">
        <x:v>75</x:v>
      </x:c>
      <x:c r="K4337" s="274" t="n">
        <x:v>1250</x:v>
      </x:c>
      <x:c r="M4337" s="274" t="s">
        <x:v>6553</x:v>
      </x:c>
    </x:row>
    <x:row r="4338" spans="1:14">
      <x:c r="A4338" s="274" t="s">
        <x:v>7877</x:v>
      </x:c>
      <x:c r="B4338" s="274" t="n">
        <x:v>3.08</x:v>
      </x:c>
      <x:c r="C4338" s="274" t="n">
        <x:v>0</x:v>
      </x:c>
      <x:c r="D4338" s="274" t="n">
        <x:v>0</x:v>
      </x:c>
      <x:c r="F4338" s="274" t="s">
        <x:v>333</x:v>
      </x:c>
      <x:c r="G4338" s="274" t="s">
        <x:v>5307</x:v>
      </x:c>
      <x:c r="I4338" s="274" t="n">
        <x:v>1.6</x:v>
      </x:c>
      <x:c r="J4338" s="274" t="n">
        <x:v>196</x:v>
      </x:c>
      <x:c r="K4338" s="274" t="n">
        <x:v>1250</x:v>
      </x:c>
      <x:c r="M4338" s="274" t="s">
        <x:v>7878</x:v>
      </x:c>
      <x:c r="N4338" s="274" t="s">
        <x:v>3671</x:v>
      </x:c>
    </x:row>
    <x:row r="4339" spans="1:14">
      <x:c r="A4339" s="274" t="s">
        <x:v>7879</x:v>
      </x:c>
      <x:c r="B4339" s="274" t="n">
        <x:v>3.35</x:v>
      </x:c>
      <x:c r="C4339" s="274" t="n">
        <x:v>0</x:v>
      </x:c>
      <x:c r="D4339" s="274" t="n">
        <x:v>0</x:v>
      </x:c>
      <x:c r="F4339" s="274" t="s">
        <x:v>133</x:v>
      </x:c>
      <x:c r="G4339" s="274" t="s">
        <x:v>144</x:v>
      </x:c>
      <x:c r="H4339" s="274" t="n">
        <x:v>45</x:v>
      </x:c>
      <x:c r="I4339" s="274" t="n">
        <x:v>1.6</x:v>
      </x:c>
      <x:c r="J4339" s="274" t="n">
        <x:v>245</x:v>
      </x:c>
      <x:c r="K4339" s="274" t="n">
        <x:v>1080</x:v>
      </x:c>
      <x:c r="M4339" s="274" t="s">
        <x:v>7880</x:v>
      </x:c>
      <x:c r="N4339" s="274" t="s">
        <x:v>3671</x:v>
      </x:c>
    </x:row>
    <x:row r="4340" spans="1:14">
      <x:c r="A4340" s="274" t="s">
        <x:v>7881</x:v>
      </x:c>
      <x:c r="B4340" s="274" t="n">
        <x:v>1.26</x:v>
      </x:c>
      <x:c r="C4340" s="274" t="n">
        <x:v>0</x:v>
      </x:c>
      <x:c r="D4340" s="274" t="n">
        <x:v>0</x:v>
      </x:c>
      <x:c r="F4340" s="274" t="s">
        <x:v>128</x:v>
      </x:c>
      <x:c r="G4340" s="274" t="s">
        <x:v>139</x:v>
      </x:c>
      <x:c r="I4340" s="274" t="n">
        <x:v>1.6</x:v>
      </x:c>
      <x:c r="J4340" s="274" t="n">
        <x:v>80</x:v>
      </x:c>
      <x:c r="K4340" s="274" t="n">
        <x:v>1250</x:v>
      </x:c>
      <x:c r="M4340" s="274" t="s">
        <x:v>7882</x:v>
      </x:c>
      <x:c r="N4340" s="274" t="s">
        <x:v>3671</x:v>
      </x:c>
    </x:row>
    <x:row r="4341" spans="1:14">
      <x:c r="A4341" s="274" t="s">
        <x:v>7883</x:v>
      </x:c>
      <x:c r="B4341" s="274" t="n">
        <x:v>1</x:v>
      </x:c>
      <x:c r="C4341" s="274" t="n">
        <x:v>0</x:v>
      </x:c>
      <x:c r="D4341" s="274" t="n">
        <x:v>0</x:v>
      </x:c>
      <x:c r="F4341" s="274" t="s">
        <x:v>128</x:v>
      </x:c>
      <x:c r="G4341" s="274" t="s">
        <x:v>139</x:v>
      </x:c>
      <x:c r="I4341" s="274" t="n">
        <x:v>1.6</x:v>
      </x:c>
      <x:c r="J4341" s="274" t="n">
        <x:v>64</x:v>
      </x:c>
      <x:c r="K4341" s="274" t="n">
        <x:v>1250</x:v>
      </x:c>
      <x:c r="M4341" s="274" t="s">
        <x:v>7884</x:v>
      </x:c>
      <x:c r="N4341" s="274" t="s">
        <x:v>3671</x:v>
      </x:c>
    </x:row>
    <x:row r="4342" spans="1:14">
      <x:c r="A4342" s="274" t="s">
        <x:v>7885</x:v>
      </x:c>
      <x:c r="B4342" s="274" t="n">
        <x:v>1.07</x:v>
      </x:c>
      <x:c r="C4342" s="274" t="n">
        <x:v>0</x:v>
      </x:c>
      <x:c r="D4342" s="274" t="n">
        <x:v>0</x:v>
      </x:c>
      <x:c r="F4342" s="274" t="s">
        <x:v>128</x:v>
      </x:c>
      <x:c r="G4342" s="274" t="s">
        <x:v>139</x:v>
      </x:c>
      <x:c r="I4342" s="274" t="n">
        <x:v>1.6</x:v>
      </x:c>
      <x:c r="J4342" s="274" t="n">
        <x:v>68</x:v>
      </x:c>
      <x:c r="K4342" s="274" t="n">
        <x:v>1250</x:v>
      </x:c>
      <x:c r="M4342" s="274" t="s">
        <x:v>7886</x:v>
      </x:c>
      <x:c r="N4342" s="274" t="s">
        <x:v>3671</x:v>
      </x:c>
    </x:row>
    <x:row r="4343" spans="1:14">
      <x:c r="A4343" s="274" t="s">
        <x:v>7887</x:v>
      </x:c>
      <x:c r="B4343" s="274" t="n">
        <x:v>2.17</x:v>
      </x:c>
      <x:c r="C4343" s="274" t="n">
        <x:v>0</x:v>
      </x:c>
      <x:c r="D4343" s="274" t="n">
        <x:v>0</x:v>
      </x:c>
      <x:c r="F4343" s="274" t="s">
        <x:v>333</x:v>
      </x:c>
      <x:c r="G4343" s="274" t="s">
        <x:v>334</x:v>
      </x:c>
      <x:c r="I4343" s="274" t="n">
        <x:v>1.6</x:v>
      </x:c>
      <x:c r="J4343" s="274" t="n">
        <x:v>157</x:v>
      </x:c>
      <x:c r="K4343" s="274" t="n">
        <x:v>1100</x:v>
      </x:c>
      <x:c r="M4343" s="274" t="s">
        <x:v>7888</x:v>
      </x:c>
      <x:c r="N4343" s="274" t="s">
        <x:v>3671</x:v>
      </x:c>
    </x:row>
    <x:row r="4344" spans="1:14">
      <x:c r="A4344" s="274" t="s">
        <x:v>7889</x:v>
      </x:c>
      <x:c r="B4344" s="274" t="n">
        <x:v>0.33</x:v>
      </x:c>
      <x:c r="C4344" s="274" t="n">
        <x:v>0</x:v>
      </x:c>
      <x:c r="D4344" s="274" t="n">
        <x:v>0</x:v>
      </x:c>
      <x:c r="F4344" s="274" t="s">
        <x:v>123</x:v>
      </x:c>
      <x:c r="G4344" s="274" t="s">
        <x:v>148</x:v>
      </x:c>
      <x:c r="I4344" s="274" t="n">
        <x:v>1.6</x:v>
      </x:c>
      <x:c r="J4344" s="274" t="n">
        <x:v>140</x:v>
      </x:c>
      <x:c r="K4344" s="274" t="n">
        <x:v>190</x:v>
      </x:c>
      <x:c r="M4344" s="274" t="s">
        <x:v>5144</x:v>
      </x:c>
      <x:c r="N4344" s="274" t="s">
        <x:v>3671</x:v>
      </x:c>
    </x:row>
    <x:row r="4345" spans="1:14">
      <x:c r="A4345" s="274" t="s">
        <x:v>7890</x:v>
      </x:c>
      <x:c r="B4345" s="274" t="n">
        <x:v>1.16</x:v>
      </x:c>
      <x:c r="C4345" s="274" t="n">
        <x:v>0</x:v>
      </x:c>
      <x:c r="D4345" s="274" t="n">
        <x:v>0</x:v>
      </x:c>
      <x:c r="F4345" s="274" t="s">
        <x:v>123</x:v>
      </x:c>
      <x:c r="G4345" s="274" t="s">
        <x:v>148</x:v>
      </x:c>
      <x:c r="I4345" s="274" t="n">
        <x:v>1.6</x:v>
      </x:c>
      <x:c r="J4345" s="274" t="n">
        <x:v>74</x:v>
      </x:c>
      <x:c r="K4345" s="274" t="n">
        <x:v>1250</x:v>
      </x:c>
      <x:c r="M4345" s="274" t="s">
        <x:v>7891</x:v>
      </x:c>
      <x:c r="N4345" s="274" t="s">
        <x:v>3671</x:v>
      </x:c>
    </x:row>
    <x:row r="4346" spans="1:14">
      <x:c r="A4346" s="274" t="s">
        <x:v>7892</x:v>
      </x:c>
      <x:c r="B4346" s="274" t="n">
        <x:v>0.34</x:v>
      </x:c>
      <x:c r="C4346" s="274" t="n">
        <x:v>0</x:v>
      </x:c>
      <x:c r="D4346" s="274" t="n">
        <x:v>0</x:v>
      </x:c>
      <x:c r="F4346" s="274" t="s">
        <x:v>333</x:v>
      </x:c>
      <x:c r="G4346" s="274" t="s">
        <x:v>209</x:v>
      </x:c>
      <x:c r="I4346" s="274" t="n">
        <x:v>1.6</x:v>
      </x:c>
      <x:c r="J4346" s="274" t="n">
        <x:v>165</x:v>
      </x:c>
      <x:c r="K4346" s="274" t="n">
        <x:v>165</x:v>
      </x:c>
      <x:c r="M4346" s="274" t="s">
        <x:v>5148</x:v>
      </x:c>
      <x:c r="N4346" s="274" t="s">
        <x:v>3671</x:v>
      </x:c>
    </x:row>
    <x:row r="4347" spans="1:14">
      <x:c r="A4347" s="274" t="s">
        <x:v>7893</x:v>
      </x:c>
      <x:c r="B4347" s="274" t="n">
        <x:v>14.69</x:v>
      </x:c>
      <x:c r="C4347" s="274" t="n">
        <x:v>0</x:v>
      </x:c>
      <x:c r="D4347" s="274" t="n">
        <x:v>0</x:v>
      </x:c>
      <x:c r="F4347" s="274" t="s">
        <x:v>133</x:v>
      </x:c>
      <x:c r="G4347" s="274" t="s">
        <x:v>136</x:v>
      </x:c>
      <x:c r="H4347" s="274" t="n">
        <x:v>45</x:v>
      </x:c>
      <x:c r="I4347" s="274" t="n">
        <x:v>1.6</x:v>
      </x:c>
      <x:c r="J4347" s="274" t="n">
        <x:v>695</x:v>
      </x:c>
      <x:c r="K4347" s="274" t="n">
        <x:v>1670</x:v>
      </x:c>
      <x:c r="M4347" s="274" t="s">
        <x:v>5119</x:v>
      </x:c>
      <x:c r="N4347" s="274" t="s">
        <x:v>3671</x:v>
      </x:c>
    </x:row>
    <x:row r="4348" spans="1:14">
      <x:c r="A4348" s="274" t="s">
        <x:v>7894</x:v>
      </x:c>
      <x:c r="B4348" s="274" t="n">
        <x:v>2.01</x:v>
      </x:c>
      <x:c r="C4348" s="274" t="n">
        <x:v>0</x:v>
      </x:c>
      <x:c r="D4348" s="274" t="n">
        <x:v>0</x:v>
      </x:c>
      <x:c r="F4348" s="274" t="s">
        <x:v>333</x:v>
      </x:c>
      <x:c r="G4348" s="274" t="s">
        <x:v>4663</x:v>
      </x:c>
      <x:c r="I4348" s="274" t="n">
        <x:v>0.65</x:v>
      </x:c>
      <x:c r="J4348" s="274" t="n">
        <x:v>315</x:v>
      </x:c>
      <x:c r="K4348" s="274" t="n">
        <x:v>1250</x:v>
      </x:c>
      <x:c r="M4348" s="274" t="s">
        <x:v>5441</x:v>
      </x:c>
      <x:c r="N4348" s="274" t="s">
        <x:v>4258</x:v>
      </x:c>
    </x:row>
    <x:row r="4349" spans="1:14">
      <x:c r="A4349" s="274" t="s">
        <x:v>7895</x:v>
      </x:c>
      <x:c r="B4349" s="274" t="n">
        <x:v>2.06</x:v>
      </x:c>
      <x:c r="C4349" s="274" t="n">
        <x:v>0</x:v>
      </x:c>
      <x:c r="D4349" s="274" t="n">
        <x:v>0</x:v>
      </x:c>
      <x:c r="F4349" s="274" t="s">
        <x:v>333</x:v>
      </x:c>
      <x:c r="G4349" s="274" t="s">
        <x:v>4663</x:v>
      </x:c>
      <x:c r="I4349" s="274" t="n">
        <x:v>0.65</x:v>
      </x:c>
      <x:c r="J4349" s="274" t="n">
        <x:v>323</x:v>
      </x:c>
      <x:c r="K4349" s="274" t="n">
        <x:v>1250</x:v>
      </x:c>
      <x:c r="M4349" s="274" t="s">
        <x:v>5439</x:v>
      </x:c>
      <x:c r="N4349" s="274" t="s">
        <x:v>4258</x:v>
      </x:c>
    </x:row>
    <x:row r="4350" spans="1:14">
      <x:c r="A4350" s="274" t="s">
        <x:v>7896</x:v>
      </x:c>
      <x:c r="B4350" s="274" t="n">
        <x:v>2.47</x:v>
      </x:c>
      <x:c r="C4350" s="274" t="n">
        <x:v>0</x:v>
      </x:c>
      <x:c r="D4350" s="274" t="n">
        <x:v>0</x:v>
      </x:c>
      <x:c r="F4350" s="274" t="s">
        <x:v>333</x:v>
      </x:c>
      <x:c r="G4350" s="274" t="s">
        <x:v>4663</x:v>
      </x:c>
      <x:c r="I4350" s="274" t="n">
        <x:v>0.65</x:v>
      </x:c>
      <x:c r="J4350" s="274" t="n">
        <x:v>387</x:v>
      </x:c>
      <x:c r="K4350" s="274" t="n">
        <x:v>1250</x:v>
      </x:c>
      <x:c r="M4350" s="274" t="s">
        <x:v>5445</x:v>
      </x:c>
      <x:c r="N4350" s="274" t="s">
        <x:v>4258</x:v>
      </x:c>
    </x:row>
    <x:row r="4351" spans="1:14">
      <x:c r="A4351" s="274" t="s">
        <x:v>7897</x:v>
      </x:c>
      <x:c r="B4351" s="274" t="n">
        <x:v>0.67</x:v>
      </x:c>
      <x:c r="C4351" s="274" t="n">
        <x:v>0</x:v>
      </x:c>
      <x:c r="D4351" s="274" t="n">
        <x:v>0</x:v>
      </x:c>
      <x:c r="F4351" s="274" t="s">
        <x:v>333</x:v>
      </x:c>
      <x:c r="G4351" s="274" t="s">
        <x:v>4663</x:v>
      </x:c>
      <x:c r="I4351" s="274" t="n">
        <x:v>0.65</x:v>
      </x:c>
      <x:c r="J4351" s="274" t="n">
        <x:v>520</x:v>
      </x:c>
      <x:c r="K4351" s="274" t="n">
        <x:v>253</x:v>
      </x:c>
      <x:c r="M4351" s="274" t="s">
        <x:v>5454</x:v>
      </x:c>
      <x:c r="N4351" s="274" t="s">
        <x:v>4258</x:v>
      </x:c>
    </x:row>
    <x:row r="4352" spans="1:14">
      <x:c r="A4352" s="274" t="s">
        <x:v>7898</x:v>
      </x:c>
      <x:c r="B4352" s="274" t="n">
        <x:v>3.7</x:v>
      </x:c>
      <x:c r="C4352" s="274" t="n">
        <x:v>0</x:v>
      </x:c>
      <x:c r="D4352" s="274" t="n">
        <x:v>0</x:v>
      </x:c>
      <x:c r="F4352" s="274" t="s">
        <x:v>333</x:v>
      </x:c>
      <x:c r="G4352" s="274" t="s">
        <x:v>4663</x:v>
      </x:c>
      <x:c r="I4352" s="274" t="n">
        <x:v>0.65</x:v>
      </x:c>
      <x:c r="J4352" s="274" t="n">
        <x:v>580</x:v>
      </x:c>
      <x:c r="K4352" s="274" t="n">
        <x:v>1250</x:v>
      </x:c>
      <x:c r="M4352" s="274" t="s">
        <x:v>5443</x:v>
      </x:c>
      <x:c r="N4352" s="274" t="s">
        <x:v>4258</x:v>
      </x:c>
    </x:row>
    <x:row r="4353" spans="1:14">
      <x:c r="A4353" s="274" t="s">
        <x:v>7899</x:v>
      </x:c>
      <x:c r="B4353" s="274" t="n">
        <x:v>0.64</x:v>
      </x:c>
      <x:c r="C4353" s="274" t="n">
        <x:v>0</x:v>
      </x:c>
      <x:c r="D4353" s="274" t="n">
        <x:v>0</x:v>
      </x:c>
      <x:c r="F4353" s="274" t="s">
        <x:v>184</x:v>
      </x:c>
      <x:c r="G4353" s="274" t="s">
        <x:v>4782</x:v>
      </x:c>
      <x:c r="H4353" s="274" t="s">
        <x:v>4471</x:v>
      </x:c>
      <x:c r="I4353" s="274" t="n">
        <x:v>0.7</x:v>
      </x:c>
      <x:c r="J4353" s="274" t="n">
        <x:v>91</x:v>
      </x:c>
      <x:c r="K4353" s="274" t="n">
        <x:v>1250</x:v>
      </x:c>
      <x:c r="M4353" s="274" t="s">
        <x:v>5470</x:v>
      </x:c>
      <x:c r="N4353" s="274" t="s">
        <x:v>4258</x:v>
      </x:c>
    </x:row>
    <x:row r="4354" spans="1:14">
      <x:c r="A4354" s="274" t="s">
        <x:v>7900</x:v>
      </x:c>
      <x:c r="B4354" s="274" t="n">
        <x:v>0.66</x:v>
      </x:c>
      <x:c r="C4354" s="274" t="n">
        <x:v>0</x:v>
      </x:c>
      <x:c r="D4354" s="274" t="n">
        <x:v>0</x:v>
      </x:c>
      <x:c r="F4354" s="274" t="s">
        <x:v>184</x:v>
      </x:c>
      <x:c r="G4354" s="274" t="s">
        <x:v>4782</x:v>
      </x:c>
      <x:c r="H4354" s="274" t="s">
        <x:v>4471</x:v>
      </x:c>
      <x:c r="I4354" s="274" t="n">
        <x:v>0.7</x:v>
      </x:c>
      <x:c r="J4354" s="274" t="n">
        <x:v>95</x:v>
      </x:c>
      <x:c r="K4354" s="274" t="n">
        <x:v>1250</x:v>
      </x:c>
      <x:c r="M4354" s="274" t="s">
        <x:v>5474</x:v>
      </x:c>
      <x:c r="N4354" s="274" t="s">
        <x:v>4258</x:v>
      </x:c>
    </x:row>
    <x:row r="4355" spans="1:14">
      <x:c r="A4355" s="274" t="s">
        <x:v>7901</x:v>
      </x:c>
      <x:c r="B4355" s="274" t="n">
        <x:v>1.36</x:v>
      </x:c>
      <x:c r="C4355" s="274" t="n">
        <x:v>0</x:v>
      </x:c>
      <x:c r="D4355" s="274" t="n">
        <x:v>0</x:v>
      </x:c>
      <x:c r="F4355" s="274" t="s">
        <x:v>184</x:v>
      </x:c>
      <x:c r="G4355" s="274" t="s">
        <x:v>4782</x:v>
      </x:c>
      <x:c r="H4355" s="274" t="s">
        <x:v>4471</x:v>
      </x:c>
      <x:c r="I4355" s="274" t="n">
        <x:v>0.7</x:v>
      </x:c>
      <x:c r="J4355" s="274" t="n">
        <x:v>252</x:v>
      </x:c>
      <x:c r="K4355" s="274" t="n">
        <x:v>968</x:v>
      </x:c>
      <x:c r="M4355" s="274" t="s">
        <x:v>5464</x:v>
      </x:c>
      <x:c r="N4355" s="274" t="s">
        <x:v>4258</x:v>
      </x:c>
    </x:row>
    <x:row r="4356" spans="1:14">
      <x:c r="A4356" s="274" t="s">
        <x:v>7902</x:v>
      </x:c>
      <x:c r="B4356" s="274" t="n">
        <x:v>1.53</x:v>
      </x:c>
      <x:c r="C4356" s="274" t="n">
        <x:v>0</x:v>
      </x:c>
      <x:c r="D4356" s="274" t="n">
        <x:v>0</x:v>
      </x:c>
      <x:c r="F4356" s="274" t="s">
        <x:v>333</x:v>
      </x:c>
      <x:c r="G4356" s="274" t="s">
        <x:v>4663</x:v>
      </x:c>
      <x:c r="I4356" s="274" t="n">
        <x:v>1</x:v>
      </x:c>
      <x:c r="J4356" s="274" t="n">
        <x:v>156</x:v>
      </x:c>
      <x:c r="K4356" s="274" t="n">
        <x:v>1250</x:v>
      </x:c>
      <x:c r="M4356" s="274" t="s">
        <x:v>7903</x:v>
      </x:c>
      <x:c r="N4356" s="274" t="s">
        <x:v>4258</x:v>
      </x:c>
    </x:row>
    <x:row r="4357" spans="1:14">
      <x:c r="A4357" s="274" t="s">
        <x:v>7904</x:v>
      </x:c>
      <x:c r="B4357" s="274" t="n">
        <x:v>1.43</x:v>
      </x:c>
      <x:c r="C4357" s="274" t="n">
        <x:v>0</x:v>
      </x:c>
      <x:c r="D4357" s="274" t="n">
        <x:v>0</x:v>
      </x:c>
      <x:c r="F4357" s="274" t="s">
        <x:v>333</x:v>
      </x:c>
      <x:c r="G4357" s="274" t="s">
        <x:v>4663</x:v>
      </x:c>
      <x:c r="I4357" s="274" t="n">
        <x:v>1</x:v>
      </x:c>
      <x:c r="J4357" s="274" t="n">
        <x:v>730</x:v>
      </x:c>
      <x:c r="K4357" s="274" t="n">
        <x:v>250</x:v>
      </x:c>
      <x:c r="M4357" s="274" t="s">
        <x:v>5537</x:v>
      </x:c>
      <x:c r="N4357" s="274" t="s">
        <x:v>4258</x:v>
      </x:c>
    </x:row>
    <x:row r="4358" spans="1:14">
      <x:c r="A4358" s="274" t="s">
        <x:v>7905</x:v>
      </x:c>
      <x:c r="B4358" s="274" t="n">
        <x:v>0.74</x:v>
      </x:c>
      <x:c r="C4358" s="274" t="n">
        <x:v>0</x:v>
      </x:c>
      <x:c r="D4358" s="274" t="n">
        <x:v>0</x:v>
      </x:c>
      <x:c r="F4358" s="274" t="s">
        <x:v>184</x:v>
      </x:c>
      <x:c r="G4358" s="274" t="s">
        <x:v>4782</x:v>
      </x:c>
      <x:c r="H4358" s="274" t="s">
        <x:v>4471</x:v>
      </x:c>
      <x:c r="I4358" s="274" t="n">
        <x:v>1</x:v>
      </x:c>
      <x:c r="J4358" s="274" t="n">
        <x:v>75</x:v>
      </x:c>
      <x:c r="K4358" s="274" t="n">
        <x:v>1250</x:v>
      </x:c>
      <x:c r="M4358" s="274" t="s">
        <x:v>6773</x:v>
      </x:c>
      <x:c r="N4358" s="274" t="s">
        <x:v>4258</x:v>
      </x:c>
    </x:row>
    <x:row r="4359" spans="1:14">
      <x:c r="A4359" s="274" t="s">
        <x:v>7906</x:v>
      </x:c>
      <x:c r="B4359" s="274" t="n">
        <x:v>2.78</x:v>
      </x:c>
      <x:c r="C4359" s="274" t="n">
        <x:v>0</x:v>
      </x:c>
      <x:c r="D4359" s="274" t="n">
        <x:v>0</x:v>
      </x:c>
      <x:c r="F4359" s="274" t="s">
        <x:v>184</x:v>
      </x:c>
      <x:c r="G4359" s="274" t="s">
        <x:v>4782</x:v>
      </x:c>
      <x:c r="H4359" s="274" t="s">
        <x:v>4471</x:v>
      </x:c>
      <x:c r="I4359" s="274" t="n">
        <x:v>1</x:v>
      </x:c>
      <x:c r="J4359" s="274" t="n">
        <x:v>280</x:v>
      </x:c>
      <x:c r="K4359" s="274" t="n">
        <x:v>1250</x:v>
      </x:c>
      <x:c r="M4359" s="274" t="s">
        <x:v>5547</x:v>
      </x:c>
      <x:c r="N4359" s="274" t="s">
        <x:v>4258</x:v>
      </x:c>
    </x:row>
    <x:row r="4360" spans="1:14">
      <x:c r="A4360" s="274" t="s">
        <x:v>7907</x:v>
      </x:c>
      <x:c r="B4360" s="274" t="n">
        <x:v>2.99</x:v>
      </x:c>
      <x:c r="C4360" s="274" t="n">
        <x:v>0</x:v>
      </x:c>
      <x:c r="D4360" s="274" t="n">
        <x:v>0</x:v>
      </x:c>
      <x:c r="F4360" s="274" t="s">
        <x:v>333</x:v>
      </x:c>
      <x:c r="G4360" s="274" t="s">
        <x:v>4796</x:v>
      </x:c>
      <x:c r="I4360" s="274" t="n">
        <x:v>1.2</x:v>
      </x:c>
      <x:c r="J4360" s="274" t="n">
        <x:v>254</x:v>
      </x:c>
      <x:c r="K4360" s="274" t="n">
        <x:v>1250</x:v>
      </x:c>
      <x:c r="M4360" s="274" t="s">
        <x:v>5507</x:v>
      </x:c>
      <x:c r="N4360" s="274" t="s">
        <x:v>4258</x:v>
      </x:c>
    </x:row>
    <x:row r="4361" spans="1:14">
      <x:c r="A4361" s="274" t="s">
        <x:v>7908</x:v>
      </x:c>
      <x:c r="B4361" s="274" t="n">
        <x:v>2.91</x:v>
      </x:c>
      <x:c r="C4361" s="274" t="n">
        <x:v>0</x:v>
      </x:c>
      <x:c r="D4361" s="274" t="n">
        <x:v>18</x:v>
      </x:c>
      <x:c r="E4361" s="274" t="n">
        <x:v>18</x:v>
      </x:c>
      <x:c r="F4361" s="274" t="s">
        <x:v>184</x:v>
      </x:c>
      <x:c r="G4361" s="274" t="s">
        <x:v>4782</x:v>
      </x:c>
      <x:c r="H4361" s="274" t="s">
        <x:v>4471</x:v>
      </x:c>
      <x:c r="I4361" s="274" t="n">
        <x:v>1.4</x:v>
      </x:c>
      <x:c r="J4361" s="274" t="n">
        <x:v>210</x:v>
      </x:c>
      <x:c r="K4361" s="274" t="n">
        <x:v>1250</x:v>
      </x:c>
      <x:c r="M4361" s="274" t="s">
        <x:v>5543</x:v>
      </x:c>
      <x:c r="N4361" s="274" t="s">
        <x:v>4258</x:v>
      </x:c>
    </x:row>
    <x:row r="4362" spans="1:14">
      <x:c r="A4362" s="274" t="s">
        <x:v>7909</x:v>
      </x:c>
      <x:c r="B4362" s="274" t="n">
        <x:v>1.37</x:v>
      </x:c>
      <x:c r="C4362" s="274" t="n">
        <x:v>0</x:v>
      </x:c>
      <x:c r="D4362" s="274" t="n">
        <x:v>0</x:v>
      </x:c>
      <x:c r="F4362" s="274" t="s">
        <x:v>333</x:v>
      </x:c>
      <x:c r="G4362" s="274" t="s">
        <x:v>4663</x:v>
      </x:c>
      <x:c r="I4362" s="274" t="n">
        <x:v>1.4</x:v>
      </x:c>
      <x:c r="J4362" s="274" t="n">
        <x:v>100</x:v>
      </x:c>
      <x:c r="K4362" s="274" t="n">
        <x:v>1250</x:v>
      </x:c>
      <x:c r="M4362" s="274" t="s">
        <x:v>7910</x:v>
      </x:c>
      <x:c r="N4362" s="274" t="s">
        <x:v>4258</x:v>
      </x:c>
    </x:row>
    <x:row r="4363" spans="1:14">
      <x:c r="A4363" s="274" t="s">
        <x:v>7911</x:v>
      </x:c>
      <x:c r="B4363" s="274" t="n">
        <x:v>2.03</x:v>
      </x:c>
      <x:c r="C4363" s="274" t="n">
        <x:v>0</x:v>
      </x:c>
      <x:c r="D4363" s="274" t="n">
        <x:v>0</x:v>
      </x:c>
      <x:c r="F4363" s="274" t="s">
        <x:v>333</x:v>
      </x:c>
      <x:c r="G4363" s="274" t="s">
        <x:v>4663</x:v>
      </x:c>
      <x:c r="I4363" s="274" t="n">
        <x:v>1.4</x:v>
      </x:c>
      <x:c r="J4363" s="274" t="n">
        <x:v>148</x:v>
      </x:c>
      <x:c r="K4363" s="274" t="n">
        <x:v>1250</x:v>
      </x:c>
      <x:c r="M4363" s="274" t="s">
        <x:v>7912</x:v>
      </x:c>
      <x:c r="N4363" s="274" t="s">
        <x:v>4258</x:v>
      </x:c>
    </x:row>
    <x:row r="4364" spans="1:14">
      <x:c r="A4364" s="274" t="s">
        <x:v>7913</x:v>
      </x:c>
      <x:c r="B4364" s="274" t="n">
        <x:v>2.36</x:v>
      </x:c>
      <x:c r="C4364" s="274" t="n">
        <x:v>0</x:v>
      </x:c>
      <x:c r="D4364" s="274" t="n">
        <x:v>0</x:v>
      </x:c>
      <x:c r="F4364" s="274" t="s">
        <x:v>333</x:v>
      </x:c>
      <x:c r="G4364" s="274" t="s">
        <x:v>4663</x:v>
      </x:c>
      <x:c r="I4364" s="274" t="n">
        <x:v>1.4</x:v>
      </x:c>
      <x:c r="J4364" s="274" t="n">
        <x:v>172</x:v>
      </x:c>
      <x:c r="K4364" s="274" t="n">
        <x:v>1250</x:v>
      </x:c>
      <x:c r="M4364" s="274" t="s">
        <x:v>6801</x:v>
      </x:c>
      <x:c r="N4364" s="274" t="s">
        <x:v>4258</x:v>
      </x:c>
    </x:row>
    <x:row r="4365" spans="1:14">
      <x:c r="A4365" s="274" t="s">
        <x:v>7914</x:v>
      </x:c>
      <x:c r="B4365" s="274" t="n">
        <x:v>1.1</x:v>
      </x:c>
      <x:c r="C4365" s="274" t="n">
        <x:v>0</x:v>
      </x:c>
      <x:c r="D4365" s="274" t="n">
        <x:v>0</x:v>
      </x:c>
      <x:c r="F4365" s="274" t="s">
        <x:v>133</x:v>
      </x:c>
      <x:c r="G4365" s="274" t="s">
        <x:v>4329</x:v>
      </x:c>
      <x:c r="I4365" s="274" t="n">
        <x:v>1.6</x:v>
      </x:c>
      <x:c r="J4365" s="274" t="n">
        <x:v>70</x:v>
      </x:c>
      <x:c r="K4365" s="274" t="n">
        <x:v>1250</x:v>
      </x:c>
      <x:c r="M4365" s="274" t="s">
        <x:v>6809</x:v>
      </x:c>
      <x:c r="N4365" s="274" t="s">
        <x:v>4258</x:v>
      </x:c>
    </x:row>
    <x:row r="4366" spans="1:14">
      <x:c r="A4366" s="274" t="s">
        <x:v>7915</x:v>
      </x:c>
      <x:c r="B4366" s="274" t="n">
        <x:v>0.35</x:v>
      </x:c>
      <x:c r="C4366" s="274" t="n">
        <x:v>0</x:v>
      </x:c>
      <x:c r="D4366" s="274" t="n">
        <x:v>0</x:v>
      </x:c>
      <x:c r="F4366" s="274" t="s">
        <x:v>133</x:v>
      </x:c>
      <x:c r="G4366" s="274" t="s">
        <x:v>4329</x:v>
      </x:c>
      <x:c r="I4366" s="274" t="n">
        <x:v>1.6</x:v>
      </x:c>
      <x:c r="J4366" s="274" t="n">
        <x:v>175</x:v>
      </x:c>
      <x:c r="K4366" s="274" t="n">
        <x:v>160</x:v>
      </x:c>
      <x:c r="M4366" s="274" t="s">
        <x:v>7916</x:v>
      </x:c>
      <x:c r="N4366" s="274" t="s">
        <x:v>4258</x:v>
      </x:c>
    </x:row>
    <x:row r="4367" spans="1:14">
      <x:c r="A4367" s="274" t="s">
        <x:v>7917</x:v>
      </x:c>
      <x:c r="B4367" s="274" t="n">
        <x:v>0.97</x:v>
      </x:c>
      <x:c r="C4367" s="274" t="n">
        <x:v>26</x:v>
      </x:c>
      <x:c r="D4367" s="274" t="n">
        <x:v>36</x:v>
      </x:c>
      <x:c r="E4367" s="274" t="n">
        <x:v>32</x:v>
      </x:c>
      <x:c r="F4367" s="274" t="s">
        <x:v>311</x:v>
      </x:c>
      <x:c r="G4367" s="274" t="s">
        <x:v>828</x:v>
      </x:c>
      <x:c r="H4367" s="274" t="s">
        <x:v>837</x:v>
      </x:c>
      <x:c r="I4367" s="274" t="n">
        <x:v>0.8</x:v>
      </x:c>
      <x:c r="J4367" s="274" t="n">
        <x:v>370</x:v>
      </x:c>
      <x:c r="K4367" s="274" t="n">
        <x:v>415</x:v>
      </x:c>
      <x:c r="M4367" s="274" t="s">
        <x:v>3921</x:v>
      </x:c>
      <x:c r="N4367" s="274" t="s">
        <x:v>831</x:v>
      </x:c>
    </x:row>
    <x:row r="4368" spans="1:14">
      <x:c r="A4368" s="274" t="s">
        <x:v>7918</x:v>
      </x:c>
      <x:c r="B4368" s="274" t="n">
        <x:v>0.88</x:v>
      </x:c>
      <x:c r="C4368" s="274" t="n">
        <x:v>0</x:v>
      </x:c>
      <x:c r="D4368" s="274" t="n">
        <x:v>0</x:v>
      </x:c>
      <x:c r="F4368" s="274" t="s">
        <x:v>333</x:v>
      </x:c>
      <x:c r="G4368" s="274" t="s">
        <x:v>209</x:v>
      </x:c>
      <x:c r="I4368" s="274" t="n">
        <x:v>1.2</x:v>
      </x:c>
      <x:c r="J4368" s="274" t="n">
        <x:v>75</x:v>
      </x:c>
      <x:c r="K4368" s="274" t="n">
        <x:v>1250</x:v>
      </x:c>
      <x:c r="M4368" s="274" t="s">
        <x:v>4562</x:v>
      </x:c>
      <x:c r="N4368" s="274" t="s">
        <x:v>3671</x:v>
      </x:c>
    </x:row>
    <x:row r="4369" spans="1:14">
      <x:c r="A4369" s="274" t="s">
        <x:v>7919</x:v>
      </x:c>
      <x:c r="B4369" s="274" t="n">
        <x:v>1.41</x:v>
      </x:c>
      <x:c r="C4369" s="274" t="n">
        <x:v>0</x:v>
      </x:c>
      <x:c r="D4369" s="274" t="n">
        <x:v>0</x:v>
      </x:c>
      <x:c r="F4369" s="274" t="s">
        <x:v>333</x:v>
      </x:c>
      <x:c r="G4369" s="274" t="s">
        <x:v>209</x:v>
      </x:c>
      <x:c r="I4369" s="274" t="n">
        <x:v>1.2</x:v>
      </x:c>
      <x:c r="J4369" s="274" t="n">
        <x:v>120</x:v>
      </x:c>
      <x:c r="K4369" s="274" t="n">
        <x:v>1250</x:v>
      </x:c>
      <x:c r="M4369" s="274" t="s">
        <x:v>7920</x:v>
      </x:c>
      <x:c r="N4369" s="274" t="s">
        <x:v>3671</x:v>
      </x:c>
    </x:row>
    <x:row r="4370" spans="1:14">
      <x:c r="A4370" s="274" t="s">
        <x:v>7921</x:v>
      </x:c>
      <x:c r="B4370" s="274" t="n">
        <x:v>2.53</x:v>
      </x:c>
      <x:c r="C4370" s="274" t="n">
        <x:v>0</x:v>
      </x:c>
      <x:c r="D4370" s="274" t="n">
        <x:v>0</x:v>
      </x:c>
      <x:c r="F4370" s="274" t="s">
        <x:v>333</x:v>
      </x:c>
      <x:c r="G4370" s="274" t="s">
        <x:v>153</x:v>
      </x:c>
      <x:c r="I4370" s="274" t="n">
        <x:v>1.4</x:v>
      </x:c>
      <x:c r="J4370" s="274" t="n">
        <x:v>184</x:v>
      </x:c>
      <x:c r="K4370" s="274" t="n">
        <x:v>1250</x:v>
      </x:c>
      <x:c r="M4370" s="274" t="s">
        <x:v>7922</x:v>
      </x:c>
      <x:c r="N4370" s="274" t="s">
        <x:v>3671</x:v>
      </x:c>
    </x:row>
    <x:row r="4371" spans="1:14">
      <x:c r="A4371" s="274" t="s">
        <x:v>7923</x:v>
      </x:c>
      <x:c r="B4371" s="274" t="n">
        <x:v>1.51</x:v>
      </x:c>
      <x:c r="C4371" s="274" t="n">
        <x:v>0</x:v>
      </x:c>
      <x:c r="D4371" s="274" t="n">
        <x:v>0</x:v>
      </x:c>
      <x:c r="F4371" s="274" t="s">
        <x:v>333</x:v>
      </x:c>
      <x:c r="G4371" s="274" t="s">
        <x:v>209</x:v>
      </x:c>
      <x:c r="I4371" s="274" t="n">
        <x:v>1.4</x:v>
      </x:c>
      <x:c r="J4371" s="274" t="n">
        <x:v>110</x:v>
      </x:c>
      <x:c r="K4371" s="274" t="n">
        <x:v>1250</x:v>
      </x:c>
      <x:c r="M4371" s="274" t="s">
        <x:v>7924</x:v>
      </x:c>
      <x:c r="N4371" s="274" t="s">
        <x:v>3671</x:v>
      </x:c>
    </x:row>
    <x:row r="4372" spans="1:14">
      <x:c r="A4372" s="274" t="s">
        <x:v>7925</x:v>
      </x:c>
      <x:c r="B4372" s="274" t="n">
        <x:v>2.19</x:v>
      </x:c>
      <x:c r="C4372" s="274" t="n">
        <x:v>0</x:v>
      </x:c>
      <x:c r="D4372" s="274" t="n">
        <x:v>0</x:v>
      </x:c>
      <x:c r="F4372" s="274" t="s">
        <x:v>123</x:v>
      </x:c>
      <x:c r="G4372" s="274" t="s">
        <x:v>148</x:v>
      </x:c>
      <x:c r="I4372" s="274" t="n">
        <x:v>1.8</x:v>
      </x:c>
      <x:c r="J4372" s="274" t="n">
        <x:v>124</x:v>
      </x:c>
      <x:c r="K4372" s="274" t="n">
        <x:v>1250</x:v>
      </x:c>
      <x:c r="M4372" s="274" t="s">
        <x:v>7926</x:v>
      </x:c>
      <x:c r="N4372" s="274" t="s">
        <x:v>3671</x:v>
      </x:c>
    </x:row>
    <x:row r="4373" spans="1:14">
      <x:c r="A4373" s="274" t="s">
        <x:v>7927</x:v>
      </x:c>
      <x:c r="B4373" s="274" t="n">
        <x:v>2.98</x:v>
      </x:c>
      <x:c r="C4373" s="274" t="n">
        <x:v>0</x:v>
      </x:c>
      <x:c r="D4373" s="274" t="n">
        <x:v>0</x:v>
      </x:c>
      <x:c r="F4373" s="274" t="s">
        <x:v>133</x:v>
      </x:c>
      <x:c r="G4373" s="274" t="s">
        <x:v>148</x:v>
      </x:c>
      <x:c r="I4373" s="274" t="n">
        <x:v>2.3</x:v>
      </x:c>
      <x:c r="J4373" s="274" t="n">
        <x:v>132</x:v>
      </x:c>
      <x:c r="K4373" s="274" t="n">
        <x:v>1250</x:v>
      </x:c>
      <x:c r="M4373" s="274" t="s">
        <x:v>7928</x:v>
      </x:c>
      <x:c r="N4373" s="274" t="s">
        <x:v>3671</x:v>
      </x:c>
    </x:row>
    <x:row r="4374" spans="1:14">
      <x:c r="A4374" s="274" t="s">
        <x:v>7929</x:v>
      </x:c>
      <x:c r="B4374" s="274" t="n">
        <x:v>5.18</x:v>
      </x:c>
      <x:c r="C4374" s="274" t="n">
        <x:v>0</x:v>
      </x:c>
      <x:c r="D4374" s="274" t="n">
        <x:v>0</x:v>
      </x:c>
      <x:c r="F4374" s="274" t="s">
        <x:v>128</x:v>
      </x:c>
      <x:c r="G4374" s="274" t="s">
        <x:v>3418</x:v>
      </x:c>
      <x:c r="H4374" s="274" t="n">
        <x:v>45</x:v>
      </x:c>
      <x:c r="I4374" s="274" t="n">
        <x:v>1.8</x:v>
      </x:c>
      <x:c r="J4374" s="274" t="n">
        <x:v>354</x:v>
      </x:c>
      <x:c r="K4374" s="274" t="n">
        <x:v>1030</x:v>
      </x:c>
      <x:c r="M4374" s="274" t="s">
        <x:v>7930</x:v>
      </x:c>
      <x:c r="N4374" s="274" t="s">
        <x:v>3671</x:v>
      </x:c>
    </x:row>
    <x:row r="4375" spans="1:14">
      <x:c r="A4375" s="274" t="s">
        <x:v>7931</x:v>
      </x:c>
      <x:c r="B4375" s="274" t="n">
        <x:v>5</x:v>
      </x:c>
      <x:c r="C4375" s="274" t="n">
        <x:v>0</x:v>
      </x:c>
      <x:c r="D4375" s="274" t="n">
        <x:v>0</x:v>
      </x:c>
      <x:c r="F4375" s="274" t="s">
        <x:v>184</x:v>
      </x:c>
      <x:c r="G4375" s="274" t="s">
        <x:v>3413</x:v>
      </x:c>
      <x:c r="H4375" s="274" t="n">
        <x:v>45</x:v>
      </x:c>
      <x:c r="I4375" s="274" t="n">
        <x:v>1.8</x:v>
      </x:c>
      <x:c r="J4375" s="274" t="n">
        <x:v>303</x:v>
      </x:c>
      <x:c r="K4375" s="274" t="n">
        <x:v>1160</x:v>
      </x:c>
      <x:c r="M4375" s="274" t="s">
        <x:v>7932</x:v>
      </x:c>
      <x:c r="N4375" s="274" t="s">
        <x:v>3671</x:v>
      </x:c>
    </x:row>
    <x:row r="4376" spans="1:14">
      <x:c r="A4376" s="274" t="s">
        <x:v>7933</x:v>
      </x:c>
      <x:c r="B4376" s="274" t="n">
        <x:v>5.48</x:v>
      </x:c>
      <x:c r="C4376" s="274" t="n">
        <x:v>0</x:v>
      </x:c>
      <x:c r="D4376" s="274" t="n">
        <x:v>0</x:v>
      </x:c>
      <x:c r="F4376" s="274" t="s">
        <x:v>184</x:v>
      </x:c>
      <x:c r="G4376" s="274" t="s">
        <x:v>881</x:v>
      </x:c>
      <x:c r="H4376" s="274" t="n">
        <x:v>45</x:v>
      </x:c>
      <x:c r="I4376" s="274" t="n">
        <x:v>1.8</x:v>
      </x:c>
      <x:c r="J4376" s="274" t="n">
        <x:v>320</x:v>
      </x:c>
      <x:c r="K4376" s="274" t="n">
        <x:v>1205</x:v>
      </x:c>
      <x:c r="M4376" s="274" t="s">
        <x:v>7934</x:v>
      </x:c>
    </x:row>
    <x:row r="4377" spans="1:14">
      <x:c r="A4377" s="274" t="s">
        <x:v>7935</x:v>
      </x:c>
      <x:c r="B4377" s="274" t="n">
        <x:v>1.18</x:v>
      </x:c>
      <x:c r="C4377" s="274" t="n">
        <x:v>0</x:v>
      </x:c>
      <x:c r="D4377" s="274" t="n">
        <x:v>0</x:v>
      </x:c>
      <x:c r="F4377" s="274" t="s">
        <x:v>333</x:v>
      </x:c>
      <x:c r="G4377" s="274" t="s">
        <x:v>5164</x:v>
      </x:c>
      <x:c r="I4377" s="274" t="n">
        <x:v>0.65</x:v>
      </x:c>
      <x:c r="J4377" s="274" t="n">
        <x:v>407</x:v>
      </x:c>
      <x:c r="K4377" s="274" t="n">
        <x:v>570</x:v>
      </x:c>
      <x:c r="M4377" s="274" t="s">
        <x:v>7936</x:v>
      </x:c>
      <x:c r="N4377" s="274" t="s">
        <x:v>4258</x:v>
      </x:c>
    </x:row>
    <x:row r="4378" spans="1:14">
      <x:c r="A4378" s="274" t="s">
        <x:v>7937</x:v>
      </x:c>
      <x:c r="B4378" s="274" t="n">
        <x:v>0.25</x:v>
      </x:c>
      <x:c r="C4378" s="274" t="n">
        <x:v>33</x:v>
      </x:c>
      <x:c r="D4378" s="274" t="n">
        <x:v>36</x:v>
      </x:c>
      <x:c r="E4378" s="274" t="n">
        <x:v>33</x:v>
      </x:c>
      <x:c r="F4378" s="274" t="s">
        <x:v>133</x:v>
      </x:c>
      <x:c r="G4378" s="274" t="s">
        <x:v>136</x:v>
      </x:c>
      <x:c r="H4378" s="274" t="n">
        <x:v>45</x:v>
      </x:c>
      <x:c r="I4378" s="274" t="n">
        <x:v>1.6</x:v>
      </x:c>
      <x:c r="J4378" s="274" t="n">
        <x:v>190</x:v>
      </x:c>
      <x:c r="K4378" s="274" t="n">
        <x:v>106</x:v>
      </x:c>
      <x:c r="M4378" s="274" t="s">
        <x:v>7938</x:v>
      </x:c>
      <x:c r="N4378" s="274" t="s">
        <x:v>299</x:v>
      </x:c>
    </x:row>
    <x:row r="4379" spans="1:14">
      <x:c r="A4379" s="274" t="s">
        <x:v>7939</x:v>
      </x:c>
      <x:c r="B4379" s="274" t="n">
        <x:v>2.24</x:v>
      </x:c>
      <x:c r="C4379" s="274" t="n">
        <x:v>0</x:v>
      </x:c>
      <x:c r="D4379" s="274" t="n">
        <x:v>0</x:v>
      </x:c>
      <x:c r="F4379" s="274" t="s">
        <x:v>123</x:v>
      </x:c>
      <x:c r="G4379" s="274" t="s">
        <x:v>139</x:v>
      </x:c>
      <x:c r="I4379" s="274" t="n">
        <x:v>2</x:v>
      </x:c>
      <x:c r="J4379" s="274" t="n">
        <x:v>114</x:v>
      </x:c>
      <x:c r="K4379" s="274" t="n">
        <x:v>1250</x:v>
      </x:c>
      <x:c r="M4379" s="274" t="s">
        <x:v>7940</x:v>
      </x:c>
      <x:c r="N4379" s="274" t="s">
        <x:v>3671</x:v>
      </x:c>
    </x:row>
    <x:row r="4380" spans="1:14">
      <x:c r="A4380" s="274" t="s">
        <x:v>7941</x:v>
      </x:c>
      <x:c r="B4380" s="274" t="n">
        <x:v>5.08</x:v>
      </x:c>
      <x:c r="C4380" s="274" t="n">
        <x:v>0</x:v>
      </x:c>
      <x:c r="D4380" s="274" t="n">
        <x:v>0</x:v>
      </x:c>
      <x:c r="F4380" s="274" t="s">
        <x:v>123</x:v>
      </x:c>
      <x:c r="G4380" s="274" t="s">
        <x:v>139</x:v>
      </x:c>
      <x:c r="I4380" s="274" t="n">
        <x:v>2</x:v>
      </x:c>
      <x:c r="J4380" s="274" t="n">
        <x:v>259</x:v>
      </x:c>
      <x:c r="K4380" s="274" t="n">
        <x:v>1250</x:v>
      </x:c>
      <x:c r="M4380" s="274" t="s">
        <x:v>7942</x:v>
      </x:c>
      <x:c r="N4380" s="274" t="s">
        <x:v>3671</x:v>
      </x:c>
    </x:row>
    <x:row r="4381" spans="1:14">
      <x:c r="A4381" s="274" t="s">
        <x:v>7943</x:v>
      </x:c>
      <x:c r="B4381" s="274" t="n">
        <x:v>4.55</x:v>
      </x:c>
      <x:c r="C4381" s="274" t="n">
        <x:v>0</x:v>
      </x:c>
      <x:c r="D4381" s="274" t="n">
        <x:v>0</x:v>
      </x:c>
      <x:c r="F4381" s="274" t="s">
        <x:v>123</x:v>
      </x:c>
      <x:c r="G4381" s="274" t="s">
        <x:v>139</x:v>
      </x:c>
      <x:c r="I4381" s="274" t="n">
        <x:v>2</x:v>
      </x:c>
      <x:c r="J4381" s="274" t="n">
        <x:v>232</x:v>
      </x:c>
      <x:c r="K4381" s="274" t="n">
        <x:v>1250</x:v>
      </x:c>
      <x:c r="M4381" s="274" t="s">
        <x:v>7944</x:v>
      </x:c>
      <x:c r="N4381" s="274" t="s">
        <x:v>3671</x:v>
      </x:c>
    </x:row>
    <x:row r="4382" spans="1:14">
      <x:c r="A4382" s="274" t="s">
        <x:v>7945</x:v>
      </x:c>
      <x:c r="B4382" s="274" t="n">
        <x:v>3.75</x:v>
      </x:c>
      <x:c r="C4382" s="274" t="n">
        <x:v>0</x:v>
      </x:c>
      <x:c r="D4382" s="274" t="n">
        <x:v>0</x:v>
      </x:c>
      <x:c r="F4382" s="274" t="s">
        <x:v>128</x:v>
      </x:c>
      <x:c r="G4382" s="274" t="s">
        <x:v>3314</x:v>
      </x:c>
      <x:c r="H4382" s="274" t="n">
        <x:v>45</x:v>
      </x:c>
      <x:c r="I4382" s="274" t="n">
        <x:v>2</x:v>
      </x:c>
      <x:c r="J4382" s="274" t="n">
        <x:v>190</x:v>
      </x:c>
      <x:c r="K4382" s="274" t="n">
        <x:v>1250</x:v>
      </x:c>
      <x:c r="M4382" s="274" t="s">
        <x:v>6182</x:v>
      </x:c>
      <x:c r="N4382" s="274" t="s">
        <x:v>3671</x:v>
      </x:c>
    </x:row>
    <x:row r="4383" spans="1:14">
      <x:c r="A4383" s="274" t="s">
        <x:v>7946</x:v>
      </x:c>
      <x:c r="B4383" s="274" t="n">
        <x:v>1.73</x:v>
      </x:c>
      <x:c r="C4383" s="274" t="n">
        <x:v>0</x:v>
      </x:c>
      <x:c r="D4383" s="274" t="n">
        <x:v>0</x:v>
      </x:c>
      <x:c r="F4383" s="274" t="s">
        <x:v>333</x:v>
      </x:c>
      <x:c r="G4383" s="274" t="s">
        <x:v>4663</x:v>
      </x:c>
      <x:c r="I4383" s="274" t="n">
        <x:v>1.6</x:v>
      </x:c>
      <x:c r="J4383" s="274" t="n">
        <x:v>110</x:v>
      </x:c>
      <x:c r="K4383" s="274" t="n">
        <x:v>1250</x:v>
      </x:c>
      <x:c r="M4383" s="274" t="s">
        <x:v>6829</x:v>
      </x:c>
      <x:c r="N4383" s="274" t="s">
        <x:v>4258</x:v>
      </x:c>
    </x:row>
    <x:row r="4384" spans="1:14">
      <x:c r="A4384" s="274" t="s">
        <x:v>7947</x:v>
      </x:c>
      <x:c r="B4384" s="274" t="n">
        <x:v>1.92</x:v>
      </x:c>
      <x:c r="C4384" s="274" t="n">
        <x:v>0</x:v>
      </x:c>
      <x:c r="D4384" s="274" t="n">
        <x:v>0</x:v>
      </x:c>
      <x:c r="F4384" s="274" t="s">
        <x:v>123</x:v>
      </x:c>
      <x:c r="G4384" s="274" t="s">
        <x:v>209</x:v>
      </x:c>
      <x:c r="I4384" s="274" t="n">
        <x:v>2</x:v>
      </x:c>
      <x:c r="J4384" s="274" t="n">
        <x:v>98</x:v>
      </x:c>
      <x:c r="K4384" s="274" t="n">
        <x:v>1250</x:v>
      </x:c>
      <x:c r="M4384" s="274" t="s">
        <x:v>7948</x:v>
      </x:c>
      <x:c r="N4384" s="274" t="s">
        <x:v>3671</x:v>
      </x:c>
    </x:row>
    <x:row r="4385" spans="1:14">
      <x:c r="A4385" s="274" t="s">
        <x:v>7949</x:v>
      </x:c>
      <x:c r="B4385" s="274" t="n">
        <x:v>12.07</x:v>
      </x:c>
      <x:c r="C4385" s="274" t="n">
        <x:v>24</x:v>
      </x:c>
      <x:c r="D4385" s="274" t="n">
        <x:v>24</x:v>
      </x:c>
      <x:c r="E4385" s="274" t="n">
        <x:v>0</x:v>
      </x:c>
      <x:c r="F4385" s="274" t="s">
        <x:v>123</x:v>
      </x:c>
      <x:c r="G4385" s="274" t="s">
        <x:v>906</x:v>
      </x:c>
      <x:c r="H4385" s="274" t="s">
        <x:v>907</x:v>
      </x:c>
      <x:c r="I4385" s="274" t="n">
        <x:v>0.65</x:v>
      </x:c>
      <x:c r="J4385" s="274" t="n">
        <x:v>1090</x:v>
      </x:c>
      <x:c r="K4385" s="274" t="n">
        <x:v>1502.7</x:v>
      </x:c>
      <x:c r="L4385" s="274" t="n">
        <x:v>2761.3</x:v>
      </x:c>
      <x:c r="M4385" s="274" t="s">
        <x:v>7950</x:v>
      </x:c>
      <x:c r="N4385" s="274" t="s">
        <x:v>3671</x:v>
      </x:c>
    </x:row>
    <x:row r="4386" spans="1:14">
      <x:c r="A4386" s="274" t="s">
        <x:v>7951</x:v>
      </x:c>
      <x:c r="B4386" s="274" t="n">
        <x:v>1.47</x:v>
      </x:c>
      <x:c r="C4386" s="274" t="n">
        <x:v>0</x:v>
      </x:c>
      <x:c r="D4386" s="274" t="n">
        <x:v>0</x:v>
      </x:c>
      <x:c r="F4386" s="274" t="s">
        <x:v>123</x:v>
      </x:c>
      <x:c r="G4386" s="274" t="s">
        <x:v>209</x:v>
      </x:c>
      <x:c r="I4386" s="274" t="n">
        <x:v>2</x:v>
      </x:c>
      <x:c r="J4386" s="274" t="n">
        <x:v>75</x:v>
      </x:c>
      <x:c r="K4386" s="274" t="n">
        <x:v>1250</x:v>
      </x:c>
      <x:c r="M4386" s="274" t="s">
        <x:v>7952</x:v>
      </x:c>
      <x:c r="N4386" s="274" t="s">
        <x:v>3671</x:v>
      </x:c>
    </x:row>
    <x:row r="4387" spans="1:14">
      <x:c r="A4387" s="274" t="s">
        <x:v>7953</x:v>
      </x:c>
      <x:c r="B4387" s="274" t="n">
        <x:v>0.75</x:v>
      </x:c>
      <x:c r="C4387" s="274" t="n">
        <x:v>0</x:v>
      </x:c>
      <x:c r="D4387" s="274" t="n">
        <x:v>0</x:v>
      </x:c>
      <x:c r="F4387" s="274" t="s">
        <x:v>333</x:v>
      </x:c>
      <x:c r="G4387" s="274" t="s">
        <x:v>5164</x:v>
      </x:c>
      <x:c r="I4387" s="274" t="n">
        <x:v>0.65</x:v>
      </x:c>
      <x:c r="J4387" s="274" t="n">
        <x:v>450</x:v>
      </x:c>
      <x:c r="K4387" s="274" t="n">
        <x:v>326</x:v>
      </x:c>
      <x:c r="M4387" s="274" t="s">
        <x:v>5383</x:v>
      </x:c>
      <x:c r="N4387" s="274" t="s">
        <x:v>4258</x:v>
      </x:c>
    </x:row>
    <x:row r="4388" spans="1:14">
      <x:c r="A4388" s="274" t="s">
        <x:v>7954</x:v>
      </x:c>
      <x:c r="B4388" s="274" t="n">
        <x:v>4.39</x:v>
      </x:c>
      <x:c r="C4388" s="274" t="n">
        <x:v>0</x:v>
      </x:c>
      <x:c r="D4388" s="274" t="n">
        <x:v>0</x:v>
      </x:c>
      <x:c r="F4388" s="274" t="s">
        <x:v>133</x:v>
      </x:c>
      <x:c r="G4388" s="274" t="s">
        <x:v>1728</x:v>
      </x:c>
      <x:c r="H4388" s="274" t="n">
        <x:v>45</x:v>
      </x:c>
      <x:c r="I4388" s="274" t="n">
        <x:v>0.75</x:v>
      </x:c>
      <x:c r="J4388" s="274" t="n">
        <x:v>1500</x:v>
      </x:c>
      <x:c r="K4388" s="274" t="n">
        <x:v>490</x:v>
      </x:c>
      <x:c r="M4388" s="274" t="s">
        <x:v>7955</x:v>
      </x:c>
      <x:c r="N4388" s="274" t="s">
        <x:v>3671</x:v>
      </x:c>
    </x:row>
    <x:row r="4389" spans="1:14">
      <x:c r="A4389" s="274" t="s">
        <x:v>7956</x:v>
      </x:c>
      <x:c r="B4389" s="274" t="n">
        <x:v>1.48</x:v>
      </x:c>
      <x:c r="C4389" s="274" t="n">
        <x:v>33</x:v>
      </x:c>
      <x:c r="D4389" s="274" t="n">
        <x:v>33</x:v>
      </x:c>
      <x:c r="E4389" s="274" t="n">
        <x:v>0</x:v>
      </x:c>
      <x:c r="F4389" s="274" t="s">
        <x:v>133</x:v>
      </x:c>
      <x:c r="G4389" s="274" t="s">
        <x:v>1728</x:v>
      </x:c>
      <x:c r="H4389" s="274" t="n">
        <x:v>45</x:v>
      </x:c>
      <x:c r="I4389" s="274" t="n">
        <x:v>0.75</x:v>
      </x:c>
      <x:c r="J4389" s="274" t="n">
        <x:v>735</x:v>
      </x:c>
      <x:c r="K4389" s="274" t="n">
        <x:v>337</x:v>
      </x:c>
      <x:c r="L4389" s="274" t="n">
        <x:v>337</x:v>
      </x:c>
      <x:c r="M4389" s="274" t="s">
        <x:v>7957</x:v>
      </x:c>
      <x:c r="N4389" s="274" t="s">
        <x:v>3671</x:v>
      </x:c>
    </x:row>
    <x:row r="4390" spans="1:14">
      <x:c r="A4390" s="274" t="s">
        <x:v>7958</x:v>
      </x:c>
      <x:c r="B4390" s="274" t="n">
        <x:v>7.21</x:v>
      </x:c>
      <x:c r="C4390" s="274" t="n">
        <x:v>37</x:v>
      </x:c>
      <x:c r="D4390" s="274" t="n">
        <x:v>37</x:v>
      </x:c>
      <x:c r="F4390" s="274" t="s">
        <x:v>123</x:v>
      </x:c>
      <x:c r="G4390" s="274" t="s">
        <x:v>4663</x:v>
      </x:c>
      <x:c r="I4390" s="274" t="n">
        <x:v>0.7</x:v>
      </x:c>
      <x:c r="J4390" s="274" t="n">
        <x:v>1501</x:v>
      </x:c>
      <x:c r="K4390" s="274" t="n">
        <x:v>875</x:v>
      </x:c>
      <x:c r="M4390" s="274" t="s">
        <x:v>7959</x:v>
      </x:c>
      <x:c r="N4390" s="274" t="s">
        <x:v>4258</x:v>
      </x:c>
    </x:row>
    <x:row r="4391" spans="1:14">
      <x:c r="A4391" s="274" t="s">
        <x:v>7960</x:v>
      </x:c>
      <x:c r="B4391" s="274" t="n">
        <x:v>2.99</x:v>
      </x:c>
      <x:c r="C4391" s="274" t="n">
        <x:v>0</x:v>
      </x:c>
      <x:c r="D4391" s="274" t="n">
        <x:v>45</x:v>
      </x:c>
      <x:c r="E4391" s="274" t="n">
        <x:v>40</x:v>
      </x:c>
      <x:c r="F4391" s="274" t="s">
        <x:v>184</x:v>
      </x:c>
      <x:c r="G4391" s="274" t="s">
        <x:v>4782</x:v>
      </x:c>
      <x:c r="H4391" s="274" t="s">
        <x:v>4471</x:v>
      </x:c>
      <x:c r="I4391" s="274" t="n">
        <x:v>1.4</x:v>
      </x:c>
      <x:c r="J4391" s="274" t="n">
        <x:v>710</x:v>
      </x:c>
      <x:c r="K4391" s="274" t="n">
        <x:v>380</x:v>
      </x:c>
      <x:c r="M4391" s="274" t="s">
        <x:v>7354</x:v>
      </x:c>
      <x:c r="N4391" s="274" t="s">
        <x:v>4258</x:v>
      </x:c>
    </x:row>
    <x:row r="4392" spans="1:14">
      <x:c r="A4392" s="274" t="s">
        <x:v>7961</x:v>
      </x:c>
      <x:c r="B4392" s="274" t="n">
        <x:v>0.75</x:v>
      </x:c>
      <x:c r="C4392" s="274" t="n">
        <x:v>0</x:v>
      </x:c>
      <x:c r="D4392" s="274" t="n">
        <x:v>0</x:v>
      </x:c>
      <x:c r="F4392" s="274" t="s">
        <x:v>333</x:v>
      </x:c>
      <x:c r="G4392" s="274" t="s">
        <x:v>209</x:v>
      </x:c>
      <x:c r="I4392" s="274" t="n">
        <x:v>1.2</x:v>
      </x:c>
      <x:c r="J4392" s="274" t="n">
        <x:v>64</x:v>
      </x:c>
      <x:c r="K4392" s="274" t="n">
        <x:v>1250</x:v>
      </x:c>
      <x:c r="M4392" s="274" t="s">
        <x:v>7962</x:v>
      </x:c>
      <x:c r="N4392" s="274" t="s">
        <x:v>3671</x:v>
      </x:c>
    </x:row>
    <x:row r="4393" spans="1:14">
      <x:c r="A4393" s="274" t="s">
        <x:v>7963</x:v>
      </x:c>
      <x:c r="B4393" s="274" t="n">
        <x:v>1.66</x:v>
      </x:c>
      <x:c r="C4393" s="274" t="n">
        <x:v>0</x:v>
      </x:c>
      <x:c r="D4393" s="274" t="n">
        <x:v>0</x:v>
      </x:c>
      <x:c r="F4393" s="274" t="s">
        <x:v>133</x:v>
      </x:c>
      <x:c r="G4393" s="274" t="s">
        <x:v>136</x:v>
      </x:c>
      <x:c r="H4393" s="274" t="n">
        <x:v>45</x:v>
      </x:c>
      <x:c r="I4393" s="274" t="n">
        <x:v>1.2</x:v>
      </x:c>
      <x:c r="J4393" s="274" t="n">
        <x:v>140</x:v>
      </x:c>
      <x:c r="K4393" s="274" t="n">
        <x:v>1250</x:v>
      </x:c>
      <x:c r="M4393" s="274" t="s">
        <x:v>6148</x:v>
      </x:c>
      <x:c r="N4393" s="274" t="s">
        <x:v>3671</x:v>
      </x:c>
    </x:row>
    <x:row r="4394" spans="1:14">
      <x:c r="A4394" s="274" t="s">
        <x:v>7964</x:v>
      </x:c>
      <x:c r="B4394" s="274" t="n">
        <x:v>2.32</x:v>
      </x:c>
      <x:c r="C4394" s="274" t="n">
        <x:v>0</x:v>
      </x:c>
      <x:c r="D4394" s="274" t="n">
        <x:v>0</x:v>
      </x:c>
      <x:c r="F4394" s="274" t="s">
        <x:v>133</x:v>
      </x:c>
      <x:c r="G4394" s="274" t="s">
        <x:v>136</x:v>
      </x:c>
      <x:c r="H4394" s="274" t="n">
        <x:v>45</x:v>
      </x:c>
      <x:c r="I4394" s="274" t="n">
        <x:v>1.2</x:v>
      </x:c>
      <x:c r="J4394" s="274" t="n">
        <x:v>195</x:v>
      </x:c>
      <x:c r="K4394" s="274" t="n">
        <x:v>1250</x:v>
      </x:c>
      <x:c r="M4394" s="274" t="s">
        <x:v>6150</x:v>
      </x:c>
      <x:c r="N4394" s="274" t="s">
        <x:v>3671</x:v>
      </x:c>
    </x:row>
    <x:row r="4395" spans="1:14">
      <x:c r="A4395" s="274" t="s">
        <x:v>7965</x:v>
      </x:c>
      <x:c r="B4395" s="274" t="n">
        <x:v>2.54</x:v>
      </x:c>
      <x:c r="C4395" s="274" t="n">
        <x:v>0</x:v>
      </x:c>
      <x:c r="D4395" s="274" t="n">
        <x:v>0</x:v>
      </x:c>
      <x:c r="F4395" s="274" t="s">
        <x:v>133</x:v>
      </x:c>
      <x:c r="G4395" s="274" t="s">
        <x:v>136</x:v>
      </x:c>
      <x:c r="H4395" s="274" t="n">
        <x:v>45</x:v>
      </x:c>
      <x:c r="I4395" s="274" t="n">
        <x:v>1.2</x:v>
      </x:c>
      <x:c r="J4395" s="274" t="n">
        <x:v>214</x:v>
      </x:c>
      <x:c r="K4395" s="274" t="n">
        <x:v>1250</x:v>
      </x:c>
      <x:c r="M4395" s="274" t="s">
        <x:v>6144</x:v>
      </x:c>
      <x:c r="N4395" s="274" t="s">
        <x:v>3671</x:v>
      </x:c>
    </x:row>
    <x:row r="4396" spans="1:14">
      <x:c r="A4396" s="274" t="s">
        <x:v>7966</x:v>
      </x:c>
      <x:c r="B4396" s="274" t="n">
        <x:v>1.32</x:v>
      </x:c>
      <x:c r="C4396" s="274" t="n">
        <x:v>0</x:v>
      </x:c>
      <x:c r="D4396" s="274" t="n">
        <x:v>0</x:v>
      </x:c>
      <x:c r="F4396" s="274" t="s">
        <x:v>333</x:v>
      </x:c>
      <x:c r="G4396" s="274" t="s">
        <x:v>153</x:v>
      </x:c>
      <x:c r="I4396" s="274" t="n">
        <x:v>1.2</x:v>
      </x:c>
      <x:c r="J4396" s="274" t="n">
        <x:v>355</x:v>
      </x:c>
      <x:c r="K4396" s="274" t="n">
        <x:v>395</x:v>
      </x:c>
      <x:c r="M4396" s="274" t="s">
        <x:v>6154</x:v>
      </x:c>
      <x:c r="N4396" s="274" t="s">
        <x:v>3671</x:v>
      </x:c>
    </x:row>
    <x:row r="4397" spans="1:14">
      <x:c r="A4397" s="274" t="s">
        <x:v>7967</x:v>
      </x:c>
      <x:c r="B4397" s="274" t="n">
        <x:v>1.51</x:v>
      </x:c>
      <x:c r="C4397" s="274" t="n">
        <x:v>0</x:v>
      </x:c>
      <x:c r="D4397" s="274" t="n">
        <x:v>0</x:v>
      </x:c>
      <x:c r="F4397" s="274" t="s">
        <x:v>133</x:v>
      </x:c>
      <x:c r="G4397" s="274" t="s">
        <x:v>136</x:v>
      </x:c>
      <x:c r="H4397" s="274" t="n">
        <x:v>45</x:v>
      </x:c>
      <x:c r="I4397" s="274" t="n">
        <x:v>1.2</x:v>
      </x:c>
      <x:c r="J4397" s="274" t="n">
        <x:v>260</x:v>
      </x:c>
      <x:c r="K4397" s="274" t="n">
        <x:v>610</x:v>
      </x:c>
      <x:c r="M4397" s="274" t="s">
        <x:v>4438</x:v>
      </x:c>
      <x:c r="N4397" s="274" t="s">
        <x:v>3671</x:v>
      </x:c>
    </x:row>
    <x:row r="4398" spans="1:14">
      <x:c r="A4398" s="274" t="s">
        <x:v>7968</x:v>
      </x:c>
      <x:c r="B4398" s="274" t="n">
        <x:v>4.16</x:v>
      </x:c>
      <x:c r="C4398" s="274" t="n">
        <x:v>0</x:v>
      </x:c>
      <x:c r="D4398" s="274" t="n">
        <x:v>0</x:v>
      </x:c>
      <x:c r="F4398" s="274" t="s">
        <x:v>133</x:v>
      </x:c>
      <x:c r="G4398" s="274" t="s">
        <x:v>136</x:v>
      </x:c>
      <x:c r="H4398" s="274" t="n">
        <x:v>45</x:v>
      </x:c>
      <x:c r="I4398" s="274" t="n">
        <x:v>1.2</x:v>
      </x:c>
      <x:c r="J4398" s="274" t="n">
        <x:v>350</x:v>
      </x:c>
      <x:c r="K4398" s="274" t="n">
        <x:v>1250</x:v>
      </x:c>
      <x:c r="M4398" s="274" t="s">
        <x:v>7969</x:v>
      </x:c>
      <x:c r="N4398" s="274" t="s">
        <x:v>3671</x:v>
      </x:c>
    </x:row>
    <x:row r="4399" spans="1:14">
      <x:c r="A4399" s="274" t="s">
        <x:v>7970</x:v>
      </x:c>
      <x:c r="B4399" s="274" t="n">
        <x:v>1.95</x:v>
      </x:c>
      <x:c r="C4399" s="274" t="n">
        <x:v>0</x:v>
      </x:c>
      <x:c r="D4399" s="274" t="n">
        <x:v>0</x:v>
      </x:c>
      <x:c r="F4399" s="274" t="s">
        <x:v>333</x:v>
      </x:c>
      <x:c r="G4399" s="274" t="s">
        <x:v>209</x:v>
      </x:c>
      <x:c r="I4399" s="274" t="n">
        <x:v>1.4</x:v>
      </x:c>
      <x:c r="J4399" s="274" t="n">
        <x:v>142</x:v>
      </x:c>
      <x:c r="K4399" s="274" t="n">
        <x:v>1250</x:v>
      </x:c>
      <x:c r="M4399" s="274" t="s">
        <x:v>7971</x:v>
      </x:c>
      <x:c r="N4399" s="274" t="s">
        <x:v>3671</x:v>
      </x:c>
    </x:row>
    <x:row r="4400" spans="1:14">
      <x:c r="A4400" s="274" t="s">
        <x:v>7972</x:v>
      </x:c>
      <x:c r="B4400" s="274" t="n">
        <x:v>2.9</x:v>
      </x:c>
      <x:c r="C4400" s="274" t="n">
        <x:v>0</x:v>
      </x:c>
      <x:c r="D4400" s="274" t="n">
        <x:v>0</x:v>
      </x:c>
      <x:c r="F4400" s="274" t="s">
        <x:v>333</x:v>
      </x:c>
      <x:c r="G4400" s="274" t="s">
        <x:v>209</x:v>
      </x:c>
      <x:c r="I4400" s="274" t="n">
        <x:v>1.4</x:v>
      </x:c>
      <x:c r="J4400" s="274" t="n">
        <x:v>211</x:v>
      </x:c>
      <x:c r="K4400" s="274" t="n">
        <x:v>1250</x:v>
      </x:c>
      <x:c r="M4400" s="274" t="s">
        <x:v>7973</x:v>
      </x:c>
      <x:c r="N4400" s="274" t="s">
        <x:v>3671</x:v>
      </x:c>
    </x:row>
    <x:row r="4401" spans="1:14">
      <x:c r="A4401" s="274" t="s">
        <x:v>7974</x:v>
      </x:c>
      <x:c r="B4401" s="274" t="n">
        <x:v>1.73</x:v>
      </x:c>
      <x:c r="C4401" s="274" t="n">
        <x:v>0</x:v>
      </x:c>
      <x:c r="D4401" s="274" t="n">
        <x:v>0</x:v>
      </x:c>
      <x:c r="F4401" s="274" t="s">
        <x:v>333</x:v>
      </x:c>
      <x:c r="G4401" s="274" t="s">
        <x:v>209</x:v>
      </x:c>
      <x:c r="I4401" s="274" t="n">
        <x:v>1.4</x:v>
      </x:c>
      <x:c r="J4401" s="274" t="n">
        <x:v>126</x:v>
      </x:c>
      <x:c r="K4401" s="274" t="n">
        <x:v>1250</x:v>
      </x:c>
      <x:c r="M4401" s="274" t="s">
        <x:v>7975</x:v>
      </x:c>
      <x:c r="N4401" s="274" t="s">
        <x:v>3671</x:v>
      </x:c>
    </x:row>
    <x:row r="4402" spans="1:14">
      <x:c r="A4402" s="274" t="s">
        <x:v>7976</x:v>
      </x:c>
      <x:c r="B4402" s="274" t="n">
        <x:v>1.18</x:v>
      </x:c>
      <x:c r="C4402" s="274" t="n">
        <x:v>0</x:v>
      </x:c>
      <x:c r="D4402" s="274" t="n">
        <x:v>0</x:v>
      </x:c>
      <x:c r="F4402" s="274" t="s">
        <x:v>333</x:v>
      </x:c>
      <x:c r="G4402" s="274" t="s">
        <x:v>209</x:v>
      </x:c>
      <x:c r="I4402" s="274" t="n">
        <x:v>1.4</x:v>
      </x:c>
      <x:c r="J4402" s="274" t="n">
        <x:v>86</x:v>
      </x:c>
      <x:c r="K4402" s="274" t="n">
        <x:v>1250</x:v>
      </x:c>
      <x:c r="M4402" s="274" t="s">
        <x:v>7977</x:v>
      </x:c>
      <x:c r="N4402" s="274" t="s">
        <x:v>3671</x:v>
      </x:c>
    </x:row>
    <x:row r="4403" spans="1:14">
      <x:c r="A4403" s="274" t="s">
        <x:v>7978</x:v>
      </x:c>
      <x:c r="B4403" s="274" t="n">
        <x:v>2.94</x:v>
      </x:c>
      <x:c r="C4403" s="274" t="n">
        <x:v>0</x:v>
      </x:c>
      <x:c r="D4403" s="274" t="n">
        <x:v>0</x:v>
      </x:c>
      <x:c r="F4403" s="274" t="s">
        <x:v>333</x:v>
      </x:c>
      <x:c r="G4403" s="274" t="s">
        <x:v>209</x:v>
      </x:c>
      <x:c r="I4403" s="274" t="n">
        <x:v>1.4</x:v>
      </x:c>
      <x:c r="J4403" s="274" t="n">
        <x:v>214</x:v>
      </x:c>
      <x:c r="K4403" s="274" t="n">
        <x:v>1250</x:v>
      </x:c>
      <x:c r="M4403" s="274" t="s">
        <x:v>7979</x:v>
      </x:c>
      <x:c r="N4403" s="274" t="s">
        <x:v>3671</x:v>
      </x:c>
    </x:row>
    <x:row r="4404" spans="1:14">
      <x:c r="A4404" s="274" t="s">
        <x:v>7980</x:v>
      </x:c>
      <x:c r="B4404" s="274" t="n">
        <x:v>0.96</x:v>
      </x:c>
      <x:c r="C4404" s="274" t="n">
        <x:v>0</x:v>
      </x:c>
      <x:c r="D4404" s="274" t="n">
        <x:v>0</x:v>
      </x:c>
      <x:c r="F4404" s="274" t="s">
        <x:v>333</x:v>
      </x:c>
      <x:c r="G4404" s="274" t="s">
        <x:v>209</x:v>
      </x:c>
      <x:c r="I4404" s="274" t="n">
        <x:v>1.4</x:v>
      </x:c>
      <x:c r="J4404" s="274" t="n">
        <x:v>70</x:v>
      </x:c>
      <x:c r="K4404" s="274" t="n">
        <x:v>1250</x:v>
      </x:c>
      <x:c r="M4404" s="274" t="s">
        <x:v>7981</x:v>
      </x:c>
      <x:c r="N4404" s="274" t="s">
        <x:v>3671</x:v>
      </x:c>
    </x:row>
    <x:row r="4405" spans="1:14">
      <x:c r="A4405" s="274" t="s">
        <x:v>7982</x:v>
      </x:c>
      <x:c r="B4405" s="274" t="n">
        <x:v>1.47</x:v>
      </x:c>
      <x:c r="C4405" s="274" t="n">
        <x:v>0</x:v>
      </x:c>
      <x:c r="D4405" s="274" t="n">
        <x:v>0</x:v>
      </x:c>
      <x:c r="F4405" s="274" t="s">
        <x:v>333</x:v>
      </x:c>
      <x:c r="G4405" s="274" t="s">
        <x:v>209</x:v>
      </x:c>
      <x:c r="I4405" s="274" t="n">
        <x:v>1.4</x:v>
      </x:c>
      <x:c r="J4405" s="274" t="n">
        <x:v>107</x:v>
      </x:c>
      <x:c r="K4405" s="274" t="n">
        <x:v>1250</x:v>
      </x:c>
      <x:c r="M4405" s="274" t="s">
        <x:v>7983</x:v>
      </x:c>
      <x:c r="N4405" s="274" t="s">
        <x:v>3671</x:v>
      </x:c>
    </x:row>
    <x:row r="4406" spans="1:14">
      <x:c r="A4406" s="274" t="s">
        <x:v>7984</x:v>
      </x:c>
      <x:c r="B4406" s="274" t="n">
        <x:v>0.68</x:v>
      </x:c>
      <x:c r="C4406" s="274" t="n">
        <x:v>0</x:v>
      </x:c>
      <x:c r="D4406" s="274" t="n">
        <x:v>0</x:v>
      </x:c>
      <x:c r="F4406" s="274" t="s">
        <x:v>333</x:v>
      </x:c>
      <x:c r="G4406" s="274" t="s">
        <x:v>124</x:v>
      </x:c>
      <x:c r="I4406" s="274" t="n">
        <x:v>1.4</x:v>
      </x:c>
      <x:c r="J4406" s="274" t="n">
        <x:v>261</x:v>
      </x:c>
      <x:c r="K4406" s="274" t="n">
        <x:v>236</x:v>
      </x:c>
      <x:c r="M4406" s="274" t="s">
        <x:v>7985</x:v>
      </x:c>
      <x:c r="N4406" s="274" t="s">
        <x:v>3671</x:v>
      </x:c>
    </x:row>
    <x:row r="4407" spans="1:14">
      <x:c r="A4407" s="274" t="s">
        <x:v>7986</x:v>
      </x:c>
      <x:c r="B4407" s="274" t="n">
        <x:v>3.01</x:v>
      </x:c>
      <x:c r="C4407" s="274" t="n">
        <x:v>0</x:v>
      </x:c>
      <x:c r="D4407" s="274" t="n">
        <x:v>0</x:v>
      </x:c>
      <x:c r="F4407" s="274" t="s">
        <x:v>333</x:v>
      </x:c>
      <x:c r="G4407" s="274" t="s">
        <x:v>124</x:v>
      </x:c>
      <x:c r="I4407" s="274" t="n">
        <x:v>1.4</x:v>
      </x:c>
      <x:c r="J4407" s="274" t="n">
        <x:v>219</x:v>
      </x:c>
      <x:c r="K4407" s="274" t="n">
        <x:v>1250</x:v>
      </x:c>
      <x:c r="M4407" s="274" t="s">
        <x:v>7987</x:v>
      </x:c>
      <x:c r="N4407" s="274" t="s">
        <x:v>3671</x:v>
      </x:c>
    </x:row>
    <x:row r="4408" spans="1:14">
      <x:c r="A4408" s="274" t="s">
        <x:v>7988</x:v>
      </x:c>
      <x:c r="B4408" s="274" t="n">
        <x:v>2.3</x:v>
      </x:c>
      <x:c r="C4408" s="274" t="n">
        <x:v>0</x:v>
      </x:c>
      <x:c r="D4408" s="274" t="n">
        <x:v>45</x:v>
      </x:c>
      <x:c r="E4408" s="274" t="n">
        <x:v>40</x:v>
      </x:c>
      <x:c r="F4408" s="274" t="s">
        <x:v>833</x:v>
      </x:c>
      <x:c r="G4408" s="274" t="s">
        <x:v>834</x:v>
      </x:c>
      <x:c r="H4408" s="274" t="s">
        <x:v>829</x:v>
      </x:c>
      <x:c r="I4408" s="274" t="n">
        <x:v>0.8</x:v>
      </x:c>
      <x:c r="J4408" s="274" t="n">
        <x:v>565</x:v>
      </x:c>
      <x:c r="K4408" s="274" t="n">
        <x:v>645</x:v>
      </x:c>
      <x:c r="M4408" s="274" t="s">
        <x:v>835</x:v>
      </x:c>
      <x:c r="N4408" s="274" t="s">
        <x:v>6623</x:v>
      </x:c>
    </x:row>
    <x:row r="4409" spans="1:14">
      <x:c r="A4409" s="274" t="s">
        <x:v>7989</x:v>
      </x:c>
      <x:c r="B4409" s="274" t="n">
        <x:v>2.32</x:v>
      </x:c>
      <x:c r="C4409" s="274" t="n">
        <x:v>0</x:v>
      </x:c>
      <x:c r="D4409" s="274" t="n">
        <x:v>35</x:v>
      </x:c>
      <x:c r="E4409" s="274" t="n">
        <x:v>33</x:v>
      </x:c>
      <x:c r="F4409" s="274" t="s">
        <x:v>833</x:v>
      </x:c>
      <x:c r="G4409" s="274" t="s">
        <x:v>834</x:v>
      </x:c>
      <x:c r="H4409" s="274" t="s">
        <x:v>837</x:v>
      </x:c>
      <x:c r="I4409" s="274" t="n">
        <x:v>0.8</x:v>
      </x:c>
      <x:c r="J4409" s="274" t="n">
        <x:v>515</x:v>
      </x:c>
      <x:c r="K4409" s="274" t="n">
        <x:v>715</x:v>
      </x:c>
      <x:c r="M4409" s="274" t="s">
        <x:v>7990</x:v>
      </x:c>
      <x:c r="N4409" s="274" t="s">
        <x:v>6623</x:v>
      </x:c>
    </x:row>
    <x:row r="4410" spans="1:14">
      <x:c r="A4410" s="274" t="s">
        <x:v>7991</x:v>
      </x:c>
      <x:c r="B4410" s="274" t="n">
        <x:v>2.62</x:v>
      </x:c>
      <x:c r="C4410" s="274" t="n">
        <x:v>0</x:v>
      </x:c>
      <x:c r="D4410" s="274" t="n">
        <x:v>45</x:v>
      </x:c>
      <x:c r="E4410" s="274" t="n">
        <x:v>40</x:v>
      </x:c>
      <x:c r="F4410" s="274" t="s">
        <x:v>3412</x:v>
      </x:c>
      <x:c r="G4410" s="274" t="s">
        <x:v>6622</x:v>
      </x:c>
      <x:c r="H4410" s="274" t="s">
        <x:v>829</x:v>
      </x:c>
      <x:c r="I4410" s="274" t="n">
        <x:v>0.8</x:v>
      </x:c>
      <x:c r="J4410" s="274" t="n">
        <x:v>590</x:v>
      </x:c>
      <x:c r="K4410" s="274" t="n">
        <x:v>705</x:v>
      </x:c>
      <x:c r="M4410" s="274" t="s">
        <x:v>3780</x:v>
      </x:c>
      <x:c r="N4410" s="274" t="s">
        <x:v>6623</x:v>
      </x:c>
    </x:row>
    <x:row r="4411" spans="1:14">
      <x:c r="A4411" s="274" t="s">
        <x:v>7992</x:v>
      </x:c>
      <x:c r="B4411" s="274" t="n">
        <x:v>1.23</x:v>
      </x:c>
      <x:c r="C4411" s="274" t="n">
        <x:v>0</x:v>
      </x:c>
      <x:c r="D4411" s="274" t="n">
        <x:v>36</x:v>
      </x:c>
      <x:c r="E4411" s="274" t="n">
        <x:v>33</x:v>
      </x:c>
      <x:c r="F4411" s="274" t="s">
        <x:v>3412</x:v>
      </x:c>
      <x:c r="G4411" s="274" t="s">
        <x:v>6622</x:v>
      </x:c>
      <x:c r="H4411" s="274" t="s">
        <x:v>837</x:v>
      </x:c>
      <x:c r="I4411" s="274" t="n">
        <x:v>0.8</x:v>
      </x:c>
      <x:c r="J4411" s="274" t="n">
        <x:v>430</x:v>
      </x:c>
      <x:c r="K4411" s="274" t="n">
        <x:v>455</x:v>
      </x:c>
      <x:c r="M4411" s="274" t="s">
        <x:v>3923</x:v>
      </x:c>
      <x:c r="N4411" s="274" t="s">
        <x:v>6623</x:v>
      </x:c>
    </x:row>
    <x:row r="4412" spans="1:14">
      <x:c r="A4412" s="274" t="s">
        <x:v>7993</x:v>
      </x:c>
      <x:c r="B4412" s="274" t="n">
        <x:v>1.94</x:v>
      </x:c>
      <x:c r="C4412" s="274" t="n">
        <x:v>0</x:v>
      </x:c>
      <x:c r="D4412" s="274" t="n">
        <x:v>45</x:v>
      </x:c>
      <x:c r="E4412" s="274" t="n">
        <x:v>40</x:v>
      </x:c>
      <x:c r="F4412" s="274" t="s">
        <x:v>333</x:v>
      </x:c>
      <x:c r="G4412" s="274" t="s">
        <x:v>2468</x:v>
      </x:c>
      <x:c r="I4412" s="274" t="n">
        <x:v>0.7</x:v>
      </x:c>
      <x:c r="J4412" s="274" t="n">
        <x:v>1035</x:v>
      </x:c>
      <x:c r="K4412" s="274" t="n">
        <x:v>341</x:v>
      </x:c>
      <x:c r="M4412" s="274" t="s">
        <x:v>5068</x:v>
      </x:c>
      <x:c r="N4412" s="274" t="s">
        <x:v>7439</x:v>
      </x:c>
    </x:row>
    <x:row r="4413" spans="1:14">
      <x:c r="A4413" s="274" t="s">
        <x:v>7994</x:v>
      </x:c>
      <x:c r="B4413" s="274" t="n">
        <x:v>1.62</x:v>
      </x:c>
      <x:c r="C4413" s="274" t="n">
        <x:v>0</x:v>
      </x:c>
      <x:c r="D4413" s="274" t="n">
        <x:v>0</x:v>
      </x:c>
      <x:c r="F4413" s="274" t="s">
        <x:v>3412</x:v>
      </x:c>
      <x:c r="G4413" s="274" t="s">
        <x:v>5476</x:v>
      </x:c>
      <x:c r="I4413" s="274" t="n">
        <x:v>1</x:v>
      </x:c>
      <x:c r="J4413" s="274" t="n">
        <x:v>534.8</x:v>
      </x:c>
      <x:c r="K4413" s="274" t="n">
        <x:v>392.5</x:v>
      </x:c>
      <x:c r="M4413" s="274" t="s">
        <x:v>7995</x:v>
      </x:c>
      <x:c r="N4413" s="274" t="s">
        <x:v>4258</x:v>
      </x:c>
    </x:row>
    <x:row r="4414" spans="1:14">
      <x:c r="A4414" s="274" t="s">
        <x:v>7996</x:v>
      </x:c>
      <x:c r="B4414" s="274" t="n">
        <x:v>3.42</x:v>
      </x:c>
      <x:c r="C4414" s="274" t="n">
        <x:v>0</x:v>
      </x:c>
      <x:c r="D4414" s="274" t="n">
        <x:v>0</x:v>
      </x:c>
      <x:c r="F4414" s="274" t="s">
        <x:v>128</x:v>
      </x:c>
      <x:c r="G4414" s="274" t="s">
        <x:v>177</x:v>
      </x:c>
      <x:c r="H4414" s="274" t="n">
        <x:v>45</x:v>
      </x:c>
      <x:c r="I4414" s="274" t="n">
        <x:v>2.3</x:v>
      </x:c>
      <x:c r="J4414" s="274" t="n">
        <x:v>151</x:v>
      </x:c>
      <x:c r="K4414" s="274" t="n">
        <x:v>1250</x:v>
      </x:c>
      <x:c r="M4414" s="274" t="s">
        <x:v>7997</x:v>
      </x:c>
      <x:c r="N4414" s="274" t="s">
        <x:v>3671</x:v>
      </x:c>
    </x:row>
    <x:row r="4415" spans="1:14">
      <x:c r="A4415" s="274" t="s">
        <x:v>7998</x:v>
      </x:c>
      <x:c r="B4415" s="274" t="n">
        <x:v>3.29</x:v>
      </x:c>
      <x:c r="C4415" s="274" t="n">
        <x:v>0</x:v>
      </x:c>
      <x:c r="D4415" s="274" t="n">
        <x:v>0</x:v>
      </x:c>
      <x:c r="F4415" s="274" t="s">
        <x:v>128</x:v>
      </x:c>
      <x:c r="G4415" s="274" t="s">
        <x:v>177</x:v>
      </x:c>
      <x:c r="H4415" s="274" t="n">
        <x:v>45</x:v>
      </x:c>
      <x:c r="I4415" s="274" t="n">
        <x:v>2.3</x:v>
      </x:c>
      <x:c r="J4415" s="274" t="n">
        <x:v>145</x:v>
      </x:c>
      <x:c r="K4415" s="274" t="n">
        <x:v>1250</x:v>
      </x:c>
      <x:c r="M4415" s="274" t="s">
        <x:v>7999</x:v>
      </x:c>
      <x:c r="N4415" s="274" t="s">
        <x:v>3671</x:v>
      </x:c>
    </x:row>
    <x:row r="4416" spans="1:14">
      <x:c r="A4416" s="274" t="s">
        <x:v>8000</x:v>
      </x:c>
      <x:c r="B4416" s="274" t="n">
        <x:v>0.89</x:v>
      </x:c>
      <x:c r="C4416" s="274" t="n">
        <x:v>0</x:v>
      </x:c>
      <x:c r="D4416" s="274" t="n">
        <x:v>0</x:v>
      </x:c>
      <x:c r="F4416" s="274" t="s">
        <x:v>133</x:v>
      </x:c>
      <x:c r="G4416" s="274" t="s">
        <x:v>148</x:v>
      </x:c>
      <x:c r="I4416" s="274" t="n">
        <x:v>2.3</x:v>
      </x:c>
      <x:c r="J4416" s="274" t="n">
        <x:v>227</x:v>
      </x:c>
      <x:c r="K4416" s="274" t="n">
        <x:v>217</x:v>
      </x:c>
      <x:c r="M4416" s="274" t="s">
        <x:v>8001</x:v>
      </x:c>
      <x:c r="N4416" s="274" t="s">
        <x:v>3671</x:v>
      </x:c>
    </x:row>
    <x:row r="4417" spans="1:14">
      <x:c r="A4417" s="274" t="s">
        <x:v>8002</x:v>
      </x:c>
      <x:c r="B4417" s="274" t="n">
        <x:v>1.9</x:v>
      </x:c>
      <x:c r="C4417" s="274" t="n">
        <x:v>0</x:v>
      </x:c>
      <x:c r="D4417" s="274" t="n">
        <x:v>0</x:v>
      </x:c>
      <x:c r="F4417" s="274" t="s">
        <x:v>133</x:v>
      </x:c>
      <x:c r="G4417" s="274" t="s">
        <x:v>148</x:v>
      </x:c>
      <x:c r="I4417" s="274" t="n">
        <x:v>2.3</x:v>
      </x:c>
      <x:c r="J4417" s="274" t="n">
        <x:v>168</x:v>
      </x:c>
      <x:c r="K4417" s="274" t="n">
        <x:v>625</x:v>
      </x:c>
      <x:c r="M4417" s="274" t="s">
        <x:v>4434</x:v>
      </x:c>
      <x:c r="N4417" s="274" t="s">
        <x:v>3671</x:v>
      </x:c>
    </x:row>
    <x:row r="4418" spans="1:14">
      <x:c r="A4418" s="274" t="s">
        <x:v>8003</x:v>
      </x:c>
      <x:c r="B4418" s="274" t="n">
        <x:v>0.81</x:v>
      </x:c>
      <x:c r="C4418" s="274" t="n">
        <x:v>0</x:v>
      </x:c>
      <x:c r="D4418" s="274" t="n">
        <x:v>33</x:v>
      </x:c>
      <x:c r="E4418" s="274" t="n">
        <x:v>30</x:v>
      </x:c>
      <x:c r="F4418" s="274" t="s">
        <x:v>4735</x:v>
      </x:c>
      <x:c r="G4418" s="274" t="s">
        <x:v>4736</x:v>
      </x:c>
      <x:c r="I4418" s="274" t="n">
        <x:v>1.5</x:v>
      </x:c>
      <x:c r="J4418" s="274" t="n">
        <x:v>356</x:v>
      </x:c>
      <x:c r="K4418" s="274" t="n">
        <x:v>195.5</x:v>
      </x:c>
      <x:c r="M4418" s="274" t="s">
        <x:v>8004</x:v>
      </x:c>
      <x:c r="N4418" s="274" t="s">
        <x:v>3671</x:v>
      </x:c>
    </x:row>
    <x:row r="4419" spans="1:14">
      <x:c r="A4419" s="274" t="s">
        <x:v>8005</x:v>
      </x:c>
      <x:c r="B4419" s="274" t="n">
        <x:v>13.8</x:v>
      </x:c>
      <x:c r="C4419" s="274" t="n">
        <x:v>28</x:v>
      </x:c>
      <x:c r="D4419" s="274" t="n">
        <x:v>28</x:v>
      </x:c>
      <x:c r="E4419" s="274" t="n">
        <x:v>0</x:v>
      </x:c>
      <x:c r="F4419" s="274" t="s">
        <x:v>123</x:v>
      </x:c>
      <x:c r="G4419" s="274" t="s">
        <x:v>4286</x:v>
      </x:c>
      <x:c r="I4419" s="274" t="n">
        <x:v>0.65</x:v>
      </x:c>
      <x:c r="J4419" s="274" t="n">
        <x:v>1270</x:v>
      </x:c>
      <x:c r="K4419" s="274" t="n">
        <x:v>2130</x:v>
      </x:c>
      <x:c r="M4419" s="274" t="s">
        <x:v>8006</x:v>
      </x:c>
      <x:c r="N4419" s="274" t="s">
        <x:v>4258</x:v>
      </x:c>
    </x:row>
    <x:row r="4420" spans="1:14">
      <x:c r="A4420" s="274" t="s">
        <x:v>8007</x:v>
      </x:c>
      <x:c r="B4420" s="274" t="n">
        <x:v>18.14</x:v>
      </x:c>
      <x:c r="C4420" s="274" t="n">
        <x:v>0</x:v>
      </x:c>
      <x:c r="D4420" s="274" t="n">
        <x:v>0</x:v>
      </x:c>
      <x:c r="F4420" s="274" t="s">
        <x:v>128</x:v>
      </x:c>
      <x:c r="G4420" s="274" t="s">
        <x:v>136</x:v>
      </x:c>
      <x:c r="H4420" s="274" t="n">
        <x:v>45</x:v>
      </x:c>
      <x:c r="I4420" s="274" t="n">
        <x:v>2.6</x:v>
      </x:c>
      <x:c r="J4420" s="274" t="n">
        <x:v>885</x:v>
      </x:c>
      <x:c r="K4420" s="274" t="n">
        <x:v>1000</x:v>
      </x:c>
      <x:c r="M4420" s="274" t="s">
        <x:v>5150</x:v>
      </x:c>
      <x:c r="N4420" s="274" t="s">
        <x:v>3671</x:v>
      </x:c>
    </x:row>
    <x:row r="4421" spans="1:14">
      <x:c r="A4421" s="274" t="s">
        <x:v>8008</x:v>
      </x:c>
      <x:c r="B4421" s="274" t="n">
        <x:v>15.16</x:v>
      </x:c>
      <x:c r="C4421" s="274" t="n">
        <x:v>22</x:v>
      </x:c>
      <x:c r="D4421" s="274" t="n">
        <x:v>22</x:v>
      </x:c>
      <x:c r="E4421" s="274" t="n">
        <x:v>0</x:v>
      </x:c>
      <x:c r="F4421" s="274" t="s">
        <x:v>184</x:v>
      </x:c>
      <x:c r="G4421" s="274" t="s">
        <x:v>7313</x:v>
      </x:c>
      <x:c r="H4421" s="274" t="s">
        <x:v>7314</x:v>
      </x:c>
      <x:c r="I4421" s="274" t="n">
        <x:v>0.65</x:v>
      </x:c>
      <x:c r="J4421" s="274" t="n">
        <x:v>1289</x:v>
      </x:c>
      <x:c r="K4421" s="274" t="n">
        <x:v>2351</x:v>
      </x:c>
      <x:c r="L4421" s="274" t="n">
        <x:v>2179</x:v>
      </x:c>
      <x:c r="M4421" s="274" t="s">
        <x:v>8009</x:v>
      </x:c>
      <x:c r="N4421" s="274" t="s">
        <x:v>4258</x:v>
      </x:c>
    </x:row>
    <x:row r="4422" spans="1:14">
      <x:c r="A4422" s="274" t="s">
        <x:v>8010</x:v>
      </x:c>
      <x:c r="B4422" s="274" t="n">
        <x:v>15.29</x:v>
      </x:c>
      <x:c r="C4422" s="274" t="n">
        <x:v>22</x:v>
      </x:c>
      <x:c r="D4422" s="274" t="n">
        <x:v>22</x:v>
      </x:c>
      <x:c r="E4422" s="274" t="n">
        <x:v>0</x:v>
      </x:c>
      <x:c r="F4422" s="274" t="s">
        <x:v>123</x:v>
      </x:c>
      <x:c r="G4422" s="274" t="s">
        <x:v>7313</x:v>
      </x:c>
      <x:c r="H4422" s="274" t="s">
        <x:v>7314</x:v>
      </x:c>
      <x:c r="I4422" s="274" t="n">
        <x:v>0.65</x:v>
      </x:c>
      <x:c r="J4422" s="274" t="n">
        <x:v>1261</x:v>
      </x:c>
      <x:c r="K4422" s="274" t="n">
        <x:v>2524</x:v>
      </x:c>
      <x:c r="L4422" s="274" t="n">
        <x:v>2145</x:v>
      </x:c>
      <x:c r="M4422" s="274" t="s">
        <x:v>8011</x:v>
      </x:c>
      <x:c r="N4422" s="274" t="s">
        <x:v>4258</x:v>
      </x:c>
    </x:row>
    <x:row r="4423" spans="1:14">
      <x:c r="A4423" s="274" t="s">
        <x:v>8012</x:v>
      </x:c>
      <x:c r="B4423" s="274" t="n">
        <x:v>1.82</x:v>
      </x:c>
      <x:c r="C4423" s="274" t="n">
        <x:v>0</x:v>
      </x:c>
      <x:c r="D4423" s="274" t="n">
        <x:v>0</x:v>
      </x:c>
      <x:c r="F4423" s="274" t="s">
        <x:v>133</x:v>
      </x:c>
      <x:c r="G4423" s="274" t="s">
        <x:v>148</x:v>
      </x:c>
      <x:c r="I4423" s="274" t="n">
        <x:v>2.6</x:v>
      </x:c>
      <x:c r="J4423" s="274" t="n">
        <x:v>217</x:v>
      </x:c>
      <x:c r="K4423" s="274" t="n">
        <x:v>410</x:v>
      </x:c>
      <x:c r="M4423" s="274" t="s">
        <x:v>996</x:v>
      </x:c>
      <x:c r="N4423" s="274" t="s">
        <x:v>5222</x:v>
      </x:c>
    </x:row>
    <x:row r="4424" spans="1:14">
      <x:c r="A4424" s="274" t="s">
        <x:v>8013</x:v>
      </x:c>
      <x:c r="B4424" s="274" t="n">
        <x:v>1.57</x:v>
      </x:c>
      <x:c r="C4424" s="274" t="n">
        <x:v>0</x:v>
      </x:c>
      <x:c r="D4424" s="274" t="n">
        <x:v>0</x:v>
      </x:c>
      <x:c r="F4424" s="274" t="s">
        <x:v>333</x:v>
      </x:c>
      <x:c r="G4424" s="274" t="s">
        <x:v>153</x:v>
      </x:c>
      <x:c r="I4424" s="274" t="n">
        <x:v>0.8</x:v>
      </x:c>
      <x:c r="J4424" s="274" t="n">
        <x:v>960</x:v>
      </x:c>
      <x:c r="K4424" s="274" t="n">
        <x:v>260</x:v>
      </x:c>
      <x:c r="M4424" s="274" t="s">
        <x:v>4377</x:v>
      </x:c>
      <x:c r="N4424" s="274" t="s">
        <x:v>3671</x:v>
      </x:c>
    </x:row>
    <x:row r="4425" spans="1:14">
      <x:c r="A4425" s="274" t="s">
        <x:v>8014</x:v>
      </x:c>
      <x:c r="B4425" s="274" t="n">
        <x:v>0.87</x:v>
      </x:c>
      <x:c r="C4425" s="274" t="n">
        <x:v>0</x:v>
      </x:c>
      <x:c r="D4425" s="274" t="n">
        <x:v>0</x:v>
      </x:c>
      <x:c r="F4425" s="274" t="s">
        <x:v>184</x:v>
      </x:c>
      <x:c r="G4425" s="274" t="s">
        <x:v>144</x:v>
      </x:c>
      <x:c r="H4425" s="274" t="n">
        <x:v>45</x:v>
      </x:c>
      <x:c r="I4425" s="274" t="n">
        <x:v>2.3</x:v>
      </x:c>
      <x:c r="J4425" s="274" t="n">
        <x:v>260</x:v>
      </x:c>
      <x:c r="K4425" s="274" t="n">
        <x:v>185</x:v>
      </x:c>
      <x:c r="M4425" s="274" t="s">
        <x:v>4332</x:v>
      </x:c>
      <x:c r="N4425" s="274" t="s">
        <x:v>3671</x:v>
      </x:c>
    </x:row>
    <x:row r="4426" spans="1:14">
      <x:c r="A4426" s="274" t="s">
        <x:v>8015</x:v>
      </x:c>
      <x:c r="B4426" s="274" t="n">
        <x:v>0.55</x:v>
      </x:c>
      <x:c r="C4426" s="274" t="n">
        <x:v>0</x:v>
      </x:c>
      <x:c r="D4426" s="274" t="n">
        <x:v>0</x:v>
      </x:c>
      <x:c r="F4426" s="274" t="s">
        <x:v>123</x:v>
      </x:c>
      <x:c r="G4426" s="274" t="s">
        <x:v>881</x:v>
      </x:c>
      <x:c r="H4426" s="274" t="n">
        <x:v>45</x:v>
      </x:c>
      <x:c r="I4426" s="274" t="n">
        <x:v>1</x:v>
      </x:c>
      <x:c r="J4426" s="274" t="n">
        <x:v>174</x:v>
      </x:c>
      <x:c r="K4426" s="274" t="n">
        <x:v>395</x:v>
      </x:c>
      <x:c r="M4426" s="274" t="s">
        <x:v>8016</x:v>
      </x:c>
      <x:c r="N4426" s="274" t="s">
        <x:v>3671</x:v>
      </x:c>
    </x:row>
    <x:row r="4427" spans="1:14">
      <x:c r="A4427" s="274" t="s">
        <x:v>8017</x:v>
      </x:c>
      <x:c r="B4427" s="274" t="n">
        <x:v>1.79</x:v>
      </x:c>
      <x:c r="C4427" s="274" t="n">
        <x:v>0</x:v>
      </x:c>
      <x:c r="D4427" s="274" t="n">
        <x:v>0</x:v>
      </x:c>
      <x:c r="F4427" s="274" t="s">
        <x:v>133</x:v>
      </x:c>
      <x:c r="G4427" s="274" t="s">
        <x:v>144</x:v>
      </x:c>
      <x:c r="H4427" s="274" t="n">
        <x:v>45</x:v>
      </x:c>
      <x:c r="I4427" s="274" t="n">
        <x:v>2</x:v>
      </x:c>
      <x:c r="J4427" s="274" t="n">
        <x:v>210</x:v>
      </x:c>
      <x:c r="K4427" s="274" t="n">
        <x:v>539</x:v>
      </x:c>
      <x:c r="M4427" s="274" t="s">
        <x:v>4327</x:v>
      </x:c>
      <x:c r="N4427" s="274" t="s">
        <x:v>3671</x:v>
      </x:c>
    </x:row>
    <x:row r="4428" spans="1:14">
      <x:c r="A4428" s="274" t="s">
        <x:v>8018</x:v>
      </x:c>
      <x:c r="B4428" s="274" t="n">
        <x:v>1.46</x:v>
      </x:c>
      <x:c r="C4428" s="274" t="n">
        <x:v>0</x:v>
      </x:c>
      <x:c r="D4428" s="274" t="n">
        <x:v>0</x:v>
      </x:c>
      <x:c r="F4428" s="274" t="s">
        <x:v>133</x:v>
      </x:c>
      <x:c r="G4428" s="274" t="s">
        <x:v>144</x:v>
      </x:c>
      <x:c r="H4428" s="274" t="n">
        <x:v>45</x:v>
      </x:c>
      <x:c r="I4428" s="274" t="n">
        <x:v>2</x:v>
      </x:c>
      <x:c r="J4428" s="274" t="n">
        <x:v>186</x:v>
      </x:c>
      <x:c r="K4428" s="274" t="n">
        <x:v>496</x:v>
      </x:c>
      <x:c r="M4428" s="274" t="s">
        <x:v>8019</x:v>
      </x:c>
      <x:c r="N4428" s="274" t="s">
        <x:v>3671</x:v>
      </x:c>
    </x:row>
    <x:row r="4429" spans="1:14">
      <x:c r="A4429" s="274" t="s">
        <x:v>8020</x:v>
      </x:c>
      <x:c r="B4429" s="274" t="n">
        <x:v>4.33</x:v>
      </x:c>
      <x:c r="C4429" s="274" t="n">
        <x:v>0</x:v>
      </x:c>
      <x:c r="D4429" s="274" t="n">
        <x:v>0</x:v>
      </x:c>
      <x:c r="F4429" s="274" t="s">
        <x:v>133</x:v>
      </x:c>
      <x:c r="G4429" s="274" t="s">
        <x:v>4329</x:v>
      </x:c>
      <x:c r="I4429" s="274" t="n">
        <x:v>3.2</x:v>
      </x:c>
      <x:c r="J4429" s="274" t="n">
        <x:v>138</x:v>
      </x:c>
      <x:c r="K4429" s="274" t="n">
        <x:v>1250</x:v>
      </x:c>
      <x:c r="M4429" s="274" t="s">
        <x:v>8021</x:v>
      </x:c>
      <x:c r="N4429" s="274" t="s">
        <x:v>4258</x:v>
      </x:c>
    </x:row>
    <x:row r="4430" spans="1:14">
      <x:c r="A4430" s="274" t="s">
        <x:v>8022</x:v>
      </x:c>
      <x:c r="B4430" s="274" t="n">
        <x:v>4.33</x:v>
      </x:c>
      <x:c r="C4430" s="274" t="n">
        <x:v>0</x:v>
      </x:c>
      <x:c r="D4430" s="274" t="n">
        <x:v>0</x:v>
      </x:c>
      <x:c r="F4430" s="274" t="s">
        <x:v>133</x:v>
      </x:c>
      <x:c r="G4430" s="274" t="s">
        <x:v>4329</x:v>
      </x:c>
      <x:c r="I4430" s="274" t="n">
        <x:v>3.2</x:v>
      </x:c>
      <x:c r="J4430" s="274" t="n">
        <x:v>138</x:v>
      </x:c>
      <x:c r="K4430" s="274" t="n">
        <x:v>1250</x:v>
      </x:c>
      <x:c r="M4430" s="274" t="s">
        <x:v>8021</x:v>
      </x:c>
      <x:c r="N4430" s="274" t="s">
        <x:v>4258</x:v>
      </x:c>
    </x:row>
    <x:row r="4431" spans="1:14">
      <x:c r="A4431" s="274" t="s">
        <x:v>8023</x:v>
      </x:c>
      <x:c r="B4431" s="274" t="n">
        <x:v>1.35</x:v>
      </x:c>
      <x:c r="C4431" s="274" t="n">
        <x:v>0</x:v>
      </x:c>
      <x:c r="D4431" s="274" t="n">
        <x:v>0</x:v>
      </x:c>
      <x:c r="F4431" s="274" t="s">
        <x:v>123</x:v>
      </x:c>
      <x:c r="G4431" s="274" t="s">
        <x:v>4299</x:v>
      </x:c>
      <x:c r="I4431" s="274" t="n">
        <x:v>1.6</x:v>
      </x:c>
      <x:c r="J4431" s="274" t="n">
        <x:v>86</x:v>
      </x:c>
      <x:c r="K4431" s="274" t="n">
        <x:v>1250</x:v>
      </x:c>
      <x:c r="M4431" s="274" t="s">
        <x:v>8024</x:v>
      </x:c>
      <x:c r="N4431" s="274" t="s">
        <x:v>4258</x:v>
      </x:c>
    </x:row>
    <x:row r="4432" spans="1:14">
      <x:c r="A4432" s="274" t="s">
        <x:v>8025</x:v>
      </x:c>
      <x:c r="B4432" s="274" t="n">
        <x:v>0.8</x:v>
      </x:c>
      <x:c r="C4432" s="274" t="n">
        <x:v>0</x:v>
      </x:c>
      <x:c r="D4432" s="274" t="n">
        <x:v>0</x:v>
      </x:c>
      <x:c r="F4432" s="274" t="s">
        <x:v>3412</x:v>
      </x:c>
      <x:c r="G4432" s="274" t="s">
        <x:v>5476</x:v>
      </x:c>
      <x:c r="I4432" s="274" t="n">
        <x:v>1.5</x:v>
      </x:c>
      <x:c r="J4432" s="274" t="n">
        <x:v>356</x:v>
      </x:c>
      <x:c r="K4432" s="274" t="n">
        <x:v>193</x:v>
      </x:c>
      <x:c r="M4432" s="274" t="s">
        <x:v>8026</x:v>
      </x:c>
      <x:c r="N4432" s="274" t="s">
        <x:v>4258</x:v>
      </x:c>
    </x:row>
    <x:row r="4433" spans="1:14">
      <x:c r="A4433" s="274" t="s">
        <x:v>8027</x:v>
      </x:c>
      <x:c r="B4433" s="274" t="n">
        <x:v>0.8</x:v>
      </x:c>
      <x:c r="C4433" s="274" t="n">
        <x:v>0</x:v>
      </x:c>
      <x:c r="D4433" s="274" t="n">
        <x:v>0</x:v>
      </x:c>
      <x:c r="F4433" s="274" t="s">
        <x:v>3412</x:v>
      </x:c>
      <x:c r="G4433" s="274" t="s">
        <x:v>5476</x:v>
      </x:c>
      <x:c r="I4433" s="274" t="n">
        <x:v>1.5</x:v>
      </x:c>
      <x:c r="J4433" s="274" t="n">
        <x:v>356</x:v>
      </x:c>
      <x:c r="K4433" s="274" t="n">
        <x:v>193</x:v>
      </x:c>
      <x:c r="M4433" s="274" t="s">
        <x:v>8026</x:v>
      </x:c>
      <x:c r="N4433" s="274" t="s">
        <x:v>4258</x:v>
      </x:c>
    </x:row>
    <x:row r="4434" spans="1:14">
      <x:c r="A4434" s="274" t="s">
        <x:v>8028</x:v>
      </x:c>
      <x:c r="B4434" s="274" t="n">
        <x:v>2.52</x:v>
      </x:c>
      <x:c r="C4434" s="274" t="n">
        <x:v>0</x:v>
      </x:c>
      <x:c r="D4434" s="274" t="n">
        <x:v>35</x:v>
      </x:c>
      <x:c r="E4434" s="274" t="n">
        <x:v>30</x:v>
      </x:c>
      <x:c r="F4434" s="274" t="s">
        <x:v>3412</x:v>
      </x:c>
      <x:c r="G4434" s="274" t="s">
        <x:v>6622</x:v>
      </x:c>
      <x:c r="H4434" s="274" t="s">
        <x:v>837</x:v>
      </x:c>
      <x:c r="I4434" s="274" t="n">
        <x:v>0.8</x:v>
      </x:c>
      <x:c r="J4434" s="274" t="n">
        <x:v>510</x:v>
      </x:c>
      <x:c r="K4434" s="274" t="n">
        <x:v>785</x:v>
      </x:c>
      <x:c r="M4434" s="274" t="s">
        <x:v>3782</x:v>
      </x:c>
      <x:c r="N4434" s="274" t="s">
        <x:v>831</x:v>
      </x:c>
    </x:row>
    <x:row r="4435" spans="1:14">
      <x:c r="A4435" s="274" t="s">
        <x:v>8029</x:v>
      </x:c>
      <x:c r="B4435" s="274" t="n">
        <x:v>2.49</x:v>
      </x:c>
      <x:c r="C4435" s="274" t="n">
        <x:v>0</x:v>
      </x:c>
      <x:c r="D4435" s="274" t="n">
        <x:v>45</x:v>
      </x:c>
      <x:c r="E4435" s="274" t="n">
        <x:v>40</x:v>
      </x:c>
      <x:c r="F4435" s="274" t="s">
        <x:v>3412</x:v>
      </x:c>
      <x:c r="G4435" s="274" t="s">
        <x:v>6622</x:v>
      </x:c>
      <x:c r="H4435" s="274" t="s">
        <x:v>829</x:v>
      </x:c>
      <x:c r="I4435" s="274" t="n">
        <x:v>0.8</x:v>
      </x:c>
      <x:c r="J4435" s="274" t="n">
        <x:v>600</x:v>
      </x:c>
      <x:c r="K4435" s="274" t="n">
        <x:v>660</x:v>
      </x:c>
      <x:c r="M4435" s="274" t="s">
        <x:v>3784</x:v>
      </x:c>
      <x:c r="N4435" s="274" t="s">
        <x:v>831</x:v>
      </x:c>
    </x:row>
    <x:row r="4436" spans="1:14">
      <x:c r="A4436" s="274" t="s">
        <x:v>8030</x:v>
      </x:c>
      <x:c r="B4436" s="274" t="n">
        <x:v>2.52</x:v>
      </x:c>
      <x:c r="C4436" s="274" t="n">
        <x:v>0</x:v>
      </x:c>
      <x:c r="D4436" s="274" t="n">
        <x:v>35</x:v>
      </x:c>
      <x:c r="E4436" s="274" t="n">
        <x:v>33</x:v>
      </x:c>
      <x:c r="F4436" s="274" t="s">
        <x:v>3412</x:v>
      </x:c>
      <x:c r="G4436" s="274" t="s">
        <x:v>6622</x:v>
      </x:c>
      <x:c r="H4436" s="274" t="s">
        <x:v>837</x:v>
      </x:c>
      <x:c r="I4436" s="274" t="n">
        <x:v>0.8</x:v>
      </x:c>
      <x:c r="J4436" s="274" t="n">
        <x:v>510</x:v>
      </x:c>
      <x:c r="K4436" s="274" t="n">
        <x:v>785</x:v>
      </x:c>
      <x:c r="M4436" s="274" t="s">
        <x:v>3782</x:v>
      </x:c>
      <x:c r="N4436" s="274" t="s">
        <x:v>831</x:v>
      </x:c>
    </x:row>
    <x:row r="4437" spans="1:14">
      <x:c r="A4437" s="274" t="s">
        <x:v>8031</x:v>
      </x:c>
      <x:c r="B4437" s="274" t="n">
        <x:v>2.19</x:v>
      </x:c>
      <x:c r="C4437" s="274" t="n">
        <x:v>0</x:v>
      </x:c>
      <x:c r="D4437" s="274" t="n">
        <x:v>0</x:v>
      </x:c>
      <x:c r="F4437" s="274" t="s">
        <x:v>333</x:v>
      </x:c>
      <x:c r="G4437" s="274" t="s">
        <x:v>124</x:v>
      </x:c>
      <x:c r="I4437" s="274" t="n">
        <x:v>0.8</x:v>
      </x:c>
      <x:c r="J4437" s="274" t="n">
        <x:v>1090</x:v>
      </x:c>
      <x:c r="K4437" s="274" t="n">
        <x:v>320</x:v>
      </x:c>
      <x:c r="M4437" s="274" t="s">
        <x:v>4985</x:v>
      </x:c>
      <x:c r="N4437" s="274" t="s">
        <x:v>3671</x:v>
      </x:c>
    </x:row>
    <x:row r="4438" spans="1:14">
      <x:c r="A4438" s="274" t="s">
        <x:v>8032</x:v>
      </x:c>
      <x:c r="B4438" s="274" t="n">
        <x:v>2.32</x:v>
      </x:c>
      <x:c r="C4438" s="274" t="n">
        <x:v>0</x:v>
      </x:c>
      <x:c r="D4438" s="274" t="n">
        <x:v>0</x:v>
      </x:c>
      <x:c r="F4438" s="274" t="s">
        <x:v>333</x:v>
      </x:c>
      <x:c r="G4438" s="274" t="s">
        <x:v>124</x:v>
      </x:c>
      <x:c r="I4438" s="274" t="n">
        <x:v>0.8</x:v>
      </x:c>
      <x:c r="J4438" s="274" t="n">
        <x:v>1105</x:v>
      </x:c>
      <x:c r="K4438" s="274" t="n">
        <x:v>335</x:v>
      </x:c>
      <x:c r="M4438" s="274" t="s">
        <x:v>4987</x:v>
      </x:c>
      <x:c r="N4438" s="274" t="s">
        <x:v>3671</x:v>
      </x:c>
    </x:row>
    <x:row r="4439" spans="1:14">
      <x:c r="A4439" s="274" t="s">
        <x:v>8033</x:v>
      </x:c>
      <x:c r="B4439" s="274" t="n">
        <x:v>1.87</x:v>
      </x:c>
      <x:c r="C4439" s="274" t="n">
        <x:v>0</x:v>
      </x:c>
      <x:c r="D4439" s="274" t="n">
        <x:v>0</x:v>
      </x:c>
      <x:c r="F4439" s="274" t="s">
        <x:v>123</x:v>
      </x:c>
      <x:c r="G4439" s="274" t="s">
        <x:v>129</x:v>
      </x:c>
      <x:c r="H4439" s="274" t="n">
        <x:v>45</x:v>
      </x:c>
      <x:c r="I4439" s="274" t="n">
        <x:v>0.9</x:v>
      </x:c>
      <x:c r="J4439" s="274" t="n">
        <x:v>355</x:v>
      </x:c>
      <x:c r="K4439" s="274" t="n">
        <x:v>736</x:v>
      </x:c>
      <x:c r="M4439" s="274" t="s">
        <x:v>8034</x:v>
      </x:c>
      <x:c r="N4439" s="274" t="s">
        <x:v>3671</x:v>
      </x:c>
    </x:row>
    <x:row r="4440" spans="1:14">
      <x:c r="A4440" s="274" t="s">
        <x:v>8035</x:v>
      </x:c>
      <x:c r="B4440" s="274" t="n">
        <x:v>0.68</x:v>
      </x:c>
      <x:c r="C4440" s="274" t="n">
        <x:v>0</x:v>
      </x:c>
      <x:c r="D4440" s="274" t="n">
        <x:v>0</x:v>
      </x:c>
      <x:c r="F4440" s="274" t="s">
        <x:v>123</x:v>
      </x:c>
      <x:c r="G4440" s="274" t="s">
        <x:v>129</x:v>
      </x:c>
      <x:c r="H4440" s="274" t="n">
        <x:v>45</x:v>
      </x:c>
      <x:c r="I4440" s="274" t="n">
        <x:v>1</x:v>
      </x:c>
      <x:c r="J4440" s="274" t="n">
        <x:v>575</x:v>
      </x:c>
      <x:c r="K4440" s="274" t="n">
        <x:v>148</x:v>
      </x:c>
      <x:c r="M4440" s="274" t="s">
        <x:v>5762</x:v>
      </x:c>
      <x:c r="N4440" s="274" t="s">
        <x:v>3671</x:v>
      </x:c>
    </x:row>
    <x:row r="4441" spans="1:14">
      <x:c r="A4441" s="274" t="s">
        <x:v>8036</x:v>
      </x:c>
      <x:c r="B4441" s="274" t="n">
        <x:v>1.12</x:v>
      </x:c>
      <x:c r="C4441" s="274" t="n">
        <x:v>0</x:v>
      </x:c>
      <x:c r="D4441" s="274" t="n">
        <x:v>0</x:v>
      </x:c>
      <x:c r="F4441" s="274" t="s">
        <x:v>123</x:v>
      </x:c>
      <x:c r="G4441" s="274" t="s">
        <x:v>881</x:v>
      </x:c>
      <x:c r="H4441" s="274" t="n">
        <x:v>45</x:v>
      </x:c>
      <x:c r="I4441" s="274" t="n">
        <x:v>1.2</x:v>
      </x:c>
      <x:c r="J4441" s="274" t="n">
        <x:v>257</x:v>
      </x:c>
      <x:c r="K4441" s="274" t="n">
        <x:v>459</x:v>
      </x:c>
      <x:c r="M4441" s="274" t="s">
        <x:v>8037</x:v>
      </x:c>
      <x:c r="N4441" s="274" t="s">
        <x:v>3671</x:v>
      </x:c>
    </x:row>
    <x:row r="4442" spans="1:14">
      <x:c r="A4442" s="274" t="s">
        <x:v>8038</x:v>
      </x:c>
      <x:c r="B4442" s="274" t="n">
        <x:v>3.14</x:v>
      </x:c>
      <x:c r="C4442" s="274" t="n">
        <x:v>0</x:v>
      </x:c>
      <x:c r="D4442" s="274" t="n">
        <x:v>0</x:v>
      </x:c>
      <x:c r="F4442" s="274" t="s">
        <x:v>123</x:v>
      </x:c>
      <x:c r="G4442" s="274" t="s">
        <x:v>881</x:v>
      </x:c>
      <x:c r="H4442" s="274" t="n">
        <x:v>45</x:v>
      </x:c>
      <x:c r="I4442" s="274" t="n">
        <x:v>1.2</x:v>
      </x:c>
      <x:c r="J4442" s="274" t="n">
        <x:v>275</x:v>
      </x:c>
      <x:c r="K4442" s="274" t="n">
        <x:v>1200</x:v>
      </x:c>
      <x:c r="M4442" s="274" t="s">
        <x:v>8039</x:v>
      </x:c>
      <x:c r="N4442" s="274" t="s">
        <x:v>3671</x:v>
      </x:c>
    </x:row>
    <x:row r="4443" spans="1:14">
      <x:c r="A4443" s="274" t="s">
        <x:v>8040</x:v>
      </x:c>
      <x:c r="B4443" s="274" t="n">
        <x:v>5.57</x:v>
      </x:c>
      <x:c r="C4443" s="274" t="n">
        <x:v>0</x:v>
      </x:c>
      <x:c r="D4443" s="274" t="n">
        <x:v>0</x:v>
      </x:c>
      <x:c r="F4443" s="274" t="s">
        <x:v>123</x:v>
      </x:c>
      <x:c r="G4443" s="274" t="s">
        <x:v>881</x:v>
      </x:c>
      <x:c r="H4443" s="274" t="n">
        <x:v>45</x:v>
      </x:c>
      <x:c r="I4443" s="274" t="n">
        <x:v>1.2</x:v>
      </x:c>
      <x:c r="J4443" s="274" t="n">
        <x:v>336</x:v>
      </x:c>
      <x:c r="K4443" s="274" t="n">
        <x:v>1742</x:v>
      </x:c>
      <x:c r="M4443" s="274" t="s">
        <x:v>8041</x:v>
      </x:c>
      <x:c r="N4443" s="274" t="s">
        <x:v>3671</x:v>
      </x:c>
    </x:row>
    <x:row r="4444" spans="1:14">
      <x:c r="A4444" s="274" t="s">
        <x:v>8042</x:v>
      </x:c>
      <x:c r="B4444" s="274" t="n">
        <x:v>2.59</x:v>
      </x:c>
      <x:c r="C4444" s="274" t="n">
        <x:v>0</x:v>
      </x:c>
      <x:c r="D4444" s="274" t="n">
        <x:v>0</x:v>
      </x:c>
      <x:c r="F4444" s="274" t="s">
        <x:v>123</x:v>
      </x:c>
      <x:c r="G4444" s="274" t="s">
        <x:v>881</x:v>
      </x:c>
      <x:c r="H4444" s="274" t="n">
        <x:v>45</x:v>
      </x:c>
      <x:c r="I4444" s="274" t="n">
        <x:v>1.2</x:v>
      </x:c>
      <x:c r="J4444" s="274" t="n">
        <x:v>940</x:v>
      </x:c>
      <x:c r="K4444" s="274" t="n">
        <x:v>290</x:v>
      </x:c>
      <x:c r="M4444" s="274" t="s">
        <x:v>8043</x:v>
      </x:c>
      <x:c r="N4444" s="274" t="s">
        <x:v>3671</x:v>
      </x:c>
    </x:row>
    <x:row r="4445" spans="1:14">
      <x:c r="A4445" s="274" t="s">
        <x:v>8044</x:v>
      </x:c>
      <x:c r="B4445" s="274" t="n">
        <x:v>1.7</x:v>
      </x:c>
      <x:c r="C4445" s="274" t="n">
        <x:v>0</x:v>
      </x:c>
      <x:c r="D4445" s="274" t="n">
        <x:v>0</x:v>
      </x:c>
      <x:c r="F4445" s="274" t="s">
        <x:v>123</x:v>
      </x:c>
      <x:c r="G4445" s="274" t="s">
        <x:v>129</x:v>
      </x:c>
      <x:c r="H4445" s="274" t="n">
        <x:v>45</x:v>
      </x:c>
      <x:c r="I4445" s="274" t="n">
        <x:v>1.4</x:v>
      </x:c>
      <x:c r="J4445" s="274" t="n">
        <x:v>276</x:v>
      </x:c>
      <x:c r="K4445" s="274" t="n">
        <x:v>557</x:v>
      </x:c>
      <x:c r="M4445" s="274" t="s">
        <x:v>5956</x:v>
      </x:c>
      <x:c r="N4445" s="274" t="s">
        <x:v>3671</x:v>
      </x:c>
    </x:row>
    <x:row r="4446" spans="1:14">
      <x:c r="A4446" s="274" t="s">
        <x:v>8045</x:v>
      </x:c>
      <x:c r="B4446" s="274" t="n">
        <x:v>1.46</x:v>
      </x:c>
      <x:c r="C4446" s="274" t="n">
        <x:v>0</x:v>
      </x:c>
      <x:c r="D4446" s="274" t="n">
        <x:v>0</x:v>
      </x:c>
      <x:c r="F4446" s="274" t="s">
        <x:v>184</x:v>
      </x:c>
      <x:c r="G4446" s="274" t="s">
        <x:v>3413</x:v>
      </x:c>
      <x:c r="H4446" s="274" t="n">
        <x:v>45</x:v>
      </x:c>
      <x:c r="I4446" s="274" t="n">
        <x:v>1.4</x:v>
      </x:c>
      <x:c r="J4446" s="274" t="n">
        <x:v>550</x:v>
      </x:c>
      <x:c r="K4446" s="274" t="n">
        <x:v>240</x:v>
      </x:c>
      <x:c r="M4446" s="274" t="s">
        <x:v>6320</x:v>
      </x:c>
      <x:c r="N4446" s="274" t="s">
        <x:v>3671</x:v>
      </x:c>
    </x:row>
    <x:row r="4447" spans="1:14">
      <x:c r="A4447" s="274" t="s">
        <x:v>8046</x:v>
      </x:c>
      <x:c r="B4447" s="274" t="n">
        <x:v>4.4</x:v>
      </x:c>
      <x:c r="C4447" s="274" t="n">
        <x:v>0</x:v>
      </x:c>
      <x:c r="D4447" s="274" t="n">
        <x:v>0</x:v>
      </x:c>
      <x:c r="F4447" s="274" t="s">
        <x:v>333</x:v>
      </x:c>
      <x:c r="G4447" s="274" t="s">
        <x:v>334</x:v>
      </x:c>
      <x:c r="I4447" s="274" t="n">
        <x:v>1.6</x:v>
      </x:c>
      <x:c r="J4447" s="274" t="n">
        <x:v>1000</x:v>
      </x:c>
      <x:c r="K4447" s="274" t="n">
        <x:v>350</x:v>
      </x:c>
      <x:c r="M4447" s="274" t="s">
        <x:v>5992</x:v>
      </x:c>
      <x:c r="N4447" s="274" t="s">
        <x:v>3671</x:v>
      </x:c>
    </x:row>
    <x:row r="4448" spans="1:14">
      <x:c r="A4448" s="274" t="s">
        <x:v>8047</x:v>
      </x:c>
      <x:c r="B4448" s="274" t="n">
        <x:v>3.06</x:v>
      </x:c>
      <x:c r="C4448" s="274" t="n">
        <x:v>0</x:v>
      </x:c>
      <x:c r="D4448" s="274" t="n">
        <x:v>0</x:v>
      </x:c>
      <x:c r="F4448" s="274" t="s">
        <x:v>133</x:v>
      </x:c>
      <x:c r="G4448" s="274" t="s">
        <x:v>134</x:v>
      </x:c>
      <x:c r="I4448" s="274" t="n">
        <x:v>2.6</x:v>
      </x:c>
      <x:c r="J4448" s="274" t="n">
        <x:v>120</x:v>
      </x:c>
      <x:c r="K4448" s="274" t="n">
        <x:v>1250</x:v>
      </x:c>
      <x:c r="M4448" s="274" t="s">
        <x:v>8048</x:v>
      </x:c>
      <x:c r="N4448" s="274" t="s">
        <x:v>3671</x:v>
      </x:c>
    </x:row>
    <x:row r="4449" spans="1:14">
      <x:c r="A4449" s="274" t="s">
        <x:v>8049</x:v>
      </x:c>
      <x:c r="B4449" s="274" t="n">
        <x:v>5.59</x:v>
      </x:c>
      <x:c r="C4449" s="274" t="n">
        <x:v>0</x:v>
      </x:c>
      <x:c r="D4449" s="274" t="n">
        <x:v>0</x:v>
      </x:c>
      <x:c r="F4449" s="274" t="s">
        <x:v>133</x:v>
      </x:c>
      <x:c r="G4449" s="274" t="s">
        <x:v>148</x:v>
      </x:c>
      <x:c r="I4449" s="274" t="n">
        <x:v>2.6</x:v>
      </x:c>
      <x:c r="J4449" s="274" t="n">
        <x:v>219</x:v>
      </x:c>
      <x:c r="K4449" s="274" t="n">
        <x:v>1250</x:v>
      </x:c>
      <x:c r="M4449" s="274" t="s">
        <x:v>8050</x:v>
      </x:c>
      <x:c r="N4449" s="274" t="s">
        <x:v>3671</x:v>
      </x:c>
    </x:row>
    <x:row r="4450" spans="1:14">
      <x:c r="A4450" s="274" t="s">
        <x:v>8051</x:v>
      </x:c>
      <x:c r="B4450" s="274" t="n">
        <x:v>5.54</x:v>
      </x:c>
      <x:c r="C4450" s="274" t="n">
        <x:v>0</x:v>
      </x:c>
      <x:c r="D4450" s="274" t="n">
        <x:v>0</x:v>
      </x:c>
      <x:c r="F4450" s="274" t="s">
        <x:v>133</x:v>
      </x:c>
      <x:c r="G4450" s="274" t="s">
        <x:v>148</x:v>
      </x:c>
      <x:c r="I4450" s="274" t="n">
        <x:v>2.6</x:v>
      </x:c>
      <x:c r="J4450" s="274" t="n">
        <x:v>217</x:v>
      </x:c>
      <x:c r="K4450" s="274" t="n">
        <x:v>1250</x:v>
      </x:c>
      <x:c r="M4450" s="274" t="s">
        <x:v>8052</x:v>
      </x:c>
      <x:c r="N4450" s="274" t="s">
        <x:v>3671</x:v>
      </x:c>
    </x:row>
    <x:row r="4451" spans="1:14">
      <x:c r="A4451" s="274" t="s">
        <x:v>8053</x:v>
      </x:c>
      <x:c r="B4451" s="274" t="n">
        <x:v>0.6</x:v>
      </x:c>
      <x:c r="C4451" s="274" t="n">
        <x:v>0</x:v>
      </x:c>
      <x:c r="D4451" s="274" t="n">
        <x:v>0</x:v>
      </x:c>
      <x:c r="F4451" s="274" t="s">
        <x:v>184</x:v>
      </x:c>
      <x:c r="G4451" s="274" t="s">
        <x:v>4782</x:v>
      </x:c>
      <x:c r="H4451" s="274" t="s">
        <x:v>4471</x:v>
      </x:c>
      <x:c r="I4451" s="274" t="n">
        <x:v>0.7</x:v>
      </x:c>
      <x:c r="J4451" s="274" t="n">
        <x:v>87</x:v>
      </x:c>
      <x:c r="K4451" s="274" t="n">
        <x:v>1250</x:v>
      </x:c>
      <x:c r="M4451" s="274" t="s">
        <x:v>5468</x:v>
      </x:c>
      <x:c r="N4451" s="274" t="s">
        <x:v>4258</x:v>
      </x:c>
    </x:row>
    <x:row r="4452" spans="1:14">
      <x:c r="A4452" s="274" t="s">
        <x:v>8054</x:v>
      </x:c>
      <x:c r="B4452" s="274" t="n">
        <x:v>0.64</x:v>
      </x:c>
      <x:c r="C4452" s="274" t="n">
        <x:v>0</x:v>
      </x:c>
      <x:c r="D4452" s="274" t="n">
        <x:v>0</x:v>
      </x:c>
      <x:c r="F4452" s="274" t="s">
        <x:v>184</x:v>
      </x:c>
      <x:c r="G4452" s="274" t="s">
        <x:v>4782</x:v>
      </x:c>
      <x:c r="H4452" s="274" t="s">
        <x:v>4471</x:v>
      </x:c>
      <x:c r="I4452" s="274" t="n">
        <x:v>0.7</x:v>
      </x:c>
      <x:c r="J4452" s="274" t="n">
        <x:v>91</x:v>
      </x:c>
      <x:c r="K4452" s="274" t="n">
        <x:v>1250</x:v>
      </x:c>
      <x:c r="M4452" s="274" t="s">
        <x:v>5470</x:v>
      </x:c>
      <x:c r="N4452" s="274" t="s">
        <x:v>4258</x:v>
      </x:c>
    </x:row>
    <x:row r="4453" spans="1:14">
      <x:c r="A4453" s="274" t="s">
        <x:v>8055</x:v>
      </x:c>
      <x:c r="B4453" s="274" t="n">
        <x:v>0.66</x:v>
      </x:c>
      <x:c r="C4453" s="274" t="n">
        <x:v>0</x:v>
      </x:c>
      <x:c r="D4453" s="274" t="n">
        <x:v>0</x:v>
      </x:c>
      <x:c r="F4453" s="274" t="s">
        <x:v>184</x:v>
      </x:c>
      <x:c r="G4453" s="274" t="s">
        <x:v>4782</x:v>
      </x:c>
      <x:c r="H4453" s="274" t="s">
        <x:v>4471</x:v>
      </x:c>
      <x:c r="I4453" s="274" t="n">
        <x:v>0.7</x:v>
      </x:c>
      <x:c r="J4453" s="274" t="n">
        <x:v>95</x:v>
      </x:c>
      <x:c r="K4453" s="274" t="n">
        <x:v>1250</x:v>
      </x:c>
      <x:c r="M4453" s="274" t="s">
        <x:v>5474</x:v>
      </x:c>
      <x:c r="N4453" s="274" t="s">
        <x:v>4258</x:v>
      </x:c>
    </x:row>
    <x:row r="4454" spans="1:14">
      <x:c r="A4454" s="274" t="s">
        <x:v>8056</x:v>
      </x:c>
      <x:c r="B4454" s="274" t="n">
        <x:v>1.36</x:v>
      </x:c>
      <x:c r="C4454" s="274" t="n">
        <x:v>0</x:v>
      </x:c>
      <x:c r="D4454" s="274" t="n">
        <x:v>0</x:v>
      </x:c>
      <x:c r="F4454" s="274" t="s">
        <x:v>184</x:v>
      </x:c>
      <x:c r="G4454" s="274" t="s">
        <x:v>4782</x:v>
      </x:c>
      <x:c r="H4454" s="274" t="s">
        <x:v>4471</x:v>
      </x:c>
      <x:c r="I4454" s="274" t="n">
        <x:v>0.7</x:v>
      </x:c>
      <x:c r="J4454" s="274" t="n">
        <x:v>252</x:v>
      </x:c>
      <x:c r="K4454" s="274" t="n">
        <x:v>968</x:v>
      </x:c>
      <x:c r="M4454" s="274" t="s">
        <x:v>5464</x:v>
      </x:c>
      <x:c r="N4454" s="274" t="s">
        <x:v>4258</x:v>
      </x:c>
    </x:row>
    <x:row r="4455" spans="1:14">
      <x:c r="A4455" s="274" t="s">
        <x:v>8057</x:v>
      </x:c>
      <x:c r="B4455" s="274" t="n">
        <x:v>1.73</x:v>
      </x:c>
      <x:c r="C4455" s="274" t="n">
        <x:v>0</x:v>
      </x:c>
      <x:c r="D4455" s="274" t="n">
        <x:v>0</x:v>
      </x:c>
      <x:c r="F4455" s="274" t="s">
        <x:v>184</x:v>
      </x:c>
      <x:c r="G4455" s="274" t="s">
        <x:v>4782</x:v>
      </x:c>
      <x:c r="H4455" s="274" t="s">
        <x:v>4471</x:v>
      </x:c>
      <x:c r="I4455" s="274" t="n">
        <x:v>0.7</x:v>
      </x:c>
      <x:c r="J4455" s="274" t="n">
        <x:v>290</x:v>
      </x:c>
      <x:c r="K4455" s="274" t="n">
        <x:v>1070</x:v>
      </x:c>
      <x:c r="M4455" s="274" t="s">
        <x:v>5700</x:v>
      </x:c>
      <x:c r="N4455" s="274" t="s">
        <x:v>4258</x:v>
      </x:c>
    </x:row>
    <x:row r="4456" spans="1:14">
      <x:c r="A4456" s="274" t="s">
        <x:v>8058</x:v>
      </x:c>
      <x:c r="B4456" s="274" t="n">
        <x:v>1.75</x:v>
      </x:c>
      <x:c r="C4456" s="274" t="n">
        <x:v>0</x:v>
      </x:c>
      <x:c r="D4456" s="274" t="n">
        <x:v>0</x:v>
      </x:c>
      <x:c r="F4456" s="274" t="s">
        <x:v>184</x:v>
      </x:c>
      <x:c r="G4456" s="274" t="s">
        <x:v>4782</x:v>
      </x:c>
      <x:c r="H4456" s="274" t="s">
        <x:v>4471</x:v>
      </x:c>
      <x:c r="I4456" s="274" t="n">
        <x:v>0.7</x:v>
      </x:c>
      <x:c r="J4456" s="274" t="n">
        <x:v>250</x:v>
      </x:c>
      <x:c r="K4456" s="274" t="n">
        <x:v>1250</x:v>
      </x:c>
      <x:c r="M4456" s="274" t="s">
        <x:v>5456</x:v>
      </x:c>
      <x:c r="N4456" s="274" t="s">
        <x:v>4258</x:v>
      </x:c>
    </x:row>
    <x:row r="4457" spans="1:14">
      <x:c r="A4457" s="274" t="s">
        <x:v>8059</x:v>
      </x:c>
      <x:c r="B4457" s="274" t="n">
        <x:v>0.49</x:v>
      </x:c>
      <x:c r="C4457" s="274" t="n">
        <x:v>0</x:v>
      </x:c>
      <x:c r="D4457" s="274" t="n">
        <x:v>0</x:v>
      </x:c>
      <x:c r="F4457" s="274" t="s">
        <x:v>123</x:v>
      </x:c>
      <x:c r="G4457" s="274" t="s">
        <x:v>136</x:v>
      </x:c>
      <x:c r="H4457" s="274" t="n">
        <x:v>45</x:v>
      </x:c>
      <x:c r="I4457" s="274" t="n">
        <x:v>0.55</x:v>
      </x:c>
      <x:c r="J4457" s="274" t="n">
        <x:v>1025</x:v>
      </x:c>
      <x:c r="K4457" s="274" t="n">
        <x:v>108</x:v>
      </x:c>
      <x:c r="M4457" s="274" t="s">
        <x:v>4657</x:v>
      </x:c>
      <x:c r="N4457" s="274" t="s">
        <x:v>3671</x:v>
      </x:c>
    </x:row>
    <x:row r="4458" spans="1:14">
      <x:c r="A4458" s="274" t="s">
        <x:v>8060</x:v>
      </x:c>
      <x:c r="B4458" s="274" t="n">
        <x:v>0.59</x:v>
      </x:c>
      <x:c r="C4458" s="274" t="n">
        <x:v>0</x:v>
      </x:c>
      <x:c r="D4458" s="274" t="n">
        <x:v>0</x:v>
      </x:c>
      <x:c r="F4458" s="274" t="s">
        <x:v>333</x:v>
      </x:c>
      <x:c r="G4458" s="274" t="s">
        <x:v>153</x:v>
      </x:c>
      <x:c r="I4458" s="274" t="n">
        <x:v>0.65</x:v>
      </x:c>
      <x:c r="J4458" s="274" t="n">
        <x:v>570</x:v>
      </x:c>
      <x:c r="K4458" s="274" t="n">
        <x:v>202</x:v>
      </x:c>
      <x:c r="M4458" s="274" t="s">
        <x:v>8061</x:v>
      </x:c>
      <x:c r="N4458" s="274" t="s">
        <x:v>3671</x:v>
      </x:c>
    </x:row>
    <x:row r="4459" spans="1:14">
      <x:c r="A4459" s="274" t="s">
        <x:v>8062</x:v>
      </x:c>
      <x:c r="B4459" s="274" t="n">
        <x:v>0.55</x:v>
      </x:c>
      <x:c r="C4459" s="274" t="n">
        <x:v>0</x:v>
      </x:c>
      <x:c r="D4459" s="274" t="n">
        <x:v>0</x:v>
      </x:c>
      <x:c r="F4459" s="274" t="s">
        <x:v>133</x:v>
      </x:c>
      <x:c r="G4459" s="274" t="s">
        <x:v>136</x:v>
      </x:c>
      <x:c r="H4459" s="274" t="n">
        <x:v>45</x:v>
      </x:c>
      <x:c r="I4459" s="274" t="n">
        <x:v>0.75</x:v>
      </x:c>
      <x:c r="J4459" s="274" t="n">
        <x:v>400</x:v>
      </x:c>
      <x:c r="K4459" s="274" t="n">
        <x:v>230</x:v>
      </x:c>
      <x:c r="M4459" s="274" t="s">
        <x:v>4733</x:v>
      </x:c>
      <x:c r="N4459" s="274" t="s">
        <x:v>3671</x:v>
      </x:c>
    </x:row>
    <x:row r="4460" spans="1:14">
      <x:c r="A4460" s="274" t="s">
        <x:v>8063</x:v>
      </x:c>
      <x:c r="B4460" s="274" t="n">
        <x:v>1.14</x:v>
      </x:c>
      <x:c r="C4460" s="274" t="n">
        <x:v>0</x:v>
      </x:c>
      <x:c r="D4460" s="274" t="n">
        <x:v>0</x:v>
      </x:c>
      <x:c r="F4460" s="274" t="s">
        <x:v>133</x:v>
      </x:c>
      <x:c r="G4460" s="274" t="s">
        <x:v>144</x:v>
      </x:c>
      <x:c r="H4460" s="274" t="n">
        <x:v>45</x:v>
      </x:c>
      <x:c r="I4460" s="274" t="n">
        <x:v>0.8</x:v>
      </x:c>
      <x:c r="J4460" s="274" t="n">
        <x:v>941</x:v>
      </x:c>
      <x:c r="K4460" s="274" t="n">
        <x:v>191</x:v>
      </x:c>
      <x:c r="M4460" s="274" t="s">
        <x:v>8064</x:v>
      </x:c>
      <x:c r="N4460" s="274" t="s">
        <x:v>3671</x:v>
      </x:c>
    </x:row>
    <x:row r="4461" spans="1:14">
      <x:c r="A4461" s="274" t="s">
        <x:v>8065</x:v>
      </x:c>
      <x:c r="B4461" s="274" t="n">
        <x:v>0.83</x:v>
      </x:c>
      <x:c r="C4461" s="274" t="n">
        <x:v>0</x:v>
      </x:c>
      <x:c r="D4461" s="274" t="n">
        <x:v>0</x:v>
      </x:c>
      <x:c r="F4461" s="274" t="s">
        <x:v>333</x:v>
      </x:c>
      <x:c r="G4461" s="274" t="s">
        <x:v>124</x:v>
      </x:c>
      <x:c r="I4461" s="274" t="n">
        <x:v>1.2</x:v>
      </x:c>
      <x:c r="J4461" s="274" t="n">
        <x:v>415</x:v>
      </x:c>
      <x:c r="K4461" s="274" t="n">
        <x:v>212</x:v>
      </x:c>
      <x:c r="M4461" s="274" t="s">
        <x:v>5844</x:v>
      </x:c>
      <x:c r="N4461" s="274" t="s">
        <x:v>3671</x:v>
      </x:c>
    </x:row>
    <x:row r="4462" spans="1:14">
      <x:c r="A4462" s="274" t="s">
        <x:v>8066</x:v>
      </x:c>
      <x:c r="B4462" s="274" t="n">
        <x:v>3.42</x:v>
      </x:c>
      <x:c r="C4462" s="274" t="n">
        <x:v>0</x:v>
      </x:c>
      <x:c r="D4462" s="274" t="n">
        <x:v>0</x:v>
      </x:c>
      <x:c r="F4462" s="274" t="s">
        <x:v>333</x:v>
      </x:c>
      <x:c r="G4462" s="274" t="s">
        <x:v>124</x:v>
      </x:c>
      <x:c r="I4462" s="274" t="n">
        <x:v>1.6</x:v>
      </x:c>
      <x:c r="J4462" s="274" t="n">
        <x:v>218</x:v>
      </x:c>
      <x:c r="K4462" s="274" t="n">
        <x:v>1250</x:v>
      </x:c>
      <x:c r="M4462" s="274" t="s">
        <x:v>8067</x:v>
      </x:c>
      <x:c r="N4462" s="274" t="s">
        <x:v>3671</x:v>
      </x:c>
    </x:row>
    <x:row r="4463" spans="1:14">
      <x:c r="A4463" s="274" t="s">
        <x:v>8068</x:v>
      </x:c>
      <x:c r="B4463" s="274" t="n">
        <x:v>3.81</x:v>
      </x:c>
      <x:c r="C4463" s="274" t="n">
        <x:v>0</x:v>
      </x:c>
      <x:c r="D4463" s="274" t="n">
        <x:v>0</x:v>
      </x:c>
      <x:c r="F4463" s="274" t="s">
        <x:v>133</x:v>
      </x:c>
      <x:c r="G4463" s="274" t="s">
        <x:v>148</x:v>
      </x:c>
      <x:c r="I4463" s="274" t="n">
        <x:v>2.9</x:v>
      </x:c>
      <x:c r="J4463" s="274" t="n">
        <x:v>134</x:v>
      </x:c>
      <x:c r="K4463" s="274" t="n">
        <x:v>1250</x:v>
      </x:c>
      <x:c r="M4463" s="274" t="s">
        <x:v>8069</x:v>
      </x:c>
      <x:c r="N4463" s="274" t="s">
        <x:v>3671</x:v>
      </x:c>
    </x:row>
    <x:row r="4464" spans="1:14">
      <x:c r="A4464" s="274" t="s">
        <x:v>8070</x:v>
      </x:c>
      <x:c r="B4464" s="274" t="n">
        <x:v>7.59</x:v>
      </x:c>
      <x:c r="C4464" s="274" t="n">
        <x:v>22</x:v>
      </x:c>
      <x:c r="D4464" s="274" t="n">
        <x:v>22</x:v>
      </x:c>
      <x:c r="E4464" s="274" t="n">
        <x:v>0</x:v>
      </x:c>
      <x:c r="F4464" s="274" t="s">
        <x:v>123</x:v>
      </x:c>
      <x:c r="G4464" s="274" t="s">
        <x:v>4286</x:v>
      </x:c>
      <x:c r="H4464" s="274" t="n">
        <x:v>3</x:v>
      </x:c>
      <x:c r="I4464" s="274" t="n">
        <x:v>0.6</x:v>
      </x:c>
      <x:c r="J4464" s="274" t="n">
        <x:v>1225</x:v>
      </x:c>
      <x:c r="K4464" s="274" t="n">
        <x:v>1185</x:v>
      </x:c>
      <x:c r="L4464" s="274" t="n">
        <x:v>1445</x:v>
      </x:c>
      <x:c r="M4464" s="274" t="s">
        <x:v>8071</x:v>
      </x:c>
      <x:c r="N4464" s="274" t="s">
        <x:v>4258</x:v>
      </x:c>
    </x:row>
    <x:row r="4465" spans="1:14">
      <x:c r="A4465" s="274" t="s">
        <x:v>8072</x:v>
      </x:c>
      <x:c r="B4465" s="274" t="n">
        <x:v>2.49</x:v>
      </x:c>
      <x:c r="C4465" s="274" t="n">
        <x:v>0</x:v>
      </x:c>
      <x:c r="D4465" s="274" t="n">
        <x:v>34</x:v>
      </x:c>
      <x:c r="E4465" s="274" t="n">
        <x:v>32</x:v>
      </x:c>
      <x:c r="F4465" s="274" t="s">
        <x:v>3412</x:v>
      </x:c>
      <x:c r="G4465" s="274" t="s">
        <x:v>6622</x:v>
      </x:c>
      <x:c r="H4465" s="274" t="s">
        <x:v>829</x:v>
      </x:c>
      <x:c r="I4465" s="274" t="n">
        <x:v>0.8</x:v>
      </x:c>
      <x:c r="J4465" s="274" t="n">
        <x:v>600</x:v>
      </x:c>
      <x:c r="K4465" s="274" t="n">
        <x:v>660</x:v>
      </x:c>
      <x:c r="M4465" s="274" t="s">
        <x:v>3784</x:v>
      </x:c>
      <x:c r="N4465" s="274" t="s">
        <x:v>831</x:v>
      </x:c>
    </x:row>
    <x:row r="4466" spans="1:14">
      <x:c r="A4466" s="274" t="s">
        <x:v>8073</x:v>
      </x:c>
      <x:c r="B4466" s="274" t="n">
        <x:v>2.52</x:v>
      </x:c>
      <x:c r="C4466" s="274" t="n">
        <x:v>0</x:v>
      </x:c>
      <x:c r="D4466" s="274" t="n">
        <x:v>35</x:v>
      </x:c>
      <x:c r="E4466" s="274" t="n">
        <x:v>30</x:v>
      </x:c>
      <x:c r="F4466" s="274" t="s">
        <x:v>311</x:v>
      </x:c>
      <x:c r="G4466" s="274" t="s">
        <x:v>828</x:v>
      </x:c>
      <x:c r="H4466" s="274" t="s">
        <x:v>837</x:v>
      </x:c>
      <x:c r="I4466" s="274" t="n">
        <x:v>0.8</x:v>
      </x:c>
      <x:c r="J4466" s="274" t="n">
        <x:v>510</x:v>
      </x:c>
      <x:c r="K4466" s="274" t="n">
        <x:v>785</x:v>
      </x:c>
      <x:c r="M4466" s="274" t="s">
        <x:v>3782</x:v>
      </x:c>
      <x:c r="N4466" s="274" t="s">
        <x:v>831</x:v>
      </x:c>
    </x:row>
    <x:row r="4467" spans="1:14">
      <x:c r="A4467" s="274" t="s">
        <x:v>8074</x:v>
      </x:c>
      <x:c r="B4467" s="274" t="n">
        <x:v>0.97</x:v>
      </x:c>
      <x:c r="C4467" s="274" t="n">
        <x:v>25</x:v>
      </x:c>
      <x:c r="D4467" s="274" t="n">
        <x:v>36</x:v>
      </x:c>
      <x:c r="E4467" s="274" t="n">
        <x:v>33</x:v>
      </x:c>
      <x:c r="F4467" s="274" t="s">
        <x:v>311</x:v>
      </x:c>
      <x:c r="G4467" s="274" t="s">
        <x:v>828</x:v>
      </x:c>
      <x:c r="H4467" s="274" t="s">
        <x:v>837</x:v>
      </x:c>
      <x:c r="I4467" s="274" t="n">
        <x:v>0.8</x:v>
      </x:c>
      <x:c r="J4467" s="274" t="n">
        <x:v>370</x:v>
      </x:c>
      <x:c r="K4467" s="274" t="n">
        <x:v>415</x:v>
      </x:c>
      <x:c r="M4467" s="274" t="s">
        <x:v>3921</x:v>
      </x:c>
      <x:c r="N4467" s="274" t="s">
        <x:v>831</x:v>
      </x:c>
    </x:row>
    <x:row r="4468" spans="1:14">
      <x:c r="A4468" s="274" t="s">
        <x:v>8075</x:v>
      </x:c>
      <x:c r="B4468" s="274" t="n">
        <x:v>2.74</x:v>
      </x:c>
      <x:c r="C4468" s="274" t="n">
        <x:v>0</x:v>
      </x:c>
      <x:c r="D4468" s="274" t="n">
        <x:v>36</x:v>
      </x:c>
      <x:c r="E4468" s="274" t="n">
        <x:v>30</x:v>
      </x:c>
      <x:c r="F4468" s="274" t="s">
        <x:v>311</x:v>
      </x:c>
      <x:c r="G4468" s="274" t="s">
        <x:v>828</x:v>
      </x:c>
      <x:c r="H4468" s="274" t="s">
        <x:v>837</x:v>
      </x:c>
      <x:c r="I4468" s="274" t="n">
        <x:v>0.8</x:v>
      </x:c>
      <x:c r="J4468" s="274" t="n">
        <x:v>550</x:v>
      </x:c>
      <x:c r="K4468" s="274" t="n">
        <x:v>790</x:v>
      </x:c>
      <x:c r="M4468" s="274" t="s">
        <x:v>3778</x:v>
      </x:c>
      <x:c r="N4468" s="274" t="s">
        <x:v>831</x:v>
      </x:c>
    </x:row>
    <x:row r="4469" spans="1:14">
      <x:c r="A4469" s="274" t="s">
        <x:v>8076</x:v>
      </x:c>
      <x:c r="B4469" s="274" t="n">
        <x:v>2.62</x:v>
      </x:c>
      <x:c r="C4469" s="274" t="n">
        <x:v>0</x:v>
      </x:c>
      <x:c r="D4469" s="274" t="n">
        <x:v>36</x:v>
      </x:c>
      <x:c r="E4469" s="274" t="n">
        <x:v>30</x:v>
      </x:c>
      <x:c r="F4469" s="274" t="s">
        <x:v>311</x:v>
      </x:c>
      <x:c r="G4469" s="274" t="s">
        <x:v>828</x:v>
      </x:c>
      <x:c r="H4469" s="274" t="s">
        <x:v>829</x:v>
      </x:c>
      <x:c r="I4469" s="274" t="n">
        <x:v>0.8</x:v>
      </x:c>
      <x:c r="J4469" s="274" t="n">
        <x:v>590</x:v>
      </x:c>
      <x:c r="K4469" s="274" t="n">
        <x:v>705</x:v>
      </x:c>
      <x:c r="M4469" s="274" t="s">
        <x:v>3780</x:v>
      </x:c>
      <x:c r="N4469" s="274" t="s">
        <x:v>831</x:v>
      </x:c>
    </x:row>
    <x:row r="4470" spans="1:14">
      <x:c r="A4470" s="274" t="s">
        <x:v>8077</x:v>
      </x:c>
      <x:c r="B4470" s="274" t="n">
        <x:v>0.97</x:v>
      </x:c>
      <x:c r="C4470" s="274" t="n">
        <x:v>26</x:v>
      </x:c>
      <x:c r="D4470" s="274" t="n">
        <x:v>36</x:v>
      </x:c>
      <x:c r="E4470" s="274" t="n">
        <x:v>33</x:v>
      </x:c>
      <x:c r="F4470" s="274" t="s">
        <x:v>3412</x:v>
      </x:c>
      <x:c r="G4470" s="274" t="s">
        <x:v>6622</x:v>
      </x:c>
      <x:c r="H4470" s="274" t="s">
        <x:v>837</x:v>
      </x:c>
      <x:c r="I4470" s="274" t="n">
        <x:v>0.8</x:v>
      </x:c>
      <x:c r="J4470" s="274" t="n">
        <x:v>370</x:v>
      </x:c>
      <x:c r="K4470" s="274" t="n">
        <x:v>415</x:v>
      </x:c>
      <x:c r="M4470" s="274" t="s">
        <x:v>3921</x:v>
      </x:c>
      <x:c r="N4470" s="274" t="s">
        <x:v>831</x:v>
      </x:c>
    </x:row>
    <x:row r="4471" spans="1:14">
      <x:c r="A4471" s="274" t="s">
        <x:v>8078</x:v>
      </x:c>
      <x:c r="B4471" s="274" t="n">
        <x:v>2.64</x:v>
      </x:c>
      <x:c r="C4471" s="274" t="n">
        <x:v>0</x:v>
      </x:c>
      <x:c r="D4471" s="274" t="n">
        <x:v>45</x:v>
      </x:c>
      <x:c r="E4471" s="274" t="n">
        <x:v>40</x:v>
      </x:c>
      <x:c r="F4471" s="274" t="s">
        <x:v>833</x:v>
      </x:c>
      <x:c r="G4471" s="274" t="s">
        <x:v>834</x:v>
      </x:c>
      <x:c r="H4471" s="274" t="s">
        <x:v>829</x:v>
      </x:c>
      <x:c r="I4471" s="274" t="n">
        <x:v>0.8</x:v>
      </x:c>
      <x:c r="J4471" s="274" t="n">
        <x:v>620</x:v>
      </x:c>
      <x:c r="K4471" s="274" t="n">
        <x:v>675</x:v>
      </x:c>
      <x:c r="M4471" s="274" t="s">
        <x:v>3776</x:v>
      </x:c>
      <x:c r="N4471" s="274" t="s">
        <x:v>831</x:v>
      </x:c>
    </x:row>
    <x:row r="4472" spans="1:14">
      <x:c r="A4472" s="274" t="s">
        <x:v>8079</x:v>
      </x:c>
      <x:c r="B4472" s="274" t="n">
        <x:v>2.64</x:v>
      </x:c>
      <x:c r="C4472" s="274" t="n">
        <x:v>0</x:v>
      </x:c>
      <x:c r="D4472" s="274" t="n">
        <x:v>45</x:v>
      </x:c>
      <x:c r="E4472" s="274" t="n">
        <x:v>40</x:v>
      </x:c>
      <x:c r="F4472" s="274" t="s">
        <x:v>833</x:v>
      </x:c>
      <x:c r="G4472" s="274" t="s">
        <x:v>834</x:v>
      </x:c>
      <x:c r="H4472" s="274" t="s">
        <x:v>829</x:v>
      </x:c>
      <x:c r="I4472" s="274" t="n">
        <x:v>0.8</x:v>
      </x:c>
      <x:c r="J4472" s="274" t="n">
        <x:v>620</x:v>
      </x:c>
      <x:c r="K4472" s="274" t="n">
        <x:v>675</x:v>
      </x:c>
      <x:c r="M4472" s="274" t="s">
        <x:v>3776</x:v>
      </x:c>
      <x:c r="N4472" s="274" t="s">
        <x:v>831</x:v>
      </x:c>
    </x:row>
    <x:row r="4473" spans="1:14">
      <x:c r="A4473" s="274" t="s">
        <x:v>8080</x:v>
      </x:c>
      <x:c r="B4473" s="274" t="n">
        <x:v>13.23</x:v>
      </x:c>
      <x:c r="C4473" s="274" t="n">
        <x:v>0</x:v>
      </x:c>
      <x:c r="D4473" s="274" t="n">
        <x:v>28</x:v>
      </x:c>
      <x:c r="F4473" s="274" t="s">
        <x:v>1980</x:v>
      </x:c>
      <x:c r="G4473" s="274" t="s">
        <x:v>1985</x:v>
      </x:c>
      <x:c r="I4473" s="274" t="n">
        <x:v>0.8</x:v>
      </x:c>
      <x:c r="J4473" s="274" t="n">
        <x:v>1350</x:v>
      </x:c>
      <x:c r="K4473" s="274" t="n">
        <x:v>1320</x:v>
      </x:c>
      <x:c r="L4473" s="274" t="n">
        <x:v>1800</x:v>
      </x:c>
      <x:c r="M4473" s="274" t="s">
        <x:v>8081</x:v>
      </x:c>
      <x:c r="N4473" s="274" t="s">
        <x:v>1983</x:v>
      </x:c>
    </x:row>
    <x:row r="4474" spans="1:14">
      <x:c r="A4474" s="274" t="s">
        <x:v>8082</x:v>
      </x:c>
      <x:c r="B4474" s="274" t="n">
        <x:v>1.28</x:v>
      </x:c>
      <x:c r="C4474" s="274" t="n">
        <x:v>0</x:v>
      </x:c>
      <x:c r="D4474" s="274" t="n">
        <x:v>0</x:v>
      </x:c>
      <x:c r="F4474" s="274" t="s">
        <x:v>333</x:v>
      </x:c>
      <x:c r="G4474" s="274" t="s">
        <x:v>153</x:v>
      </x:c>
      <x:c r="I4474" s="274" t="n">
        <x:v>1.2</x:v>
      </x:c>
      <x:c r="J4474" s="274" t="n">
        <x:v>900</x:v>
      </x:c>
      <x:c r="K4474" s="274" t="n">
        <x:v>151</x:v>
      </x:c>
      <x:c r="M4474" s="274" t="s">
        <x:v>3460</x:v>
      </x:c>
      <x:c r="N4474" s="274" t="s">
        <x:v>4481</x:v>
      </x:c>
    </x:row>
    <x:row r="4475" spans="1:14">
      <x:c r="A4475" s="274" t="s">
        <x:v>8083</x:v>
      </x:c>
      <x:c r="B4475" s="274" t="n">
        <x:v>13.36</x:v>
      </x:c>
      <x:c r="C4475" s="274" t="n">
        <x:v>0</x:v>
      </x:c>
      <x:c r="D4475" s="274" t="n">
        <x:v>0</x:v>
      </x:c>
      <x:c r="E4475" s="274" t="n">
        <x:v>0</x:v>
      </x:c>
      <x:c r="F4475" s="274" t="s">
        <x:v>184</x:v>
      </x:c>
      <x:c r="G4475" s="274" t="s">
        <x:v>284</x:v>
      </x:c>
      <x:c r="H4475" s="274" t="s">
        <x:v>285</x:v>
      </x:c>
      <x:c r="I4475" s="274" t="n">
        <x:v>0.8</x:v>
      </x:c>
      <x:c r="J4475" s="274" t="n">
        <x:v>920</x:v>
      </x:c>
      <x:c r="K4475" s="274" t="n">
        <x:v>2344.4</x:v>
      </x:c>
      <x:c r="L4475" s="274" t="n">
        <x:v>2215.6</x:v>
      </x:c>
      <x:c r="M4475" s="274" t="s">
        <x:v>8084</x:v>
      </x:c>
      <x:c r="N4475" s="274" t="s">
        <x:v>155</x:v>
      </x:c>
    </x:row>
    <x:row r="4476" spans="1:14">
      <x:c r="A4476" s="274" t="s">
        <x:v>8085</x:v>
      </x:c>
      <x:c r="B4476" s="274" t="n">
        <x:v>13.18</x:v>
      </x:c>
      <x:c r="C4476" s="274" t="n">
        <x:v>0</x:v>
      </x:c>
      <x:c r="D4476" s="274" t="n">
        <x:v>0</x:v>
      </x:c>
      <x:c r="E4476" s="274" t="n">
        <x:v>0</x:v>
      </x:c>
      <x:c r="F4476" s="274" t="s">
        <x:v>184</x:v>
      </x:c>
      <x:c r="G4476" s="274" t="s">
        <x:v>284</x:v>
      </x:c>
      <x:c r="H4476" s="274" t="s">
        <x:v>285</x:v>
      </x:c>
      <x:c r="I4476" s="274" t="n">
        <x:v>0.8</x:v>
      </x:c>
      <x:c r="J4476" s="274" t="n">
        <x:v>925</x:v>
      </x:c>
      <x:c r="K4476" s="274" t="n">
        <x:v>2771</x:v>
      </x:c>
      <x:c r="L4476" s="274" t="n">
        <x:v>1703</x:v>
      </x:c>
      <x:c r="M4476" s="274" t="s">
        <x:v>8086</x:v>
      </x:c>
      <x:c r="N4476" s="274" t="s">
        <x:v>155</x:v>
      </x:c>
    </x:row>
    <x:row r="4477" spans="1:14">
      <x:c r="A4477" s="274" t="s">
        <x:v>8087</x:v>
      </x:c>
      <x:c r="B4477" s="274" t="n">
        <x:v>1.98</x:v>
      </x:c>
      <x:c r="C4477" s="274" t="n">
        <x:v>0</x:v>
      </x:c>
      <x:c r="D4477" s="274" t="n">
        <x:v>0</x:v>
      </x:c>
      <x:c r="F4477" s="274" t="s">
        <x:v>123</x:v>
      </x:c>
      <x:c r="G4477" s="274" t="s">
        <x:v>129</x:v>
      </x:c>
      <x:c r="H4477" s="274" t="n">
        <x:v>45</x:v>
      </x:c>
      <x:c r="I4477" s="274" t="n">
        <x:v>0.65</x:v>
      </x:c>
      <x:c r="J4477" s="274" t="n">
        <x:v>420</x:v>
      </x:c>
      <x:c r="K4477" s="274" t="n">
        <x:v>910</x:v>
      </x:c>
      <x:c r="M4477" s="274" t="s">
        <x:v>8088</x:v>
      </x:c>
      <x:c r="N4477" s="274" t="s">
        <x:v>3671</x:v>
      </x:c>
    </x:row>
    <x:row r="4478" spans="1:14">
      <x:c r="A4478" s="274" t="s">
        <x:v>8089</x:v>
      </x:c>
      <x:c r="B4478" s="274" t="n">
        <x:v>1.61</x:v>
      </x:c>
      <x:c r="C4478" s="274" t="n">
        <x:v>0</x:v>
      </x:c>
      <x:c r="D4478" s="274" t="n">
        <x:v>0</x:v>
      </x:c>
      <x:c r="F4478" s="274" t="s">
        <x:v>333</x:v>
      </x:c>
      <x:c r="G4478" s="274" t="s">
        <x:v>124</x:v>
      </x:c>
      <x:c r="I4478" s="274" t="n">
        <x:v>1</x:v>
      </x:c>
      <x:c r="J4478" s="274" t="n">
        <x:v>175</x:v>
      </x:c>
      <x:c r="K4478" s="274" t="n">
        <x:v>1175</x:v>
      </x:c>
      <x:c r="M4478" s="274" t="s">
        <x:v>5083</x:v>
      </x:c>
      <x:c r="N4478" s="274" t="s">
        <x:v>3671</x:v>
      </x:c>
    </x:row>
    <x:row r="4479" spans="1:14">
      <x:c r="A4479" s="274" t="s">
        <x:v>8090</x:v>
      </x:c>
      <x:c r="B4479" s="274" t="n">
        <x:v>1.62</x:v>
      </x:c>
      <x:c r="C4479" s="274" t="n">
        <x:v>0</x:v>
      </x:c>
      <x:c r="D4479" s="274" t="n">
        <x:v>0</x:v>
      </x:c>
      <x:c r="F4479" s="274" t="s">
        <x:v>133</x:v>
      </x:c>
      <x:c r="G4479" s="274" t="s">
        <x:v>136</x:v>
      </x:c>
      <x:c r="H4479" s="274" t="n">
        <x:v>45</x:v>
      </x:c>
      <x:c r="I4479" s="274" t="n">
        <x:v>1</x:v>
      </x:c>
      <x:c r="J4479" s="274" t="n">
        <x:v>163</x:v>
      </x:c>
      <x:c r="K4479" s="274" t="n">
        <x:v>1250</x:v>
      </x:c>
      <x:c r="M4479" s="274" t="s">
        <x:v>8091</x:v>
      </x:c>
      <x:c r="N4479" s="274" t="s">
        <x:v>3671</x:v>
      </x:c>
    </x:row>
    <x:row r="4480" spans="1:14">
      <x:c r="A4480" s="274" t="s">
        <x:v>8092</x:v>
      </x:c>
      <x:c r="B4480" s="274" t="n">
        <x:v>1.15</x:v>
      </x:c>
      <x:c r="C4480" s="274" t="n">
        <x:v>0</x:v>
      </x:c>
      <x:c r="D4480" s="274" t="n">
        <x:v>0</x:v>
      </x:c>
      <x:c r="F4480" s="274" t="s">
        <x:v>133</x:v>
      </x:c>
      <x:c r="G4480" s="274" t="s">
        <x:v>136</x:v>
      </x:c>
      <x:c r="H4480" s="274" t="n">
        <x:v>45</x:v>
      </x:c>
      <x:c r="I4480" s="274" t="n">
        <x:v>1</x:v>
      </x:c>
      <x:c r="J4480" s="274" t="n">
        <x:v>116</x:v>
      </x:c>
      <x:c r="K4480" s="274" t="n">
        <x:v>1250</x:v>
      </x:c>
      <x:c r="M4480" s="274" t="s">
        <x:v>8093</x:v>
      </x:c>
      <x:c r="N4480" s="274" t="s">
        <x:v>3671</x:v>
      </x:c>
    </x:row>
    <x:row r="4481" spans="1:14">
      <x:c r="A4481" s="274" t="s">
        <x:v>8094</x:v>
      </x:c>
      <x:c r="B4481" s="274" t="n">
        <x:v>2.43</x:v>
      </x:c>
      <x:c r="C4481" s="274" t="n">
        <x:v>0</x:v>
      </x:c>
      <x:c r="D4481" s="274" t="n">
        <x:v>0</x:v>
      </x:c>
      <x:c r="F4481" s="274" t="s">
        <x:v>133</x:v>
      </x:c>
      <x:c r="G4481" s="274" t="s">
        <x:v>144</x:v>
      </x:c>
      <x:c r="H4481" s="274" t="n">
        <x:v>45</x:v>
      </x:c>
      <x:c r="I4481" s="274" t="n">
        <x:v>1</x:v>
      </x:c>
      <x:c r="J4481" s="274" t="n">
        <x:v>245</x:v>
      </x:c>
      <x:c r="K4481" s="274" t="n">
        <x:v>1250</x:v>
      </x:c>
      <x:c r="M4481" s="274" t="s">
        <x:v>5085</x:v>
      </x:c>
      <x:c r="N4481" s="274" t="s">
        <x:v>3671</x:v>
      </x:c>
    </x:row>
    <x:row r="4482" spans="1:14">
      <x:c r="A4482" s="274" t="s">
        <x:v>8095</x:v>
      </x:c>
      <x:c r="B4482" s="274" t="n">
        <x:v>5.6</x:v>
      </x:c>
      <x:c r="C4482" s="274" t="n">
        <x:v>0</x:v>
      </x:c>
      <x:c r="D4482" s="274" t="n">
        <x:v>0</x:v>
      </x:c>
      <x:c r="F4482" s="274" t="s">
        <x:v>133</x:v>
      </x:c>
      <x:c r="G4482" s="274" t="s">
        <x:v>144</x:v>
      </x:c>
      <x:c r="H4482" s="274" t="n">
        <x:v>45</x:v>
      </x:c>
      <x:c r="I4482" s="274" t="n">
        <x:v>1</x:v>
      </x:c>
      <x:c r="J4482" s="274" t="n">
        <x:v>420</x:v>
      </x:c>
      <x:c r="K4482" s="274" t="n">
        <x:v>1680</x:v>
      </x:c>
      <x:c r="M4482" s="274" t="s">
        <x:v>8096</x:v>
      </x:c>
      <x:c r="N4482" s="274" t="s">
        <x:v>3671</x:v>
      </x:c>
    </x:row>
    <x:row r="4483" spans="1:14">
      <x:c r="A4483" s="274" t="s">
        <x:v>8097</x:v>
      </x:c>
      <x:c r="B4483" s="274" t="n">
        <x:v>0.89</x:v>
      </x:c>
      <x:c r="C4483" s="274" t="n">
        <x:v>0</x:v>
      </x:c>
      <x:c r="D4483" s="274" t="n">
        <x:v>0</x:v>
      </x:c>
      <x:c r="F4483" s="274" t="s">
        <x:v>123</x:v>
      </x:c>
      <x:c r="G4483" s="274" t="s">
        <x:v>129</x:v>
      </x:c>
      <x:c r="H4483" s="274" t="n">
        <x:v>45</x:v>
      </x:c>
      <x:c r="I4483" s="274" t="n">
        <x:v>1</x:v>
      </x:c>
      <x:c r="J4483" s="274" t="n">
        <x:v>90</x:v>
      </x:c>
      <x:c r="K4483" s="274" t="n">
        <x:v>1250</x:v>
      </x:c>
      <x:c r="M4483" s="274" t="s">
        <x:v>6126</x:v>
      </x:c>
      <x:c r="N4483" s="274" t="s">
        <x:v>3671</x:v>
      </x:c>
    </x:row>
    <x:row r="4484" spans="1:14">
      <x:c r="A4484" s="274" t="s">
        <x:v>8098</x:v>
      </x:c>
      <x:c r="B4484" s="274" t="n">
        <x:v>0.15</x:v>
      </x:c>
      <x:c r="C4484" s="274" t="n">
        <x:v>0</x:v>
      </x:c>
      <x:c r="D4484" s="274" t="n">
        <x:v>0</x:v>
      </x:c>
      <x:c r="F4484" s="274" t="s">
        <x:v>123</x:v>
      </x:c>
      <x:c r="G4484" s="274" t="s">
        <x:v>129</x:v>
      </x:c>
      <x:c r="H4484" s="274" t="n">
        <x:v>45</x:v>
      </x:c>
      <x:c r="I4484" s="274" t="n">
        <x:v>1</x:v>
      </x:c>
      <x:c r="J4484" s="274" t="n">
        <x:v>120</x:v>
      </x:c>
      <x:c r="K4484" s="274" t="n">
        <x:v>160</x:v>
      </x:c>
      <x:c r="M4484" s="274" t="s">
        <x:v>6128</x:v>
      </x:c>
      <x:c r="N4484" s="274" t="s">
        <x:v>3671</x:v>
      </x:c>
    </x:row>
    <x:row r="4485" spans="1:14">
      <x:c r="A4485" s="274" t="s">
        <x:v>8099</x:v>
      </x:c>
      <x:c r="B4485" s="274" t="n">
        <x:v>1.63</x:v>
      </x:c>
      <x:c r="C4485" s="274" t="n">
        <x:v>0</x:v>
      </x:c>
      <x:c r="D4485" s="274" t="n">
        <x:v>0</x:v>
      </x:c>
      <x:c r="F4485" s="274" t="s">
        <x:v>3412</x:v>
      </x:c>
      <x:c r="G4485" s="274" t="s">
        <x:v>5476</x:v>
      </x:c>
      <x:c r="I4485" s="274" t="n">
        <x:v>1</x:v>
      </x:c>
      <x:c r="J4485" s="274" t="n">
        <x:v>189</x:v>
      </x:c>
      <x:c r="K4485" s="274" t="n">
        <x:v>1115</x:v>
      </x:c>
      <x:c r="M4485" s="274" t="s">
        <x:v>7293</x:v>
      </x:c>
      <x:c r="N4485" s="274" t="s">
        <x:v>4258</x:v>
      </x:c>
    </x:row>
    <x:row r="4486" spans="1:14">
      <x:c r="A4486" s="274" t="s">
        <x:v>8100</x:v>
      </x:c>
      <x:c r="B4486" s="274" t="n">
        <x:v>2.64</x:v>
      </x:c>
      <x:c r="C4486" s="274" t="n">
        <x:v>0</x:v>
      </x:c>
      <x:c r="D4486" s="274" t="n">
        <x:v>45</x:v>
      </x:c>
      <x:c r="E4486" s="274" t="n">
        <x:v>40</x:v>
      </x:c>
      <x:c r="F4486" s="274" t="s">
        <x:v>833</x:v>
      </x:c>
      <x:c r="G4486" s="274" t="s">
        <x:v>834</x:v>
      </x:c>
      <x:c r="H4486" s="274" t="s">
        <x:v>829</x:v>
      </x:c>
      <x:c r="I4486" s="274" t="n">
        <x:v>0.8</x:v>
      </x:c>
      <x:c r="J4486" s="274" t="n">
        <x:v>620</x:v>
      </x:c>
      <x:c r="K4486" s="274" t="n">
        <x:v>675</x:v>
      </x:c>
      <x:c r="M4486" s="274" t="s">
        <x:v>3776</x:v>
      </x:c>
      <x:c r="N4486" s="274" t="s">
        <x:v>831</x:v>
      </x:c>
    </x:row>
    <x:row r="4487" spans="1:14">
      <x:c r="A4487" s="274" t="s">
        <x:v>8101</x:v>
      </x:c>
      <x:c r="B4487" s="274" t="n">
        <x:v>1.23</x:v>
      </x:c>
      <x:c r="C4487" s="274" t="n">
        <x:v>0</x:v>
      </x:c>
      <x:c r="D4487" s="274" t="n">
        <x:v>36</x:v>
      </x:c>
      <x:c r="E4487" s="274" t="n">
        <x:v>33</x:v>
      </x:c>
      <x:c r="F4487" s="274" t="s">
        <x:v>833</x:v>
      </x:c>
      <x:c r="G4487" s="274" t="s">
        <x:v>834</x:v>
      </x:c>
      <x:c r="H4487" s="274" t="s">
        <x:v>837</x:v>
      </x:c>
      <x:c r="I4487" s="274" t="n">
        <x:v>0.8</x:v>
      </x:c>
      <x:c r="J4487" s="274" t="n">
        <x:v>430</x:v>
      </x:c>
      <x:c r="K4487" s="274" t="n">
        <x:v>455</x:v>
      </x:c>
      <x:c r="M4487" s="274" t="s">
        <x:v>3923</x:v>
      </x:c>
      <x:c r="N4487" s="274" t="s">
        <x:v>831</x:v>
      </x:c>
    </x:row>
    <x:row r="4488" spans="1:14">
      <x:c r="A4488" s="274" t="s">
        <x:v>8102</x:v>
      </x:c>
      <x:c r="B4488" s="274" t="n">
        <x:v>1.23</x:v>
      </x:c>
      <x:c r="C4488" s="274" t="n">
        <x:v>0</x:v>
      </x:c>
      <x:c r="D4488" s="274" t="n">
        <x:v>36</x:v>
      </x:c>
      <x:c r="E4488" s="274" t="n">
        <x:v>33</x:v>
      </x:c>
      <x:c r="F4488" s="274" t="s">
        <x:v>311</x:v>
      </x:c>
      <x:c r="G4488" s="274" t="s">
        <x:v>828</x:v>
      </x:c>
      <x:c r="H4488" s="274" t="s">
        <x:v>837</x:v>
      </x:c>
      <x:c r="I4488" s="274" t="n">
        <x:v>0.8</x:v>
      </x:c>
      <x:c r="J4488" s="274" t="n">
        <x:v>430</x:v>
      </x:c>
      <x:c r="K4488" s="274" t="n">
        <x:v>455</x:v>
      </x:c>
      <x:c r="M4488" s="274" t="s">
        <x:v>3923</x:v>
      </x:c>
      <x:c r="N4488" s="274" t="s">
        <x:v>831</x:v>
      </x:c>
    </x:row>
    <x:row r="4489" spans="1:14">
      <x:c r="A4489" s="274" t="s">
        <x:v>8103</x:v>
      </x:c>
      <x:c r="B4489" s="274" t="n">
        <x:v>1.25</x:v>
      </x:c>
      <x:c r="C4489" s="274" t="n">
        <x:v>0</x:v>
      </x:c>
      <x:c r="D4489" s="274" t="n">
        <x:v>36</x:v>
      </x:c>
      <x:c r="E4489" s="274" t="n">
        <x:v>33</x:v>
      </x:c>
      <x:c r="F4489" s="274" t="s">
        <x:v>311</x:v>
      </x:c>
      <x:c r="G4489" s="274" t="s">
        <x:v>828</x:v>
      </x:c>
      <x:c r="H4489" s="274" t="s">
        <x:v>837</x:v>
      </x:c>
      <x:c r="I4489" s="274" t="n">
        <x:v>0.8</x:v>
      </x:c>
      <x:c r="J4489" s="274" t="n">
        <x:v>435</x:v>
      </x:c>
      <x:c r="K4489" s="274" t="n">
        <x:v>455</x:v>
      </x:c>
      <x:c r="M4489" s="274" t="s">
        <x:v>3923</x:v>
      </x:c>
      <x:c r="N4489" s="274" t="s">
        <x:v>831</x:v>
      </x:c>
    </x:row>
    <x:row r="4490" spans="1:14">
      <x:c r="A4490" s="274" t="s">
        <x:v>8104</x:v>
      </x:c>
      <x:c r="B4490" s="274" t="n">
        <x:v>2.32</x:v>
      </x:c>
      <x:c r="C4490" s="274" t="n">
        <x:v>0</x:v>
      </x:c>
      <x:c r="D4490" s="274" t="n">
        <x:v>45</x:v>
      </x:c>
      <x:c r="E4490" s="274" t="n">
        <x:v>40</x:v>
      </x:c>
      <x:c r="F4490" s="274" t="s">
        <x:v>311</x:v>
      </x:c>
      <x:c r="G4490" s="274" t="s">
        <x:v>828</x:v>
      </x:c>
      <x:c r="H4490" s="274" t="s">
        <x:v>829</x:v>
      </x:c>
      <x:c r="I4490" s="274" t="n">
        <x:v>0.8</x:v>
      </x:c>
      <x:c r="J4490" s="274" t="n">
        <x:v>575</x:v>
      </x:c>
      <x:c r="K4490" s="274" t="n">
        <x:v>640</x:v>
      </x:c>
      <x:c r="M4490" s="274" t="s">
        <x:v>830</x:v>
      </x:c>
      <x:c r="N4490" s="274" t="s">
        <x:v>831</x:v>
      </x:c>
    </x:row>
    <x:row r="4491" spans="1:14">
      <x:c r="A4491" s="274" t="s">
        <x:v>8105</x:v>
      </x:c>
      <x:c r="B4491" s="274" t="n">
        <x:v>0.91</x:v>
      </x:c>
      <x:c r="C4491" s="274" t="n">
        <x:v>19</x:v>
      </x:c>
      <x:c r="D4491" s="274" t="n">
        <x:v>35</x:v>
      </x:c>
      <x:c r="E4491" s="274" t="n">
        <x:v>28</x:v>
      </x:c>
      <x:c r="F4491" s="274" t="s">
        <x:v>333</x:v>
      </x:c>
      <x:c r="G4491" s="274" t="s">
        <x:v>153</x:v>
      </x:c>
      <x:c r="I4491" s="274" t="n">
        <x:v>1.2</x:v>
      </x:c>
      <x:c r="J4491" s="274" t="n">
        <x:v>135</x:v>
      </x:c>
      <x:c r="K4491" s="274" t="n">
        <x:v>719</x:v>
      </x:c>
      <x:c r="M4491" s="274" t="s">
        <x:v>7636</x:v>
      </x:c>
      <x:c r="N4491" s="274" t="s">
        <x:v>299</x:v>
      </x:c>
    </x:row>
    <x:row r="4492" spans="1:14">
      <x:c r="A4492" s="274" t="s">
        <x:v>8106</x:v>
      </x:c>
      <x:c r="B4492" s="274" t="n">
        <x:v>4.08</x:v>
      </x:c>
      <x:c r="C4492" s="274" t="n">
        <x:v>0</x:v>
      </x:c>
      <x:c r="D4492" s="274" t="n">
        <x:v>22</x:v>
      </x:c>
      <x:c r="E4492" s="274" t="n">
        <x:v>19</x:v>
      </x:c>
      <x:c r="F4492" s="274" t="s">
        <x:v>184</x:v>
      </x:c>
      <x:c r="G4492" s="274" t="s">
        <x:v>129</x:v>
      </x:c>
      <x:c r="H4492" s="274" t="n">
        <x:v>45</x:v>
      </x:c>
      <x:c r="I4492" s="274" t="n">
        <x:v>1.2</x:v>
      </x:c>
      <x:c r="J4492" s="274" t="n">
        <x:v>375</x:v>
      </x:c>
      <x:c r="K4492" s="274" t="n">
        <x:v>1143</x:v>
      </x:c>
      <x:c r="M4492" s="274" t="s">
        <x:v>7632</x:v>
      </x:c>
      <x:c r="N4492" s="274" t="s">
        <x:v>4481</x:v>
      </x:c>
    </x:row>
    <x:row r="4493" spans="1:14">
      <x:c r="A4493" s="274" t="s">
        <x:v>8107</x:v>
      </x:c>
      <x:c r="B4493" s="274" t="n">
        <x:v>5.34</x:v>
      </x:c>
      <x:c r="C4493" s="274" t="n">
        <x:v>0</x:v>
      </x:c>
      <x:c r="D4493" s="274" t="n">
        <x:v>18</x:v>
      </x:c>
      <x:c r="E4493" s="274" t="n">
        <x:v>15</x:v>
      </x:c>
      <x:c r="F4493" s="274" t="s">
        <x:v>133</x:v>
      </x:c>
      <x:c r="G4493" s="274" t="s">
        <x:v>136</x:v>
      </x:c>
      <x:c r="H4493" s="274" t="n">
        <x:v>45</x:v>
      </x:c>
      <x:c r="I4493" s="274" t="n">
        <x:v>1.4</x:v>
      </x:c>
      <x:c r="J4493" s="274" t="n">
        <x:v>335</x:v>
      </x:c>
      <x:c r="K4493" s="274" t="n">
        <x:v>1440</x:v>
      </x:c>
      <x:c r="M4493" s="274" t="s">
        <x:v>2606</x:v>
      </x:c>
      <x:c r="N4493" s="274" t="s">
        <x:v>4481</x:v>
      </x:c>
    </x:row>
    <x:row r="4494" spans="1:14">
      <x:c r="A4494" s="274" t="s">
        <x:v>8108</x:v>
      </x:c>
      <x:c r="B4494" s="274" t="n">
        <x:v>6.78</x:v>
      </x:c>
      <x:c r="C4494" s="274" t="n">
        <x:v>0</x:v>
      </x:c>
      <x:c r="D4494" s="274" t="n">
        <x:v>0</x:v>
      </x:c>
      <x:c r="F4494" s="274" t="s">
        <x:v>133</x:v>
      </x:c>
      <x:c r="G4494" s="274" t="s">
        <x:v>134</x:v>
      </x:c>
      <x:c r="I4494" s="274" t="n">
        <x:v>3.2</x:v>
      </x:c>
      <x:c r="J4494" s="274" t="n">
        <x:v>216</x:v>
      </x:c>
      <x:c r="K4494" s="274" t="n">
        <x:v>1250</x:v>
      </x:c>
      <x:c r="M4494" s="274" t="s">
        <x:v>8109</x:v>
      </x:c>
      <x:c r="N4494" s="274" t="s">
        <x:v>3671</x:v>
      </x:c>
    </x:row>
    <x:row r="4495" spans="1:14">
      <x:c r="A4495" s="274" t="s">
        <x:v>8110</x:v>
      </x:c>
      <x:c r="B4495" s="274" t="n">
        <x:v>0.15</x:v>
      </x:c>
      <x:c r="C4495" s="274" t="n">
        <x:v>0</x:v>
      </x:c>
      <x:c r="D4495" s="274" t="n">
        <x:v>0</x:v>
      </x:c>
      <x:c r="F4495" s="274" t="s">
        <x:v>123</x:v>
      </x:c>
      <x:c r="G4495" s="274" t="s">
        <x:v>129</x:v>
      </x:c>
      <x:c r="H4495" s="274" t="n">
        <x:v>45</x:v>
      </x:c>
      <x:c r="I4495" s="274" t="n">
        <x:v>1</x:v>
      </x:c>
      <x:c r="J4495" s="274" t="n">
        <x:v>120</x:v>
      </x:c>
      <x:c r="K4495" s="274" t="n">
        <x:v>160</x:v>
      </x:c>
      <x:c r="M4495" s="274" t="s">
        <x:v>6128</x:v>
      </x:c>
      <x:c r="N4495" s="274" t="s">
        <x:v>3671</x:v>
      </x:c>
    </x:row>
    <x:row r="4496" spans="1:14">
      <x:c r="A4496" s="274" t="s">
        <x:v>8111</x:v>
      </x:c>
      <x:c r="B4496" s="274" t="n">
        <x:v>0.23</x:v>
      </x:c>
      <x:c r="C4496" s="274" t="n">
        <x:v>0</x:v>
      </x:c>
      <x:c r="D4496" s="274" t="n">
        <x:v>0</x:v>
      </x:c>
      <x:c r="F4496" s="274" t="s">
        <x:v>123</x:v>
      </x:c>
      <x:c r="G4496" s="274" t="s">
        <x:v>437</x:v>
      </x:c>
      <x:c r="I4496" s="274" t="n">
        <x:v>3.2</x:v>
      </x:c>
      <x:c r="J4496" s="274" t="n">
        <x:v>128</x:v>
      </x:c>
      <x:c r="K4496" s="274" t="n">
        <x:v>73</x:v>
      </x:c>
      <x:c r="M4496" s="274" t="s">
        <x:v>8112</x:v>
      </x:c>
    </x:row>
    <x:row r="4497" spans="1:14">
      <x:c r="A4497" s="274" t="s">
        <x:v>8113</x:v>
      </x:c>
      <x:c r="B4497" s="274" t="n">
        <x:v>2.43</x:v>
      </x:c>
      <x:c r="C4497" s="274" t="n">
        <x:v>0</x:v>
      </x:c>
      <x:c r="D4497" s="274" t="n">
        <x:v>0</x:v>
      </x:c>
      <x:c r="F4497" s="274" t="s">
        <x:v>133</x:v>
      </x:c>
      <x:c r="G4497" s="274" t="s">
        <x:v>144</x:v>
      </x:c>
      <x:c r="H4497" s="274" t="n">
        <x:v>45</x:v>
      </x:c>
      <x:c r="I4497" s="274" t="n">
        <x:v>1</x:v>
      </x:c>
      <x:c r="J4497" s="274" t="n">
        <x:v>245</x:v>
      </x:c>
      <x:c r="K4497" s="274" t="n">
        <x:v>1250</x:v>
      </x:c>
      <x:c r="M4497" s="274" t="s">
        <x:v>5085</x:v>
      </x:c>
      <x:c r="N4497" s="274" t="s">
        <x:v>3671</x:v>
      </x:c>
    </x:row>
    <x:row r="4498" spans="1:14">
      <x:c r="A4498" s="274" t="s">
        <x:v>8114</x:v>
      </x:c>
      <x:c r="B4498" s="274" t="n">
        <x:v>5.6</x:v>
      </x:c>
      <x:c r="C4498" s="274" t="n">
        <x:v>0</x:v>
      </x:c>
      <x:c r="D4498" s="274" t="n">
        <x:v>0</x:v>
      </x:c>
      <x:c r="F4498" s="274" t="s">
        <x:v>133</x:v>
      </x:c>
      <x:c r="G4498" s="274" t="s">
        <x:v>144</x:v>
      </x:c>
      <x:c r="H4498" s="274" t="n">
        <x:v>45</x:v>
      </x:c>
      <x:c r="I4498" s="274" t="n">
        <x:v>1</x:v>
      </x:c>
      <x:c r="J4498" s="274" t="n">
        <x:v>420</x:v>
      </x:c>
      <x:c r="K4498" s="274" t="n">
        <x:v>1680</x:v>
      </x:c>
      <x:c r="M4498" s="274" t="s">
        <x:v>8096</x:v>
      </x:c>
      <x:c r="N4498" s="274" t="s">
        <x:v>3671</x:v>
      </x:c>
    </x:row>
    <x:row r="4499" spans="1:14">
      <x:c r="A4499" s="274" t="s">
        <x:v>8115</x:v>
      </x:c>
      <x:c r="B4499" s="274" t="n">
        <x:v>1.15</x:v>
      </x:c>
      <x:c r="C4499" s="274" t="n">
        <x:v>0</x:v>
      </x:c>
      <x:c r="D4499" s="274" t="n">
        <x:v>0</x:v>
      </x:c>
      <x:c r="F4499" s="274" t="s">
        <x:v>133</x:v>
      </x:c>
      <x:c r="G4499" s="274" t="s">
        <x:v>136</x:v>
      </x:c>
      <x:c r="H4499" s="274" t="n">
        <x:v>45</x:v>
      </x:c>
      <x:c r="I4499" s="274" t="n">
        <x:v>1</x:v>
      </x:c>
      <x:c r="J4499" s="274" t="n">
        <x:v>116</x:v>
      </x:c>
      <x:c r="K4499" s="274" t="n">
        <x:v>1250</x:v>
      </x:c>
      <x:c r="M4499" s="274" t="s">
        <x:v>8093</x:v>
      </x:c>
      <x:c r="N4499" s="274" t="s">
        <x:v>3671</x:v>
      </x:c>
    </x:row>
    <x:row r="4500" spans="1:14">
      <x:c r="A4500" s="274" t="s">
        <x:v>8116</x:v>
      </x:c>
      <x:c r="B4500" s="274" t="n">
        <x:v>1.62</x:v>
      </x:c>
      <x:c r="C4500" s="274" t="n">
        <x:v>0</x:v>
      </x:c>
      <x:c r="D4500" s="274" t="n">
        <x:v>0</x:v>
      </x:c>
      <x:c r="F4500" s="274" t="s">
        <x:v>133</x:v>
      </x:c>
      <x:c r="G4500" s="274" t="s">
        <x:v>136</x:v>
      </x:c>
      <x:c r="H4500" s="274" t="n">
        <x:v>45</x:v>
      </x:c>
      <x:c r="I4500" s="274" t="n">
        <x:v>1</x:v>
      </x:c>
      <x:c r="J4500" s="274" t="n">
        <x:v>163</x:v>
      </x:c>
      <x:c r="K4500" s="274" t="n">
        <x:v>1250</x:v>
      </x:c>
      <x:c r="M4500" s="274" t="s">
        <x:v>8091</x:v>
      </x:c>
      <x:c r="N4500" s="274" t="s">
        <x:v>3671</x:v>
      </x:c>
    </x:row>
    <x:row r="4501" spans="1:14">
      <x:c r="A4501" s="274" t="s">
        <x:v>8117</x:v>
      </x:c>
      <x:c r="B4501" s="274" t="n">
        <x:v>0.93</x:v>
      </x:c>
      <x:c r="C4501" s="274" t="n">
        <x:v>0</x:v>
      </x:c>
      <x:c r="D4501" s="274" t="n">
        <x:v>0</x:v>
      </x:c>
      <x:c r="F4501" s="274" t="s">
        <x:v>333</x:v>
      </x:c>
      <x:c r="G4501" s="274" t="s">
        <x:v>124</x:v>
      </x:c>
      <x:c r="I4501" s="274" t="n">
        <x:v>1</x:v>
      </x:c>
      <x:c r="J4501" s="274" t="n">
        <x:v>250</x:v>
      </x:c>
      <x:c r="K4501" s="274" t="n">
        <x:v>472</x:v>
      </x:c>
      <x:c r="M4501" s="274" t="s">
        <x:v>8118</x:v>
      </x:c>
      <x:c r="N4501" s="274" t="s">
        <x:v>3671</x:v>
      </x:c>
    </x:row>
    <x:row r="4502" spans="1:14">
      <x:c r="A4502" s="274" t="s">
        <x:v>8119</x:v>
      </x:c>
      <x:c r="B4502" s="274" t="n">
        <x:v>1.61</x:v>
      </x:c>
      <x:c r="C4502" s="274" t="n">
        <x:v>0</x:v>
      </x:c>
      <x:c r="D4502" s="274" t="n">
        <x:v>0</x:v>
      </x:c>
      <x:c r="F4502" s="274" t="s">
        <x:v>333</x:v>
      </x:c>
      <x:c r="G4502" s="274" t="s">
        <x:v>124</x:v>
      </x:c>
      <x:c r="I4502" s="274" t="n">
        <x:v>1</x:v>
      </x:c>
      <x:c r="J4502" s="274" t="n">
        <x:v>175</x:v>
      </x:c>
      <x:c r="K4502" s="274" t="n">
        <x:v>1175</x:v>
      </x:c>
      <x:c r="M4502" s="274" t="s">
        <x:v>5083</x:v>
      </x:c>
      <x:c r="N4502" s="274" t="s">
        <x:v>3671</x:v>
      </x:c>
    </x:row>
    <x:row r="4503" spans="1:14">
      <x:c r="A4503" s="274" t="s">
        <x:v>8120</x:v>
      </x:c>
      <x:c r="B4503" s="274" t="n">
        <x:v>4.42</x:v>
      </x:c>
      <x:c r="C4503" s="274" t="n">
        <x:v>0</x:v>
      </x:c>
      <x:c r="D4503" s="274" t="n">
        <x:v>0</x:v>
      </x:c>
      <x:c r="F4503" s="274" t="s">
        <x:v>333</x:v>
      </x:c>
      <x:c r="G4503" s="274" t="s">
        <x:v>124</x:v>
      </x:c>
      <x:c r="I4503" s="274" t="n">
        <x:v>1</x:v>
      </x:c>
      <x:c r="J4503" s="274" t="n">
        <x:v>450</x:v>
      </x:c>
      <x:c r="K4503" s="274" t="n">
        <x:v>1250</x:v>
      </x:c>
      <x:c r="M4503" s="274" t="s">
        <x:v>8121</x:v>
      </x:c>
      <x:c r="N4503" s="274" t="s">
        <x:v>3671</x:v>
      </x:c>
    </x:row>
    <x:row r="4504" spans="1:14">
      <x:c r="A4504" s="274" t="s">
        <x:v>8122</x:v>
      </x:c>
      <x:c r="B4504" s="274" t="n">
        <x:v>2.47</x:v>
      </x:c>
      <x:c r="C4504" s="274" t="n">
        <x:v>0</x:v>
      </x:c>
      <x:c r="D4504" s="274" t="n">
        <x:v>0</x:v>
      </x:c>
      <x:c r="F4504" s="274" t="s">
        <x:v>333</x:v>
      </x:c>
      <x:c r="G4504" s="274" t="s">
        <x:v>5307</x:v>
      </x:c>
      <x:c r="I4504" s="274" t="n">
        <x:v>1.2</x:v>
      </x:c>
      <x:c r="J4504" s="274" t="n">
        <x:v>210</x:v>
      </x:c>
      <x:c r="K4504" s="274" t="n">
        <x:v>1250</x:v>
      </x:c>
      <x:c r="M4504" s="274" t="s">
        <x:v>8123</x:v>
      </x:c>
      <x:c r="N4504" s="274" t="s">
        <x:v>3671</x:v>
      </x:c>
    </x:row>
    <x:row r="4505" spans="1:14">
      <x:c r="A4505" s="274" t="s">
        <x:v>8124</x:v>
      </x:c>
      <x:c r="B4505" s="274" t="n">
        <x:v>4.65</x:v>
      </x:c>
      <x:c r="C4505" s="274" t="n">
        <x:v>0</x:v>
      </x:c>
      <x:c r="D4505" s="274" t="n">
        <x:v>0</x:v>
      </x:c>
      <x:c r="F4505" s="274" t="s">
        <x:v>123</x:v>
      </x:c>
      <x:c r="G4505" s="274" t="s">
        <x:v>129</x:v>
      </x:c>
      <x:c r="H4505" s="274" t="n">
        <x:v>45</x:v>
      </x:c>
      <x:c r="I4505" s="274" t="n">
        <x:v>1.2</x:v>
      </x:c>
      <x:c r="J4505" s="274" t="n">
        <x:v>470</x:v>
      </x:c>
      <x:c r="K4505" s="274" t="n">
        <x:v>1040</x:v>
      </x:c>
      <x:c r="M4505" s="274" t="s">
        <x:v>8125</x:v>
      </x:c>
      <x:c r="N4505" s="274" t="s">
        <x:v>3671</x:v>
      </x:c>
    </x:row>
    <x:row r="4506" spans="1:14">
      <x:c r="A4506" s="274" t="s">
        <x:v>8126</x:v>
      </x:c>
      <x:c r="B4506" s="274" t="n">
        <x:v>0.21</x:v>
      </x:c>
      <x:c r="C4506" s="274" t="n">
        <x:v>0</x:v>
      </x:c>
      <x:c r="D4506" s="274" t="n">
        <x:v>0</x:v>
      </x:c>
      <x:c r="F4506" s="274" t="s">
        <x:v>184</x:v>
      </x:c>
      <x:c r="G4506" s="274" t="s">
        <x:v>3413</x:v>
      </x:c>
      <x:c r="H4506" s="274" t="n">
        <x:v>45</x:v>
      </x:c>
      <x:c r="I4506" s="274" t="n">
        <x:v>1.2</x:v>
      </x:c>
      <x:c r="J4506" s="274" t="n">
        <x:v>150</x:v>
      </x:c>
      <x:c r="K4506" s="274" t="n">
        <x:v>147</x:v>
      </x:c>
      <x:c r="M4506" s="274" t="s">
        <x:v>8127</x:v>
      </x:c>
      <x:c r="N4506" s="274" t="s">
        <x:v>3671</x:v>
      </x:c>
    </x:row>
    <x:row r="4507" spans="1:14">
      <x:c r="A4507" s="274" t="s">
        <x:v>8128</x:v>
      </x:c>
      <x:c r="B4507" s="274" t="n">
        <x:v>0.97</x:v>
      </x:c>
      <x:c r="C4507" s="274" t="n">
        <x:v>0</x:v>
      </x:c>
      <x:c r="D4507" s="274" t="n">
        <x:v>0</x:v>
      </x:c>
      <x:c r="F4507" s="274" t="s">
        <x:v>133</x:v>
      </x:c>
      <x:c r="G4507" s="274" t="s">
        <x:v>144</x:v>
      </x:c>
      <x:c r="H4507" s="274" t="n">
        <x:v>45</x:v>
      </x:c>
      <x:c r="I4507" s="274" t="n">
        <x:v>1.2</x:v>
      </x:c>
      <x:c r="J4507" s="274" t="n">
        <x:v>225</x:v>
      </x:c>
      <x:c r="K4507" s="274" t="n">
        <x:v>455</x:v>
      </x:c>
      <x:c r="M4507" s="274" t="s">
        <x:v>8129</x:v>
      </x:c>
      <x:c r="N4507" s="274" t="s">
        <x:v>3671</x:v>
      </x:c>
    </x:row>
    <x:row r="4508" spans="1:14">
      <x:c r="A4508" s="274" t="s">
        <x:v>8130</x:v>
      </x:c>
      <x:c r="B4508" s="274" t="n">
        <x:v>0.62</x:v>
      </x:c>
      <x:c r="C4508" s="274" t="n">
        <x:v>0</x:v>
      </x:c>
      <x:c r="D4508" s="274" t="n">
        <x:v>0</x:v>
      </x:c>
      <x:c r="F4508" s="274" t="s">
        <x:v>133</x:v>
      </x:c>
      <x:c r="G4508" s="274" t="s">
        <x:v>144</x:v>
      </x:c>
      <x:c r="H4508" s="274" t="n">
        <x:v>45</x:v>
      </x:c>
      <x:c r="I4508" s="274" t="n">
        <x:v>1.2</x:v>
      </x:c>
      <x:c r="J4508" s="274" t="n">
        <x:v>240</x:v>
      </x:c>
      <x:c r="K4508" s="274" t="n">
        <x:v>270</x:v>
      </x:c>
      <x:c r="M4508" s="274" t="s">
        <x:v>8131</x:v>
      </x:c>
      <x:c r="N4508" s="274" t="s">
        <x:v>3671</x:v>
      </x:c>
    </x:row>
    <x:row r="4509" spans="1:14">
      <x:c r="A4509" s="274" t="s">
        <x:v>8132</x:v>
      </x:c>
      <x:c r="B4509" s="274" t="n">
        <x:v>2.58</x:v>
      </x:c>
      <x:c r="C4509" s="274" t="n">
        <x:v>0</x:v>
      </x:c>
      <x:c r="D4509" s="274" t="n">
        <x:v>0</x:v>
      </x:c>
      <x:c r="F4509" s="274" t="s">
        <x:v>184</x:v>
      </x:c>
      <x:c r="G4509" s="274" t="s">
        <x:v>3413</x:v>
      </x:c>
      <x:c r="H4509" s="274" t="n">
        <x:v>45</x:v>
      </x:c>
      <x:c r="I4509" s="274" t="n">
        <x:v>1.4</x:v>
      </x:c>
      <x:c r="J4509" s="274" t="n">
        <x:v>310</x:v>
      </x:c>
      <x:c r="K4509" s="274" t="n">
        <x:v>750</x:v>
      </x:c>
      <x:c r="M4509" s="274" t="s">
        <x:v>6156</x:v>
      </x:c>
      <x:c r="N4509" s="274" t="s">
        <x:v>3671</x:v>
      </x:c>
    </x:row>
    <x:row r="4510" spans="1:14">
      <x:c r="A4510" s="274" t="s">
        <x:v>8133</x:v>
      </x:c>
      <x:c r="B4510" s="274" t="n">
        <x:v>1.44</x:v>
      </x:c>
      <x:c r="C4510" s="274" t="n">
        <x:v>0</x:v>
      </x:c>
      <x:c r="D4510" s="274" t="n">
        <x:v>0</x:v>
      </x:c>
      <x:c r="F4510" s="274" t="s">
        <x:v>333</x:v>
      </x:c>
      <x:c r="G4510" s="274" t="s">
        <x:v>124</x:v>
      </x:c>
      <x:c r="I4510" s="274" t="n">
        <x:v>1.4</x:v>
      </x:c>
      <x:c r="J4510" s="274" t="n">
        <x:v>105</x:v>
      </x:c>
      <x:c r="K4510" s="274" t="n">
        <x:v>1250</x:v>
      </x:c>
      <x:c r="M4510" s="274" t="s">
        <x:v>8134</x:v>
      </x:c>
      <x:c r="N4510" s="274" t="s">
        <x:v>3671</x:v>
      </x:c>
    </x:row>
    <x:row r="4511" spans="1:14">
      <x:c r="A4511" s="274" t="s">
        <x:v>8135</x:v>
      </x:c>
      <x:c r="B4511" s="274" t="n">
        <x:v>1.48</x:v>
      </x:c>
      <x:c r="C4511" s="274" t="n">
        <x:v>0</x:v>
      </x:c>
      <x:c r="D4511" s="274" t="n">
        <x:v>0</x:v>
      </x:c>
      <x:c r="F4511" s="274" t="s">
        <x:v>123</x:v>
      </x:c>
      <x:c r="G4511" s="274" t="s">
        <x:v>881</x:v>
      </x:c>
      <x:c r="H4511" s="274" t="n">
        <x:v>45</x:v>
      </x:c>
      <x:c r="I4511" s="274" t="n">
        <x:v>1.4</x:v>
      </x:c>
      <x:c r="J4511" s="274" t="n">
        <x:v>235</x:v>
      </x:c>
      <x:c r="K4511" s="274" t="n">
        <x:v>570</x:v>
      </x:c>
      <x:c r="M4511" s="274" t="s">
        <x:v>8136</x:v>
      </x:c>
      <x:c r="N4511" s="274" t="s">
        <x:v>3671</x:v>
      </x:c>
    </x:row>
    <x:row r="4512" spans="1:14">
      <x:c r="A4512" s="274" t="s">
        <x:v>8137</x:v>
      </x:c>
      <x:c r="B4512" s="274" t="n">
        <x:v>2.16</x:v>
      </x:c>
      <x:c r="C4512" s="274" t="n">
        <x:v>0</x:v>
      </x:c>
      <x:c r="D4512" s="274" t="n">
        <x:v>0</x:v>
      </x:c>
      <x:c r="F4512" s="274" t="s">
        <x:v>123</x:v>
      </x:c>
      <x:c r="G4512" s="274" t="s">
        <x:v>881</x:v>
      </x:c>
      <x:c r="H4512" s="274" t="n">
        <x:v>45</x:v>
      </x:c>
      <x:c r="I4512" s="274" t="n">
        <x:v>1.4</x:v>
      </x:c>
      <x:c r="J4512" s="274" t="n">
        <x:v>173</x:v>
      </x:c>
      <x:c r="K4512" s="274" t="n">
        <x:v>1125</x:v>
      </x:c>
      <x:c r="M4512" s="274" t="s">
        <x:v>8138</x:v>
      </x:c>
      <x:c r="N4512" s="274" t="s">
        <x:v>3671</x:v>
      </x:c>
    </x:row>
    <x:row r="4513" spans="1:14">
      <x:c r="A4513" s="274" t="s">
        <x:v>8139</x:v>
      </x:c>
      <x:c r="B4513" s="274" t="n">
        <x:v>2.91</x:v>
      </x:c>
      <x:c r="C4513" s="274" t="n">
        <x:v>0</x:v>
      </x:c>
      <x:c r="D4513" s="274" t="n">
        <x:v>0</x:v>
      </x:c>
      <x:c r="F4513" s="274" t="s">
        <x:v>123</x:v>
      </x:c>
      <x:c r="G4513" s="274" t="s">
        <x:v>881</x:v>
      </x:c>
      <x:c r="H4513" s="274" t="n">
        <x:v>45</x:v>
      </x:c>
      <x:c r="I4513" s="274" t="n">
        <x:v>1.4</x:v>
      </x:c>
      <x:c r="J4513" s="274" t="n">
        <x:v>210</x:v>
      </x:c>
      <x:c r="K4513" s="274" t="n">
        <x:v>1250</x:v>
      </x:c>
      <x:c r="M4513" s="274" t="s">
        <x:v>6160</x:v>
      </x:c>
      <x:c r="N4513" s="274" t="s">
        <x:v>3671</x:v>
      </x:c>
    </x:row>
    <x:row r="4514" spans="1:14">
      <x:c r="A4514" s="274" t="s">
        <x:v>8140</x:v>
      </x:c>
      <x:c r="B4514" s="274" t="n">
        <x:v>3.12</x:v>
      </x:c>
      <x:c r="C4514" s="274" t="n">
        <x:v>0</x:v>
      </x:c>
      <x:c r="D4514" s="274" t="n">
        <x:v>0</x:v>
      </x:c>
      <x:c r="F4514" s="274" t="s">
        <x:v>123</x:v>
      </x:c>
      <x:c r="G4514" s="274" t="s">
        <x:v>881</x:v>
      </x:c>
      <x:c r="H4514" s="274" t="n">
        <x:v>45</x:v>
      </x:c>
      <x:c r="I4514" s="274" t="n">
        <x:v>1.4</x:v>
      </x:c>
      <x:c r="J4514" s="274" t="n">
        <x:v>225</x:v>
      </x:c>
      <x:c r="K4514" s="274" t="n">
        <x:v>1250</x:v>
      </x:c>
      <x:c r="M4514" s="274" t="s">
        <x:v>8141</x:v>
      </x:c>
      <x:c r="N4514" s="274" t="s">
        <x:v>3671</x:v>
      </x:c>
    </x:row>
    <x:row r="4515" spans="1:14">
      <x:c r="A4515" s="274" t="s">
        <x:v>8142</x:v>
      </x:c>
      <x:c r="B4515" s="274" t="n">
        <x:v>3.67</x:v>
      </x:c>
      <x:c r="C4515" s="274" t="n">
        <x:v>0</x:v>
      </x:c>
      <x:c r="D4515" s="274" t="n">
        <x:v>0</x:v>
      </x:c>
      <x:c r="F4515" s="274" t="s">
        <x:v>123</x:v>
      </x:c>
      <x:c r="G4515" s="274" t="s">
        <x:v>881</x:v>
      </x:c>
      <x:c r="H4515" s="274" t="n">
        <x:v>45</x:v>
      </x:c>
      <x:c r="I4515" s="274" t="n">
        <x:v>1.4</x:v>
      </x:c>
      <x:c r="J4515" s="274" t="n">
        <x:v>265</x:v>
      </x:c>
      <x:c r="K4515" s="274" t="n">
        <x:v>1250</x:v>
      </x:c>
      <x:c r="M4515" s="274" t="s">
        <x:v>8143</x:v>
      </x:c>
      <x:c r="N4515" s="274" t="s">
        <x:v>3671</x:v>
      </x:c>
    </x:row>
    <x:row r="4516" spans="1:14">
      <x:c r="A4516" s="274" t="s">
        <x:v>8144</x:v>
      </x:c>
      <x:c r="B4516" s="274" t="n">
        <x:v>6.11</x:v>
      </x:c>
      <x:c r="C4516" s="274" t="n">
        <x:v>0</x:v>
      </x:c>
      <x:c r="D4516" s="274" t="n">
        <x:v>0</x:v>
      </x:c>
      <x:c r="F4516" s="274" t="s">
        <x:v>133</x:v>
      </x:c>
      <x:c r="G4516" s="274" t="s">
        <x:v>136</x:v>
      </x:c>
      <x:c r="H4516" s="274" t="n">
        <x:v>45</x:v>
      </x:c>
      <x:c r="I4516" s="274" t="n">
        <x:v>1.4</x:v>
      </x:c>
      <x:c r="J4516" s="274" t="n">
        <x:v>530</x:v>
      </x:c>
      <x:c r="K4516" s="274" t="n">
        <x:v>1040</x:v>
      </x:c>
      <x:c r="M4516" s="274" t="s">
        <x:v>5117</x:v>
      </x:c>
      <x:c r="N4516" s="274" t="s">
        <x:v>3671</x:v>
      </x:c>
    </x:row>
    <x:row r="4517" spans="1:14">
      <x:c r="A4517" s="274" t="s">
        <x:v>8145</x:v>
      </x:c>
      <x:c r="B4517" s="274" t="n">
        <x:v>0.55</x:v>
      </x:c>
      <x:c r="C4517" s="274" t="n">
        <x:v>0</x:v>
      </x:c>
      <x:c r="D4517" s="274" t="n">
        <x:v>0</x:v>
      </x:c>
      <x:c r="F4517" s="274" t="s">
        <x:v>133</x:v>
      </x:c>
      <x:c r="G4517" s="274" t="s">
        <x:v>136</x:v>
      </x:c>
      <x:c r="H4517" s="274" t="n">
        <x:v>45</x:v>
      </x:c>
      <x:c r="I4517" s="274" t="n">
        <x:v>1.4</x:v>
      </x:c>
      <x:c r="J4517" s="274" t="n">
        <x:v>200</x:v>
      </x:c>
      <x:c r="K4517" s="274" t="n">
        <x:v>250</x:v>
      </x:c>
      <x:c r="M4517" s="274" t="s">
        <x:v>8146</x:v>
      </x:c>
      <x:c r="N4517" s="274" t="s">
        <x:v>3671</x:v>
      </x:c>
    </x:row>
    <x:row r="4518" spans="1:14">
      <x:c r="A4518" s="274" t="s">
        <x:v>8147</x:v>
      </x:c>
      <x:c r="B4518" s="274" t="n">
        <x:v>3.37</x:v>
      </x:c>
      <x:c r="C4518" s="274" t="n">
        <x:v>0</x:v>
      </x:c>
      <x:c r="D4518" s="274" t="n">
        <x:v>0</x:v>
      </x:c>
      <x:c r="F4518" s="274" t="s">
        <x:v>133</x:v>
      </x:c>
      <x:c r="G4518" s="274" t="s">
        <x:v>136</x:v>
      </x:c>
      <x:c r="H4518" s="274" t="n">
        <x:v>45</x:v>
      </x:c>
      <x:c r="I4518" s="274" t="n">
        <x:v>1.4</x:v>
      </x:c>
      <x:c r="J4518" s="274" t="n">
        <x:v>310</x:v>
      </x:c>
      <x:c r="K4518" s="274" t="n">
        <x:v>980</x:v>
      </x:c>
      <x:c r="M4518" s="274" t="s">
        <x:v>8148</x:v>
      </x:c>
      <x:c r="N4518" s="274" t="s">
        <x:v>3671</x:v>
      </x:c>
    </x:row>
    <x:row r="4519" spans="1:14">
      <x:c r="A4519" s="274" t="s">
        <x:v>8149</x:v>
      </x:c>
      <x:c r="B4519" s="274" t="n">
        <x:v>2.96</x:v>
      </x:c>
      <x:c r="C4519" s="274" t="n">
        <x:v>0</x:v>
      </x:c>
      <x:c r="D4519" s="274" t="n">
        <x:v>0</x:v>
      </x:c>
      <x:c r="F4519" s="274" t="s">
        <x:v>133</x:v>
      </x:c>
      <x:c r="G4519" s="274" t="s">
        <x:v>136</x:v>
      </x:c>
      <x:c r="H4519" s="274" t="n">
        <x:v>45</x:v>
      </x:c>
      <x:c r="I4519" s="274" t="n">
        <x:v>1.4</x:v>
      </x:c>
      <x:c r="J4519" s="274" t="n">
        <x:v>235</x:v>
      </x:c>
      <x:c r="K4519" s="274" t="n">
        <x:v>1135</x:v>
      </x:c>
      <x:c r="M4519" s="274" t="s">
        <x:v>8150</x:v>
      </x:c>
      <x:c r="N4519" s="274" t="s">
        <x:v>3671</x:v>
      </x:c>
    </x:row>
    <x:row r="4520" spans="1:14">
      <x:c r="A4520" s="274" t="s">
        <x:v>8151</x:v>
      </x:c>
      <x:c r="B4520" s="274" t="n">
        <x:v>1.99</x:v>
      </x:c>
      <x:c r="C4520" s="274" t="n">
        <x:v>0</x:v>
      </x:c>
      <x:c r="D4520" s="274" t="n">
        <x:v>0</x:v>
      </x:c>
      <x:c r="F4520" s="274" t="s">
        <x:v>133</x:v>
      </x:c>
      <x:c r="G4520" s="274" t="s">
        <x:v>136</x:v>
      </x:c>
      <x:c r="H4520" s="274" t="n">
        <x:v>45</x:v>
      </x:c>
      <x:c r="I4520" s="274" t="n">
        <x:v>1.4</x:v>
      </x:c>
      <x:c r="J4520" s="274" t="n">
        <x:v>150</x:v>
      </x:c>
      <x:c r="K4520" s="274" t="n">
        <x:v>1200</x:v>
      </x:c>
      <x:c r="M4520" s="274" t="s">
        <x:v>6168</x:v>
      </x:c>
      <x:c r="N4520" s="274" t="s">
        <x:v>3671</x:v>
      </x:c>
    </x:row>
    <x:row r="4521" spans="1:14">
      <x:c r="A4521" s="274" t="s">
        <x:v>8152</x:v>
      </x:c>
      <x:c r="B4521" s="274" t="n">
        <x:v>1.08</x:v>
      </x:c>
      <x:c r="C4521" s="274" t="n">
        <x:v>0</x:v>
      </x:c>
      <x:c r="D4521" s="274" t="n">
        <x:v>0</x:v>
      </x:c>
      <x:c r="F4521" s="274" t="s">
        <x:v>133</x:v>
      </x:c>
      <x:c r="G4521" s="274" t="s">
        <x:v>136</x:v>
      </x:c>
      <x:c r="H4521" s="274" t="n">
        <x:v>45</x:v>
      </x:c>
      <x:c r="I4521" s="274" t="n">
        <x:v>1.4</x:v>
      </x:c>
      <x:c r="J4521" s="274" t="n">
        <x:v>78</x:v>
      </x:c>
      <x:c r="K4521" s="274" t="n">
        <x:v>1250</x:v>
      </x:c>
      <x:c r="M4521" s="274" t="s">
        <x:v>8153</x:v>
      </x:c>
      <x:c r="N4521" s="274" t="s">
        <x:v>3671</x:v>
      </x:c>
    </x:row>
    <x:row r="4522" spans="1:14">
      <x:c r="A4522" s="274" t="s">
        <x:v>8154</x:v>
      </x:c>
      <x:c r="B4522" s="274" t="n">
        <x:v>2.98</x:v>
      </x:c>
      <x:c r="C4522" s="274" t="n">
        <x:v>0</x:v>
      </x:c>
      <x:c r="D4522" s="274" t="n">
        <x:v>0</x:v>
      </x:c>
      <x:c r="F4522" s="274" t="s">
        <x:v>184</x:v>
      </x:c>
      <x:c r="G4522" s="274" t="s">
        <x:v>881</x:v>
      </x:c>
      <x:c r="H4522" s="274" t="n">
        <x:v>45</x:v>
      </x:c>
      <x:c r="I4522" s="274" t="n">
        <x:v>1.6</x:v>
      </x:c>
      <x:c r="J4522" s="274" t="n">
        <x:v>340</x:v>
      </x:c>
      <x:c r="K4522" s="274" t="n">
        <x:v>693</x:v>
      </x:c>
      <x:c r="M4522" s="274" t="s">
        <x:v>5142</x:v>
      </x:c>
      <x:c r="N4522" s="274" t="s">
        <x:v>3671</x:v>
      </x:c>
    </x:row>
    <x:row r="4523" spans="1:14">
      <x:c r="A4523" s="274" t="s">
        <x:v>8155</x:v>
      </x:c>
      <x:c r="B4523" s="274" t="n">
        <x:v>2.77</x:v>
      </x:c>
      <x:c r="C4523" s="274" t="n">
        <x:v>0</x:v>
      </x:c>
      <x:c r="D4523" s="274" t="n">
        <x:v>0</x:v>
      </x:c>
      <x:c r="F4523" s="274" t="s">
        <x:v>184</x:v>
      </x:c>
      <x:c r="G4523" s="274" t="s">
        <x:v>881</x:v>
      </x:c>
      <x:c r="H4523" s="274" t="n">
        <x:v>45</x:v>
      </x:c>
      <x:c r="I4523" s="274" t="n">
        <x:v>1.6</x:v>
      </x:c>
      <x:c r="J4523" s="274" t="n">
        <x:v>296</x:v>
      </x:c>
      <x:c r="K4523" s="274" t="n">
        <x:v>740</x:v>
      </x:c>
      <x:c r="M4523" s="274" t="s">
        <x:v>8156</x:v>
      </x:c>
      <x:c r="N4523" s="274" t="s">
        <x:v>3671</x:v>
      </x:c>
    </x:row>
    <x:row r="4524" spans="1:14">
      <x:c r="A4524" s="274" t="s">
        <x:v>8157</x:v>
      </x:c>
      <x:c r="B4524" s="274" t="n">
        <x:v>1.07</x:v>
      </x:c>
      <x:c r="C4524" s="274" t="n">
        <x:v>0</x:v>
      </x:c>
      <x:c r="D4524" s="274" t="n">
        <x:v>0</x:v>
      </x:c>
      <x:c r="F4524" s="274" t="s">
        <x:v>333</x:v>
      </x:c>
      <x:c r="G4524" s="274" t="s">
        <x:v>124</x:v>
      </x:c>
      <x:c r="I4524" s="274" t="n">
        <x:v>1.6</x:v>
      </x:c>
      <x:c r="J4524" s="274" t="n">
        <x:v>68</x:v>
      </x:c>
      <x:c r="K4524" s="274" t="n">
        <x:v>1250</x:v>
      </x:c>
      <x:c r="M4524" s="274" t="s">
        <x:v>5121</x:v>
      </x:c>
      <x:c r="N4524" s="274" t="s">
        <x:v>3671</x:v>
      </x:c>
    </x:row>
    <x:row r="4525" spans="1:14">
      <x:c r="A4525" s="274" t="s">
        <x:v>8158</x:v>
      </x:c>
      <x:c r="B4525" s="274" t="n">
        <x:v>3.35</x:v>
      </x:c>
      <x:c r="C4525" s="274" t="n">
        <x:v>0</x:v>
      </x:c>
      <x:c r="D4525" s="274" t="n">
        <x:v>0</x:v>
      </x:c>
      <x:c r="F4525" s="274" t="s">
        <x:v>133</x:v>
      </x:c>
      <x:c r="G4525" s="274" t="s">
        <x:v>144</x:v>
      </x:c>
      <x:c r="H4525" s="274" t="n">
        <x:v>45</x:v>
      </x:c>
      <x:c r="I4525" s="274" t="n">
        <x:v>1.6</x:v>
      </x:c>
      <x:c r="J4525" s="274" t="n">
        <x:v>245</x:v>
      </x:c>
      <x:c r="K4525" s="274" t="n">
        <x:v>1080</x:v>
      </x:c>
      <x:c r="M4525" s="274" t="s">
        <x:v>5146</x:v>
      </x:c>
      <x:c r="N4525" s="274" t="s">
        <x:v>3671</x:v>
      </x:c>
    </x:row>
    <x:row r="4526" spans="1:14">
      <x:c r="A4526" s="274" t="s">
        <x:v>8159</x:v>
      </x:c>
      <x:c r="B4526" s="274" t="n">
        <x:v>1.07</x:v>
      </x:c>
      <x:c r="C4526" s="274" t="n">
        <x:v>0</x:v>
      </x:c>
      <x:c r="D4526" s="274" t="n">
        <x:v>0</x:v>
      </x:c>
      <x:c r="F4526" s="274" t="s">
        <x:v>128</x:v>
      </x:c>
      <x:c r="G4526" s="274" t="s">
        <x:v>139</x:v>
      </x:c>
      <x:c r="I4526" s="274" t="n">
        <x:v>1.6</x:v>
      </x:c>
      <x:c r="J4526" s="274" t="n">
        <x:v>68</x:v>
      </x:c>
      <x:c r="K4526" s="274" t="n">
        <x:v>1250</x:v>
      </x:c>
      <x:c r="M4526" s="274" t="s">
        <x:v>7886</x:v>
      </x:c>
      <x:c r="N4526" s="274" t="s">
        <x:v>3671</x:v>
      </x:c>
    </x:row>
    <x:row r="4527" spans="1:14">
      <x:c r="A4527" s="274" t="s">
        <x:v>8160</x:v>
      </x:c>
      <x:c r="B4527" s="274" t="n">
        <x:v>0.33</x:v>
      </x:c>
      <x:c r="C4527" s="274" t="n">
        <x:v>0</x:v>
      </x:c>
      <x:c r="D4527" s="274" t="n">
        <x:v>0</x:v>
      </x:c>
      <x:c r="F4527" s="274" t="s">
        <x:v>123</x:v>
      </x:c>
      <x:c r="G4527" s="274" t="s">
        <x:v>148</x:v>
      </x:c>
      <x:c r="I4527" s="274" t="n">
        <x:v>1.6</x:v>
      </x:c>
      <x:c r="J4527" s="274" t="n">
        <x:v>140</x:v>
      </x:c>
      <x:c r="K4527" s="274" t="n">
        <x:v>190</x:v>
      </x:c>
      <x:c r="M4527" s="274" t="s">
        <x:v>5144</x:v>
      </x:c>
      <x:c r="N4527" s="274" t="s">
        <x:v>3671</x:v>
      </x:c>
    </x:row>
    <x:row r="4528" spans="1:14">
      <x:c r="A4528" s="274" t="s">
        <x:v>8161</x:v>
      </x:c>
      <x:c r="B4528" s="274" t="n">
        <x:v>5.99</x:v>
      </x:c>
      <x:c r="C4528" s="274" t="n">
        <x:v>0</x:v>
      </x:c>
      <x:c r="D4528" s="274" t="n">
        <x:v>45</x:v>
      </x:c>
      <x:c r="E4528" s="274" t="n">
        <x:v>40</x:v>
      </x:c>
      <x:c r="F4528" s="274" t="s">
        <x:v>123</x:v>
      </x:c>
      <x:c r="G4528" s="274" t="s">
        <x:v>124</x:v>
      </x:c>
      <x:c r="I4528" s="274" t="n">
        <x:v>1.2</x:v>
      </x:c>
      <x:c r="J4528" s="274" t="n">
        <x:v>1445</x:v>
      </x:c>
      <x:c r="K4528" s="274" t="n">
        <x:v>440</x:v>
      </x:c>
      <x:c r="M4528" s="274" t="s">
        <x:v>1214</x:v>
      </x:c>
      <x:c r="N4528" s="274" t="s">
        <x:v>299</x:v>
      </x:c>
    </x:row>
    <x:row r="4529" spans="1:14">
      <x:c r="A4529" s="274" t="s">
        <x:v>8162</x:v>
      </x:c>
      <x:c r="B4529" s="274" t="n">
        <x:v>4.47</x:v>
      </x:c>
      <x:c r="C4529" s="274" t="n">
        <x:v>0</x:v>
      </x:c>
      <x:c r="D4529" s="274" t="n">
        <x:v>22</x:v>
      </x:c>
      <x:c r="E4529" s="274" t="n">
        <x:v>18</x:v>
      </x:c>
      <x:c r="F4529" s="274" t="s">
        <x:v>133</x:v>
      </x:c>
      <x:c r="G4529" s="274" t="s">
        <x:v>148</x:v>
      </x:c>
      <x:c r="I4529" s="274" t="n">
        <x:v>2.9</x:v>
      </x:c>
      <x:c r="J4529" s="274" t="n">
        <x:v>190</x:v>
      </x:c>
      <x:c r="K4529" s="274" t="n">
        <x:v>1035</x:v>
      </x:c>
      <x:c r="M4529" s="274" t="s">
        <x:v>1708</x:v>
      </x:c>
      <x:c r="N4529" s="274" t="s">
        <x:v>299</x:v>
      </x:c>
    </x:row>
    <x:row r="4530" spans="1:14">
      <x:c r="A4530" s="274" t="s">
        <x:v>8163</x:v>
      </x:c>
      <x:c r="B4530" s="274" t="n">
        <x:v>4.41</x:v>
      </x:c>
      <x:c r="C4530" s="274" t="n">
        <x:v>0</x:v>
      </x:c>
      <x:c r="D4530" s="274" t="n">
        <x:v>0</x:v>
      </x:c>
      <x:c r="F4530" s="274" t="s">
        <x:v>133</x:v>
      </x:c>
      <x:c r="G4530" s="274" t="s">
        <x:v>148</x:v>
      </x:c>
      <x:c r="I4530" s="274" t="n">
        <x:v>3.2</x:v>
      </x:c>
      <x:c r="J4530" s="274" t="n">
        <x:v>144</x:v>
      </x:c>
      <x:c r="K4530" s="274" t="n">
        <x:v>1220</x:v>
      </x:c>
      <x:c r="M4530" s="274" t="s">
        <x:v>4353</x:v>
      </x:c>
      <x:c r="N4530" s="274" t="s">
        <x:v>3671</x:v>
      </x:c>
    </x:row>
    <x:row r="4531" spans="1:14">
      <x:c r="A4531" s="274" t="s">
        <x:v>8164</x:v>
      </x:c>
      <x:c r="B4531" s="274" t="n">
        <x:v>4.92</x:v>
      </x:c>
      <x:c r="C4531" s="274" t="n">
        <x:v>0</x:v>
      </x:c>
      <x:c r="D4531" s="274" t="n">
        <x:v>0</x:v>
      </x:c>
      <x:c r="F4531" s="274" t="s">
        <x:v>133</x:v>
      </x:c>
      <x:c r="G4531" s="274" t="s">
        <x:v>148</x:v>
      </x:c>
      <x:c r="I4531" s="274" t="n">
        <x:v>3.2</x:v>
      </x:c>
      <x:c r="J4531" s="274" t="n">
        <x:v>160</x:v>
      </x:c>
      <x:c r="K4531" s="274" t="n">
        <x:v>1225</x:v>
      </x:c>
      <x:c r="M4531" s="274" t="s">
        <x:v>4343</x:v>
      </x:c>
      <x:c r="N4531" s="274" t="s">
        <x:v>3671</x:v>
      </x:c>
    </x:row>
    <x:row r="4532" spans="1:14">
      <x:c r="A4532" s="274" t="s">
        <x:v>8165</x:v>
      </x:c>
      <x:c r="B4532" s="274" t="n">
        <x:v>3.4</x:v>
      </x:c>
      <x:c r="C4532" s="274" t="n">
        <x:v>0</x:v>
      </x:c>
      <x:c r="D4532" s="274" t="n">
        <x:v>0</x:v>
      </x:c>
      <x:c r="F4532" s="274" t="s">
        <x:v>133</x:v>
      </x:c>
      <x:c r="G4532" s="274" t="s">
        <x:v>148</x:v>
      </x:c>
      <x:c r="I4532" s="274" t="n">
        <x:v>3.2</x:v>
      </x:c>
      <x:c r="J4532" s="274" t="n">
        <x:v>110</x:v>
      </x:c>
      <x:c r="K4532" s="274" t="n">
        <x:v>1230</x:v>
      </x:c>
      <x:c r="M4532" s="274" t="s">
        <x:v>4357</x:v>
      </x:c>
      <x:c r="N4532" s="274" t="s">
        <x:v>3671</x:v>
      </x:c>
    </x:row>
    <x:row r="4533" spans="1:14">
      <x:c r="A4533" s="274" t="s">
        <x:v>8166</x:v>
      </x:c>
      <x:c r="B4533" s="274" t="n">
        <x:v>3.35</x:v>
      </x:c>
      <x:c r="C4533" s="274" t="n">
        <x:v>0</x:v>
      </x:c>
      <x:c r="D4533" s="274" t="n">
        <x:v>0</x:v>
      </x:c>
      <x:c r="F4533" s="274" t="s">
        <x:v>133</x:v>
      </x:c>
      <x:c r="G4533" s="274" t="s">
        <x:v>148</x:v>
      </x:c>
      <x:c r="I4533" s="274" t="n">
        <x:v>3.2</x:v>
      </x:c>
      <x:c r="J4533" s="274" t="n">
        <x:v>108</x:v>
      </x:c>
      <x:c r="K4533" s="274" t="n">
        <x:v>1235</x:v>
      </x:c>
      <x:c r="M4533" s="274" t="s">
        <x:v>4355</x:v>
      </x:c>
      <x:c r="N4533" s="274" t="s">
        <x:v>3671</x:v>
      </x:c>
    </x:row>
    <x:row r="4534" spans="1:14">
      <x:c r="A4534" s="274" t="s">
        <x:v>8167</x:v>
      </x:c>
      <x:c r="B4534" s="274" t="n">
        <x:v>2.76</x:v>
      </x:c>
      <x:c r="C4534" s="274" t="n">
        <x:v>0</x:v>
      </x:c>
      <x:c r="D4534" s="274" t="n">
        <x:v>0</x:v>
      </x:c>
      <x:c r="F4534" s="274" t="s">
        <x:v>133</x:v>
      </x:c>
      <x:c r="G4534" s="274" t="s">
        <x:v>144</x:v>
      </x:c>
      <x:c r="H4534" s="274" t="n">
        <x:v>45</x:v>
      </x:c>
      <x:c r="I4534" s="274" t="n">
        <x:v>2</x:v>
      </x:c>
      <x:c r="J4534" s="274" t="n">
        <x:v>140</x:v>
      </x:c>
      <x:c r="K4534" s="274" t="n">
        <x:v>1250</x:v>
      </x:c>
      <x:c r="M4534" s="274" t="s">
        <x:v>8168</x:v>
      </x:c>
      <x:c r="N4534" s="274" t="s">
        <x:v>3671</x:v>
      </x:c>
    </x:row>
    <x:row r="4535" spans="1:14">
      <x:c r="A4535" s="274" t="s">
        <x:v>8169</x:v>
      </x:c>
      <x:c r="B4535" s="274" t="n">
        <x:v>3.53</x:v>
      </x:c>
      <x:c r="C4535" s="274" t="n">
        <x:v>0</x:v>
      </x:c>
      <x:c r="D4535" s="274" t="n">
        <x:v>0</x:v>
      </x:c>
      <x:c r="F4535" s="274" t="s">
        <x:v>133</x:v>
      </x:c>
      <x:c r="G4535" s="274" t="s">
        <x:v>148</x:v>
      </x:c>
      <x:c r="I4535" s="274" t="n">
        <x:v>3.6</x:v>
      </x:c>
      <x:c r="J4535" s="274" t="n">
        <x:v>100</x:v>
      </x:c>
      <x:c r="K4535" s="274" t="n">
        <x:v>1250</x:v>
      </x:c>
      <x:c r="M4535" s="274" t="s">
        <x:v>8170</x:v>
      </x:c>
      <x:c r="N4535" s="274" t="s">
        <x:v>3671</x:v>
      </x:c>
    </x:row>
    <x:row r="4536" spans="1:14">
      <x:c r="A4536" s="274" t="s">
        <x:v>8171</x:v>
      </x:c>
      <x:c r="B4536" s="274" t="n">
        <x:v>4.66</x:v>
      </x:c>
      <x:c r="C4536" s="274" t="n">
        <x:v>0</x:v>
      </x:c>
      <x:c r="D4536" s="274" t="n">
        <x:v>0</x:v>
      </x:c>
      <x:c r="F4536" s="274" t="s">
        <x:v>133</x:v>
      </x:c>
      <x:c r="G4536" s="274" t="s">
        <x:v>148</x:v>
      </x:c>
      <x:c r="I4536" s="274" t="n">
        <x:v>3.6</x:v>
      </x:c>
      <x:c r="J4536" s="274" t="n">
        <x:v>132</x:v>
      </x:c>
      <x:c r="K4536" s="274" t="n">
        <x:v>1250</x:v>
      </x:c>
      <x:c r="M4536" s="274" t="s">
        <x:v>8172</x:v>
      </x:c>
      <x:c r="N4536" s="274" t="s">
        <x:v>3671</x:v>
      </x:c>
    </x:row>
    <x:row r="4537" spans="1:14">
      <x:c r="A4537" s="274" t="s">
        <x:v>8173</x:v>
      </x:c>
      <x:c r="B4537" s="274" t="n">
        <x:v>4.59</x:v>
      </x:c>
      <x:c r="C4537" s="274" t="n">
        <x:v>0</x:v>
      </x:c>
      <x:c r="D4537" s="274" t="n">
        <x:v>0</x:v>
      </x:c>
      <x:c r="F4537" s="274" t="s">
        <x:v>133</x:v>
      </x:c>
      <x:c r="G4537" s="274" t="s">
        <x:v>148</x:v>
      </x:c>
      <x:c r="I4537" s="274" t="n">
        <x:v>4</x:v>
      </x:c>
      <x:c r="J4537" s="274" t="n">
        <x:v>126</x:v>
      </x:c>
      <x:c r="K4537" s="274" t="n">
        <x:v>1160</x:v>
      </x:c>
      <x:c r="M4537" s="274" t="s">
        <x:v>8174</x:v>
      </x:c>
      <x:c r="N4537" s="274" t="s">
        <x:v>3671</x:v>
      </x:c>
    </x:row>
    <x:row r="4538" spans="1:14">
      <x:c r="A4538" s="274" t="s">
        <x:v>8175</x:v>
      </x:c>
      <x:c r="B4538" s="274" t="n">
        <x:v>9.33</x:v>
      </x:c>
      <x:c r="C4538" s="274" t="n">
        <x:v>0</x:v>
      </x:c>
      <x:c r="D4538" s="274" t="n">
        <x:v>0</x:v>
      </x:c>
      <x:c r="F4538" s="274" t="s">
        <x:v>133</x:v>
      </x:c>
      <x:c r="G4538" s="274" t="s">
        <x:v>134</x:v>
      </x:c>
      <x:c r="I4538" s="274" t="n">
        <x:v>5</x:v>
      </x:c>
      <x:c r="J4538" s="274" t="n">
        <x:v>245</x:v>
      </x:c>
      <x:c r="K4538" s="274" t="n">
        <x:v>970</x:v>
      </x:c>
      <x:c r="M4538" s="274" t="s">
        <x:v>5152</x:v>
      </x:c>
      <x:c r="N4538" s="274" t="s">
        <x:v>3671</x:v>
      </x:c>
    </x:row>
    <x:row r="4539" spans="1:14">
      <x:c r="A4539" s="274" t="s">
        <x:v>8176</x:v>
      </x:c>
      <x:c r="B4539" s="274" t="n">
        <x:v>9.03</x:v>
      </x:c>
      <x:c r="C4539" s="274" t="n">
        <x:v>0</x:v>
      </x:c>
      <x:c r="D4539" s="274" t="n">
        <x:v>0</x:v>
      </x:c>
      <x:c r="F4539" s="274" t="s">
        <x:v>133</x:v>
      </x:c>
      <x:c r="G4539" s="274" t="s">
        <x:v>4299</x:v>
      </x:c>
      <x:c r="I4539" s="274" t="n">
        <x:v>4</x:v>
      </x:c>
      <x:c r="J4539" s="274" t="n">
        <x:v>230</x:v>
      </x:c>
      <x:c r="K4539" s="274" t="n">
        <x:v>1250</x:v>
      </x:c>
      <x:c r="M4539" s="274" t="s">
        <x:v>8177</x:v>
      </x:c>
      <x:c r="N4539" s="274" t="s">
        <x:v>4258</x:v>
      </x:c>
    </x:row>
    <x:row r="4540" spans="1:14">
      <x:c r="A4540" s="274" t="s">
        <x:v>8178</x:v>
      </x:c>
      <x:c r="B4540" s="274" t="n">
        <x:v>3.03</x:v>
      </x:c>
      <x:c r="C4540" s="274" t="n">
        <x:v>0</x:v>
      </x:c>
      <x:c r="D4540" s="274" t="n">
        <x:v>0</x:v>
      </x:c>
      <x:c r="F4540" s="274" t="s">
        <x:v>133</x:v>
      </x:c>
      <x:c r="G4540" s="274" t="s">
        <x:v>4329</x:v>
      </x:c>
      <x:c r="I4540" s="274" t="n">
        <x:v>2.3</x:v>
      </x:c>
      <x:c r="J4540" s="274" t="n">
        <x:v>134</x:v>
      </x:c>
      <x:c r="K4540" s="274" t="n">
        <x:v>1250</x:v>
      </x:c>
      <x:c r="M4540" s="274" t="s">
        <x:v>8179</x:v>
      </x:c>
      <x:c r="N4540" s="274" t="s">
        <x:v>4258</x:v>
      </x:c>
    </x:row>
    <x:row r="4541" spans="1:14">
      <x:c r="A4541" s="274" t="s">
        <x:v>8180</x:v>
      </x:c>
      <x:c r="B4541" s="274" t="n">
        <x:v>2.9</x:v>
      </x:c>
      <x:c r="C4541" s="274" t="n">
        <x:v>0</x:v>
      </x:c>
      <x:c r="D4541" s="274" t="n">
        <x:v>0</x:v>
      </x:c>
      <x:c r="F4541" s="274" t="s">
        <x:v>133</x:v>
      </x:c>
      <x:c r="G4541" s="274" t="s">
        <x:v>134</x:v>
      </x:c>
      <x:c r="I4541" s="274" t="n">
        <x:v>1.6</x:v>
      </x:c>
      <x:c r="J4541" s="274" t="n">
        <x:v>185</x:v>
      </x:c>
      <x:c r="K4541" s="274" t="n">
        <x:v>1250</x:v>
      </x:c>
      <x:c r="M4541" s="274" t="s">
        <x:v>6475</x:v>
      </x:c>
      <x:c r="N4541" s="274" t="s">
        <x:v>3671</x:v>
      </x:c>
    </x:row>
    <x:row r="4542" spans="1:14">
      <x:c r="A4542" s="274" t="s">
        <x:v>8181</x:v>
      </x:c>
      <x:c r="B4542" s="274" t="n">
        <x:v>0.24</x:v>
      </x:c>
      <x:c r="C4542" s="274" t="n">
        <x:v>0</x:v>
      </x:c>
      <x:c r="D4542" s="274" t="n">
        <x:v>0</x:v>
      </x:c>
      <x:c r="F4542" s="274" t="s">
        <x:v>333</x:v>
      </x:c>
      <x:c r="G4542" s="274" t="s">
        <x:v>209</x:v>
      </x:c>
      <x:c r="I4542" s="274" t="n">
        <x:v>1.2</x:v>
      </x:c>
      <x:c r="J4542" s="274" t="n">
        <x:v>140</x:v>
      </x:c>
      <x:c r="K4542" s="274" t="n">
        <x:v>183</x:v>
      </x:c>
      <x:c r="M4542" s="274" t="s">
        <x:v>8182</x:v>
      </x:c>
      <x:c r="N4542" s="274" t="s">
        <x:v>155</x:v>
      </x:c>
    </x:row>
    <x:row r="4543" spans="1:14">
      <x:c r="A4543" s="274" t="s">
        <x:v>8183</x:v>
      </x:c>
      <x:c r="B4543" s="274" t="n">
        <x:v>0.37</x:v>
      </x:c>
      <x:c r="C4543" s="274" t="n">
        <x:v>0</x:v>
      </x:c>
      <x:c r="D4543" s="274" t="n">
        <x:v>0</x:v>
      </x:c>
      <x:c r="F4543" s="274" t="s">
        <x:v>133</x:v>
      </x:c>
      <x:c r="G4543" s="274" t="s">
        <x:v>148</x:v>
      </x:c>
      <x:c r="I4543" s="274" t="n">
        <x:v>2</x:v>
      </x:c>
      <x:c r="J4543" s="274" t="n">
        <x:v>61</x:v>
      </x:c>
      <x:c r="K4543" s="274" t="n">
        <x:v>391</x:v>
      </x:c>
      <x:c r="M4543" s="274" t="s">
        <x:v>1385</x:v>
      </x:c>
      <x:c r="N4543" s="274" t="s">
        <x:v>1236</x:v>
      </x:c>
    </x:row>
    <x:row r="4544" spans="1:14">
      <x:c r="A4544" s="274" t="s">
        <x:v>8184</x:v>
      </x:c>
      <x:c r="B4544" s="274" t="n">
        <x:v>0.91</x:v>
      </x:c>
      <x:c r="C4544" s="274" t="n">
        <x:v>0</x:v>
      </x:c>
      <x:c r="D4544" s="274" t="n">
        <x:v>0</x:v>
      </x:c>
      <x:c r="F4544" s="274" t="s">
        <x:v>123</x:v>
      </x:c>
      <x:c r="G4544" s="274" t="s">
        <x:v>148</x:v>
      </x:c>
      <x:c r="I4544" s="274" t="n">
        <x:v>1.6</x:v>
      </x:c>
      <x:c r="J4544" s="274" t="n">
        <x:v>91</x:v>
      </x:c>
      <x:c r="K4544" s="274" t="n">
        <x:v>800</x:v>
      </x:c>
      <x:c r="M4544" s="274" t="s">
        <x:v>3363</x:v>
      </x:c>
      <x:c r="N4544" s="274" t="s">
        <x:v>155</x:v>
      </x:c>
    </x:row>
    <x:row r="4545" spans="1:14">
      <x:c r="A4545" s="274" t="s">
        <x:v>8185</x:v>
      </x:c>
      <x:c r="B4545" s="274" t="n">
        <x:v>2.32</x:v>
      </x:c>
      <x:c r="C4545" s="274" t="n">
        <x:v>0</x:v>
      </x:c>
      <x:c r="D4545" s="274" t="n">
        <x:v>35</x:v>
      </x:c>
      <x:c r="F4545" s="274" t="s">
        <x:v>311</x:v>
      </x:c>
      <x:c r="G4545" s="274" t="s">
        <x:v>6529</x:v>
      </x:c>
      <x:c r="H4545" s="274" t="s">
        <x:v>837</x:v>
      </x:c>
      <x:c r="I4545" s="274" t="n">
        <x:v>0.8</x:v>
      </x:c>
      <x:c r="J4545" s="274" t="n">
        <x:v>515</x:v>
      </x:c>
      <x:c r="K4545" s="274" t="n">
        <x:v>715</x:v>
      </x:c>
      <x:c r="M4545" s="274" t="s">
        <x:v>7990</x:v>
      </x:c>
      <x:c r="N4545" s="274" t="s">
        <x:v>831</x:v>
      </x:c>
    </x:row>
    <x:row r="4546" spans="1:14">
      <x:c r="A4546" s="274" t="s">
        <x:v>8186</x:v>
      </x:c>
      <x:c r="B4546" s="274" t="n">
        <x:v>2.64</x:v>
      </x:c>
      <x:c r="C4546" s="274" t="n">
        <x:v>0</x:v>
      </x:c>
      <x:c r="D4546" s="274" t="n">
        <x:v>0</x:v>
      </x:c>
      <x:c r="F4546" s="274" t="s">
        <x:v>311</x:v>
      </x:c>
      <x:c r="G4546" s="274" t="s">
        <x:v>6529</x:v>
      </x:c>
      <x:c r="H4546" s="274" t="s">
        <x:v>829</x:v>
      </x:c>
      <x:c r="I4546" s="274" t="n">
        <x:v>0.8</x:v>
      </x:c>
      <x:c r="J4546" s="274" t="n">
        <x:v>620</x:v>
      </x:c>
      <x:c r="K4546" s="274" t="n">
        <x:v>675</x:v>
      </x:c>
      <x:c r="M4546" s="274" t="s">
        <x:v>3776</x:v>
      </x:c>
      <x:c r="N4546" s="274" t="s">
        <x:v>831</x:v>
      </x:c>
    </x:row>
    <x:row r="4547" spans="1:14">
      <x:c r="A4547" s="274" t="s">
        <x:v>8187</x:v>
      </x:c>
      <x:c r="B4547" s="274" t="n">
        <x:v>2.52</x:v>
      </x:c>
      <x:c r="C4547" s="274" t="n">
        <x:v>0</x:v>
      </x:c>
      <x:c r="D4547" s="274" t="n">
        <x:v>0</x:v>
      </x:c>
      <x:c r="F4547" s="274" t="s">
        <x:v>311</x:v>
      </x:c>
      <x:c r="G4547" s="274" t="s">
        <x:v>6529</x:v>
      </x:c>
      <x:c r="H4547" s="274" t="s">
        <x:v>837</x:v>
      </x:c>
      <x:c r="I4547" s="274" t="n">
        <x:v>0.8</x:v>
      </x:c>
      <x:c r="J4547" s="274" t="n">
        <x:v>510</x:v>
      </x:c>
      <x:c r="K4547" s="274" t="n">
        <x:v>785</x:v>
      </x:c>
      <x:c r="M4547" s="274" t="s">
        <x:v>3782</x:v>
      </x:c>
      <x:c r="N4547" s="274" t="s">
        <x:v>831</x:v>
      </x:c>
    </x:row>
    <x:row r="4548" spans="1:14">
      <x:c r="A4548" s="274" t="s">
        <x:v>8188</x:v>
      </x:c>
      <x:c r="B4548" s="274" t="n">
        <x:v>2.49</x:v>
      </x:c>
      <x:c r="C4548" s="274" t="n">
        <x:v>0</x:v>
      </x:c>
      <x:c r="D4548" s="274" t="n">
        <x:v>0</x:v>
      </x:c>
      <x:c r="F4548" s="274" t="s">
        <x:v>311</x:v>
      </x:c>
      <x:c r="G4548" s="274" t="s">
        <x:v>6529</x:v>
      </x:c>
      <x:c r="H4548" s="274" t="s">
        <x:v>829</x:v>
      </x:c>
      <x:c r="I4548" s="274" t="n">
        <x:v>0.8</x:v>
      </x:c>
      <x:c r="J4548" s="274" t="n">
        <x:v>600</x:v>
      </x:c>
      <x:c r="K4548" s="274" t="n">
        <x:v>660</x:v>
      </x:c>
      <x:c r="M4548" s="274" t="s">
        <x:v>3784</x:v>
      </x:c>
      <x:c r="N4548" s="274" t="s">
        <x:v>831</x:v>
      </x:c>
    </x:row>
    <x:row r="4549" spans="1:14">
      <x:c r="A4549" s="274" t="s">
        <x:v>8189</x:v>
      </x:c>
      <x:c r="B4549" s="274" t="n">
        <x:v>2.74</x:v>
      </x:c>
      <x:c r="C4549" s="274" t="n">
        <x:v>0</x:v>
      </x:c>
      <x:c r="D4549" s="274" t="n">
        <x:v>0</x:v>
      </x:c>
      <x:c r="F4549" s="274" t="s">
        <x:v>311</x:v>
      </x:c>
      <x:c r="G4549" s="274" t="s">
        <x:v>6529</x:v>
      </x:c>
      <x:c r="H4549" s="274" t="s">
        <x:v>837</x:v>
      </x:c>
      <x:c r="I4549" s="274" t="n">
        <x:v>0.8</x:v>
      </x:c>
      <x:c r="J4549" s="274" t="n">
        <x:v>550</x:v>
      </x:c>
      <x:c r="K4549" s="274" t="n">
        <x:v>790</x:v>
      </x:c>
      <x:c r="M4549" s="274" t="s">
        <x:v>3778</x:v>
      </x:c>
      <x:c r="N4549" s="274" t="s">
        <x:v>831</x:v>
      </x:c>
    </x:row>
    <x:row r="4550" spans="1:14">
      <x:c r="A4550" s="274" t="s">
        <x:v>8190</x:v>
      </x:c>
      <x:c r="B4550" s="274" t="n">
        <x:v>2.62</x:v>
      </x:c>
      <x:c r="C4550" s="274" t="n">
        <x:v>0</x:v>
      </x:c>
      <x:c r="D4550" s="274" t="n">
        <x:v>0</x:v>
      </x:c>
      <x:c r="F4550" s="274" t="s">
        <x:v>311</x:v>
      </x:c>
      <x:c r="G4550" s="274" t="s">
        <x:v>6529</x:v>
      </x:c>
      <x:c r="H4550" s="274" t="s">
        <x:v>829</x:v>
      </x:c>
      <x:c r="I4550" s="274" t="n">
        <x:v>0.8</x:v>
      </x:c>
      <x:c r="J4550" s="274" t="n">
        <x:v>590</x:v>
      </x:c>
      <x:c r="K4550" s="274" t="n">
        <x:v>705</x:v>
      </x:c>
      <x:c r="M4550" s="274" t="s">
        <x:v>3780</x:v>
      </x:c>
      <x:c r="N4550" s="274" t="s">
        <x:v>831</x:v>
      </x:c>
    </x:row>
    <x:row r="4551" spans="1:14">
      <x:c r="A4551" s="274" t="s">
        <x:v>8191</x:v>
      </x:c>
      <x:c r="B4551" s="274" t="n">
        <x:v>0.97</x:v>
      </x:c>
      <x:c r="C4551" s="274" t="n">
        <x:v>0</x:v>
      </x:c>
      <x:c r="D4551" s="274" t="n">
        <x:v>0</x:v>
      </x:c>
      <x:c r="F4551" s="274" t="s">
        <x:v>311</x:v>
      </x:c>
      <x:c r="G4551" s="274" t="s">
        <x:v>6529</x:v>
      </x:c>
      <x:c r="H4551" s="274" t="s">
        <x:v>837</x:v>
      </x:c>
      <x:c r="I4551" s="274" t="n">
        <x:v>0.8</x:v>
      </x:c>
      <x:c r="J4551" s="274" t="n">
        <x:v>370</x:v>
      </x:c>
      <x:c r="K4551" s="274" t="n">
        <x:v>415</x:v>
      </x:c>
      <x:c r="M4551" s="274" t="s">
        <x:v>3921</x:v>
      </x:c>
      <x:c r="N4551" s="274" t="s">
        <x:v>831</x:v>
      </x:c>
    </x:row>
    <x:row r="4552" spans="1:14">
      <x:c r="A4552" s="274" t="s">
        <x:v>8192</x:v>
      </x:c>
      <x:c r="B4552" s="274" t="n">
        <x:v>1.23</x:v>
      </x:c>
      <x:c r="C4552" s="274" t="n">
        <x:v>0</x:v>
      </x:c>
      <x:c r="D4552" s="274" t="n">
        <x:v>0</x:v>
      </x:c>
      <x:c r="F4552" s="274" t="s">
        <x:v>311</x:v>
      </x:c>
      <x:c r="G4552" s="274" t="s">
        <x:v>6529</x:v>
      </x:c>
      <x:c r="H4552" s="274" t="s">
        <x:v>837</x:v>
      </x:c>
      <x:c r="I4552" s="274" t="n">
        <x:v>0.8</x:v>
      </x:c>
      <x:c r="J4552" s="274" t="n">
        <x:v>430</x:v>
      </x:c>
      <x:c r="K4552" s="274" t="n">
        <x:v>455</x:v>
      </x:c>
      <x:c r="M4552" s="274" t="s">
        <x:v>3923</x:v>
      </x:c>
      <x:c r="N4552" s="274" t="s">
        <x:v>831</x:v>
      </x:c>
    </x:row>
    <x:row r="4553" spans="1:14">
      <x:c r="A4553" s="274" t="s">
        <x:v>8193</x:v>
      </x:c>
      <x:c r="B4553" s="274" t="n">
        <x:v>0.95</x:v>
      </x:c>
      <x:c r="C4553" s="274" t="n">
        <x:v>0</x:v>
      </x:c>
      <x:c r="D4553" s="274" t="n">
        <x:v>0</x:v>
      </x:c>
      <x:c r="F4553" s="274" t="s">
        <x:v>333</x:v>
      </x:c>
      <x:c r="G4553" s="274" t="s">
        <x:v>2711</x:v>
      </x:c>
      <x:c r="I4553" s="274" t="n">
        <x:v>1</x:v>
      </x:c>
      <x:c r="J4553" s="274" t="n">
        <x:v>236</x:v>
      </x:c>
      <x:c r="K4553" s="274" t="n">
        <x:v>512</x:v>
      </x:c>
      <x:c r="M4553" s="274" t="s">
        <x:v>7469</x:v>
      </x:c>
      <x:c r="N4553" s="274" t="s">
        <x:v>7439</x:v>
      </x:c>
    </x:row>
    <x:row r="4554" spans="1:14">
      <x:c r="A4554" s="274" t="s">
        <x:v>8194</x:v>
      </x:c>
      <x:c r="B4554" s="274" t="n">
        <x:v>1.74</x:v>
      </x:c>
      <x:c r="C4554" s="274" t="n">
        <x:v>0</x:v>
      </x:c>
      <x:c r="D4554" s="274" t="n">
        <x:v>45</x:v>
      </x:c>
      <x:c r="E4554" s="274" t="n">
        <x:v>40</x:v>
      </x:c>
      <x:c r="F4554" s="274" t="s">
        <x:v>333</x:v>
      </x:c>
      <x:c r="G4554" s="274" t="s">
        <x:v>2157</x:v>
      </x:c>
      <x:c r="I4554" s="274" t="n">
        <x:v>0.6</x:v>
      </x:c>
      <x:c r="J4554" s="274" t="n">
        <x:v>1040</x:v>
      </x:c>
      <x:c r="K4554" s="274" t="n">
        <x:v>355</x:v>
      </x:c>
      <x:c r="M4554" s="274" t="s">
        <x:v>4218</x:v>
      </x:c>
      <x:c r="N4554" s="274" t="s">
        <x:v>3325</x:v>
      </x:c>
    </x:row>
    <x:row r="4555" spans="1:14">
      <x:c r="A4555" s="274" t="s">
        <x:v>8195</x:v>
      </x:c>
      <x:c r="B4555" s="274" t="n">
        <x:v>2.16</x:v>
      </x:c>
      <x:c r="C4555" s="274" t="n">
        <x:v>0</x:v>
      </x:c>
      <x:c r="D4555" s="274" t="n">
        <x:v>0</x:v>
      </x:c>
      <x:c r="F4555" s="274" t="s">
        <x:v>133</x:v>
      </x:c>
      <x:c r="G4555" s="274" t="s">
        <x:v>134</x:v>
      </x:c>
      <x:c r="I4555" s="274" t="n">
        <x:v>2</x:v>
      </x:c>
      <x:c r="J4555" s="274" t="n">
        <x:v>110</x:v>
      </x:c>
      <x:c r="K4555" s="274" t="n">
        <x:v>1250</x:v>
      </x:c>
      <x:c r="M4555" s="274" t="s">
        <x:v>8196</x:v>
      </x:c>
      <x:c r="N4555" s="274" t="s">
        <x:v>3671</x:v>
      </x:c>
    </x:row>
    <x:row r="4556" spans="1:14">
      <x:c r="A4556" s="274" t="s">
        <x:v>8197</x:v>
      </x:c>
      <x:c r="B4556" s="274" t="n">
        <x:v>5.03</x:v>
      </x:c>
      <x:c r="C4556" s="274" t="n">
        <x:v>0</x:v>
      </x:c>
      <x:c r="D4556" s="274" t="n">
        <x:v>0</x:v>
      </x:c>
      <x:c r="F4556" s="274" t="s">
        <x:v>133</x:v>
      </x:c>
      <x:c r="G4556" s="274" t="s">
        <x:v>144</x:v>
      </x:c>
      <x:c r="H4556" s="274" t="n">
        <x:v>45</x:v>
      </x:c>
      <x:c r="I4556" s="274" t="n">
        <x:v>2</x:v>
      </x:c>
      <x:c r="J4556" s="274" t="n">
        <x:v>255</x:v>
      </x:c>
      <x:c r="K4556" s="274" t="n">
        <x:v>1250</x:v>
      </x:c>
      <x:c r="M4556" s="274" t="s">
        <x:v>8198</x:v>
      </x:c>
      <x:c r="N4556" s="274" t="s">
        <x:v>3671</x:v>
      </x:c>
    </x:row>
    <x:row r="4557" spans="1:14">
      <x:c r="A4557" s="274" t="s">
        <x:v>8199</x:v>
      </x:c>
      <x:c r="B4557" s="274" t="n">
        <x:v>1.45</x:v>
      </x:c>
      <x:c r="C4557" s="274" t="n">
        <x:v>0</x:v>
      </x:c>
      <x:c r="D4557" s="274" t="n">
        <x:v>0</x:v>
      </x:c>
      <x:c r="F4557" s="274" t="s">
        <x:v>133</x:v>
      </x:c>
      <x:c r="G4557" s="274" t="s">
        <x:v>148</x:v>
      </x:c>
      <x:c r="I4557" s="274" t="n">
        <x:v>2</x:v>
      </x:c>
      <x:c r="J4557" s="274" t="n">
        <x:v>74</x:v>
      </x:c>
      <x:c r="K4557" s="274" t="n">
        <x:v>1250</x:v>
      </x:c>
      <x:c r="M4557" s="274" t="s">
        <x:v>8200</x:v>
      </x:c>
      <x:c r="N4557" s="274" t="s">
        <x:v>3671</x:v>
      </x:c>
    </x:row>
    <x:row r="4558" spans="1:14">
      <x:c r="A4558" s="274" t="s">
        <x:v>8201</x:v>
      </x:c>
      <x:c r="B4558" s="274" t="n">
        <x:v>3.1</x:v>
      </x:c>
      <x:c r="C4558" s="274" t="n">
        <x:v>0</x:v>
      </x:c>
      <x:c r="D4558" s="274" t="n">
        <x:v>0</x:v>
      </x:c>
      <x:c r="F4558" s="274" t="s">
        <x:v>133</x:v>
      </x:c>
      <x:c r="G4558" s="274" t="s">
        <x:v>148</x:v>
      </x:c>
      <x:c r="I4558" s="274" t="n">
        <x:v>2</x:v>
      </x:c>
      <x:c r="J4558" s="274" t="n">
        <x:v>158</x:v>
      </x:c>
      <x:c r="K4558" s="274" t="n">
        <x:v>1250</x:v>
      </x:c>
      <x:c r="M4558" s="274" t="s">
        <x:v>8202</x:v>
      </x:c>
      <x:c r="N4558" s="274" t="s">
        <x:v>3671</x:v>
      </x:c>
    </x:row>
    <x:row r="4559" spans="1:14">
      <x:c r="A4559" s="274" t="s">
        <x:v>8203</x:v>
      </x:c>
      <x:c r="B4559" s="274" t="n">
        <x:v>3.83</x:v>
      </x:c>
      <x:c r="C4559" s="274" t="n">
        <x:v>0</x:v>
      </x:c>
      <x:c r="D4559" s="274" t="n">
        <x:v>0</x:v>
      </x:c>
      <x:c r="F4559" s="274" t="s">
        <x:v>133</x:v>
      </x:c>
      <x:c r="G4559" s="274" t="s">
        <x:v>4299</x:v>
      </x:c>
      <x:c r="I4559" s="274" t="n">
        <x:v>3.2</x:v>
      </x:c>
      <x:c r="J4559" s="274" t="n">
        <x:v>432</x:v>
      </x:c>
      <x:c r="K4559" s="274" t="n">
        <x:v>353</x:v>
      </x:c>
      <x:c r="M4559" s="274" t="s">
        <x:v>7617</x:v>
      </x:c>
      <x:c r="N4559" s="274" t="s">
        <x:v>4258</x:v>
      </x:c>
    </x:row>
    <x:row r="4560" spans="1:14">
      <x:c r="A4560" s="274" t="s">
        <x:v>8204</x:v>
      </x:c>
      <x:c r="B4560" s="274" t="n">
        <x:v>10.14</x:v>
      </x:c>
      <x:c r="C4560" s="274" t="n">
        <x:v>0</x:v>
      </x:c>
      <x:c r="D4560" s="274" t="n">
        <x:v>0</x:v>
      </x:c>
      <x:c r="F4560" s="274" t="s">
        <x:v>333</x:v>
      </x:c>
      <x:c r="G4560" s="274" t="s">
        <x:v>153</x:v>
      </x:c>
      <x:c r="I4560" s="274" t="n">
        <x:v>1</x:v>
      </x:c>
      <x:c r="J4560" s="274" t="n">
        <x:v>1090</x:v>
      </x:c>
      <x:c r="K4560" s="274" t="n">
        <x:v>1185</x:v>
      </x:c>
      <x:c r="M4560" s="274" t="s">
        <x:v>4176</x:v>
      </x:c>
      <x:c r="N4560" s="274" t="s">
        <x:v>299</x:v>
      </x:c>
    </x:row>
    <x:row r="4561" spans="1:14">
      <x:c r="A4561" s="274" t="s">
        <x:v>8205</x:v>
      </x:c>
      <x:c r="B4561" s="274" t="n">
        <x:v>7.9</x:v>
      </x:c>
      <x:c r="C4561" s="274" t="n">
        <x:v>0</x:v>
      </x:c>
      <x:c r="D4561" s="274" t="n">
        <x:v>45</x:v>
      </x:c>
      <x:c r="E4561" s="274" t="n">
        <x:v>40</x:v>
      </x:c>
      <x:c r="F4561" s="274" t="s">
        <x:v>128</x:v>
      </x:c>
      <x:c r="G4561" s="274" t="s">
        <x:v>136</x:v>
      </x:c>
      <x:c r="H4561" s="274" t="n">
        <x:v>45</x:v>
      </x:c>
      <x:c r="I4561" s="274" t="n">
        <x:v>2.6</x:v>
      </x:c>
      <x:c r="J4561" s="274" t="n">
        <x:v>918</x:v>
      </x:c>
      <x:c r="K4561" s="274" t="n">
        <x:v>420</x:v>
      </x:c>
      <x:c r="M4561" s="274" t="s">
        <x:v>7225</x:v>
      </x:c>
      <x:c r="N4561" s="274" t="s">
        <x:v>3671</x:v>
      </x:c>
    </x:row>
    <x:row r="4562" spans="1:14">
      <x:c r="A4562" s="274" t="s">
        <x:v>8206</x:v>
      </x:c>
      <x:c r="B4562" s="274" t="n">
        <x:v>7.31</x:v>
      </x:c>
      <x:c r="C4562" s="274" t="n">
        <x:v>0</x:v>
      </x:c>
      <x:c r="D4562" s="274" t="n">
        <x:v>0</x:v>
      </x:c>
      <x:c r="F4562" s="274" t="s">
        <x:v>128</x:v>
      </x:c>
      <x:c r="G4562" s="274" t="s">
        <x:v>136</x:v>
      </x:c>
      <x:c r="H4562" s="274" t="n">
        <x:v>45</x:v>
      </x:c>
      <x:c r="I4562" s="274" t="n">
        <x:v>2.6</x:v>
      </x:c>
      <x:c r="J4562" s="274" t="n">
        <x:v>849</x:v>
      </x:c>
      <x:c r="K4562" s="274" t="n">
        <x:v>420</x:v>
      </x:c>
      <x:c r="M4562" s="274" t="s">
        <x:v>7225</x:v>
      </x:c>
      <x:c r="N4562" s="274" t="s">
        <x:v>3671</x:v>
      </x:c>
    </x:row>
    <x:row r="4563" spans="1:14">
      <x:c r="A4563" s="274" t="s">
        <x:v>8207</x:v>
      </x:c>
      <x:c r="B4563" s="274" t="n">
        <x:v>0.97</x:v>
      </x:c>
      <x:c r="C4563" s="274" t="n">
        <x:v>26</x:v>
      </x:c>
      <x:c r="D4563" s="274" t="n">
        <x:v>36</x:v>
      </x:c>
      <x:c r="E4563" s="274" t="n">
        <x:v>33</x:v>
      </x:c>
      <x:c r="F4563" s="274" t="s">
        <x:v>833</x:v>
      </x:c>
      <x:c r="G4563" s="274" t="s">
        <x:v>834</x:v>
      </x:c>
      <x:c r="H4563" s="274" t="s">
        <x:v>837</x:v>
      </x:c>
      <x:c r="I4563" s="274" t="n">
        <x:v>0.8</x:v>
      </x:c>
      <x:c r="J4563" s="274" t="n">
        <x:v>370</x:v>
      </x:c>
      <x:c r="K4563" s="274" t="n">
        <x:v>415</x:v>
      </x:c>
      <x:c r="M4563" s="274" t="s">
        <x:v>3921</x:v>
      </x:c>
      <x:c r="N4563" s="274" t="s">
        <x:v>831</x:v>
      </x:c>
    </x:row>
    <x:row r="4564" spans="1:14">
      <x:c r="A4564" s="274" t="s">
        <x:v>8208</x:v>
      </x:c>
      <x:c r="B4564" s="274" t="n">
        <x:v>0.5</x:v>
      </x:c>
      <x:c r="C4564" s="274" t="n">
        <x:v>0</x:v>
      </x:c>
      <x:c r="D4564" s="274" t="n">
        <x:v>0</x:v>
      </x:c>
      <x:c r="F4564" s="274" t="s">
        <x:v>133</x:v>
      </x:c>
      <x:c r="G4564" s="274" t="s">
        <x:v>144</x:v>
      </x:c>
      <x:c r="H4564" s="274" t="n">
        <x:v>45</x:v>
      </x:c>
      <x:c r="I4564" s="274" t="n">
        <x:v>2</x:v>
      </x:c>
      <x:c r="J4564" s="274" t="n">
        <x:v>175</x:v>
      </x:c>
      <x:c r="K4564" s="274" t="n">
        <x:v>180</x:v>
      </x:c>
      <x:c r="M4564" s="274" t="s">
        <x:v>5647</x:v>
      </x:c>
      <x:c r="N4564" s="274" t="s">
        <x:v>3671</x:v>
      </x:c>
    </x:row>
    <x:row r="4565" spans="1:14">
      <x:c r="A4565" s="274" t="s">
        <x:v>8209</x:v>
      </x:c>
      <x:c r="B4565" s="274" t="n">
        <x:v>0.44</x:v>
      </x:c>
      <x:c r="C4565" s="274" t="n">
        <x:v>0</x:v>
      </x:c>
      <x:c r="D4565" s="274" t="n">
        <x:v>0</x:v>
      </x:c>
      <x:c r="F4565" s="274" t="s">
        <x:v>133</x:v>
      </x:c>
      <x:c r="G4565" s="274" t="s">
        <x:v>144</x:v>
      </x:c>
      <x:c r="H4565" s="274" t="n">
        <x:v>45</x:v>
      </x:c>
      <x:c r="I4565" s="274" t="n">
        <x:v>1.2</x:v>
      </x:c>
      <x:c r="J4565" s="274" t="n">
        <x:v>246</x:v>
      </x:c>
      <x:c r="K4565" s="274" t="n">
        <x:v>188</x:v>
      </x:c>
      <x:c r="M4565" s="274" t="s">
        <x:v>4857</x:v>
      </x:c>
      <x:c r="N4565" s="274" t="s">
        <x:v>3671</x:v>
      </x:c>
    </x:row>
    <x:row r="4566" spans="1:14">
      <x:c r="A4566" s="274" t="s">
        <x:v>8210</x:v>
      </x:c>
      <x:c r="B4566" s="274" t="n">
        <x:v>2.32</x:v>
      </x:c>
      <x:c r="C4566" s="274" t="n">
        <x:v>0</x:v>
      </x:c>
      <x:c r="D4566" s="274" t="n">
        <x:v>0</x:v>
      </x:c>
      <x:c r="F4566" s="274" t="s">
        <x:v>333</x:v>
      </x:c>
      <x:c r="G4566" s="274" t="s">
        <x:v>334</x:v>
      </x:c>
      <x:c r="I4566" s="274" t="n">
        <x:v>1.4</x:v>
      </x:c>
      <x:c r="J4566" s="274" t="n">
        <x:v>650</x:v>
      </x:c>
      <x:c r="K4566" s="274" t="n">
        <x:v>325</x:v>
      </x:c>
      <x:c r="M4566" s="274" t="s">
        <x:v>8211</x:v>
      </x:c>
      <x:c r="N4566" s="274" t="s">
        <x:v>3671</x:v>
      </x:c>
    </x:row>
    <x:row r="4567" spans="1:14">
      <x:c r="A4567" s="274" t="s">
        <x:v>8212</x:v>
      </x:c>
      <x:c r="B4567" s="274" t="n">
        <x:v>3.61</x:v>
      </x:c>
      <x:c r="C4567" s="274" t="n">
        <x:v>0</x:v>
      </x:c>
      <x:c r="D4567" s="274" t="n">
        <x:v>0</x:v>
      </x:c>
      <x:c r="F4567" s="274" t="s">
        <x:v>333</x:v>
      </x:c>
      <x:c r="G4567" s="274" t="s">
        <x:v>124</x:v>
      </x:c>
      <x:c r="I4567" s="274" t="n">
        <x:v>1.4</x:v>
      </x:c>
      <x:c r="J4567" s="274" t="n">
        <x:v>366</x:v>
      </x:c>
      <x:c r="K4567" s="274" t="n">
        <x:v>897</x:v>
      </x:c>
      <x:c r="M4567" s="274" t="s">
        <x:v>5404</x:v>
      </x:c>
      <x:c r="N4567" s="274" t="s">
        <x:v>3671</x:v>
      </x:c>
    </x:row>
    <x:row r="4568" spans="1:14">
      <x:c r="A4568" s="274" t="s">
        <x:v>8213</x:v>
      </x:c>
      <x:c r="B4568" s="274" t="n">
        <x:v>0.75</x:v>
      </x:c>
      <x:c r="C4568" s="274" t="n">
        <x:v>0</x:v>
      </x:c>
      <x:c r="D4568" s="274" t="n">
        <x:v>0</x:v>
      </x:c>
      <x:c r="F4568" s="274" t="s">
        <x:v>133</x:v>
      </x:c>
      <x:c r="G4568" s="274" t="s">
        <x:v>144</x:v>
      </x:c>
      <x:c r="H4568" s="274" t="n">
        <x:v>45</x:v>
      </x:c>
      <x:c r="I4568" s="274" t="n">
        <x:v>1.6</x:v>
      </x:c>
      <x:c r="J4568" s="274" t="n">
        <x:v>148</x:v>
      </x:c>
      <x:c r="K4568" s="274" t="n">
        <x:v>400</x:v>
      </x:c>
      <x:c r="M4568" s="274" t="s">
        <x:v>5417</x:v>
      </x:c>
      <x:c r="N4568" s="274" t="s">
        <x:v>3671</x:v>
      </x:c>
    </x:row>
    <x:row r="4569" spans="1:14">
      <x:c r="A4569" s="274" t="s">
        <x:v>8214</x:v>
      </x:c>
      <x:c r="B4569" s="274" t="n">
        <x:v>0.47</x:v>
      </x:c>
      <x:c r="C4569" s="274" t="n">
        <x:v>0</x:v>
      </x:c>
      <x:c r="D4569" s="274" t="n">
        <x:v>0</x:v>
      </x:c>
      <x:c r="F4569" s="274" t="s">
        <x:v>133</x:v>
      </x:c>
      <x:c r="G4569" s="274" t="s">
        <x:v>144</x:v>
      </x:c>
      <x:c r="H4569" s="274" t="n">
        <x:v>45</x:v>
      </x:c>
      <x:c r="I4569" s="274" t="n">
        <x:v>2</x:v>
      </x:c>
      <x:c r="J4569" s="274" t="n">
        <x:v>180</x:v>
      </x:c>
      <x:c r="K4569" s="274" t="n">
        <x:v>167</x:v>
      </x:c>
      <x:c r="M4569" s="274" t="s">
        <x:v>5437</x:v>
      </x:c>
      <x:c r="N4569" s="274" t="s">
        <x:v>3671</x:v>
      </x:c>
    </x:row>
    <x:row r="4570" spans="1:14">
      <x:c r="A4570" s="274" t="s">
        <x:v>8215</x:v>
      </x:c>
      <x:c r="B4570" s="274" t="n">
        <x:v>0.36</x:v>
      </x:c>
      <x:c r="C4570" s="274" t="n">
        <x:v>0</x:v>
      </x:c>
      <x:c r="D4570" s="274" t="n">
        <x:v>0</x:v>
      </x:c>
      <x:c r="F4570" s="274" t="s">
        <x:v>133</x:v>
      </x:c>
      <x:c r="G4570" s="274" t="s">
        <x:v>144</x:v>
      </x:c>
      <x:c r="H4570" s="274" t="n">
        <x:v>45</x:v>
      </x:c>
      <x:c r="I4570" s="274" t="n">
        <x:v>2</x:v>
      </x:c>
      <x:c r="J4570" s="274" t="n">
        <x:v>195</x:v>
      </x:c>
      <x:c r="K4570" s="274" t="n">
        <x:v>118</x:v>
      </x:c>
      <x:c r="M4570" s="274" t="s">
        <x:v>6727</x:v>
      </x:c>
      <x:c r="N4570" s="274" t="s">
        <x:v>3671</x:v>
      </x:c>
    </x:row>
    <x:row r="4571" spans="1:14">
      <x:c r="A4571" s="274" t="s">
        <x:v>8216</x:v>
      </x:c>
      <x:c r="B4571" s="274" t="n">
        <x:v>0.56</x:v>
      </x:c>
      <x:c r="C4571" s="274" t="n">
        <x:v>0</x:v>
      </x:c>
      <x:c r="D4571" s="274" t="n">
        <x:v>0</x:v>
      </x:c>
      <x:c r="F4571" s="274" t="s">
        <x:v>133</x:v>
      </x:c>
      <x:c r="G4571" s="274" t="s">
        <x:v>144</x:v>
      </x:c>
      <x:c r="H4571" s="274" t="n">
        <x:v>45</x:v>
      </x:c>
      <x:c r="I4571" s="274" t="n">
        <x:v>2</x:v>
      </x:c>
      <x:c r="J4571" s="274" t="n">
        <x:v>205</x:v>
      </x:c>
      <x:c r="K4571" s="274" t="n">
        <x:v>172</x:v>
      </x:c>
      <x:c r="M4571" s="274" t="s">
        <x:v>6888</x:v>
      </x:c>
      <x:c r="N4571" s="274" t="s">
        <x:v>3671</x:v>
      </x:c>
    </x:row>
    <x:row r="4572" spans="1:14">
      <x:c r="A4572" s="274" t="s">
        <x:v>8217</x:v>
      </x:c>
      <x:c r="B4572" s="274" t="n">
        <x:v>0.58</x:v>
      </x:c>
      <x:c r="C4572" s="274" t="n">
        <x:v>0</x:v>
      </x:c>
      <x:c r="D4572" s="274" t="n">
        <x:v>0</x:v>
      </x:c>
      <x:c r="F4572" s="274" t="s">
        <x:v>133</x:v>
      </x:c>
      <x:c r="G4572" s="274" t="s">
        <x:v>144</x:v>
      </x:c>
      <x:c r="H4572" s="274" t="n">
        <x:v>45</x:v>
      </x:c>
      <x:c r="I4572" s="274" t="n">
        <x:v>2</x:v>
      </x:c>
      <x:c r="J4572" s="274" t="n">
        <x:v>215</x:v>
      </x:c>
      <x:c r="K4572" s="274" t="n">
        <x:v>172</x:v>
      </x:c>
      <x:c r="M4572" s="274" t="s">
        <x:v>6725</x:v>
      </x:c>
      <x:c r="N4572" s="274" t="s">
        <x:v>3671</x:v>
      </x:c>
    </x:row>
    <x:row r="4573" spans="1:14">
      <x:c r="A4573" s="274" t="s">
        <x:v>8218</x:v>
      </x:c>
      <x:c r="B4573" s="274" t="n">
        <x:v>0.55</x:v>
      </x:c>
      <x:c r="C4573" s="274" t="n">
        <x:v>0</x:v>
      </x:c>
      <x:c r="D4573" s="274" t="n">
        <x:v>0</x:v>
      </x:c>
      <x:c r="F4573" s="274" t="s">
        <x:v>133</x:v>
      </x:c>
      <x:c r="G4573" s="274" t="s">
        <x:v>144</x:v>
      </x:c>
      <x:c r="H4573" s="274" t="n">
        <x:v>45</x:v>
      </x:c>
      <x:c r="I4573" s="274" t="n">
        <x:v>2</x:v>
      </x:c>
      <x:c r="J4573" s="274" t="n">
        <x:v>217</x:v>
      </x:c>
      <x:c r="K4573" s="274" t="n">
        <x:v>161</x:v>
      </x:c>
      <x:c r="M4573" s="274" t="s">
        <x:v>5435</x:v>
      </x:c>
      <x:c r="N4573" s="274" t="s">
        <x:v>3671</x:v>
      </x:c>
    </x:row>
    <x:row r="4574" spans="1:14">
      <x:c r="A4574" s="274" t="s">
        <x:v>8219</x:v>
      </x:c>
      <x:c r="B4574" s="274" t="n">
        <x:v>0.47</x:v>
      </x:c>
      <x:c r="C4574" s="274" t="n">
        <x:v>0</x:v>
      </x:c>
      <x:c r="D4574" s="274" t="n">
        <x:v>0</x:v>
      </x:c>
      <x:c r="F4574" s="274" t="s">
        <x:v>133</x:v>
      </x:c>
      <x:c r="G4574" s="274" t="s">
        <x:v>144</x:v>
      </x:c>
      <x:c r="H4574" s="274" t="n">
        <x:v>45</x:v>
      </x:c>
      <x:c r="I4574" s="274" t="n">
        <x:v>2</x:v>
      </x:c>
      <x:c r="J4574" s="274" t="n">
        <x:v>230</x:v>
      </x:c>
      <x:c r="K4574" s="274" t="n">
        <x:v>129</x:v>
      </x:c>
      <x:c r="M4574" s="274" t="s">
        <x:v>6729</x:v>
      </x:c>
      <x:c r="N4574" s="274" t="s">
        <x:v>3671</x:v>
      </x:c>
    </x:row>
    <x:row r="4575" spans="1:14">
      <x:c r="A4575" s="274" t="s">
        <x:v>8220</x:v>
      </x:c>
      <x:c r="B4575" s="274" t="n">
        <x:v>0.59</x:v>
      </x:c>
      <x:c r="C4575" s="274" t="n">
        <x:v>0</x:v>
      </x:c>
      <x:c r="D4575" s="274" t="n">
        <x:v>0</x:v>
      </x:c>
      <x:c r="F4575" s="274" t="s">
        <x:v>123</x:v>
      </x:c>
      <x:c r="G4575" s="274" t="s">
        <x:v>136</x:v>
      </x:c>
      <x:c r="H4575" s="274" t="n">
        <x:v>45</x:v>
      </x:c>
      <x:c r="I4575" s="274" t="n">
        <x:v>0.55</x:v>
      </x:c>
      <x:c r="J4575" s="274" t="n">
        <x:v>969</x:v>
      </x:c>
      <x:c r="K4575" s="274" t="n">
        <x:v>139</x:v>
      </x:c>
      <x:c r="M4575" s="274" t="s">
        <x:v>8221</x:v>
      </x:c>
      <x:c r="N4575" s="274" t="s">
        <x:v>3671</x:v>
      </x:c>
    </x:row>
    <x:row r="4576" spans="1:14">
      <x:c r="A4576" s="274" t="s">
        <x:v>8222</x:v>
      </x:c>
      <x:c r="B4576" s="274" t="n">
        <x:v>0.25</x:v>
      </x:c>
      <x:c r="C4576" s="274" t="n">
        <x:v>0</x:v>
      </x:c>
      <x:c r="D4576" s="274" t="n">
        <x:v>0</x:v>
      </x:c>
      <x:c r="F4576" s="274" t="s">
        <x:v>133</x:v>
      </x:c>
      <x:c r="G4576" s="274" t="s">
        <x:v>136</x:v>
      </x:c>
      <x:c r="H4576" s="274" t="n">
        <x:v>45</x:v>
      </x:c>
      <x:c r="I4576" s="274" t="n">
        <x:v>1</x:v>
      </x:c>
      <x:c r="J4576" s="274" t="n">
        <x:v>162</x:v>
      </x:c>
      <x:c r="K4576" s="274" t="n">
        <x:v>192</x:v>
      </x:c>
      <x:c r="M4576" s="274" t="s">
        <x:v>8223</x:v>
      </x:c>
      <x:c r="N4576" s="274" t="s">
        <x:v>3671</x:v>
      </x:c>
    </x:row>
    <x:row r="4577" spans="1:14">
      <x:c r="A4577" s="274" t="s">
        <x:v>8224</x:v>
      </x:c>
      <x:c r="B4577" s="274" t="n">
        <x:v>3.28</x:v>
      </x:c>
      <x:c r="C4577" s="274" t="n">
        <x:v>0</x:v>
      </x:c>
      <x:c r="D4577" s="274" t="n">
        <x:v>0</x:v>
      </x:c>
      <x:c r="F4577" s="274" t="s">
        <x:v>133</x:v>
      </x:c>
      <x:c r="G4577" s="274" t="s">
        <x:v>136</x:v>
      </x:c>
      <x:c r="H4577" s="274" t="n">
        <x:v>45</x:v>
      </x:c>
      <x:c r="I4577" s="274" t="n">
        <x:v>1.2</x:v>
      </x:c>
      <x:c r="J4577" s="274" t="n">
        <x:v>425</x:v>
      </x:c>
      <x:c r="K4577" s="274" t="n">
        <x:v>812</x:v>
      </x:c>
      <x:c r="M4577" s="274" t="s">
        <x:v>8225</x:v>
      </x:c>
      <x:c r="N4577" s="274" t="s">
        <x:v>3671</x:v>
      </x:c>
    </x:row>
    <x:row r="4578" spans="1:14">
      <x:c r="A4578" s="274" t="s">
        <x:v>8226</x:v>
      </x:c>
      <x:c r="B4578" s="274" t="n">
        <x:v>0.72</x:v>
      </x:c>
      <x:c r="C4578" s="274" t="n">
        <x:v>0</x:v>
      </x:c>
      <x:c r="D4578" s="274" t="n">
        <x:v>0</x:v>
      </x:c>
      <x:c r="F4578" s="274" t="s">
        <x:v>133</x:v>
      </x:c>
      <x:c r="G4578" s="274" t="s">
        <x:v>136</x:v>
      </x:c>
      <x:c r="H4578" s="274" t="n">
        <x:v>45</x:v>
      </x:c>
      <x:c r="I4578" s="274" t="n">
        <x:v>1.2</x:v>
      </x:c>
      <x:c r="J4578" s="274" t="n">
        <x:v>400</x:v>
      </x:c>
      <x:c r="K4578" s="274" t="n">
        <x:v>190</x:v>
      </x:c>
      <x:c r="M4578" s="274" t="s">
        <x:v>8227</x:v>
      </x:c>
      <x:c r="N4578" s="274" t="s">
        <x:v>3671</x:v>
      </x:c>
    </x:row>
    <x:row r="4579" spans="1:14">
      <x:c r="A4579" s="274" t="s">
        <x:v>8228</x:v>
      </x:c>
      <x:c r="B4579" s="274" t="n">
        <x:v>0.58</x:v>
      </x:c>
      <x:c r="C4579" s="274" t="n">
        <x:v>0</x:v>
      </x:c>
      <x:c r="D4579" s="274" t="n">
        <x:v>0</x:v>
      </x:c>
      <x:c r="F4579" s="274" t="s">
        <x:v>333</x:v>
      </x:c>
      <x:c r="G4579" s="274" t="s">
        <x:v>153</x:v>
      </x:c>
      <x:c r="I4579" s="274" t="n">
        <x:v>1.2</x:v>
      </x:c>
      <x:c r="J4579" s="274" t="n">
        <x:v>282</x:v>
      </x:c>
      <x:c r="K4579" s="274" t="n">
        <x:v>219</x:v>
      </x:c>
      <x:c r="M4579" s="274" t="s">
        <x:v>5816</x:v>
      </x:c>
      <x:c r="N4579" s="274" t="s">
        <x:v>3671</x:v>
      </x:c>
    </x:row>
    <x:row r="4580" spans="1:14">
      <x:c r="A4580" s="274" t="s">
        <x:v>8229</x:v>
      </x:c>
      <x:c r="B4580" s="274" t="n">
        <x:v>1.32</x:v>
      </x:c>
      <x:c r="C4580" s="274" t="n">
        <x:v>0</x:v>
      </x:c>
      <x:c r="D4580" s="274" t="n">
        <x:v>0</x:v>
      </x:c>
      <x:c r="F4580" s="274" t="s">
        <x:v>123</x:v>
      </x:c>
      <x:c r="G4580" s="274" t="s">
        <x:v>881</x:v>
      </x:c>
      <x:c r="H4580" s="274" t="n">
        <x:v>45</x:v>
      </x:c>
      <x:c r="I4580" s="274" t="n">
        <x:v>1.4</x:v>
      </x:c>
      <x:c r="J4580" s="274" t="n">
        <x:v>252</x:v>
      </x:c>
      <x:c r="K4580" s="274" t="n">
        <x:v>472</x:v>
      </x:c>
      <x:c r="M4580" s="274" t="s">
        <x:v>8230</x:v>
      </x:c>
      <x:c r="N4580" s="274" t="s">
        <x:v>3671</x:v>
      </x:c>
    </x:row>
    <x:row r="4581" spans="1:14">
      <x:c r="A4581" s="274" t="s">
        <x:v>8231</x:v>
      </x:c>
      <x:c r="B4581" s="274" t="n">
        <x:v>1.17</x:v>
      </x:c>
      <x:c r="C4581" s="274" t="n">
        <x:v>0</x:v>
      </x:c>
      <x:c r="D4581" s="274" t="n">
        <x:v>0</x:v>
      </x:c>
      <x:c r="F4581" s="274" t="s">
        <x:v>333</x:v>
      </x:c>
      <x:c r="G4581" s="274" t="s">
        <x:v>124</x:v>
      </x:c>
      <x:c r="I4581" s="274" t="n">
        <x:v>1.6</x:v>
      </x:c>
      <x:c r="J4581" s="274" t="n">
        <x:v>327</x:v>
      </x:c>
      <x:c r="K4581" s="274" t="n">
        <x:v>284</x:v>
      </x:c>
      <x:c r="M4581" s="274" t="s">
        <x:v>8232</x:v>
      </x:c>
      <x:c r="N4581" s="274" t="s">
        <x:v>3671</x:v>
      </x:c>
    </x:row>
    <x:row r="4582" spans="1:14">
      <x:c r="A4582" s="274" t="s">
        <x:v>8233</x:v>
      </x:c>
      <x:c r="B4582" s="274" t="n">
        <x:v>2.13</x:v>
      </x:c>
      <x:c r="C4582" s="274" t="n">
        <x:v>0</x:v>
      </x:c>
      <x:c r="D4582" s="274" t="n">
        <x:v>0</x:v>
      </x:c>
      <x:c r="F4582" s="274" t="s">
        <x:v>123</x:v>
      </x:c>
      <x:c r="G4582" s="274" t="s">
        <x:v>136</x:v>
      </x:c>
      <x:c r="H4582" s="274" t="n">
        <x:v>45</x:v>
      </x:c>
      <x:c r="I4582" s="274" t="n">
        <x:v>0.55</x:v>
      </x:c>
      <x:c r="J4582" s="274" t="n">
        <x:v>1210</x:v>
      </x:c>
      <x:c r="K4582" s="274" t="n">
        <x:v>400</x:v>
      </x:c>
      <x:c r="M4582" s="274" t="s">
        <x:v>8234</x:v>
      </x:c>
      <x:c r="N4582" s="274" t="s">
        <x:v>3671</x:v>
      </x:c>
    </x:row>
    <x:row r="4583" spans="1:14">
      <x:c r="A4583" s="274" t="s">
        <x:v>8235</x:v>
      </x:c>
      <x:c r="B4583" s="274" t="n">
        <x:v>0.2</x:v>
      </x:c>
      <x:c r="C4583" s="274" t="n">
        <x:v>0</x:v>
      </x:c>
      <x:c r="D4583" s="274" t="n">
        <x:v>0</x:v>
      </x:c>
      <x:c r="F4583" s="274" t="s">
        <x:v>333</x:v>
      </x:c>
      <x:c r="G4583" s="274" t="s">
        <x:v>153</x:v>
      </x:c>
      <x:c r="I4583" s="274" t="n">
        <x:v>0.7</x:v>
      </x:c>
      <x:c r="J4583" s="274" t="n">
        <x:v>273</x:v>
      </x:c>
      <x:c r="K4583" s="274" t="n">
        <x:v>135</x:v>
      </x:c>
      <x:c r="M4583" s="274" t="s">
        <x:v>8236</x:v>
      </x:c>
      <x:c r="N4583" s="274" t="s">
        <x:v>3671</x:v>
      </x:c>
    </x:row>
    <x:row r="4584" spans="1:14">
      <x:c r="A4584" s="274" t="s">
        <x:v>8237</x:v>
      </x:c>
      <x:c r="B4584" s="274" t="n">
        <x:v>0.18</x:v>
      </x:c>
      <x:c r="C4584" s="274" t="n">
        <x:v>0</x:v>
      </x:c>
      <x:c r="D4584" s="274" t="n">
        <x:v>0</x:v>
      </x:c>
      <x:c r="F4584" s="274" t="s">
        <x:v>123</x:v>
      </x:c>
      <x:c r="G4584" s="274" t="s">
        <x:v>129</x:v>
      </x:c>
      <x:c r="H4584" s="274" t="n">
        <x:v>45</x:v>
      </x:c>
      <x:c r="I4584" s="274" t="n">
        <x:v>0.7</x:v>
      </x:c>
      <x:c r="J4584" s="274" t="n">
        <x:v>330</x:v>
      </x:c>
      <x:c r="K4584" s="274" t="n">
        <x:v>97</x:v>
      </x:c>
      <x:c r="M4584" s="274" t="s">
        <x:v>6339</x:v>
      </x:c>
      <x:c r="N4584" s="274" t="s">
        <x:v>3671</x:v>
      </x:c>
    </x:row>
    <x:row r="4585" spans="1:14">
      <x:c r="A4585" s="274" t="s">
        <x:v>8238</x:v>
      </x:c>
      <x:c r="B4585" s="274" t="n">
        <x:v>0.26</x:v>
      </x:c>
      <x:c r="C4585" s="274" t="n">
        <x:v>0</x:v>
      </x:c>
      <x:c r="D4585" s="274" t="n">
        <x:v>0</x:v>
      </x:c>
      <x:c r="F4585" s="274" t="s">
        <x:v>333</x:v>
      </x:c>
      <x:c r="G4585" s="274" t="s">
        <x:v>153</x:v>
      </x:c>
      <x:c r="I4585" s="274" t="n">
        <x:v>0.7</x:v>
      </x:c>
      <x:c r="J4585" s="274" t="n">
        <x:v>300</x:v>
      </x:c>
      <x:c r="K4585" s="274" t="n">
        <x:v>159</x:v>
      </x:c>
      <x:c r="M4585" s="274" t="s">
        <x:v>8239</x:v>
      </x:c>
      <x:c r="N4585" s="274" t="s">
        <x:v>3671</x:v>
      </x:c>
    </x:row>
    <x:row r="4586" spans="1:14">
      <x:c r="A4586" s="274" t="s">
        <x:v>8240</x:v>
      </x:c>
      <x:c r="B4586" s="274" t="n">
        <x:v>0.2</x:v>
      </x:c>
      <x:c r="C4586" s="274" t="n">
        <x:v>0</x:v>
      </x:c>
      <x:c r="D4586" s="274" t="n">
        <x:v>0</x:v>
      </x:c>
      <x:c r="F4586" s="274" t="s">
        <x:v>333</x:v>
      </x:c>
      <x:c r="G4586" s="274" t="s">
        <x:v>153</x:v>
      </x:c>
      <x:c r="I4586" s="274" t="n">
        <x:v>0.7</x:v>
      </x:c>
      <x:c r="J4586" s="274" t="n">
        <x:v>338</x:v>
      </x:c>
      <x:c r="K4586" s="274" t="n">
        <x:v>107</x:v>
      </x:c>
      <x:c r="M4586" s="274" t="s">
        <x:v>5735</x:v>
      </x:c>
      <x:c r="N4586" s="274" t="s">
        <x:v>3671</x:v>
      </x:c>
    </x:row>
    <x:row r="4587" spans="1:14">
      <x:c r="A4587" s="274" t="s">
        <x:v>8241</x:v>
      </x:c>
      <x:c r="B4587" s="274" t="n">
        <x:v>0.21</x:v>
      </x:c>
      <x:c r="C4587" s="274" t="n">
        <x:v>0</x:v>
      </x:c>
      <x:c r="D4587" s="274" t="n">
        <x:v>0</x:v>
      </x:c>
      <x:c r="F4587" s="274" t="s">
        <x:v>333</x:v>
      </x:c>
      <x:c r="G4587" s="274" t="s">
        <x:v>209</x:v>
      </x:c>
      <x:c r="I4587" s="274" t="n">
        <x:v>0.75</x:v>
      </x:c>
      <x:c r="J4587" s="274" t="n">
        <x:v>99</x:v>
      </x:c>
      <x:c r="K4587" s="274" t="n">
        <x:v>365</x:v>
      </x:c>
      <x:c r="M4587" s="274" t="s">
        <x:v>6086</x:v>
      </x:c>
      <x:c r="N4587" s="274" t="s">
        <x:v>3671</x:v>
      </x:c>
    </x:row>
    <x:row r="4588" spans="1:14">
      <x:c r="A4588" s="274" t="s">
        <x:v>8242</x:v>
      </x:c>
      <x:c r="B4588" s="274" t="n">
        <x:v>3.43</x:v>
      </x:c>
      <x:c r="C4588" s="274" t="n">
        <x:v>0</x:v>
      </x:c>
      <x:c r="D4588" s="274" t="n">
        <x:v>0</x:v>
      </x:c>
      <x:c r="F4588" s="274" t="s">
        <x:v>123</x:v>
      </x:c>
      <x:c r="G4588" s="274" t="s">
        <x:v>881</x:v>
      </x:c>
      <x:c r="H4588" s="274" t="n">
        <x:v>45</x:v>
      </x:c>
      <x:c r="I4588" s="274" t="n">
        <x:v>0.9</x:v>
      </x:c>
      <x:c r="J4588" s="274" t="n">
        <x:v>694</x:v>
      </x:c>
      <x:c r="K4588" s="274" t="n">
        <x:v>690</x:v>
      </x:c>
      <x:c r="M4588" s="274" t="s">
        <x:v>8243</x:v>
      </x:c>
      <x:c r="N4588" s="274" t="s">
        <x:v>3671</x:v>
      </x:c>
    </x:row>
    <x:row r="4589" spans="1:14">
      <x:c r="A4589" s="274" t="s">
        <x:v>8244</x:v>
      </x:c>
      <x:c r="B4589" s="274" t="n">
        <x:v>2.84</x:v>
      </x:c>
      <x:c r="C4589" s="274" t="n">
        <x:v>0</x:v>
      </x:c>
      <x:c r="D4589" s="274" t="n">
        <x:v>0</x:v>
      </x:c>
      <x:c r="F4589" s="274" t="s">
        <x:v>333</x:v>
      </x:c>
      <x:c r="G4589" s="274" t="s">
        <x:v>124</x:v>
      </x:c>
      <x:c r="I4589" s="274" t="n">
        <x:v>1</x:v>
      </x:c>
      <x:c r="J4589" s="274" t="n">
        <x:v>398</x:v>
      </x:c>
      <x:c r="K4589" s="274" t="n">
        <x:v>910</x:v>
      </x:c>
      <x:c r="M4589" s="274" t="s">
        <x:v>6278</x:v>
      </x:c>
      <x:c r="N4589" s="274" t="s">
        <x:v>3671</x:v>
      </x:c>
    </x:row>
    <x:row r="4590" spans="1:14">
      <x:c r="A4590" s="274" t="s">
        <x:v>8245</x:v>
      </x:c>
      <x:c r="B4590" s="274" t="n">
        <x:v>4.25</x:v>
      </x:c>
      <x:c r="C4590" s="274" t="n">
        <x:v>0</x:v>
      </x:c>
      <x:c r="D4590" s="274" t="n">
        <x:v>0</x:v>
      </x:c>
      <x:c r="F4590" s="274" t="s">
        <x:v>333</x:v>
      </x:c>
      <x:c r="G4590" s="274" t="s">
        <x:v>153</x:v>
      </x:c>
      <x:c r="I4590" s="274" t="n">
        <x:v>1</x:v>
      </x:c>
      <x:c r="J4590" s="274" t="n">
        <x:v>800</x:v>
      </x:c>
      <x:c r="K4590" s="274" t="n">
        <x:v>676</x:v>
      </x:c>
      <x:c r="M4590" s="274" t="s">
        <x:v>8246</x:v>
      </x:c>
      <x:c r="N4590" s="274" t="s">
        <x:v>3671</x:v>
      </x:c>
    </x:row>
    <x:row r="4591" spans="1:14">
      <x:c r="A4591" s="274" t="s">
        <x:v>8247</x:v>
      </x:c>
      <x:c r="B4591" s="274" t="n">
        <x:v>0.65</x:v>
      </x:c>
      <x:c r="C4591" s="274" t="n">
        <x:v>0</x:v>
      </x:c>
      <x:c r="D4591" s="274" t="n">
        <x:v>0</x:v>
      </x:c>
      <x:c r="F4591" s="274" t="s">
        <x:v>123</x:v>
      </x:c>
      <x:c r="G4591" s="274" t="s">
        <x:v>129</x:v>
      </x:c>
      <x:c r="H4591" s="274" t="n">
        <x:v>45</x:v>
      </x:c>
      <x:c r="I4591" s="274" t="n">
        <x:v>1</x:v>
      </x:c>
      <x:c r="J4591" s="274" t="n">
        <x:v>420</x:v>
      </x:c>
      <x:c r="K4591" s="274" t="n">
        <x:v>196</x:v>
      </x:c>
      <x:c r="M4591" s="274" t="s">
        <x:v>5820</x:v>
      </x:c>
      <x:c r="N4591" s="274" t="s">
        <x:v>3671</x:v>
      </x:c>
    </x:row>
    <x:row r="4592" spans="1:14">
      <x:c r="A4592" s="274" t="s">
        <x:v>8248</x:v>
      </x:c>
      <x:c r="B4592" s="274" t="n">
        <x:v>0.23</x:v>
      </x:c>
      <x:c r="C4592" s="274" t="n">
        <x:v>0</x:v>
      </x:c>
      <x:c r="D4592" s="274" t="n">
        <x:v>0</x:v>
      </x:c>
      <x:c r="F4592" s="274" t="s">
        <x:v>333</x:v>
      </x:c>
      <x:c r="G4592" s="274" t="s">
        <x:v>209</x:v>
      </x:c>
      <x:c r="I4592" s="274" t="n">
        <x:v>1</x:v>
      </x:c>
      <x:c r="J4592" s="274" t="n">
        <x:v>85</x:v>
      </x:c>
      <x:c r="K4592" s="274" t="n">
        <x:v>341</x:v>
      </x:c>
      <x:c r="M4592" s="274" t="s">
        <x:v>5828</x:v>
      </x:c>
      <x:c r="N4592" s="274" t="s">
        <x:v>3671</x:v>
      </x:c>
    </x:row>
    <x:row r="4593" spans="1:14">
      <x:c r="A4593" s="274" t="s">
        <x:v>8249</x:v>
      </x:c>
      <x:c r="B4593" s="274" t="n">
        <x:v>2.32</x:v>
      </x:c>
      <x:c r="C4593" s="274" t="n">
        <x:v>0</x:v>
      </x:c>
      <x:c r="D4593" s="274" t="n">
        <x:v>45</x:v>
      </x:c>
      <x:c r="F4593" s="274" t="s">
        <x:v>333</x:v>
      </x:c>
      <x:c r="G4593" s="274" t="s">
        <x:v>334</x:v>
      </x:c>
      <x:c r="I4593" s="274" t="n">
        <x:v>1.4</x:v>
      </x:c>
      <x:c r="J4593" s="274" t="n">
        <x:v>325</x:v>
      </x:c>
      <x:c r="K4593" s="274" t="n">
        <x:v>650</x:v>
      </x:c>
      <x:c r="M4593" s="274" t="s">
        <x:v>8211</x:v>
      </x:c>
      <x:c r="N4593" s="274" t="s">
        <x:v>3671</x:v>
      </x:c>
    </x:row>
    <x:row r="4594" spans="1:14">
      <x:c r="A4594" s="274" t="s">
        <x:v>8250</x:v>
      </x:c>
      <x:c r="B4594" s="274" t="n">
        <x:v>2.53</x:v>
      </x:c>
      <x:c r="C4594" s="274" t="n">
        <x:v>0</x:v>
      </x:c>
      <x:c r="D4594" s="274" t="n">
        <x:v>0</x:v>
      </x:c>
      <x:c r="F4594" s="274" t="s">
        <x:v>333</x:v>
      </x:c>
      <x:c r="G4594" s="274" t="s">
        <x:v>334</x:v>
      </x:c>
      <x:c r="I4594" s="274" t="n">
        <x:v>1.4</x:v>
      </x:c>
      <x:c r="J4594" s="274" t="n">
        <x:v>230</x:v>
      </x:c>
      <x:c r="K4594" s="274" t="n">
        <x:v>1000</x:v>
      </x:c>
      <x:c r="M4594" s="274" t="s">
        <x:v>3450</x:v>
      </x:c>
      <x:c r="N4594" s="274" t="s">
        <x:v>299</x:v>
      </x:c>
    </x:row>
    <x:row r="4595" spans="1:14">
      <x:c r="A4595" s="274" t="s">
        <x:v>8251</x:v>
      </x:c>
      <x:c r="B4595" s="274" t="n">
        <x:v>0.89</x:v>
      </x:c>
      <x:c r="C4595" s="274" t="n">
        <x:v>0</x:v>
      </x:c>
      <x:c r="D4595" s="274" t="n">
        <x:v>0</x:v>
      </x:c>
      <x:c r="F4595" s="274" t="s">
        <x:v>333</x:v>
      </x:c>
      <x:c r="G4595" s="274" t="s">
        <x:v>153</x:v>
      </x:c>
      <x:c r="I4595" s="274" t="n">
        <x:v>1.4</x:v>
      </x:c>
      <x:c r="J4595" s="274" t="n">
        <x:v>265</x:v>
      </x:c>
      <x:c r="K4595" s="274" t="n">
        <x:v>305</x:v>
      </x:c>
      <x:c r="M4595" s="274" t="s">
        <x:v>8252</x:v>
      </x:c>
      <x:c r="N4595" s="274" t="s">
        <x:v>3671</x:v>
      </x:c>
    </x:row>
    <x:row r="4596" spans="1:14">
      <x:c r="A4596" s="274" t="s">
        <x:v>8253</x:v>
      </x:c>
      <x:c r="B4596" s="274" t="n">
        <x:v>3.26</x:v>
      </x:c>
      <x:c r="C4596" s="274" t="n">
        <x:v>0</x:v>
      </x:c>
      <x:c r="D4596" s="274" t="n">
        <x:v>0</x:v>
      </x:c>
      <x:c r="F4596" s="274" t="s">
        <x:v>133</x:v>
      </x:c>
      <x:c r="G4596" s="274" t="s">
        <x:v>136</x:v>
      </x:c>
      <x:c r="H4596" s="274" t="n">
        <x:v>45</x:v>
      </x:c>
      <x:c r="I4596" s="274" t="n">
        <x:v>1.2</x:v>
      </x:c>
      <x:c r="J4596" s="274" t="n">
        <x:v>940</x:v>
      </x:c>
      <x:c r="K4596" s="274" t="n">
        <x:v>365</x:v>
      </x:c>
      <x:c r="M4596" s="274" t="s">
        <x:v>8254</x:v>
      </x:c>
      <x:c r="N4596" s="274" t="s">
        <x:v>3671</x:v>
      </x:c>
    </x:row>
    <x:row r="4597" spans="1:14">
      <x:c r="A4597" s="274" t="s">
        <x:v>8255</x:v>
      </x:c>
      <x:c r="B4597" s="274" t="n">
        <x:v>0.62</x:v>
      </x:c>
      <x:c r="C4597" s="274" t="n">
        <x:v>0</x:v>
      </x:c>
      <x:c r="D4597" s="274" t="n">
        <x:v>0</x:v>
      </x:c>
      <x:c r="F4597" s="274" t="s">
        <x:v>133</x:v>
      </x:c>
      <x:c r="G4597" s="274" t="s">
        <x:v>136</x:v>
      </x:c>
      <x:c r="H4597" s="274" t="n">
        <x:v>45</x:v>
      </x:c>
      <x:c r="I4597" s="274" t="n">
        <x:v>1.2</x:v>
      </x:c>
      <x:c r="J4597" s="274" t="n">
        <x:v>344</x:v>
      </x:c>
      <x:c r="K4597" s="274" t="n">
        <x:v>188</x:v>
      </x:c>
      <x:c r="M4597" s="274" t="s">
        <x:v>5840</x:v>
      </x:c>
      <x:c r="N4597" s="274" t="s">
        <x:v>3671</x:v>
      </x:c>
    </x:row>
    <x:row r="4598" spans="1:14">
      <x:c r="A4598" s="274" t="s">
        <x:v>8256</x:v>
      </x:c>
      <x:c r="B4598" s="274" t="n">
        <x:v>2.09</x:v>
      </x:c>
      <x:c r="C4598" s="274" t="n">
        <x:v>0</x:v>
      </x:c>
      <x:c r="D4598" s="274" t="n">
        <x:v>0</x:v>
      </x:c>
      <x:c r="F4598" s="274" t="s">
        <x:v>133</x:v>
      </x:c>
      <x:c r="G4598" s="274" t="s">
        <x:v>136</x:v>
      </x:c>
      <x:c r="H4598" s="274" t="n">
        <x:v>45</x:v>
      </x:c>
      <x:c r="I4598" s="274" t="n">
        <x:v>1.2</x:v>
      </x:c>
      <x:c r="J4598" s="274" t="n">
        <x:v>536</x:v>
      </x:c>
      <x:c r="K4598" s="274" t="n">
        <x:v>410</x:v>
      </x:c>
      <x:c r="M4598" s="274" t="s">
        <x:v>8257</x:v>
      </x:c>
      <x:c r="N4598" s="274" t="s">
        <x:v>3671</x:v>
      </x:c>
    </x:row>
    <x:row r="4599" spans="1:14">
      <x:c r="A4599" s="274" t="s">
        <x:v>8258</x:v>
      </x:c>
      <x:c r="B4599" s="274" t="n">
        <x:v>1.12</x:v>
      </x:c>
      <x:c r="C4599" s="274" t="n">
        <x:v>0</x:v>
      </x:c>
      <x:c r="D4599" s="274" t="n">
        <x:v>0</x:v>
      </x:c>
      <x:c r="F4599" s="274" t="s">
        <x:v>133</x:v>
      </x:c>
      <x:c r="G4599" s="274" t="s">
        <x:v>136</x:v>
      </x:c>
      <x:c r="H4599" s="274" t="n">
        <x:v>45</x:v>
      </x:c>
      <x:c r="I4599" s="274" t="n">
        <x:v>1.2</x:v>
      </x:c>
      <x:c r="J4599" s="274" t="n">
        <x:v>585</x:v>
      </x:c>
      <x:c r="K4599" s="274" t="n">
        <x:v>202</x:v>
      </x:c>
      <x:c r="M4599" s="274" t="s">
        <x:v>8259</x:v>
      </x:c>
      <x:c r="N4599" s="274" t="s">
        <x:v>3671</x:v>
      </x:c>
    </x:row>
    <x:row r="4600" spans="1:14">
      <x:c r="A4600" s="274" t="s">
        <x:v>8260</x:v>
      </x:c>
      <x:c r="B4600" s="274" t="n">
        <x:v>1.19</x:v>
      </x:c>
      <x:c r="C4600" s="274" t="n">
        <x:v>0</x:v>
      </x:c>
      <x:c r="D4600" s="274" t="n">
        <x:v>0</x:v>
      </x:c>
      <x:c r="F4600" s="274" t="s">
        <x:v>333</x:v>
      </x:c>
      <x:c r="G4600" s="274" t="s">
        <x:v>124</x:v>
      </x:c>
      <x:c r="I4600" s="274" t="n">
        <x:v>1.4</x:v>
      </x:c>
      <x:c r="J4600" s="274" t="n">
        <x:v>450</x:v>
      </x:c>
      <x:c r="K4600" s="274" t="n">
        <x:v>240</x:v>
      </x:c>
      <x:c r="M4600" s="274" t="s">
        <x:v>8261</x:v>
      </x:c>
      <x:c r="N4600" s="274" t="s">
        <x:v>3671</x:v>
      </x:c>
    </x:row>
    <x:row r="4601" spans="1:14">
      <x:c r="A4601" s="274" t="s">
        <x:v>8262</x:v>
      </x:c>
      <x:c r="B4601" s="274" t="n">
        <x:v>0.3</x:v>
      </x:c>
      <x:c r="C4601" s="274" t="n">
        <x:v>0</x:v>
      </x:c>
      <x:c r="D4601" s="274" t="n">
        <x:v>0</x:v>
      </x:c>
      <x:c r="F4601" s="274" t="s">
        <x:v>133</x:v>
      </x:c>
      <x:c r="G4601" s="274" t="s">
        <x:v>136</x:v>
      </x:c>
      <x:c r="H4601" s="274" t="n">
        <x:v>45</x:v>
      </x:c>
      <x:c r="I4601" s="274" t="n">
        <x:v>1.4</x:v>
      </x:c>
      <x:c r="J4601" s="274" t="n">
        <x:v>178</x:v>
      </x:c>
      <x:c r="K4601" s="274" t="n">
        <x:v>150</x:v>
      </x:c>
      <x:c r="M4601" s="274" t="s">
        <x:v>5887</x:v>
      </x:c>
      <x:c r="N4601" s="274" t="s">
        <x:v>3671</x:v>
      </x:c>
    </x:row>
    <x:row r="4602" spans="1:14">
      <x:c r="A4602" s="274" t="s">
        <x:v>8263</x:v>
      </x:c>
      <x:c r="B4602" s="274" t="n">
        <x:v>0.66</x:v>
      </x:c>
      <x:c r="C4602" s="274" t="n">
        <x:v>0</x:v>
      </x:c>
      <x:c r="D4602" s="274" t="n">
        <x:v>0</x:v>
      </x:c>
      <x:c r="F4602" s="274" t="s">
        <x:v>123</x:v>
      </x:c>
      <x:c r="G4602" s="274" t="s">
        <x:v>129</x:v>
      </x:c>
      <x:c r="H4602" s="274" t="n">
        <x:v>45</x:v>
      </x:c>
      <x:c r="I4602" s="274" t="n">
        <x:v>1.6</x:v>
      </x:c>
      <x:c r="J4602" s="274" t="n">
        <x:v>144</x:v>
      </x:c>
      <x:c r="K4602" s="274" t="n">
        <x:v>363</x:v>
      </x:c>
      <x:c r="M4602" s="274" t="s">
        <x:v>5898</x:v>
      </x:c>
      <x:c r="N4602" s="274" t="s">
        <x:v>3671</x:v>
      </x:c>
    </x:row>
    <x:row r="4603" spans="1:14">
      <x:c r="A4603" s="274" t="s">
        <x:v>8264</x:v>
      </x:c>
      <x:c r="B4603" s="274" t="n">
        <x:v>1.07</x:v>
      </x:c>
      <x:c r="C4603" s="274" t="n">
        <x:v>0</x:v>
      </x:c>
      <x:c r="D4603" s="274" t="n">
        <x:v>0</x:v>
      </x:c>
      <x:c r="F4603" s="274" t="s">
        <x:v>333</x:v>
      </x:c>
      <x:c r="G4603" s="274" t="s">
        <x:v>153</x:v>
      </x:c>
      <x:c r="I4603" s="274" t="n">
        <x:v>2</x:v>
      </x:c>
      <x:c r="J4603" s="274" t="n">
        <x:v>142</x:v>
      </x:c>
      <x:c r="K4603" s="274" t="n">
        <x:v>480</x:v>
      </x:c>
      <x:c r="M4603" s="274" t="s">
        <x:v>5901</x:v>
      </x:c>
      <x:c r="N4603" s="274" t="s">
        <x:v>3671</x:v>
      </x:c>
    </x:row>
    <x:row r="4604" spans="1:14">
      <x:c r="A4604" s="274" t="s">
        <x:v>8265</x:v>
      </x:c>
      <x:c r="B4604" s="274" t="n">
        <x:v>1.74</x:v>
      </x:c>
      <x:c r="C4604" s="274" t="n">
        <x:v>0</x:v>
      </x:c>
      <x:c r="D4604" s="274" t="n">
        <x:v>0</x:v>
      </x:c>
      <x:c r="F4604" s="274" t="s">
        <x:v>184</x:v>
      </x:c>
      <x:c r="G4604" s="274" t="s">
        <x:v>144</x:v>
      </x:c>
      <x:c r="H4604" s="274" t="n">
        <x:v>45</x:v>
      </x:c>
      <x:c r="I4604" s="274" t="n">
        <x:v>2.3</x:v>
      </x:c>
      <x:c r="J4604" s="274" t="n">
        <x:v>178</x:v>
      </x:c>
      <x:c r="K4604" s="274" t="n">
        <x:v>538</x:v>
      </x:c>
      <x:c r="M4604" s="274" t="s">
        <x:v>8266</x:v>
      </x:c>
      <x:c r="N4604" s="274" t="s">
        <x:v>3671</x:v>
      </x:c>
    </x:row>
    <x:row r="4605" spans="1:14">
      <x:c r="A4605" s="274" t="s">
        <x:v>8267</x:v>
      </x:c>
      <x:c r="B4605" s="274" t="n">
        <x:v>4.04</x:v>
      </x:c>
      <x:c r="C4605" s="274" t="n">
        <x:v>0</x:v>
      </x:c>
      <x:c r="D4605" s="274" t="n">
        <x:v>0</x:v>
      </x:c>
      <x:c r="F4605" s="274" t="s">
        <x:v>123</x:v>
      </x:c>
      <x:c r="G4605" s="274" t="s">
        <x:v>136</x:v>
      </x:c>
      <x:c r="H4605" s="274" t="n">
        <x:v>45</x:v>
      </x:c>
      <x:c r="I4605" s="274" t="n">
        <x:v>2.3</x:v>
      </x:c>
      <x:c r="J4605" s="274" t="n">
        <x:v>544</x:v>
      </x:c>
      <x:c r="K4605" s="274" t="n">
        <x:v>409</x:v>
      </x:c>
      <x:c r="M4605" s="274" t="s">
        <x:v>8268</x:v>
      </x:c>
      <x:c r="N4605" s="274" t="s">
        <x:v>3671</x:v>
      </x:c>
    </x:row>
    <x:row r="4606" spans="1:14">
      <x:c r="A4606" s="274" t="s">
        <x:v>8269</x:v>
      </x:c>
      <x:c r="B4606" s="274" t="n">
        <x:v>6.32</x:v>
      </x:c>
      <x:c r="C4606" s="274" t="n">
        <x:v>0</x:v>
      </x:c>
      <x:c r="D4606" s="274" t="n">
        <x:v>0</x:v>
      </x:c>
      <x:c r="F4606" s="274" t="s">
        <x:v>133</x:v>
      </x:c>
      <x:c r="G4606" s="274" t="s">
        <x:v>134</x:v>
      </x:c>
      <x:c r="I4606" s="274" t="n">
        <x:v>2.6</x:v>
      </x:c>
      <x:c r="J4606" s="274" t="n">
        <x:v>258</x:v>
      </x:c>
      <x:c r="K4606" s="274" t="n">
        <x:v>1200</x:v>
      </x:c>
      <x:c r="M4606" s="274" t="s">
        <x:v>7223</x:v>
      </x:c>
      <x:c r="N4606" s="274" t="s">
        <x:v>3671</x:v>
      </x:c>
    </x:row>
    <x:row r="4607" spans="1:14">
      <x:c r="A4607" s="274" t="s">
        <x:v>8270</x:v>
      </x:c>
      <x:c r="B4607" s="274" t="n">
        <x:v>7.1</x:v>
      </x:c>
      <x:c r="C4607" s="274" t="n">
        <x:v>0</x:v>
      </x:c>
      <x:c r="D4607" s="274" t="n">
        <x:v>0</x:v>
      </x:c>
      <x:c r="F4607" s="274" t="s">
        <x:v>133</x:v>
      </x:c>
      <x:c r="G4607" s="274" t="s">
        <x:v>148</x:v>
      </x:c>
      <x:c r="I4607" s="274" t="n">
        <x:v>2.6</x:v>
      </x:c>
      <x:c r="J4607" s="274" t="n">
        <x:v>290</x:v>
      </x:c>
      <x:c r="K4607" s="274" t="n">
        <x:v>1200</x:v>
      </x:c>
      <x:c r="M4607" s="274" t="s">
        <x:v>7221</x:v>
      </x:c>
      <x:c r="N4607" s="274" t="s">
        <x:v>3671</x:v>
      </x:c>
    </x:row>
    <x:row r="4608" spans="1:14">
      <x:c r="A4608" s="274" t="s">
        <x:v>8271</x:v>
      </x:c>
      <x:c r="B4608" s="274" t="n">
        <x:v>1.83</x:v>
      </x:c>
      <x:c r="C4608" s="274" t="n">
        <x:v>0</x:v>
      </x:c>
      <x:c r="D4608" s="274" t="n">
        <x:v>45</x:v>
      </x:c>
      <x:c r="E4608" s="274" t="n">
        <x:v>40</x:v>
      </x:c>
      <x:c r="F4608" s="274" t="s">
        <x:v>333</x:v>
      </x:c>
      <x:c r="G4608" s="274" t="s">
        <x:v>2468</x:v>
      </x:c>
      <x:c r="I4608" s="274" t="n">
        <x:v>0.7</x:v>
      </x:c>
      <x:c r="J4608" s="274" t="n">
        <x:v>1020</x:v>
      </x:c>
      <x:c r="K4608" s="274" t="n">
        <x:v>326</x:v>
      </x:c>
      <x:c r="M4608" s="274" t="s">
        <x:v>8272</x:v>
      </x:c>
      <x:c r="N4608" s="274" t="s">
        <x:v>7439</x:v>
      </x:c>
    </x:row>
    <x:row r="4609" spans="1:14">
      <x:c r="A4609" s="274" t="s">
        <x:v>8273</x:v>
      </x:c>
      <x:c r="B4609" s="274" t="n">
        <x:v>1.66</x:v>
      </x:c>
      <x:c r="C4609" s="274" t="n">
        <x:v>0</x:v>
      </x:c>
      <x:c r="D4609" s="274" t="n">
        <x:v>45</x:v>
      </x:c>
      <x:c r="E4609" s="274" t="n">
        <x:v>40</x:v>
      </x:c>
      <x:c r="F4609" s="274" t="s">
        <x:v>333</x:v>
      </x:c>
      <x:c r="G4609" s="274" t="s">
        <x:v>2157</x:v>
      </x:c>
      <x:c r="I4609" s="274" t="n">
        <x:v>0.6</x:v>
      </x:c>
      <x:c r="J4609" s="274" t="n">
        <x:v>1036</x:v>
      </x:c>
      <x:c r="K4609" s="274" t="n">
        <x:v>340</x:v>
      </x:c>
      <x:c r="M4609" s="274" t="s">
        <x:v>8274</x:v>
      </x:c>
      <x:c r="N4609" s="274" t="s">
        <x:v>3325</x:v>
      </x:c>
    </x:row>
    <x:row r="4610" spans="1:14">
      <x:c r="A4610" s="274" t="s">
        <x:v>8275</x:v>
      </x:c>
      <x:c r="B4610" s="274" t="n">
        <x:v>2.13</x:v>
      </x:c>
      <x:c r="C4610" s="274" t="n">
        <x:v>0</x:v>
      </x:c>
      <x:c r="D4610" s="274" t="n">
        <x:v>0</x:v>
      </x:c>
      <x:c r="F4610" s="274" t="s">
        <x:v>333</x:v>
      </x:c>
      <x:c r="G4610" s="274" t="s">
        <x:v>2468</x:v>
      </x:c>
      <x:c r="I4610" s="274" t="n">
        <x:v>0.9</x:v>
      </x:c>
      <x:c r="J4610" s="274" t="n">
        <x:v>1020</x:v>
      </x:c>
      <x:c r="K4610" s="274" t="n">
        <x:v>295</x:v>
      </x:c>
      <x:c r="M4610" s="274" t="s">
        <x:v>8276</x:v>
      </x:c>
      <x:c r="N4610" s="274" t="s">
        <x:v>7439</x:v>
      </x:c>
    </x:row>
    <x:row r="4611" spans="1:14">
      <x:c r="A4611" s="274" t="s">
        <x:v>8277</x:v>
      </x:c>
      <x:c r="B4611" s="274" t="n">
        <x:v>0.26</x:v>
      </x:c>
      <x:c r="C4611" s="274" t="n">
        <x:v>0</x:v>
      </x:c>
      <x:c r="D4611" s="274" t="n">
        <x:v>0</x:v>
      </x:c>
      <x:c r="F4611" s="274" t="s">
        <x:v>133</x:v>
      </x:c>
      <x:c r="G4611" s="274" t="s">
        <x:v>148</x:v>
      </x:c>
      <x:c r="I4611" s="274" t="n">
        <x:v>3.2</x:v>
      </x:c>
      <x:c r="J4611" s="274" t="n">
        <x:v>110</x:v>
      </x:c>
      <x:c r="K4611" s="274" t="n">
        <x:v>95</x:v>
      </x:c>
      <x:c r="M4611" s="274" t="s">
        <x:v>8278</x:v>
      </x:c>
      <x:c r="N4611" s="274" t="s">
        <x:v>155</x:v>
      </x:c>
    </x:row>
    <x:row r="4612" spans="1:14">
      <x:c r="A4612" s="274" t="s">
        <x:v>8279</x:v>
      </x:c>
      <x:c r="B4612" s="274" t="n">
        <x:v>1.33</x:v>
      </x:c>
      <x:c r="C4612" s="274" t="n">
        <x:v>0</x:v>
      </x:c>
      <x:c r="D4612" s="274" t="n">
        <x:v>0</x:v>
      </x:c>
      <x:c r="F4612" s="274" t="s">
        <x:v>133</x:v>
      </x:c>
      <x:c r="G4612" s="274" t="s">
        <x:v>148</x:v>
      </x:c>
      <x:c r="I4612" s="274" t="n">
        <x:v>3.2</x:v>
      </x:c>
      <x:c r="J4612" s="274" t="n">
        <x:v>88</x:v>
      </x:c>
      <x:c r="K4612" s="274" t="n">
        <x:v>603</x:v>
      </x:c>
      <x:c r="M4612" s="274" t="s">
        <x:v>199</x:v>
      </x:c>
      <x:c r="N4612" s="274" t="s">
        <x:v>155</x:v>
      </x:c>
    </x:row>
    <x:row r="4613" spans="1:14">
      <x:c r="A4613" s="274" t="s">
        <x:v>8280</x:v>
      </x:c>
      <x:c r="B4613" s="274" t="n">
        <x:v>3.01</x:v>
      </x:c>
      <x:c r="C4613" s="274" t="n">
        <x:v>0</x:v>
      </x:c>
      <x:c r="D4613" s="274" t="n">
        <x:v>0</x:v>
      </x:c>
      <x:c r="F4613" s="274" t="s">
        <x:v>133</x:v>
      </x:c>
      <x:c r="G4613" s="274" t="s">
        <x:v>148</x:v>
      </x:c>
      <x:c r="I4613" s="274" t="n">
        <x:v>3.2</x:v>
      </x:c>
      <x:c r="J4613" s="274" t="n">
        <x:v>96</x:v>
      </x:c>
      <x:c r="K4613" s="274" t="n">
        <x:v>1250</x:v>
      </x:c>
      <x:c r="M4613" s="274" t="s">
        <x:v>8281</x:v>
      </x:c>
      <x:c r="N4613" s="274" t="s">
        <x:v>3671</x:v>
      </x:c>
    </x:row>
    <x:row r="4614" spans="1:14">
      <x:c r="A4614" s="274" t="s">
        <x:v>8282</x:v>
      </x:c>
      <x:c r="B4614" s="274" t="n">
        <x:v>25.63</x:v>
      </x:c>
      <x:c r="C4614" s="274" t="n">
        <x:v>0</x:v>
      </x:c>
      <x:c r="D4614" s="274" t="n">
        <x:v>0</x:v>
      </x:c>
      <x:c r="F4614" s="274" t="s">
        <x:v>184</x:v>
      </x:c>
      <x:c r="G4614" s="274" t="s">
        <x:v>334</x:v>
      </x:c>
      <x:c r="I4614" s="274" t="n">
        <x:v>1.4</x:v>
      </x:c>
      <x:c r="J4614" s="274" t="n">
        <x:v>1166</x:v>
      </x:c>
      <x:c r="K4614" s="274" t="n">
        <x:v>2000</x:v>
      </x:c>
      <x:c r="M4614" s="274" t="s">
        <x:v>8283</x:v>
      </x:c>
      <x:c r="N4614" s="274" t="s">
        <x:v>155</x:v>
      </x:c>
    </x:row>
    <x:row r="4615" spans="1:14">
      <x:c r="A4615" s="274" t="s">
        <x:v>8284</x:v>
      </x:c>
      <x:c r="B4615" s="274" t="n">
        <x:v>1.35</x:v>
      </x:c>
      <x:c r="C4615" s="274" t="n">
        <x:v>0</x:v>
      </x:c>
      <x:c r="D4615" s="274" t="n">
        <x:v>0</x:v>
      </x:c>
      <x:c r="F4615" s="274" t="s">
        <x:v>184</x:v>
      </x:c>
      <x:c r="G4615" s="274" t="s">
        <x:v>334</x:v>
      </x:c>
      <x:c r="I4615" s="274" t="n">
        <x:v>1.4</x:v>
      </x:c>
      <x:c r="J4615" s="274" t="n">
        <x:v>800</x:v>
      </x:c>
      <x:c r="K4615" s="274" t="n">
        <x:v>154</x:v>
      </x:c>
      <x:c r="M4615" s="274" t="s">
        <x:v>8285</x:v>
      </x:c>
      <x:c r="N4615" s="274" t="s">
        <x:v>299</x:v>
      </x:c>
    </x:row>
    <x:row r="4616" spans="1:14">
      <x:c r="A4616" s="274" t="s">
        <x:v>8286</x:v>
      </x:c>
      <x:c r="B4616" s="274" t="n">
        <x:v>3.45</x:v>
      </x:c>
      <x:c r="C4616" s="274" t="n">
        <x:v>0</x:v>
      </x:c>
      <x:c r="D4616" s="274" t="n">
        <x:v>0</x:v>
      </x:c>
      <x:c r="F4616" s="274" t="s">
        <x:v>184</x:v>
      </x:c>
      <x:c r="G4616" s="274" t="s">
        <x:v>334</x:v>
      </x:c>
      <x:c r="I4616" s="274" t="n">
        <x:v>1.6</x:v>
      </x:c>
      <x:c r="J4616" s="274" t="n">
        <x:v>1000</x:v>
      </x:c>
      <x:c r="K4616" s="274" t="n">
        <x:v>275</x:v>
      </x:c>
      <x:c r="M4616" s="274" t="s">
        <x:v>8287</x:v>
      </x:c>
      <x:c r="N4616" s="274" t="s">
        <x:v>299</x:v>
      </x:c>
    </x:row>
    <x:row r="4617" spans="1:14">
      <x:c r="A4617" s="274" t="s">
        <x:v>8288</x:v>
      </x:c>
      <x:c r="B4617" s="274" t="n">
        <x:v>4.5</x:v>
      </x:c>
      <x:c r="C4617" s="274" t="n">
        <x:v>0</x:v>
      </x:c>
      <x:c r="D4617" s="274" t="n">
        <x:v>0</x:v>
      </x:c>
      <x:c r="F4617" s="274" t="s">
        <x:v>184</x:v>
      </x:c>
      <x:c r="G4617" s="274" t="s">
        <x:v>334</x:v>
      </x:c>
      <x:c r="I4617" s="274" t="n">
        <x:v>1.4</x:v>
      </x:c>
      <x:c r="J4617" s="274" t="n">
        <x:v>788</x:v>
      </x:c>
      <x:c r="K4617" s="274" t="n">
        <x:v>520</x:v>
      </x:c>
      <x:c r="M4617" s="274" t="s">
        <x:v>335</x:v>
      </x:c>
      <x:c r="N4617" s="274" t="s">
        <x:v>299</x:v>
      </x:c>
    </x:row>
    <x:row r="4618" spans="1:14">
      <x:c r="A4618" s="274" t="s">
        <x:v>8289</x:v>
      </x:c>
      <x:c r="B4618" s="274" t="n">
        <x:v>2.53</x:v>
      </x:c>
      <x:c r="C4618" s="274" t="n">
        <x:v>0</x:v>
      </x:c>
      <x:c r="D4618" s="274" t="n">
        <x:v>0</x:v>
      </x:c>
      <x:c r="F4618" s="274" t="s">
        <x:v>184</x:v>
      </x:c>
      <x:c r="G4618" s="274" t="s">
        <x:v>334</x:v>
      </x:c>
      <x:c r="I4618" s="274" t="n">
        <x:v>1.4</x:v>
      </x:c>
      <x:c r="J4618" s="274" t="n">
        <x:v>230</x:v>
      </x:c>
      <x:c r="K4618" s="274" t="n">
        <x:v>1000</x:v>
      </x:c>
      <x:c r="M4618" s="274" t="s">
        <x:v>3450</x:v>
      </x:c>
      <x:c r="N4618" s="274" t="s">
        <x:v>299</x:v>
      </x:c>
    </x:row>
    <x:row r="4619" spans="1:14">
      <x:c r="A4619" s="274" t="s">
        <x:v>8290</x:v>
      </x:c>
      <x:c r="B4619" s="274" t="n">
        <x:v>1.27</x:v>
      </x:c>
      <x:c r="C4619" s="274" t="n">
        <x:v>0</x:v>
      </x:c>
      <x:c r="D4619" s="274" t="n">
        <x:v>0</x:v>
      </x:c>
      <x:c r="F4619" s="274" t="s">
        <x:v>184</x:v>
      </x:c>
      <x:c r="G4619" s="274" t="s">
        <x:v>334</x:v>
      </x:c>
      <x:c r="I4619" s="274" t="n">
        <x:v>1.6</x:v>
      </x:c>
      <x:c r="J4619" s="274" t="n">
        <x:v>260</x:v>
      </x:c>
      <x:c r="K4619" s="274" t="n">
        <x:v>390</x:v>
      </x:c>
      <x:c r="M4619" s="274" t="s">
        <x:v>1092</x:v>
      </x:c>
      <x:c r="N4619" s="274" t="s">
        <x:v>299</x:v>
      </x:c>
    </x:row>
    <x:row r="4620" spans="1:14">
      <x:c r="A4620" s="274" t="s">
        <x:v>8291</x:v>
      </x:c>
      <x:c r="B4620" s="274" t="n">
        <x:v>2.22</x:v>
      </x:c>
      <x:c r="C4620" s="274" t="n">
        <x:v>0</x:v>
      </x:c>
      <x:c r="D4620" s="274" t="n">
        <x:v>0</x:v>
      </x:c>
      <x:c r="F4620" s="274" t="s">
        <x:v>184</x:v>
      </x:c>
      <x:c r="G4620" s="274" t="s">
        <x:v>334</x:v>
      </x:c>
      <x:c r="I4620" s="274" t="n">
        <x:v>1.4</x:v>
      </x:c>
      <x:c r="J4620" s="274" t="n">
        <x:v>1204</x:v>
      </x:c>
      <x:c r="K4620" s="274" t="n">
        <x:v>168</x:v>
      </x:c>
      <x:c r="M4620" s="274" t="s">
        <x:v>8292</x:v>
      </x:c>
      <x:c r="N4620" s="274" t="s">
        <x:v>155</x:v>
      </x:c>
    </x:row>
    <x:row r="4621" spans="1:14">
      <x:c r="A4621" s="274" t="s">
        <x:v>8293</x:v>
      </x:c>
      <x:c r="B4621" s="274" t="n">
        <x:v>29.82</x:v>
      </x:c>
      <x:c r="C4621" s="274" t="n">
        <x:v>0</x:v>
      </x:c>
      <x:c r="D4621" s="274" t="n">
        <x:v>0</x:v>
      </x:c>
      <x:c r="F4621" s="274" t="s">
        <x:v>184</x:v>
      </x:c>
      <x:c r="G4621" s="274" t="s">
        <x:v>334</x:v>
      </x:c>
      <x:c r="I4621" s="274" t="n">
        <x:v>1.6</x:v>
      </x:c>
      <x:c r="J4621" s="274" t="n">
        <x:v>1187</x:v>
      </x:c>
      <x:c r="K4621" s="274" t="n">
        <x:v>2000</x:v>
      </x:c>
      <x:c r="M4621" s="274" t="s">
        <x:v>8294</x:v>
      </x:c>
      <x:c r="N4621" s="274" t="s">
        <x:v>155</x:v>
      </x:c>
    </x:row>
    <x:row r="4622" spans="1:14">
      <x:c r="A4622" s="274" t="s">
        <x:v>8295</x:v>
      </x:c>
      <x:c r="B4622" s="274" t="n">
        <x:v>0.54</x:v>
      </x:c>
      <x:c r="C4622" s="274" t="n">
        <x:v>0</x:v>
      </x:c>
      <x:c r="D4622" s="274" t="n">
        <x:v>0</x:v>
      </x:c>
      <x:c r="F4622" s="274" t="s">
        <x:v>333</x:v>
      </x:c>
      <x:c r="G4622" s="274" t="s">
        <x:v>153</x:v>
      </x:c>
      <x:c r="I4622" s="274" t="n">
        <x:v>1.6</x:v>
      </x:c>
      <x:c r="J4622" s="274" t="n">
        <x:v>282</x:v>
      </x:c>
      <x:c r="K4622" s="274" t="n">
        <x:v>152</x:v>
      </x:c>
      <x:c r="M4622" s="274" t="s">
        <x:v>2333</x:v>
      </x:c>
      <x:c r="N4622" s="274" t="s">
        <x:v>299</x:v>
      </x:c>
    </x:row>
    <x:row r="4623" spans="1:14">
      <x:c r="A4623" s="274" t="s">
        <x:v>8296</x:v>
      </x:c>
      <x:c r="B4623" s="274" t="n">
        <x:v>2.14</x:v>
      </x:c>
      <x:c r="C4623" s="274" t="n">
        <x:v>0</x:v>
      </x:c>
      <x:c r="D4623" s="274" t="n">
        <x:v>0</x:v>
      </x:c>
      <x:c r="F4623" s="274" t="s">
        <x:v>333</x:v>
      </x:c>
      <x:c r="G4623" s="274" t="s">
        <x:v>153</x:v>
      </x:c>
      <x:c r="I4623" s="274" t="n">
        <x:v>0.6</x:v>
      </x:c>
      <x:c r="J4623" s="274" t="n">
        <x:v>363</x:v>
      </x:c>
      <x:c r="K4623" s="274" t="n">
        <x:v>1250</x:v>
      </x:c>
      <x:c r="M4623" s="274" t="s">
        <x:v>7871</x:v>
      </x:c>
      <x:c r="N4623" s="274" t="s">
        <x:v>3671</x:v>
      </x:c>
    </x:row>
    <x:row r="4624" spans="1:14">
      <x:c r="A4624" s="274" t="s">
        <x:v>8297</x:v>
      </x:c>
      <x:c r="B4624" s="274" t="n">
        <x:v>2.27</x:v>
      </x:c>
      <x:c r="C4624" s="274" t="n">
        <x:v>0</x:v>
      </x:c>
      <x:c r="D4624" s="274" t="n">
        <x:v>0</x:v>
      </x:c>
      <x:c r="F4624" s="274" t="s">
        <x:v>333</x:v>
      </x:c>
      <x:c r="G4624" s="274" t="s">
        <x:v>153</x:v>
      </x:c>
      <x:c r="I4624" s="274" t="n">
        <x:v>0.6</x:v>
      </x:c>
      <x:c r="J4624" s="274" t="n">
        <x:v>386</x:v>
      </x:c>
      <x:c r="K4624" s="274" t="n">
        <x:v>1250</x:v>
      </x:c>
      <x:c r="M4624" s="274" t="s">
        <x:v>7869</x:v>
      </x:c>
      <x:c r="N4624" s="274" t="s">
        <x:v>3671</x:v>
      </x:c>
    </x:row>
    <x:row r="4625" spans="1:14">
      <x:c r="A4625" s="274" t="s">
        <x:v>8298</x:v>
      </x:c>
      <x:c r="B4625" s="274" t="n">
        <x:v>0.89</x:v>
      </x:c>
      <x:c r="C4625" s="274" t="n">
        <x:v>0</x:v>
      </x:c>
      <x:c r="D4625" s="274" t="n">
        <x:v>0</x:v>
      </x:c>
      <x:c r="F4625" s="274" t="s">
        <x:v>123</x:v>
      </x:c>
      <x:c r="G4625" s="274" t="s">
        <x:v>129</x:v>
      </x:c>
      <x:c r="H4625" s="274" t="n">
        <x:v>45</x:v>
      </x:c>
      <x:c r="I4625" s="274" t="n">
        <x:v>1</x:v>
      </x:c>
      <x:c r="J4625" s="274" t="n">
        <x:v>90</x:v>
      </x:c>
      <x:c r="K4625" s="274" t="n">
        <x:v>1250</x:v>
      </x:c>
      <x:c r="M4625" s="274" t="s">
        <x:v>6126</x:v>
      </x:c>
      <x:c r="N4625" s="274" t="s">
        <x:v>3671</x:v>
      </x:c>
    </x:row>
    <x:row r="4626" spans="1:14">
      <x:c r="A4626" s="274" t="s">
        <x:v>8299</x:v>
      </x:c>
      <x:c r="B4626" s="274" t="n">
        <x:v>1.05</x:v>
      </x:c>
      <x:c r="C4626" s="274" t="n">
        <x:v>0</x:v>
      </x:c>
      <x:c r="D4626" s="274" t="n">
        <x:v>0</x:v>
      </x:c>
      <x:c r="F4626" s="274" t="s">
        <x:v>123</x:v>
      </x:c>
      <x:c r="G4626" s="274" t="s">
        <x:v>129</x:v>
      </x:c>
      <x:c r="H4626" s="274" t="n">
        <x:v>45</x:v>
      </x:c>
      <x:c r="I4626" s="274" t="n">
        <x:v>1</x:v>
      </x:c>
      <x:c r="J4626" s="274" t="n">
        <x:v>106</x:v>
      </x:c>
      <x:c r="K4626" s="274" t="n">
        <x:v>1250</x:v>
      </x:c>
      <x:c r="M4626" s="274" t="s">
        <x:v>8300</x:v>
      </x:c>
      <x:c r="N4626" s="274" t="s">
        <x:v>3671</x:v>
      </x:c>
    </x:row>
    <x:row r="4627" spans="1:14">
      <x:c r="A4627" s="274" t="s">
        <x:v>8301</x:v>
      </x:c>
      <x:c r="B4627" s="274" t="n">
        <x:v>1.03</x:v>
      </x:c>
      <x:c r="C4627" s="274" t="n">
        <x:v>0</x:v>
      </x:c>
      <x:c r="D4627" s="274" t="n">
        <x:v>0</x:v>
      </x:c>
      <x:c r="F4627" s="274" t="s">
        <x:v>333</x:v>
      </x:c>
      <x:c r="G4627" s="274" t="s">
        <x:v>209</x:v>
      </x:c>
      <x:c r="I4627" s="274" t="n">
        <x:v>1</x:v>
      </x:c>
      <x:c r="J4627" s="274" t="n">
        <x:v>105</x:v>
      </x:c>
      <x:c r="K4627" s="274" t="n">
        <x:v>1250</x:v>
      </x:c>
      <x:c r="M4627" s="274" t="s">
        <x:v>8302</x:v>
      </x:c>
      <x:c r="N4627" s="274" t="s">
        <x:v>3671</x:v>
      </x:c>
    </x:row>
    <x:row r="4628" spans="1:14">
      <x:c r="A4628" s="274" t="s">
        <x:v>8303</x:v>
      </x:c>
      <x:c r="B4628" s="274" t="n">
        <x:v>3.91</x:v>
      </x:c>
      <x:c r="C4628" s="274" t="n">
        <x:v>0</x:v>
      </x:c>
      <x:c r="D4628" s="274" t="n">
        <x:v>0</x:v>
      </x:c>
      <x:c r="F4628" s="274" t="s">
        <x:v>333</x:v>
      </x:c>
      <x:c r="G4628" s="274" t="s">
        <x:v>124</x:v>
      </x:c>
      <x:c r="I4628" s="274" t="n">
        <x:v>1</x:v>
      </x:c>
      <x:c r="J4628" s="274" t="n">
        <x:v>398</x:v>
      </x:c>
      <x:c r="K4628" s="274" t="n">
        <x:v>1250</x:v>
      </x:c>
      <x:c r="M4628" s="274" t="s">
        <x:v>8304</x:v>
      </x:c>
      <x:c r="N4628" s="274" t="s">
        <x:v>3671</x:v>
      </x:c>
    </x:row>
    <x:row r="4629" spans="1:14">
      <x:c r="A4629" s="274" t="s">
        <x:v>8305</x:v>
      </x:c>
      <x:c r="B4629" s="274" t="n">
        <x:v>4.51</x:v>
      </x:c>
      <x:c r="C4629" s="274" t="n">
        <x:v>0</x:v>
      </x:c>
      <x:c r="D4629" s="274" t="n">
        <x:v>0</x:v>
      </x:c>
      <x:c r="F4629" s="274" t="s">
        <x:v>333</x:v>
      </x:c>
      <x:c r="G4629" s="274" t="s">
        <x:v>124</x:v>
      </x:c>
      <x:c r="I4629" s="274" t="n">
        <x:v>1</x:v>
      </x:c>
      <x:c r="J4629" s="274" t="n">
        <x:v>460</x:v>
      </x:c>
      <x:c r="K4629" s="274" t="n">
        <x:v>1250</x:v>
      </x:c>
      <x:c r="M4629" s="274" t="s">
        <x:v>8306</x:v>
      </x:c>
      <x:c r="N4629" s="274" t="s">
        <x:v>3671</x:v>
      </x:c>
    </x:row>
    <x:row r="4630" spans="1:14">
      <x:c r="A4630" s="274" t="s">
        <x:v>8307</x:v>
      </x:c>
      <x:c r="B4630" s="274" t="n">
        <x:v>1.94</x:v>
      </x:c>
      <x:c r="C4630" s="274" t="n">
        <x:v>0</x:v>
      </x:c>
      <x:c r="D4630" s="274" t="n">
        <x:v>0</x:v>
      </x:c>
      <x:c r="F4630" s="274" t="s">
        <x:v>333</x:v>
      </x:c>
      <x:c r="G4630" s="274" t="s">
        <x:v>124</x:v>
      </x:c>
      <x:c r="I4630" s="274" t="n">
        <x:v>1.2</x:v>
      </x:c>
      <x:c r="J4630" s="274" t="n">
        <x:v>165</x:v>
      </x:c>
      <x:c r="K4630" s="274" t="n">
        <x:v>1250</x:v>
      </x:c>
      <x:c r="M4630" s="274" t="s">
        <x:v>8308</x:v>
      </x:c>
      <x:c r="N4630" s="274" t="s">
        <x:v>3671</x:v>
      </x:c>
    </x:row>
    <x:row r="4631" spans="1:14">
      <x:c r="A4631" s="274" t="s">
        <x:v>8309</x:v>
      </x:c>
      <x:c r="B4631" s="274" t="n">
        <x:v>1.98</x:v>
      </x:c>
      <x:c r="C4631" s="274" t="n">
        <x:v>0</x:v>
      </x:c>
      <x:c r="D4631" s="274" t="n">
        <x:v>0</x:v>
      </x:c>
      <x:c r="F4631" s="274" t="s">
        <x:v>333</x:v>
      </x:c>
      <x:c r="G4631" s="274" t="s">
        <x:v>124</x:v>
      </x:c>
      <x:c r="I4631" s="274" t="n">
        <x:v>1.2</x:v>
      </x:c>
      <x:c r="J4631" s="274" t="n">
        <x:v>168</x:v>
      </x:c>
      <x:c r="K4631" s="274" t="n">
        <x:v>1250</x:v>
      </x:c>
      <x:c r="M4631" s="274" t="s">
        <x:v>8310</x:v>
      </x:c>
      <x:c r="N4631" s="274" t="s">
        <x:v>3671</x:v>
      </x:c>
    </x:row>
    <x:row r="4632" spans="1:14">
      <x:c r="A4632" s="274" t="s">
        <x:v>8311</x:v>
      </x:c>
      <x:c r="B4632" s="274" t="n">
        <x:v>2.01</x:v>
      </x:c>
      <x:c r="C4632" s="274" t="n">
        <x:v>0</x:v>
      </x:c>
      <x:c r="D4632" s="274" t="n">
        <x:v>0</x:v>
      </x:c>
      <x:c r="F4632" s="274" t="s">
        <x:v>333</x:v>
      </x:c>
      <x:c r="G4632" s="274" t="s">
        <x:v>124</x:v>
      </x:c>
      <x:c r="I4632" s="274" t="n">
        <x:v>1.2</x:v>
      </x:c>
      <x:c r="J4632" s="274" t="n">
        <x:v>171</x:v>
      </x:c>
      <x:c r="K4632" s="274" t="n">
        <x:v>1250</x:v>
      </x:c>
      <x:c r="M4632" s="274" t="s">
        <x:v>8312</x:v>
      </x:c>
      <x:c r="N4632" s="274" t="s">
        <x:v>3671</x:v>
      </x:c>
    </x:row>
    <x:row r="4633" spans="1:14">
      <x:c r="A4633" s="274" t="s">
        <x:v>8313</x:v>
      </x:c>
      <x:c r="B4633" s="274" t="n">
        <x:v>5.16</x:v>
      </x:c>
      <x:c r="C4633" s="274" t="n">
        <x:v>0</x:v>
      </x:c>
      <x:c r="D4633" s="274" t="n">
        <x:v>0</x:v>
      </x:c>
      <x:c r="F4633" s="274" t="s">
        <x:v>333</x:v>
      </x:c>
      <x:c r="G4633" s="274" t="s">
        <x:v>124</x:v>
      </x:c>
      <x:c r="I4633" s="274" t="n">
        <x:v>1.2</x:v>
      </x:c>
      <x:c r="J4633" s="274" t="n">
        <x:v>438</x:v>
      </x:c>
      <x:c r="K4633" s="274" t="n">
        <x:v>1250</x:v>
      </x:c>
      <x:c r="M4633" s="274" t="s">
        <x:v>8314</x:v>
      </x:c>
      <x:c r="N4633" s="274" t="s">
        <x:v>3671</x:v>
      </x:c>
    </x:row>
    <x:row r="4634" spans="1:14">
      <x:c r="A4634" s="274" t="s">
        <x:v>8315</x:v>
      </x:c>
      <x:c r="B4634" s="274" t="n">
        <x:v>5.39</x:v>
      </x:c>
      <x:c r="C4634" s="274" t="n">
        <x:v>0</x:v>
      </x:c>
      <x:c r="D4634" s="274" t="n">
        <x:v>0</x:v>
      </x:c>
      <x:c r="F4634" s="274" t="s">
        <x:v>333</x:v>
      </x:c>
      <x:c r="G4634" s="274" t="s">
        <x:v>124</x:v>
      </x:c>
      <x:c r="I4634" s="274" t="n">
        <x:v>1.2</x:v>
      </x:c>
      <x:c r="J4634" s="274" t="n">
        <x:v>458</x:v>
      </x:c>
      <x:c r="K4634" s="274" t="n">
        <x:v>1250</x:v>
      </x:c>
      <x:c r="M4634" s="274" t="s">
        <x:v>8316</x:v>
      </x:c>
      <x:c r="N4634" s="274" t="s">
        <x:v>3671</x:v>
      </x:c>
    </x:row>
    <x:row r="4635" spans="1:14">
      <x:c r="A4635" s="274" t="s">
        <x:v>8317</x:v>
      </x:c>
      <x:c r="B4635" s="274" t="n">
        <x:v>0.92</x:v>
      </x:c>
      <x:c r="C4635" s="274" t="n">
        <x:v>0</x:v>
      </x:c>
      <x:c r="D4635" s="274" t="n">
        <x:v>0</x:v>
      </x:c>
      <x:c r="F4635" s="274" t="s">
        <x:v>123</x:v>
      </x:c>
      <x:c r="G4635" s="274" t="s">
        <x:v>129</x:v>
      </x:c>
      <x:c r="H4635" s="274" t="n">
        <x:v>45</x:v>
      </x:c>
      <x:c r="I4635" s="274" t="n">
        <x:v>1.2</x:v>
      </x:c>
      <x:c r="J4635" s="274" t="n">
        <x:v>77</x:v>
      </x:c>
      <x:c r="K4635" s="274" t="n">
        <x:v>1250</x:v>
      </x:c>
      <x:c r="M4635" s="274" t="s">
        <x:v>8318</x:v>
      </x:c>
      <x:c r="N4635" s="274" t="s">
        <x:v>3671</x:v>
      </x:c>
    </x:row>
    <x:row r="4636" spans="1:14">
      <x:c r="A4636" s="274" t="s">
        <x:v>8319</x:v>
      </x:c>
      <x:c r="B4636" s="274" t="n">
        <x:v>0.99</x:v>
      </x:c>
      <x:c r="C4636" s="274" t="n">
        <x:v>0</x:v>
      </x:c>
      <x:c r="D4636" s="274" t="n">
        <x:v>0</x:v>
      </x:c>
      <x:c r="F4636" s="274" t="s">
        <x:v>123</x:v>
      </x:c>
      <x:c r="G4636" s="274" t="s">
        <x:v>129</x:v>
      </x:c>
      <x:c r="H4636" s="274" t="n">
        <x:v>45</x:v>
      </x:c>
      <x:c r="I4636" s="274" t="n">
        <x:v>1.2</x:v>
      </x:c>
      <x:c r="J4636" s="274" t="n">
        <x:v>83</x:v>
      </x:c>
      <x:c r="K4636" s="274" t="n">
        <x:v>1250</x:v>
      </x:c>
      <x:c r="M4636" s="274" t="s">
        <x:v>8320</x:v>
      </x:c>
      <x:c r="N4636" s="274" t="s">
        <x:v>3671</x:v>
      </x:c>
    </x:row>
    <x:row r="4637" spans="1:14">
      <x:c r="A4637" s="274" t="s">
        <x:v>8321</x:v>
      </x:c>
      <x:c r="B4637" s="274" t="n">
        <x:v>1.03</x:v>
      </x:c>
      <x:c r="C4637" s="274" t="n">
        <x:v>0</x:v>
      </x:c>
      <x:c r="D4637" s="274" t="n">
        <x:v>0</x:v>
      </x:c>
      <x:c r="F4637" s="274" t="s">
        <x:v>123</x:v>
      </x:c>
      <x:c r="G4637" s="274" t="s">
        <x:v>129</x:v>
      </x:c>
      <x:c r="H4637" s="274" t="n">
        <x:v>45</x:v>
      </x:c>
      <x:c r="I4637" s="274" t="n">
        <x:v>1.2</x:v>
      </x:c>
      <x:c r="J4637" s="274" t="n">
        <x:v>87</x:v>
      </x:c>
      <x:c r="K4637" s="274" t="n">
        <x:v>1250</x:v>
      </x:c>
      <x:c r="M4637" s="274" t="s">
        <x:v>8322</x:v>
      </x:c>
      <x:c r="N4637" s="274" t="s">
        <x:v>3671</x:v>
      </x:c>
    </x:row>
    <x:row r="4638" spans="1:14">
      <x:c r="A4638" s="274" t="s">
        <x:v>8323</x:v>
      </x:c>
      <x:c r="B4638" s="274" t="n">
        <x:v>1.33</x:v>
      </x:c>
      <x:c r="C4638" s="274" t="n">
        <x:v>0</x:v>
      </x:c>
      <x:c r="D4638" s="274" t="n">
        <x:v>0</x:v>
      </x:c>
      <x:c r="F4638" s="274" t="s">
        <x:v>123</x:v>
      </x:c>
      <x:c r="G4638" s="274" t="s">
        <x:v>129</x:v>
      </x:c>
      <x:c r="H4638" s="274" t="n">
        <x:v>45</x:v>
      </x:c>
      <x:c r="I4638" s="274" t="n">
        <x:v>1.2</x:v>
      </x:c>
      <x:c r="J4638" s="274" t="n">
        <x:v>112</x:v>
      </x:c>
      <x:c r="K4638" s="274" t="n">
        <x:v>1250</x:v>
      </x:c>
      <x:c r="M4638" s="274" t="s">
        <x:v>8324</x:v>
      </x:c>
      <x:c r="N4638" s="274" t="s">
        <x:v>3671</x:v>
      </x:c>
    </x:row>
    <x:row r="4639" spans="1:14">
      <x:c r="A4639" s="274" t="s">
        <x:v>8325</x:v>
      </x:c>
      <x:c r="B4639" s="274" t="n">
        <x:v>0.82</x:v>
      </x:c>
      <x:c r="C4639" s="274" t="n">
        <x:v>0</x:v>
      </x:c>
      <x:c r="D4639" s="274" t="n">
        <x:v>0</x:v>
      </x:c>
      <x:c r="F4639" s="274" t="s">
        <x:v>333</x:v>
      </x:c>
      <x:c r="G4639" s="274" t="s">
        <x:v>209</x:v>
      </x:c>
      <x:c r="I4639" s="274" t="n">
        <x:v>1.2</x:v>
      </x:c>
      <x:c r="J4639" s="274" t="n">
        <x:v>70</x:v>
      </x:c>
      <x:c r="K4639" s="274" t="n">
        <x:v>1250</x:v>
      </x:c>
      <x:c r="M4639" s="274" t="s">
        <x:v>8326</x:v>
      </x:c>
      <x:c r="N4639" s="274" t="s">
        <x:v>3671</x:v>
      </x:c>
    </x:row>
    <x:row r="4640" spans="1:14">
      <x:c r="A4640" s="274" t="s">
        <x:v>8327</x:v>
      </x:c>
      <x:c r="B4640" s="274" t="n">
        <x:v>0.97</x:v>
      </x:c>
      <x:c r="C4640" s="274" t="n">
        <x:v>0</x:v>
      </x:c>
      <x:c r="D4640" s="274" t="n">
        <x:v>0</x:v>
      </x:c>
      <x:c r="F4640" s="274" t="s">
        <x:v>333</x:v>
      </x:c>
      <x:c r="G4640" s="274" t="s">
        <x:v>209</x:v>
      </x:c>
      <x:c r="I4640" s="274" t="n">
        <x:v>1.2</x:v>
      </x:c>
      <x:c r="J4640" s="274" t="n">
        <x:v>82</x:v>
      </x:c>
      <x:c r="K4640" s="274" t="n">
        <x:v>1250</x:v>
      </x:c>
      <x:c r="M4640" s="274" t="s">
        <x:v>8328</x:v>
      </x:c>
      <x:c r="N4640" s="274" t="s">
        <x:v>3671</x:v>
      </x:c>
    </x:row>
    <x:row r="4641" spans="1:14">
      <x:c r="A4641" s="274" t="s">
        <x:v>8329</x:v>
      </x:c>
      <x:c r="B4641" s="274" t="n">
        <x:v>1.34</x:v>
      </x:c>
      <x:c r="C4641" s="274" t="n">
        <x:v>0</x:v>
      </x:c>
      <x:c r="D4641" s="274" t="n">
        <x:v>0</x:v>
      </x:c>
      <x:c r="F4641" s="274" t="s">
        <x:v>333</x:v>
      </x:c>
      <x:c r="G4641" s="274" t="s">
        <x:v>209</x:v>
      </x:c>
      <x:c r="I4641" s="274" t="n">
        <x:v>1.2</x:v>
      </x:c>
      <x:c r="J4641" s="274" t="n">
        <x:v>114</x:v>
      </x:c>
      <x:c r="K4641" s="274" t="n">
        <x:v>1250</x:v>
      </x:c>
      <x:c r="M4641" s="274" t="s">
        <x:v>8330</x:v>
      </x:c>
      <x:c r="N4641" s="274" t="s">
        <x:v>3671</x:v>
      </x:c>
    </x:row>
    <x:row r="4642" spans="1:14">
      <x:c r="A4642" s="274" t="s">
        <x:v>8331</x:v>
      </x:c>
      <x:c r="B4642" s="274" t="n">
        <x:v>1.41</x:v>
      </x:c>
      <x:c r="C4642" s="274" t="n">
        <x:v>0</x:v>
      </x:c>
      <x:c r="D4642" s="274" t="n">
        <x:v>0</x:v>
      </x:c>
      <x:c r="F4642" s="274" t="s">
        <x:v>333</x:v>
      </x:c>
      <x:c r="G4642" s="274" t="s">
        <x:v>209</x:v>
      </x:c>
      <x:c r="I4642" s="274" t="n">
        <x:v>1.2</x:v>
      </x:c>
      <x:c r="J4642" s="274" t="n">
        <x:v>120</x:v>
      </x:c>
      <x:c r="K4642" s="274" t="n">
        <x:v>1250</x:v>
      </x:c>
      <x:c r="M4642" s="274" t="s">
        <x:v>5113</x:v>
      </x:c>
      <x:c r="N4642" s="274" t="s">
        <x:v>3671</x:v>
      </x:c>
    </x:row>
    <x:row r="4643" spans="1:14">
      <x:c r="A4643" s="274" t="s">
        <x:v>8332</x:v>
      </x:c>
      <x:c r="B4643" s="274" t="n">
        <x:v>2.12</x:v>
      </x:c>
      <x:c r="C4643" s="274" t="n">
        <x:v>0</x:v>
      </x:c>
      <x:c r="D4643" s="274" t="n">
        <x:v>0</x:v>
      </x:c>
      <x:c r="F4643" s="274" t="s">
        <x:v>333</x:v>
      </x:c>
      <x:c r="G4643" s="274" t="s">
        <x:v>209</x:v>
      </x:c>
      <x:c r="I4643" s="274" t="n">
        <x:v>1.2</x:v>
      </x:c>
      <x:c r="J4643" s="274" t="n">
        <x:v>180</x:v>
      </x:c>
      <x:c r="K4643" s="274" t="n">
        <x:v>1250</x:v>
      </x:c>
      <x:c r="M4643" s="274" t="s">
        <x:v>8333</x:v>
      </x:c>
      <x:c r="N4643" s="274" t="s">
        <x:v>3671</x:v>
      </x:c>
    </x:row>
    <x:row r="4644" spans="1:14">
      <x:c r="A4644" s="274" t="s">
        <x:v>8334</x:v>
      </x:c>
      <x:c r="B4644" s="274" t="n">
        <x:v>2.17</x:v>
      </x:c>
      <x:c r="C4644" s="274" t="n">
        <x:v>0</x:v>
      </x:c>
      <x:c r="D4644" s="274" t="n">
        <x:v>0</x:v>
      </x:c>
      <x:c r="F4644" s="274" t="s">
        <x:v>333</x:v>
      </x:c>
      <x:c r="G4644" s="274" t="s">
        <x:v>209</x:v>
      </x:c>
      <x:c r="I4644" s="274" t="n">
        <x:v>1.2</x:v>
      </x:c>
      <x:c r="J4644" s="274" t="n">
        <x:v>184</x:v>
      </x:c>
      <x:c r="K4644" s="274" t="n">
        <x:v>1250</x:v>
      </x:c>
      <x:c r="M4644" s="274" t="s">
        <x:v>8335</x:v>
      </x:c>
      <x:c r="N4644" s="274" t="s">
        <x:v>3671</x:v>
      </x:c>
    </x:row>
    <x:row r="4645" spans="1:14">
      <x:c r="A4645" s="274" t="s">
        <x:v>8336</x:v>
      </x:c>
      <x:c r="B4645" s="274" t="n">
        <x:v>2.5</x:v>
      </x:c>
      <x:c r="C4645" s="274" t="n">
        <x:v>0</x:v>
      </x:c>
      <x:c r="D4645" s="274" t="n">
        <x:v>0</x:v>
      </x:c>
      <x:c r="F4645" s="274" t="s">
        <x:v>133</x:v>
      </x:c>
      <x:c r="G4645" s="274" t="s">
        <x:v>144</x:v>
      </x:c>
      <x:c r="H4645" s="274" t="n">
        <x:v>45</x:v>
      </x:c>
      <x:c r="I4645" s="274" t="n">
        <x:v>1.2</x:v>
      </x:c>
      <x:c r="J4645" s="274" t="n">
        <x:v>210</x:v>
      </x:c>
      <x:c r="K4645" s="274" t="n">
        <x:v>1250</x:v>
      </x:c>
      <x:c r="M4645" s="274" t="s">
        <x:v>5111</x:v>
      </x:c>
      <x:c r="N4645" s="274" t="s">
        <x:v>3671</x:v>
      </x:c>
    </x:row>
    <x:row r="4646" spans="1:14">
      <x:c r="A4646" s="274" t="s">
        <x:v>8337</x:v>
      </x:c>
      <x:c r="B4646" s="274" t="n">
        <x:v>2.62</x:v>
      </x:c>
      <x:c r="C4646" s="274" t="n">
        <x:v>0</x:v>
      </x:c>
      <x:c r="D4646" s="274" t="n">
        <x:v>0</x:v>
      </x:c>
      <x:c r="F4646" s="274" t="s">
        <x:v>133</x:v>
      </x:c>
      <x:c r="G4646" s="274" t="s">
        <x:v>144</x:v>
      </x:c>
      <x:c r="H4646" s="274" t="n">
        <x:v>45</x:v>
      </x:c>
      <x:c r="I4646" s="274" t="n">
        <x:v>1.2</x:v>
      </x:c>
      <x:c r="J4646" s="274" t="n">
        <x:v>220</x:v>
      </x:c>
      <x:c r="K4646" s="274" t="n">
        <x:v>1250</x:v>
      </x:c>
      <x:c r="M4646" s="274" t="s">
        <x:v>5109</x:v>
      </x:c>
      <x:c r="N4646" s="274" t="s">
        <x:v>3671</x:v>
      </x:c>
    </x:row>
    <x:row r="4647" spans="1:14">
      <x:c r="A4647" s="274" t="s">
        <x:v>8338</x:v>
      </x:c>
      <x:c r="B4647" s="274" t="n">
        <x:v>2.27</x:v>
      </x:c>
      <x:c r="C4647" s="274" t="n">
        <x:v>0</x:v>
      </x:c>
      <x:c r="D4647" s="274" t="n">
        <x:v>0</x:v>
      </x:c>
      <x:c r="F4647" s="274" t="s">
        <x:v>123</x:v>
      </x:c>
      <x:c r="G4647" s="274" t="s">
        <x:v>129</x:v>
      </x:c>
      <x:c r="H4647" s="274" t="n">
        <x:v>45</x:v>
      </x:c>
      <x:c r="I4647" s="274" t="n">
        <x:v>1.6</x:v>
      </x:c>
      <x:c r="J4647" s="274" t="n">
        <x:v>145</x:v>
      </x:c>
      <x:c r="K4647" s="274" t="n">
        <x:v>1240</x:v>
      </x:c>
      <x:c r="M4647" s="274" t="s">
        <x:v>6178</x:v>
      </x:c>
      <x:c r="N4647" s="274" t="s">
        <x:v>3671</x:v>
      </x:c>
    </x:row>
    <x:row r="4648" spans="1:14">
      <x:c r="A4648" s="274" t="s">
        <x:v>8339</x:v>
      </x:c>
      <x:c r="B4648" s="274" t="n">
        <x:v>0.89</x:v>
      </x:c>
      <x:c r="C4648" s="274" t="n">
        <x:v>0</x:v>
      </x:c>
      <x:c r="D4648" s="274" t="n">
        <x:v>0</x:v>
      </x:c>
      <x:c r="F4648" s="274" t="s">
        <x:v>133</x:v>
      </x:c>
      <x:c r="G4648" s="274" t="s">
        <x:v>148</x:v>
      </x:c>
      <x:c r="I4648" s="274" t="n">
        <x:v>2.3</x:v>
      </x:c>
      <x:c r="J4648" s="274" t="n">
        <x:v>227</x:v>
      </x:c>
      <x:c r="K4648" s="274" t="n">
        <x:v>217</x:v>
      </x:c>
      <x:c r="M4648" s="274" t="s">
        <x:v>8001</x:v>
      </x:c>
      <x:c r="N4648" s="274" t="s">
        <x:v>3671</x:v>
      </x:c>
    </x:row>
    <x:row r="4649" spans="1:14">
      <x:c r="A4649" s="274" t="s">
        <x:v>8340</x:v>
      </x:c>
      <x:c r="B4649" s="274" t="n">
        <x:v>1.9</x:v>
      </x:c>
      <x:c r="C4649" s="274" t="n">
        <x:v>0</x:v>
      </x:c>
      <x:c r="D4649" s="274" t="n">
        <x:v>0</x:v>
      </x:c>
      <x:c r="F4649" s="274" t="s">
        <x:v>133</x:v>
      </x:c>
      <x:c r="G4649" s="274" t="s">
        <x:v>148</x:v>
      </x:c>
      <x:c r="I4649" s="274" t="n">
        <x:v>2.3</x:v>
      </x:c>
      <x:c r="J4649" s="274" t="n">
        <x:v>168</x:v>
      </x:c>
      <x:c r="K4649" s="274" t="n">
        <x:v>625</x:v>
      </x:c>
      <x:c r="M4649" s="274" t="s">
        <x:v>4434</x:v>
      </x:c>
      <x:c r="N4649" s="274" t="s">
        <x:v>3671</x:v>
      </x:c>
    </x:row>
    <x:row r="4650" spans="1:14">
      <x:c r="A4650" s="274" t="s">
        <x:v>8341</x:v>
      </x:c>
      <x:c r="B4650" s="274" t="n">
        <x:v>1.51</x:v>
      </x:c>
      <x:c r="C4650" s="274" t="n">
        <x:v>0</x:v>
      </x:c>
      <x:c r="D4650" s="274" t="n">
        <x:v>0</x:v>
      </x:c>
      <x:c r="F4650" s="274" t="s">
        <x:v>128</x:v>
      </x:c>
      <x:c r="G4650" s="274" t="s">
        <x:v>3314</x:v>
      </x:c>
      <x:c r="H4650" s="274" t="n">
        <x:v>45</x:v>
      </x:c>
      <x:c r="I4650" s="274" t="n">
        <x:v>2.3</x:v>
      </x:c>
      <x:c r="J4650" s="274" t="n">
        <x:v>170</x:v>
      </x:c>
      <x:c r="K4650" s="274" t="n">
        <x:v>490</x:v>
      </x:c>
      <x:c r="M4650" s="274" t="s">
        <x:v>8342</x:v>
      </x:c>
      <x:c r="N4650" s="274" t="s">
        <x:v>3671</x:v>
      </x:c>
    </x:row>
    <x:row r="4651" spans="1:14">
      <x:c r="A4651" s="274" t="s">
        <x:v>8343</x:v>
      </x:c>
      <x:c r="B4651" s="274" t="n">
        <x:v>7.6</x:v>
      </x:c>
      <x:c r="C4651" s="274" t="n">
        <x:v>0</x:v>
      </x:c>
      <x:c r="D4651" s="274" t="n">
        <x:v>0</x:v>
      </x:c>
      <x:c r="F4651" s="274" t="s">
        <x:v>123</x:v>
      </x:c>
      <x:c r="G4651" s="274" t="s">
        <x:v>136</x:v>
      </x:c>
      <x:c r="H4651" s="274" t="n">
        <x:v>45</x:v>
      </x:c>
      <x:c r="I4651" s="274" t="n">
        <x:v>2.3</x:v>
      </x:c>
      <x:c r="J4651" s="274" t="n">
        <x:v>335</x:v>
      </x:c>
      <x:c r="K4651" s="274" t="n">
        <x:v>1250</x:v>
      </x:c>
      <x:c r="M4651" s="274" t="s">
        <x:v>8344</x:v>
      </x:c>
      <x:c r="N4651" s="274" t="s">
        <x:v>3671</x:v>
      </x:c>
    </x:row>
    <x:row r="4652" spans="1:14">
      <x:c r="A4652" s="274" t="s">
        <x:v>8345</x:v>
      </x:c>
      <x:c r="B4652" s="274" t="n">
        <x:v>6.78</x:v>
      </x:c>
      <x:c r="C4652" s="274" t="n">
        <x:v>0</x:v>
      </x:c>
      <x:c r="D4652" s="274" t="n">
        <x:v>0</x:v>
      </x:c>
      <x:c r="F4652" s="274" t="s">
        <x:v>133</x:v>
      </x:c>
      <x:c r="G4652" s="274" t="s">
        <x:v>134</x:v>
      </x:c>
      <x:c r="I4652" s="274" t="n">
        <x:v>3.2</x:v>
      </x:c>
      <x:c r="J4652" s="274" t="n">
        <x:v>216</x:v>
      </x:c>
      <x:c r="K4652" s="274" t="n">
        <x:v>1250</x:v>
      </x:c>
      <x:c r="M4652" s="274" t="s">
        <x:v>8109</x:v>
      </x:c>
      <x:c r="N4652" s="274" t="s">
        <x:v>3671</x:v>
      </x:c>
    </x:row>
    <x:row r="4653" spans="1:14">
      <x:c r="A4653" s="274" t="s">
        <x:v>8346</x:v>
      </x:c>
      <x:c r="B4653" s="274" t="n">
        <x:v>0.43</x:v>
      </x:c>
      <x:c r="C4653" s="274" t="n">
        <x:v>0</x:v>
      </x:c>
      <x:c r="D4653" s="274" t="n">
        <x:v>36</x:v>
      </x:c>
      <x:c r="E4653" s="274" t="n">
        <x:v>33</x:v>
      </x:c>
      <x:c r="F4653" s="274" t="s">
        <x:v>133</x:v>
      </x:c>
      <x:c r="G4653" s="274" t="s">
        <x:v>153</x:v>
      </x:c>
      <x:c r="I4653" s="274" t="n">
        <x:v>0.7</x:v>
      </x:c>
      <x:c r="J4653" s="274" t="n">
        <x:v>488</x:v>
      </x:c>
      <x:c r="K4653" s="274" t="n">
        <x:v>162</x:v>
      </x:c>
      <x:c r="M4653" s="274" t="s">
        <x:v>774</x:v>
      </x:c>
      <x:c r="N4653" s="274" t="s">
        <x:v>155</x:v>
      </x:c>
    </x:row>
    <x:row r="4654" spans="1:14">
      <x:c r="A4654" s="274" t="s">
        <x:v>8347</x:v>
      </x:c>
      <x:c r="B4654" s="274" t="n">
        <x:v>3.52</x:v>
      </x:c>
      <x:c r="C4654" s="274" t="n">
        <x:v>0</x:v>
      </x:c>
      <x:c r="D4654" s="274" t="n">
        <x:v>45</x:v>
      </x:c>
      <x:c r="E4654" s="274" t="n">
        <x:v>40</x:v>
      </x:c>
      <x:c r="F4654" s="274" t="s">
        <x:v>133</x:v>
      </x:c>
      <x:c r="G4654" s="274" t="s">
        <x:v>124</x:v>
      </x:c>
      <x:c r="I4654" s="274" t="n">
        <x:v>1</x:v>
      </x:c>
      <x:c r="J4654" s="274" t="n">
        <x:v>700</x:v>
      </x:c>
      <x:c r="K4654" s="274" t="n">
        <x:v>640</x:v>
      </x:c>
      <x:c r="M4654" s="274" t="s">
        <x:v>2863</x:v>
      </x:c>
      <x:c r="N4654" s="274" t="s">
        <x:v>155</x:v>
      </x:c>
    </x:row>
    <x:row r="4655" spans="1:14">
      <x:c r="A4655" s="274" t="s">
        <x:v>8348</x:v>
      </x:c>
      <x:c r="B4655" s="274" t="n">
        <x:v>4.16</x:v>
      </x:c>
      <x:c r="C4655" s="274" t="n">
        <x:v>65</x:v>
      </x:c>
      <x:c r="D4655" s="274" t="n">
        <x:v>45</x:v>
      </x:c>
      <x:c r="E4655" s="274" t="n">
        <x:v>40</x:v>
      </x:c>
      <x:c r="F4655" s="274" t="s">
        <x:v>133</x:v>
      </x:c>
      <x:c r="G4655" s="274" t="s">
        <x:v>124</x:v>
      </x:c>
      <x:c r="I4655" s="274" t="n">
        <x:v>1.4</x:v>
      </x:c>
      <x:c r="J4655" s="274" t="n">
        <x:v>947</x:v>
      </x:c>
      <x:c r="K4655" s="274" t="n">
        <x:v>400</x:v>
      </x:c>
      <x:c r="M4655" s="274" t="s">
        <x:v>1904</x:v>
      </x:c>
      <x:c r="N4655" s="274" t="s">
        <x:v>155</x:v>
      </x:c>
    </x:row>
    <x:row r="4656" spans="1:14">
      <x:c r="A4656" s="274" t="s">
        <x:v>8349</x:v>
      </x:c>
      <x:c r="B4656" s="274" t="n">
        <x:v>4.16</x:v>
      </x:c>
      <x:c r="C4656" s="274" t="n">
        <x:v>65</x:v>
      </x:c>
      <x:c r="D4656" s="274" t="n">
        <x:v>45</x:v>
      </x:c>
      <x:c r="E4656" s="274" t="n">
        <x:v>40</x:v>
      </x:c>
      <x:c r="F4656" s="274" t="s">
        <x:v>133</x:v>
      </x:c>
      <x:c r="G4656" s="274" t="s">
        <x:v>124</x:v>
      </x:c>
      <x:c r="I4656" s="274" t="n">
        <x:v>1.4</x:v>
      </x:c>
      <x:c r="J4656" s="274" t="n">
        <x:v>947</x:v>
      </x:c>
      <x:c r="K4656" s="274" t="n">
        <x:v>400</x:v>
      </x:c>
      <x:c r="M4656" s="274" t="s">
        <x:v>2449</x:v>
      </x:c>
      <x:c r="N4656" s="274" t="s">
        <x:v>155</x:v>
      </x:c>
    </x:row>
    <x:row r="4657" spans="1:14">
      <x:c r="A4657" s="274" t="s">
        <x:v>8350</x:v>
      </x:c>
      <x:c r="B4657" s="274" t="n">
        <x:v>2.38</x:v>
      </x:c>
      <x:c r="C4657" s="274" t="n">
        <x:v>50</x:v>
      </x:c>
      <x:c r="D4657" s="274" t="n">
        <x:v>45</x:v>
      </x:c>
      <x:c r="E4657" s="274" t="n">
        <x:v>0</x:v>
      </x:c>
      <x:c r="F4657" s="274" t="s">
        <x:v>133</x:v>
      </x:c>
      <x:c r="G4657" s="274" t="s">
        <x:v>153</x:v>
      </x:c>
      <x:c r="I4657" s="274" t="n">
        <x:v>0.9</x:v>
      </x:c>
      <x:c r="J4657" s="274" t="n">
        <x:v>990</x:v>
      </x:c>
      <x:c r="K4657" s="274" t="n">
        <x:v>340</x:v>
      </x:c>
      <x:c r="M4657" s="274" t="s">
        <x:v>2870</x:v>
      </x:c>
      <x:c r="N4657" s="274" t="s">
        <x:v>155</x:v>
      </x:c>
    </x:row>
    <x:row r="4658" spans="1:14">
      <x:c r="A4658" s="274" t="s">
        <x:v>8351</x:v>
      </x:c>
      <x:c r="B4658" s="274" t="n">
        <x:v>0.21</x:v>
      </x:c>
      <x:c r="C4658" s="274" t="n">
        <x:v>28</x:v>
      </x:c>
      <x:c r="D4658" s="274" t="n">
        <x:v>36</x:v>
      </x:c>
      <x:c r="E4658" s="274" t="n">
        <x:v>33</x:v>
      </x:c>
      <x:c r="F4658" s="274" t="s">
        <x:v>133</x:v>
      </x:c>
      <x:c r="G4658" s="274" t="s">
        <x:v>153</x:v>
      </x:c>
      <x:c r="I4658" s="274" t="n">
        <x:v>0.7</x:v>
      </x:c>
      <x:c r="J4658" s="274" t="n">
        <x:v>210</x:v>
      </x:c>
      <x:c r="K4658" s="274" t="n">
        <x:v>185</x:v>
      </x:c>
      <x:c r="M4658" s="274" t="s">
        <x:v>624</x:v>
      </x:c>
      <x:c r="N4658" s="274" t="s">
        <x:v>299</x:v>
      </x:c>
    </x:row>
    <x:row r="4659" spans="1:14">
      <x:c r="A4659" s="274" t="s">
        <x:v>8352</x:v>
      </x:c>
      <x:c r="B4659" s="274" t="n">
        <x:v>6.93</x:v>
      </x:c>
      <x:c r="C4659" s="274" t="n">
        <x:v>0</x:v>
      </x:c>
      <x:c r="D4659" s="274" t="n">
        <x:v>25</x:v>
      </x:c>
      <x:c r="E4659" s="274" t="n">
        <x:v>18</x:v>
      </x:c>
      <x:c r="F4659" s="274" t="s">
        <x:v>133</x:v>
      </x:c>
      <x:c r="G4659" s="274" t="s">
        <x:v>153</x:v>
      </x:c>
      <x:c r="I4659" s="274" t="n">
        <x:v>0.7</x:v>
      </x:c>
      <x:c r="J4659" s="274" t="n">
        <x:v>595</x:v>
      </x:c>
      <x:c r="K4659" s="274" t="n">
        <x:v>2122</x:v>
      </x:c>
      <x:c r="M4659" s="274" t="s">
        <x:v>3071</x:v>
      </x:c>
      <x:c r="N4659" s="274" t="s">
        <x:v>299</x:v>
      </x:c>
    </x:row>
    <x:row r="4660" spans="1:14">
      <x:c r="A4660" s="274" t="s">
        <x:v>8353</x:v>
      </x:c>
      <x:c r="B4660" s="274" t="n">
        <x:v>1.57</x:v>
      </x:c>
      <x:c r="C4660" s="274" t="n">
        <x:v>0</x:v>
      </x:c>
      <x:c r="D4660" s="274" t="n">
        <x:v>0</x:v>
      </x:c>
      <x:c r="F4660" s="274" t="s">
        <x:v>3412</x:v>
      </x:c>
      <x:c r="G4660" s="274" t="s">
        <x:v>5449</x:v>
      </x:c>
      <x:c r="I4660" s="274" t="n">
        <x:v>1</x:v>
      </x:c>
      <x:c r="J4660" s="274" t="n">
        <x:v>184</x:v>
      </x:c>
      <x:c r="K4660" s="274" t="n">
        <x:v>1100</x:v>
      </x:c>
      <x:c r="M4660" s="274" t="s">
        <x:v>7291</x:v>
      </x:c>
      <x:c r="N4660" s="274" t="s">
        <x:v>4258</x:v>
      </x:c>
    </x:row>
    <x:row r="4661" spans="1:14">
      <x:c r="A4661" s="274" t="s">
        <x:v>8354</x:v>
      </x:c>
      <x:c r="B4661" s="274" t="n">
        <x:v>2.69</x:v>
      </x:c>
      <x:c r="C4661" s="274" t="n">
        <x:v>0</x:v>
      </x:c>
      <x:c r="D4661" s="274" t="n">
        <x:v>0</x:v>
      </x:c>
      <x:c r="F4661" s="274" t="s">
        <x:v>3412</x:v>
      </x:c>
      <x:c r="G4661" s="274" t="s">
        <x:v>5449</x:v>
      </x:c>
      <x:c r="I4661" s="274" t="n">
        <x:v>2</x:v>
      </x:c>
      <x:c r="J4661" s="274" t="n">
        <x:v>140</x:v>
      </x:c>
      <x:c r="K4661" s="274" t="n">
        <x:v>1240</x:v>
      </x:c>
      <x:c r="M4661" s="274" t="s">
        <x:v>7297</x:v>
      </x:c>
      <x:c r="N4661" s="274" t="s">
        <x:v>4258</x:v>
      </x:c>
    </x:row>
    <x:row r="4662" spans="1:14">
      <x:c r="A4662" s="274" t="s">
        <x:v>8355</x:v>
      </x:c>
      <x:c r="B4662" s="274" t="n">
        <x:v>0.31</x:v>
      </x:c>
      <x:c r="C4662" s="274" t="n">
        <x:v>0</x:v>
      </x:c>
      <x:c r="D4662" s="274" t="n">
        <x:v>0</x:v>
      </x:c>
      <x:c r="F4662" s="274" t="s">
        <x:v>3412</x:v>
      </x:c>
      <x:c r="G4662" s="274" t="s">
        <x:v>5476</x:v>
      </x:c>
      <x:c r="I4662" s="274" t="n">
        <x:v>1</x:v>
      </x:c>
      <x:c r="J4662" s="274" t="n">
        <x:v>160</x:v>
      </x:c>
      <x:c r="K4662" s="274" t="n">
        <x:v>250</x:v>
      </x:c>
      <x:c r="M4662" s="274" t="s">
        <x:v>7285</x:v>
      </x:c>
      <x:c r="N4662" s="274" t="s">
        <x:v>4258</x:v>
      </x:c>
    </x:row>
    <x:row r="4663" spans="1:14">
      <x:c r="A4663" s="274" t="s">
        <x:v>8356</x:v>
      </x:c>
      <x:c r="B4663" s="274" t="n">
        <x:v>0.17</x:v>
      </x:c>
      <x:c r="C4663" s="274" t="n">
        <x:v>0</x:v>
      </x:c>
      <x:c r="D4663" s="274" t="n">
        <x:v>0</x:v>
      </x:c>
      <x:c r="F4663" s="274" t="s">
        <x:v>3412</x:v>
      </x:c>
      <x:c r="G4663" s="274" t="s">
        <x:v>5449</x:v>
      </x:c>
      <x:c r="I4663" s="274" t="n">
        <x:v>0.8</x:v>
      </x:c>
      <x:c r="J4663" s="274" t="n">
        <x:v>220</x:v>
      </x:c>
      <x:c r="K4663" s="274" t="n">
        <x:v>124</x:v>
      </x:c>
      <x:c r="M4663" s="274" t="s">
        <x:v>8357</x:v>
      </x:c>
      <x:c r="N4663" s="274" t="s">
        <x:v>4258</x:v>
      </x:c>
    </x:row>
    <x:row r="4664" spans="1:14">
      <x:c r="A4664" s="274" t="s">
        <x:v>8358</x:v>
      </x:c>
      <x:c r="B4664" s="274" t="n">
        <x:v>8.01</x:v>
      </x:c>
      <x:c r="C4664" s="274" t="n">
        <x:v>0</x:v>
      </x:c>
      <x:c r="D4664" s="274" t="n">
        <x:v>0</x:v>
      </x:c>
      <x:c r="F4664" s="274" t="s">
        <x:v>133</x:v>
      </x:c>
      <x:c r="G4664" s="274" t="s">
        <x:v>1636</x:v>
      </x:c>
      <x:c r="I4664" s="274" t="n">
        <x:v>8</x:v>
      </x:c>
      <x:c r="J4664" s="274" t="n">
        <x:v>1250</x:v>
      </x:c>
      <x:c r="K4664" s="274" t="n">
        <x:v>102</x:v>
      </x:c>
      <x:c r="M4664" s="274" t="s">
        <x:v>8359</x:v>
      </x:c>
      <x:c r="N4664" s="274" t="s">
        <x:v>3671</x:v>
      </x:c>
    </x:row>
    <x:row r="4665" spans="1:14">
      <x:c r="A4665" s="274" t="s">
        <x:v>8360</x:v>
      </x:c>
      <x:c r="B4665" s="274" t="n">
        <x:v>1.22</x:v>
      </x:c>
      <x:c r="C4665" s="274" t="n">
        <x:v>0</x:v>
      </x:c>
      <x:c r="D4665" s="274" t="n">
        <x:v>0</x:v>
      </x:c>
      <x:c r="F4665" s="274" t="s">
        <x:v>133</x:v>
      </x:c>
      <x:c r="G4665" s="274" t="s">
        <x:v>144</x:v>
      </x:c>
      <x:c r="H4665" s="274" t="n">
        <x:v>45</x:v>
      </x:c>
      <x:c r="I4665" s="274" t="n">
        <x:v>2</x:v>
      </x:c>
      <x:c r="J4665" s="274" t="n">
        <x:v>62</x:v>
      </x:c>
      <x:c r="K4665" s="274" t="n">
        <x:v>1250</x:v>
      </x:c>
      <x:c r="M4665" s="274" t="s">
        <x:v>8361</x:v>
      </x:c>
      <x:c r="N4665" s="274" t="s">
        <x:v>4481</x:v>
      </x:c>
    </x:row>
    <x:row r="4666" spans="1:14">
      <x:c r="A4666" s="274" t="s">
        <x:v>8362</x:v>
      </x:c>
      <x:c r="B4666" s="274" t="n">
        <x:v>1.62</x:v>
      </x:c>
      <x:c r="C4666" s="274" t="n">
        <x:v>0</x:v>
      </x:c>
      <x:c r="D4666" s="274" t="n">
        <x:v>0</x:v>
      </x:c>
      <x:c r="F4666" s="274" t="s">
        <x:v>3412</x:v>
      </x:c>
      <x:c r="G4666" s="274" t="s">
        <x:v>5476</x:v>
      </x:c>
      <x:c r="I4666" s="274" t="n">
        <x:v>1</x:v>
      </x:c>
      <x:c r="J4666" s="274" t="n">
        <x:v>533.4</x:v>
      </x:c>
      <x:c r="K4666" s="274" t="n">
        <x:v>392.5</x:v>
      </x:c>
      <x:c r="M4666" s="274" t="s">
        <x:v>8363</x:v>
      </x:c>
      <x:c r="N4666" s="274" t="s">
        <x:v>4258</x:v>
      </x:c>
    </x:row>
    <x:row r="4667" spans="1:14">
      <x:c r="A4667" s="274" t="s">
        <x:v>8364</x:v>
      </x:c>
      <x:c r="B4667" s="274" t="n">
        <x:v>1.15</x:v>
      </x:c>
      <x:c r="C4667" s="274" t="n">
        <x:v>0</x:v>
      </x:c>
      <x:c r="D4667" s="274" t="n">
        <x:v>0</x:v>
      </x:c>
      <x:c r="F4667" s="274" t="s">
        <x:v>128</x:v>
      </x:c>
      <x:c r="G4667" s="274" t="s">
        <x:v>496</x:v>
      </x:c>
      <x:c r="H4667" s="274" t="n">
        <x:v>45</x:v>
      </x:c>
      <x:c r="I4667" s="274" t="n">
        <x:v>2.9</x:v>
      </x:c>
      <x:c r="J4667" s="274" t="n">
        <x:v>323</x:v>
      </x:c>
      <x:c r="K4667" s="274" t="n">
        <x:v>156</x:v>
      </x:c>
      <x:c r="M4667" s="274" t="s">
        <x:v>8365</x:v>
      </x:c>
      <x:c r="N4667" s="274" t="s">
        <x:v>3671</x:v>
      </x:c>
    </x:row>
    <x:row r="4668" spans="1:14">
      <x:c r="A4668" s="274" t="s">
        <x:v>8366</x:v>
      </x:c>
      <x:c r="B4668" s="274" t="n">
        <x:v>1.55</x:v>
      </x:c>
      <x:c r="C4668" s="274" t="n">
        <x:v>0</x:v>
      </x:c>
      <x:c r="D4668" s="274" t="n">
        <x:v>0</x:v>
      </x:c>
      <x:c r="F4668" s="274" t="s">
        <x:v>184</x:v>
      </x:c>
      <x:c r="G4668" s="274" t="s">
        <x:v>144</x:v>
      </x:c>
      <x:c r="H4668" s="274" t="n">
        <x:v>45</x:v>
      </x:c>
      <x:c r="I4668" s="274" t="n">
        <x:v>2.3</x:v>
      </x:c>
      <x:c r="J4668" s="274" t="n">
        <x:v>162</x:v>
      </x:c>
      <x:c r="K4668" s="274" t="n">
        <x:v>527</x:v>
      </x:c>
      <x:c r="M4668" s="274" t="s">
        <x:v>8266</x:v>
      </x:c>
      <x:c r="N4668" s="274" t="s">
        <x:v>3671</x:v>
      </x:c>
    </x:row>
    <x:row r="4669" spans="1:14">
      <x:c r="A4669" s="274" t="s">
        <x:v>8367</x:v>
      </x:c>
      <x:c r="B4669" s="274" t="n">
        <x:v>3.7</x:v>
      </x:c>
      <x:c r="C4669" s="274" t="n">
        <x:v>0</x:v>
      </x:c>
      <x:c r="D4669" s="274" t="n">
        <x:v>0</x:v>
      </x:c>
      <x:c r="F4669" s="274" t="s">
        <x:v>123</x:v>
      </x:c>
      <x:c r="G4669" s="274" t="s">
        <x:v>136</x:v>
      </x:c>
      <x:c r="H4669" s="274" t="n">
        <x:v>45</x:v>
      </x:c>
      <x:c r="I4669" s="274" t="n">
        <x:v>2.3</x:v>
      </x:c>
      <x:c r="J4669" s="274" t="n">
        <x:v>524</x:v>
      </x:c>
      <x:c r="K4669" s="274" t="n">
        <x:v>389</x:v>
      </x:c>
      <x:c r="M4669" s="274" t="s">
        <x:v>8268</x:v>
      </x:c>
      <x:c r="N4669" s="274" t="s">
        <x:v>3671</x:v>
      </x:c>
    </x:row>
    <x:row r="4670" spans="1:14">
      <x:c r="A4670" s="274" t="s">
        <x:v>8368</x:v>
      </x:c>
      <x:c r="B4670" s="274" t="n">
        <x:v>7.1</x:v>
      </x:c>
      <x:c r="C4670" s="274" t="n">
        <x:v>0</x:v>
      </x:c>
      <x:c r="D4670" s="274" t="n">
        <x:v>0</x:v>
      </x:c>
      <x:c r="F4670" s="274" t="s">
        <x:v>333</x:v>
      </x:c>
      <x:c r="G4670" s="274" t="s">
        <x:v>4256</x:v>
      </x:c>
      <x:c r="I4670" s="274" t="n">
        <x:v>1.4</x:v>
      </x:c>
      <x:c r="J4670" s="274" t="n">
        <x:v>517</x:v>
      </x:c>
      <x:c r="K4670" s="274" t="n">
        <x:v>1250</x:v>
      </x:c>
      <x:c r="M4670" s="274" t="s">
        <x:v>8369</x:v>
      </x:c>
      <x:c r="N4670" s="274" t="s">
        <x:v>4258</x:v>
      </x:c>
    </x:row>
    <x:row r="4671" spans="1:14">
      <x:c r="A4671" s="274" t="s">
        <x:v>8370</x:v>
      </x:c>
      <x:c r="B4671" s="274" t="n">
        <x:v>1.35</x:v>
      </x:c>
      <x:c r="C4671" s="274" t="n">
        <x:v>0</x:v>
      </x:c>
      <x:c r="D4671" s="274" t="n">
        <x:v>0</x:v>
      </x:c>
      <x:c r="F4671" s="274" t="s">
        <x:v>123</x:v>
      </x:c>
      <x:c r="G4671" s="274" t="s">
        <x:v>4299</x:v>
      </x:c>
      <x:c r="I4671" s="274" t="n">
        <x:v>1.6</x:v>
      </x:c>
      <x:c r="J4671" s="274" t="n">
        <x:v>86</x:v>
      </x:c>
      <x:c r="K4671" s="274" t="n">
        <x:v>1250</x:v>
      </x:c>
      <x:c r="M4671" s="274" t="s">
        <x:v>5229</x:v>
      </x:c>
      <x:c r="N4671" s="274" t="s">
        <x:v>4258</x:v>
      </x:c>
    </x:row>
    <x:row r="4672" spans="1:14">
      <x:c r="A4672" s="274" t="s">
        <x:v>8371</x:v>
      </x:c>
      <x:c r="B4672" s="274" t="n">
        <x:v>2.09</x:v>
      </x:c>
      <x:c r="C4672" s="274" t="n">
        <x:v>0</x:v>
      </x:c>
      <x:c r="D4672" s="274" t="n">
        <x:v>0</x:v>
      </x:c>
      <x:c r="F4672" s="274" t="s">
        <x:v>123</x:v>
      </x:c>
      <x:c r="G4672" s="274" t="s">
        <x:v>8372</x:v>
      </x:c>
      <x:c r="I4672" s="274" t="n">
        <x:v>2.6</x:v>
      </x:c>
      <x:c r="J4672" s="274" t="n">
        <x:v>82</x:v>
      </x:c>
      <x:c r="K4672" s="274" t="n">
        <x:v>1250</x:v>
      </x:c>
      <x:c r="M4672" s="274" t="s">
        <x:v>4315</x:v>
      </x:c>
      <x:c r="N4672" s="274" t="s">
        <x:v>4258</x:v>
      </x:c>
    </x:row>
    <x:row r="4673" spans="1:14">
      <x:c r="A4673" s="274" t="s">
        <x:v>8373</x:v>
      </x:c>
      <x:c r="B4673" s="274" t="n">
        <x:v>4.95</x:v>
      </x:c>
      <x:c r="C4673" s="274" t="n">
        <x:v>0</x:v>
      </x:c>
      <x:c r="D4673" s="274" t="n">
        <x:v>0</x:v>
      </x:c>
      <x:c r="F4673" s="274" t="s">
        <x:v>133</x:v>
      </x:c>
      <x:c r="G4673" s="274" t="s">
        <x:v>4299</x:v>
      </x:c>
      <x:c r="I4673" s="274" t="n">
        <x:v>2.6</x:v>
      </x:c>
      <x:c r="J4673" s="274" t="n">
        <x:v>194</x:v>
      </x:c>
      <x:c r="K4673" s="274" t="n">
        <x:v>1250</x:v>
      </x:c>
      <x:c r="M4673" s="274" t="s">
        <x:v>8374</x:v>
      </x:c>
      <x:c r="N4673" s="274" t="s">
        <x:v>4258</x:v>
      </x:c>
    </x:row>
    <x:row r="4674" spans="1:14">
      <x:c r="A4674" s="274" t="s">
        <x:v>8375</x:v>
      </x:c>
      <x:c r="B4674" s="274" t="n">
        <x:v>1.82</x:v>
      </x:c>
      <x:c r="C4674" s="274" t="n">
        <x:v>0</x:v>
      </x:c>
      <x:c r="D4674" s="274" t="n">
        <x:v>0</x:v>
      </x:c>
      <x:c r="F4674" s="274" t="s">
        <x:v>133</x:v>
      </x:c>
      <x:c r="G4674" s="274" t="s">
        <x:v>4329</x:v>
      </x:c>
      <x:c r="I4674" s="274" t="n">
        <x:v>1.6</x:v>
      </x:c>
      <x:c r="J4674" s="274" t="n">
        <x:v>116</x:v>
      </x:c>
      <x:c r="K4674" s="274" t="n">
        <x:v>1250</x:v>
      </x:c>
      <x:c r="M4674" s="274" t="s">
        <x:v>7007</x:v>
      </x:c>
      <x:c r="N4674" s="274" t="s">
        <x:v>4258</x:v>
      </x:c>
    </x:row>
    <x:row r="4675" spans="1:14">
      <x:c r="A4675" s="274" t="s">
        <x:v>8376</x:v>
      </x:c>
      <x:c r="B4675" s="274" t="n">
        <x:v>2.89</x:v>
      </x:c>
      <x:c r="C4675" s="274" t="n">
        <x:v>0</x:v>
      </x:c>
      <x:c r="D4675" s="274" t="n">
        <x:v>0</x:v>
      </x:c>
      <x:c r="F4675" s="274" t="s">
        <x:v>133</x:v>
      </x:c>
      <x:c r="G4675" s="274" t="s">
        <x:v>4329</x:v>
      </x:c>
      <x:c r="I4675" s="274" t="n">
        <x:v>2.3</x:v>
      </x:c>
      <x:c r="J4675" s="274" t="n">
        <x:v>128</x:v>
      </x:c>
      <x:c r="K4675" s="274" t="n">
        <x:v>1250</x:v>
      </x:c>
      <x:c r="M4675" s="274" t="s">
        <x:v>8377</x:v>
      </x:c>
      <x:c r="N4675" s="274" t="s">
        <x:v>4258</x:v>
      </x:c>
    </x:row>
    <x:row r="4676" spans="1:14">
      <x:c r="A4676" s="274" t="s">
        <x:v>8378</x:v>
      </x:c>
      <x:c r="B4676" s="274" t="n">
        <x:v>4.33</x:v>
      </x:c>
      <x:c r="C4676" s="274" t="n">
        <x:v>0</x:v>
      </x:c>
      <x:c r="D4676" s="274" t="n">
        <x:v>0</x:v>
      </x:c>
      <x:c r="F4676" s="274" t="s">
        <x:v>133</x:v>
      </x:c>
      <x:c r="G4676" s="274" t="s">
        <x:v>4329</x:v>
      </x:c>
      <x:c r="I4676" s="274" t="n">
        <x:v>3.2</x:v>
      </x:c>
      <x:c r="J4676" s="274" t="n">
        <x:v>138</x:v>
      </x:c>
      <x:c r="K4676" s="274" t="n">
        <x:v>1250</x:v>
      </x:c>
      <x:c r="M4676" s="274" t="s">
        <x:v>8379</x:v>
      </x:c>
      <x:c r="N4676" s="274" t="s">
        <x:v>4258</x:v>
      </x:c>
    </x:row>
    <x:row r="4677" spans="1:14">
      <x:c r="A4677" s="274" t="s">
        <x:v>8380</x:v>
      </x:c>
      <x:c r="B4677" s="274" t="n">
        <x:v>4.87</x:v>
      </x:c>
      <x:c r="C4677" s="274" t="n">
        <x:v>0</x:v>
      </x:c>
      <x:c r="D4677" s="274" t="n">
        <x:v>0</x:v>
      </x:c>
      <x:c r="F4677" s="274" t="s">
        <x:v>133</x:v>
      </x:c>
      <x:c r="G4677" s="274" t="s">
        <x:v>4299</x:v>
      </x:c>
      <x:c r="I4677" s="274" t="n">
        <x:v>4</x:v>
      </x:c>
      <x:c r="J4677" s="274" t="n">
        <x:v>124</x:v>
      </x:c>
      <x:c r="K4677" s="274" t="n">
        <x:v>1250</x:v>
      </x:c>
      <x:c r="M4677" s="274" t="s">
        <x:v>8381</x:v>
      </x:c>
      <x:c r="N4677" s="274" t="s">
        <x:v>4258</x:v>
      </x:c>
    </x:row>
    <x:row r="4678" spans="1:14">
      <x:c r="A4678" s="274" t="s">
        <x:v>8382</x:v>
      </x:c>
      <x:c r="B4678" s="274" t="n">
        <x:v>9.03</x:v>
      </x:c>
      <x:c r="C4678" s="274" t="n">
        <x:v>0</x:v>
      </x:c>
      <x:c r="D4678" s="274" t="n">
        <x:v>0</x:v>
      </x:c>
      <x:c r="F4678" s="274" t="s">
        <x:v>133</x:v>
      </x:c>
      <x:c r="G4678" s="274" t="s">
        <x:v>4299</x:v>
      </x:c>
      <x:c r="I4678" s="274" t="n">
        <x:v>4</x:v>
      </x:c>
      <x:c r="J4678" s="274" t="n">
        <x:v>230</x:v>
      </x:c>
      <x:c r="K4678" s="274" t="n">
        <x:v>1250</x:v>
      </x:c>
      <x:c r="M4678" s="274" t="s">
        <x:v>8383</x:v>
      </x:c>
      <x:c r="N4678" s="274" t="s">
        <x:v>4258</x:v>
      </x:c>
    </x:row>
    <x:row r="4679" spans="1:14">
      <x:c r="A4679" s="274" t="s">
        <x:v>8384</x:v>
      </x:c>
      <x:c r="B4679" s="274" t="n">
        <x:v>0.39</x:v>
      </x:c>
      <x:c r="C4679" s="274" t="n">
        <x:v>28</x:v>
      </x:c>
      <x:c r="D4679" s="274" t="n">
        <x:v>36</x:v>
      </x:c>
      <x:c r="E4679" s="274" t="n">
        <x:v>33</x:v>
      </x:c>
      <x:c r="F4679" s="274" t="s">
        <x:v>333</x:v>
      </x:c>
      <x:c r="G4679" s="274" t="s">
        <x:v>153</x:v>
      </x:c>
      <x:c r="I4679" s="274" t="n">
        <x:v>1.6</x:v>
      </x:c>
      <x:c r="J4679" s="274" t="n">
        <x:v>285</x:v>
      </x:c>
      <x:c r="K4679" s="274" t="n">
        <x:v>110</x:v>
      </x:c>
      <x:c r="M4679" s="274" t="s">
        <x:v>2239</x:v>
      </x:c>
      <x:c r="N4679" s="274" t="s">
        <x:v>4481</x:v>
      </x:c>
    </x:row>
    <x:row r="4680" spans="1:14">
      <x:c r="A4680" s="274" t="s">
        <x:v>8385</x:v>
      </x:c>
      <x:c r="B4680" s="274" t="n">
        <x:v>4.5</x:v>
      </x:c>
      <x:c r="C4680" s="274" t="n">
        <x:v>0</x:v>
      </x:c>
      <x:c r="D4680" s="274" t="n">
        <x:v>45</x:v>
      </x:c>
      <x:c r="E4680" s="274" t="n">
        <x:v>40</x:v>
      </x:c>
      <x:c r="F4680" s="274" t="s">
        <x:v>333</x:v>
      </x:c>
      <x:c r="G4680" s="274" t="s">
        <x:v>334</x:v>
      </x:c>
      <x:c r="I4680" s="274" t="n">
        <x:v>1.4</x:v>
      </x:c>
      <x:c r="J4680" s="274" t="n">
        <x:v>788</x:v>
      </x:c>
      <x:c r="K4680" s="274" t="n">
        <x:v>520</x:v>
      </x:c>
      <x:c r="M4680" s="274" t="s">
        <x:v>335</x:v>
      </x:c>
      <x:c r="N4680" s="274" t="s">
        <x:v>299</x:v>
      </x:c>
    </x:row>
    <x:row r="4681" spans="1:14">
      <x:c r="A4681" s="274" t="s">
        <x:v>8386</x:v>
      </x:c>
      <x:c r="B4681" s="274" t="n">
        <x:v>2.55</x:v>
      </x:c>
      <x:c r="C4681" s="274" t="n">
        <x:v>0</x:v>
      </x:c>
      <x:c r="D4681" s="274" t="n">
        <x:v>33</x:v>
      </x:c>
      <x:c r="E4681" s="274" t="n">
        <x:v>30</x:v>
      </x:c>
      <x:c r="F4681" s="274" t="s">
        <x:v>311</x:v>
      </x:c>
      <x:c r="G4681" s="274" t="s">
        <x:v>828</x:v>
      </x:c>
      <x:c r="H4681" s="274" t="s">
        <x:v>837</x:v>
      </x:c>
      <x:c r="I4681" s="274" t="n">
        <x:v>0.8</x:v>
      </x:c>
      <x:c r="J4681" s="274" t="n">
        <x:v>530</x:v>
      </x:c>
      <x:c r="K4681" s="274" t="n">
        <x:v>765</x:v>
      </x:c>
      <x:c r="M4681" s="274" t="s">
        <x:v>2387</x:v>
      </x:c>
      <x:c r="N4681" s="274" t="s">
        <x:v>831</x:v>
      </x:c>
    </x:row>
    <x:row r="4682" spans="1:14">
      <x:c r="A4682" s="274" t="s">
        <x:v>8387</x:v>
      </x:c>
      <x:c r="B4682" s="274" t="n">
        <x:v>3.16</x:v>
      </x:c>
      <x:c r="C4682" s="274" t="n">
        <x:v>0</x:v>
      </x:c>
      <x:c r="D4682" s="274" t="n">
        <x:v>0</x:v>
      </x:c>
      <x:c r="F4682" s="274" t="s">
        <x:v>3412</x:v>
      </x:c>
      <x:c r="G4682" s="274" t="s">
        <x:v>5370</x:v>
      </x:c>
      <x:c r="H4682" s="274" t="s">
        <x:v>4471</x:v>
      </x:c>
      <x:c r="I4682" s="274" t="n">
        <x:v>2</x:v>
      </x:c>
      <x:c r="J4682" s="274" t="n">
        <x:v>290</x:v>
      </x:c>
      <x:c r="K4682" s="274" t="n">
        <x:v>690</x:v>
      </x:c>
      <x:c r="M4682" s="274" t="s">
        <x:v>8388</x:v>
      </x:c>
      <x:c r="N4682" s="274" t="s">
        <x:v>4258</x:v>
      </x:c>
    </x:row>
    <x:row r="4683" spans="1:14">
      <x:c r="A4683" s="274" t="s">
        <x:v>8389</x:v>
      </x:c>
      <x:c r="B4683" s="274" t="n">
        <x:v>1.51</x:v>
      </x:c>
      <x:c r="C4683" s="274" t="n">
        <x:v>0</x:v>
      </x:c>
      <x:c r="D4683" s="274" t="n">
        <x:v>0</x:v>
      </x:c>
      <x:c r="F4683" s="274" t="s">
        <x:v>123</x:v>
      </x:c>
      <x:c r="G4683" s="274" t="s">
        <x:v>4256</x:v>
      </x:c>
      <x:c r="I4683" s="274" t="n">
        <x:v>1.2</x:v>
      </x:c>
      <x:c r="J4683" s="274" t="n">
        <x:v>276</x:v>
      </x:c>
      <x:c r="K4683" s="274" t="n">
        <x:v>580</x:v>
      </x:c>
      <x:c r="M4683" s="274" t="s">
        <x:v>8390</x:v>
      </x:c>
      <x:c r="N4683" s="274" t="s">
        <x:v>4258</x:v>
      </x:c>
    </x:row>
    <x:row r="4684" spans="1:14">
      <x:c r="A4684" s="274" t="s">
        <x:v>8391</x:v>
      </x:c>
      <x:c r="B4684" s="274" t="n">
        <x:v>2.53</x:v>
      </x:c>
      <x:c r="C4684" s="274" t="n">
        <x:v>0</x:v>
      </x:c>
      <x:c r="D4684" s="274" t="n">
        <x:v>0</x:v>
      </x:c>
      <x:c r="F4684" s="274" t="s">
        <x:v>333</x:v>
      </x:c>
      <x:c r="G4684" s="274" t="s">
        <x:v>334</x:v>
      </x:c>
      <x:c r="I4684" s="274" t="n">
        <x:v>1.4</x:v>
      </x:c>
      <x:c r="J4684" s="274" t="n">
        <x:v>230</x:v>
      </x:c>
      <x:c r="K4684" s="274" t="n">
        <x:v>1000</x:v>
      </x:c>
      <x:c r="M4684" s="274" t="s">
        <x:v>3450</x:v>
      </x:c>
      <x:c r="N4684" s="274" t="s">
        <x:v>299</x:v>
      </x:c>
    </x:row>
    <x:row r="4685" spans="1:14">
      <x:c r="A4685" s="274" t="s">
        <x:v>8392</x:v>
      </x:c>
      <x:c r="B4685" s="274" t="n">
        <x:v>32.12</x:v>
      </x:c>
      <x:c r="C4685" s="274" t="n">
        <x:v>0</x:v>
      </x:c>
      <x:c r="D4685" s="274" t="n">
        <x:v>0</x:v>
      </x:c>
      <x:c r="E4685" s="274" t="n">
        <x:v>0</x:v>
      </x:c>
      <x:c r="F4685" s="274" t="s">
        <x:v>311</x:v>
      </x:c>
      <x:c r="G4685" s="274" t="s">
        <x:v>1728</x:v>
      </x:c>
      <x:c r="H4685" s="274" t="s">
        <x:v>1732</x:v>
      </x:c>
      <x:c r="I4685" s="274" t="n">
        <x:v>0.7</x:v>
      </x:c>
      <x:c r="J4685" s="274" t="n">
        <x:v>1625</x:v>
      </x:c>
      <x:c r="K4685" s="274" t="n">
        <x:v>3540</x:v>
      </x:c>
      <x:c r="M4685" s="274" t="s">
        <x:v>2020</x:v>
      </x:c>
      <x:c r="N4685" s="274" t="s">
        <x:v>299</x:v>
      </x:c>
    </x:row>
    <x:row r="4686" spans="1:14">
      <x:c r="A4686" s="274" t="s">
        <x:v>8393</x:v>
      </x:c>
      <x:c r="B4686" s="274" t="n">
        <x:v>32.12</x:v>
      </x:c>
      <x:c r="C4686" s="274" t="n">
        <x:v>0</x:v>
      </x:c>
      <x:c r="D4686" s="274" t="n">
        <x:v>0</x:v>
      </x:c>
      <x:c r="E4686" s="274" t="n">
        <x:v>0</x:v>
      </x:c>
      <x:c r="F4686" s="274" t="s">
        <x:v>311</x:v>
      </x:c>
      <x:c r="G4686" s="274" t="s">
        <x:v>1728</x:v>
      </x:c>
      <x:c r="H4686" s="274" t="s">
        <x:v>1729</x:v>
      </x:c>
      <x:c r="I4686" s="274" t="n">
        <x:v>0.7</x:v>
      </x:c>
      <x:c r="J4686" s="274" t="n">
        <x:v>1625</x:v>
      </x:c>
      <x:c r="K4686" s="274" t="n">
        <x:v>3540</x:v>
      </x:c>
      <x:c r="M4686" s="274" t="s">
        <x:v>2022</x:v>
      </x:c>
      <x:c r="N4686" s="274" t="s">
        <x:v>299</x:v>
      </x:c>
    </x:row>
    <x:row r="4687" spans="1:14">
      <x:c r="A4687" s="274" t="s">
        <x:v>8394</x:v>
      </x:c>
      <x:c r="B4687" s="274" t="n">
        <x:v>1.55</x:v>
      </x:c>
      <x:c r="C4687" s="274" t="n">
        <x:v>0</x:v>
      </x:c>
      <x:c r="D4687" s="274" t="n">
        <x:v>0</x:v>
      </x:c>
      <x:c r="F4687" s="274" t="s">
        <x:v>311</x:v>
      </x:c>
      <x:c r="G4687" s="274" t="s">
        <x:v>1728</x:v>
      </x:c>
      <x:c r="H4687" s="274" t="s">
        <x:v>1732</x:v>
      </x:c>
      <x:c r="I4687" s="274" t="n">
        <x:v>0.7</x:v>
      </x:c>
      <x:c r="J4687" s="274" t="n">
        <x:v>510</x:v>
      </x:c>
      <x:c r="K4687" s="274" t="n">
        <x:v>545</x:v>
      </x:c>
      <x:c r="M4687" s="274" t="s">
        <x:v>2764</x:v>
      </x:c>
      <x:c r="N4687" s="274" t="s">
        <x:v>299</x:v>
      </x:c>
    </x:row>
    <x:row r="4688" spans="1:14">
      <x:c r="A4688" s="274" t="s">
        <x:v>8395</x:v>
      </x:c>
      <x:c r="B4688" s="274" t="n">
        <x:v>1.55</x:v>
      </x:c>
      <x:c r="C4688" s="274" t="n">
        <x:v>0</x:v>
      </x:c>
      <x:c r="D4688" s="274" t="n">
        <x:v>0</x:v>
      </x:c>
      <x:c r="F4688" s="274" t="s">
        <x:v>311</x:v>
      </x:c>
      <x:c r="G4688" s="274" t="s">
        <x:v>1728</x:v>
      </x:c>
      <x:c r="H4688" s="274" t="s">
        <x:v>1729</x:v>
      </x:c>
      <x:c r="I4688" s="274" t="n">
        <x:v>0.7</x:v>
      </x:c>
      <x:c r="J4688" s="274" t="n">
        <x:v>510</x:v>
      </x:c>
      <x:c r="K4688" s="274" t="n">
        <x:v>545</x:v>
      </x:c>
      <x:c r="M4688" s="274" t="s">
        <x:v>2768</x:v>
      </x:c>
      <x:c r="N4688" s="274" t="s">
        <x:v>299</x:v>
      </x:c>
    </x:row>
    <x:row r="4689" spans="1:14">
      <x:c r="A4689" s="274" t="s">
        <x:v>8396</x:v>
      </x:c>
      <x:c r="B4689" s="274" t="n">
        <x:v>0.32</x:v>
      </x:c>
      <x:c r="C4689" s="274" t="n">
        <x:v>0</x:v>
      </x:c>
      <x:c r="D4689" s="274" t="n">
        <x:v>0</x:v>
      </x:c>
      <x:c r="F4689" s="274" t="s">
        <x:v>184</x:v>
      </x:c>
      <x:c r="G4689" s="274" t="s">
        <x:v>4782</x:v>
      </x:c>
      <x:c r="H4689" s="274" t="s">
        <x:v>4471</x:v>
      </x:c>
      <x:c r="I4689" s="274" t="n">
        <x:v>0.5</x:v>
      </x:c>
      <x:c r="J4689" s="274" t="n">
        <x:v>112</x:v>
      </x:c>
      <x:c r="K4689" s="274" t="n">
        <x:v>710</x:v>
      </x:c>
      <x:c r="M4689" s="274" t="s">
        <x:v>8397</x:v>
      </x:c>
      <x:c r="N4689" s="274" t="s">
        <x:v>4258</x:v>
      </x:c>
    </x:row>
    <x:row r="4690" spans="1:14">
      <x:c r="A4690" s="274" t="s">
        <x:v>8398</x:v>
      </x:c>
      <x:c r="B4690" s="274" t="n">
        <x:v>0.67</x:v>
      </x:c>
      <x:c r="C4690" s="274" t="n">
        <x:v>0</x:v>
      </x:c>
      <x:c r="D4690" s="274" t="n">
        <x:v>0</x:v>
      </x:c>
      <x:c r="F4690" s="274" t="s">
        <x:v>333</x:v>
      </x:c>
      <x:c r="G4690" s="274" t="s">
        <x:v>4663</x:v>
      </x:c>
      <x:c r="I4690" s="274" t="n">
        <x:v>0.65</x:v>
      </x:c>
      <x:c r="J4690" s="274" t="n">
        <x:v>520</x:v>
      </x:c>
      <x:c r="K4690" s="274" t="n">
        <x:v>253</x:v>
      </x:c>
      <x:c r="M4690" s="274" t="s">
        <x:v>5454</x:v>
      </x:c>
      <x:c r="N4690" s="274" t="s">
        <x:v>4258</x:v>
      </x:c>
    </x:row>
    <x:row r="4691" spans="1:14">
      <x:c r="A4691" s="274" t="s">
        <x:v>8399</x:v>
      </x:c>
      <x:c r="B4691" s="274" t="n">
        <x:v>1.36</x:v>
      </x:c>
      <x:c r="C4691" s="274" t="n">
        <x:v>0</x:v>
      </x:c>
      <x:c r="D4691" s="274" t="n">
        <x:v>0</x:v>
      </x:c>
      <x:c r="F4691" s="274" t="s">
        <x:v>184</x:v>
      </x:c>
      <x:c r="G4691" s="274" t="s">
        <x:v>4782</x:v>
      </x:c>
      <x:c r="H4691" s="274" t="s">
        <x:v>4471</x:v>
      </x:c>
      <x:c r="I4691" s="274" t="n">
        <x:v>0.7</x:v>
      </x:c>
      <x:c r="J4691" s="274" t="n">
        <x:v>252</x:v>
      </x:c>
      <x:c r="K4691" s="274" t="n">
        <x:v>968</x:v>
      </x:c>
      <x:c r="M4691" s="274" t="s">
        <x:v>8400</x:v>
      </x:c>
      <x:c r="N4691" s="274" t="s">
        <x:v>4258</x:v>
      </x:c>
    </x:row>
    <x:row r="4692" spans="1:14">
      <x:c r="A4692" s="274" t="s">
        <x:v>8401</x:v>
      </x:c>
      <x:c r="B4692" s="274" t="n">
        <x:v>1.43</x:v>
      </x:c>
      <x:c r="C4692" s="274" t="n">
        <x:v>0</x:v>
      </x:c>
      <x:c r="D4692" s="274" t="n">
        <x:v>0</x:v>
      </x:c>
      <x:c r="F4692" s="274" t="s">
        <x:v>333</x:v>
      </x:c>
      <x:c r="G4692" s="274" t="s">
        <x:v>4663</x:v>
      </x:c>
      <x:c r="I4692" s="274" t="n">
        <x:v>1</x:v>
      </x:c>
      <x:c r="J4692" s="274" t="n">
        <x:v>730</x:v>
      </x:c>
      <x:c r="K4692" s="274" t="n">
        <x:v>250</x:v>
      </x:c>
      <x:c r="M4692" s="274" t="s">
        <x:v>8402</x:v>
      </x:c>
      <x:c r="N4692" s="274" t="s">
        <x:v>4258</x:v>
      </x:c>
    </x:row>
    <x:row r="4693" spans="1:14">
      <x:c r="A4693" s="274" t="s">
        <x:v>8403</x:v>
      </x:c>
      <x:c r="B4693" s="274" t="n">
        <x:v>1.16</x:v>
      </x:c>
      <x:c r="C4693" s="274" t="n">
        <x:v>0</x:v>
      </x:c>
      <x:c r="D4693" s="274" t="n">
        <x:v>0</x:v>
      </x:c>
      <x:c r="F4693" s="274" t="s">
        <x:v>333</x:v>
      </x:c>
      <x:c r="G4693" s="274" t="s">
        <x:v>4663</x:v>
      </x:c>
      <x:c r="I4693" s="274" t="n">
        <x:v>1</x:v>
      </x:c>
      <x:c r="J4693" s="274" t="n">
        <x:v>225</x:v>
      </x:c>
      <x:c r="K4693" s="274" t="n">
        <x:v>658</x:v>
      </x:c>
      <x:c r="M4693" s="274" t="s">
        <x:v>6607</x:v>
      </x:c>
      <x:c r="N4693" s="274" t="s">
        <x:v>4258</x:v>
      </x:c>
    </x:row>
    <x:row r="4694" spans="1:14">
      <x:c r="A4694" s="274" t="s">
        <x:v>8404</x:v>
      </x:c>
      <x:c r="B4694" s="274" t="n">
        <x:v>1.53</x:v>
      </x:c>
      <x:c r="C4694" s="274" t="n">
        <x:v>0</x:v>
      </x:c>
      <x:c r="D4694" s="274" t="n">
        <x:v>0</x:v>
      </x:c>
      <x:c r="F4694" s="274" t="s">
        <x:v>333</x:v>
      </x:c>
      <x:c r="G4694" s="274" t="s">
        <x:v>4663</x:v>
      </x:c>
      <x:c r="I4694" s="274" t="n">
        <x:v>1</x:v>
      </x:c>
      <x:c r="J4694" s="274" t="n">
        <x:v>156</x:v>
      </x:c>
      <x:c r="K4694" s="274" t="n">
        <x:v>1250</x:v>
      </x:c>
      <x:c r="M4694" s="274" t="s">
        <x:v>8405</x:v>
      </x:c>
      <x:c r="N4694" s="274" t="s">
        <x:v>4258</x:v>
      </x:c>
    </x:row>
    <x:row r="4695" spans="1:14">
      <x:c r="A4695" s="274" t="s">
        <x:v>8406</x:v>
      </x:c>
      <x:c r="B4695" s="274" t="n">
        <x:v>0.38</x:v>
      </x:c>
      <x:c r="C4695" s="274" t="n">
        <x:v>0</x:v>
      </x:c>
      <x:c r="D4695" s="274" t="n">
        <x:v>0</x:v>
      </x:c>
      <x:c r="F4695" s="274" t="s">
        <x:v>333</x:v>
      </x:c>
      <x:c r="G4695" s="274" t="s">
        <x:v>4663</x:v>
      </x:c>
      <x:c r="I4695" s="274" t="n">
        <x:v>1.2</x:v>
      </x:c>
      <x:c r="J4695" s="274" t="n">
        <x:v>72</x:v>
      </x:c>
      <x:c r="K4695" s="274" t="n">
        <x:v>558</x:v>
      </x:c>
      <x:c r="M4695" s="274" t="s">
        <x:v>8407</x:v>
      </x:c>
      <x:c r="N4695" s="274" t="s">
        <x:v>4258</x:v>
      </x:c>
    </x:row>
    <x:row r="4696" spans="1:14">
      <x:c r="A4696" s="274" t="s">
        <x:v>8408</x:v>
      </x:c>
      <x:c r="B4696" s="274" t="n">
        <x:v>2.86</x:v>
      </x:c>
      <x:c r="C4696" s="274" t="n">
        <x:v>0</x:v>
      </x:c>
      <x:c r="D4696" s="274" t="n">
        <x:v>0</x:v>
      </x:c>
      <x:c r="F4696" s="274" t="s">
        <x:v>133</x:v>
      </x:c>
      <x:c r="G4696" s="274" t="s">
        <x:v>4329</x:v>
      </x:c>
      <x:c r="I4696" s="274" t="n">
        <x:v>1.6</x:v>
      </x:c>
      <x:c r="J4696" s="274" t="n">
        <x:v>182</x:v>
      </x:c>
      <x:c r="K4696" s="274" t="n">
        <x:v>1250</x:v>
      </x:c>
      <x:c r="M4696" s="274" t="s">
        <x:v>6813</x:v>
      </x:c>
      <x:c r="N4696" s="274" t="s">
        <x:v>4258</x:v>
      </x:c>
    </x:row>
    <x:row r="4697" spans="1:14">
      <x:c r="A4697" s="274" t="s">
        <x:v>8409</x:v>
      </x:c>
      <x:c r="B4697" s="274" t="n">
        <x:v>0.52</x:v>
      </x:c>
      <x:c r="C4697" s="274" t="n">
        <x:v>0</x:v>
      </x:c>
      <x:c r="D4697" s="274" t="n">
        <x:v>0</x:v>
      </x:c>
      <x:c r="F4697" s="274" t="s">
        <x:v>133</x:v>
      </x:c>
      <x:c r="G4697" s="274" t="s">
        <x:v>4329</x:v>
      </x:c>
      <x:c r="I4697" s="274" t="n">
        <x:v>1.6</x:v>
      </x:c>
      <x:c r="J4697" s="274" t="n">
        <x:v>70</x:v>
      </x:c>
      <x:c r="K4697" s="274" t="n">
        <x:v>588</x:v>
      </x:c>
      <x:c r="M4697" s="274" t="s">
        <x:v>6809</x:v>
      </x:c>
      <x:c r="N4697" s="274" t="s">
        <x:v>4258</x:v>
      </x:c>
    </x:row>
    <x:row r="4698" spans="1:14">
      <x:c r="A4698" s="274" t="s">
        <x:v>8410</x:v>
      </x:c>
      <x:c r="B4698" s="274" t="n">
        <x:v>0.35</x:v>
      </x:c>
      <x:c r="C4698" s="274" t="n">
        <x:v>0</x:v>
      </x:c>
      <x:c r="D4698" s="274" t="n">
        <x:v>0</x:v>
      </x:c>
      <x:c r="F4698" s="274" t="s">
        <x:v>133</x:v>
      </x:c>
      <x:c r="G4698" s="274" t="s">
        <x:v>4329</x:v>
      </x:c>
      <x:c r="I4698" s="274" t="n">
        <x:v>1.6</x:v>
      </x:c>
      <x:c r="J4698" s="274" t="n">
        <x:v>175</x:v>
      </x:c>
      <x:c r="K4698" s="274" t="n">
        <x:v>160</x:v>
      </x:c>
      <x:c r="M4698" s="274" t="s">
        <x:v>8411</x:v>
      </x:c>
      <x:c r="N4698" s="274" t="s">
        <x:v>4258</x:v>
      </x:c>
    </x:row>
    <x:row r="4699" spans="1:14">
      <x:c r="A4699" s="274" t="s">
        <x:v>8412</x:v>
      </x:c>
      <x:c r="B4699" s="274" t="n">
        <x:v>0.96</x:v>
      </x:c>
      <x:c r="C4699" s="274" t="n">
        <x:v>0</x:v>
      </x:c>
      <x:c r="D4699" s="274" t="n">
        <x:v>0</x:v>
      </x:c>
      <x:c r="F4699" s="274" t="s">
        <x:v>133</x:v>
      </x:c>
      <x:c r="G4699" s="274" t="s">
        <x:v>136</x:v>
      </x:c>
      <x:c r="H4699" s="274" t="n">
        <x:v>45</x:v>
      </x:c>
      <x:c r="I4699" s="274" t="n">
        <x:v>1.2</x:v>
      </x:c>
      <x:c r="J4699" s="274" t="n">
        <x:v>572</x:v>
      </x:c>
      <x:c r="K4699" s="274" t="n">
        <x:v>177</x:v>
      </x:c>
      <x:c r="M4699" s="274" t="s">
        <x:v>8259</x:v>
      </x:c>
      <x:c r="N4699" s="274" t="s">
        <x:v>3671</x:v>
      </x:c>
    </x:row>
    <x:row r="4700" spans="1:14">
      <x:c r="A4700" s="274" t="s">
        <x:v>8413</x:v>
      </x:c>
      <x:c r="B4700" s="274" t="n">
        <x:v>2.82</x:v>
      </x:c>
      <x:c r="C4700" s="274" t="n">
        <x:v>0</x:v>
      </x:c>
      <x:c r="D4700" s="274" t="n">
        <x:v>0</x:v>
      </x:c>
      <x:c r="F4700" s="274" t="s">
        <x:v>128</x:v>
      </x:c>
      <x:c r="G4700" s="274" t="s">
        <x:v>177</x:v>
      </x:c>
      <x:c r="H4700" s="274" t="n">
        <x:v>45</x:v>
      </x:c>
      <x:c r="I4700" s="274" t="n">
        <x:v>2</x:v>
      </x:c>
      <x:c r="J4700" s="274" t="n">
        <x:v>435</x:v>
      </x:c>
      <x:c r="K4700" s="274" t="n">
        <x:v>410</x:v>
      </x:c>
      <x:c r="M4700" s="274" t="s">
        <x:v>4395</x:v>
      </x:c>
      <x:c r="N4700" s="274" t="s">
        <x:v>3671</x:v>
      </x:c>
    </x:row>
    <x:row r="4701" spans="1:14">
      <x:c r="A4701" s="274" t="s">
        <x:v>8414</x:v>
      </x:c>
      <x:c r="B4701" s="274" t="n">
        <x:v>1.34</x:v>
      </x:c>
      <x:c r="C4701" s="274" t="n">
        <x:v>0</x:v>
      </x:c>
      <x:c r="D4701" s="274" t="n">
        <x:v>0</x:v>
      </x:c>
      <x:c r="F4701" s="274" t="s">
        <x:v>128</x:v>
      </x:c>
      <x:c r="G4701" s="274" t="s">
        <x:v>177</x:v>
      </x:c>
      <x:c r="H4701" s="274" t="n">
        <x:v>45</x:v>
      </x:c>
      <x:c r="I4701" s="274" t="n">
        <x:v>2.6</x:v>
      </x:c>
      <x:c r="J4701" s="274" t="n">
        <x:v>160</x:v>
      </x:c>
      <x:c r="K4701" s="274" t="n">
        <x:v>410</x:v>
      </x:c>
      <x:c r="M4701" s="274" t="s">
        <x:v>6067</x:v>
      </x:c>
      <x:c r="N4701" s="274" t="s">
        <x:v>3671</x:v>
      </x:c>
    </x:row>
    <x:row r="4702" spans="1:14">
      <x:c r="A4702" s="274" t="s">
        <x:v>8415</x:v>
      </x:c>
      <x:c r="B4702" s="274" t="n">
        <x:v>1.85</x:v>
      </x:c>
      <x:c r="C4702" s="274" t="n">
        <x:v>0</x:v>
      </x:c>
      <x:c r="D4702" s="274" t="n">
        <x:v>0</x:v>
      </x:c>
      <x:c r="F4702" s="274" t="s">
        <x:v>128</x:v>
      </x:c>
      <x:c r="G4702" s="274" t="s">
        <x:v>177</x:v>
      </x:c>
      <x:c r="H4702" s="274" t="n">
        <x:v>45</x:v>
      </x:c>
      <x:c r="I4702" s="274" t="n">
        <x:v>2.6</x:v>
      </x:c>
      <x:c r="J4702" s="274" t="n">
        <x:v>200</x:v>
      </x:c>
      <x:c r="K4702" s="274" t="n">
        <x:v>450</x:v>
      </x:c>
      <x:c r="M4702" s="274" t="s">
        <x:v>6069</x:v>
      </x:c>
      <x:c r="N4702" s="274" t="s">
        <x:v>3671</x:v>
      </x:c>
    </x:row>
    <x:row r="4703" spans="1:14">
      <x:c r="A4703" s="274" t="s">
        <x:v>8416</x:v>
      </x:c>
      <x:c r="B4703" s="274" t="n">
        <x:v>2.38</x:v>
      </x:c>
      <x:c r="C4703" s="274" t="n">
        <x:v>0</x:v>
      </x:c>
      <x:c r="D4703" s="274" t="n">
        <x:v>0</x:v>
      </x:c>
      <x:c r="F4703" s="274" t="s">
        <x:v>133</x:v>
      </x:c>
      <x:c r="G4703" s="274" t="s">
        <x:v>148</x:v>
      </x:c>
      <x:c r="I4703" s="274" t="n">
        <x:v>3.8</x:v>
      </x:c>
      <x:c r="J4703" s="274" t="n">
        <x:v>195</x:v>
      </x:c>
      <x:c r="K4703" s="274" t="n">
        <x:v>410</x:v>
      </x:c>
      <x:c r="M4703" s="274" t="s">
        <x:v>4418</x:v>
      </x:c>
      <x:c r="N4703" s="274" t="s">
        <x:v>3671</x:v>
      </x:c>
    </x:row>
    <x:row r="4704" spans="1:14">
      <x:c r="A4704" s="274" t="s">
        <x:v>8417</x:v>
      </x:c>
      <x:c r="B4704" s="274" t="n">
        <x:v>7.56</x:v>
      </x:c>
      <x:c r="C4704" s="274" t="n">
        <x:v>0</x:v>
      </x:c>
      <x:c r="D4704" s="274" t="n">
        <x:v>25</x:v>
      </x:c>
      <x:c r="F4704" s="274" t="s">
        <x:v>133</x:v>
      </x:c>
      <x:c r="G4704" s="274" t="s">
        <x:v>136</x:v>
      </x:c>
      <x:c r="H4704" s="274" t="n">
        <x:v>45</x:v>
      </x:c>
      <x:c r="I4704" s="274" t="n">
        <x:v>1.4</x:v>
      </x:c>
      <x:c r="J4704" s="274" t="n">
        <x:v>725</x:v>
      </x:c>
      <x:c r="K4704" s="274" t="n">
        <x:v>1267</x:v>
      </x:c>
      <x:c r="L4704" s="274" t="n">
        <x:v>616</x:v>
      </x:c>
      <x:c r="M4704" s="274" t="s">
        <x:v>8418</x:v>
      </x:c>
      <x:c r="N4704" s="274" t="s">
        <x:v>3671</x:v>
      </x:c>
    </x:row>
    <x:row r="4705" spans="1:14">
      <x:c r="A4705" s="274" t="s">
        <x:v>8419</x:v>
      </x:c>
      <x:c r="B4705" s="274" t="n">
        <x:v>1.22</x:v>
      </x:c>
      <x:c r="C4705" s="274" t="n">
        <x:v>0</x:v>
      </x:c>
      <x:c r="D4705" s="274" t="n">
        <x:v>0</x:v>
      </x:c>
      <x:c r="F4705" s="274" t="s">
        <x:v>333</x:v>
      </x:c>
      <x:c r="G4705" s="274" t="s">
        <x:v>5164</x:v>
      </x:c>
      <x:c r="I4705" s="274" t="n">
        <x:v>0.65</x:v>
      </x:c>
      <x:c r="J4705" s="274" t="n">
        <x:v>410</x:v>
      </x:c>
      <x:c r="K4705" s="274" t="n">
        <x:v>585</x:v>
      </x:c>
      <x:c r="M4705" s="274" t="s">
        <x:v>5165</x:v>
      </x:c>
      <x:c r="N4705" s="274" t="s">
        <x:v>4258</x:v>
      </x:c>
    </x:row>
    <x:row r="4706" spans="1:14">
      <x:c r="A4706" s="274" t="s">
        <x:v>8420</x:v>
      </x:c>
      <x:c r="B4706" s="274" t="n">
        <x:v>2.06</x:v>
      </x:c>
      <x:c r="C4706" s="274" t="n">
        <x:v>0</x:v>
      </x:c>
      <x:c r="D4706" s="274" t="n">
        <x:v>0</x:v>
      </x:c>
      <x:c r="F4706" s="274" t="s">
        <x:v>333</x:v>
      </x:c>
      <x:c r="G4706" s="274" t="s">
        <x:v>4663</x:v>
      </x:c>
      <x:c r="I4706" s="274" t="n">
        <x:v>2.3</x:v>
      </x:c>
      <x:c r="J4706" s="274" t="n">
        <x:v>91</x:v>
      </x:c>
      <x:c r="K4706" s="274" t="n">
        <x:v>1250</x:v>
      </x:c>
      <x:c r="M4706" s="274" t="s">
        <x:v>5523</x:v>
      </x:c>
      <x:c r="N4706" s="274" t="s">
        <x:v>4258</x:v>
      </x:c>
    </x:row>
    <x:row r="4707" spans="1:14">
      <x:c r="A4707" s="274" t="s">
        <x:v>8421</x:v>
      </x:c>
      <x:c r="B4707" s="274" t="n">
        <x:v>0.99</x:v>
      </x:c>
      <x:c r="C4707" s="274" t="n">
        <x:v>0</x:v>
      </x:c>
      <x:c r="D4707" s="274" t="n">
        <x:v>0</x:v>
      </x:c>
      <x:c r="F4707" s="274" t="s">
        <x:v>123</x:v>
      </x:c>
      <x:c r="G4707" s="274" t="s">
        <x:v>209</x:v>
      </x:c>
      <x:c r="I4707" s="274" t="n">
        <x:v>2.3</x:v>
      </x:c>
      <x:c r="J4707" s="274" t="n">
        <x:v>236</x:v>
      </x:c>
      <x:c r="K4707" s="274" t="n">
        <x:v>233</x:v>
      </x:c>
      <x:c r="M4707" s="274" t="s">
        <x:v>8422</x:v>
      </x:c>
      <x:c r="N4707" s="274" t="s">
        <x:v>3671</x:v>
      </x:c>
    </x:row>
    <x:row r="4708" spans="1:14">
      <x:c r="A4708" s="274" t="s">
        <x:v>8423</x:v>
      </x:c>
      <x:c r="B4708" s="274" t="n">
        <x:v>4.38</x:v>
      </x:c>
      <x:c r="C4708" s="274" t="n">
        <x:v>0</x:v>
      </x:c>
      <x:c r="D4708" s="274" t="n">
        <x:v>0</x:v>
      </x:c>
      <x:c r="F4708" s="274" t="s">
        <x:v>133</x:v>
      </x:c>
      <x:c r="G4708" s="274" t="s">
        <x:v>148</x:v>
      </x:c>
      <x:c r="I4708" s="274" t="n">
        <x:v>4</x:v>
      </x:c>
      <x:c r="J4708" s="274" t="n">
        <x:v>249</x:v>
      </x:c>
      <x:c r="K4708" s="274" t="n">
        <x:v>560</x:v>
      </x:c>
      <x:c r="M4708" s="274" t="s">
        <x:v>4430</x:v>
      </x:c>
      <x:c r="N4708" s="274" t="s">
        <x:v>3671</x:v>
      </x:c>
    </x:row>
    <x:row r="4709" spans="1:14">
      <x:c r="A4709" s="274" t="s">
        <x:v>8424</x:v>
      </x:c>
      <x:c r="B4709" s="274" t="n">
        <x:v>3.05</x:v>
      </x:c>
      <x:c r="C4709" s="274" t="n">
        <x:v>0</x:v>
      </x:c>
      <x:c r="D4709" s="274" t="n">
        <x:v>0</x:v>
      </x:c>
      <x:c r="F4709" s="274" t="s">
        <x:v>133</x:v>
      </x:c>
      <x:c r="G4709" s="274" t="s">
        <x:v>148</x:v>
      </x:c>
      <x:c r="I4709" s="274" t="n">
        <x:v>4</x:v>
      </x:c>
      <x:c r="J4709" s="274" t="n">
        <x:v>154</x:v>
      </x:c>
      <x:c r="K4709" s="274" t="n">
        <x:v>630</x:v>
      </x:c>
      <x:c r="M4709" s="274" t="s">
        <x:v>4432</x:v>
      </x:c>
      <x:c r="N4709" s="274" t="s">
        <x:v>3671</x:v>
      </x:c>
    </x:row>
    <x:row r="4710" spans="1:14">
      <x:c r="A4710" s="274" t="s">
        <x:v>8425</x:v>
      </x:c>
      <x:c r="B4710" s="274" t="n">
        <x:v>3.09</x:v>
      </x:c>
      <x:c r="C4710" s="274" t="n">
        <x:v>0</x:v>
      </x:c>
      <x:c r="D4710" s="274" t="n">
        <x:v>0</x:v>
      </x:c>
      <x:c r="F4710" s="274" t="s">
        <x:v>128</x:v>
      </x:c>
      <x:c r="G4710" s="274" t="s">
        <x:v>3314</x:v>
      </x:c>
      <x:c r="H4710" s="274" t="n">
        <x:v>45</x:v>
      </x:c>
      <x:c r="I4710" s="274" t="n">
        <x:v>3.6</x:v>
      </x:c>
      <x:c r="J4710" s="274" t="n">
        <x:v>90</x:v>
      </x:c>
      <x:c r="K4710" s="274" t="n">
        <x:v>1210</x:v>
      </x:c>
      <x:c r="M4710" s="274" t="s">
        <x:v>8426</x:v>
      </x:c>
      <x:c r="N4710" s="274" t="s">
        <x:v>3671</x:v>
      </x:c>
    </x:row>
    <x:row r="4711" spans="1:14">
      <x:c r="A4711" s="274" t="s">
        <x:v>8427</x:v>
      </x:c>
      <x:c r="B4711" s="274" t="n">
        <x:v>2.52</x:v>
      </x:c>
      <x:c r="C4711" s="274" t="n">
        <x:v>0</x:v>
      </x:c>
      <x:c r="D4711" s="274" t="n">
        <x:v>35</x:v>
      </x:c>
      <x:c r="E4711" s="274" t="n">
        <x:v>30</x:v>
      </x:c>
      <x:c r="F4711" s="274" t="s">
        <x:v>3412</x:v>
      </x:c>
      <x:c r="G4711" s="274" t="s">
        <x:v>6622</x:v>
      </x:c>
      <x:c r="H4711" s="274" t="s">
        <x:v>837</x:v>
      </x:c>
      <x:c r="I4711" s="274" t="n">
        <x:v>0.8</x:v>
      </x:c>
      <x:c r="J4711" s="274" t="n">
        <x:v>510</x:v>
      </x:c>
      <x:c r="K4711" s="274" t="n">
        <x:v>785</x:v>
      </x:c>
      <x:c r="M4711" s="274" t="s">
        <x:v>3782</x:v>
      </x:c>
      <x:c r="N4711" s="274" t="s">
        <x:v>831</x:v>
      </x:c>
    </x:row>
    <x:row r="4712" spans="1:14">
      <x:c r="A4712" s="274" t="s">
        <x:v>8428</x:v>
      </x:c>
      <x:c r="B4712" s="274" t="n">
        <x:v>2.52</x:v>
      </x:c>
      <x:c r="C4712" s="274" t="n">
        <x:v>0</x:v>
      </x:c>
      <x:c r="D4712" s="274" t="n">
        <x:v>35</x:v>
      </x:c>
      <x:c r="E4712" s="274" t="n">
        <x:v>30</x:v>
      </x:c>
      <x:c r="F4712" s="274" t="s">
        <x:v>3412</x:v>
      </x:c>
      <x:c r="G4712" s="274" t="s">
        <x:v>6622</x:v>
      </x:c>
      <x:c r="H4712" s="274" t="s">
        <x:v>837</x:v>
      </x:c>
      <x:c r="I4712" s="274" t="n">
        <x:v>0.8</x:v>
      </x:c>
      <x:c r="J4712" s="274" t="n">
        <x:v>510</x:v>
      </x:c>
      <x:c r="K4712" s="274" t="n">
        <x:v>785</x:v>
      </x:c>
      <x:c r="M4712" s="274" t="s">
        <x:v>3782</x:v>
      </x:c>
      <x:c r="N4712" s="274" t="s">
        <x:v>831</x:v>
      </x:c>
    </x:row>
    <x:row r="4713" spans="1:14">
      <x:c r="A4713" s="274" t="s">
        <x:v>8429</x:v>
      </x:c>
      <x:c r="B4713" s="274" t="n">
        <x:v>14.07</x:v>
      </x:c>
      <x:c r="C4713" s="274" t="n">
        <x:v>0</x:v>
      </x:c>
      <x:c r="D4713" s="274" t="n">
        <x:v>0</x:v>
      </x:c>
      <x:c r="E4713" s="274" t="n">
        <x:v>0</x:v>
      </x:c>
      <x:c r="F4713" s="274" t="s">
        <x:v>184</x:v>
      </x:c>
      <x:c r="G4713" s="274" t="s">
        <x:v>1718</x:v>
      </x:c>
      <x:c r="H4713" s="274" t="s">
        <x:v>285</x:v>
      </x:c>
      <x:c r="I4713" s="274" t="n">
        <x:v>0.65</x:v>
      </x:c>
      <x:c r="J4713" s="274" t="n">
        <x:v>1315</x:v>
      </x:c>
      <x:c r="K4713" s="274" t="n">
        <x:v>2462.3</x:v>
      </x:c>
      <x:c r="L4713" s="274" t="n">
        <x:v>1658</x:v>
      </x:c>
      <x:c r="M4713" s="274" t="s">
        <x:v>1974</x:v>
      </x:c>
      <x:c r="N4713" s="274" t="s">
        <x:v>202</x:v>
      </x:c>
    </x:row>
    <x:row r="4714" spans="1:14">
      <x:c r="A4714" s="274" t="s">
        <x:v>8430</x:v>
      </x:c>
      <x:c r="B4714" s="274" t="n">
        <x:v>7.46</x:v>
      </x:c>
      <x:c r="C4714" s="274" t="n">
        <x:v>38</x:v>
      </x:c>
      <x:c r="D4714" s="274" t="n">
        <x:v>38</x:v>
      </x:c>
      <x:c r="F4714" s="274" t="s">
        <x:v>1964</x:v>
      </x:c>
      <x:c r="G4714" s="274" t="s">
        <x:v>136</x:v>
      </x:c>
      <x:c r="H4714" s="274" t="n">
        <x:v>45</x:v>
      </x:c>
      <x:c r="I4714" s="274" t="n">
        <x:v>0.6</x:v>
      </x:c>
      <x:c r="J4714" s="274" t="n">
        <x:v>1610</x:v>
      </x:c>
      <x:c r="K4714" s="274" t="n">
        <x:v>966</x:v>
      </x:c>
      <x:c r="M4714" s="274" t="s">
        <x:v>5201</x:v>
      </x:c>
      <x:c r="N4714" s="274" t="s">
        <x:v>126</x:v>
      </x:c>
    </x:row>
    <x:row r="4715" spans="1:14">
      <x:c r="A4715" s="274" t="s">
        <x:v>8431</x:v>
      </x:c>
      <x:c r="B4715" s="274" t="n">
        <x:v>0.51</x:v>
      </x:c>
      <x:c r="C4715" s="274" t="n">
        <x:v>27</x:v>
      </x:c>
      <x:c r="D4715" s="274" t="n">
        <x:v>36</x:v>
      </x:c>
      <x:c r="E4715" s="274" t="n">
        <x:v>33</x:v>
      </x:c>
      <x:c r="F4715" s="274" t="s">
        <x:v>133</x:v>
      </x:c>
      <x:c r="G4715" s="274" t="s">
        <x:v>136</x:v>
      </x:c>
      <x:c r="H4715" s="274" t="n">
        <x:v>45</x:v>
      </x:c>
      <x:c r="I4715" s="274" t="n">
        <x:v>0.6</x:v>
      </x:c>
      <x:c r="J4715" s="274" t="n">
        <x:v>352</x:v>
      </x:c>
      <x:c r="K4715" s="274" t="n">
        <x:v>302</x:v>
      </x:c>
      <x:c r="M4715" s="274" t="s">
        <x:v>3759</x:v>
      </x:c>
      <x:c r="N4715" s="274" t="s">
        <x:v>4481</x:v>
      </x:c>
    </x:row>
    <x:row r="4716" spans="1:14">
      <x:c r="A4716" s="274" t="s">
        <x:v>8432</x:v>
      </x:c>
      <x:c r="B4716" s="274" t="n">
        <x:v>5.78</x:v>
      </x:c>
      <x:c r="C4716" s="274" t="n">
        <x:v>35</x:v>
      </x:c>
      <x:c r="D4716" s="274" t="n">
        <x:v>36</x:v>
      </x:c>
      <x:c r="F4716" s="274" t="s">
        <x:v>123</x:v>
      </x:c>
      <x:c r="G4716" s="274" t="s">
        <x:v>153</x:v>
      </x:c>
      <x:c r="I4716" s="274" t="n">
        <x:v>0.8</x:v>
      </x:c>
      <x:c r="J4716" s="274" t="n">
        <x:v>1150</x:v>
      </x:c>
      <x:c r="K4716" s="274" t="n">
        <x:v>800</x:v>
      </x:c>
    </x:row>
    <x:row r="4717" spans="1:14">
      <x:c r="A4717" s="274" t="s">
        <x:v>8433</x:v>
      </x:c>
      <x:c r="B4717" s="274" t="n">
        <x:v>10.58</x:v>
      </x:c>
      <x:c r="C4717" s="274" t="n">
        <x:v>28</x:v>
      </x:c>
      <x:c r="D4717" s="274" t="n">
        <x:v>28</x:v>
      </x:c>
      <x:c r="E4717" s="274" t="n">
        <x:v>0</x:v>
      </x:c>
      <x:c r="F4717" s="274" t="s">
        <x:v>133</x:v>
      </x:c>
      <x:c r="G4717" s="274" t="s">
        <x:v>4244</x:v>
      </x:c>
      <x:c r="I4717" s="274" t="n">
        <x:v>0.8</x:v>
      </x:c>
      <x:c r="J4717" s="274" t="n">
        <x:v>1170</x:v>
      </x:c>
      <x:c r="K4717" s="274" t="n">
        <x:v>1560</x:v>
      </x:c>
      <x:c r="L4717" s="274" t="n">
        <x:v>1320</x:v>
      </x:c>
      <x:c r="M4717" s="274" t="s">
        <x:v>8434</x:v>
      </x:c>
      <x:c r="N4717" s="274" t="s">
        <x:v>3302</x:v>
      </x:c>
    </x:row>
    <x:row r="4718" spans="1:14">
      <x:c r="A4718" s="274" t="s">
        <x:v>8435</x:v>
      </x:c>
      <x:c r="B4718" s="274" t="n">
        <x:v>0.53</x:v>
      </x:c>
      <x:c r="C4718" s="274" t="n">
        <x:v>0</x:v>
      </x:c>
      <x:c r="D4718" s="274" t="n">
        <x:v>0</x:v>
      </x:c>
      <x:c r="F4718" s="274" t="s">
        <x:v>333</x:v>
      </x:c>
      <x:c r="G4718" s="274" t="s">
        <x:v>2157</x:v>
      </x:c>
      <x:c r="I4718" s="274" t="n">
        <x:v>0.6</x:v>
      </x:c>
      <x:c r="J4718" s="274" t="n">
        <x:v>1090</x:v>
      </x:c>
      <x:c r="K4718" s="274" t="n">
        <x:v>104</x:v>
      </x:c>
      <x:c r="M4718" s="274" t="s">
        <x:v>3626</x:v>
      </x:c>
      <x:c r="N4718" s="274" t="s">
        <x:v>3586</x:v>
      </x:c>
    </x:row>
    <x:row r="4719" spans="1:14">
      <x:c r="A4719" s="274" t="s">
        <x:v>8436</x:v>
      </x:c>
      <x:c r="B4719" s="274" t="n">
        <x:v>1.78</x:v>
      </x:c>
      <x:c r="C4719" s="274" t="n">
        <x:v>0</x:v>
      </x:c>
      <x:c r="D4719" s="274" t="n">
        <x:v>45</x:v>
      </x:c>
      <x:c r="E4719" s="274" t="n">
        <x:v>40</x:v>
      </x:c>
      <x:c r="F4719" s="274" t="s">
        <x:v>333</x:v>
      </x:c>
      <x:c r="G4719" s="274" t="s">
        <x:v>2468</x:v>
      </x:c>
      <x:c r="I4719" s="274" t="n">
        <x:v>0.7</x:v>
      </x:c>
      <x:c r="J4719" s="274" t="n">
        <x:v>980</x:v>
      </x:c>
      <x:c r="K4719" s="274" t="n">
        <x:v>330</x:v>
      </x:c>
      <x:c r="M4719" s="274" t="s">
        <x:v>7456</x:v>
      </x:c>
      <x:c r="N4719" s="274" t="s">
        <x:v>7439</x:v>
      </x:c>
    </x:row>
    <x:row r="4720" spans="1:14">
      <x:c r="A4720" s="274" t="s">
        <x:v>8437</x:v>
      </x:c>
      <x:c r="B4720" s="274" t="n">
        <x:v>1.53</x:v>
      </x:c>
      <x:c r="C4720" s="274" t="n">
        <x:v>0</x:v>
      </x:c>
      <x:c r="D4720" s="274" t="n">
        <x:v>0</x:v>
      </x:c>
      <x:c r="F4720" s="274" t="s">
        <x:v>3412</x:v>
      </x:c>
      <x:c r="G4720" s="274" t="s">
        <x:v>6312</x:v>
      </x:c>
      <x:c r="I4720" s="274" t="n">
        <x:v>1.2</x:v>
      </x:c>
      <x:c r="J4720" s="274" t="n">
        <x:v>349.5</x:v>
      </x:c>
      <x:c r="K4720" s="274" t="n">
        <x:v>470.1</x:v>
      </x:c>
      <x:c r="M4720" s="274" t="s">
        <x:v>7755</x:v>
      </x:c>
      <x:c r="N4720" s="274" t="s">
        <x:v>3671</x:v>
      </x:c>
    </x:row>
    <x:row r="4721" spans="1:14">
      <x:c r="A4721" s="274" t="s">
        <x:v>8438</x:v>
      </x:c>
      <x:c r="B4721" s="274" t="n">
        <x:v>3.34</x:v>
      </x:c>
      <x:c r="C4721" s="274" t="n">
        <x:v>0</x:v>
      </x:c>
      <x:c r="D4721" s="274" t="n">
        <x:v>0</x:v>
      </x:c>
      <x:c r="F4721" s="274" t="s">
        <x:v>3412</x:v>
      </x:c>
      <x:c r="G4721" s="274" t="s">
        <x:v>6312</x:v>
      </x:c>
      <x:c r="I4721" s="274" t="n">
        <x:v>1.2</x:v>
      </x:c>
      <x:c r="J4721" s="274" t="n">
        <x:v>540.5</x:v>
      </x:c>
      <x:c r="K4721" s="274" t="n">
        <x:v>665.5</x:v>
      </x:c>
      <x:c r="M4721" s="274" t="s">
        <x:v>7753</x:v>
      </x:c>
      <x:c r="N4721" s="274" t="s">
        <x:v>3671</x:v>
      </x:c>
    </x:row>
    <x:row r="4722" spans="1:14">
      <x:c r="A4722" s="274" t="s">
        <x:v>8439</x:v>
      </x:c>
      <x:c r="B4722" s="274" t="n">
        <x:v>3.18</x:v>
      </x:c>
      <x:c r="C4722" s="274" t="n">
        <x:v>0</x:v>
      </x:c>
      <x:c r="D4722" s="274" t="n">
        <x:v>0</x:v>
      </x:c>
      <x:c r="F4722" s="274" t="s">
        <x:v>123</x:v>
      </x:c>
      <x:c r="G4722" s="274" t="s">
        <x:v>153</x:v>
      </x:c>
      <x:c r="I4722" s="274" t="n">
        <x:v>2.6</x:v>
      </x:c>
      <x:c r="J4722" s="274" t="n">
        <x:v>120</x:v>
      </x:c>
      <x:c r="K4722" s="274" t="n">
        <x:v>1300</x:v>
      </x:c>
      <x:c r="M4722" s="274" t="s">
        <x:v>6395</x:v>
      </x:c>
      <x:c r="N4722" s="274" t="s">
        <x:v>421</x:v>
      </x:c>
    </x:row>
    <x:row r="4723" spans="1:14">
      <x:c r="A4723" s="274" t="s">
        <x:v>8440</x:v>
      </x:c>
      <x:c r="B4723" s="274" t="n">
        <x:v>1.35</x:v>
      </x:c>
      <x:c r="C4723" s="274" t="n">
        <x:v>0</x:v>
      </x:c>
      <x:c r="D4723" s="274" t="n">
        <x:v>0</x:v>
      </x:c>
      <x:c r="F4723" s="274" t="s">
        <x:v>184</x:v>
      </x:c>
      <x:c r="G4723" s="274" t="s">
        <x:v>334</x:v>
      </x:c>
      <x:c r="I4723" s="274" t="n">
        <x:v>1.4</x:v>
      </x:c>
      <x:c r="J4723" s="274" t="n">
        <x:v>800</x:v>
      </x:c>
      <x:c r="K4723" s="274" t="n">
        <x:v>154</x:v>
      </x:c>
      <x:c r="M4723" s="274" t="s">
        <x:v>663</x:v>
      </x:c>
      <x:c r="N4723" s="274" t="s">
        <x:v>299</x:v>
      </x:c>
    </x:row>
    <x:row r="4724" spans="1:14">
      <x:c r="A4724" s="274" t="s">
        <x:v>8441</x:v>
      </x:c>
      <x:c r="B4724" s="274" t="n">
        <x:v>0.6</x:v>
      </x:c>
      <x:c r="C4724" s="274" t="n">
        <x:v>0</x:v>
      </x:c>
      <x:c r="D4724" s="274" t="n">
        <x:v>0</x:v>
      </x:c>
      <x:c r="F4724" s="274" t="s">
        <x:v>133</x:v>
      </x:c>
      <x:c r="G4724" s="274" t="s">
        <x:v>4329</x:v>
      </x:c>
      <x:c r="I4724" s="274" t="n">
        <x:v>1.6</x:v>
      </x:c>
      <x:c r="J4724" s="274" t="n">
        <x:v>106</x:v>
      </x:c>
      <x:c r="K4724" s="274" t="n">
        <x:v>450</x:v>
      </x:c>
      <x:c r="M4724" s="274" t="s">
        <x:v>5197</x:v>
      </x:c>
      <x:c r="N4724" s="274" t="s">
        <x:v>4258</x:v>
      </x:c>
    </x:row>
    <x:row r="4725" spans="1:14">
      <x:c r="A4725" s="274" t="s">
        <x:v>8442</x:v>
      </x:c>
      <x:c r="B4725" s="274" t="n">
        <x:v>9.11</x:v>
      </x:c>
      <x:c r="C4725" s="274" t="n">
        <x:v>0</x:v>
      </x:c>
      <x:c r="D4725" s="274" t="n">
        <x:v>0</x:v>
      </x:c>
      <x:c r="F4725" s="274" t="s">
        <x:v>133</x:v>
      </x:c>
      <x:c r="G4725" s="274" t="s">
        <x:v>1636</x:v>
      </x:c>
      <x:c r="I4725" s="274" t="n">
        <x:v>8</x:v>
      </x:c>
      <x:c r="J4725" s="274" t="n">
        <x:v>1250</x:v>
      </x:c>
      <x:c r="K4725" s="274" t="n">
        <x:v>116</x:v>
      </x:c>
      <x:c r="M4725" s="274" t="s">
        <x:v>8443</x:v>
      </x:c>
      <x:c r="N4725" s="274" t="s">
        <x:v>3671</x:v>
      </x:c>
    </x:row>
    <x:row r="4726" spans="1:14">
      <x:c r="A4726" s="274" t="s">
        <x:v>8444</x:v>
      </x:c>
      <x:c r="B4726" s="274" t="n">
        <x:v>4.5</x:v>
      </x:c>
      <x:c r="C4726" s="274" t="n">
        <x:v>0</x:v>
      </x:c>
      <x:c r="D4726" s="274" t="n">
        <x:v>0</x:v>
      </x:c>
      <x:c r="F4726" s="274" t="s">
        <x:v>184</x:v>
      </x:c>
      <x:c r="G4726" s="274" t="s">
        <x:v>334</x:v>
      </x:c>
      <x:c r="I4726" s="274" t="n">
        <x:v>1.4</x:v>
      </x:c>
      <x:c r="J4726" s="274" t="n">
        <x:v>788</x:v>
      </x:c>
      <x:c r="K4726" s="274" t="n">
        <x:v>520</x:v>
      </x:c>
      <x:c r="M4726" s="274" t="s">
        <x:v>335</x:v>
      </x:c>
      <x:c r="N4726" s="274" t="s">
        <x:v>299</x:v>
      </x:c>
    </x:row>
    <x:row r="4727" spans="1:14">
      <x:c r="A4727" s="274" t="s">
        <x:v>8445</x:v>
      </x:c>
      <x:c r="B4727" s="274" t="n">
        <x:v>2.22</x:v>
      </x:c>
      <x:c r="C4727" s="274" t="n">
        <x:v>0</x:v>
      </x:c>
      <x:c r="D4727" s="274" t="n">
        <x:v>0</x:v>
      </x:c>
      <x:c r="F4727" s="274" t="s">
        <x:v>184</x:v>
      </x:c>
      <x:c r="G4727" s="274" t="s">
        <x:v>334</x:v>
      </x:c>
      <x:c r="I4727" s="274" t="n">
        <x:v>1.4</x:v>
      </x:c>
      <x:c r="J4727" s="274" t="n">
        <x:v>1204</x:v>
      </x:c>
      <x:c r="K4727" s="274" t="n">
        <x:v>168</x:v>
      </x:c>
      <x:c r="M4727" s="274" t="s">
        <x:v>8292</x:v>
      </x:c>
      <x:c r="N4727" s="274" t="s">
        <x:v>155</x:v>
      </x:c>
    </x:row>
    <x:row r="4728" spans="1:14">
      <x:c r="A4728" s="274" t="s">
        <x:v>8446</x:v>
      </x:c>
      <x:c r="B4728" s="274" t="n">
        <x:v>25.63</x:v>
      </x:c>
      <x:c r="C4728" s="274" t="n">
        <x:v>0</x:v>
      </x:c>
      <x:c r="D4728" s="274" t="n">
        <x:v>0</x:v>
      </x:c>
      <x:c r="F4728" s="274" t="s">
        <x:v>184</x:v>
      </x:c>
      <x:c r="G4728" s="274" t="s">
        <x:v>334</x:v>
      </x:c>
      <x:c r="I4728" s="274" t="n">
        <x:v>1.4</x:v>
      </x:c>
      <x:c r="J4728" s="274" t="n">
        <x:v>1166</x:v>
      </x:c>
      <x:c r="K4728" s="274" t="n">
        <x:v>2000</x:v>
      </x:c>
      <x:c r="M4728" s="274" t="s">
        <x:v>8283</x:v>
      </x:c>
      <x:c r="N4728" s="274" t="s">
        <x:v>155</x:v>
      </x:c>
    </x:row>
    <x:row r="4729" spans="1:14">
      <x:c r="A4729" s="274" t="s">
        <x:v>8447</x:v>
      </x:c>
      <x:c r="B4729" s="274" t="n">
        <x:v>2.53</x:v>
      </x:c>
      <x:c r="C4729" s="274" t="n">
        <x:v>0</x:v>
      </x:c>
      <x:c r="D4729" s="274" t="n">
        <x:v>0</x:v>
      </x:c>
      <x:c r="F4729" s="274" t="s">
        <x:v>184</x:v>
      </x:c>
      <x:c r="G4729" s="274" t="s">
        <x:v>334</x:v>
      </x:c>
      <x:c r="I4729" s="274" t="n">
        <x:v>1.4</x:v>
      </x:c>
      <x:c r="J4729" s="274" t="n">
        <x:v>230</x:v>
      </x:c>
      <x:c r="K4729" s="274" t="n">
        <x:v>1000</x:v>
      </x:c>
      <x:c r="M4729" s="274" t="s">
        <x:v>3450</x:v>
      </x:c>
      <x:c r="N4729" s="274" t="s">
        <x:v>299</x:v>
      </x:c>
    </x:row>
    <x:row r="4730" spans="1:14">
      <x:c r="A4730" s="274" t="s">
        <x:v>8448</x:v>
      </x:c>
      <x:c r="B4730" s="274" t="n">
        <x:v>0.04</x:v>
      </x:c>
      <x:c r="C4730" s="274" t="n">
        <x:v>0</x:v>
      </x:c>
      <x:c r="D4730" s="274" t="n">
        <x:v>0</x:v>
      </x:c>
      <x:c r="F4730" s="274" t="s">
        <x:v>333</x:v>
      </x:c>
      <x:c r="G4730" s="274" t="s">
        <x:v>153</x:v>
      </x:c>
      <x:c r="I4730" s="274" t="n">
        <x:v>0.8</x:v>
      </x:c>
      <x:c r="J4730" s="274" t="n">
        <x:v>56</x:v>
      </x:c>
      <x:c r="K4730" s="274" t="n">
        <x:v>120</x:v>
      </x:c>
      <x:c r="M4730" s="274" t="s">
        <x:v>8449</x:v>
      </x:c>
      <x:c r="N4730" s="274" t="s">
        <x:v>5222</x:v>
      </x:c>
    </x:row>
    <x:row r="4731" spans="1:14">
      <x:c r="A4731" s="274" t="s">
        <x:v>8450</x:v>
      </x:c>
      <x:c r="B4731" s="274" t="n">
        <x:v>1.23</x:v>
      </x:c>
      <x:c r="C4731" s="274" t="n">
        <x:v>0</x:v>
      </x:c>
      <x:c r="D4731" s="274" t="n">
        <x:v>36</x:v>
      </x:c>
      <x:c r="E4731" s="274" t="n">
        <x:v>33</x:v>
      </x:c>
      <x:c r="F4731" s="274" t="s">
        <x:v>3412</x:v>
      </x:c>
      <x:c r="G4731" s="274" t="s">
        <x:v>6622</x:v>
      </x:c>
      <x:c r="H4731" s="274" t="s">
        <x:v>837</x:v>
      </x:c>
      <x:c r="I4731" s="274" t="n">
        <x:v>0.8</x:v>
      </x:c>
      <x:c r="J4731" s="274" t="n">
        <x:v>430</x:v>
      </x:c>
      <x:c r="K4731" s="274" t="n">
        <x:v>455</x:v>
      </x:c>
      <x:c r="M4731" s="274" t="s">
        <x:v>3923</x:v>
      </x:c>
      <x:c r="N4731" s="274" t="s">
        <x:v>831</x:v>
      </x:c>
    </x:row>
    <x:row r="4732" spans="1:14">
      <x:c r="A4732" s="274" t="s">
        <x:v>8451</x:v>
      </x:c>
      <x:c r="B4732" s="274" t="n">
        <x:v>1.23</x:v>
      </x:c>
      <x:c r="C4732" s="274" t="n">
        <x:v>0</x:v>
      </x:c>
      <x:c r="D4732" s="274" t="n">
        <x:v>36</x:v>
      </x:c>
      <x:c r="E4732" s="274" t="n">
        <x:v>33</x:v>
      </x:c>
      <x:c r="F4732" s="274" t="s">
        <x:v>3412</x:v>
      </x:c>
      <x:c r="G4732" s="274" t="s">
        <x:v>6622</x:v>
      </x:c>
      <x:c r="H4732" s="274" t="s">
        <x:v>837</x:v>
      </x:c>
      <x:c r="I4732" s="274" t="n">
        <x:v>0.8</x:v>
      </x:c>
      <x:c r="J4732" s="274" t="n">
        <x:v>430</x:v>
      </x:c>
      <x:c r="K4732" s="274" t="n">
        <x:v>455</x:v>
      </x:c>
      <x:c r="M4732" s="274" t="s">
        <x:v>3923</x:v>
      </x:c>
      <x:c r="N4732" s="274" t="s">
        <x:v>831</x:v>
      </x:c>
    </x:row>
    <x:row r="4733" spans="1:14">
      <x:c r="A4733" s="274" t="s">
        <x:v>8452</x:v>
      </x:c>
      <x:c r="B4733" s="274" t="n">
        <x:v>3.74</x:v>
      </x:c>
      <x:c r="C4733" s="274" t="n">
        <x:v>40</x:v>
      </x:c>
      <x:c r="D4733" s="274" t="n">
        <x:v>38</x:v>
      </x:c>
      <x:c r="E4733" s="274" t="n">
        <x:v>0</x:v>
      </x:c>
      <x:c r="F4733" s="274" t="s">
        <x:v>123</x:v>
      </x:c>
      <x:c r="G4733" s="274" t="s">
        <x:v>124</x:v>
      </x:c>
      <x:c r="I4733" s="274" t="n">
        <x:v>1.4</x:v>
      </x:c>
      <x:c r="J4733" s="274" t="n">
        <x:v>1165</x:v>
      </x:c>
      <x:c r="K4733" s="274" t="n">
        <x:v>256</x:v>
      </x:c>
      <x:c r="L4733" s="274" t="n">
        <x:v>328</x:v>
      </x:c>
      <x:c r="M4733" s="274" t="s">
        <x:v>1281</x:v>
      </x:c>
      <x:c r="N4733" s="274" t="s">
        <x:v>202</x:v>
      </x:c>
    </x:row>
    <x:row r="4734" spans="1:14">
      <x:c r="A4734" s="274" t="s">
        <x:v>8453</x:v>
      </x:c>
      <x:c r="B4734" s="274" t="n">
        <x:v>3.74</x:v>
      </x:c>
      <x:c r="C4734" s="274" t="n">
        <x:v>40</x:v>
      </x:c>
      <x:c r="D4734" s="274" t="n">
        <x:v>38</x:v>
      </x:c>
      <x:c r="E4734" s="274" t="n">
        <x:v>0</x:v>
      </x:c>
      <x:c r="F4734" s="274" t="s">
        <x:v>123</x:v>
      </x:c>
      <x:c r="G4734" s="274" t="s">
        <x:v>124</x:v>
      </x:c>
      <x:c r="I4734" s="274" t="n">
        <x:v>1.4</x:v>
      </x:c>
      <x:c r="J4734" s="274" t="n">
        <x:v>1165</x:v>
      </x:c>
      <x:c r="K4734" s="274" t="n">
        <x:v>256</x:v>
      </x:c>
      <x:c r="L4734" s="274" t="n">
        <x:v>328</x:v>
      </x:c>
      <x:c r="M4734" s="274" t="s">
        <x:v>1283</x:v>
      </x:c>
      <x:c r="N4734" s="274" t="s">
        <x:v>202</x:v>
      </x:c>
    </x:row>
    <x:row r="4735" spans="1:14">
      <x:c r="A4735" s="274" t="s">
        <x:v>8454</x:v>
      </x:c>
      <x:c r="B4735" s="274" t="n">
        <x:v>30.71</x:v>
      </x:c>
      <x:c r="C4735" s="274" t="n">
        <x:v>22</x:v>
      </x:c>
      <x:c r="D4735" s="274" t="n">
        <x:v>22</x:v>
      </x:c>
      <x:c r="E4735" s="274" t="n">
        <x:v>0</x:v>
      </x:c>
      <x:c r="F4735" s="274" t="s">
        <x:v>123</x:v>
      </x:c>
      <x:c r="G4735" s="274" t="s">
        <x:v>1728</x:v>
      </x:c>
      <x:c r="H4735" s="274" t="s">
        <x:v>1732</x:v>
      </x:c>
      <x:c r="I4735" s="274" t="n">
        <x:v>0.65</x:v>
      </x:c>
      <x:c r="J4735" s="274" t="n">
        <x:v>1625</x:v>
      </x:c>
      <x:c r="K4735" s="274" t="n">
        <x:v>3640</x:v>
      </x:c>
      <x:c r="M4735" s="274" t="s">
        <x:v>8455</x:v>
      </x:c>
      <x:c r="N4735" s="274" t="s">
        <x:v>3671</x:v>
      </x:c>
    </x:row>
    <x:row r="4736" spans="1:14">
      <x:c r="A4736" s="274" t="s">
        <x:v>8456</x:v>
      </x:c>
      <x:c r="B4736" s="274" t="n">
        <x:v>12.87</x:v>
      </x:c>
      <x:c r="C4736" s="274" t="n">
        <x:v>0</x:v>
      </x:c>
      <x:c r="D4736" s="274" t="n">
        <x:v>0</x:v>
      </x:c>
      <x:c r="F4736" s="274" t="s">
        <x:v>123</x:v>
      </x:c>
      <x:c r="G4736" s="274" t="s">
        <x:v>284</x:v>
      </x:c>
      <x:c r="H4736" s="274" t="s">
        <x:v>285</x:v>
      </x:c>
      <x:c r="I4736" s="274" t="n">
        <x:v>0.7</x:v>
      </x:c>
      <x:c r="J4736" s="274" t="n">
        <x:v>1423</x:v>
      </x:c>
      <x:c r="K4736" s="274" t="n">
        <x:v>1694.5</x:v>
      </x:c>
      <x:c r="L4736" s="274" t="n">
        <x:v>1545.6</x:v>
      </x:c>
      <x:c r="M4736" s="274" t="s">
        <x:v>2941</x:v>
      </x:c>
      <x:c r="N4736" s="274" t="s">
        <x:v>155</x:v>
      </x:c>
    </x:row>
    <x:row r="4737" spans="1:14">
      <x:c r="A4737" s="274" t="s">
        <x:v>8457</x:v>
      </x:c>
      <x:c r="B4737" s="274" t="n">
        <x:v>0.98</x:v>
      </x:c>
      <x:c r="C4737" s="274" t="n">
        <x:v>0</x:v>
      </x:c>
      <x:c r="D4737" s="274" t="n">
        <x:v>45</x:v>
      </x:c>
      <x:c r="E4737" s="274" t="n">
        <x:v>40</x:v>
      </x:c>
      <x:c r="F4737" s="274" t="s">
        <x:v>333</x:v>
      </x:c>
      <x:c r="G4737" s="274" t="s">
        <x:v>2468</x:v>
      </x:c>
      <x:c r="I4737" s="274" t="n">
        <x:v>0.7</x:v>
      </x:c>
      <x:c r="J4737" s="274" t="n">
        <x:v>605</x:v>
      </x:c>
      <x:c r="K4737" s="274" t="n">
        <x:v>295</x:v>
      </x:c>
      <x:c r="M4737" s="274" t="s">
        <x:v>7461</x:v>
      </x:c>
      <x:c r="N4737" s="274" t="s">
        <x:v>7439</x:v>
      </x:c>
    </x:row>
    <x:row r="4738" spans="1:14">
      <x:c r="A4738" s="274" t="s">
        <x:v>8458</x:v>
      </x:c>
      <x:c r="B4738" s="274" t="n">
        <x:v>1.21</x:v>
      </x:c>
      <x:c r="C4738" s="274" t="n">
        <x:v>0</x:v>
      </x:c>
      <x:c r="D4738" s="274" t="n">
        <x:v>32</x:v>
      </x:c>
      <x:c r="E4738" s="274" t="n">
        <x:v>30</x:v>
      </x:c>
      <x:c r="F4738" s="274" t="s">
        <x:v>333</x:v>
      </x:c>
      <x:c r="G4738" s="274" t="s">
        <x:v>2468</x:v>
      </x:c>
      <x:c r="I4738" s="274" t="n">
        <x:v>0.7</x:v>
      </x:c>
      <x:c r="J4738" s="274" t="n">
        <x:v>275</x:v>
      </x:c>
      <x:c r="K4738" s="274" t="n">
        <x:v>800</x:v>
      </x:c>
      <x:c r="M4738" s="274" t="s">
        <x:v>7463</x:v>
      </x:c>
      <x:c r="N4738" s="274" t="s">
        <x:v>7439</x:v>
      </x:c>
    </x:row>
    <x:row r="4739" spans="1:14">
      <x:c r="A4739" s="274" t="s">
        <x:v>8459</x:v>
      </x:c>
      <x:c r="B4739" s="274" t="n">
        <x:v>0.35</x:v>
      </x:c>
      <x:c r="C4739" s="274" t="n">
        <x:v>0</x:v>
      </x:c>
      <x:c r="D4739" s="274" t="n">
        <x:v>36</x:v>
      </x:c>
      <x:c r="E4739" s="274" t="n">
        <x:v>33</x:v>
      </x:c>
      <x:c r="F4739" s="274" t="s">
        <x:v>1964</x:v>
      </x:c>
      <x:c r="G4739" s="274" t="s">
        <x:v>4749</x:v>
      </x:c>
      <x:c r="I4739" s="274" t="n">
        <x:v>1.2</x:v>
      </x:c>
      <x:c r="J4739" s="274" t="n">
        <x:v>359.2</x:v>
      </x:c>
      <x:c r="K4739" s="274" t="n">
        <x:v>104.5</x:v>
      </x:c>
      <x:c r="M4739" s="274" t="s">
        <x:v>8460</x:v>
      </x:c>
      <x:c r="N4739" s="274" t="s">
        <x:v>6437</x:v>
      </x:c>
    </x:row>
    <x:row r="4740" spans="1:14">
      <x:c r="A4740" s="274" t="s">
        <x:v>8461</x:v>
      </x:c>
      <x:c r="B4740" s="274" t="n">
        <x:v>30.54</x:v>
      </x:c>
      <x:c r="C4740" s="274" t="n">
        <x:v>0</x:v>
      </x:c>
      <x:c r="D4740" s="274" t="n">
        <x:v>0</x:v>
      </x:c>
      <x:c r="F4740" s="274" t="s">
        <x:v>123</x:v>
      </x:c>
      <x:c r="G4740" s="274" t="s">
        <x:v>1728</x:v>
      </x:c>
      <x:c r="H4740" s="274" t="s">
        <x:v>1732</x:v>
      </x:c>
      <x:c r="I4740" s="274" t="n">
        <x:v>0.65</x:v>
      </x:c>
      <x:c r="J4740" s="274" t="n">
        <x:v>1625</x:v>
      </x:c>
      <x:c r="K4740" s="274" t="n">
        <x:v>3620</x:v>
      </x:c>
      <x:c r="M4740" s="274" t="s">
        <x:v>8455</x:v>
      </x:c>
      <x:c r="N4740" s="274" t="s">
        <x:v>3671</x:v>
      </x:c>
    </x:row>
    <x:row r="4741" spans="1:14">
      <x:c r="A4741" s="274" t="s">
        <x:v>8462</x:v>
      </x:c>
      <x:c r="B4741" s="274" t="n">
        <x:v>2.32</x:v>
      </x:c>
      <x:c r="C4741" s="274" t="n">
        <x:v>0</x:v>
      </x:c>
      <x:c r="D4741" s="274" t="n">
        <x:v>35</x:v>
      </x:c>
      <x:c r="E4741" s="274" t="n">
        <x:v>33</x:v>
      </x:c>
      <x:c r="F4741" s="274" t="s">
        <x:v>311</x:v>
      </x:c>
      <x:c r="G4741" s="274" t="s">
        <x:v>6529</x:v>
      </x:c>
      <x:c r="H4741" s="274" t="s">
        <x:v>837</x:v>
      </x:c>
      <x:c r="I4741" s="274" t="n">
        <x:v>0.8</x:v>
      </x:c>
      <x:c r="J4741" s="274" t="n">
        <x:v>515</x:v>
      </x:c>
      <x:c r="K4741" s="274" t="n">
        <x:v>715</x:v>
      </x:c>
      <x:c r="M4741" s="274" t="s">
        <x:v>7990</x:v>
      </x:c>
      <x:c r="N4741" s="274" t="s">
        <x:v>831</x:v>
      </x:c>
    </x:row>
    <x:row r="4742" spans="1:14">
      <x:c r="A4742" s="274" t="s">
        <x:v>8463</x:v>
      </x:c>
      <x:c r="B4742" s="274" t="n">
        <x:v>2.64</x:v>
      </x:c>
      <x:c r="C4742" s="274" t="n">
        <x:v>0</x:v>
      </x:c>
      <x:c r="D4742" s="274" t="n">
        <x:v>45</x:v>
      </x:c>
      <x:c r="E4742" s="274" t="n">
        <x:v>40</x:v>
      </x:c>
      <x:c r="F4742" s="274" t="s">
        <x:v>311</x:v>
      </x:c>
      <x:c r="G4742" s="274" t="s">
        <x:v>6529</x:v>
      </x:c>
      <x:c r="H4742" s="274" t="s">
        <x:v>829</x:v>
      </x:c>
      <x:c r="I4742" s="274" t="n">
        <x:v>0.8</x:v>
      </x:c>
      <x:c r="J4742" s="274" t="n">
        <x:v>620</x:v>
      </x:c>
      <x:c r="K4742" s="274" t="n">
        <x:v>675</x:v>
      </x:c>
      <x:c r="M4742" s="274" t="s">
        <x:v>8464</x:v>
      </x:c>
      <x:c r="N4742" s="274" t="s">
        <x:v>831</x:v>
      </x:c>
    </x:row>
    <x:row r="4743" spans="1:14">
      <x:c r="A4743" s="274" t="s">
        <x:v>8465</x:v>
      </x:c>
      <x:c r="B4743" s="274" t="n">
        <x:v>2.52</x:v>
      </x:c>
      <x:c r="C4743" s="274" t="n">
        <x:v>0</x:v>
      </x:c>
      <x:c r="D4743" s="274" t="n">
        <x:v>35</x:v>
      </x:c>
      <x:c r="E4743" s="274" t="n">
        <x:v>33</x:v>
      </x:c>
      <x:c r="F4743" s="274" t="s">
        <x:v>311</x:v>
      </x:c>
      <x:c r="G4743" s="274" t="s">
        <x:v>6529</x:v>
      </x:c>
      <x:c r="H4743" s="274" t="s">
        <x:v>837</x:v>
      </x:c>
      <x:c r="I4743" s="274" t="n">
        <x:v>0.8</x:v>
      </x:c>
      <x:c r="J4743" s="274" t="n">
        <x:v>510</x:v>
      </x:c>
      <x:c r="K4743" s="274" t="n">
        <x:v>785</x:v>
      </x:c>
      <x:c r="M4743" s="274" t="s">
        <x:v>3782</x:v>
      </x:c>
      <x:c r="N4743" s="274" t="s">
        <x:v>831</x:v>
      </x:c>
    </x:row>
    <x:row r="4744" spans="1:14">
      <x:c r="A4744" s="274" t="s">
        <x:v>8466</x:v>
      </x:c>
      <x:c r="B4744" s="274" t="n">
        <x:v>2.49</x:v>
      </x:c>
      <x:c r="C4744" s="274" t="n">
        <x:v>0</x:v>
      </x:c>
      <x:c r="D4744" s="274" t="n">
        <x:v>45</x:v>
      </x:c>
      <x:c r="E4744" s="274" t="n">
        <x:v>40</x:v>
      </x:c>
      <x:c r="F4744" s="274" t="s">
        <x:v>311</x:v>
      </x:c>
      <x:c r="G4744" s="274" t="s">
        <x:v>6529</x:v>
      </x:c>
      <x:c r="H4744" s="274" t="s">
        <x:v>829</x:v>
      </x:c>
      <x:c r="I4744" s="274" t="n">
        <x:v>0.8</x:v>
      </x:c>
      <x:c r="J4744" s="274" t="n">
        <x:v>600</x:v>
      </x:c>
      <x:c r="K4744" s="274" t="n">
        <x:v>660</x:v>
      </x:c>
      <x:c r="M4744" s="274" t="s">
        <x:v>3784</x:v>
      </x:c>
      <x:c r="N4744" s="274" t="s">
        <x:v>831</x:v>
      </x:c>
    </x:row>
    <x:row r="4745" spans="1:14">
      <x:c r="A4745" s="274" t="s">
        <x:v>8467</x:v>
      </x:c>
      <x:c r="B4745" s="274" t="n">
        <x:v>2.74</x:v>
      </x:c>
      <x:c r="C4745" s="274" t="n">
        <x:v>0</x:v>
      </x:c>
      <x:c r="D4745" s="274" t="n">
        <x:v>35</x:v>
      </x:c>
      <x:c r="E4745" s="274" t="n">
        <x:v>32</x:v>
      </x:c>
      <x:c r="F4745" s="274" t="s">
        <x:v>311</x:v>
      </x:c>
      <x:c r="G4745" s="274" t="s">
        <x:v>6529</x:v>
      </x:c>
      <x:c r="H4745" s="274" t="s">
        <x:v>837</x:v>
      </x:c>
      <x:c r="I4745" s="274" t="n">
        <x:v>0.8</x:v>
      </x:c>
      <x:c r="J4745" s="274" t="n">
        <x:v>550</x:v>
      </x:c>
      <x:c r="K4745" s="274" t="n">
        <x:v>790</x:v>
      </x:c>
      <x:c r="M4745" s="274" t="s">
        <x:v>3778</x:v>
      </x:c>
      <x:c r="N4745" s="274" t="s">
        <x:v>831</x:v>
      </x:c>
    </x:row>
    <x:row r="4746" spans="1:14">
      <x:c r="A4746" s="274" t="s">
        <x:v>8468</x:v>
      </x:c>
      <x:c r="B4746" s="274" t="n">
        <x:v>2.62</x:v>
      </x:c>
      <x:c r="C4746" s="274" t="n">
        <x:v>0</x:v>
      </x:c>
      <x:c r="D4746" s="274" t="n">
        <x:v>45</x:v>
      </x:c>
      <x:c r="E4746" s="274" t="n">
        <x:v>40</x:v>
      </x:c>
      <x:c r="F4746" s="274" t="s">
        <x:v>311</x:v>
      </x:c>
      <x:c r="G4746" s="274" t="s">
        <x:v>6529</x:v>
      </x:c>
      <x:c r="H4746" s="274" t="s">
        <x:v>829</x:v>
      </x:c>
      <x:c r="I4746" s="274" t="n">
        <x:v>0.8</x:v>
      </x:c>
      <x:c r="J4746" s="274" t="n">
        <x:v>590</x:v>
      </x:c>
      <x:c r="K4746" s="274" t="n">
        <x:v>705</x:v>
      </x:c>
      <x:c r="M4746" s="274" t="s">
        <x:v>3780</x:v>
      </x:c>
      <x:c r="N4746" s="274" t="s">
        <x:v>831</x:v>
      </x:c>
    </x:row>
    <x:row r="4747" spans="1:14">
      <x:c r="A4747" s="274" t="s">
        <x:v>8469</x:v>
      </x:c>
      <x:c r="B4747" s="274" t="n">
        <x:v>0.97</x:v>
      </x:c>
      <x:c r="C4747" s="274" t="n">
        <x:v>0</x:v>
      </x:c>
      <x:c r="D4747" s="274" t="n">
        <x:v>36</x:v>
      </x:c>
      <x:c r="E4747" s="274" t="n">
        <x:v>33</x:v>
      </x:c>
      <x:c r="F4747" s="274" t="s">
        <x:v>311</x:v>
      </x:c>
      <x:c r="G4747" s="274" t="s">
        <x:v>6529</x:v>
      </x:c>
      <x:c r="H4747" s="274" t="s">
        <x:v>837</x:v>
      </x:c>
      <x:c r="I4747" s="274" t="n">
        <x:v>0.8</x:v>
      </x:c>
      <x:c r="J4747" s="274" t="n">
        <x:v>370</x:v>
      </x:c>
      <x:c r="K4747" s="274" t="n">
        <x:v>415</x:v>
      </x:c>
      <x:c r="M4747" s="274" t="s">
        <x:v>3921</x:v>
      </x:c>
      <x:c r="N4747" s="274" t="s">
        <x:v>831</x:v>
      </x:c>
    </x:row>
    <x:row r="4748" spans="1:14">
      <x:c r="A4748" s="274" t="s">
        <x:v>8470</x:v>
      </x:c>
      <x:c r="B4748" s="274" t="n">
        <x:v>1.23</x:v>
      </x:c>
      <x:c r="C4748" s="274" t="n">
        <x:v>0</x:v>
      </x:c>
      <x:c r="D4748" s="274" t="n">
        <x:v>36</x:v>
      </x:c>
      <x:c r="E4748" s="274" t="n">
        <x:v>33</x:v>
      </x:c>
      <x:c r="F4748" s="274" t="s">
        <x:v>311</x:v>
      </x:c>
      <x:c r="G4748" s="274" t="s">
        <x:v>6529</x:v>
      </x:c>
      <x:c r="H4748" s="274" t="s">
        <x:v>837</x:v>
      </x:c>
      <x:c r="I4748" s="274" t="n">
        <x:v>0.8</x:v>
      </x:c>
      <x:c r="J4748" s="274" t="n">
        <x:v>430</x:v>
      </x:c>
      <x:c r="K4748" s="274" t="n">
        <x:v>455</x:v>
      </x:c>
      <x:c r="M4748" s="274" t="s">
        <x:v>3923</x:v>
      </x:c>
      <x:c r="N4748" s="274" t="s">
        <x:v>831</x:v>
      </x:c>
    </x:row>
    <x:row r="4749" spans="1:14">
      <x:c r="A4749" s="274" t="s">
        <x:v>8471</x:v>
      </x:c>
      <x:c r="B4749" s="274" t="n">
        <x:v>7.19</x:v>
      </x:c>
      <x:c r="C4749" s="274" t="n">
        <x:v>0</x:v>
      </x:c>
      <x:c r="D4749" s="274" t="n">
        <x:v>0</x:v>
      </x:c>
      <x:c r="F4749" s="274" t="s">
        <x:v>133</x:v>
      </x:c>
      <x:c r="G4749" s="274" t="s">
        <x:v>148</x:v>
      </x:c>
      <x:c r="I4749" s="274" t="n">
        <x:v>5</x:v>
      </x:c>
      <x:c r="J4749" s="274" t="n">
        <x:v>336</x:v>
      </x:c>
      <x:c r="K4749" s="274" t="n">
        <x:v>545</x:v>
      </x:c>
      <x:c r="M4749" s="274" t="s">
        <x:v>4385</x:v>
      </x:c>
      <x:c r="N4749" s="274" t="s">
        <x:v>3671</x:v>
      </x:c>
    </x:row>
    <x:row r="4750" spans="1:14">
      <x:c r="A4750" s="274" t="s">
        <x:v>8472</x:v>
      </x:c>
      <x:c r="B4750" s="274" t="n">
        <x:v>4.2</x:v>
      </x:c>
      <x:c r="C4750" s="274" t="n">
        <x:v>0</x:v>
      </x:c>
      <x:c r="D4750" s="274" t="n">
        <x:v>0</x:v>
      </x:c>
      <x:c r="F4750" s="274" t="s">
        <x:v>333</x:v>
      </x:c>
      <x:c r="G4750" s="274" t="s">
        <x:v>334</x:v>
      </x:c>
      <x:c r="I4750" s="274" t="n">
        <x:v>2</x:v>
      </x:c>
      <x:c r="J4750" s="274" t="n">
        <x:v>255</x:v>
      </x:c>
      <x:c r="K4750" s="274" t="n">
        <x:v>1049</x:v>
      </x:c>
      <x:c r="M4750" s="274" t="s">
        <x:v>8473</x:v>
      </x:c>
      <x:c r="N4750" s="274" t="s">
        <x:v>3671</x:v>
      </x:c>
    </x:row>
    <x:row r="4751" spans="1:14">
      <x:c r="A4751" s="274" t="s">
        <x:v>8474</x:v>
      </x:c>
      <x:c r="B4751" s="274" t="n">
        <x:v>1.35</x:v>
      </x:c>
      <x:c r="C4751" s="274" t="n">
        <x:v>0</x:v>
      </x:c>
      <x:c r="D4751" s="274" t="n">
        <x:v>0</x:v>
      </x:c>
      <x:c r="F4751" s="274" t="s">
        <x:v>184</x:v>
      </x:c>
      <x:c r="G4751" s="274" t="s">
        <x:v>334</x:v>
      </x:c>
      <x:c r="I4751" s="274" t="n">
        <x:v>1.4</x:v>
      </x:c>
      <x:c r="J4751" s="274" t="n">
        <x:v>800</x:v>
      </x:c>
      <x:c r="K4751" s="274" t="n">
        <x:v>154</x:v>
      </x:c>
      <x:c r="M4751" s="274" t="s">
        <x:v>663</x:v>
      </x:c>
      <x:c r="N4751" s="274" t="s">
        <x:v>299</x:v>
      </x:c>
    </x:row>
    <x:row r="4752" spans="1:14">
      <x:c r="A4752" s="274" t="s">
        <x:v>8475</x:v>
      </x:c>
      <x:c r="B4752" s="274" t="n">
        <x:v>5.69</x:v>
      </x:c>
      <x:c r="C4752" s="274" t="n">
        <x:v>0</x:v>
      </x:c>
      <x:c r="D4752" s="274" t="n">
        <x:v>45</x:v>
      </x:c>
      <x:c r="E4752" s="274" t="n">
        <x:v>40</x:v>
      </x:c>
      <x:c r="F4752" s="274" t="s">
        <x:v>133</x:v>
      </x:c>
      <x:c r="G4752" s="274" t="s">
        <x:v>4470</x:v>
      </x:c>
      <x:c r="H4752" s="274" t="s">
        <x:v>4471</x:v>
      </x:c>
      <x:c r="I4752" s="274" t="n">
        <x:v>1.4</x:v>
      </x:c>
      <x:c r="J4752" s="274" t="n">
        <x:v>1180</x:v>
      </x:c>
      <x:c r="K4752" s="274" t="n">
        <x:v>435</x:v>
      </x:c>
      <x:c r="M4752" s="274" t="s">
        <x:v>6419</x:v>
      </x:c>
      <x:c r="N4752" s="274" t="s">
        <x:v>4258</x:v>
      </x:c>
    </x:row>
    <x:row r="4753" spans="1:14">
      <x:c r="A4753" s="274" t="s">
        <x:v>8476</x:v>
      </x:c>
      <x:c r="B4753" s="274" t="n">
        <x:v>0.54</x:v>
      </x:c>
      <x:c r="C4753" s="274" t="n">
        <x:v>0</x:v>
      </x:c>
      <x:c r="D4753" s="274" t="n">
        <x:v>0</x:v>
      </x:c>
      <x:c r="F4753" s="274" t="s">
        <x:v>133</x:v>
      </x:c>
      <x:c r="G4753" s="274" t="s">
        <x:v>153</x:v>
      </x:c>
      <x:c r="I4753" s="274" t="n">
        <x:v>1.6</x:v>
      </x:c>
      <x:c r="J4753" s="274" t="n">
        <x:v>282</x:v>
      </x:c>
      <x:c r="K4753" s="274" t="n">
        <x:v>152</x:v>
      </x:c>
      <x:c r="M4753" s="274" t="s">
        <x:v>2333</x:v>
      </x:c>
      <x:c r="N4753" s="274" t="s">
        <x:v>299</x:v>
      </x:c>
    </x:row>
    <x:row r="4754" spans="1:14">
      <x:c r="A4754" s="274" t="s">
        <x:v>8477</x:v>
      </x:c>
      <x:c r="B4754" s="274" t="n">
        <x:v>0.39</x:v>
      </x:c>
      <x:c r="C4754" s="274" t="n">
        <x:v>0</x:v>
      </x:c>
      <x:c r="D4754" s="274" t="n">
        <x:v>0</x:v>
      </x:c>
      <x:c r="F4754" s="274" t="s">
        <x:v>133</x:v>
      </x:c>
      <x:c r="G4754" s="274" t="s">
        <x:v>153</x:v>
      </x:c>
      <x:c r="I4754" s="274" t="n">
        <x:v>1.6</x:v>
      </x:c>
      <x:c r="J4754" s="274" t="n">
        <x:v>285</x:v>
      </x:c>
      <x:c r="K4754" s="274" t="n">
        <x:v>110</x:v>
      </x:c>
      <x:c r="M4754" s="274" t="s">
        <x:v>2239</x:v>
      </x:c>
      <x:c r="N4754" s="274" t="s">
        <x:v>4481</x:v>
      </x:c>
    </x:row>
    <x:row r="4755" spans="1:14">
      <x:c r="A4755" s="274" t="s">
        <x:v>8478</x:v>
      </x:c>
      <x:c r="B4755" s="274" t="n">
        <x:v>0.48</x:v>
      </x:c>
      <x:c r="C4755" s="274" t="n">
        <x:v>0</x:v>
      </x:c>
      <x:c r="D4755" s="274" t="n">
        <x:v>0</x:v>
      </x:c>
      <x:c r="F4755" s="274" t="s">
        <x:v>333</x:v>
      </x:c>
      <x:c r="G4755" s="274" t="s">
        <x:v>2157</x:v>
      </x:c>
      <x:c r="I4755" s="274" t="n">
        <x:v>0.6</x:v>
      </x:c>
      <x:c r="J4755" s="274" t="n">
        <x:v>90</x:v>
      </x:c>
      <x:c r="K4755" s="274" t="n">
        <x:v>1130</x:v>
      </x:c>
      <x:c r="M4755" s="274" t="s">
        <x:v>7438</x:v>
      </x:c>
      <x:c r="N4755" s="274" t="s">
        <x:v>7439</x:v>
      </x:c>
    </x:row>
    <x:row r="4756" spans="1:14">
      <x:c r="A4756" s="274" t="s">
        <x:v>8479</x:v>
      </x:c>
      <x:c r="B4756" s="274" t="n">
        <x:v>0.93</x:v>
      </x:c>
      <x:c r="C4756" s="274" t="n">
        <x:v>0</x:v>
      </x:c>
      <x:c r="D4756" s="274" t="n">
        <x:v>36</x:v>
      </x:c>
      <x:c r="E4756" s="274" t="n">
        <x:v>33</x:v>
      </x:c>
      <x:c r="F4756" s="274" t="s">
        <x:v>333</x:v>
      </x:c>
      <x:c r="G4756" s="274" t="s">
        <x:v>153</x:v>
      </x:c>
      <x:c r="I4756" s="274" t="n">
        <x:v>1.6</x:v>
      </x:c>
      <x:c r="J4756" s="274" t="n">
        <x:v>410</x:v>
      </x:c>
      <x:c r="K4756" s="274" t="n">
        <x:v>180</x:v>
      </x:c>
      <x:c r="M4756" s="274" t="s">
        <x:v>1082</x:v>
      </x:c>
      <x:c r="N4756" s="274" t="s">
        <x:v>299</x:v>
      </x:c>
    </x:row>
    <x:row r="4757" spans="1:14">
      <x:c r="A4757" s="274" t="s">
        <x:v>8480</x:v>
      </x:c>
      <x:c r="B4757" s="274" t="n">
        <x:v>2.32</x:v>
      </x:c>
      <x:c r="C4757" s="274" t="n">
        <x:v>0</x:v>
      </x:c>
      <x:c r="D4757" s="274" t="n">
        <x:v>35</x:v>
      </x:c>
      <x:c r="E4757" s="274" t="n">
        <x:v>33</x:v>
      </x:c>
      <x:c r="F4757" s="274" t="s">
        <x:v>311</x:v>
      </x:c>
      <x:c r="G4757" s="274" t="s">
        <x:v>6529</x:v>
      </x:c>
      <x:c r="H4757" s="274" t="s">
        <x:v>837</x:v>
      </x:c>
      <x:c r="I4757" s="274" t="n">
        <x:v>0.8</x:v>
      </x:c>
      <x:c r="J4757" s="274" t="n">
        <x:v>515</x:v>
      </x:c>
      <x:c r="K4757" s="274" t="n">
        <x:v>715</x:v>
      </x:c>
      <x:c r="M4757" s="274" t="s">
        <x:v>7990</x:v>
      </x:c>
      <x:c r="N4757" s="274" t="s">
        <x:v>831</x:v>
      </x:c>
    </x:row>
    <x:row r="4758" spans="1:14">
      <x:c r="A4758" s="274" t="s">
        <x:v>8481</x:v>
      </x:c>
      <x:c r="B4758" s="274" t="n">
        <x:v>2.52</x:v>
      </x:c>
      <x:c r="C4758" s="274" t="n">
        <x:v>0</x:v>
      </x:c>
      <x:c r="D4758" s="274" t="n">
        <x:v>35</x:v>
      </x:c>
      <x:c r="E4758" s="274" t="n">
        <x:v>33</x:v>
      </x:c>
      <x:c r="F4758" s="274" t="s">
        <x:v>3412</x:v>
      </x:c>
      <x:c r="G4758" s="274" t="s">
        <x:v>6622</x:v>
      </x:c>
      <x:c r="H4758" s="274" t="s">
        <x:v>837</x:v>
      </x:c>
      <x:c r="I4758" s="274" t="n">
        <x:v>0.8</x:v>
      </x:c>
      <x:c r="J4758" s="274" t="n">
        <x:v>510</x:v>
      </x:c>
      <x:c r="K4758" s="274" t="n">
        <x:v>785</x:v>
      </x:c>
      <x:c r="M4758" s="274" t="s">
        <x:v>3782</x:v>
      </x:c>
      <x:c r="N4758" s="274" t="s">
        <x:v>831</x:v>
      </x:c>
    </x:row>
    <x:row r="4759" spans="1:14">
      <x:c r="A4759" s="274" t="s">
        <x:v>8482</x:v>
      </x:c>
      <x:c r="B4759" s="274" t="n">
        <x:v>2.64</x:v>
      </x:c>
      <x:c r="C4759" s="274" t="n">
        <x:v>0</x:v>
      </x:c>
      <x:c r="D4759" s="274" t="n">
        <x:v>45</x:v>
      </x:c>
      <x:c r="E4759" s="274" t="n">
        <x:v>40</x:v>
      </x:c>
      <x:c r="F4759" s="274" t="s">
        <x:v>311</x:v>
      </x:c>
      <x:c r="G4759" s="274" t="s">
        <x:v>6529</x:v>
      </x:c>
      <x:c r="H4759" s="274" t="s">
        <x:v>829</x:v>
      </x:c>
      <x:c r="I4759" s="274" t="n">
        <x:v>0.8</x:v>
      </x:c>
      <x:c r="J4759" s="274" t="n">
        <x:v>620</x:v>
      </x:c>
      <x:c r="K4759" s="274" t="n">
        <x:v>675</x:v>
      </x:c>
      <x:c r="M4759" s="274" t="s">
        <x:v>8464</x:v>
      </x:c>
      <x:c r="N4759" s="274" t="s">
        <x:v>831</x:v>
      </x:c>
    </x:row>
    <x:row r="4760" spans="1:14">
      <x:c r="A4760" s="274" t="s">
        <x:v>8483</x:v>
      </x:c>
      <x:c r="B4760" s="274" t="n">
        <x:v>0.46</x:v>
      </x:c>
      <x:c r="C4760" s="274" t="n">
        <x:v>0</x:v>
      </x:c>
      <x:c r="D4760" s="274" t="n">
        <x:v>0</x:v>
      </x:c>
      <x:c r="F4760" s="274" t="s">
        <x:v>333</x:v>
      </x:c>
      <x:c r="G4760" s="274" t="s">
        <x:v>124</x:v>
      </x:c>
      <x:c r="I4760" s="274" t="n">
        <x:v>1.2</x:v>
      </x:c>
      <x:c r="J4760" s="274" t="n">
        <x:v>459</x:v>
      </x:c>
      <x:c r="K4760" s="274" t="n">
        <x:v>106</x:v>
      </x:c>
      <x:c r="M4760" s="274" t="s">
        <x:v>6662</x:v>
      </x:c>
      <x:c r="N4760" s="274" t="s">
        <x:v>3671</x:v>
      </x:c>
    </x:row>
    <x:row r="4761" spans="1:14">
      <x:c r="A4761" s="274" t="s">
        <x:v>8484</x:v>
      </x:c>
      <x:c r="B4761" s="274" t="n">
        <x:v>0.12</x:v>
      </x:c>
      <x:c r="C4761" s="274" t="n">
        <x:v>0</x:v>
      </x:c>
      <x:c r="D4761" s="274" t="n">
        <x:v>0</x:v>
      </x:c>
      <x:c r="F4761" s="274" t="s">
        <x:v>123</x:v>
      </x:c>
      <x:c r="G4761" s="274" t="s">
        <x:v>129</x:v>
      </x:c>
      <x:c r="H4761" s="274" t="n">
        <x:v>45</x:v>
      </x:c>
      <x:c r="I4761" s="274" t="n">
        <x:v>1.2</x:v>
      </x:c>
      <x:c r="J4761" s="274" t="n">
        <x:v>76</x:v>
      </x:c>
      <x:c r="K4761" s="274" t="n">
        <x:v>168</x:v>
      </x:c>
      <x:c r="M4761" s="274" t="s">
        <x:v>6943</x:v>
      </x:c>
      <x:c r="N4761" s="274" t="s">
        <x:v>3671</x:v>
      </x:c>
    </x:row>
    <x:row r="4762" spans="1:14">
      <x:c r="A4762" s="274" t="s">
        <x:v>8485</x:v>
      </x:c>
      <x:c r="B4762" s="274" t="n">
        <x:v>0.44</x:v>
      </x:c>
      <x:c r="C4762" s="274" t="n">
        <x:v>0</x:v>
      </x:c>
      <x:c r="D4762" s="274" t="n">
        <x:v>0</x:v>
      </x:c>
      <x:c r="F4762" s="274" t="s">
        <x:v>123</x:v>
      </x:c>
      <x:c r="G4762" s="274" t="s">
        <x:v>129</x:v>
      </x:c>
      <x:c r="H4762" s="274" t="n">
        <x:v>45</x:v>
      </x:c>
      <x:c r="I4762" s="274" t="n">
        <x:v>1.2</x:v>
      </x:c>
      <x:c r="J4762" s="274" t="n">
        <x:v>220</x:v>
      </x:c>
      <x:c r="K4762" s="274" t="n">
        <x:v>210</x:v>
      </x:c>
      <x:c r="M4762" s="274" t="s">
        <x:v>5760</x:v>
      </x:c>
      <x:c r="N4762" s="274" t="s">
        <x:v>3671</x:v>
      </x:c>
    </x:row>
    <x:row r="4763" spans="1:14">
      <x:c r="A4763" s="274" t="s">
        <x:v>8486</x:v>
      </x:c>
      <x:c r="B4763" s="274" t="n">
        <x:v>2.11</x:v>
      </x:c>
      <x:c r="C4763" s="274" t="n">
        <x:v>0</x:v>
      </x:c>
      <x:c r="D4763" s="274" t="n">
        <x:v>0</x:v>
      </x:c>
      <x:c r="F4763" s="274" t="s">
        <x:v>133</x:v>
      </x:c>
      <x:c r="G4763" s="274" t="s">
        <x:v>144</x:v>
      </x:c>
      <x:c r="H4763" s="274" t="n">
        <x:v>45</x:v>
      </x:c>
      <x:c r="I4763" s="274" t="n">
        <x:v>1.2</x:v>
      </x:c>
      <x:c r="J4763" s="274" t="n">
        <x:v>180</x:v>
      </x:c>
      <x:c r="K4763" s="274" t="n">
        <x:v>1235</x:v>
      </x:c>
      <x:c r="M4763" s="274" t="s">
        <x:v>4853</x:v>
      </x:c>
      <x:c r="N4763" s="274" t="s">
        <x:v>3671</x:v>
      </x:c>
    </x:row>
    <x:row r="4764" spans="1:14">
      <x:c r="A4764" s="274" t="s">
        <x:v>8487</x:v>
      </x:c>
      <x:c r="B4764" s="274" t="n">
        <x:v>1.02</x:v>
      </x:c>
      <x:c r="C4764" s="274" t="n">
        <x:v>0</x:v>
      </x:c>
      <x:c r="D4764" s="274" t="n">
        <x:v>0</x:v>
      </x:c>
      <x:c r="F4764" s="274" t="s">
        <x:v>133</x:v>
      </x:c>
      <x:c r="G4764" s="274" t="s">
        <x:v>144</x:v>
      </x:c>
      <x:c r="H4764" s="274" t="n">
        <x:v>45</x:v>
      </x:c>
      <x:c r="I4764" s="274" t="n">
        <x:v>1.2</x:v>
      </x:c>
      <x:c r="J4764" s="274" t="n">
        <x:v>189</x:v>
      </x:c>
      <x:c r="K4764" s="274" t="n">
        <x:v>565</x:v>
      </x:c>
      <x:c r="M4764" s="274" t="s">
        <x:v>4317</x:v>
      </x:c>
      <x:c r="N4764" s="274" t="s">
        <x:v>3671</x:v>
      </x:c>
    </x:row>
    <x:row r="4765" spans="1:14">
      <x:c r="A4765" s="274" t="s">
        <x:v>8488</x:v>
      </x:c>
      <x:c r="B4765" s="274" t="n">
        <x:v>2.69</x:v>
      </x:c>
      <x:c r="C4765" s="274" t="n">
        <x:v>0</x:v>
      </x:c>
      <x:c r="D4765" s="274" t="n">
        <x:v>0</x:v>
      </x:c>
      <x:c r="F4765" s="274" t="s">
        <x:v>133</x:v>
      </x:c>
      <x:c r="G4765" s="274" t="s">
        <x:v>144</x:v>
      </x:c>
      <x:c r="H4765" s="274" t="n">
        <x:v>45</x:v>
      </x:c>
      <x:c r="I4765" s="274" t="n">
        <x:v>1.2</x:v>
      </x:c>
      <x:c r="J4765" s="274" t="n">
        <x:v>236</x:v>
      </x:c>
      <x:c r="K4765" s="274" t="n">
        <x:v>1200</x:v>
      </x:c>
      <x:c r="M4765" s="274" t="s">
        <x:v>4855</x:v>
      </x:c>
      <x:c r="N4765" s="274" t="s">
        <x:v>3671</x:v>
      </x:c>
    </x:row>
    <x:row r="4766" spans="1:14">
      <x:c r="A4766" s="274" t="s">
        <x:v>8489</x:v>
      </x:c>
      <x:c r="B4766" s="274" t="n">
        <x:v>1.91</x:v>
      </x:c>
      <x:c r="C4766" s="274" t="n">
        <x:v>0</x:v>
      </x:c>
      <x:c r="D4766" s="274" t="n">
        <x:v>0</x:v>
      </x:c>
      <x:c r="F4766" s="274" t="s">
        <x:v>333</x:v>
      </x:c>
      <x:c r="G4766" s="274" t="s">
        <x:v>209</x:v>
      </x:c>
      <x:c r="I4766" s="274" t="n">
        <x:v>1.2</x:v>
      </x:c>
      <x:c r="J4766" s="274" t="n">
        <x:v>956</x:v>
      </x:c>
      <x:c r="K4766" s="274" t="n">
        <x:v>212</x:v>
      </x:c>
      <x:c r="M4766" s="274" t="s">
        <x:v>5873</x:v>
      </x:c>
      <x:c r="N4766" s="274" t="s">
        <x:v>3671</x:v>
      </x:c>
    </x:row>
    <x:row r="4767" spans="1:14">
      <x:c r="A4767" s="274" t="s">
        <x:v>8490</x:v>
      </x:c>
      <x:c r="B4767" s="274" t="n">
        <x:v>0.76</x:v>
      </x:c>
      <x:c r="C4767" s="274" t="n">
        <x:v>0</x:v>
      </x:c>
      <x:c r="D4767" s="274" t="n">
        <x:v>0</x:v>
      </x:c>
      <x:c r="F4767" s="274" t="s">
        <x:v>133</x:v>
      </x:c>
      <x:c r="G4767" s="274" t="s">
        <x:v>144</x:v>
      </x:c>
      <x:c r="H4767" s="274" t="n">
        <x:v>45</x:v>
      </x:c>
      <x:c r="I4767" s="274" t="n">
        <x:v>1.2</x:v>
      </x:c>
      <x:c r="J4767" s="274" t="n">
        <x:v>545</x:v>
      </x:c>
      <x:c r="K4767" s="274" t="n">
        <x:v>146</x:v>
      </x:c>
      <x:c r="M4767" s="274" t="s">
        <x:v>4851</x:v>
      </x:c>
      <x:c r="N4767" s="274" t="s">
        <x:v>3671</x:v>
      </x:c>
    </x:row>
    <x:row r="4768" spans="1:14">
      <x:c r="A4768" s="274" t="s">
        <x:v>8491</x:v>
      </x:c>
      <x:c r="B4768" s="274" t="n">
        <x:v>0.85</x:v>
      </x:c>
      <x:c r="C4768" s="274" t="n">
        <x:v>0</x:v>
      </x:c>
      <x:c r="D4768" s="274" t="n">
        <x:v>0</x:v>
      </x:c>
      <x:c r="F4768" s="274" t="s">
        <x:v>333</x:v>
      </x:c>
      <x:c r="G4768" s="274" t="s">
        <x:v>153</x:v>
      </x:c>
      <x:c r="I4768" s="274" t="n">
        <x:v>0.6</x:v>
      </x:c>
      <x:c r="J4768" s="274" t="n">
        <x:v>952</x:v>
      </x:c>
      <x:c r="K4768" s="274" t="n">
        <x:v>189</x:v>
      </x:c>
      <x:c r="M4768" s="274" t="s">
        <x:v>5485</x:v>
      </x:c>
      <x:c r="N4768" s="274" t="s">
        <x:v>3671</x:v>
      </x:c>
    </x:row>
    <x:row r="4769" spans="1:14">
      <x:c r="A4769" s="274" t="s">
        <x:v>8492</x:v>
      </x:c>
      <x:c r="B4769" s="274" t="n">
        <x:v>0.51</x:v>
      </x:c>
      <x:c r="C4769" s="274" t="n">
        <x:v>0</x:v>
      </x:c>
      <x:c r="D4769" s="274" t="n">
        <x:v>0</x:v>
      </x:c>
      <x:c r="F4769" s="274" t="s">
        <x:v>333</x:v>
      </x:c>
      <x:c r="G4769" s="274" t="s">
        <x:v>209</x:v>
      </x:c>
      <x:c r="I4769" s="274" t="n">
        <x:v>0.6</x:v>
      </x:c>
      <x:c r="J4769" s="274" t="n">
        <x:v>90</x:v>
      </x:c>
      <x:c r="K4769" s="274" t="n">
        <x:v>1200</x:v>
      </x:c>
      <x:c r="M4769" s="274" t="s">
        <x:v>8493</x:v>
      </x:c>
      <x:c r="N4769" s="274" t="s">
        <x:v>3671</x:v>
      </x:c>
    </x:row>
    <x:row r="4770" spans="1:14">
      <x:c r="A4770" s="274" t="s">
        <x:v>8494</x:v>
      </x:c>
      <x:c r="B4770" s="274" t="n">
        <x:v>0.97</x:v>
      </x:c>
      <x:c r="C4770" s="274" t="n">
        <x:v>0</x:v>
      </x:c>
      <x:c r="D4770" s="274" t="n">
        <x:v>0</x:v>
      </x:c>
      <x:c r="F4770" s="274" t="s">
        <x:v>333</x:v>
      </x:c>
      <x:c r="G4770" s="274" t="s">
        <x:v>209</x:v>
      </x:c>
      <x:c r="I4770" s="274" t="n">
        <x:v>0.6</x:v>
      </x:c>
      <x:c r="J4770" s="274" t="n">
        <x:v>180</x:v>
      </x:c>
      <x:c r="K4770" s="274" t="n">
        <x:v>1150</x:v>
      </x:c>
      <x:c r="M4770" s="274" t="s">
        <x:v>5487</x:v>
      </x:c>
      <x:c r="N4770" s="274" t="s">
        <x:v>3671</x:v>
      </x:c>
    </x:row>
    <x:row r="4771" spans="1:14">
      <x:c r="A4771" s="274" t="s">
        <x:v>8495</x:v>
      </x:c>
      <x:c r="B4771" s="274" t="n">
        <x:v>0.56</x:v>
      </x:c>
      <x:c r="C4771" s="274" t="n">
        <x:v>0</x:v>
      </x:c>
      <x:c r="D4771" s="274" t="n">
        <x:v>0</x:v>
      </x:c>
      <x:c r="F4771" s="274" t="s">
        <x:v>333</x:v>
      </x:c>
      <x:c r="G4771" s="274" t="s">
        <x:v>209</x:v>
      </x:c>
      <x:c r="I4771" s="274" t="n">
        <x:v>0.65</x:v>
      </x:c>
      <x:c r="J4771" s="274" t="n">
        <x:v>185</x:v>
      </x:c>
      <x:c r="K4771" s="274" t="n">
        <x:v>590</x:v>
      </x:c>
      <x:c r="M4771" s="274" t="s">
        <x:v>8496</x:v>
      </x:c>
      <x:c r="N4771" s="274" t="s">
        <x:v>3671</x:v>
      </x:c>
    </x:row>
    <x:row r="4772" spans="1:14">
      <x:c r="A4772" s="274" t="s">
        <x:v>8497</x:v>
      </x:c>
      <x:c r="B4772" s="274" t="n">
        <x:v>4.12</x:v>
      </x:c>
      <x:c r="C4772" s="274" t="n">
        <x:v>0</x:v>
      </x:c>
      <x:c r="D4772" s="274" t="n">
        <x:v>0</x:v>
      </x:c>
      <x:c r="F4772" s="274" t="s">
        <x:v>133</x:v>
      </x:c>
      <x:c r="G4772" s="274" t="s">
        <x:v>136</x:v>
      </x:c>
      <x:c r="H4772" s="274" t="n">
        <x:v>45</x:v>
      </x:c>
      <x:c r="I4772" s="274" t="n">
        <x:v>0.65</x:v>
      </x:c>
      <x:c r="J4772" s="274" t="n">
        <x:v>515</x:v>
      </x:c>
      <x:c r="K4772" s="274" t="n">
        <x:v>1540</x:v>
      </x:c>
      <x:c r="M4772" s="274" t="s">
        <x:v>8498</x:v>
      </x:c>
      <x:c r="N4772" s="274" t="s">
        <x:v>3671</x:v>
      </x:c>
    </x:row>
    <x:row r="4773" spans="1:14">
      <x:c r="A4773" s="274" t="s">
        <x:v>8499</x:v>
      </x:c>
      <x:c r="B4773" s="274" t="n">
        <x:v>1.3</x:v>
      </x:c>
      <x:c r="C4773" s="274" t="n">
        <x:v>0</x:v>
      </x:c>
      <x:c r="D4773" s="274" t="n">
        <x:v>0</x:v>
      </x:c>
      <x:c r="F4773" s="274" t="s">
        <x:v>133</x:v>
      </x:c>
      <x:c r="G4773" s="274" t="s">
        <x:v>136</x:v>
      </x:c>
      <x:c r="H4773" s="274" t="n">
        <x:v>45</x:v>
      </x:c>
      <x:c r="I4773" s="274" t="n">
        <x:v>0.65</x:v>
      </x:c>
      <x:c r="J4773" s="274" t="n">
        <x:v>170</x:v>
      </x:c>
      <x:c r="K4773" s="274" t="n">
        <x:v>1478</x:v>
      </x:c>
      <x:c r="M4773" s="274" t="s">
        <x:v>8500</x:v>
      </x:c>
      <x:c r="N4773" s="274" t="s">
        <x:v>3671</x:v>
      </x:c>
    </x:row>
    <x:row r="4774" spans="1:14">
      <x:c r="A4774" s="274" t="s">
        <x:v>8501</x:v>
      </x:c>
      <x:c r="B4774" s="274" t="n">
        <x:v>0.55</x:v>
      </x:c>
      <x:c r="C4774" s="274" t="n">
        <x:v>0</x:v>
      </x:c>
      <x:c r="D4774" s="274" t="n">
        <x:v>0</x:v>
      </x:c>
      <x:c r="F4774" s="274" t="s">
        <x:v>333</x:v>
      </x:c>
      <x:c r="G4774" s="274" t="s">
        <x:v>209</x:v>
      </x:c>
      <x:c r="I4774" s="274" t="n">
        <x:v>1.2</x:v>
      </x:c>
      <x:c r="J4774" s="274" t="n">
        <x:v>320</x:v>
      </x:c>
      <x:c r="K4774" s="274" t="n">
        <x:v>183</x:v>
      </x:c>
      <x:c r="M4774" s="274" t="s">
        <x:v>8502</x:v>
      </x:c>
      <x:c r="N4774" s="274" t="s">
        <x:v>3671</x:v>
      </x:c>
    </x:row>
    <x:row r="4775" spans="1:14">
      <x:c r="A4775" s="274" t="s">
        <x:v>8503</x:v>
      </x:c>
      <x:c r="B4775" s="274" t="n">
        <x:v>0.34</x:v>
      </x:c>
      <x:c r="C4775" s="274" t="n">
        <x:v>0</x:v>
      </x:c>
      <x:c r="D4775" s="274" t="n">
        <x:v>0</x:v>
      </x:c>
      <x:c r="F4775" s="274" t="s">
        <x:v>123</x:v>
      </x:c>
      <x:c r="G4775" s="274" t="s">
        <x:v>129</x:v>
      </x:c>
      <x:c r="H4775" s="274" t="n">
        <x:v>45</x:v>
      </x:c>
      <x:c r="I4775" s="274" t="n">
        <x:v>1.4</x:v>
      </x:c>
      <x:c r="J4775" s="274" t="n">
        <x:v>145</x:v>
      </x:c>
      <x:c r="K4775" s="274" t="n">
        <x:v>210</x:v>
      </x:c>
      <x:c r="M4775" s="274" t="s">
        <x:v>5958</x:v>
      </x:c>
      <x:c r="N4775" s="274" t="s">
        <x:v>3671</x:v>
      </x:c>
    </x:row>
    <x:row r="4776" spans="1:14">
      <x:c r="A4776" s="274" t="s">
        <x:v>8504</x:v>
      </x:c>
      <x:c r="B4776" s="274" t="n">
        <x:v>0.35</x:v>
      </x:c>
      <x:c r="C4776" s="274" t="n">
        <x:v>0</x:v>
      </x:c>
      <x:c r="D4776" s="274" t="n">
        <x:v>0</x:v>
      </x:c>
      <x:c r="F4776" s="274" t="s">
        <x:v>123</x:v>
      </x:c>
      <x:c r="G4776" s="274" t="s">
        <x:v>129</x:v>
      </x:c>
      <x:c r="H4776" s="274" t="n">
        <x:v>45</x:v>
      </x:c>
      <x:c r="I4776" s="274" t="n">
        <x:v>1.4</x:v>
      </x:c>
      <x:c r="J4776" s="274" t="n">
        <x:v>154</x:v>
      </x:c>
      <x:c r="K4776" s="274" t="n">
        <x:v>205</x:v>
      </x:c>
      <x:c r="M4776" s="274" t="s">
        <x:v>6715</x:v>
      </x:c>
      <x:c r="N4776" s="274" t="s">
        <x:v>3671</x:v>
      </x:c>
    </x:row>
    <x:row r="4777" spans="1:14">
      <x:c r="A4777" s="274" t="s">
        <x:v>8505</x:v>
      </x:c>
      <x:c r="B4777" s="274" t="n">
        <x:v>1.33</x:v>
      </x:c>
      <x:c r="C4777" s="274" t="n">
        <x:v>0</x:v>
      </x:c>
      <x:c r="D4777" s="274" t="n">
        <x:v>0</x:v>
      </x:c>
      <x:c r="F4777" s="274" t="s">
        <x:v>123</x:v>
      </x:c>
      <x:c r="G4777" s="274" t="s">
        <x:v>129</x:v>
      </x:c>
      <x:c r="H4777" s="274" t="n">
        <x:v>45</x:v>
      </x:c>
      <x:c r="I4777" s="274" t="n">
        <x:v>1.4</x:v>
      </x:c>
      <x:c r="J4777" s="274" t="n">
        <x:v>256</x:v>
      </x:c>
      <x:c r="K4777" s="274" t="n">
        <x:v>470</x:v>
      </x:c>
      <x:c r="M4777" s="274" t="s">
        <x:v>5956</x:v>
      </x:c>
      <x:c r="N4777" s="274" t="s">
        <x:v>3671</x:v>
      </x:c>
    </x:row>
    <x:row r="4778" spans="1:14">
      <x:c r="A4778" s="274" t="s">
        <x:v>8506</x:v>
      </x:c>
      <x:c r="B4778" s="274" t="n">
        <x:v>0.84</x:v>
      </x:c>
      <x:c r="C4778" s="274" t="n">
        <x:v>0</x:v>
      </x:c>
      <x:c r="D4778" s="274" t="n">
        <x:v>0</x:v>
      </x:c>
      <x:c r="F4778" s="274" t="s">
        <x:v>123</x:v>
      </x:c>
      <x:c r="G4778" s="274" t="s">
        <x:v>129</x:v>
      </x:c>
      <x:c r="H4778" s="274" t="n">
        <x:v>45</x:v>
      </x:c>
      <x:c r="I4778" s="274" t="n">
        <x:v>1.4</x:v>
      </x:c>
      <x:c r="J4778" s="274" t="n">
        <x:v>554</x:v>
      </x:c>
      <x:c r="K4778" s="274" t="n">
        <x:v>137</x:v>
      </x:c>
      <x:c r="M4778" s="274" t="s">
        <x:v>5968</x:v>
      </x:c>
      <x:c r="N4778" s="274" t="s">
        <x:v>3671</x:v>
      </x:c>
    </x:row>
    <x:row r="4779" spans="1:14">
      <x:c r="A4779" s="274" t="s">
        <x:v>8507</x:v>
      </x:c>
      <x:c r="B4779" s="274" t="n">
        <x:v>4.89</x:v>
      </x:c>
      <x:c r="C4779" s="274" t="n">
        <x:v>0</x:v>
      </x:c>
      <x:c r="D4779" s="274" t="n">
        <x:v>0</x:v>
      </x:c>
      <x:c r="F4779" s="274" t="s">
        <x:v>123</x:v>
      </x:c>
      <x:c r="G4779" s="274" t="s">
        <x:v>881</x:v>
      </x:c>
      <x:c r="H4779" s="274" t="n">
        <x:v>45</x:v>
      </x:c>
      <x:c r="I4779" s="274" t="n">
        <x:v>1.4</x:v>
      </x:c>
      <x:c r="J4779" s="274" t="n">
        <x:v>520</x:v>
      </x:c>
      <x:c r="K4779" s="274" t="n">
        <x:v>848</x:v>
      </x:c>
      <x:c r="M4779" s="274" t="s">
        <x:v>5974</x:v>
      </x:c>
      <x:c r="N4779" s="274" t="s">
        <x:v>3671</x:v>
      </x:c>
    </x:row>
    <x:row r="4780" spans="1:14">
      <x:c r="A4780" s="274" t="s">
        <x:v>8508</x:v>
      </x:c>
      <x:c r="B4780" s="274" t="n">
        <x:v>0.16</x:v>
      </x:c>
      <x:c r="C4780" s="274" t="n">
        <x:v>0</x:v>
      </x:c>
      <x:c r="D4780" s="274" t="n">
        <x:v>0</x:v>
      </x:c>
      <x:c r="F4780" s="274" t="s">
        <x:v>133</x:v>
      </x:c>
      <x:c r="G4780" s="274" t="s">
        <x:v>136</x:v>
      </x:c>
      <x:c r="H4780" s="274" t="n">
        <x:v>45</x:v>
      </x:c>
      <x:c r="I4780" s="274" t="n">
        <x:v>1.4</x:v>
      </x:c>
      <x:c r="J4780" s="274" t="n">
        <x:v>98</x:v>
      </x:c>
      <x:c r="K4780" s="274" t="n">
        <x:v>145</x:v>
      </x:c>
      <x:c r="M4780" s="274" t="s">
        <x:v>5618</x:v>
      </x:c>
      <x:c r="N4780" s="274" t="s">
        <x:v>3671</x:v>
      </x:c>
    </x:row>
    <x:row r="4781" spans="1:14">
      <x:c r="A4781" s="274" t="s">
        <x:v>8509</x:v>
      </x:c>
      <x:c r="B4781" s="274" t="n">
        <x:v>0.12</x:v>
      </x:c>
      <x:c r="C4781" s="274" t="n">
        <x:v>0</x:v>
      </x:c>
      <x:c r="D4781" s="274" t="n">
        <x:v>0</x:v>
      </x:c>
      <x:c r="F4781" s="274" t="s">
        <x:v>133</x:v>
      </x:c>
      <x:c r="G4781" s="274" t="s">
        <x:v>136</x:v>
      </x:c>
      <x:c r="H4781" s="274" t="n">
        <x:v>45</x:v>
      </x:c>
      <x:c r="I4781" s="274" t="n">
        <x:v>1.4</x:v>
      </x:c>
      <x:c r="J4781" s="274" t="n">
        <x:v>174</x:v>
      </x:c>
      <x:c r="K4781" s="274" t="n">
        <x:v>61</x:v>
      </x:c>
      <x:c r="M4781" s="274" t="s">
        <x:v>5398</x:v>
      </x:c>
      <x:c r="N4781" s="274" t="s">
        <x:v>3671</x:v>
      </x:c>
    </x:row>
    <x:row r="4782" spans="1:14">
      <x:c r="A4782" s="274" t="s">
        <x:v>8510</x:v>
      </x:c>
      <x:c r="B4782" s="274" t="n">
        <x:v>1.65</x:v>
      </x:c>
      <x:c r="C4782" s="274" t="n">
        <x:v>0</x:v>
      </x:c>
      <x:c r="D4782" s="274" t="n">
        <x:v>0</x:v>
      </x:c>
      <x:c r="F4782" s="274" t="s">
        <x:v>333</x:v>
      </x:c>
      <x:c r="G4782" s="274" t="s">
        <x:v>4663</x:v>
      </x:c>
      <x:c r="I4782" s="274" t="n">
        <x:v>1.6</x:v>
      </x:c>
      <x:c r="J4782" s="274" t="n">
        <x:v>105</x:v>
      </x:c>
      <x:c r="K4782" s="274" t="n">
        <x:v>1250</x:v>
      </x:c>
      <x:c r="M4782" s="274" t="s">
        <x:v>8511</x:v>
      </x:c>
      <x:c r="N4782" s="274" t="s">
        <x:v>4258</x:v>
      </x:c>
    </x:row>
    <x:row r="4783" spans="1:14">
      <x:c r="A4783" s="274" t="s">
        <x:v>8512</x:v>
      </x:c>
      <x:c r="B4783" s="274" t="n">
        <x:v>0.64</x:v>
      </x:c>
      <x:c r="C4783" s="274" t="n">
        <x:v>0</x:v>
      </x:c>
      <x:c r="D4783" s="274" t="n">
        <x:v>0</x:v>
      </x:c>
      <x:c r="F4783" s="274" t="s">
        <x:v>133</x:v>
      </x:c>
      <x:c r="G4783" s="274" t="s">
        <x:v>136</x:v>
      </x:c>
      <x:c r="H4783" s="274" t="n">
        <x:v>45</x:v>
      </x:c>
      <x:c r="I4783" s="274" t="n">
        <x:v>1.4</x:v>
      </x:c>
      <x:c r="J4783" s="274" t="n">
        <x:v>388</x:v>
      </x:c>
      <x:c r="K4783" s="274" t="n">
        <x:v>148</x:v>
      </x:c>
      <x:c r="M4783" s="274" t="s">
        <x:v>6670</x:v>
      </x:c>
      <x:c r="N4783" s="274" t="s">
        <x:v>3671</x:v>
      </x:c>
    </x:row>
    <x:row r="4784" spans="1:14">
      <x:c r="A4784" s="274" t="s">
        <x:v>8513</x:v>
      </x:c>
      <x:c r="B4784" s="274" t="n">
        <x:v>0.82</x:v>
      </x:c>
      <x:c r="C4784" s="274" t="n">
        <x:v>0</x:v>
      </x:c>
      <x:c r="D4784" s="274" t="n">
        <x:v>0</x:v>
      </x:c>
      <x:c r="F4784" s="274" t="s">
        <x:v>133</x:v>
      </x:c>
      <x:c r="G4784" s="274" t="s">
        <x:v>136</x:v>
      </x:c>
      <x:c r="H4784" s="274" t="n">
        <x:v>45</x:v>
      </x:c>
      <x:c r="I4784" s="274" t="n">
        <x:v>1.4</x:v>
      </x:c>
      <x:c r="J4784" s="274" t="n">
        <x:v>415</x:v>
      </x:c>
      <x:c r="K4784" s="274" t="n">
        <x:v>178</x:v>
      </x:c>
      <x:c r="M4784" s="274" t="s">
        <x:v>6668</x:v>
      </x:c>
      <x:c r="N4784" s="274" t="s">
        <x:v>3671</x:v>
      </x:c>
    </x:row>
    <x:row r="4785" spans="1:14">
      <x:c r="A4785" s="274" t="s">
        <x:v>8514</x:v>
      </x:c>
      <x:c r="B4785" s="274" t="n">
        <x:v>0.72</x:v>
      </x:c>
      <x:c r="C4785" s="274" t="n">
        <x:v>0</x:v>
      </x:c>
      <x:c r="D4785" s="274" t="n">
        <x:v>0</x:v>
      </x:c>
      <x:c r="F4785" s="274" t="s">
        <x:v>133</x:v>
      </x:c>
      <x:c r="G4785" s="274" t="s">
        <x:v>144</x:v>
      </x:c>
      <x:c r="H4785" s="274" t="n">
        <x:v>45</x:v>
      </x:c>
      <x:c r="I4785" s="274" t="n">
        <x:v>1.6</x:v>
      </x:c>
      <x:c r="J4785" s="274" t="n">
        <x:v>142</x:v>
      </x:c>
      <x:c r="K4785" s="274" t="n">
        <x:v>400</x:v>
      </x:c>
      <x:c r="M4785" s="274" t="s">
        <x:v>5417</x:v>
      </x:c>
      <x:c r="N4785" s="274" t="s">
        <x:v>3671</x:v>
      </x:c>
    </x:row>
    <x:row r="4786" spans="1:14">
      <x:c r="A4786" s="274" t="s">
        <x:v>8515</x:v>
      </x:c>
      <x:c r="B4786" s="274" t="n">
        <x:v>1.16</x:v>
      </x:c>
      <x:c r="C4786" s="274" t="n">
        <x:v>0</x:v>
      </x:c>
      <x:c r="D4786" s="274" t="n">
        <x:v>0</x:v>
      </x:c>
      <x:c r="F4786" s="274" t="s">
        <x:v>184</x:v>
      </x:c>
      <x:c r="G4786" s="274" t="s">
        <x:v>3413</x:v>
      </x:c>
      <x:c r="H4786" s="274" t="n">
        <x:v>45</x:v>
      </x:c>
      <x:c r="I4786" s="274" t="n">
        <x:v>1.4</x:v>
      </x:c>
      <x:c r="J4786" s="274" t="n">
        <x:v>203</x:v>
      </x:c>
      <x:c r="K4786" s="274" t="n">
        <x:v>517</x:v>
      </x:c>
      <x:c r="M4786" s="274" t="s">
        <x:v>6320</x:v>
      </x:c>
      <x:c r="N4786" s="274" t="s">
        <x:v>3671</x:v>
      </x:c>
    </x:row>
    <x:row r="4787" spans="1:14">
      <x:c r="A4787" s="274" t="s">
        <x:v>8516</x:v>
      </x:c>
      <x:c r="B4787" s="274" t="n">
        <x:v>2.52</x:v>
      </x:c>
      <x:c r="C4787" s="274" t="n">
        <x:v>28</x:v>
      </x:c>
      <x:c r="D4787" s="274" t="n">
        <x:v>28</x:v>
      </x:c>
      <x:c r="F4787" s="274" t="s">
        <x:v>133</x:v>
      </x:c>
      <x:c r="G4787" s="274" t="s">
        <x:v>3402</x:v>
      </x:c>
      <x:c r="I4787" s="274" t="n">
        <x:v>0.75</x:v>
      </x:c>
      <x:c r="J4787" s="274" t="n">
        <x:v>720</x:v>
      </x:c>
      <x:c r="K4787" s="274" t="n">
        <x:v>750</x:v>
      </x:c>
      <x:c r="L4787" s="274" t="n">
        <x:v>440</x:v>
      </x:c>
      <x:c r="M4787" s="274" t="s">
        <x:v>3556</x:v>
      </x:c>
      <x:c r="N4787" s="274" t="s">
        <x:v>3438</x:v>
      </x:c>
    </x:row>
    <x:row r="4788" spans="1:14">
      <x:c r="A4788" s="274" t="s">
        <x:v>8517</x:v>
      </x:c>
      <x:c r="B4788" s="274" t="n">
        <x:v>1.75</x:v>
      </x:c>
      <x:c r="C4788" s="274" t="n">
        <x:v>0</x:v>
      </x:c>
      <x:c r="D4788" s="274" t="n">
        <x:v>0</x:v>
      </x:c>
      <x:c r="F4788" s="274" t="s">
        <x:v>184</x:v>
      </x:c>
      <x:c r="G4788" s="274" t="s">
        <x:v>3413</x:v>
      </x:c>
      <x:c r="H4788" s="274" t="n">
        <x:v>45</x:v>
      </x:c>
      <x:c r="I4788" s="274" t="n">
        <x:v>1.4</x:v>
      </x:c>
      <x:c r="J4788" s="274" t="n">
        <x:v>900</x:v>
      </x:c>
      <x:c r="K4788" s="274" t="n">
        <x:v>175</x:v>
      </x:c>
      <x:c r="M4788" s="274" t="s">
        <x:v>8518</x:v>
      </x:c>
      <x:c r="N4788" s="274" t="s">
        <x:v>3671</x:v>
      </x:c>
    </x:row>
    <x:row r="4789" spans="1:14">
      <x:c r="A4789" s="274" t="s">
        <x:v>8519</x:v>
      </x:c>
      <x:c r="B4789" s="274" t="n">
        <x:v>2.05</x:v>
      </x:c>
      <x:c r="C4789" s="274" t="n">
        <x:v>0</x:v>
      </x:c>
      <x:c r="D4789" s="274" t="n">
        <x:v>0</x:v>
      </x:c>
      <x:c r="F4789" s="274" t="s">
        <x:v>123</x:v>
      </x:c>
      <x:c r="G4789" s="274" t="s">
        <x:v>881</x:v>
      </x:c>
      <x:c r="H4789" s="274" t="n">
        <x:v>45</x:v>
      </x:c>
      <x:c r="I4789" s="274" t="n">
        <x:v>1.2</x:v>
      </x:c>
      <x:c r="J4789" s="274" t="n">
        <x:v>897</x:v>
      </x:c>
      <x:c r="K4789" s="274" t="n">
        <x:v>240</x:v>
      </x:c>
      <x:c r="M4789" s="274" t="s">
        <x:v>8043</x:v>
      </x:c>
      <x:c r="N4789" s="274" t="s">
        <x:v>3671</x:v>
      </x:c>
    </x:row>
    <x:row r="4790" spans="1:14">
      <x:c r="A4790" s="274" t="s">
        <x:v>8520</x:v>
      </x:c>
      <x:c r="B4790" s="274" t="n">
        <x:v>0.41</x:v>
      </x:c>
      <x:c r="C4790" s="274" t="n">
        <x:v>0</x:v>
      </x:c>
      <x:c r="D4790" s="274" t="n">
        <x:v>0</x:v>
      </x:c>
      <x:c r="F4790" s="274" t="s">
        <x:v>133</x:v>
      </x:c>
      <x:c r="G4790" s="274" t="s">
        <x:v>144</x:v>
      </x:c>
      <x:c r="H4790" s="274" t="n">
        <x:v>45</x:v>
      </x:c>
      <x:c r="I4790" s="274" t="n">
        <x:v>1.2</x:v>
      </x:c>
      <x:c r="J4790" s="274" t="n">
        <x:v>230</x:v>
      </x:c>
      <x:c r="K4790" s="274" t="n">
        <x:v>186</x:v>
      </x:c>
      <x:c r="M4790" s="274" t="s">
        <x:v>4857</x:v>
      </x:c>
      <x:c r="N4790" s="274" t="s">
        <x:v>3671</x:v>
      </x:c>
    </x:row>
    <x:row r="4791" spans="1:14">
      <x:c r="A4791" s="274" t="s">
        <x:v>8521</x:v>
      </x:c>
      <x:c r="B4791" s="274" t="n">
        <x:v>0.67</x:v>
      </x:c>
      <x:c r="C4791" s="274" t="n">
        <x:v>0</x:v>
      </x:c>
      <x:c r="D4791" s="274" t="n">
        <x:v>0</x:v>
      </x:c>
      <x:c r="F4791" s="274" t="s">
        <x:v>133</x:v>
      </x:c>
      <x:c r="G4791" s="274" t="s">
        <x:v>144</x:v>
      </x:c>
      <x:c r="H4791" s="274" t="n">
        <x:v>45</x:v>
      </x:c>
      <x:c r="I4791" s="274" t="n">
        <x:v>1.2</x:v>
      </x:c>
      <x:c r="J4791" s="274" t="n">
        <x:v>270</x:v>
      </x:c>
      <x:c r="K4791" s="274" t="n">
        <x:v>260</x:v>
      </x:c>
      <x:c r="M4791" s="274" t="s">
        <x:v>4849</x:v>
      </x:c>
      <x:c r="N4791" s="274" t="s">
        <x:v>3671</x:v>
      </x:c>
    </x:row>
    <x:row r="4792" spans="1:14">
      <x:c r="A4792" s="274" t="s">
        <x:v>8522</x:v>
      </x:c>
      <x:c r="B4792" s="274" t="n">
        <x:v>4.57</x:v>
      </x:c>
      <x:c r="C4792" s="274" t="n">
        <x:v>0</x:v>
      </x:c>
      <x:c r="D4792" s="274" t="n">
        <x:v>0</x:v>
      </x:c>
      <x:c r="F4792" s="274" t="s">
        <x:v>133</x:v>
      </x:c>
      <x:c r="G4792" s="274" t="s">
        <x:v>144</x:v>
      </x:c>
      <x:c r="H4792" s="274" t="n">
        <x:v>45</x:v>
      </x:c>
      <x:c r="I4792" s="274" t="n">
        <x:v>1.2</x:v>
      </x:c>
      <x:c r="J4792" s="274" t="n">
        <x:v>1057</x:v>
      </x:c>
      <x:c r="K4792" s="274" t="n">
        <x:v>455</x:v>
      </x:c>
      <x:c r="M4792" s="274" t="s">
        <x:v>8523</x:v>
      </x:c>
      <x:c r="N4792" s="274" t="s">
        <x:v>3671</x:v>
      </x:c>
    </x:row>
    <x:row r="4793" spans="1:14">
      <x:c r="A4793" s="274" t="s">
        <x:v>8524</x:v>
      </x:c>
      <x:c r="B4793" s="274" t="n">
        <x:v>30.54</x:v>
      </x:c>
      <x:c r="C4793" s="274" t="n">
        <x:v>0</x:v>
      </x:c>
      <x:c r="D4793" s="274" t="n">
        <x:v>0</x:v>
      </x:c>
      <x:c r="F4793" s="274" t="s">
        <x:v>123</x:v>
      </x:c>
      <x:c r="G4793" s="274" t="s">
        <x:v>1728</x:v>
      </x:c>
      <x:c r="H4793" s="274" t="s">
        <x:v>1732</x:v>
      </x:c>
      <x:c r="I4793" s="274" t="n">
        <x:v>0.65</x:v>
      </x:c>
      <x:c r="J4793" s="274" t="n">
        <x:v>1625</x:v>
      </x:c>
      <x:c r="K4793" s="274" t="n">
        <x:v>3620</x:v>
      </x:c>
      <x:c r="M4793" s="274" t="s">
        <x:v>8525</x:v>
      </x:c>
      <x:c r="N4793" s="274" t="s">
        <x:v>3671</x:v>
      </x:c>
    </x:row>
    <x:row r="4794" spans="1:14">
      <x:c r="A4794" s="274" t="s">
        <x:v>8526</x:v>
      </x:c>
      <x:c r="B4794" s="274" t="n">
        <x:v>1.21</x:v>
      </x:c>
      <x:c r="C4794" s="274" t="n">
        <x:v>0</x:v>
      </x:c>
      <x:c r="D4794" s="274" t="n">
        <x:v>0</x:v>
      </x:c>
      <x:c r="F4794" s="274" t="s">
        <x:v>133</x:v>
      </x:c>
      <x:c r="G4794" s="274" t="s">
        <x:v>136</x:v>
      </x:c>
      <x:c r="H4794" s="274" t="n">
        <x:v>45</x:v>
      </x:c>
      <x:c r="I4794" s="274" t="n">
        <x:v>1.2</x:v>
      </x:c>
      <x:c r="J4794" s="274" t="n">
        <x:v>140</x:v>
      </x:c>
      <x:c r="K4794" s="274" t="n">
        <x:v>910</x:v>
      </x:c>
      <x:c r="M4794" s="274" t="s">
        <x:v>4847</x:v>
      </x:c>
      <x:c r="N4794" s="274" t="s">
        <x:v>3671</x:v>
      </x:c>
    </x:row>
    <x:row r="4795" spans="1:14">
      <x:c r="A4795" s="274" t="s">
        <x:v>8527</x:v>
      </x:c>
      <x:c r="B4795" s="274" t="n">
        <x:v>1.8</x:v>
      </x:c>
      <x:c r="C4795" s="274" t="n">
        <x:v>0</x:v>
      </x:c>
      <x:c r="D4795" s="274" t="n">
        <x:v>0</x:v>
      </x:c>
      <x:c r="F4795" s="274" t="s">
        <x:v>333</x:v>
      </x:c>
      <x:c r="G4795" s="274" t="s">
        <x:v>209</x:v>
      </x:c>
      <x:c r="I4795" s="274" t="n">
        <x:v>1.2</x:v>
      </x:c>
      <x:c r="J4795" s="274" t="n">
        <x:v>290</x:v>
      </x:c>
      <x:c r="K4795" s="274" t="n">
        <x:v>660</x:v>
      </x:c>
      <x:c r="M4795" s="274" t="s">
        <x:v>8528</x:v>
      </x:c>
      <x:c r="N4795" s="274" t="s">
        <x:v>3671</x:v>
      </x:c>
    </x:row>
    <x:row r="4796" spans="1:14">
      <x:c r="A4796" s="274" t="s">
        <x:v>8529</x:v>
      </x:c>
      <x:c r="B4796" s="274" t="n">
        <x:v>1.22</x:v>
      </x:c>
      <x:c r="C4796" s="274" t="n">
        <x:v>0</x:v>
      </x:c>
      <x:c r="D4796" s="274" t="n">
        <x:v>0</x:v>
      </x:c>
      <x:c r="F4796" s="274" t="s">
        <x:v>123</x:v>
      </x:c>
      <x:c r="G4796" s="274" t="s">
        <x:v>129</x:v>
      </x:c>
      <x:c r="H4796" s="274" t="n">
        <x:v>45</x:v>
      </x:c>
      <x:c r="I4796" s="274" t="n">
        <x:v>0.65</x:v>
      </x:c>
      <x:c r="J4796" s="274" t="n">
        <x:v>1420</x:v>
      </x:c>
      <x:c r="K4796" s="274" t="n">
        <x:v>165</x:v>
      </x:c>
      <x:c r="M4796" s="274" t="s">
        <x:v>5939</x:v>
      </x:c>
    </x:row>
    <x:row r="4797" spans="1:14">
      <x:c r="A4797" s="274" t="s">
        <x:v>8530</x:v>
      </x:c>
      <x:c r="B4797" s="274" t="n">
        <x:v>1.97</x:v>
      </x:c>
      <x:c r="C4797" s="274" t="n">
        <x:v>0</x:v>
      </x:c>
      <x:c r="D4797" s="274" t="n">
        <x:v>0</x:v>
      </x:c>
      <x:c r="F4797" s="274" t="s">
        <x:v>128</x:v>
      </x:c>
      <x:c r="G4797" s="274" t="s">
        <x:v>334</x:v>
      </x:c>
      <x:c r="I4797" s="274" t="n">
        <x:v>1.2</x:v>
      </x:c>
      <x:c r="J4797" s="274" t="n">
        <x:v>1232</x:v>
      </x:c>
      <x:c r="K4797" s="274" t="n">
        <x:v>170</x:v>
      </x:c>
      <x:c r="M4797" s="274" t="s">
        <x:v>8531</x:v>
      </x:c>
      <x:c r="N4797" s="274" t="s">
        <x:v>3671</x:v>
      </x:c>
    </x:row>
    <x:row r="4798" spans="1:14">
      <x:c r="A4798" s="274" t="s">
        <x:v>8532</x:v>
      </x:c>
      <x:c r="B4798" s="274" t="n">
        <x:v>1.81</x:v>
      </x:c>
      <x:c r="C4798" s="274" t="n">
        <x:v>0</x:v>
      </x:c>
      <x:c r="D4798" s="274" t="n">
        <x:v>0</x:v>
      </x:c>
      <x:c r="F4798" s="274" t="s">
        <x:v>333</x:v>
      </x:c>
      <x:c r="G4798" s="274" t="s">
        <x:v>334</x:v>
      </x:c>
      <x:c r="I4798" s="274" t="n">
        <x:v>1.4</x:v>
      </x:c>
      <x:c r="J4798" s="274" t="n">
        <x:v>600</x:v>
      </x:c>
      <x:c r="K4798" s="274" t="n">
        <x:v>275</x:v>
      </x:c>
      <x:c r="M4798" s="274" t="s">
        <x:v>8211</x:v>
      </x:c>
      <x:c r="N4798" s="274" t="s">
        <x:v>3671</x:v>
      </x:c>
    </x:row>
    <x:row r="4799" spans="1:14">
      <x:c r="A4799" s="274" t="s">
        <x:v>8533</x:v>
      </x:c>
      <x:c r="B4799" s="274" t="n">
        <x:v>1.43</x:v>
      </x:c>
      <x:c r="C4799" s="274" t="n">
        <x:v>0</x:v>
      </x:c>
      <x:c r="D4799" s="274" t="n">
        <x:v>0</x:v>
      </x:c>
      <x:c r="F4799" s="274" t="s">
        <x:v>333</x:v>
      </x:c>
      <x:c r="G4799" s="274" t="s">
        <x:v>334</x:v>
      </x:c>
      <x:c r="I4799" s="274" t="n">
        <x:v>1.4</x:v>
      </x:c>
      <x:c r="J4799" s="274" t="n">
        <x:v>752</x:v>
      </x:c>
      <x:c r="K4799" s="274" t="n">
        <x:v>173</x:v>
      </x:c>
      <x:c r="M4799" s="274" t="s">
        <x:v>4339</x:v>
      </x:c>
      <x:c r="N4799" s="274" t="s">
        <x:v>3671</x:v>
      </x:c>
    </x:row>
    <x:row r="4800" spans="1:14">
      <x:c r="A4800" s="274" t="s">
        <x:v>8534</x:v>
      </x:c>
      <x:c r="B4800" s="274" t="n">
        <x:v>0.58</x:v>
      </x:c>
      <x:c r="C4800" s="274" t="n">
        <x:v>0</x:v>
      </x:c>
      <x:c r="D4800" s="274" t="n">
        <x:v>0</x:v>
      </x:c>
      <x:c r="F4800" s="274" t="s">
        <x:v>133</x:v>
      </x:c>
      <x:c r="G4800" s="274" t="s">
        <x:v>144</x:v>
      </x:c>
      <x:c r="H4800" s="274" t="n">
        <x:v>45</x:v>
      </x:c>
      <x:c r="I4800" s="274" t="n">
        <x:v>1.4</x:v>
      </x:c>
      <x:c r="J4800" s="274" t="n">
        <x:v>165</x:v>
      </x:c>
      <x:c r="K4800" s="274" t="n">
        <x:v>318</x:v>
      </x:c>
      <x:c r="M4800" s="274" t="s">
        <x:v>5396</x:v>
      </x:c>
      <x:c r="N4800" s="274" t="s">
        <x:v>3671</x:v>
      </x:c>
    </x:row>
    <x:row r="4801" spans="1:14">
      <x:c r="A4801" s="274" t="s">
        <x:v>8535</x:v>
      </x:c>
      <x:c r="B4801" s="274" t="n">
        <x:v>0.9</x:v>
      </x:c>
      <x:c r="C4801" s="274" t="n">
        <x:v>0</x:v>
      </x:c>
      <x:c r="D4801" s="274" t="n">
        <x:v>0</x:v>
      </x:c>
      <x:c r="F4801" s="274" t="s">
        <x:v>333</x:v>
      </x:c>
      <x:c r="G4801" s="274" t="s">
        <x:v>124</x:v>
      </x:c>
      <x:c r="I4801" s="274" t="n">
        <x:v>1.4</x:v>
      </x:c>
      <x:c r="J4801" s="274" t="n">
        <x:v>350</x:v>
      </x:c>
      <x:c r="K4801" s="274" t="n">
        <x:v>235</x:v>
      </x:c>
      <x:c r="M4801" s="274" t="s">
        <x:v>5400</x:v>
      </x:c>
      <x:c r="N4801" s="274" t="s">
        <x:v>3671</x:v>
      </x:c>
    </x:row>
    <x:row r="4802" spans="1:14">
      <x:c r="A4802" s="274" t="s">
        <x:v>8536</x:v>
      </x:c>
      <x:c r="B4802" s="274" t="n">
        <x:v>0.89</x:v>
      </x:c>
      <x:c r="C4802" s="274" t="n">
        <x:v>0</x:v>
      </x:c>
      <x:c r="D4802" s="274" t="n">
        <x:v>0</x:v>
      </x:c>
      <x:c r="F4802" s="274" t="s">
        <x:v>123</x:v>
      </x:c>
      <x:c r="G4802" s="274" t="s">
        <x:v>881</x:v>
      </x:c>
      <x:c r="H4802" s="274" t="n">
        <x:v>45</x:v>
      </x:c>
      <x:c r="I4802" s="274" t="n">
        <x:v>1.4</x:v>
      </x:c>
      <x:c r="J4802" s="274" t="n">
        <x:v>258</x:v>
      </x:c>
      <x:c r="K4802" s="274" t="n">
        <x:v>310</x:v>
      </x:c>
      <x:c r="M4802" s="274" t="s">
        <x:v>8537</x:v>
      </x:c>
      <x:c r="N4802" s="274" t="s">
        <x:v>3671</x:v>
      </x:c>
    </x:row>
    <x:row r="4803" spans="1:14">
      <x:c r="A4803" s="274" t="s">
        <x:v>8538</x:v>
      </x:c>
      <x:c r="B4803" s="274" t="n">
        <x:v>4.47</x:v>
      </x:c>
      <x:c r="C4803" s="274" t="n">
        <x:v>0</x:v>
      </x:c>
      <x:c r="D4803" s="274" t="n">
        <x:v>0</x:v>
      </x:c>
      <x:c r="F4803" s="274" t="s">
        <x:v>133</x:v>
      </x:c>
      <x:c r="G4803" s="274" t="s">
        <x:v>136</x:v>
      </x:c>
      <x:c r="H4803" s="274" t="n">
        <x:v>45</x:v>
      </x:c>
      <x:c r="I4803" s="274" t="n">
        <x:v>1.4</x:v>
      </x:c>
      <x:c r="J4803" s="274" t="n">
        <x:v>420</x:v>
      </x:c>
      <x:c r="K4803" s="274" t="n">
        <x:v>960</x:v>
      </x:c>
      <x:c r="M4803" s="274" t="s">
        <x:v>5394</x:v>
      </x:c>
      <x:c r="N4803" s="274" t="s">
        <x:v>3671</x:v>
      </x:c>
    </x:row>
    <x:row r="4804" spans="1:14">
      <x:c r="A4804" s="274" t="s">
        <x:v>8539</x:v>
      </x:c>
      <x:c r="B4804" s="274" t="n">
        <x:v>2.07</x:v>
      </x:c>
      <x:c r="C4804" s="274" t="n">
        <x:v>0</x:v>
      </x:c>
      <x:c r="D4804" s="274" t="n">
        <x:v>0</x:v>
      </x:c>
      <x:c r="F4804" s="274" t="s">
        <x:v>333</x:v>
      </x:c>
      <x:c r="G4804" s="274" t="s">
        <x:v>334</x:v>
      </x:c>
      <x:c r="I4804" s="274" t="n">
        <x:v>1.6</x:v>
      </x:c>
      <x:c r="J4804" s="274" t="n">
        <x:v>825</x:v>
      </x:c>
      <x:c r="K4804" s="274" t="n">
        <x:v>200</x:v>
      </x:c>
      <x:c r="M4804" s="274" t="s">
        <x:v>8540</x:v>
      </x:c>
      <x:c r="N4804" s="274" t="s">
        <x:v>3671</x:v>
      </x:c>
    </x:row>
    <x:row r="4805" spans="1:14">
      <x:c r="A4805" s="274" t="s">
        <x:v>8541</x:v>
      </x:c>
      <x:c r="B4805" s="274" t="n">
        <x:v>0.24</x:v>
      </x:c>
      <x:c r="C4805" s="274" t="n">
        <x:v>0</x:v>
      </x:c>
      <x:c r="D4805" s="274" t="n">
        <x:v>0</x:v>
      </x:c>
      <x:c r="F4805" s="274" t="s">
        <x:v>133</x:v>
      </x:c>
      <x:c r="G4805" s="274" t="s">
        <x:v>144</x:v>
      </x:c>
      <x:c r="H4805" s="274" t="n">
        <x:v>45</x:v>
      </x:c>
      <x:c r="I4805" s="274" t="n">
        <x:v>1.6</x:v>
      </x:c>
      <x:c r="J4805" s="274" t="n">
        <x:v>130</x:v>
      </x:c>
      <x:c r="K4805" s="274" t="n">
        <x:v>145</x:v>
      </x:c>
      <x:c r="M4805" s="274" t="s">
        <x:v>5419</x:v>
      </x:c>
      <x:c r="N4805" s="274" t="s">
        <x:v>3671</x:v>
      </x:c>
    </x:row>
    <x:row r="4806" spans="1:14">
      <x:c r="A4806" s="274" t="s">
        <x:v>8542</x:v>
      </x:c>
      <x:c r="B4806" s="274" t="n">
        <x:v>3.71</x:v>
      </x:c>
      <x:c r="C4806" s="274" t="n">
        <x:v>0</x:v>
      </x:c>
      <x:c r="D4806" s="274" t="n">
        <x:v>0</x:v>
      </x:c>
      <x:c r="F4806" s="274" t="s">
        <x:v>333</x:v>
      </x:c>
      <x:c r="G4806" s="274" t="s">
        <x:v>124</x:v>
      </x:c>
      <x:c r="I4806" s="274" t="n">
        <x:v>2</x:v>
      </x:c>
      <x:c r="J4806" s="274" t="n">
        <x:v>195</x:v>
      </x:c>
      <x:c r="K4806" s="274" t="n">
        <x:v>1210</x:v>
      </x:c>
      <x:c r="M4806" s="274" t="s">
        <x:v>301</x:v>
      </x:c>
      <x:c r="N4806" s="274" t="s">
        <x:v>299</x:v>
      </x:c>
    </x:row>
    <x:row r="4807" spans="1:14">
      <x:c r="A4807" s="274" t="s">
        <x:v>8543</x:v>
      </x:c>
      <x:c r="B4807" s="274" t="n">
        <x:v>4.47</x:v>
      </x:c>
      <x:c r="C4807" s="274" t="n">
        <x:v>0</x:v>
      </x:c>
      <x:c r="D4807" s="274" t="n">
        <x:v>0</x:v>
      </x:c>
      <x:c r="F4807" s="274" t="s">
        <x:v>128</x:v>
      </x:c>
      <x:c r="G4807" s="274" t="s">
        <x:v>3418</x:v>
      </x:c>
      <x:c r="H4807" s="274" t="n">
        <x:v>45</x:v>
      </x:c>
      <x:c r="I4807" s="274" t="n">
        <x:v>1.2</x:v>
      </x:c>
      <x:c r="J4807" s="274" t="n">
        <x:v>298</x:v>
      </x:c>
      <x:c r="K4807" s="274" t="n">
        <x:v>1579</x:v>
      </x:c>
      <x:c r="M4807" s="274" t="s">
        <x:v>8544</x:v>
      </x:c>
      <x:c r="N4807" s="274" t="s">
        <x:v>3671</x:v>
      </x:c>
    </x:row>
    <x:row r="4808" spans="1:14">
      <x:c r="A4808" s="274" t="s">
        <x:v>8545</x:v>
      </x:c>
      <x:c r="B4808" s="274" t="n">
        <x:v>2.55</x:v>
      </x:c>
      <x:c r="C4808" s="274" t="n">
        <x:v>0</x:v>
      </x:c>
      <x:c r="D4808" s="274" t="n">
        <x:v>36</x:v>
      </x:c>
      <x:c r="E4808" s="274" t="n">
        <x:v>33</x:v>
      </x:c>
      <x:c r="F4808" s="274" t="s">
        <x:v>311</x:v>
      </x:c>
      <x:c r="G4808" s="274" t="s">
        <x:v>828</x:v>
      </x:c>
      <x:c r="H4808" s="274" t="s">
        <x:v>837</x:v>
      </x:c>
      <x:c r="I4808" s="274" t="n">
        <x:v>0.8</x:v>
      </x:c>
      <x:c r="J4808" s="274" t="n">
        <x:v>530</x:v>
      </x:c>
      <x:c r="K4808" s="274" t="n">
        <x:v>765</x:v>
      </x:c>
      <x:c r="M4808" s="274" t="s">
        <x:v>2387</x:v>
      </x:c>
      <x:c r="N4808" s="274" t="s">
        <x:v>6623</x:v>
      </x:c>
    </x:row>
    <x:row r="4809" spans="1:14">
      <x:c r="A4809" s="274" t="s">
        <x:v>8546</x:v>
      </x:c>
      <x:c r="B4809" s="274" t="n">
        <x:v>0.61</x:v>
      </x:c>
      <x:c r="C4809" s="274" t="n">
        <x:v>0</x:v>
      </x:c>
      <x:c r="D4809" s="274" t="n">
        <x:v>0</x:v>
      </x:c>
      <x:c r="F4809" s="274" t="s">
        <x:v>333</x:v>
      </x:c>
      <x:c r="G4809" s="274" t="s">
        <x:v>209</x:v>
      </x:c>
      <x:c r="I4809" s="274" t="n">
        <x:v>0.7</x:v>
      </x:c>
      <x:c r="J4809" s="274" t="n">
        <x:v>145</x:v>
      </x:c>
      <x:c r="K4809" s="274" t="n">
        <x:v>770</x:v>
      </x:c>
      <x:c r="M4809" s="274" t="s">
        <x:v>5937</x:v>
      </x:c>
      <x:c r="N4809" s="274" t="s">
        <x:v>3671</x:v>
      </x:c>
    </x:row>
    <x:row r="4810" spans="1:14">
      <x:c r="A4810" s="274" t="s">
        <x:v>8547</x:v>
      </x:c>
      <x:c r="B4810" s="274" t="n">
        <x:v>0.32</x:v>
      </x:c>
      <x:c r="C4810" s="274" t="n">
        <x:v>0</x:v>
      </x:c>
      <x:c r="D4810" s="274" t="n">
        <x:v>0</x:v>
      </x:c>
      <x:c r="F4810" s="274" t="s">
        <x:v>333</x:v>
      </x:c>
      <x:c r="G4810" s="274" t="s">
        <x:v>153</x:v>
      </x:c>
      <x:c r="I4810" s="274" t="n">
        <x:v>0.7</x:v>
      </x:c>
      <x:c r="J4810" s="274" t="n">
        <x:v>260</x:v>
      </x:c>
      <x:c r="K4810" s="274" t="n">
        <x:v>221</x:v>
      </x:c>
      <x:c r="M4810" s="274" t="s">
        <x:v>5494</x:v>
      </x:c>
      <x:c r="N4810" s="274" t="s">
        <x:v>3671</x:v>
      </x:c>
    </x:row>
    <x:row r="4811" spans="1:14">
      <x:c r="A4811" s="274" t="s">
        <x:v>8548</x:v>
      </x:c>
      <x:c r="B4811" s="274" t="n">
        <x:v>0.43</x:v>
      </x:c>
      <x:c r="C4811" s="274" t="n">
        <x:v>0</x:v>
      </x:c>
      <x:c r="D4811" s="274" t="n">
        <x:v>0</x:v>
      </x:c>
      <x:c r="F4811" s="274" t="s">
        <x:v>133</x:v>
      </x:c>
      <x:c r="G4811" s="274" t="s">
        <x:v>136</x:v>
      </x:c>
      <x:c r="H4811" s="274" t="n">
        <x:v>45</x:v>
      </x:c>
      <x:c r="I4811" s="274" t="n">
        <x:v>0.75</x:v>
      </x:c>
      <x:c r="J4811" s="274" t="n">
        <x:v>180</x:v>
      </x:c>
      <x:c r="K4811" s="274" t="n">
        <x:v>395</x:v>
      </x:c>
      <x:c r="M4811" s="274" t="s">
        <x:v>8549</x:v>
      </x:c>
      <x:c r="N4811" s="274" t="s">
        <x:v>3671</x:v>
      </x:c>
    </x:row>
    <x:row r="4812" spans="1:14">
      <x:c r="A4812" s="274" t="s">
        <x:v>8550</x:v>
      </x:c>
      <x:c r="B4812" s="274" t="n">
        <x:v>0.48</x:v>
      </x:c>
      <x:c r="C4812" s="274" t="n">
        <x:v>0</x:v>
      </x:c>
      <x:c r="D4812" s="274" t="n">
        <x:v>0</x:v>
      </x:c>
      <x:c r="F4812" s="274" t="s">
        <x:v>133</x:v>
      </x:c>
      <x:c r="G4812" s="274" t="s">
        <x:v>136</x:v>
      </x:c>
      <x:c r="H4812" s="274" t="n">
        <x:v>45</x:v>
      </x:c>
      <x:c r="I4812" s="274" t="n">
        <x:v>0.75</x:v>
      </x:c>
      <x:c r="J4812" s="274" t="n">
        <x:v>388</x:v>
      </x:c>
      <x:c r="K4812" s="274" t="n">
        <x:v>206</x:v>
      </x:c>
      <x:c r="M4812" s="274" t="s">
        <x:v>5517</x:v>
      </x:c>
      <x:c r="N4812" s="274" t="s">
        <x:v>3671</x:v>
      </x:c>
    </x:row>
    <x:row r="4813" spans="1:14">
      <x:c r="A4813" s="274" t="s">
        <x:v>8551</x:v>
      </x:c>
      <x:c r="B4813" s="274" t="n">
        <x:v>0.38</x:v>
      </x:c>
      <x:c r="C4813" s="274" t="n">
        <x:v>0</x:v>
      </x:c>
      <x:c r="D4813" s="274" t="n">
        <x:v>0</x:v>
      </x:c>
      <x:c r="F4813" s="274" t="s">
        <x:v>133</x:v>
      </x:c>
      <x:c r="G4813" s="274" t="s">
        <x:v>136</x:v>
      </x:c>
      <x:c r="H4813" s="274" t="n">
        <x:v>45</x:v>
      </x:c>
      <x:c r="I4813" s="274" t="n">
        <x:v>0.75</x:v>
      </x:c>
      <x:c r="J4813" s="274" t="n">
        <x:v>134</x:v>
      </x:c>
      <x:c r="K4813" s="274" t="n">
        <x:v>474</x:v>
      </x:c>
      <x:c r="M4813" s="274" t="s">
        <x:v>5511</x:v>
      </x:c>
      <x:c r="N4813" s="274" t="s">
        <x:v>3671</x:v>
      </x:c>
    </x:row>
    <x:row r="4814" spans="1:14">
      <x:c r="A4814" s="274" t="s">
        <x:v>8552</x:v>
      </x:c>
      <x:c r="B4814" s="274" t="n">
        <x:v>0.49</x:v>
      </x:c>
      <x:c r="C4814" s="274" t="n">
        <x:v>0</x:v>
      </x:c>
      <x:c r="D4814" s="274" t="n">
        <x:v>0</x:v>
      </x:c>
      <x:c r="F4814" s="274" t="s">
        <x:v>133</x:v>
      </x:c>
      <x:c r="G4814" s="274" t="s">
        <x:v>136</x:v>
      </x:c>
      <x:c r="H4814" s="274" t="n">
        <x:v>45</x:v>
      </x:c>
      <x:c r="I4814" s="274" t="n">
        <x:v>0.75</x:v>
      </x:c>
      <x:c r="J4814" s="274" t="n">
        <x:v>167</x:v>
      </x:c>
      <x:c r="K4814" s="274" t="n">
        <x:v>495</x:v>
      </x:c>
      <x:c r="M4814" s="274" t="s">
        <x:v>5513</x:v>
      </x:c>
      <x:c r="N4814" s="274" t="s">
        <x:v>3671</x:v>
      </x:c>
    </x:row>
    <x:row r="4815" spans="1:14">
      <x:c r="A4815" s="274" t="s">
        <x:v>8553</x:v>
      </x:c>
      <x:c r="B4815" s="274" t="n">
        <x:v>0.11</x:v>
      </x:c>
      <x:c r="C4815" s="274" t="n">
        <x:v>0</x:v>
      </x:c>
      <x:c r="D4815" s="274" t="n">
        <x:v>0</x:v>
      </x:c>
      <x:c r="F4815" s="274" t="s">
        <x:v>133</x:v>
      </x:c>
      <x:c r="G4815" s="274" t="s">
        <x:v>136</x:v>
      </x:c>
      <x:c r="H4815" s="274" t="n">
        <x:v>45</x:v>
      </x:c>
      <x:c r="I4815" s="274" t="n">
        <x:v>0.8</x:v>
      </x:c>
      <x:c r="J4815" s="274" t="n">
        <x:v>155</x:v>
      </x:c>
      <x:c r="K4815" s="274" t="n">
        <x:v>116</x:v>
      </x:c>
      <x:c r="M4815" s="274" t="s">
        <x:v>5582</x:v>
      </x:c>
      <x:c r="N4815" s="274" t="s">
        <x:v>3671</x:v>
      </x:c>
    </x:row>
    <x:row r="4816" spans="1:14">
      <x:c r="A4816" s="274" t="s">
        <x:v>8554</x:v>
      </x:c>
      <x:c r="B4816" s="274" t="n">
        <x:v>2.02</x:v>
      </x:c>
      <x:c r="C4816" s="274" t="n">
        <x:v>0</x:v>
      </x:c>
      <x:c r="D4816" s="274" t="n">
        <x:v>0</x:v>
      </x:c>
      <x:c r="F4816" s="274" t="s">
        <x:v>333</x:v>
      </x:c>
      <x:c r="G4816" s="274" t="s">
        <x:v>124</x:v>
      </x:c>
      <x:c r="I4816" s="274" t="n">
        <x:v>0.8</x:v>
      </x:c>
      <x:c r="J4816" s="274" t="n">
        <x:v>1070</x:v>
      </x:c>
      <x:c r="K4816" s="274" t="n">
        <x:v>300</x:v>
      </x:c>
      <x:c r="M4816" s="274" t="s">
        <x:v>4985</x:v>
      </x:c>
      <x:c r="N4816" s="274" t="s">
        <x:v>3671</x:v>
      </x:c>
    </x:row>
    <x:row r="4817" spans="1:14">
      <x:c r="A4817" s="274" t="s">
        <x:v>8555</x:v>
      </x:c>
      <x:c r="B4817" s="274" t="n">
        <x:v>2.18</x:v>
      </x:c>
      <x:c r="C4817" s="274" t="n">
        <x:v>0</x:v>
      </x:c>
      <x:c r="D4817" s="274" t="n">
        <x:v>0</x:v>
      </x:c>
      <x:c r="F4817" s="274" t="s">
        <x:v>333</x:v>
      </x:c>
      <x:c r="G4817" s="274" t="s">
        <x:v>124</x:v>
      </x:c>
      <x:c r="I4817" s="274" t="n">
        <x:v>0.8</x:v>
      </x:c>
      <x:c r="J4817" s="274" t="n">
        <x:v>1100</x:v>
      </x:c>
      <x:c r="K4817" s="274" t="n">
        <x:v>315</x:v>
      </x:c>
      <x:c r="M4817" s="274" t="s">
        <x:v>4987</x:v>
      </x:c>
      <x:c r="N4817" s="274" t="s">
        <x:v>3671</x:v>
      </x:c>
    </x:row>
    <x:row r="4818" spans="1:14">
      <x:c r="A4818" s="274" t="s">
        <x:v>8556</x:v>
      </x:c>
      <x:c r="B4818" s="274" t="n">
        <x:v>1.65</x:v>
      </x:c>
      <x:c r="C4818" s="274" t="n">
        <x:v>0</x:v>
      </x:c>
      <x:c r="D4818" s="274" t="n">
        <x:v>0</x:v>
      </x:c>
      <x:c r="F4818" s="274" t="s">
        <x:v>133</x:v>
      </x:c>
      <x:c r="G4818" s="274" t="s">
        <x:v>136</x:v>
      </x:c>
      <x:c r="H4818" s="274" t="n">
        <x:v>45</x:v>
      </x:c>
      <x:c r="I4818" s="274" t="n">
        <x:v>0.9</x:v>
      </x:c>
      <x:c r="J4818" s="274" t="n">
        <x:v>630</x:v>
      </x:c>
      <x:c r="K4818" s="274" t="n">
        <x:v>365</x:v>
      </x:c>
      <x:c r="M4818" s="274" t="s">
        <x:v>4319</x:v>
      </x:c>
    </x:row>
    <x:row r="4819" spans="1:14">
      <x:c r="A4819" s="274" t="s">
        <x:v>8557</x:v>
      </x:c>
      <x:c r="B4819" s="274" t="n">
        <x:v>0.25</x:v>
      </x:c>
      <x:c r="C4819" s="274" t="n">
        <x:v>0</x:v>
      </x:c>
      <x:c r="D4819" s="274" t="n">
        <x:v>0</x:v>
      </x:c>
      <x:c r="F4819" s="274" t="s">
        <x:v>123</x:v>
      </x:c>
      <x:c r="G4819" s="274" t="s">
        <x:v>129</x:v>
      </x:c>
      <x:c r="H4819" s="274" t="n">
        <x:v>45</x:v>
      </x:c>
      <x:c r="I4819" s="274" t="n">
        <x:v>0.9</x:v>
      </x:c>
      <x:c r="J4819" s="274" t="n">
        <x:v>95</x:v>
      </x:c>
      <x:c r="K4819" s="274" t="n">
        <x:v>372</x:v>
      </x:c>
      <x:c r="M4819" s="274" t="s">
        <x:v>6919</x:v>
      </x:c>
    </x:row>
    <x:row r="4820" spans="1:14">
      <x:c r="A4820" s="274" t="s">
        <x:v>8558</x:v>
      </x:c>
      <x:c r="B4820" s="274" t="n">
        <x:v>0.33</x:v>
      </x:c>
      <x:c r="C4820" s="274" t="n">
        <x:v>0</x:v>
      </x:c>
      <x:c r="D4820" s="274" t="n">
        <x:v>0</x:v>
      </x:c>
      <x:c r="F4820" s="274" t="s">
        <x:v>123</x:v>
      </x:c>
      <x:c r="G4820" s="274" t="s">
        <x:v>129</x:v>
      </x:c>
      <x:c r="H4820" s="274" t="n">
        <x:v>45</x:v>
      </x:c>
      <x:c r="I4820" s="274" t="n">
        <x:v>0.9</x:v>
      </x:c>
      <x:c r="J4820" s="274" t="n">
        <x:v>175</x:v>
      </x:c>
      <x:c r="K4820" s="274" t="n">
        <x:v>265</x:v>
      </x:c>
      <x:c r="M4820" s="274" t="s">
        <x:v>8559</x:v>
      </x:c>
    </x:row>
    <x:row r="4821" spans="1:14">
      <x:c r="A4821" s="274" t="s">
        <x:v>8560</x:v>
      </x:c>
      <x:c r="B4821" s="274" t="n">
        <x:v>1.87</x:v>
      </x:c>
      <x:c r="C4821" s="274" t="n">
        <x:v>0</x:v>
      </x:c>
      <x:c r="D4821" s="274" t="n">
        <x:v>0</x:v>
      </x:c>
      <x:c r="F4821" s="274" t="s">
        <x:v>123</x:v>
      </x:c>
      <x:c r="G4821" s="274" t="s">
        <x:v>129</x:v>
      </x:c>
      <x:c r="H4821" s="274" t="n">
        <x:v>45</x:v>
      </x:c>
      <x:c r="I4821" s="274" t="n">
        <x:v>0.9</x:v>
      </x:c>
      <x:c r="J4821" s="274" t="n">
        <x:v>355</x:v>
      </x:c>
      <x:c r="K4821" s="274" t="n">
        <x:v>736</x:v>
      </x:c>
      <x:c r="M4821" s="274" t="s">
        <x:v>8034</x:v>
      </x:c>
    </x:row>
    <x:row r="4822" spans="1:14">
      <x:c r="A4822" s="274" t="s">
        <x:v>8561</x:v>
      </x:c>
      <x:c r="B4822" s="274" t="n">
        <x:v>2.55</x:v>
      </x:c>
      <x:c r="C4822" s="274" t="n">
        <x:v>0</x:v>
      </x:c>
      <x:c r="D4822" s="274" t="n">
        <x:v>0</x:v>
      </x:c>
      <x:c r="F4822" s="274" t="s">
        <x:v>123</x:v>
      </x:c>
      <x:c r="G4822" s="274" t="s">
        <x:v>3410</x:v>
      </x:c>
      <x:c r="I4822" s="274" t="n">
        <x:v>1.6</x:v>
      </x:c>
      <x:c r="J4822" s="274" t="n">
        <x:v>1010</x:v>
      </x:c>
      <x:c r="K4822" s="274" t="n">
        <x:v>201</x:v>
      </x:c>
      <x:c r="M4822" s="274" t="s">
        <x:v>8562</x:v>
      </x:c>
      <x:c r="N4822" s="274" t="s">
        <x:v>3671</x:v>
      </x:c>
    </x:row>
    <x:row r="4823" spans="1:14">
      <x:c r="A4823" s="274" t="s">
        <x:v>8563</x:v>
      </x:c>
      <x:c r="B4823" s="274" t="n">
        <x:v>1.58</x:v>
      </x:c>
      <x:c r="C4823" s="274" t="n">
        <x:v>0</x:v>
      </x:c>
      <x:c r="D4823" s="274" t="n">
        <x:v>0</x:v>
      </x:c>
      <x:c r="F4823" s="274" t="s">
        <x:v>123</x:v>
      </x:c>
      <x:c r="G4823" s="274" t="s">
        <x:v>881</x:v>
      </x:c>
      <x:c r="H4823" s="274" t="n">
        <x:v>45</x:v>
      </x:c>
      <x:c r="I4823" s="274" t="n">
        <x:v>1.6</x:v>
      </x:c>
      <x:c r="J4823" s="274" t="n">
        <x:v>457</x:v>
      </x:c>
      <x:c r="K4823" s="274" t="n">
        <x:v>274</x:v>
      </x:c>
      <x:c r="M4823" s="274" t="s">
        <x:v>8564</x:v>
      </x:c>
      <x:c r="N4823" s="274" t="s">
        <x:v>3671</x:v>
      </x:c>
    </x:row>
    <x:row r="4824" spans="1:14">
      <x:c r="A4824" s="274" t="s">
        <x:v>8565</x:v>
      </x:c>
      <x:c r="B4824" s="274" t="n">
        <x:v>2.39</x:v>
      </x:c>
      <x:c r="C4824" s="274" t="n">
        <x:v>0</x:v>
      </x:c>
      <x:c r="D4824" s="274" t="n">
        <x:v>0</x:v>
      </x:c>
      <x:c r="F4824" s="274" t="s">
        <x:v>123</x:v>
      </x:c>
      <x:c r="G4824" s="274" t="s">
        <x:v>881</x:v>
      </x:c>
      <x:c r="H4824" s="274" t="n">
        <x:v>45</x:v>
      </x:c>
      <x:c r="I4824" s="274" t="n">
        <x:v>1.6</x:v>
      </x:c>
      <x:c r="J4824" s="274" t="n">
        <x:v>595</x:v>
      </x:c>
      <x:c r="K4824" s="274" t="n">
        <x:v>318</x:v>
      </x:c>
      <x:c r="M4824" s="274" t="s">
        <x:v>8566</x:v>
      </x:c>
      <x:c r="N4824" s="274" t="s">
        <x:v>3671</x:v>
      </x:c>
    </x:row>
    <x:row r="4825" spans="1:14">
      <x:c r="A4825" s="274" t="s">
        <x:v>8567</x:v>
      </x:c>
      <x:c r="B4825" s="274" t="n">
        <x:v>2.36</x:v>
      </x:c>
      <x:c r="C4825" s="274" t="n">
        <x:v>0</x:v>
      </x:c>
      <x:c r="D4825" s="274" t="n">
        <x:v>0</x:v>
      </x:c>
      <x:c r="F4825" s="274" t="s">
        <x:v>123</x:v>
      </x:c>
      <x:c r="G4825" s="274" t="s">
        <x:v>881</x:v>
      </x:c>
      <x:c r="H4825" s="274" t="n">
        <x:v>45</x:v>
      </x:c>
      <x:c r="I4825" s="274" t="n">
        <x:v>1</x:v>
      </x:c>
      <x:c r="J4825" s="274" t="n">
        <x:v>725</x:v>
      </x:c>
      <x:c r="K4825" s="274" t="n">
        <x:v>410</x:v>
      </x:c>
      <x:c r="M4825" s="274" t="s">
        <x:v>8568</x:v>
      </x:c>
    </x:row>
    <x:row r="4826" spans="1:14">
      <x:c r="A4826" s="274" t="s">
        <x:v>8569</x:v>
      </x:c>
      <x:c r="B4826" s="274" t="n">
        <x:v>1.13</x:v>
      </x:c>
      <x:c r="C4826" s="274" t="n">
        <x:v>0</x:v>
      </x:c>
      <x:c r="D4826" s="274" t="n">
        <x:v>0</x:v>
      </x:c>
      <x:c r="F4826" s="274" t="s">
        <x:v>333</x:v>
      </x:c>
      <x:c r="G4826" s="274" t="s">
        <x:v>153</x:v>
      </x:c>
      <x:c r="I4826" s="274" t="n">
        <x:v>1.6</x:v>
      </x:c>
      <x:c r="J4826" s="274" t="n">
        <x:v>515</x:v>
      </x:c>
      <x:c r="K4826" s="274" t="n">
        <x:v>175</x:v>
      </x:c>
      <x:c r="M4826" s="274" t="s">
        <x:v>5423</x:v>
      </x:c>
      <x:c r="N4826" s="274" t="s">
        <x:v>3671</x:v>
      </x:c>
    </x:row>
    <x:row r="4827" spans="1:14">
      <x:c r="A4827" s="274" t="s">
        <x:v>8570</x:v>
      </x:c>
      <x:c r="B4827" s="274" t="n">
        <x:v>0.89</x:v>
      </x:c>
      <x:c r="C4827" s="274" t="n">
        <x:v>0</x:v>
      </x:c>
      <x:c r="D4827" s="274" t="n">
        <x:v>0</x:v>
      </x:c>
      <x:c r="F4827" s="274" t="s">
        <x:v>333</x:v>
      </x:c>
      <x:c r="G4827" s="274" t="s">
        <x:v>124</x:v>
      </x:c>
      <x:c r="I4827" s="274" t="n">
        <x:v>1.6</x:v>
      </x:c>
      <x:c r="J4827" s="274" t="n">
        <x:v>115</x:v>
      </x:c>
      <x:c r="K4827" s="274" t="n">
        <x:v>613</x:v>
      </x:c>
      <x:c r="M4827" s="274" t="s">
        <x:v>5427</x:v>
      </x:c>
    </x:row>
    <x:row r="4828" spans="1:14">
      <x:c r="A4828" s="274" t="s">
        <x:v>8571</x:v>
      </x:c>
      <x:c r="B4828" s="274" t="n">
        <x:v>0.51</x:v>
      </x:c>
      <x:c r="C4828" s="274" t="n">
        <x:v>0</x:v>
      </x:c>
      <x:c r="D4828" s="274" t="n">
        <x:v>0</x:v>
      </x:c>
      <x:c r="F4828" s="274" t="s">
        <x:v>123</x:v>
      </x:c>
      <x:c r="G4828" s="274" t="s">
        <x:v>129</x:v>
      </x:c>
      <x:c r="H4828" s="274" t="n">
        <x:v>45</x:v>
      </x:c>
      <x:c r="I4828" s="274" t="n">
        <x:v>0.7</x:v>
      </x:c>
      <x:c r="J4828" s="274" t="n">
        <x:v>222</x:v>
      </x:c>
      <x:c r="K4828" s="274" t="n">
        <x:v>415</x:v>
      </x:c>
      <x:c r="M4828" s="274" t="s">
        <x:v>1112</x:v>
      </x:c>
      <x:c r="N4828" s="274" t="s">
        <x:v>299</x:v>
      </x:c>
    </x:row>
    <x:row r="4829" spans="1:14">
      <x:c r="A4829" s="274" t="s">
        <x:v>8572</x:v>
      </x:c>
      <x:c r="B4829" s="274" t="n">
        <x:v>0.24</x:v>
      </x:c>
      <x:c r="C4829" s="274" t="n">
        <x:v>0</x:v>
      </x:c>
      <x:c r="D4829" s="274" t="n">
        <x:v>0</x:v>
      </x:c>
      <x:c r="F4829" s="274" t="s">
        <x:v>123</x:v>
      </x:c>
      <x:c r="G4829" s="274" t="s">
        <x:v>129</x:v>
      </x:c>
      <x:c r="H4829" s="274" t="n">
        <x:v>45</x:v>
      </x:c>
      <x:c r="I4829" s="274" t="n">
        <x:v>1.6</x:v>
      </x:c>
      <x:c r="J4829" s="274" t="n">
        <x:v>100</x:v>
      </x:c>
      <x:c r="K4829" s="274" t="n">
        <x:v>190</x:v>
      </x:c>
      <x:c r="M4829" s="274" t="s">
        <x:v>8573</x:v>
      </x:c>
      <x:c r="N4829" s="274" t="s">
        <x:v>3671</x:v>
      </x:c>
    </x:row>
    <x:row r="4830" spans="1:14">
      <x:c r="A4830" s="274" t="s">
        <x:v>8574</x:v>
      </x:c>
      <x:c r="B4830" s="274" t="n">
        <x:v>0.19</x:v>
      </x:c>
      <x:c r="C4830" s="274" t="n">
        <x:v>0</x:v>
      </x:c>
      <x:c r="D4830" s="274" t="n">
        <x:v>0</x:v>
      </x:c>
      <x:c r="F4830" s="274" t="s">
        <x:v>123</x:v>
      </x:c>
      <x:c r="G4830" s="274" t="s">
        <x:v>129</x:v>
      </x:c>
      <x:c r="H4830" s="274" t="n">
        <x:v>45</x:v>
      </x:c>
      <x:c r="I4830" s="274" t="n">
        <x:v>1.6</x:v>
      </x:c>
      <x:c r="J4830" s="274" t="n">
        <x:v>119</x:v>
      </x:c>
      <x:c r="K4830" s="274" t="n">
        <x:v>126</x:v>
      </x:c>
      <x:c r="M4830" s="274" t="s">
        <x:v>5986</x:v>
      </x:c>
      <x:c r="N4830" s="274" t="s">
        <x:v>3671</x:v>
      </x:c>
    </x:row>
    <x:row r="4831" spans="1:14">
      <x:c r="A4831" s="274" t="s">
        <x:v>8575</x:v>
      </x:c>
      <x:c r="B4831" s="274" t="n">
        <x:v>0.2</x:v>
      </x:c>
      <x:c r="C4831" s="274" t="n">
        <x:v>0</x:v>
      </x:c>
      <x:c r="D4831" s="274" t="n">
        <x:v>0</x:v>
      </x:c>
      <x:c r="F4831" s="274" t="s">
        <x:v>123</x:v>
      </x:c>
      <x:c r="G4831" s="274" t="s">
        <x:v>129</x:v>
      </x:c>
      <x:c r="H4831" s="274" t="n">
        <x:v>45</x:v>
      </x:c>
      <x:c r="I4831" s="274" t="n">
        <x:v>1.6</x:v>
      </x:c>
      <x:c r="J4831" s="274" t="n">
        <x:v>130</x:v>
      </x:c>
      <x:c r="K4831" s="274" t="n">
        <x:v>120</x:v>
      </x:c>
      <x:c r="M4831" s="274" t="s">
        <x:v>6000</x:v>
      </x:c>
      <x:c r="N4831" s="274" t="s">
        <x:v>3671</x:v>
      </x:c>
    </x:row>
    <x:row r="4832" spans="1:14">
      <x:c r="A4832" s="274" t="s">
        <x:v>8576</x:v>
      </x:c>
      <x:c r="B4832" s="274" t="n">
        <x:v>0.25</x:v>
      </x:c>
      <x:c r="C4832" s="274" t="n">
        <x:v>0</x:v>
      </x:c>
      <x:c r="D4832" s="274" t="n">
        <x:v>0</x:v>
      </x:c>
      <x:c r="F4832" s="274" t="s">
        <x:v>133</x:v>
      </x:c>
      <x:c r="G4832" s="274" t="s">
        <x:v>136</x:v>
      </x:c>
      <x:c r="H4832" s="274" t="n">
        <x:v>45</x:v>
      </x:c>
      <x:c r="I4832" s="274" t="n">
        <x:v>1.6</x:v>
      </x:c>
      <x:c r="J4832" s="274" t="n">
        <x:v>132</x:v>
      </x:c>
      <x:c r="K4832" s="274" t="n">
        <x:v>150</x:v>
      </x:c>
      <x:c r="M4832" s="274" t="s">
        <x:v>6006</x:v>
      </x:c>
      <x:c r="N4832" s="274" t="s">
        <x:v>3671</x:v>
      </x:c>
    </x:row>
    <x:row r="4833" spans="1:14">
      <x:c r="A4833" s="274" t="s">
        <x:v>8577</x:v>
      </x:c>
      <x:c r="B4833" s="274" t="n">
        <x:v>0.71</x:v>
      </x:c>
      <x:c r="C4833" s="274" t="n">
        <x:v>0</x:v>
      </x:c>
      <x:c r="D4833" s="274" t="n">
        <x:v>0</x:v>
      </x:c>
      <x:c r="F4833" s="274" t="s">
        <x:v>133</x:v>
      </x:c>
      <x:c r="G4833" s="274" t="s">
        <x:v>136</x:v>
      </x:c>
      <x:c r="H4833" s="274" t="n">
        <x:v>45</x:v>
      </x:c>
      <x:c r="I4833" s="274" t="n">
        <x:v>1.6</x:v>
      </x:c>
      <x:c r="J4833" s="274" t="n">
        <x:v>185</x:v>
      </x:c>
      <x:c r="K4833" s="274" t="n">
        <x:v>305</x:v>
      </x:c>
      <x:c r="M4833" s="274" t="s">
        <x:v>5411</x:v>
      </x:c>
      <x:c r="N4833" s="274" t="s">
        <x:v>3671</x:v>
      </x:c>
    </x:row>
    <x:row r="4834" spans="1:14">
      <x:c r="A4834" s="274" t="s">
        <x:v>8578</x:v>
      </x:c>
      <x:c r="B4834" s="274" t="n">
        <x:v>0.52</x:v>
      </x:c>
      <x:c r="C4834" s="274" t="n">
        <x:v>0</x:v>
      </x:c>
      <x:c r="D4834" s="274" t="n">
        <x:v>0</x:v>
      </x:c>
      <x:c r="F4834" s="274" t="s">
        <x:v>133</x:v>
      </x:c>
      <x:c r="G4834" s="274" t="s">
        <x:v>136</x:v>
      </x:c>
      <x:c r="H4834" s="274" t="n">
        <x:v>45</x:v>
      </x:c>
      <x:c r="I4834" s="274" t="n">
        <x:v>1.6</x:v>
      </x:c>
      <x:c r="J4834" s="274" t="n">
        <x:v>277</x:v>
      </x:c>
      <x:c r="K4834" s="274" t="n">
        <x:v>149</x:v>
      </x:c>
      <x:c r="M4834" s="274" t="s">
        <x:v>5411</x:v>
      </x:c>
      <x:c r="N4834" s="274" t="s">
        <x:v>3671</x:v>
      </x:c>
    </x:row>
    <x:row r="4835" spans="1:14">
      <x:c r="A4835" s="274" t="s">
        <x:v>8579</x:v>
      </x:c>
      <x:c r="B4835" s="274" t="n">
        <x:v>0.62</x:v>
      </x:c>
      <x:c r="C4835" s="274" t="n">
        <x:v>0</x:v>
      </x:c>
      <x:c r="D4835" s="274" t="n">
        <x:v>0</x:v>
      </x:c>
      <x:c r="F4835" s="274" t="s">
        <x:v>133</x:v>
      </x:c>
      <x:c r="G4835" s="274" t="s">
        <x:v>136</x:v>
      </x:c>
      <x:c r="H4835" s="274" t="n">
        <x:v>45</x:v>
      </x:c>
      <x:c r="I4835" s="274" t="n">
        <x:v>1.6</x:v>
      </x:c>
      <x:c r="J4835" s="274" t="n">
        <x:v>280</x:v>
      </x:c>
      <x:c r="K4835" s="274" t="n">
        <x:v>175</x:v>
      </x:c>
      <x:c r="M4835" s="274" t="s">
        <x:v>6004</x:v>
      </x:c>
      <x:c r="N4835" s="274" t="s">
        <x:v>3671</x:v>
      </x:c>
    </x:row>
    <x:row r="4836" spans="1:14">
      <x:c r="A4836" s="274" t="s">
        <x:v>8580</x:v>
      </x:c>
      <x:c r="B4836" s="274" t="n">
        <x:v>1</x:v>
      </x:c>
      <x:c r="C4836" s="274" t="n">
        <x:v>0</x:v>
      </x:c>
      <x:c r="D4836" s="274" t="n">
        <x:v>0</x:v>
      </x:c>
      <x:c r="F4836" s="274" t="s">
        <x:v>133</x:v>
      </x:c>
      <x:c r="G4836" s="274" t="s">
        <x:v>136</x:v>
      </x:c>
      <x:c r="H4836" s="274" t="n">
        <x:v>45</x:v>
      </x:c>
      <x:c r="I4836" s="274" t="n">
        <x:v>1.6</x:v>
      </x:c>
      <x:c r="J4836" s="274" t="n">
        <x:v>352</x:v>
      </x:c>
      <x:c r="K4836" s="274" t="n">
        <x:v>224</x:v>
      </x:c>
      <x:c r="M4836" s="274" t="s">
        <x:v>5413</x:v>
      </x:c>
      <x:c r="N4836" s="274" t="s">
        <x:v>3671</x:v>
      </x:c>
    </x:row>
    <x:row r="4837" spans="1:14">
      <x:c r="A4837" s="274" t="s">
        <x:v>8581</x:v>
      </x:c>
      <x:c r="B4837" s="274" t="n">
        <x:v>0.42</x:v>
      </x:c>
      <x:c r="C4837" s="274" t="n">
        <x:v>0</x:v>
      </x:c>
      <x:c r="D4837" s="274" t="n">
        <x:v>0</x:v>
      </x:c>
      <x:c r="F4837" s="274" t="s">
        <x:v>333</x:v>
      </x:c>
      <x:c r="G4837" s="274" t="s">
        <x:v>334</x:v>
      </x:c>
      <x:c r="I4837" s="274" t="n">
        <x:v>1.2</x:v>
      </x:c>
      <x:c r="J4837" s="274" t="n">
        <x:v>219</x:v>
      </x:c>
      <x:c r="K4837" s="274" t="n">
        <x:v>204</x:v>
      </x:c>
      <x:c r="M4837" s="274" t="s">
        <x:v>8582</x:v>
      </x:c>
      <x:c r="N4837" s="274" t="s">
        <x:v>3671</x:v>
      </x:c>
    </x:row>
    <x:row r="4838" spans="1:14">
      <x:c r="A4838" s="274" t="s">
        <x:v>8583</x:v>
      </x:c>
      <x:c r="B4838" s="274" t="n">
        <x:v>0.28</x:v>
      </x:c>
      <x:c r="C4838" s="274" t="n">
        <x:v>0</x:v>
      </x:c>
      <x:c r="D4838" s="274" t="n">
        <x:v>0</x:v>
      </x:c>
      <x:c r="F4838" s="274" t="s">
        <x:v>333</x:v>
      </x:c>
      <x:c r="G4838" s="274" t="s">
        <x:v>124</x:v>
      </x:c>
      <x:c r="I4838" s="274" t="n">
        <x:v>1.2</x:v>
      </x:c>
      <x:c r="J4838" s="274" t="n">
        <x:v>170</x:v>
      </x:c>
      <x:c r="K4838" s="274" t="n">
        <x:v>172</x:v>
      </x:c>
      <x:c r="M4838" s="274" t="s">
        <x:v>4841</x:v>
      </x:c>
      <x:c r="N4838" s="274" t="s">
        <x:v>3671</x:v>
      </x:c>
    </x:row>
    <x:row r="4839" spans="1:14">
      <x:c r="A4839" s="274" t="s">
        <x:v>8584</x:v>
      </x:c>
      <x:c r="B4839" s="274" t="n">
        <x:v>1.05</x:v>
      </x:c>
      <x:c r="C4839" s="274" t="n">
        <x:v>0</x:v>
      </x:c>
      <x:c r="D4839" s="274" t="n">
        <x:v>0</x:v>
      </x:c>
      <x:c r="F4839" s="274" t="s">
        <x:v>333</x:v>
      </x:c>
      <x:c r="G4839" s="274" t="s">
        <x:v>124</x:v>
      </x:c>
      <x:c r="I4839" s="274" t="n">
        <x:v>1.2</x:v>
      </x:c>
      <x:c r="J4839" s="274" t="n">
        <x:v>216</x:v>
      </x:c>
      <x:c r="K4839" s="274" t="n">
        <x:v>516</x:v>
      </x:c>
      <x:c r="M4839" s="274" t="s">
        <x:v>4843</x:v>
      </x:c>
      <x:c r="N4839" s="274" t="s">
        <x:v>3671</x:v>
      </x:c>
    </x:row>
    <x:row r="4840" spans="1:14">
      <x:c r="A4840" s="274" t="s">
        <x:v>8585</x:v>
      </x:c>
      <x:c r="B4840" s="274" t="n">
        <x:v>1.21</x:v>
      </x:c>
      <x:c r="C4840" s="274" t="n">
        <x:v>0</x:v>
      </x:c>
      <x:c r="D4840" s="274" t="n">
        <x:v>0</x:v>
      </x:c>
      <x:c r="F4840" s="274" t="s">
        <x:v>333</x:v>
      </x:c>
      <x:c r="G4840" s="274" t="s">
        <x:v>124</x:v>
      </x:c>
      <x:c r="I4840" s="274" t="n">
        <x:v>1.2</x:v>
      </x:c>
      <x:c r="J4840" s="274" t="n">
        <x:v>236</x:v>
      </x:c>
      <x:c r="K4840" s="274" t="n">
        <x:v>546</x:v>
      </x:c>
      <x:c r="M4840" s="274" t="s">
        <x:v>8586</x:v>
      </x:c>
      <x:c r="N4840" s="274" t="s">
        <x:v>3671</x:v>
      </x:c>
    </x:row>
    <x:row r="4841" spans="1:14">
      <x:c r="A4841" s="274" t="s">
        <x:v>8587</x:v>
      </x:c>
      <x:c r="B4841" s="274" t="n">
        <x:v>0.36</x:v>
      </x:c>
      <x:c r="C4841" s="274" t="n">
        <x:v>0</x:v>
      </x:c>
      <x:c r="D4841" s="274" t="n">
        <x:v>0</x:v>
      </x:c>
      <x:c r="F4841" s="274" t="s">
        <x:v>333</x:v>
      </x:c>
      <x:c r="G4841" s="274" t="s">
        <x:v>124</x:v>
      </x:c>
      <x:c r="I4841" s="274" t="n">
        <x:v>1.2</x:v>
      </x:c>
      <x:c r="J4841" s="274" t="n">
        <x:v>394</x:v>
      </x:c>
      <x:c r="K4841" s="274" t="n">
        <x:v>98</x:v>
      </x:c>
      <x:c r="M4841" s="274" t="s">
        <x:v>4839</x:v>
      </x:c>
      <x:c r="N4841" s="274" t="s">
        <x:v>3671</x:v>
      </x:c>
    </x:row>
    <x:row r="4842" spans="1:14">
      <x:c r="A4842" s="274" t="s">
        <x:v>8588</x:v>
      </x:c>
      <x:c r="B4842" s="274" t="n">
        <x:v>3.27</x:v>
      </x:c>
      <x:c r="C4842" s="274" t="n">
        <x:v>0</x:v>
      </x:c>
      <x:c r="D4842" s="274" t="n">
        <x:v>0</x:v>
      </x:c>
      <x:c r="F4842" s="274" t="s">
        <x:v>123</x:v>
      </x:c>
      <x:c r="G4842" s="274" t="s">
        <x:v>881</x:v>
      </x:c>
      <x:c r="H4842" s="274" t="n">
        <x:v>45</x:v>
      </x:c>
      <x:c r="I4842" s="274" t="n">
        <x:v>2</x:v>
      </x:c>
      <x:c r="J4842" s="274" t="n">
        <x:v>920</x:v>
      </x:c>
      <x:c r="K4842" s="274" t="n">
        <x:v>225</x:v>
      </x:c>
      <x:c r="M4842" s="274" t="s">
        <x:v>6020</x:v>
      </x:c>
      <x:c r="N4842" s="274" t="s">
        <x:v>3671</x:v>
      </x:c>
    </x:row>
    <x:row r="4843" spans="1:14">
      <x:c r="A4843" s="274" t="s">
        <x:v>8589</x:v>
      </x:c>
      <x:c r="B4843" s="274" t="n">
        <x:v>3.02</x:v>
      </x:c>
      <x:c r="C4843" s="274" t="n">
        <x:v>0</x:v>
      </x:c>
      <x:c r="D4843" s="274" t="n">
        <x:v>0</x:v>
      </x:c>
      <x:c r="F4843" s="274" t="s">
        <x:v>123</x:v>
      </x:c>
      <x:c r="G4843" s="274" t="s">
        <x:v>881</x:v>
      </x:c>
      <x:c r="H4843" s="274" t="n">
        <x:v>45</x:v>
      </x:c>
      <x:c r="I4843" s="274" t="n">
        <x:v>2</x:v>
      </x:c>
      <x:c r="J4843" s="274" t="n">
        <x:v>942</x:v>
      </x:c>
      <x:c r="K4843" s="274" t="n">
        <x:v>203</x:v>
      </x:c>
      <x:c r="M4843" s="274" t="s">
        <x:v>6018</x:v>
      </x:c>
      <x:c r="N4843" s="274" t="s">
        <x:v>3671</x:v>
      </x:c>
    </x:row>
    <x:row r="4844" spans="1:14">
      <x:c r="A4844" s="274" t="s">
        <x:v>8590</x:v>
      </x:c>
      <x:c r="B4844" s="274" t="n">
        <x:v>0.43</x:v>
      </x:c>
      <x:c r="C4844" s="274" t="n">
        <x:v>0</x:v>
      </x:c>
      <x:c r="D4844" s="274" t="n">
        <x:v>0</x:v>
      </x:c>
      <x:c r="F4844" s="274" t="s">
        <x:v>133</x:v>
      </x:c>
      <x:c r="G4844" s="274" t="s">
        <x:v>144</x:v>
      </x:c>
      <x:c r="H4844" s="274" t="n">
        <x:v>45</x:v>
      </x:c>
      <x:c r="I4844" s="274" t="n">
        <x:v>2</x:v>
      </x:c>
      <x:c r="J4844" s="274" t="n">
        <x:v>175</x:v>
      </x:c>
      <x:c r="K4844" s="274" t="n">
        <x:v>155</x:v>
      </x:c>
      <x:c r="M4844" s="274" t="s">
        <x:v>5435</x:v>
      </x:c>
    </x:row>
    <x:row r="4845" spans="1:14">
      <x:c r="A4845" s="274" t="s">
        <x:v>8591</x:v>
      </x:c>
      <x:c r="B4845" s="274" t="n">
        <x:v>0.45</x:v>
      </x:c>
      <x:c r="C4845" s="274" t="n">
        <x:v>0</x:v>
      </x:c>
      <x:c r="D4845" s="274" t="n">
        <x:v>0</x:v>
      </x:c>
      <x:c r="F4845" s="274" t="s">
        <x:v>133</x:v>
      </x:c>
      <x:c r="G4845" s="274" t="s">
        <x:v>144</x:v>
      </x:c>
      <x:c r="H4845" s="274" t="n">
        <x:v>45</x:v>
      </x:c>
      <x:c r="I4845" s="274" t="n">
        <x:v>2</x:v>
      </x:c>
      <x:c r="J4845" s="274" t="n">
        <x:v>180</x:v>
      </x:c>
      <x:c r="K4845" s="274" t="n">
        <x:v>160</x:v>
      </x:c>
      <x:c r="M4845" s="274" t="s">
        <x:v>6888</x:v>
      </x:c>
      <x:c r="N4845" s="274" t="s">
        <x:v>3671</x:v>
      </x:c>
    </x:row>
    <x:row r="4846" spans="1:14">
      <x:c r="A4846" s="274" t="s">
        <x:v>8592</x:v>
      </x:c>
      <x:c r="B4846" s="274" t="n">
        <x:v>0.31</x:v>
      </x:c>
      <x:c r="C4846" s="274" t="n">
        <x:v>0</x:v>
      </x:c>
      <x:c r="D4846" s="274" t="n">
        <x:v>0</x:v>
      </x:c>
      <x:c r="F4846" s="274" t="s">
        <x:v>133</x:v>
      </x:c>
      <x:c r="G4846" s="274" t="s">
        <x:v>144</x:v>
      </x:c>
      <x:c r="H4846" s="274" t="n">
        <x:v>45</x:v>
      </x:c>
      <x:c r="I4846" s="274" t="n">
        <x:v>2</x:v>
      </x:c>
      <x:c r="J4846" s="274" t="n">
        <x:v>180</x:v>
      </x:c>
      <x:c r="K4846" s="274" t="n">
        <x:v>110</x:v>
      </x:c>
      <x:c r="M4846" s="274" t="s">
        <x:v>6727</x:v>
      </x:c>
      <x:c r="N4846" s="274" t="s">
        <x:v>3671</x:v>
      </x:c>
    </x:row>
    <x:row r="4847" spans="1:14">
      <x:c r="A4847" s="274" t="s">
        <x:v>8593</x:v>
      </x:c>
      <x:c r="B4847" s="274" t="n">
        <x:v>0.48</x:v>
      </x:c>
      <x:c r="C4847" s="274" t="n">
        <x:v>0</x:v>
      </x:c>
      <x:c r="D4847" s="274" t="n">
        <x:v>0</x:v>
      </x:c>
      <x:c r="F4847" s="274" t="s">
        <x:v>133</x:v>
      </x:c>
      <x:c r="G4847" s="274" t="s">
        <x:v>144</x:v>
      </x:c>
      <x:c r="H4847" s="274" t="n">
        <x:v>45</x:v>
      </x:c>
      <x:c r="I4847" s="274" t="n">
        <x:v>2</x:v>
      </x:c>
      <x:c r="J4847" s="274" t="n">
        <x:v>195</x:v>
      </x:c>
      <x:c r="K4847" s="274" t="n">
        <x:v>155</x:v>
      </x:c>
      <x:c r="M4847" s="274" t="s">
        <x:v>6725</x:v>
      </x:c>
    </x:row>
    <x:row r="4848" spans="1:14">
      <x:c r="A4848" s="274" t="s">
        <x:v>8594</x:v>
      </x:c>
      <x:c r="B4848" s="274" t="n">
        <x:v>0.38</x:v>
      </x:c>
      <x:c r="C4848" s="274" t="n">
        <x:v>0</x:v>
      </x:c>
      <x:c r="D4848" s="274" t="n">
        <x:v>0</x:v>
      </x:c>
      <x:c r="F4848" s="274" t="s">
        <x:v>133</x:v>
      </x:c>
      <x:c r="G4848" s="274" t="s">
        <x:v>144</x:v>
      </x:c>
      <x:c r="H4848" s="274" t="n">
        <x:v>45</x:v>
      </x:c>
      <x:c r="I4848" s="274" t="n">
        <x:v>2</x:v>
      </x:c>
      <x:c r="J4848" s="274" t="n">
        <x:v>210</x:v>
      </x:c>
      <x:c r="K4848" s="274" t="n">
        <x:v>115</x:v>
      </x:c>
      <x:c r="M4848" s="274" t="s">
        <x:v>6729</x:v>
      </x:c>
    </x:row>
    <x:row r="4849" spans="1:14">
      <x:c r="A4849" s="274" t="s">
        <x:v>8595</x:v>
      </x:c>
      <x:c r="B4849" s="274" t="n">
        <x:v>4.85</x:v>
      </x:c>
      <x:c r="C4849" s="274" t="n">
        <x:v>18</x:v>
      </x:c>
      <x:c r="D4849" s="274" t="n">
        <x:v>27</x:v>
      </x:c>
      <x:c r="E4849" s="274" t="n">
        <x:v>23</x:v>
      </x:c>
      <x:c r="F4849" s="274" t="s">
        <x:v>128</x:v>
      </x:c>
      <x:c r="G4849" s="274" t="s">
        <x:v>3410</x:v>
      </x:c>
      <x:c r="I4849" s="274" t="n">
        <x:v>2</x:v>
      </x:c>
      <x:c r="J4849" s="274" t="n">
        <x:v>245</x:v>
      </x:c>
      <x:c r="K4849" s="274" t="n">
        <x:v>1260</x:v>
      </x:c>
      <x:c r="M4849" s="274" t="s">
        <x:v>8596</x:v>
      </x:c>
    </x:row>
    <x:row r="4850" spans="1:14">
      <x:c r="A4850" s="274" t="s">
        <x:v>8597</x:v>
      </x:c>
      <x:c r="B4850" s="274" t="n">
        <x:v>1.5</x:v>
      </x:c>
      <x:c r="C4850" s="274" t="n">
        <x:v>0</x:v>
      </x:c>
      <x:c r="D4850" s="274" t="n">
        <x:v>0</x:v>
      </x:c>
      <x:c r="F4850" s="274" t="s">
        <x:v>333</x:v>
      </x:c>
      <x:c r="G4850" s="274" t="s">
        <x:v>334</x:v>
      </x:c>
      <x:c r="I4850" s="274" t="n">
        <x:v>1.8</x:v>
      </x:c>
      <x:c r="J4850" s="274" t="n">
        <x:v>155</x:v>
      </x:c>
      <x:c r="K4850" s="274" t="n">
        <x:v>685</x:v>
      </x:c>
      <x:c r="M4850" s="274" t="s">
        <x:v>5431</x:v>
      </x:c>
    </x:row>
    <x:row r="4851" spans="1:14">
      <x:c r="A4851" s="274" t="s">
        <x:v>8598</x:v>
      </x:c>
      <x:c r="B4851" s="274" t="n">
        <x:v>2.08</x:v>
      </x:c>
      <x:c r="C4851" s="274" t="n">
        <x:v>0</x:v>
      </x:c>
      <x:c r="D4851" s="274" t="n">
        <x:v>0</x:v>
      </x:c>
      <x:c r="F4851" s="274" t="s">
        <x:v>123</x:v>
      </x:c>
      <x:c r="G4851" s="274" t="s">
        <x:v>129</x:v>
      </x:c>
      <x:c r="H4851" s="274" t="n">
        <x:v>45</x:v>
      </x:c>
      <x:c r="I4851" s="274" t="n">
        <x:v>1.8</x:v>
      </x:c>
      <x:c r="J4851" s="274" t="n">
        <x:v>203</x:v>
      </x:c>
      <x:c r="K4851" s="274" t="n">
        <x:v>720</x:v>
      </x:c>
      <x:c r="M4851" s="274" t="s">
        <x:v>8599</x:v>
      </x:c>
      <x:c r="N4851" s="274" t="s">
        <x:v>3671</x:v>
      </x:c>
    </x:row>
    <x:row r="4852" spans="1:14">
      <x:c r="A4852" s="274" t="s">
        <x:v>8600</x:v>
      </x:c>
      <x:c r="B4852" s="274" t="n">
        <x:v>0.93</x:v>
      </x:c>
      <x:c r="C4852" s="274" t="n">
        <x:v>0</x:v>
      </x:c>
      <x:c r="D4852" s="274" t="n">
        <x:v>0</x:v>
      </x:c>
      <x:c r="F4852" s="274" t="s">
        <x:v>333</x:v>
      </x:c>
      <x:c r="G4852" s="274" t="s">
        <x:v>153</x:v>
      </x:c>
      <x:c r="I4852" s="274" t="n">
        <x:v>1.8</x:v>
      </x:c>
      <x:c r="J4852" s="274" t="n">
        <x:v>275</x:v>
      </x:c>
      <x:c r="K4852" s="274" t="n">
        <x:v>240</x:v>
      </x:c>
      <x:c r="M4852" s="274" t="s">
        <x:v>5433</x:v>
      </x:c>
      <x:c r="N4852" s="274" t="s">
        <x:v>3671</x:v>
      </x:c>
    </x:row>
    <x:row r="4853" spans="1:14">
      <x:c r="A4853" s="274" t="s">
        <x:v>8601</x:v>
      </x:c>
      <x:c r="B4853" s="274" t="n">
        <x:v>1.83</x:v>
      </x:c>
      <x:c r="C4853" s="274" t="n">
        <x:v>35</x:v>
      </x:c>
      <x:c r="D4853" s="274" t="n">
        <x:v>45</x:v>
      </x:c>
      <x:c r="E4853" s="274" t="n">
        <x:v>40</x:v>
      </x:c>
      <x:c r="F4853" s="274" t="s">
        <x:v>123</x:v>
      </x:c>
      <x:c r="G4853" s="274" t="s">
        <x:v>129</x:v>
      </x:c>
      <x:c r="H4853" s="274" t="n">
        <x:v>45</x:v>
      </x:c>
      <x:c r="I4853" s="274" t="n">
        <x:v>1.8</x:v>
      </x:c>
      <x:c r="J4853" s="274" t="n">
        <x:v>203</x:v>
      </x:c>
      <x:c r="K4853" s="274" t="n">
        <x:v>635</x:v>
      </x:c>
      <x:c r="M4853" s="274" t="s">
        <x:v>8599</x:v>
      </x:c>
      <x:c r="N4853" s="274" t="s">
        <x:v>3671</x:v>
      </x:c>
    </x:row>
    <x:row r="4854" spans="1:14">
      <x:c r="A4854" s="274" t="s">
        <x:v>8602</x:v>
      </x:c>
      <x:c r="B4854" s="274" t="n">
        <x:v>5.02</x:v>
      </x:c>
      <x:c r="C4854" s="274" t="n">
        <x:v>35</x:v>
      </x:c>
      <x:c r="D4854" s="274" t="n">
        <x:v>45</x:v>
      </x:c>
      <x:c r="E4854" s="274" t="n">
        <x:v>40</x:v>
      </x:c>
      <x:c r="F4854" s="274" t="s">
        <x:v>128</x:v>
      </x:c>
      <x:c r="G4854" s="274" t="s">
        <x:v>3418</x:v>
      </x:c>
      <x:c r="H4854" s="274" t="n">
        <x:v>45</x:v>
      </x:c>
      <x:c r="I4854" s="274" t="n">
        <x:v>1.8</x:v>
      </x:c>
      <x:c r="J4854" s="274" t="n">
        <x:v>1110</x:v>
      </x:c>
      <x:c r="K4854" s="274" t="n">
        <x:v>318</x:v>
      </x:c>
      <x:c r="M4854" s="274" t="s">
        <x:v>8603</x:v>
      </x:c>
    </x:row>
    <x:row r="4855" spans="1:14">
      <x:c r="A4855" s="274" t="s">
        <x:v>8604</x:v>
      </x:c>
      <x:c r="B4855" s="274" t="n">
        <x:v>3.27</x:v>
      </x:c>
      <x:c r="C4855" s="274" t="n">
        <x:v>0</x:v>
      </x:c>
      <x:c r="D4855" s="274" t="n">
        <x:v>0</x:v>
      </x:c>
      <x:c r="F4855" s="274" t="s">
        <x:v>123</x:v>
      </x:c>
      <x:c r="G4855" s="274" t="s">
        <x:v>136</x:v>
      </x:c>
      <x:c r="H4855" s="274" t="n">
        <x:v>45</x:v>
      </x:c>
      <x:c r="I4855" s="274" t="n">
        <x:v>2.3</x:v>
      </x:c>
      <x:c r="J4855" s="274" t="n">
        <x:v>788</x:v>
      </x:c>
      <x:c r="K4855" s="274" t="n">
        <x:v>229</x:v>
      </x:c>
      <x:c r="M4855" s="274" t="s">
        <x:v>8605</x:v>
      </x:c>
      <x:c r="N4855" s="274" t="s">
        <x:v>3671</x:v>
      </x:c>
    </x:row>
    <x:row r="4856" spans="1:14">
      <x:c r="A4856" s="274" t="s">
        <x:v>8606</x:v>
      </x:c>
      <x:c r="B4856" s="274" t="n">
        <x:v>0.61</x:v>
      </x:c>
      <x:c r="C4856" s="274" t="n">
        <x:v>0</x:v>
      </x:c>
      <x:c r="D4856" s="274" t="n">
        <x:v>0</x:v>
      </x:c>
      <x:c r="F4856" s="274" t="s">
        <x:v>128</x:v>
      </x:c>
      <x:c r="G4856" s="274" t="s">
        <x:v>153</x:v>
      </x:c>
      <x:c r="I4856" s="274" t="n">
        <x:v>2.6</x:v>
      </x:c>
      <x:c r="J4856" s="274" t="n">
        <x:v>86</x:v>
      </x:c>
      <x:c r="K4856" s="274" t="n">
        <x:v>346</x:v>
      </x:c>
      <x:c r="M4856" s="274" t="s">
        <x:v>8607</x:v>
      </x:c>
      <x:c r="N4856" s="274" t="s">
        <x:v>3671</x:v>
      </x:c>
    </x:row>
    <x:row r="4857" spans="1:14">
      <x:c r="A4857" s="274" t="s">
        <x:v>8608</x:v>
      </x:c>
      <x:c r="B4857" s="274" t="n">
        <x:v>0.97</x:v>
      </x:c>
      <x:c r="C4857" s="274" t="n">
        <x:v>0</x:v>
      </x:c>
      <x:c r="D4857" s="274" t="n">
        <x:v>0</x:v>
      </x:c>
      <x:c r="F4857" s="274" t="s">
        <x:v>133</x:v>
      </x:c>
      <x:c r="G4857" s="274" t="s">
        <x:v>134</x:v>
      </x:c>
      <x:c r="I4857" s="274" t="n">
        <x:v>2.8</x:v>
      </x:c>
      <x:c r="J4857" s="274" t="n">
        <x:v>422</x:v>
      </x:c>
      <x:c r="K4857" s="274" t="n">
        <x:v>105</x:v>
      </x:c>
      <x:c r="M4857" s="274" t="s">
        <x:v>8609</x:v>
      </x:c>
    </x:row>
    <x:row r="4858" spans="1:14">
      <x:c r="A4858" s="274" t="s">
        <x:v>8610</x:v>
      </x:c>
      <x:c r="B4858" s="274" t="n">
        <x:v>4.6</x:v>
      </x:c>
      <x:c r="C4858" s="274" t="n">
        <x:v>0</x:v>
      </x:c>
      <x:c r="D4858" s="274" t="n">
        <x:v>30</x:v>
      </x:c>
      <x:c r="E4858" s="274" t="n">
        <x:v>30</x:v>
      </x:c>
      <x:c r="F4858" s="274" t="s">
        <x:v>123</x:v>
      </x:c>
      <x:c r="G4858" s="274" t="s">
        <x:v>881</x:v>
      </x:c>
      <x:c r="H4858" s="274" t="n">
        <x:v>45</x:v>
      </x:c>
      <x:c r="I4858" s="274" t="n">
        <x:v>1.2</x:v>
      </x:c>
      <x:c r="J4858" s="274" t="n">
        <x:v>286</x:v>
      </x:c>
      <x:c r="K4858" s="274" t="n">
        <x:v>1692</x:v>
      </x:c>
      <x:c r="M4858" s="274" t="s">
        <x:v>8041</x:v>
      </x:c>
      <x:c r="N4858" s="274" t="s">
        <x:v>3671</x:v>
      </x:c>
    </x:row>
    <x:row r="4859" spans="1:14">
      <x:c r="A4859" s="274" t="s">
        <x:v>8611</x:v>
      </x:c>
      <x:c r="B4859" s="274" t="n">
        <x:v>4.5</x:v>
      </x:c>
      <x:c r="C4859" s="274" t="n">
        <x:v>0</x:v>
      </x:c>
      <x:c r="D4859" s="274" t="n">
        <x:v>40</x:v>
      </x:c>
      <x:c r="E4859" s="274" t="n">
        <x:v>50</x:v>
      </x:c>
      <x:c r="F4859" s="274" t="s">
        <x:v>184</x:v>
      </x:c>
      <x:c r="G4859" s="274" t="s">
        <x:v>334</x:v>
      </x:c>
      <x:c r="I4859" s="274" t="n">
        <x:v>1.4</x:v>
      </x:c>
      <x:c r="J4859" s="274" t="n">
        <x:v>788</x:v>
      </x:c>
      <x:c r="K4859" s="274" t="n">
        <x:v>520</x:v>
      </x:c>
      <x:c r="M4859" s="274" t="s">
        <x:v>335</x:v>
      </x:c>
      <x:c r="N4859" s="274" t="s">
        <x:v>299</x:v>
      </x:c>
    </x:row>
    <x:row r="4860" spans="1:14">
      <x:c r="A4860" s="274" t="s">
        <x:v>8612</x:v>
      </x:c>
      <x:c r="B4860" s="274" t="n">
        <x:v>2.53</x:v>
      </x:c>
      <x:c r="C4860" s="274" t="n">
        <x:v>0</x:v>
      </x:c>
      <x:c r="D4860" s="274" t="n">
        <x:v>0</x:v>
      </x:c>
      <x:c r="F4860" s="274" t="s">
        <x:v>184</x:v>
      </x:c>
      <x:c r="G4860" s="274" t="s">
        <x:v>334</x:v>
      </x:c>
      <x:c r="I4860" s="274" t="n">
        <x:v>1.4</x:v>
      </x:c>
      <x:c r="J4860" s="274" t="n">
        <x:v>230</x:v>
      </x:c>
      <x:c r="K4860" s="274" t="n">
        <x:v>1000</x:v>
      </x:c>
      <x:c r="M4860" s="274" t="s">
        <x:v>3450</x:v>
      </x:c>
      <x:c r="N4860" s="274" t="s">
        <x:v>299</x:v>
      </x:c>
    </x:row>
    <x:row r="4861" spans="1:14">
      <x:c r="A4861" s="274" t="s">
        <x:v>8613</x:v>
      </x:c>
      <x:c r="B4861" s="274" t="n">
        <x:v>0.53</x:v>
      </x:c>
      <x:c r="C4861" s="274" t="n">
        <x:v>0</x:v>
      </x:c>
      <x:c r="D4861" s="274" t="n">
        <x:v>0</x:v>
      </x:c>
      <x:c r="F4861" s="274" t="s">
        <x:v>133</x:v>
      </x:c>
      <x:c r="G4861" s="274" t="s">
        <x:v>2157</x:v>
      </x:c>
      <x:c r="I4861" s="274" t="n">
        <x:v>0.6</x:v>
      </x:c>
      <x:c r="J4861" s="274" t="n">
        <x:v>1090</x:v>
      </x:c>
      <x:c r="K4861" s="274" t="n">
        <x:v>104</x:v>
      </x:c>
      <x:c r="M4861" s="274" t="s">
        <x:v>3626</x:v>
      </x:c>
      <x:c r="N4861" s="274" t="s">
        <x:v>3586</x:v>
      </x:c>
    </x:row>
    <x:row r="4862" spans="1:14">
      <x:c r="A4862" s="274" t="s">
        <x:v>8614</x:v>
      </x:c>
      <x:c r="B4862" s="274" t="n">
        <x:v>0.63</x:v>
      </x:c>
      <x:c r="C4862" s="274" t="n">
        <x:v>0</x:v>
      </x:c>
      <x:c r="D4862" s="274" t="n">
        <x:v>0</x:v>
      </x:c>
      <x:c r="F4862" s="274" t="s">
        <x:v>333</x:v>
      </x:c>
      <x:c r="G4862" s="274" t="s">
        <x:v>153</x:v>
      </x:c>
      <x:c r="I4862" s="274" t="n">
        <x:v>0.65</x:v>
      </x:c>
      <x:c r="J4862" s="274" t="n">
        <x:v>340</x:v>
      </x:c>
      <x:c r="K4862" s="274" t="n">
        <x:v>365</x:v>
      </x:c>
      <x:c r="M4862" s="274" t="s">
        <x:v>2570</x:v>
      </x:c>
      <x:c r="N4862" s="274" t="s">
        <x:v>299</x:v>
      </x:c>
    </x:row>
    <x:row r="4863" spans="1:14">
      <x:c r="A4863" s="274" t="s">
        <x:v>8615</x:v>
      </x:c>
      <x:c r="B4863" s="274" t="n">
        <x:v>0.52</x:v>
      </x:c>
      <x:c r="C4863" s="274" t="n">
        <x:v>0</x:v>
      </x:c>
      <x:c r="D4863" s="274" t="n">
        <x:v>0</x:v>
      </x:c>
      <x:c r="F4863" s="274" t="s">
        <x:v>333</x:v>
      </x:c>
      <x:c r="G4863" s="274" t="s">
        <x:v>153</x:v>
      </x:c>
      <x:c r="I4863" s="274" t="n">
        <x:v>1</x:v>
      </x:c>
      <x:c r="J4863" s="274" t="n">
        <x:v>220</x:v>
      </x:c>
      <x:c r="K4863" s="274" t="n">
        <x:v>300</x:v>
      </x:c>
      <x:c r="M4863" s="274" t="s">
        <x:v>5590</x:v>
      </x:c>
    </x:row>
    <x:row r="4864" spans="1:14">
      <x:c r="A4864" s="274" t="s">
        <x:v>8616</x:v>
      </x:c>
      <x:c r="B4864" s="274" t="n">
        <x:v>0.71</x:v>
      </x:c>
      <x:c r="C4864" s="274" t="n">
        <x:v>0</x:v>
      </x:c>
      <x:c r="D4864" s="274" t="n">
        <x:v>0</x:v>
      </x:c>
      <x:c r="F4864" s="274" t="s">
        <x:v>133</x:v>
      </x:c>
      <x:c r="G4864" s="274" t="s">
        <x:v>136</x:v>
      </x:c>
      <x:c r="H4864" s="274" t="n">
        <x:v>45</x:v>
      </x:c>
      <x:c r="I4864" s="274" t="n">
        <x:v>1</x:v>
      </x:c>
      <x:c r="J4864" s="274" t="n">
        <x:v>225</x:v>
      </x:c>
      <x:c r="K4864" s="274" t="n">
        <x:v>400</x:v>
      </x:c>
      <x:c r="M4864" s="274" t="s">
        <x:v>5596</x:v>
      </x:c>
      <x:c r="N4864" s="274" t="s">
        <x:v>3671</x:v>
      </x:c>
    </x:row>
    <x:row r="4865" spans="1:14">
      <x:c r="A4865" s="274" t="s">
        <x:v>8617</x:v>
      </x:c>
      <x:c r="B4865" s="274" t="n">
        <x:v>0.35</x:v>
      </x:c>
      <x:c r="C4865" s="274" t="n">
        <x:v>0</x:v>
      </x:c>
      <x:c r="D4865" s="274" t="n">
        <x:v>0</x:v>
      </x:c>
      <x:c r="F4865" s="274" t="s">
        <x:v>133</x:v>
      </x:c>
      <x:c r="G4865" s="274" t="s">
        <x:v>136</x:v>
      </x:c>
      <x:c r="H4865" s="274" t="n">
        <x:v>45</x:v>
      </x:c>
      <x:c r="I4865" s="274" t="n">
        <x:v>1</x:v>
      </x:c>
      <x:c r="J4865" s="274" t="n">
        <x:v>334</x:v>
      </x:c>
      <x:c r="K4865" s="274" t="n">
        <x:v>132</x:v>
      </x:c>
      <x:c r="M4865" s="274" t="s">
        <x:v>5598</x:v>
      </x:c>
    </x:row>
    <x:row r="4866" spans="1:14">
      <x:c r="A4866" s="274" t="s">
        <x:v>8618</x:v>
      </x:c>
      <x:c r="B4866" s="274" t="n">
        <x:v>1.77</x:v>
      </x:c>
      <x:c r="C4866" s="274" t="n">
        <x:v>0</x:v>
      </x:c>
      <x:c r="D4866" s="274" t="n">
        <x:v>0</x:v>
      </x:c>
      <x:c r="F4866" s="274" t="s">
        <x:v>133</x:v>
      </x:c>
      <x:c r="G4866" s="274" t="s">
        <x:v>144</x:v>
      </x:c>
      <x:c r="H4866" s="274" t="n">
        <x:v>45</x:v>
      </x:c>
      <x:c r="I4866" s="274" t="n">
        <x:v>1</x:v>
      </x:c>
      <x:c r="J4866" s="274" t="n">
        <x:v>180</x:v>
      </x:c>
      <x:c r="K4866" s="274" t="n">
        <x:v>1235</x:v>
      </x:c>
      <x:c r="M4866" s="274" t="s">
        <x:v>5594</x:v>
      </x:c>
    </x:row>
    <x:row r="4867" spans="1:14">
      <x:c r="A4867" s="274" t="s">
        <x:v>8619</x:v>
      </x:c>
      <x:c r="B4867" s="274" t="n">
        <x:v>0.55</x:v>
      </x:c>
      <x:c r="C4867" s="274" t="n">
        <x:v>0</x:v>
      </x:c>
      <x:c r="D4867" s="274" t="n">
        <x:v>0</x:v>
      </x:c>
      <x:c r="F4867" s="274" t="s">
        <x:v>123</x:v>
      </x:c>
      <x:c r="G4867" s="274" t="s">
        <x:v>881</x:v>
      </x:c>
      <x:c r="H4867" s="274" t="n">
        <x:v>45</x:v>
      </x:c>
      <x:c r="I4867" s="274" t="n">
        <x:v>1</x:v>
      </x:c>
      <x:c r="J4867" s="274" t="n">
        <x:v>174</x:v>
      </x:c>
      <x:c r="K4867" s="274" t="n">
        <x:v>396</x:v>
      </x:c>
      <x:c r="M4867" s="274" t="s">
        <x:v>8016</x:v>
      </x:c>
      <x:c r="N4867" s="274" t="s">
        <x:v>3671</x:v>
      </x:c>
    </x:row>
    <x:row r="4868" spans="1:14">
      <x:c r="A4868" s="274" t="s">
        <x:v>8620</x:v>
      </x:c>
      <x:c r="B4868" s="274" t="n">
        <x:v>5.91</x:v>
      </x:c>
      <x:c r="C4868" s="274" t="n">
        <x:v>0</x:v>
      </x:c>
      <x:c r="D4868" s="274" t="n">
        <x:v>0</x:v>
      </x:c>
      <x:c r="F4868" s="274" t="s">
        <x:v>123</x:v>
      </x:c>
      <x:c r="G4868" s="274" t="s">
        <x:v>881</x:v>
      </x:c>
      <x:c r="H4868" s="274" t="n">
        <x:v>45</x:v>
      </x:c>
      <x:c r="I4868" s="274" t="n">
        <x:v>1</x:v>
      </x:c>
      <x:c r="J4868" s="274" t="n">
        <x:v>595</x:v>
      </x:c>
      <x:c r="K4868" s="274" t="n">
        <x:v>1250</x:v>
      </x:c>
      <x:c r="M4868" s="274" t="s">
        <x:v>8621</x:v>
      </x:c>
      <x:c r="N4868" s="274" t="s">
        <x:v>3671</x:v>
      </x:c>
    </x:row>
    <x:row r="4869" spans="1:14">
      <x:c r="A4869" s="274" t="s">
        <x:v>8622</x:v>
      </x:c>
      <x:c r="B4869" s="274" t="n">
        <x:v>0.65</x:v>
      </x:c>
      <x:c r="C4869" s="274" t="n">
        <x:v>0</x:v>
      </x:c>
      <x:c r="D4869" s="274" t="n">
        <x:v>0</x:v>
      </x:c>
      <x:c r="F4869" s="274" t="s">
        <x:v>133</x:v>
      </x:c>
      <x:c r="G4869" s="274" t="s">
        <x:v>136</x:v>
      </x:c>
      <x:c r="H4869" s="274" t="n">
        <x:v>45</x:v>
      </x:c>
      <x:c r="I4869" s="274" t="n">
        <x:v>1</x:v>
      </x:c>
      <x:c r="J4869" s="274" t="n">
        <x:v>150</x:v>
      </x:c>
      <x:c r="K4869" s="274" t="n">
        <x:v>545</x:v>
      </x:c>
      <x:c r="M4869" s="274" t="s">
        <x:v>5602</x:v>
      </x:c>
      <x:c r="N4869" s="274" t="s">
        <x:v>3671</x:v>
      </x:c>
    </x:row>
    <x:row r="4870" spans="1:14">
      <x:c r="A4870" s="274" t="s">
        <x:v>8623</x:v>
      </x:c>
      <x:c r="B4870" s="274" t="n">
        <x:v>0.54</x:v>
      </x:c>
      <x:c r="C4870" s="274" t="n">
        <x:v>0</x:v>
      </x:c>
      <x:c r="D4870" s="274" t="n">
        <x:v>0</x:v>
      </x:c>
      <x:c r="F4870" s="274" t="s">
        <x:v>133</x:v>
      </x:c>
      <x:c r="G4870" s="274" t="s">
        <x:v>136</x:v>
      </x:c>
      <x:c r="H4870" s="274" t="n">
        <x:v>45</x:v>
      </x:c>
      <x:c r="I4870" s="274" t="n">
        <x:v>1</x:v>
      </x:c>
      <x:c r="J4870" s="274" t="n">
        <x:v>195</x:v>
      </x:c>
      <x:c r="K4870" s="274" t="n">
        <x:v>350</x:v>
      </x:c>
      <x:c r="M4870" s="274" t="s">
        <x:v>5600</x:v>
      </x:c>
      <x:c r="N4870" s="274" t="s">
        <x:v>3671</x:v>
      </x:c>
    </x:row>
    <x:row r="4871" spans="1:14">
      <x:c r="A4871" s="274" t="s">
        <x:v>8624</x:v>
      </x:c>
      <x:c r="B4871" s="274" t="n">
        <x:v>0.38</x:v>
      </x:c>
      <x:c r="C4871" s="274" t="n">
        <x:v>0</x:v>
      </x:c>
      <x:c r="D4871" s="274" t="n">
        <x:v>0</x:v>
      </x:c>
      <x:c r="F4871" s="274" t="s">
        <x:v>133</x:v>
      </x:c>
      <x:c r="G4871" s="274" t="s">
        <x:v>136</x:v>
      </x:c>
      <x:c r="H4871" s="274" t="n">
        <x:v>45</x:v>
      </x:c>
      <x:c r="I4871" s="274" t="n">
        <x:v>1</x:v>
      </x:c>
      <x:c r="J4871" s="274" t="n">
        <x:v>361</x:v>
      </x:c>
      <x:c r="K4871" s="274" t="n">
        <x:v>132</x:v>
      </x:c>
      <x:c r="M4871" s="274" t="s">
        <x:v>8625</x:v>
      </x:c>
      <x:c r="N4871" s="274" t="s">
        <x:v>3671</x:v>
      </x:c>
    </x:row>
    <x:row r="4872" spans="1:14">
      <x:c r="A4872" s="274" t="s">
        <x:v>8626</x:v>
      </x:c>
      <x:c r="B4872" s="274" t="n">
        <x:v>0.42</x:v>
      </x:c>
      <x:c r="C4872" s="274" t="n">
        <x:v>0</x:v>
      </x:c>
      <x:c r="D4872" s="274" t="n">
        <x:v>0</x:v>
      </x:c>
      <x:c r="F4872" s="274" t="s">
        <x:v>333</x:v>
      </x:c>
      <x:c r="G4872" s="274" t="s">
        <x:v>209</x:v>
      </x:c>
      <x:c r="I4872" s="274" t="n">
        <x:v>1</x:v>
      </x:c>
      <x:c r="J4872" s="274" t="n">
        <x:v>102</x:v>
      </x:c>
      <x:c r="K4872" s="274" t="n">
        <x:v>525</x:v>
      </x:c>
      <x:c r="M4872" s="274" t="s">
        <x:v>6935</x:v>
      </x:c>
      <x:c r="N4872" s="274" t="s">
        <x:v>3671</x:v>
      </x:c>
    </x:row>
    <x:row r="4873" spans="1:14">
      <x:c r="A4873" s="274" t="s">
        <x:v>8627</x:v>
      </x:c>
      <x:c r="B4873" s="274" t="n">
        <x:v>0.69</x:v>
      </x:c>
      <x:c r="C4873" s="274" t="n">
        <x:v>0</x:v>
      </x:c>
      <x:c r="D4873" s="274" t="n">
        <x:v>0</x:v>
      </x:c>
      <x:c r="F4873" s="274" t="s">
        <x:v>333</x:v>
      </x:c>
      <x:c r="G4873" s="274" t="s">
        <x:v>209</x:v>
      </x:c>
      <x:c r="I4873" s="274" t="n">
        <x:v>1</x:v>
      </x:c>
      <x:c r="J4873" s="274" t="n">
        <x:v>190</x:v>
      </x:c>
      <x:c r="K4873" s="274" t="n">
        <x:v>460</x:v>
      </x:c>
      <x:c r="M4873" s="274" t="s">
        <x:v>5636</x:v>
      </x:c>
      <x:c r="N4873" s="274" t="s">
        <x:v>3671</x:v>
      </x:c>
    </x:row>
    <x:row r="4874" spans="1:14">
      <x:c r="A4874" s="274" t="s">
        <x:v>8628</x:v>
      </x:c>
      <x:c r="B4874" s="274" t="n">
        <x:v>2.83</x:v>
      </x:c>
      <x:c r="C4874" s="274" t="n">
        <x:v>0</x:v>
      </x:c>
      <x:c r="D4874" s="274" t="n">
        <x:v>0</x:v>
      </x:c>
      <x:c r="F4874" s="274" t="s">
        <x:v>333</x:v>
      </x:c>
      <x:c r="G4874" s="274" t="s">
        <x:v>209</x:v>
      </x:c>
      <x:c r="I4874" s="274" t="n">
        <x:v>1</x:v>
      </x:c>
      <x:c r="J4874" s="274" t="n">
        <x:v>300</x:v>
      </x:c>
      <x:c r="K4874" s="274" t="n">
        <x:v>1200</x:v>
      </x:c>
      <x:c r="M4874" s="274" t="s">
        <x:v>5634</x:v>
      </x:c>
      <x:c r="N4874" s="274" t="s">
        <x:v>3671</x:v>
      </x:c>
    </x:row>
    <x:row r="4875" spans="1:14">
      <x:c r="A4875" s="274" t="s">
        <x:v>8629</x:v>
      </x:c>
      <x:c r="B4875" s="274" t="n">
        <x:v>0.62</x:v>
      </x:c>
      <x:c r="C4875" s="274" t="n">
        <x:v>0</x:v>
      </x:c>
      <x:c r="D4875" s="274" t="n">
        <x:v>0</x:v>
      </x:c>
      <x:c r="F4875" s="274" t="s">
        <x:v>123</x:v>
      </x:c>
      <x:c r="G4875" s="274" t="s">
        <x:v>129</x:v>
      </x:c>
      <x:c r="H4875" s="274" t="n">
        <x:v>45</x:v>
      </x:c>
      <x:c r="I4875" s="274" t="n">
        <x:v>1</x:v>
      </x:c>
      <x:c r="J4875" s="274" t="n">
        <x:v>115</x:v>
      </x:c>
      <x:c r="K4875" s="274" t="n">
        <x:v>675</x:v>
      </x:c>
      <x:c r="M4875" s="274" t="s">
        <x:v>5859</x:v>
      </x:c>
      <x:c r="N4875" s="274" t="s">
        <x:v>3671</x:v>
      </x:c>
    </x:row>
    <x:row r="4876" spans="1:14">
      <x:c r="A4876" s="274" t="s">
        <x:v>8630</x:v>
      </x:c>
      <x:c r="B4876" s="274" t="n">
        <x:v>0.15</x:v>
      </x:c>
      <x:c r="C4876" s="274" t="n">
        <x:v>0</x:v>
      </x:c>
      <x:c r="D4876" s="274" t="n">
        <x:v>0</x:v>
      </x:c>
      <x:c r="F4876" s="274" t="s">
        <x:v>123</x:v>
      </x:c>
      <x:c r="G4876" s="274" t="s">
        <x:v>129</x:v>
      </x:c>
      <x:c r="H4876" s="274" t="n">
        <x:v>45</x:v>
      </x:c>
      <x:c r="I4876" s="274" t="n">
        <x:v>1</x:v>
      </x:c>
      <x:c r="J4876" s="274" t="n">
        <x:v>135</x:v>
      </x:c>
      <x:c r="K4876" s="274" t="n">
        <x:v>140</x:v>
      </x:c>
      <x:c r="M4876" s="274" t="s">
        <x:v>5865</x:v>
      </x:c>
      <x:c r="N4876" s="274" t="s">
        <x:v>3671</x:v>
      </x:c>
    </x:row>
    <x:row r="4877" spans="1:14">
      <x:c r="A4877" s="274" t="s">
        <x:v>8631</x:v>
      </x:c>
      <x:c r="B4877" s="274" t="n">
        <x:v>0.8</x:v>
      </x:c>
      <x:c r="C4877" s="274" t="n">
        <x:v>0</x:v>
      </x:c>
      <x:c r="D4877" s="274" t="n">
        <x:v>0</x:v>
      </x:c>
      <x:c r="F4877" s="274" t="s">
        <x:v>123</x:v>
      </x:c>
      <x:c r="G4877" s="274" t="s">
        <x:v>129</x:v>
      </x:c>
      <x:c r="H4877" s="274" t="n">
        <x:v>45</x:v>
      </x:c>
      <x:c r="I4877" s="274" t="n">
        <x:v>1</x:v>
      </x:c>
      <x:c r="J4877" s="274" t="n">
        <x:v>145</x:v>
      </x:c>
      <x:c r="K4877" s="274" t="n">
        <x:v>698</x:v>
      </x:c>
      <x:c r="M4877" s="274" t="s">
        <x:v>5863</x:v>
      </x:c>
      <x:c r="N4877" s="274" t="s">
        <x:v>3671</x:v>
      </x:c>
    </x:row>
    <x:row r="4878" spans="1:14">
      <x:c r="A4878" s="274" t="s">
        <x:v>8632</x:v>
      </x:c>
      <x:c r="B4878" s="274" t="n">
        <x:v>0.85</x:v>
      </x:c>
      <x:c r="C4878" s="274" t="n">
        <x:v>0</x:v>
      </x:c>
      <x:c r="D4878" s="274" t="n">
        <x:v>0</x:v>
      </x:c>
      <x:c r="F4878" s="274" t="s">
        <x:v>123</x:v>
      </x:c>
      <x:c r="G4878" s="274" t="s">
        <x:v>129</x:v>
      </x:c>
      <x:c r="H4878" s="274" t="n">
        <x:v>45</x:v>
      </x:c>
      <x:c r="I4878" s="274" t="n">
        <x:v>1</x:v>
      </x:c>
      <x:c r="J4878" s="274" t="n">
        <x:v>188</x:v>
      </x:c>
      <x:c r="K4878" s="274" t="n">
        <x:v>572</x:v>
      </x:c>
      <x:c r="M4878" s="274" t="s">
        <x:v>5857</x:v>
      </x:c>
      <x:c r="N4878" s="274" t="s">
        <x:v>3671</x:v>
      </x:c>
    </x:row>
    <x:row r="4879" spans="1:14">
      <x:c r="A4879" s="274" t="s">
        <x:v>8633</x:v>
      </x:c>
      <x:c r="B4879" s="274" t="n">
        <x:v>2.32</x:v>
      </x:c>
      <x:c r="C4879" s="274" t="n">
        <x:v>0</x:v>
      </x:c>
      <x:c r="D4879" s="274" t="n">
        <x:v>0</x:v>
      </x:c>
      <x:c r="F4879" s="274" t="s">
        <x:v>123</x:v>
      </x:c>
      <x:c r="G4879" s="274" t="s">
        <x:v>129</x:v>
      </x:c>
      <x:c r="H4879" s="274" t="n">
        <x:v>45</x:v>
      </x:c>
      <x:c r="I4879" s="274" t="n">
        <x:v>1</x:v>
      </x:c>
      <x:c r="J4879" s="274" t="n">
        <x:v>234</x:v>
      </x:c>
      <x:c r="K4879" s="274" t="n">
        <x:v>1250</x:v>
      </x:c>
      <x:c r="M4879" s="274" t="s">
        <x:v>5855</x:v>
      </x:c>
      <x:c r="N4879" s="274" t="s">
        <x:v>3671</x:v>
      </x:c>
    </x:row>
    <x:row r="4880" spans="1:14">
      <x:c r="A4880" s="274" t="s">
        <x:v>8634</x:v>
      </x:c>
      <x:c r="B4880" s="274" t="n">
        <x:v>0.67</x:v>
      </x:c>
      <x:c r="C4880" s="274" t="n">
        <x:v>0</x:v>
      </x:c>
      <x:c r="D4880" s="274" t="n">
        <x:v>0</x:v>
      </x:c>
      <x:c r="F4880" s="274" t="s">
        <x:v>123</x:v>
      </x:c>
      <x:c r="G4880" s="274" t="s">
        <x:v>129</x:v>
      </x:c>
      <x:c r="H4880" s="274" t="n">
        <x:v>45</x:v>
      </x:c>
      <x:c r="I4880" s="274" t="n">
        <x:v>1</x:v>
      </x:c>
      <x:c r="J4880" s="274" t="n">
        <x:v>572</x:v>
      </x:c>
      <x:c r="K4880" s="274" t="n">
        <x:v>148</x:v>
      </x:c>
      <x:c r="M4880" s="274" t="s">
        <x:v>5762</x:v>
      </x:c>
      <x:c r="N4880" s="274" t="s">
        <x:v>3671</x:v>
      </x:c>
    </x:row>
    <x:row r="4881" spans="1:14">
      <x:c r="A4881" s="274" t="s">
        <x:v>8635</x:v>
      </x:c>
      <x:c r="B4881" s="274" t="n">
        <x:v>0.96</x:v>
      </x:c>
      <x:c r="C4881" s="274" t="n">
        <x:v>0</x:v>
      </x:c>
      <x:c r="D4881" s="274" t="n">
        <x:v>0</x:v>
      </x:c>
      <x:c r="F4881" s="274" t="s">
        <x:v>123</x:v>
      </x:c>
      <x:c r="G4881" s="274" t="s">
        <x:v>129</x:v>
      </x:c>
      <x:c r="H4881" s="274" t="n">
        <x:v>45</x:v>
      </x:c>
      <x:c r="I4881" s="274" t="n">
        <x:v>1</x:v>
      </x:c>
      <x:c r="J4881" s="274" t="n">
        <x:v>202</x:v>
      </x:c>
      <x:c r="K4881" s="274" t="n">
        <x:v>600</x:v>
      </x:c>
      <x:c r="M4881" s="274" t="s">
        <x:v>6288</x:v>
      </x:c>
      <x:c r="N4881" s="274" t="s">
        <x:v>3671</x:v>
      </x:c>
    </x:row>
    <x:row r="4882" spans="1:14">
      <x:c r="A4882" s="274" t="s">
        <x:v>8636</x:v>
      </x:c>
      <x:c r="B4882" s="274" t="n">
        <x:v>1.71</x:v>
      </x:c>
      <x:c r="C4882" s="274" t="n">
        <x:v>0</x:v>
      </x:c>
      <x:c r="D4882" s="274" t="n">
        <x:v>0</x:v>
      </x:c>
      <x:c r="F4882" s="274" t="s">
        <x:v>333</x:v>
      </x:c>
      <x:c r="G4882" s="274" t="s">
        <x:v>124</x:v>
      </x:c>
      <x:c r="I4882" s="274" t="n">
        <x:v>1.6</x:v>
      </x:c>
      <x:c r="J4882" s="274" t="n">
        <x:v>255</x:v>
      </x:c>
      <x:c r="K4882" s="274" t="n">
        <x:v>535</x:v>
      </x:c>
      <x:c r="M4882" s="274" t="s">
        <x:v>8637</x:v>
      </x:c>
    </x:row>
    <x:row r="4883" spans="1:14">
      <x:c r="A4883" s="274" t="s">
        <x:v>8638</x:v>
      </x:c>
      <x:c r="B4883" s="274" t="n">
        <x:v>3.62</x:v>
      </x:c>
      <x:c r="C4883" s="274" t="n">
        <x:v>35</x:v>
      </x:c>
      <x:c r="D4883" s="274" t="n">
        <x:v>45</x:v>
      </x:c>
      <x:c r="E4883" s="274" t="n">
        <x:v>40</x:v>
      </x:c>
      <x:c r="F4883" s="274" t="s">
        <x:v>333</x:v>
      </x:c>
      <x:c r="G4883" s="274" t="s">
        <x:v>334</x:v>
      </x:c>
      <x:c r="I4883" s="274" t="n">
        <x:v>1.6</x:v>
      </x:c>
      <x:c r="J4883" s="274" t="n">
        <x:v>960</x:v>
      </x:c>
      <x:c r="K4883" s="274" t="n">
        <x:v>300</x:v>
      </x:c>
      <x:c r="M4883" s="274" t="s">
        <x:v>5992</x:v>
      </x:c>
      <x:c r="N4883" s="274" t="s">
        <x:v>3671</x:v>
      </x:c>
    </x:row>
    <x:row r="4884" spans="1:14">
      <x:c r="A4884" s="274" t="s">
        <x:v>8639</x:v>
      </x:c>
      <x:c r="B4884" s="274" t="n">
        <x:v>3.2</x:v>
      </x:c>
      <x:c r="C4884" s="274" t="n">
        <x:v>0</x:v>
      </x:c>
      <x:c r="D4884" s="274" t="n">
        <x:v>0</x:v>
      </x:c>
      <x:c r="F4884" s="274" t="s">
        <x:v>333</x:v>
      </x:c>
      <x:c r="G4884" s="274" t="s">
        <x:v>334</x:v>
      </x:c>
      <x:c r="I4884" s="274" t="n">
        <x:v>1.6</x:v>
      </x:c>
      <x:c r="J4884" s="274" t="n">
        <x:v>960</x:v>
      </x:c>
      <x:c r="K4884" s="274" t="n">
        <x:v>265</x:v>
      </x:c>
      <x:c r="M4884" s="274" t="s">
        <x:v>5994</x:v>
      </x:c>
      <x:c r="N4884" s="274" t="s">
        <x:v>3671</x:v>
      </x:c>
    </x:row>
    <x:row r="4885" spans="1:14">
      <x:c r="A4885" s="274" t="s">
        <x:v>8640</x:v>
      </x:c>
      <x:c r="B4885" s="274" t="n">
        <x:v>1.48</x:v>
      </x:c>
      <x:c r="C4885" s="274" t="n">
        <x:v>0</x:v>
      </x:c>
      <x:c r="D4885" s="274" t="n">
        <x:v>0</x:v>
      </x:c>
      <x:c r="F4885" s="274" t="s">
        <x:v>133</x:v>
      </x:c>
      <x:c r="G4885" s="274" t="s">
        <x:v>144</x:v>
      </x:c>
      <x:c r="H4885" s="274" t="n">
        <x:v>45</x:v>
      </x:c>
      <x:c r="I4885" s="274" t="n">
        <x:v>1.4</x:v>
      </x:c>
      <x:c r="J4885" s="274" t="n">
        <x:v>703</x:v>
      </x:c>
      <x:c r="K4885" s="274" t="n">
        <x:v>190</x:v>
      </x:c>
      <x:c r="M4885" s="274" t="s">
        <x:v>890</x:v>
      </x:c>
      <x:c r="N4885" s="274" t="s">
        <x:v>4481</x:v>
      </x:c>
    </x:row>
    <x:row r="4886" spans="1:14">
      <x:c r="A4886" s="274" t="s">
        <x:v>8641</x:v>
      </x:c>
      <x:c r="B4886" s="274" t="n">
        <x:v>0.63</x:v>
      </x:c>
      <x:c r="C4886" s="274" t="n">
        <x:v>27</x:v>
      </x:c>
      <x:c r="D4886" s="274" t="n">
        <x:v>36</x:v>
      </x:c>
      <x:c r="E4886" s="274" t="n">
        <x:v>33</x:v>
      </x:c>
      <x:c r="F4886" s="274" t="s">
        <x:v>133</x:v>
      </x:c>
      <x:c r="G4886" s="274" t="s">
        <x:v>144</x:v>
      </x:c>
      <x:c r="H4886" s="274" t="n">
        <x:v>45</x:v>
      </x:c>
      <x:c r="I4886" s="274" t="n">
        <x:v>1.4</x:v>
      </x:c>
      <x:c r="J4886" s="274" t="n">
        <x:v>167</x:v>
      </x:c>
      <x:c r="K4886" s="274" t="n">
        <x:v>340</x:v>
      </x:c>
      <x:c r="M4886" s="274" t="s">
        <x:v>543</x:v>
      </x:c>
      <x:c r="N4886" s="274" t="s">
        <x:v>299</x:v>
      </x:c>
    </x:row>
    <x:row r="4887" spans="1:14">
      <x:c r="A4887" s="274" t="s">
        <x:v>8642</x:v>
      </x:c>
      <x:c r="B4887" s="274" t="n">
        <x:v>0.48</x:v>
      </x:c>
      <x:c r="C4887" s="274" t="n">
        <x:v>0</x:v>
      </x:c>
      <x:c r="D4887" s="274" t="n">
        <x:v>0</x:v>
      </x:c>
      <x:c r="F4887" s="274" t="s">
        <x:v>133</x:v>
      </x:c>
      <x:c r="G4887" s="274" t="s">
        <x:v>2157</x:v>
      </x:c>
      <x:c r="I4887" s="274" t="n">
        <x:v>0.6</x:v>
      </x:c>
      <x:c r="J4887" s="274" t="n">
        <x:v>1020</x:v>
      </x:c>
      <x:c r="K4887" s="274" t="n">
        <x:v>100</x:v>
      </x:c>
      <x:c r="M4887" s="274" t="s">
        <x:v>3628</x:v>
      </x:c>
      <x:c r="N4887" s="274" t="s">
        <x:v>3586</x:v>
      </x:c>
    </x:row>
    <x:row r="4888" spans="1:14">
      <x:c r="A4888" s="274" t="s">
        <x:v>8643</x:v>
      </x:c>
      <x:c r="B4888" s="274" t="n">
        <x:v>0.48</x:v>
      </x:c>
      <x:c r="C4888" s="274" t="n">
        <x:v>0</x:v>
      </x:c>
      <x:c r="D4888" s="274" t="n">
        <x:v>0</x:v>
      </x:c>
      <x:c r="F4888" s="274" t="s">
        <x:v>133</x:v>
      </x:c>
      <x:c r="G4888" s="274" t="s">
        <x:v>2157</x:v>
      </x:c>
      <x:c r="I4888" s="274" t="n">
        <x:v>0.6</x:v>
      </x:c>
      <x:c r="J4888" s="274" t="n">
        <x:v>90</x:v>
      </x:c>
      <x:c r="K4888" s="274" t="n">
        <x:v>1130</x:v>
      </x:c>
      <x:c r="M4888" s="274" t="s">
        <x:v>7438</x:v>
      </x:c>
      <x:c r="N4888" s="274" t="s">
        <x:v>7439</x:v>
      </x:c>
    </x:row>
    <x:row r="4889" spans="1:14">
      <x:c r="A4889" s="274" t="s">
        <x:v>8644</x:v>
      </x:c>
      <x:c r="B4889" s="274" t="n">
        <x:v>0.48</x:v>
      </x:c>
      <x:c r="C4889" s="274" t="n">
        <x:v>0</x:v>
      </x:c>
      <x:c r="D4889" s="274" t="n">
        <x:v>0</x:v>
      </x:c>
      <x:c r="F4889" s="274" t="s">
        <x:v>133</x:v>
      </x:c>
      <x:c r="G4889" s="274" t="s">
        <x:v>2157</x:v>
      </x:c>
      <x:c r="I4889" s="274" t="n">
        <x:v>0.6</x:v>
      </x:c>
      <x:c r="J4889" s="274" t="n">
        <x:v>1020</x:v>
      </x:c>
      <x:c r="K4889" s="274" t="n">
        <x:v>100</x:v>
      </x:c>
      <x:c r="M4889" s="274" t="s">
        <x:v>3628</x:v>
      </x:c>
      <x:c r="N4889" s="274" t="s">
        <x:v>3586</x:v>
      </x:c>
    </x:row>
    <x:row r="4890" spans="1:14">
      <x:c r="A4890" s="274" t="s">
        <x:v>8645</x:v>
      </x:c>
      <x:c r="B4890" s="274" t="n">
        <x:v>1.21</x:v>
      </x:c>
      <x:c r="C4890" s="274" t="n">
        <x:v>19</x:v>
      </x:c>
      <x:c r="D4890" s="274" t="n">
        <x:v>35</x:v>
      </x:c>
      <x:c r="E4890" s="274" t="n">
        <x:v>28</x:v>
      </x:c>
      <x:c r="F4890" s="274" t="s">
        <x:v>133</x:v>
      </x:c>
      <x:c r="G4890" s="274" t="s">
        <x:v>2468</x:v>
      </x:c>
      <x:c r="I4890" s="274" t="n">
        <x:v>0.7</x:v>
      </x:c>
      <x:c r="J4890" s="274" t="n">
        <x:v>275</x:v>
      </x:c>
      <x:c r="K4890" s="274" t="n">
        <x:v>800</x:v>
      </x:c>
      <x:c r="M4890" s="274" t="s">
        <x:v>7463</x:v>
      </x:c>
      <x:c r="N4890" s="274" t="s">
        <x:v>7439</x:v>
      </x:c>
    </x:row>
    <x:row r="4891" spans="1:14">
      <x:c r="A4891" s="274" t="s">
        <x:v>8646</x:v>
      </x:c>
      <x:c r="B4891" s="274" t="n">
        <x:v>0.46</x:v>
      </x:c>
      <x:c r="C4891" s="274" t="n">
        <x:v>0</x:v>
      </x:c>
      <x:c r="D4891" s="274" t="n">
        <x:v>0</x:v>
      </x:c>
      <x:c r="F4891" s="274" t="s">
        <x:v>133</x:v>
      </x:c>
      <x:c r="G4891" s="274" t="s">
        <x:v>2157</x:v>
      </x:c>
      <x:c r="I4891" s="274" t="n">
        <x:v>0.6</x:v>
      </x:c>
      <x:c r="J4891" s="274" t="n">
        <x:v>1110</x:v>
      </x:c>
      <x:c r="K4891" s="274" t="n">
        <x:v>88</x:v>
      </x:c>
      <x:c r="M4891" s="274" t="s">
        <x:v>3659</x:v>
      </x:c>
      <x:c r="N4891" s="274" t="s">
        <x:v>3654</x:v>
      </x:c>
    </x:row>
    <x:row r="4892" spans="1:14">
      <x:c r="A4892" s="274" t="s">
        <x:v>8647</x:v>
      </x:c>
      <x:c r="B4892" s="274" t="n">
        <x:v>0.98</x:v>
      </x:c>
      <x:c r="C4892" s="274" t="n">
        <x:v>0</x:v>
      </x:c>
      <x:c r="D4892" s="274" t="n">
        <x:v>45</x:v>
      </x:c>
      <x:c r="E4892" s="274" t="n">
        <x:v>40</x:v>
      </x:c>
      <x:c r="F4892" s="274" t="s">
        <x:v>133</x:v>
      </x:c>
      <x:c r="G4892" s="274" t="s">
        <x:v>2468</x:v>
      </x:c>
      <x:c r="I4892" s="274" t="n">
        <x:v>0.7</x:v>
      </x:c>
      <x:c r="J4892" s="274" t="n">
        <x:v>605</x:v>
      </x:c>
      <x:c r="K4892" s="274" t="n">
        <x:v>295</x:v>
      </x:c>
      <x:c r="M4892" s="274" t="s">
        <x:v>7461</x:v>
      </x:c>
      <x:c r="N4892" s="274" t="s">
        <x:v>7439</x:v>
      </x:c>
    </x:row>
    <x:row r="4893" spans="1:14">
      <x:c r="A4893" s="274" t="s">
        <x:v>8648</x:v>
      </x:c>
      <x:c r="B4893" s="274" t="n">
        <x:v>10.41</x:v>
      </x:c>
      <x:c r="C4893" s="274" t="n">
        <x:v>0</x:v>
      </x:c>
      <x:c r="D4893" s="274" t="n">
        <x:v>0</x:v>
      </x:c>
      <x:c r="F4893" s="274" t="s">
        <x:v>123</x:v>
      </x:c>
      <x:c r="G4893" s="274" t="s">
        <x:v>139</x:v>
      </x:c>
      <x:c r="I4893" s="274" t="n">
        <x:v>3.8</x:v>
      </x:c>
      <x:c r="J4893" s="274" t="n">
        <x:v>1220</x:v>
      </x:c>
      <x:c r="K4893" s="274" t="n">
        <x:v>286</x:v>
      </x:c>
      <x:c r="M4893" s="274" t="s">
        <x:v>3670</x:v>
      </x:c>
      <x:c r="N4893" s="274" t="s">
        <x:v>3671</x:v>
      </x:c>
    </x:row>
    <x:row r="4894" spans="1:14">
      <x:c r="A4894" s="274" t="s">
        <x:v>8649</x:v>
      </x:c>
      <x:c r="B4894" s="274" t="n">
        <x:v>6.07</x:v>
      </x:c>
      <x:c r="C4894" s="274" t="n">
        <x:v>0</x:v>
      </x:c>
      <x:c r="D4894" s="274" t="n">
        <x:v>0</x:v>
      </x:c>
      <x:c r="F4894" s="274" t="s">
        <x:v>123</x:v>
      </x:c>
      <x:c r="G4894" s="274" t="s">
        <x:v>139</x:v>
      </x:c>
      <x:c r="I4894" s="274" t="n">
        <x:v>4.5</x:v>
      </x:c>
      <x:c r="J4894" s="274" t="n">
        <x:v>1095</x:v>
      </x:c>
      <x:c r="K4894" s="274" t="n">
        <x:v>157</x:v>
      </x:c>
      <x:c r="M4894" s="274" t="s">
        <x:v>8650</x:v>
      </x:c>
      <x:c r="N4894" s="274" t="s">
        <x:v>3671</x:v>
      </x:c>
    </x:row>
    <x:row r="4895" spans="1:14">
      <x:c r="A4895" s="274" t="s">
        <x:v>8651</x:v>
      </x:c>
      <x:c r="B4895" s="274" t="n">
        <x:v>5.99</x:v>
      </x:c>
      <x:c r="C4895" s="274" t="n">
        <x:v>0</x:v>
      </x:c>
      <x:c r="D4895" s="274" t="n">
        <x:v>0</x:v>
      </x:c>
      <x:c r="F4895" s="274" t="s">
        <x:v>123</x:v>
      </x:c>
      <x:c r="G4895" s="274" t="s">
        <x:v>139</x:v>
      </x:c>
      <x:c r="I4895" s="274" t="n">
        <x:v>4.5</x:v>
      </x:c>
      <x:c r="J4895" s="274" t="n">
        <x:v>1040</x:v>
      </x:c>
      <x:c r="K4895" s="274" t="n">
        <x:v>163</x:v>
      </x:c>
      <x:c r="M4895" s="274" t="s">
        <x:v>8652</x:v>
      </x:c>
      <x:c r="N4895" s="274" t="s">
        <x:v>3671</x:v>
      </x:c>
    </x:row>
    <x:row r="4896" spans="1:14">
      <x:c r="A4896" s="274" t="s">
        <x:v>8653</x:v>
      </x:c>
      <x:c r="B4896" s="274" t="n">
        <x:v>17.21</x:v>
      </x:c>
      <x:c r="C4896" s="274" t="n">
        <x:v>20</x:v>
      </x:c>
      <x:c r="D4896" s="274" t="n">
        <x:v>20</x:v>
      </x:c>
      <x:c r="E4896" s="274" t="n">
        <x:v>0</x:v>
      </x:c>
      <x:c r="F4896" s="274" t="s">
        <x:v>333</x:v>
      </x:c>
      <x:c r="G4896" s="274" t="s">
        <x:v>8654</x:v>
      </x:c>
      <x:c r="I4896" s="274" t="n">
        <x:v>0.65</x:v>
      </x:c>
      <x:c r="J4896" s="274" t="n">
        <x:v>1297</x:v>
      </x:c>
      <x:c r="K4896" s="274" t="n">
        <x:v>2634</x:v>
      </x:c>
      <x:c r="M4896" s="274" t="s">
        <x:v>8655</x:v>
      </x:c>
      <x:c r="N4896" s="274" t="s">
        <x:v>3671</x:v>
      </x:c>
    </x:row>
    <x:row r="4897" spans="1:14">
      <x:c r="A4897" s="274" t="s">
        <x:v>8656</x:v>
      </x:c>
      <x:c r="B4897" s="274" t="n">
        <x:v>11.8</x:v>
      </x:c>
      <x:c r="C4897" s="274" t="n">
        <x:v>0</x:v>
      </x:c>
      <x:c r="D4897" s="274" t="n">
        <x:v>20</x:v>
      </x:c>
      <x:c r="F4897" s="274" t="s">
        <x:v>123</x:v>
      </x:c>
      <x:c r="G4897" s="274" t="s">
        <x:v>1728</x:v>
      </x:c>
      <x:c r="H4897" s="274" t="s">
        <x:v>907</x:v>
      </x:c>
      <x:c r="I4897" s="274" t="n">
        <x:v>0.65</x:v>
      </x:c>
      <x:c r="J4897" s="274" t="n">
        <x:v>1411</x:v>
      </x:c>
      <x:c r="K4897" s="274" t="n">
        <x:v>1610</x:v>
      </x:c>
      <x:c r="M4897" s="274" t="s">
        <x:v>8657</x:v>
      </x:c>
      <x:c r="N4897" s="274" t="s">
        <x:v>3671</x:v>
      </x:c>
    </x:row>
    <x:row r="4898" spans="1:14">
      <x:c r="A4898" s="274" t="s">
        <x:v>8658</x:v>
      </x:c>
      <x:c r="B4898" s="274" t="n">
        <x:v>0.81</x:v>
      </x:c>
      <x:c r="C4898" s="274" t="n">
        <x:v>0</x:v>
      </x:c>
      <x:c r="D4898" s="274" t="n">
        <x:v>0</x:v>
      </x:c>
      <x:c r="F4898" s="274" t="s">
        <x:v>123</x:v>
      </x:c>
      <x:c r="G4898" s="274" t="s">
        <x:v>153</x:v>
      </x:c>
      <x:c r="I4898" s="274" t="n">
        <x:v>2.6</x:v>
      </x:c>
      <x:c r="J4898" s="274" t="n">
        <x:v>307</x:v>
      </x:c>
      <x:c r="K4898" s="274" t="n">
        <x:v>130</x:v>
      </x:c>
      <x:c r="M4898" s="274" t="s">
        <x:v>7585</x:v>
      </x:c>
      <x:c r="N4898" s="274" t="s">
        <x:v>299</x:v>
      </x:c>
    </x:row>
    <x:row r="4899" spans="1:14">
      <x:c r="A4899" s="274" t="s">
        <x:v>8659</x:v>
      </x:c>
      <x:c r="B4899" s="274" t="n">
        <x:v>4.31</x:v>
      </x:c>
      <x:c r="C4899" s="274" t="n">
        <x:v>40</x:v>
      </x:c>
      <x:c r="D4899" s="274" t="n">
        <x:v>36</x:v>
      </x:c>
      <x:c r="E4899" s="274" t="n">
        <x:v>0</x:v>
      </x:c>
      <x:c r="F4899" s="274" t="s">
        <x:v>133</x:v>
      </x:c>
      <x:c r="G4899" s="274" t="s">
        <x:v>153</x:v>
      </x:c>
      <x:c r="I4899" s="274" t="n">
        <x:v>0.7</x:v>
      </x:c>
      <x:c r="J4899" s="274" t="n">
        <x:v>875</x:v>
      </x:c>
      <x:c r="K4899" s="274" t="n">
        <x:v>1035.6</x:v>
      </x:c>
      <x:c r="L4899" s="274" t="n">
        <x:v>758.4</x:v>
      </x:c>
      <x:c r="M4899" s="274" t="s">
        <x:v>8660</x:v>
      </x:c>
      <x:c r="N4899" s="274" t="s">
        <x:v>155</x:v>
      </x:c>
    </x:row>
    <x:row r="4900" spans="1:14">
      <x:c r="A4900" s="274" t="s">
        <x:v>8661</x:v>
      </x:c>
      <x:c r="B4900" s="274" t="n">
        <x:v>4.31</x:v>
      </x:c>
      <x:c r="C4900" s="274" t="n">
        <x:v>40</x:v>
      </x:c>
      <x:c r="D4900" s="274" t="n">
        <x:v>36</x:v>
      </x:c>
      <x:c r="E4900" s="274" t="n">
        <x:v>0</x:v>
      </x:c>
      <x:c r="F4900" s="274" t="s">
        <x:v>333</x:v>
      </x:c>
      <x:c r="G4900" s="274" t="s">
        <x:v>153</x:v>
      </x:c>
      <x:c r="I4900" s="274" t="n">
        <x:v>0.7</x:v>
      </x:c>
      <x:c r="J4900" s="274" t="n">
        <x:v>875</x:v>
      </x:c>
      <x:c r="K4900" s="274" t="n">
        <x:v>1035.6</x:v>
      </x:c>
      <x:c r="L4900" s="274" t="n">
        <x:v>758.4</x:v>
      </x:c>
      <x:c r="M4900" s="274" t="s">
        <x:v>8660</x:v>
      </x:c>
      <x:c r="N4900" s="274" t="s">
        <x:v>155</x:v>
      </x:c>
    </x:row>
    <x:row r="4901" spans="1:14">
      <x:c r="A4901" s="274" t="s">
        <x:v>8662</x:v>
      </x:c>
      <x:c r="B4901" s="274" t="n">
        <x:v>1.64</x:v>
      </x:c>
      <x:c r="C4901" s="274" t="n">
        <x:v>0</x:v>
      </x:c>
      <x:c r="D4901" s="274" t="n">
        <x:v>0</x:v>
      </x:c>
      <x:c r="F4901" s="274" t="s">
        <x:v>3412</x:v>
      </x:c>
      <x:c r="G4901" s="274" t="s">
        <x:v>5476</x:v>
      </x:c>
      <x:c r="I4901" s="274" t="n">
        <x:v>1</x:v>
      </x:c>
      <x:c r="J4901" s="274" t="n">
        <x:v>533.4</x:v>
      </x:c>
      <x:c r="K4901" s="274" t="n">
        <x:v>396.5</x:v>
      </x:c>
      <x:c r="M4901" s="274" t="s">
        <x:v>8363</x:v>
      </x:c>
      <x:c r="N4901" s="274" t="s">
        <x:v>4258</x:v>
      </x:c>
    </x:row>
    <x:row r="4902" spans="1:14">
      <x:c r="A4902" s="274" t="s">
        <x:v>8663</x:v>
      </x:c>
      <x:c r="B4902" s="274" t="n">
        <x:v>0.32</x:v>
      </x:c>
      <x:c r="C4902" s="274" t="n">
        <x:v>27</x:v>
      </x:c>
      <x:c r="D4902" s="274" t="n">
        <x:v>36</x:v>
      </x:c>
      <x:c r="E4902" s="274" t="n">
        <x:v>33</x:v>
      </x:c>
      <x:c r="F4902" s="274" t="s">
        <x:v>184</x:v>
      </x:c>
      <x:c r="G4902" s="274" t="s">
        <x:v>4782</x:v>
      </x:c>
      <x:c r="H4902" s="274" t="s">
        <x:v>4471</x:v>
      </x:c>
      <x:c r="I4902" s="274" t="n">
        <x:v>1.2</x:v>
      </x:c>
      <x:c r="J4902" s="274" t="n">
        <x:v>122</x:v>
      </x:c>
      <x:c r="K4902" s="274" t="n">
        <x:v>280</x:v>
      </x:c>
      <x:c r="M4902" s="274" t="s">
        <x:v>3450</x:v>
      </x:c>
      <x:c r="N4902" s="274" t="s">
        <x:v>4258</x:v>
      </x:c>
    </x:row>
    <x:row r="4903" spans="1:14">
      <x:c r="A4903" s="274" t="s">
        <x:v>8664</x:v>
      </x:c>
      <x:c r="B4903" s="274" t="n">
        <x:v>1.68</x:v>
      </x:c>
      <x:c r="C4903" s="274" t="n">
        <x:v>0</x:v>
      </x:c>
      <x:c r="D4903" s="274" t="n">
        <x:v>0</x:v>
      </x:c>
      <x:c r="F4903" s="274" t="s">
        <x:v>128</x:v>
      </x:c>
      <x:c r="G4903" s="274" t="s">
        <x:v>3314</x:v>
      </x:c>
      <x:c r="H4903" s="274" t="n">
        <x:v>45</x:v>
      </x:c>
      <x:c r="I4903" s="274" t="n">
        <x:v>2</x:v>
      </x:c>
      <x:c r="J4903" s="274" t="n">
        <x:v>190</x:v>
      </x:c>
      <x:c r="K4903" s="274" t="n">
        <x:v>560</x:v>
      </x:c>
      <x:c r="M4903" s="274" t="s">
        <x:v>6182</x:v>
      </x:c>
      <x:c r="N4903" s="274" t="s">
        <x:v>3671</x:v>
      </x:c>
    </x:row>
    <x:row r="4904" spans="1:14">
      <x:c r="A4904" s="274" t="s">
        <x:v>8665</x:v>
      </x:c>
      <x:c r="B4904" s="274" t="n">
        <x:v>3.94</x:v>
      </x:c>
      <x:c r="C4904" s="274" t="n">
        <x:v>0</x:v>
      </x:c>
      <x:c r="D4904" s="274" t="n">
        <x:v>0</x:v>
      </x:c>
      <x:c r="F4904" s="274" t="s">
        <x:v>133</x:v>
      </x:c>
      <x:c r="G4904" s="274" t="s">
        <x:v>153</x:v>
      </x:c>
      <x:c r="I4904" s="274" t="n">
        <x:v>0.7</x:v>
      </x:c>
      <x:c r="J4904" s="274" t="n">
        <x:v>470</x:v>
      </x:c>
      <x:c r="K4904" s="274" t="n">
        <x:v>1526</x:v>
      </x:c>
      <x:c r="M4904" s="274" t="s">
        <x:v>1364</x:v>
      </x:c>
      <x:c r="N4904" s="274" t="s">
        <x:v>5222</x:v>
      </x:c>
    </x:row>
    <x:row r="4905" spans="1:14">
      <x:c r="A4905" s="274" t="s">
        <x:v>8666</x:v>
      </x:c>
      <x:c r="B4905" s="274" t="n">
        <x:v>1.32</x:v>
      </x:c>
      <x:c r="C4905" s="274" t="n">
        <x:v>0</x:v>
      </x:c>
      <x:c r="D4905" s="274" t="n">
        <x:v>35</x:v>
      </x:c>
      <x:c r="E4905" s="274" t="n">
        <x:v>33</x:v>
      </x:c>
      <x:c r="F4905" s="274" t="s">
        <x:v>133</x:v>
      </x:c>
      <x:c r="G4905" s="274" t="s">
        <x:v>136</x:v>
      </x:c>
      <x:c r="H4905" s="274" t="n">
        <x:v>45</x:v>
      </x:c>
      <x:c r="I4905" s="274" t="n">
        <x:v>1.6</x:v>
      </x:c>
      <x:c r="J4905" s="274" t="n">
        <x:v>445</x:v>
      </x:c>
      <x:c r="K4905" s="274" t="n">
        <x:v>235</x:v>
      </x:c>
      <x:c r="M4905" s="274" t="s">
        <x:v>8667</x:v>
      </x:c>
      <x:c r="N4905" s="274" t="s">
        <x:v>4481</x:v>
      </x:c>
    </x:row>
    <x:row r="4906" spans="1:14">
      <x:c r="A4906" s="274" t="s">
        <x:v>8668</x:v>
      </x:c>
      <x:c r="B4906" s="274" t="n">
        <x:v>12.25</x:v>
      </x:c>
      <x:c r="C4906" s="274" t="n">
        <x:v>0</x:v>
      </x:c>
      <x:c r="D4906" s="274" t="n">
        <x:v>0</x:v>
      </x:c>
      <x:c r="F4906" s="274" t="s">
        <x:v>128</x:v>
      </x:c>
      <x:c r="G4906" s="274" t="s">
        <x:v>8669</x:v>
      </x:c>
      <x:c r="H4906" s="274" t="s">
        <x:v>285</x:v>
      </x:c>
      <x:c r="I4906" s="274" t="n">
        <x:v>0.65</x:v>
      </x:c>
      <x:c r="J4906" s="274" t="n">
        <x:v>1475</x:v>
      </x:c>
      <x:c r="K4906" s="274" t="n">
        <x:v>1600</x:v>
      </x:c>
      <x:c r="M4906" s="274" t="s">
        <x:v>8670</x:v>
      </x:c>
      <x:c r="N4906" s="274" t="s">
        <x:v>3671</x:v>
      </x:c>
    </x:row>
    <x:row r="4907" spans="1:14">
      <x:c r="A4907" s="274" t="s">
        <x:v>8671</x:v>
      </x:c>
      <x:c r="B4907" s="274" t="n">
        <x:v>20.27</x:v>
      </x:c>
      <x:c r="C4907" s="274" t="n">
        <x:v>20</x:v>
      </x:c>
      <x:c r="D4907" s="274" t="n">
        <x:v>20</x:v>
      </x:c>
      <x:c r="E4907" s="274" t="n">
        <x:v>0</x:v>
      </x:c>
      <x:c r="F4907" s="274" t="s">
        <x:v>133</x:v>
      </x:c>
      <x:c r="G4907" s="274" t="s">
        <x:v>1728</x:v>
      </x:c>
      <x:c r="H4907" s="274" t="n">
        <x:v>45</x:v>
      </x:c>
      <x:c r="I4907" s="274" t="n">
        <x:v>0.65</x:v>
      </x:c>
      <x:c r="J4907" s="274" t="n">
        <x:v>1524</x:v>
      </x:c>
      <x:c r="K4907" s="274" t="n">
        <x:v>2562</x:v>
      </x:c>
      <x:c r="M4907" s="274" t="s">
        <x:v>8672</x:v>
      </x:c>
      <x:c r="N4907" s="274" t="s">
        <x:v>3671</x:v>
      </x:c>
    </x:row>
    <x:row r="4908" spans="1:14">
      <x:c r="A4908" s="274" t="s">
        <x:v>8673</x:v>
      </x:c>
      <x:c r="B4908" s="274" t="n">
        <x:v>2.49</x:v>
      </x:c>
      <x:c r="C4908" s="274" t="n">
        <x:v>0</x:v>
      </x:c>
      <x:c r="D4908" s="274" t="n">
        <x:v>45</x:v>
      </x:c>
      <x:c r="E4908" s="274" t="n">
        <x:v>40</x:v>
      </x:c>
      <x:c r="F4908" s="274" t="s">
        <x:v>311</x:v>
      </x:c>
      <x:c r="G4908" s="274" t="s">
        <x:v>828</x:v>
      </x:c>
      <x:c r="H4908" s="274" t="s">
        <x:v>829</x:v>
      </x:c>
      <x:c r="I4908" s="274" t="n">
        <x:v>0.8</x:v>
      </x:c>
      <x:c r="J4908" s="274" t="n">
        <x:v>600</x:v>
      </x:c>
      <x:c r="K4908" s="274" t="n">
        <x:v>660</x:v>
      </x:c>
      <x:c r="M4908" s="274" t="s">
        <x:v>3784</x:v>
      </x:c>
      <x:c r="N4908" s="274" t="s">
        <x:v>4149</x:v>
      </x:c>
    </x:row>
    <x:row r="4909" spans="1:14">
      <x:c r="A4909" s="274" t="s">
        <x:v>8674</x:v>
      </x:c>
      <x:c r="B4909" s="274" t="n">
        <x:v>2.52</x:v>
      </x:c>
      <x:c r="C4909" s="274" t="n">
        <x:v>0</x:v>
      </x:c>
      <x:c r="D4909" s="274" t="n">
        <x:v>35</x:v>
      </x:c>
      <x:c r="E4909" s="274" t="n">
        <x:v>33</x:v>
      </x:c>
      <x:c r="F4909" s="274" t="s">
        <x:v>311</x:v>
      </x:c>
      <x:c r="G4909" s="274" t="s">
        <x:v>828</x:v>
      </x:c>
      <x:c r="H4909" s="274" t="s">
        <x:v>837</x:v>
      </x:c>
      <x:c r="I4909" s="274" t="n">
        <x:v>0.8</x:v>
      </x:c>
      <x:c r="J4909" s="274" t="n">
        <x:v>510</x:v>
      </x:c>
      <x:c r="K4909" s="274" t="n">
        <x:v>785</x:v>
      </x:c>
      <x:c r="M4909" s="274" t="s">
        <x:v>3782</x:v>
      </x:c>
      <x:c r="N4909" s="274" t="s">
        <x:v>4149</x:v>
      </x:c>
    </x:row>
    <x:row r="4910" spans="1:14">
      <x:c r="A4910" s="274" t="s">
        <x:v>8675</x:v>
      </x:c>
      <x:c r="B4910" s="274" t="n">
        <x:v>0.47</x:v>
      </x:c>
      <x:c r="C4910" s="274" t="n">
        <x:v>0</x:v>
      </x:c>
      <x:c r="D4910" s="274" t="n">
        <x:v>36</x:v>
      </x:c>
      <x:c r="E4910" s="274" t="n">
        <x:v>33</x:v>
      </x:c>
      <x:c r="F4910" s="274" t="s">
        <x:v>133</x:v>
      </x:c>
      <x:c r="G4910" s="274" t="s">
        <x:v>144</x:v>
      </x:c>
      <x:c r="H4910" s="274" t="n">
        <x:v>45</x:v>
      </x:c>
      <x:c r="I4910" s="274" t="n">
        <x:v>2</x:v>
      </x:c>
      <x:c r="J4910" s="274" t="n">
        <x:v>180</x:v>
      </x:c>
      <x:c r="K4910" s="274" t="n">
        <x:v>167</x:v>
      </x:c>
      <x:c r="M4910" s="274" t="s">
        <x:v>5437</x:v>
      </x:c>
      <x:c r="N4910" s="274" t="s">
        <x:v>3671</x:v>
      </x:c>
    </x:row>
    <x:row r="4911" spans="1:14">
      <x:c r="A4911" s="274" t="s">
        <x:v>8676</x:v>
      </x:c>
      <x:c r="B4911" s="274" t="n">
        <x:v>1.23</x:v>
      </x:c>
      <x:c r="C4911" s="274" t="n">
        <x:v>0</x:v>
      </x:c>
      <x:c r="D4911" s="274" t="n">
        <x:v>36</x:v>
      </x:c>
      <x:c r="E4911" s="274" t="n">
        <x:v>33</x:v>
      </x:c>
      <x:c r="F4911" s="274" t="s">
        <x:v>3412</x:v>
      </x:c>
      <x:c r="G4911" s="274" t="s">
        <x:v>6622</x:v>
      </x:c>
      <x:c r="H4911" s="274" t="s">
        <x:v>837</x:v>
      </x:c>
      <x:c r="I4911" s="274" t="n">
        <x:v>0.8</x:v>
      </x:c>
      <x:c r="J4911" s="274" t="n">
        <x:v>430</x:v>
      </x:c>
      <x:c r="K4911" s="274" t="n">
        <x:v>455</x:v>
      </x:c>
      <x:c r="M4911" s="274" t="s">
        <x:v>3923</x:v>
      </x:c>
      <x:c r="N4911" s="274" t="s">
        <x:v>831</x:v>
      </x:c>
    </x:row>
    <x:row r="4912" spans="1:14">
      <x:c r="A4912" s="274" t="s">
        <x:v>8677</x:v>
      </x:c>
      <x:c r="B4912" s="274" t="n">
        <x:v>2.64</x:v>
      </x:c>
      <x:c r="C4912" s="274" t="n">
        <x:v>0</x:v>
      </x:c>
      <x:c r="D4912" s="274" t="n">
        <x:v>45</x:v>
      </x:c>
      <x:c r="E4912" s="274" t="n">
        <x:v>40</x:v>
      </x:c>
      <x:c r="F4912" s="274" t="s">
        <x:v>311</x:v>
      </x:c>
      <x:c r="G4912" s="274" t="s">
        <x:v>6529</x:v>
      </x:c>
      <x:c r="H4912" s="274" t="s">
        <x:v>829</x:v>
      </x:c>
      <x:c r="I4912" s="274" t="n">
        <x:v>0.8</x:v>
      </x:c>
      <x:c r="J4912" s="274" t="n">
        <x:v>620</x:v>
      </x:c>
      <x:c r="K4912" s="274" t="n">
        <x:v>675</x:v>
      </x:c>
      <x:c r="M4912" s="274" t="s">
        <x:v>8464</x:v>
      </x:c>
      <x:c r="N4912" s="274" t="s">
        <x:v>831</x:v>
      </x:c>
    </x:row>
    <x:row r="4913" spans="1:14">
      <x:c r="A4913" s="274" t="s">
        <x:v>8678</x:v>
      </x:c>
      <x:c r="B4913" s="274" t="n">
        <x:v>1.23</x:v>
      </x:c>
      <x:c r="C4913" s="274" t="n">
        <x:v>0</x:v>
      </x:c>
      <x:c r="D4913" s="274" t="n">
        <x:v>36</x:v>
      </x:c>
      <x:c r="E4913" s="274" t="n">
        <x:v>33</x:v>
      </x:c>
      <x:c r="F4913" s="274" t="s">
        <x:v>311</x:v>
      </x:c>
      <x:c r="G4913" s="274" t="s">
        <x:v>6529</x:v>
      </x:c>
      <x:c r="H4913" s="274" t="s">
        <x:v>837</x:v>
      </x:c>
      <x:c r="I4913" s="274" t="n">
        <x:v>0.8</x:v>
      </x:c>
      <x:c r="J4913" s="274" t="n">
        <x:v>430</x:v>
      </x:c>
      <x:c r="K4913" s="274" t="n">
        <x:v>455</x:v>
      </x:c>
      <x:c r="M4913" s="274" t="s">
        <x:v>3923</x:v>
      </x:c>
      <x:c r="N4913" s="274" t="s">
        <x:v>831</x:v>
      </x:c>
    </x:row>
    <x:row r="4914" spans="1:14">
      <x:c r="A4914" s="274" t="s">
        <x:v>8679</x:v>
      </x:c>
      <x:c r="B4914" s="274" t="n">
        <x:v>2.52</x:v>
      </x:c>
      <x:c r="C4914" s="274" t="n">
        <x:v>0</x:v>
      </x:c>
      <x:c r="D4914" s="274" t="n">
        <x:v>35</x:v>
      </x:c>
      <x:c r="E4914" s="274" t="n">
        <x:v>32</x:v>
      </x:c>
      <x:c r="F4914" s="274" t="s">
        <x:v>311</x:v>
      </x:c>
      <x:c r="G4914" s="274" t="s">
        <x:v>6529</x:v>
      </x:c>
      <x:c r="H4914" s="274" t="s">
        <x:v>837</x:v>
      </x:c>
      <x:c r="I4914" s="274" t="n">
        <x:v>0.8</x:v>
      </x:c>
      <x:c r="J4914" s="274" t="n">
        <x:v>510</x:v>
      </x:c>
      <x:c r="K4914" s="274" t="n">
        <x:v>785</x:v>
      </x:c>
      <x:c r="M4914" s="274" t="s">
        <x:v>3782</x:v>
      </x:c>
      <x:c r="N4914" s="274" t="s">
        <x:v>831</x:v>
      </x:c>
    </x:row>
    <x:row r="4915" spans="1:14">
      <x:c r="A4915" s="274" t="s">
        <x:v>8680</x:v>
      </x:c>
      <x:c r="B4915" s="274" t="n">
        <x:v>1.75</x:v>
      </x:c>
      <x:c r="C4915" s="274" t="n">
        <x:v>0</x:v>
      </x:c>
      <x:c r="D4915" s="274" t="n">
        <x:v>0</x:v>
      </x:c>
      <x:c r="F4915" s="274" t="s">
        <x:v>184</x:v>
      </x:c>
      <x:c r="G4915" s="274" t="s">
        <x:v>3413</x:v>
      </x:c>
      <x:c r="H4915" s="274" t="n">
        <x:v>45</x:v>
      </x:c>
      <x:c r="I4915" s="274" t="n">
        <x:v>1.4</x:v>
      </x:c>
      <x:c r="J4915" s="274" t="n">
        <x:v>900</x:v>
      </x:c>
      <x:c r="K4915" s="274" t="n">
        <x:v>175</x:v>
      </x:c>
      <x:c r="M4915" s="274" t="s">
        <x:v>8518</x:v>
      </x:c>
      <x:c r="N4915" s="274" t="s">
        <x:v>3671</x:v>
      </x:c>
    </x:row>
    <x:row r="4916" spans="1:14">
      <x:c r="A4916" s="274" t="s">
        <x:v>8681</x:v>
      </x:c>
      <x:c r="B4916" s="274" t="n">
        <x:v>2.74</x:v>
      </x:c>
      <x:c r="C4916" s="274" t="n">
        <x:v>0</x:v>
      </x:c>
      <x:c r="D4916" s="274" t="n">
        <x:v>35</x:v>
      </x:c>
      <x:c r="E4916" s="274" t="n">
        <x:v>32</x:v>
      </x:c>
      <x:c r="F4916" s="274" t="s">
        <x:v>311</x:v>
      </x:c>
      <x:c r="G4916" s="274" t="s">
        <x:v>6529</x:v>
      </x:c>
      <x:c r="H4916" s="274" t="s">
        <x:v>837</x:v>
      </x:c>
      <x:c r="I4916" s="274" t="n">
        <x:v>0.8</x:v>
      </x:c>
      <x:c r="J4916" s="274" t="n">
        <x:v>550</x:v>
      </x:c>
      <x:c r="K4916" s="274" t="n">
        <x:v>790</x:v>
      </x:c>
      <x:c r="M4916" s="274" t="s">
        <x:v>3778</x:v>
      </x:c>
    </x:row>
    <x:row r="4917" spans="1:14">
      <x:c r="A4917" s="274" t="s">
        <x:v>8682</x:v>
      </x:c>
      <x:c r="B4917" s="274" t="n">
        <x:v>0.97</x:v>
      </x:c>
      <x:c r="C4917" s="274" t="n">
        <x:v>26</x:v>
      </x:c>
      <x:c r="D4917" s="274" t="n">
        <x:v>36</x:v>
      </x:c>
      <x:c r="E4917" s="274" t="n">
        <x:v>32</x:v>
      </x:c>
      <x:c r="F4917" s="274" t="s">
        <x:v>311</x:v>
      </x:c>
      <x:c r="G4917" s="274" t="s">
        <x:v>6529</x:v>
      </x:c>
      <x:c r="H4917" s="274" t="s">
        <x:v>837</x:v>
      </x:c>
      <x:c r="I4917" s="274" t="n">
        <x:v>0.8</x:v>
      </x:c>
      <x:c r="J4917" s="274" t="n">
        <x:v>370</x:v>
      </x:c>
      <x:c r="K4917" s="274" t="n">
        <x:v>415</x:v>
      </x:c>
      <x:c r="M4917" s="274" t="s">
        <x:v>3921</x:v>
      </x:c>
    </x:row>
    <x:row r="4918" spans="1:14">
      <x:c r="A4918" s="274" t="s">
        <x:v>8683</x:v>
      </x:c>
      <x:c r="B4918" s="274" t="n">
        <x:v>5.05</x:v>
      </x:c>
      <x:c r="C4918" s="274" t="n">
        <x:v>0</x:v>
      </x:c>
      <x:c r="D4918" s="274" t="n">
        <x:v>45</x:v>
      </x:c>
      <x:c r="E4918" s="274" t="n">
        <x:v>40</x:v>
      </x:c>
      <x:c r="F4918" s="274" t="s">
        <x:v>133</x:v>
      </x:c>
      <x:c r="G4918" s="274" t="s">
        <x:v>124</x:v>
      </x:c>
      <x:c r="I4918" s="274" t="n">
        <x:v>1</x:v>
      </x:c>
      <x:c r="J4918" s="274" t="n">
        <x:v>1090</x:v>
      </x:c>
      <x:c r="K4918" s="274" t="n">
        <x:v>590</x:v>
      </x:c>
      <x:c r="M4918" s="274" t="s">
        <x:v>1090</x:v>
      </x:c>
      <x:c r="N4918" s="274" t="s">
        <x:v>299</x:v>
      </x:c>
    </x:row>
    <x:row r="4919" spans="1:14">
      <x:c r="A4919" s="274" t="s">
        <x:v>8684</x:v>
      </x:c>
      <x:c r="B4919" s="274" t="n">
        <x:v>0.71</x:v>
      </x:c>
      <x:c r="C4919" s="274" t="n">
        <x:v>0</x:v>
      </x:c>
      <x:c r="D4919" s="274" t="n">
        <x:v>0</x:v>
      </x:c>
      <x:c r="F4919" s="274" t="s">
        <x:v>133</x:v>
      </x:c>
      <x:c r="G4919" s="274" t="s">
        <x:v>153</x:v>
      </x:c>
      <x:c r="I4919" s="274" t="n">
        <x:v>1.4</x:v>
      </x:c>
      <x:c r="J4919" s="274" t="n">
        <x:v>330</x:v>
      </x:c>
      <x:c r="K4919" s="274" t="n">
        <x:v>195</x:v>
      </x:c>
      <x:c r="M4919" s="274" t="s">
        <x:v>716</x:v>
      </x:c>
      <x:c r="N4919" s="274" t="s">
        <x:v>131</x:v>
      </x:c>
    </x:row>
    <x:row r="4920" spans="1:14">
      <x:c r="A4920" s="274" t="s">
        <x:v>8685</x:v>
      </x:c>
      <x:c r="B4920" s="274" t="n">
        <x:v>3.98</x:v>
      </x:c>
      <x:c r="C4920" s="274" t="n">
        <x:v>0</x:v>
      </x:c>
      <x:c r="D4920" s="274" t="n">
        <x:v>0</x:v>
      </x:c>
      <x:c r="F4920" s="274" t="s">
        <x:v>133</x:v>
      </x:c>
      <x:c r="G4920" s="274" t="s">
        <x:v>124</x:v>
      </x:c>
      <x:c r="I4920" s="274" t="n">
        <x:v>1</x:v>
      </x:c>
      <x:c r="J4920" s="274" t="n">
        <x:v>905</x:v>
      </x:c>
      <x:c r="K4920" s="274" t="n">
        <x:v>560</x:v>
      </x:c>
      <x:c r="M4920" s="274" t="s">
        <x:v>2096</x:v>
      </x:c>
      <x:c r="N4920" s="274" t="s">
        <x:v>299</x:v>
      </x:c>
    </x:row>
    <x:row r="4921" spans="1:14">
      <x:c r="A4921" s="274" t="s">
        <x:v>8686</x:v>
      </x:c>
      <x:c r="B4921" s="274" t="n">
        <x:v>0.53</x:v>
      </x:c>
      <x:c r="C4921" s="274" t="n">
        <x:v>0</x:v>
      </x:c>
      <x:c r="D4921" s="274" t="n">
        <x:v>0</x:v>
      </x:c>
      <x:c r="F4921" s="274" t="s">
        <x:v>128</x:v>
      </x:c>
      <x:c r="G4921" s="274" t="s">
        <x:v>3314</x:v>
      </x:c>
      <x:c r="H4921" s="274" t="n">
        <x:v>45</x:v>
      </x:c>
      <x:c r="I4921" s="274" t="n">
        <x:v>2.6</x:v>
      </x:c>
      <x:c r="J4921" s="274" t="n">
        <x:v>166</x:v>
      </x:c>
      <x:c r="K4921" s="274" t="n">
        <x:v>157</x:v>
      </x:c>
      <x:c r="M4921" s="274" t="s">
        <x:v>4337</x:v>
      </x:c>
    </x:row>
    <x:row r="4922" spans="1:14">
      <x:c r="A4922" s="274" t="s">
        <x:v>8687</x:v>
      </x:c>
      <x:c r="B4922" s="274" t="n">
        <x:v>0.97</x:v>
      </x:c>
      <x:c r="C4922" s="274" t="n">
        <x:v>0</x:v>
      </x:c>
      <x:c r="D4922" s="274" t="n">
        <x:v>0</x:v>
      </x:c>
      <x:c r="F4922" s="274" t="s">
        <x:v>3412</x:v>
      </x:c>
      <x:c r="G4922" s="274" t="s">
        <x:v>6622</x:v>
      </x:c>
      <x:c r="H4922" s="274" t="s">
        <x:v>837</x:v>
      </x:c>
      <x:c r="I4922" s="274" t="n">
        <x:v>0.8</x:v>
      </x:c>
      <x:c r="J4922" s="274" t="n">
        <x:v>370</x:v>
      </x:c>
      <x:c r="K4922" s="274" t="n">
        <x:v>415</x:v>
      </x:c>
      <x:c r="M4922" s="274" t="s">
        <x:v>3921</x:v>
      </x:c>
    </x:row>
    <x:row r="4923" spans="1:14">
      <x:c r="A4923" s="274" t="s">
        <x:v>8688</x:v>
      </x:c>
      <x:c r="B4923" s="274" t="n">
        <x:v>0.32</x:v>
      </x:c>
      <x:c r="C4923" s="274" t="n">
        <x:v>0</x:v>
      </x:c>
      <x:c r="D4923" s="274" t="n">
        <x:v>0</x:v>
      </x:c>
      <x:c r="F4923" s="274" t="s">
        <x:v>3412</x:v>
      </x:c>
      <x:c r="G4923" s="274" t="s">
        <x:v>5476</x:v>
      </x:c>
      <x:c r="I4923" s="274" t="n">
        <x:v>1</x:v>
      </x:c>
      <x:c r="J4923" s="274" t="n">
        <x:v>165</x:v>
      </x:c>
      <x:c r="K4923" s="274" t="n">
        <x:v>248.7</x:v>
      </x:c>
      <x:c r="M4923" s="274" t="s">
        <x:v>7285</x:v>
      </x:c>
      <x:c r="N4923" s="274" t="s">
        <x:v>4258</x:v>
      </x:c>
    </x:row>
    <x:row r="4924" spans="1:14">
      <x:c r="A4924" s="274" t="s">
        <x:v>8689</x:v>
      </x:c>
      <x:c r="B4924" s="274" t="n">
        <x:v>0.17</x:v>
      </x:c>
      <x:c r="C4924" s="274" t="n">
        <x:v>0</x:v>
      </x:c>
      <x:c r="D4924" s="274" t="n">
        <x:v>0</x:v>
      </x:c>
      <x:c r="F4924" s="274" t="s">
        <x:v>3412</x:v>
      </x:c>
      <x:c r="G4924" s="274" t="s">
        <x:v>6425</x:v>
      </x:c>
      <x:c r="I4924" s="274" t="n">
        <x:v>0.8</x:v>
      </x:c>
      <x:c r="J4924" s="274" t="n">
        <x:v>225</x:v>
      </x:c>
      <x:c r="K4924" s="274" t="n">
        <x:v>123.5</x:v>
      </x:c>
      <x:c r="M4924" s="274" t="s">
        <x:v>8357</x:v>
      </x:c>
      <x:c r="N4924" s="274" t="s">
        <x:v>4258</x:v>
      </x:c>
    </x:row>
    <x:row r="4925" spans="1:14">
      <x:c r="A4925" s="274" t="s">
        <x:v>8690</x:v>
      </x:c>
      <x:c r="B4925" s="274" t="n">
        <x:v>5.67</x:v>
      </x:c>
      <x:c r="C4925" s="274" t="n">
        <x:v>0</x:v>
      </x:c>
      <x:c r="D4925" s="274" t="n">
        <x:v>40</x:v>
      </x:c>
      <x:c r="E4925" s="274" t="n">
        <x:v>40</x:v>
      </x:c>
      <x:c r="F4925" s="274" t="s">
        <x:v>133</x:v>
      </x:c>
      <x:c r="G4925" s="274" t="s">
        <x:v>1728</x:v>
      </x:c>
      <x:c r="H4925" s="274" t="n">
        <x:v>45</x:v>
      </x:c>
      <x:c r="I4925" s="274" t="n">
        <x:v>1.2</x:v>
      </x:c>
      <x:c r="J4925" s="274" t="n">
        <x:v>925</x:v>
      </x:c>
      <x:c r="K4925" s="274" t="n">
        <x:v>645</x:v>
      </x:c>
      <x:c r="M4925" s="274" t="s">
        <x:v>3440</x:v>
      </x:c>
      <x:c r="N4925" s="274" t="s">
        <x:v>155</x:v>
      </x:c>
    </x:row>
    <x:row r="4926" spans="1:14">
      <x:c r="A4926" s="274" t="s">
        <x:v>8691</x:v>
      </x:c>
      <x:c r="B4926" s="274" t="n">
        <x:v>1.24</x:v>
      </x:c>
      <x:c r="C4926" s="274" t="n">
        <x:v>0</x:v>
      </x:c>
      <x:c r="D4926" s="274" t="n">
        <x:v>0</x:v>
      </x:c>
      <x:c r="F4926" s="274" t="s">
        <x:v>133</x:v>
      </x:c>
      <x:c r="G4926" s="274" t="s">
        <x:v>1728</x:v>
      </x:c>
      <x:c r="H4926" s="274" t="n">
        <x:v>45</x:v>
      </x:c>
      <x:c r="I4926" s="274" t="n">
        <x:v>1</x:v>
      </x:c>
      <x:c r="J4926" s="274" t="n">
        <x:v>185</x:v>
      </x:c>
      <x:c r="K4926" s="274" t="n">
        <x:v>842</x:v>
      </x:c>
      <x:c r="M4926" s="274" t="s">
        <x:v>164</x:v>
      </x:c>
      <x:c r="N4926" s="274" t="s">
        <x:v>1157</x:v>
      </x:c>
    </x:row>
    <x:row r="4927" spans="1:14">
      <x:c r="A4927" s="274" t="s">
        <x:v>8692</x:v>
      </x:c>
      <x:c r="B4927" s="274" t="n">
        <x:v>1.29</x:v>
      </x:c>
      <x:c r="C4927" s="274" t="n">
        <x:v>0</x:v>
      </x:c>
      <x:c r="D4927" s="274" t="n">
        <x:v>0</x:v>
      </x:c>
      <x:c r="F4927" s="274" t="s">
        <x:v>133</x:v>
      </x:c>
      <x:c r="G4927" s="274" t="s">
        <x:v>1728</x:v>
      </x:c>
      <x:c r="H4927" s="274" t="n">
        <x:v>45</x:v>
      </x:c>
      <x:c r="I4927" s="274" t="n">
        <x:v>1.2</x:v>
      </x:c>
      <x:c r="J4927" s="274" t="n">
        <x:v>900</x:v>
      </x:c>
      <x:c r="K4927" s="274" t="n">
        <x:v>151</x:v>
      </x:c>
      <x:c r="M4927" s="274" t="s">
        <x:v>3460</x:v>
      </x:c>
      <x:c r="N4927" s="274" t="s">
        <x:v>1157</x:v>
      </x:c>
    </x:row>
    <x:row r="4928" spans="1:14">
      <x:c r="A4928" s="274" t="s">
        <x:v>8693</x:v>
      </x:c>
      <x:c r="B4928" s="274" t="n">
        <x:v>0.85</x:v>
      </x:c>
      <x:c r="C4928" s="274" t="n">
        <x:v>0</x:v>
      </x:c>
      <x:c r="D4928" s="274" t="n">
        <x:v>0</x:v>
      </x:c>
      <x:c r="F4928" s="274" t="s">
        <x:v>133</x:v>
      </x:c>
      <x:c r="G4928" s="274" t="s">
        <x:v>1728</x:v>
      </x:c>
      <x:c r="H4928" s="274" t="n">
        <x:v>45</x:v>
      </x:c>
      <x:c r="I4928" s="274" t="n">
        <x:v>1</x:v>
      </x:c>
      <x:c r="J4928" s="274" t="n">
        <x:v>580</x:v>
      </x:c>
      <x:c r="K4928" s="274" t="n">
        <x:v>185</x:v>
      </x:c>
      <x:c r="M4928" s="274" t="s">
        <x:v>8694</x:v>
      </x:c>
      <x:c r="N4928" s="274" t="s">
        <x:v>1157</x:v>
      </x:c>
    </x:row>
    <x:row r="4929" spans="1:14">
      <x:c r="A4929" s="274" t="s">
        <x:v>8695</x:v>
      </x:c>
      <x:c r="B4929" s="274" t="n">
        <x:v>1.36</x:v>
      </x:c>
      <x:c r="C4929" s="274" t="n">
        <x:v>0</x:v>
      </x:c>
      <x:c r="D4929" s="274" t="n">
        <x:v>0</x:v>
      </x:c>
      <x:c r="F4929" s="274" t="s">
        <x:v>133</x:v>
      </x:c>
      <x:c r="G4929" s="274" t="s">
        <x:v>1728</x:v>
      </x:c>
      <x:c r="H4929" s="274" t="n">
        <x:v>45</x:v>
      </x:c>
      <x:c r="I4929" s="274" t="n">
        <x:v>0.6</x:v>
      </x:c>
      <x:c r="J4929" s="274" t="n">
        <x:v>980</x:v>
      </x:c>
      <x:c r="K4929" s="274" t="n">
        <x:v>290</x:v>
      </x:c>
      <x:c r="M4929" s="274" t="s">
        <x:v>8696</x:v>
      </x:c>
      <x:c r="N4929" s="274" t="s">
        <x:v>299</x:v>
      </x:c>
    </x:row>
    <x:row r="4930" spans="1:14">
      <x:c r="A4930" s="274" t="s">
        <x:v>8697</x:v>
      </x:c>
      <x:c r="B4930" s="274" t="n">
        <x:v>0.25</x:v>
      </x:c>
      <x:c r="C4930" s="274" t="n">
        <x:v>0</x:v>
      </x:c>
      <x:c r="D4930" s="274" t="n">
        <x:v>0</x:v>
      </x:c>
      <x:c r="F4930" s="274" t="s">
        <x:v>133</x:v>
      </x:c>
      <x:c r="G4930" s="274" t="s">
        <x:v>1728</x:v>
      </x:c>
      <x:c r="H4930" s="274" t="n">
        <x:v>45</x:v>
      </x:c>
      <x:c r="I4930" s="274" t="n">
        <x:v>0.6</x:v>
      </x:c>
      <x:c r="J4930" s="274" t="n">
        <x:v>290</x:v>
      </x:c>
      <x:c r="K4930" s="274" t="n">
        <x:v>180</x:v>
      </x:c>
      <x:c r="M4930" s="274" t="s">
        <x:v>545</x:v>
      </x:c>
      <x:c r="N4930" s="274" t="s">
        <x:v>299</x:v>
      </x:c>
    </x:row>
    <x:row r="4931" spans="1:14">
      <x:c r="A4931" s="274" t="s">
        <x:v>8698</x:v>
      </x:c>
      <x:c r="B4931" s="274" t="n">
        <x:v>0.22</x:v>
      </x:c>
      <x:c r="C4931" s="274" t="n">
        <x:v>35</x:v>
      </x:c>
      <x:c r="D4931" s="274" t="n">
        <x:v>36</x:v>
      </x:c>
      <x:c r="E4931" s="274" t="n">
        <x:v>33</x:v>
      </x:c>
      <x:c r="F4931" s="274" t="s">
        <x:v>133</x:v>
      </x:c>
      <x:c r="G4931" s="274" t="s">
        <x:v>1728</x:v>
      </x:c>
      <x:c r="H4931" s="274" t="n">
        <x:v>45</x:v>
      </x:c>
      <x:c r="I4931" s="274" t="n">
        <x:v>1.2</x:v>
      </x:c>
      <x:c r="J4931" s="274" t="n">
        <x:v>124</x:v>
      </x:c>
      <x:c r="K4931" s="274" t="n">
        <x:v>188</x:v>
      </x:c>
      <x:c r="M4931" s="274" t="s">
        <x:v>250</x:v>
      </x:c>
      <x:c r="N4931" s="274" t="s">
        <x:v>155</x:v>
      </x:c>
    </x:row>
    <x:row r="4932" spans="1:14">
      <x:c r="A4932" s="274" t="s">
        <x:v>8699</x:v>
      </x:c>
      <x:c r="B4932" s="274" t="n">
        <x:v>0.49</x:v>
      </x:c>
      <x:c r="C4932" s="274" t="n">
        <x:v>26</x:v>
      </x:c>
      <x:c r="D4932" s="274" t="n">
        <x:v>36</x:v>
      </x:c>
      <x:c r="E4932" s="274" t="n">
        <x:v>33</x:v>
      </x:c>
      <x:c r="F4932" s="274" t="s">
        <x:v>133</x:v>
      </x:c>
      <x:c r="G4932" s="274" t="s">
        <x:v>1728</x:v>
      </x:c>
      <x:c r="H4932" s="274" t="n">
        <x:v>45</x:v>
      </x:c>
      <x:c r="I4932" s="274" t="n">
        <x:v>1</x:v>
      </x:c>
      <x:c r="J4932" s="274" t="n">
        <x:v>384</x:v>
      </x:c>
      <x:c r="K4932" s="274" t="n">
        <x:v>162</x:v>
      </x:c>
      <x:c r="M4932" s="274" t="s">
        <x:v>231</x:v>
      </x:c>
      <x:c r="N4932" s="274" t="s">
        <x:v>155</x:v>
      </x:c>
    </x:row>
    <x:row r="4933" spans="1:14">
      <x:c r="A4933" s="274" t="s">
        <x:v>8700</x:v>
      </x:c>
      <x:c r="B4933" s="274" t="n">
        <x:v>0.63</x:v>
      </x:c>
      <x:c r="C4933" s="274" t="n">
        <x:v>26</x:v>
      </x:c>
      <x:c r="D4933" s="274" t="n">
        <x:v>36</x:v>
      </x:c>
      <x:c r="E4933" s="274" t="n">
        <x:v>33</x:v>
      </x:c>
      <x:c r="F4933" s="274" t="s">
        <x:v>133</x:v>
      </x:c>
      <x:c r="G4933" s="274" t="s">
        <x:v>1728</x:v>
      </x:c>
      <x:c r="H4933" s="274" t="n">
        <x:v>45</x:v>
      </x:c>
      <x:c r="I4933" s="274" t="n">
        <x:v>1</x:v>
      </x:c>
      <x:c r="J4933" s="274" t="n">
        <x:v>396</x:v>
      </x:c>
      <x:c r="K4933" s="274" t="n">
        <x:v>200</x:v>
      </x:c>
      <x:c r="M4933" s="274" t="s">
        <x:v>8701</x:v>
      </x:c>
      <x:c r="N4933" s="274" t="s">
        <x:v>299</x:v>
      </x:c>
    </x:row>
    <x:row r="4934" spans="1:14">
      <x:c r="A4934" s="274" t="s">
        <x:v>8702</x:v>
      </x:c>
      <x:c r="B4934" s="274" t="n">
        <x:v>5.75</x:v>
      </x:c>
      <x:c r="C4934" s="274" t="n">
        <x:v>35</x:v>
      </x:c>
      <x:c r="D4934" s="274" t="n">
        <x:v>40</x:v>
      </x:c>
      <x:c r="E4934" s="274" t="n">
        <x:v>0</x:v>
      </x:c>
      <x:c r="F4934" s="274" t="s">
        <x:v>133</x:v>
      </x:c>
      <x:c r="G4934" s="274" t="s">
        <x:v>1728</x:v>
      </x:c>
      <x:c r="H4934" s="274" t="n">
        <x:v>45</x:v>
      </x:c>
      <x:c r="I4934" s="274" t="n">
        <x:v>1.2</x:v>
      </x:c>
      <x:c r="J4934" s="274" t="n">
        <x:v>877</x:v>
      </x:c>
      <x:c r="K4934" s="274" t="n">
        <x:v>750.4</x:v>
      </x:c>
      <x:c r="L4934" s="274" t="n">
        <x:v>627.7</x:v>
      </x:c>
      <x:c r="M4934" s="274" t="s">
        <x:v>1978</x:v>
      </x:c>
      <x:c r="N4934" s="274" t="s">
        <x:v>155</x:v>
      </x:c>
    </x:row>
    <x:row r="4935" spans="1:14">
      <x:c r="A4935" s="274" t="s">
        <x:v>8703</x:v>
      </x:c>
      <x:c r="B4935" s="274" t="n">
        <x:v>3.99</x:v>
      </x:c>
      <x:c r="C4935" s="274" t="n">
        <x:v>0</x:v>
      </x:c>
      <x:c r="D4935" s="274" t="n">
        <x:v>50</x:v>
      </x:c>
      <x:c r="E4935" s="274" t="n">
        <x:v>0</x:v>
      </x:c>
      <x:c r="F4935" s="274" t="s">
        <x:v>133</x:v>
      </x:c>
      <x:c r="G4935" s="274" t="s">
        <x:v>906</x:v>
      </x:c>
      <x:c r="H4935" s="274" t="n">
        <x:v>45</x:v>
      </x:c>
      <x:c r="I4935" s="274" t="n">
        <x:v>0.8</x:v>
      </x:c>
      <x:c r="J4935" s="274" t="n">
        <x:v>1490</x:v>
      </x:c>
      <x:c r="K4935" s="274" t="n">
        <x:v>420</x:v>
      </x:c>
      <x:c r="M4935" s="274" t="s">
        <x:v>8704</x:v>
      </x:c>
      <x:c r="N4935" s="274" t="s">
        <x:v>155</x:v>
      </x:c>
    </x:row>
    <x:row r="4936" spans="1:14">
      <x:c r="A4936" s="274" t="s">
        <x:v>8705</x:v>
      </x:c>
      <x:c r="B4936" s="274" t="n">
        <x:v>19.5</x:v>
      </x:c>
      <x:c r="C4936" s="274" t="n">
        <x:v>0</x:v>
      </x:c>
      <x:c r="D4936" s="274" t="n">
        <x:v>0</x:v>
      </x:c>
      <x:c r="E4936" s="274" t="n">
        <x:v>0</x:v>
      </x:c>
      <x:c r="F4936" s="274" t="s">
        <x:v>333</x:v>
      </x:c>
      <x:c r="G4936" s="274" t="s">
        <x:v>8654</x:v>
      </x:c>
      <x:c r="I4936" s="274" t="n">
        <x:v>0.75</x:v>
      </x:c>
      <x:c r="J4936" s="274" t="n">
        <x:v>1308</x:v>
      </x:c>
      <x:c r="K4936" s="274" t="n">
        <x:v>2565</x:v>
      </x:c>
      <x:c r="M4936" s="274" t="s">
        <x:v>6640</x:v>
      </x:c>
      <x:c r="N4936" s="274" t="s">
        <x:v>155</x:v>
      </x:c>
    </x:row>
    <x:row r="4937" spans="1:14">
      <x:c r="A4937" s="274" t="s">
        <x:v>8706</x:v>
      </x:c>
      <x:c r="B4937" s="274" t="n">
        <x:v>8.52</x:v>
      </x:c>
      <x:c r="C4937" s="274" t="n">
        <x:v>25</x:v>
      </x:c>
      <x:c r="D4937" s="274" t="n">
        <x:v>30</x:v>
      </x:c>
      <x:c r="E4937" s="274" t="n">
        <x:v>0</x:v>
      </x:c>
      <x:c r="F4937" s="274" t="s">
        <x:v>133</x:v>
      </x:c>
      <x:c r="G4937" s="274" t="s">
        <x:v>1728</x:v>
      </x:c>
      <x:c r="H4937" s="274" t="n">
        <x:v>45</x:v>
      </x:c>
      <x:c r="I4937" s="274" t="n">
        <x:v>0.6</x:v>
      </x:c>
      <x:c r="J4937" s="274" t="n">
        <x:v>1050</x:v>
      </x:c>
      <x:c r="K4937" s="274" t="n">
        <x:v>1966.7</x:v>
      </x:c>
      <x:c r="L4937" s="274" t="n">
        <x:v>1415.3</x:v>
      </x:c>
      <x:c r="M4937" s="274" t="s">
        <x:v>3457</x:v>
      </x:c>
      <x:c r="N4937" s="274" t="s">
        <x:v>155</x:v>
      </x:c>
    </x:row>
    <x:row r="4938" spans="1:14">
      <x:c r="A4938" s="274" t="s">
        <x:v>8707</x:v>
      </x:c>
      <x:c r="B4938" s="274" t="n">
        <x:v>5.67</x:v>
      </x:c>
      <x:c r="C4938" s="274" t="n">
        <x:v>0</x:v>
      </x:c>
      <x:c r="D4938" s="274" t="n">
        <x:v>0</x:v>
      </x:c>
      <x:c r="E4938" s="274" t="n">
        <x:v>0</x:v>
      </x:c>
      <x:c r="F4938" s="274" t="s">
        <x:v>133</x:v>
      </x:c>
      <x:c r="G4938" s="274" t="s">
        <x:v>906</x:v>
      </x:c>
      <x:c r="H4938" s="274" t="n">
        <x:v>45</x:v>
      </x:c>
      <x:c r="I4938" s="274" t="n">
        <x:v>0.7</x:v>
      </x:c>
      <x:c r="J4938" s="274" t="n">
        <x:v>1356</x:v>
      </x:c>
      <x:c r="K4938" s="274" t="n">
        <x:v>1498</x:v>
      </x:c>
      <x:c r="M4938" s="274" t="s">
        <x:v>5154</x:v>
      </x:c>
      <x:c r="N4938" s="274" t="s">
        <x:v>155</x:v>
      </x:c>
    </x:row>
    <x:row r="4939" spans="1:14">
      <x:c r="A4939" s="274" t="s">
        <x:v>8708</x:v>
      </x:c>
      <x:c r="B4939" s="274" t="n">
        <x:v>5.67</x:v>
      </x:c>
      <x:c r="C4939" s="274" t="n">
        <x:v>0</x:v>
      </x:c>
      <x:c r="D4939" s="274" t="n">
        <x:v>0</x:v>
      </x:c>
      <x:c r="F4939" s="274" t="s">
        <x:v>133</x:v>
      </x:c>
      <x:c r="G4939" s="274" t="s">
        <x:v>906</x:v>
      </x:c>
      <x:c r="H4939" s="274" t="n">
        <x:v>45</x:v>
      </x:c>
      <x:c r="I4939" s="274" t="n">
        <x:v>0.7</x:v>
      </x:c>
      <x:c r="J4939" s="274" t="n">
        <x:v>1356</x:v>
      </x:c>
      <x:c r="K4939" s="274" t="n">
        <x:v>1498</x:v>
      </x:c>
      <x:c r="M4939" s="274" t="s">
        <x:v>5156</x:v>
      </x:c>
      <x:c r="N4939" s="274" t="s">
        <x:v>155</x:v>
      </x:c>
    </x:row>
    <x:row r="4940" spans="1:14">
      <x:c r="A4940" s="274" t="s">
        <x:v>8709</x:v>
      </x:c>
      <x:c r="B4940" s="274" t="n">
        <x:v>9.33</x:v>
      </x:c>
      <x:c r="C4940" s="274" t="n">
        <x:v>0</x:v>
      </x:c>
      <x:c r="D4940" s="274" t="n">
        <x:v>0</x:v>
      </x:c>
      <x:c r="E4940" s="274" t="n">
        <x:v>0</x:v>
      </x:c>
      <x:c r="F4940" s="274" t="s">
        <x:v>133</x:v>
      </x:c>
      <x:c r="G4940" s="274" t="s">
        <x:v>906</x:v>
      </x:c>
      <x:c r="H4940" s="274" t="s">
        <x:v>285</x:v>
      </x:c>
      <x:c r="I4940" s="274" t="n">
        <x:v>0.75</x:v>
      </x:c>
      <x:c r="J4940" s="274" t="n">
        <x:v>1210</x:v>
      </x:c>
      <x:c r="K4940" s="274" t="n">
        <x:v>1457.7</x:v>
      </x:c>
      <x:c r="L4940" s="274" t="n">
        <x:v>1122.3</x:v>
      </x:c>
      <x:c r="M4940" s="274" t="s">
        <x:v>3832</x:v>
      </x:c>
      <x:c r="N4940" s="274" t="s">
        <x:v>299</x:v>
      </x:c>
    </x:row>
    <x:row r="4941" spans="1:14">
      <x:c r="A4941" s="274" t="s">
        <x:v>8710</x:v>
      </x:c>
      <x:c r="B4941" s="274" t="n">
        <x:v>9.33</x:v>
      </x:c>
      <x:c r="C4941" s="274" t="n">
        <x:v>0</x:v>
      </x:c>
      <x:c r="D4941" s="274" t="n">
        <x:v>0</x:v>
      </x:c>
      <x:c r="E4941" s="274" t="n">
        <x:v>0</x:v>
      </x:c>
      <x:c r="F4941" s="274" t="s">
        <x:v>133</x:v>
      </x:c>
      <x:c r="G4941" s="274" t="s">
        <x:v>906</x:v>
      </x:c>
      <x:c r="H4941" s="274" t="s">
        <x:v>285</x:v>
      </x:c>
      <x:c r="I4941" s="274" t="n">
        <x:v>0.75</x:v>
      </x:c>
      <x:c r="J4941" s="274" t="n">
        <x:v>1210</x:v>
      </x:c>
      <x:c r="K4941" s="274" t="n">
        <x:v>1457.7</x:v>
      </x:c>
      <x:c r="L4941" s="274" t="n">
        <x:v>1122.3</x:v>
      </x:c>
      <x:c r="M4941" s="274" t="s">
        <x:v>3830</x:v>
      </x:c>
      <x:c r="N4941" s="274" t="s">
        <x:v>299</x:v>
      </x:c>
    </x:row>
    <x:row r="4942" spans="1:14">
      <x:c r="A4942" s="274" t="s">
        <x:v>8711</x:v>
      </x:c>
      <x:c r="B4942" s="274" t="n">
        <x:v>19.04</x:v>
      </x:c>
      <x:c r="C4942" s="274" t="n">
        <x:v>0</x:v>
      </x:c>
      <x:c r="D4942" s="274" t="n">
        <x:v>0</x:v>
      </x:c>
      <x:c r="E4942" s="274" t="n">
        <x:v>0</x:v>
      </x:c>
      <x:c r="F4942" s="274" t="s">
        <x:v>333</x:v>
      </x:c>
      <x:c r="G4942" s="274" t="s">
        <x:v>8712</x:v>
      </x:c>
      <x:c r="I4942" s="274" t="n">
        <x:v>0.8</x:v>
      </x:c>
      <x:c r="J4942" s="274" t="n">
        <x:v>1220</x:v>
      </x:c>
      <x:c r="K4942" s="274" t="n">
        <x:v>2485</x:v>
      </x:c>
      <x:c r="M4942" s="274" t="s">
        <x:v>8713</x:v>
      </x:c>
      <x:c r="N4942" s="274" t="s">
        <x:v>299</x:v>
      </x:c>
    </x:row>
    <x:row r="4943" spans="1:14">
      <x:c r="A4943" s="274" t="s">
        <x:v>8714</x:v>
      </x:c>
      <x:c r="B4943" s="274" t="n">
        <x:v>20.7</x:v>
      </x:c>
      <x:c r="C4943" s="274" t="n">
        <x:v>0</x:v>
      </x:c>
      <x:c r="D4943" s="274" t="n">
        <x:v>0</x:v>
      </x:c>
      <x:c r="E4943" s="274" t="n">
        <x:v>0</x:v>
      </x:c>
      <x:c r="F4943" s="274" t="s">
        <x:v>133</x:v>
      </x:c>
      <x:c r="G4943" s="274" t="s">
        <x:v>906</x:v>
      </x:c>
      <x:c r="H4943" s="274" t="s">
        <x:v>285</x:v>
      </x:c>
      <x:c r="I4943" s="274" t="n">
        <x:v>0.8</x:v>
      </x:c>
      <x:c r="J4943" s="274" t="n">
        <x:v>1360</x:v>
      </x:c>
      <x:c r="K4943" s="274" t="n">
        <x:v>2509</x:v>
      </x:c>
      <x:c r="L4943" s="274" t="n">
        <x:v>2271</x:v>
      </x:c>
      <x:c r="M4943" s="274" t="s">
        <x:v>2433</x:v>
      </x:c>
      <x:c r="N4943" s="274" t="s">
        <x:v>299</x:v>
      </x:c>
    </x:row>
    <x:row r="4944" spans="1:14">
      <x:c r="A4944" s="274" t="s">
        <x:v>8715</x:v>
      </x:c>
      <x:c r="B4944" s="274" t="n">
        <x:v>13.19</x:v>
      </x:c>
      <x:c r="C4944" s="274" t="n">
        <x:v>0</x:v>
      </x:c>
      <x:c r="D4944" s="274" t="n">
        <x:v>0</x:v>
      </x:c>
      <x:c r="E4944" s="274" t="n">
        <x:v>0</x:v>
      </x:c>
      <x:c r="F4944" s="274" t="s">
        <x:v>133</x:v>
      </x:c>
      <x:c r="G4944" s="274" t="s">
        <x:v>906</x:v>
      </x:c>
      <x:c r="H4944" s="274" t="s">
        <x:v>285</x:v>
      </x:c>
      <x:c r="I4944" s="274" t="n">
        <x:v>0.7</x:v>
      </x:c>
      <x:c r="J4944" s="274" t="n">
        <x:v>1437</x:v>
      </x:c>
      <x:c r="K4944" s="274" t="n">
        <x:v>1643</x:v>
      </x:c>
      <x:c r="M4944" s="274" t="s">
        <x:v>2435</x:v>
      </x:c>
      <x:c r="N4944" s="274" t="s">
        <x:v>299</x:v>
      </x:c>
    </x:row>
    <x:row r="4945" spans="1:14">
      <x:c r="A4945" s="274" t="s">
        <x:v>8716</x:v>
      </x:c>
      <x:c r="B4945" s="274" t="n">
        <x:v>15.13</x:v>
      </x:c>
      <x:c r="C4945" s="274" t="n">
        <x:v>22</x:v>
      </x:c>
      <x:c r="D4945" s="274" t="n">
        <x:v>22</x:v>
      </x:c>
      <x:c r="E4945" s="274" t="n">
        <x:v>15</x:v>
      </x:c>
      <x:c r="F4945" s="274" t="s">
        <x:v>133</x:v>
      </x:c>
      <x:c r="G4945" s="274" t="s">
        <x:v>136</x:v>
      </x:c>
      <x:c r="H4945" s="274" t="n">
        <x:v>45</x:v>
      </x:c>
      <x:c r="I4945" s="274" t="n">
        <x:v>0.6</x:v>
      </x:c>
      <x:c r="J4945" s="274" t="n">
        <x:v>1250</x:v>
      </x:c>
      <x:c r="K4945" s="274" t="n">
        <x:v>2522</x:v>
      </x:c>
      <x:c r="M4945" s="274" t="s">
        <x:v>8717</x:v>
      </x:c>
      <x:c r="N4945" s="274" t="s">
        <x:v>162</x:v>
      </x:c>
    </x:row>
    <x:row r="4946" spans="1:14">
      <x:c r="A4946" s="274" t="s">
        <x:v>8718</x:v>
      </x:c>
      <x:c r="B4946" s="274" t="n">
        <x:v>14.3</x:v>
      </x:c>
      <x:c r="C4946" s="274" t="n">
        <x:v>20</x:v>
      </x:c>
      <x:c r="D4946" s="274" t="n">
        <x:v>20</x:v>
      </x:c>
      <x:c r="E4946" s="274" t="n">
        <x:v>15</x:v>
      </x:c>
      <x:c r="F4946" s="274" t="s">
        <x:v>133</x:v>
      </x:c>
      <x:c r="G4946" s="274" t="s">
        <x:v>136</x:v>
      </x:c>
      <x:c r="H4946" s="274" t="n">
        <x:v>45</x:v>
      </x:c>
      <x:c r="I4946" s="274" t="n">
        <x:v>0.6</x:v>
      </x:c>
      <x:c r="J4946" s="274" t="n">
        <x:v>1185</x:v>
      </x:c>
      <x:c r="K4946" s="274" t="n">
        <x:v>2515</x:v>
      </x:c>
      <x:c r="M4946" s="274" t="s">
        <x:v>8719</x:v>
      </x:c>
      <x:c r="N4946" s="274" t="s">
        <x:v>202</x:v>
      </x:c>
    </x:row>
    <x:row r="4947" spans="1:14">
      <x:c r="A4947" s="274" t="s">
        <x:v>8720</x:v>
      </x:c>
      <x:c r="B4947" s="274" t="n">
        <x:v>10.35</x:v>
      </x:c>
      <x:c r="C4947" s="274" t="n">
        <x:v>0</x:v>
      </x:c>
      <x:c r="D4947" s="274" t="n">
        <x:v>0</x:v>
      </x:c>
      <x:c r="E4947" s="274" t="n">
        <x:v>0</x:v>
      </x:c>
      <x:c r="F4947" s="274" t="s">
        <x:v>133</x:v>
      </x:c>
      <x:c r="G4947" s="274" t="s">
        <x:v>473</x:v>
      </x:c>
      <x:c r="I4947" s="274" t="n">
        <x:v>0.7</x:v>
      </x:c>
      <x:c r="J4947" s="274" t="n">
        <x:v>1170</x:v>
      </x:c>
      <x:c r="K4947" s="274" t="n">
        <x:v>1610</x:v>
      </x:c>
      <x:c r="M4947" s="274" t="s">
        <x:v>8721</x:v>
      </x:c>
      <x:c r="N4947" s="274" t="s">
        <x:v>475</x:v>
      </x:c>
    </x:row>
    <x:row r="4948" spans="1:14">
      <x:c r="A4948" s="274" t="s">
        <x:v>8722</x:v>
      </x:c>
      <x:c r="B4948" s="274" t="n">
        <x:v>14.79</x:v>
      </x:c>
      <x:c r="C4948" s="274" t="n">
        <x:v>22</x:v>
      </x:c>
      <x:c r="D4948" s="274" t="n">
        <x:v>22</x:v>
      </x:c>
      <x:c r="E4948" s="274" t="n">
        <x:v>15</x:v>
      </x:c>
      <x:c r="F4948" s="274" t="s">
        <x:v>133</x:v>
      </x:c>
      <x:c r="G4948" s="274" t="s">
        <x:v>136</x:v>
      </x:c>
      <x:c r="H4948" s="274" t="n">
        <x:v>45</x:v>
      </x:c>
      <x:c r="I4948" s="274" t="n">
        <x:v>0.6</x:v>
      </x:c>
      <x:c r="J4948" s="274" t="n">
        <x:v>1225</x:v>
      </x:c>
      <x:c r="K4948" s="274" t="n">
        <x:v>2515</x:v>
      </x:c>
      <x:c r="M4948" s="274" t="s">
        <x:v>8723</x:v>
      </x:c>
      <x:c r="N4948" s="274" t="s">
        <x:v>480</x:v>
      </x:c>
    </x:row>
    <x:row r="4949" spans="1:14">
      <x:c r="A4949" s="274" t="s">
        <x:v>8724</x:v>
      </x:c>
      <x:c r="B4949" s="274" t="n">
        <x:v>7.6</x:v>
      </x:c>
      <x:c r="C4949" s="274" t="n">
        <x:v>38</x:v>
      </x:c>
      <x:c r="D4949" s="274" t="n">
        <x:v>48</x:v>
      </x:c>
      <x:c r="E4949" s="274" t="n">
        <x:v>30</x:v>
      </x:c>
      <x:c r="F4949" s="274" t="s">
        <x:v>133</x:v>
      </x:c>
      <x:c r="G4949" s="274" t="s">
        <x:v>136</x:v>
      </x:c>
      <x:c r="H4949" s="274" t="n">
        <x:v>45</x:v>
      </x:c>
      <x:c r="I4949" s="274" t="n">
        <x:v>0.6</x:v>
      </x:c>
      <x:c r="J4949" s="274" t="n">
        <x:v>1165</x:v>
      </x:c>
      <x:c r="K4949" s="274" t="n">
        <x:v>1360</x:v>
      </x:c>
      <x:c r="M4949" s="274" t="s">
        <x:v>8725</x:v>
      </x:c>
      <x:c r="N4949" s="274" t="s">
        <x:v>202</x:v>
      </x:c>
    </x:row>
    <x:row r="4950" spans="1:14">
      <x:c r="A4950" s="274" t="s">
        <x:v>8726</x:v>
      </x:c>
      <x:c r="B4950" s="274" t="n">
        <x:v>5.56</x:v>
      </x:c>
      <x:c r="C4950" s="274" t="n">
        <x:v>40</x:v>
      </x:c>
      <x:c r="D4950" s="274" t="n">
        <x:v>40</x:v>
      </x:c>
      <x:c r="E4950" s="274" t="n">
        <x:v>40</x:v>
      </x:c>
      <x:c r="F4950" s="274" t="s">
        <x:v>133</x:v>
      </x:c>
      <x:c r="G4950" s="274" t="s">
        <x:v>136</x:v>
      </x:c>
      <x:c r="H4950" s="274" t="n">
        <x:v>45</x:v>
      </x:c>
      <x:c r="I4950" s="274" t="n">
        <x:v>0.75</x:v>
      </x:c>
      <x:c r="J4950" s="274" t="n">
        <x:v>935</x:v>
      </x:c>
      <x:c r="K4950" s="274" t="n">
        <x:v>995</x:v>
      </x:c>
      <x:c r="M4950" s="274" t="s">
        <x:v>8727</x:v>
      </x:c>
      <x:c r="N4950" s="274" t="s">
        <x:v>162</x:v>
      </x:c>
    </x:row>
    <x:row r="4951" spans="1:14">
      <x:c r="A4951" s="274" t="s">
        <x:v>8728</x:v>
      </x:c>
      <x:c r="B4951" s="274" t="n">
        <x:v>2.59</x:v>
      </x:c>
      <x:c r="C4951" s="274" t="n">
        <x:v>53</x:v>
      </x:c>
      <x:c r="D4951" s="274" t="n">
        <x:v>45</x:v>
      </x:c>
      <x:c r="E4951" s="274" t="n">
        <x:v>40</x:v>
      </x:c>
      <x:c r="F4951" s="274" t="s">
        <x:v>133</x:v>
      </x:c>
      <x:c r="G4951" s="274" t="s">
        <x:v>136</x:v>
      </x:c>
      <x:c r="H4951" s="274" t="n">
        <x:v>45</x:v>
      </x:c>
      <x:c r="I4951" s="274" t="n">
        <x:v>0.6</x:v>
      </x:c>
      <x:c r="J4951" s="274" t="n">
        <x:v>1080</x:v>
      </x:c>
      <x:c r="K4951" s="274" t="n">
        <x:v>500</x:v>
      </x:c>
      <x:c r="M4951" s="274" t="s">
        <x:v>8729</x:v>
      </x:c>
      <x:c r="N4951" s="274" t="s">
        <x:v>202</x:v>
      </x:c>
    </x:row>
    <x:row r="4952" spans="1:14">
      <x:c r="A4952" s="274" t="s">
        <x:v>8730</x:v>
      </x:c>
      <x:c r="B4952" s="274" t="n">
        <x:v>2.59</x:v>
      </x:c>
      <x:c r="C4952" s="274" t="n">
        <x:v>53</x:v>
      </x:c>
      <x:c r="D4952" s="274" t="n">
        <x:v>45</x:v>
      </x:c>
      <x:c r="E4952" s="274" t="n">
        <x:v>40</x:v>
      </x:c>
      <x:c r="F4952" s="274" t="s">
        <x:v>133</x:v>
      </x:c>
      <x:c r="G4952" s="274" t="s">
        <x:v>136</x:v>
      </x:c>
      <x:c r="H4952" s="274" t="n">
        <x:v>45</x:v>
      </x:c>
      <x:c r="I4952" s="274" t="n">
        <x:v>0.6</x:v>
      </x:c>
      <x:c r="J4952" s="274" t="n">
        <x:v>1080</x:v>
      </x:c>
      <x:c r="K4952" s="274" t="n">
        <x:v>500</x:v>
      </x:c>
      <x:c r="M4952" s="274" t="s">
        <x:v>8731</x:v>
      </x:c>
      <x:c r="N4952" s="274" t="s">
        <x:v>202</x:v>
      </x:c>
    </x:row>
    <x:row r="4953" spans="1:14">
      <x:c r="A4953" s="274" t="s">
        <x:v>8732</x:v>
      </x:c>
      <x:c r="B4953" s="274" t="n">
        <x:v>2.89</x:v>
      </x:c>
      <x:c r="C4953" s="274" t="n">
        <x:v>53</x:v>
      </x:c>
      <x:c r="D4953" s="274" t="n">
        <x:v>53</x:v>
      </x:c>
      <x:c r="E4953" s="274" t="n">
        <x:v>40</x:v>
      </x:c>
      <x:c r="F4953" s="274" t="s">
        <x:v>133</x:v>
      </x:c>
      <x:c r="G4953" s="274" t="s">
        <x:v>136</x:v>
      </x:c>
      <x:c r="H4953" s="274" t="n">
        <x:v>45</x:v>
      </x:c>
      <x:c r="I4953" s="274" t="n">
        <x:v>0.6</x:v>
      </x:c>
      <x:c r="J4953" s="274" t="n">
        <x:v>1075</x:v>
      </x:c>
      <x:c r="K4953" s="274" t="n">
        <x:v>570</x:v>
      </x:c>
      <x:c r="M4953" s="274" t="s">
        <x:v>8733</x:v>
      </x:c>
      <x:c r="N4953" s="274" t="s">
        <x:v>480</x:v>
      </x:c>
    </x:row>
    <x:row r="4954" spans="1:14">
      <x:c r="A4954" s="274" t="s">
        <x:v>8734</x:v>
      </x:c>
      <x:c r="B4954" s="274" t="n">
        <x:v>2.89</x:v>
      </x:c>
      <x:c r="C4954" s="274" t="n">
        <x:v>53</x:v>
      </x:c>
      <x:c r="D4954" s="274" t="n">
        <x:v>53</x:v>
      </x:c>
      <x:c r="E4954" s="274" t="n">
        <x:v>40</x:v>
      </x:c>
      <x:c r="F4954" s="274" t="s">
        <x:v>133</x:v>
      </x:c>
      <x:c r="G4954" s="274" t="s">
        <x:v>136</x:v>
      </x:c>
      <x:c r="H4954" s="274" t="n">
        <x:v>45</x:v>
      </x:c>
      <x:c r="I4954" s="274" t="n">
        <x:v>0.6</x:v>
      </x:c>
      <x:c r="J4954" s="274" t="n">
        <x:v>1075</x:v>
      </x:c>
      <x:c r="K4954" s="274" t="n">
        <x:v>570</x:v>
      </x:c>
      <x:c r="M4954" s="274" t="s">
        <x:v>8735</x:v>
      </x:c>
      <x:c r="N4954" s="274" t="s">
        <x:v>480</x:v>
      </x:c>
    </x:row>
    <x:row r="4955" spans="1:14">
      <x:c r="A4955" s="274" t="s">
        <x:v>8736</x:v>
      </x:c>
      <x:c r="B4955" s="274" t="n">
        <x:v>2.68</x:v>
      </x:c>
      <x:c r="C4955" s="274" t="n">
        <x:v>65</x:v>
      </x:c>
      <x:c r="D4955" s="274" t="n">
        <x:v>70</x:v>
      </x:c>
      <x:c r="E4955" s="274" t="n">
        <x:v>40</x:v>
      </x:c>
      <x:c r="F4955" s="274" t="s">
        <x:v>133</x:v>
      </x:c>
      <x:c r="G4955" s="274" t="s">
        <x:v>136</x:v>
      </x:c>
      <x:c r="H4955" s="274" t="n">
        <x:v>45</x:v>
      </x:c>
      <x:c r="I4955" s="274" t="n">
        <x:v>0.9</x:v>
      </x:c>
      <x:c r="J4955" s="274" t="n">
        <x:v>765</x:v>
      </x:c>
      <x:c r="K4955" s="274" t="n">
        <x:v>490</x:v>
      </x:c>
      <x:c r="M4955" s="274" t="s">
        <x:v>8737</x:v>
      </x:c>
      <x:c r="N4955" s="274" t="s">
        <x:v>162</x:v>
      </x:c>
    </x:row>
    <x:row r="4956" spans="1:14">
      <x:c r="A4956" s="274" t="s">
        <x:v>8738</x:v>
      </x:c>
      <x:c r="B4956" s="274" t="n">
        <x:v>4.42</x:v>
      </x:c>
      <x:c r="C4956" s="274" t="n">
        <x:v>60</x:v>
      </x:c>
      <x:c r="D4956" s="274" t="n">
        <x:v>55</x:v>
      </x:c>
      <x:c r="E4956" s="274" t="n">
        <x:v>40</x:v>
      </x:c>
      <x:c r="F4956" s="274" t="s">
        <x:v>133</x:v>
      </x:c>
      <x:c r="G4956" s="274" t="s">
        <x:v>136</x:v>
      </x:c>
      <x:c r="H4956" s="274" t="n">
        <x:v>45</x:v>
      </x:c>
      <x:c r="I4956" s="274" t="n">
        <x:v>1.6</x:v>
      </x:c>
      <x:c r="J4956" s="274" t="n">
        <x:v>1485</x:v>
      </x:c>
      <x:c r="K4956" s="274" t="n">
        <x:v>470</x:v>
      </x:c>
      <x:c r="M4956" s="274" t="s">
        <x:v>8739</x:v>
      </x:c>
      <x:c r="N4956" s="274" t="s">
        <x:v>162</x:v>
      </x:c>
    </x:row>
    <x:row r="4957" spans="1:14">
      <x:c r="A4957" s="274" t="s">
        <x:v>8740</x:v>
      </x:c>
      <x:c r="B4957" s="274" t="n">
        <x:v>6.29</x:v>
      </x:c>
      <x:c r="C4957" s="274" t="n">
        <x:v>0</x:v>
      </x:c>
      <x:c r="D4957" s="274" t="n">
        <x:v>32</x:v>
      </x:c>
      <x:c r="E4957" s="274" t="n">
        <x:v>40</x:v>
      </x:c>
      <x:c r="F4957" s="274" t="s">
        <x:v>184</x:v>
      </x:c>
      <x:c r="G4957" s="274" t="s">
        <x:v>144</x:v>
      </x:c>
      <x:c r="H4957" s="274" t="n">
        <x:v>45</x:v>
      </x:c>
      <x:c r="I4957" s="274" t="n">
        <x:v>1.2</x:v>
      </x:c>
      <x:c r="J4957" s="274" t="n">
        <x:v>1450</x:v>
      </x:c>
      <x:c r="K4957" s="274" t="n">
        <x:v>456</x:v>
      </x:c>
      <x:c r="M4957" s="274" t="s">
        <x:v>8741</x:v>
      </x:c>
      <x:c r="N4957" s="274" t="s">
        <x:v>480</x:v>
      </x:c>
    </x:row>
    <x:row r="4958" spans="1:14">
      <x:c r="A4958" s="274" t="s">
        <x:v>8742</x:v>
      </x:c>
      <x:c r="B4958" s="274" t="n">
        <x:v>1.99</x:v>
      </x:c>
      <x:c r="C4958" s="274" t="n">
        <x:v>60</x:v>
      </x:c>
      <x:c r="D4958" s="274" t="n">
        <x:v>70</x:v>
      </x:c>
      <x:c r="E4958" s="274" t="n">
        <x:v>0</x:v>
      </x:c>
      <x:c r="F4958" s="274" t="s">
        <x:v>128</x:v>
      </x:c>
      <x:c r="G4958" s="274" t="s">
        <x:v>3314</x:v>
      </x:c>
      <x:c r="H4958" s="274" t="n">
        <x:v>45</x:v>
      </x:c>
      <x:c r="I4958" s="274" t="n">
        <x:v>2.6</x:v>
      </x:c>
      <x:c r="J4958" s="274" t="n">
        <x:v>435</x:v>
      </x:c>
      <x:c r="K4958" s="274" t="n">
        <x:v>223</x:v>
      </x:c>
      <x:c r="M4958" s="274" t="s">
        <x:v>8743</x:v>
      </x:c>
      <x:c r="N4958" s="274" t="s">
        <x:v>162</x:v>
      </x:c>
    </x:row>
    <x:row r="4959" spans="1:14">
      <x:c r="A4959" s="274" t="s">
        <x:v>8744</x:v>
      </x:c>
      <x:c r="B4959" s="274" t="n">
        <x:v>2.4</x:v>
      </x:c>
      <x:c r="C4959" s="274" t="n">
        <x:v>66</x:v>
      </x:c>
      <x:c r="D4959" s="274" t="n">
        <x:v>66</x:v>
      </x:c>
      <x:c r="E4959" s="274" t="n">
        <x:v>40</x:v>
      </x:c>
      <x:c r="F4959" s="274" t="s">
        <x:v>133</x:v>
      </x:c>
      <x:c r="G4959" s="274" t="s">
        <x:v>136</x:v>
      </x:c>
      <x:c r="H4959" s="274" t="n">
        <x:v>45</x:v>
      </x:c>
      <x:c r="I4959" s="274" t="n">
        <x:v>1.2</x:v>
      </x:c>
      <x:c r="J4959" s="274" t="n">
        <x:v>1227</x:v>
      </x:c>
      <x:c r="K4959" s="274" t="n">
        <x:v>414</x:v>
      </x:c>
      <x:c r="M4959" s="274" t="s">
        <x:v>8745</x:v>
      </x:c>
      <x:c r="N4959" s="274" t="s">
        <x:v>162</x:v>
      </x:c>
    </x:row>
    <x:row r="4960" spans="1:14">
      <x:c r="A4960" s="274" t="s">
        <x:v>8746</x:v>
      </x:c>
      <x:c r="B4960" s="274" t="n">
        <x:v>0</x:v>
      </x:c>
      <x:c r="C4960" s="274" t="n">
        <x:v>0</x:v>
      </x:c>
      <x:c r="D4960" s="274" t="n">
        <x:v>0</x:v>
      </x:c>
      <x:c r="E4960" s="274" t="n">
        <x:v>14</x:v>
      </x:c>
      <x:c r="F4960" s="274" t="s">
        <x:v>133</x:v>
      </x:c>
      <x:c r="G4960" s="274" t="s">
        <x:v>136</x:v>
      </x:c>
      <x:c r="H4960" s="274" t="n">
        <x:v>45</x:v>
      </x:c>
      <x:c r="I4960" s="274" t="n">
        <x:v>0.6</x:v>
      </x:c>
      <x:c r="J4960" s="274" t="n">
        <x:v>290</x:v>
      </x:c>
      <x:c r="K4960" s="274" t="n">
        <x:v>510</x:v>
      </x:c>
      <x:c r="M4960" s="274" t="s">
        <x:v>8747</x:v>
      </x:c>
      <x:c r="N4960" s="274" t="s">
        <x:v>480</x:v>
      </x:c>
    </x:row>
    <x:row r="4961" spans="1:14">
      <x:c r="A4961" s="274" t="s">
        <x:v>8748</x:v>
      </x:c>
      <x:c r="B4961" s="274" t="n">
        <x:v>9.82</x:v>
      </x:c>
      <x:c r="C4961" s="274" t="n">
        <x:v>0</x:v>
      </x:c>
      <x:c r="D4961" s="274" t="n">
        <x:v>0</x:v>
      </x:c>
      <x:c r="E4961" s="274" t="n">
        <x:v>28</x:v>
      </x:c>
      <x:c r="F4961" s="274" t="s">
        <x:v>128</x:v>
      </x:c>
      <x:c r="G4961" s="274" t="s">
        <x:v>136</x:v>
      </x:c>
      <x:c r="H4961" s="274" t="s">
        <x:v>285</x:v>
      </x:c>
      <x:c r="I4961" s="274" t="n">
        <x:v>0.8</x:v>
      </x:c>
      <x:c r="J4961" s="274" t="n">
        <x:v>995</x:v>
      </x:c>
      <x:c r="K4961" s="274" t="n">
        <x:v>1550</x:v>
      </x:c>
      <x:c r="M4961" s="274" t="s">
        <x:v>8749</x:v>
      </x:c>
      <x:c r="N4961" s="274" t="s">
        <x:v>126</x:v>
      </x:c>
    </x:row>
    <x:row r="4962" spans="1:14">
      <x:c r="A4962" s="274" t="s">
        <x:v>8750</x:v>
      </x:c>
      <x:c r="B4962" s="274" t="n">
        <x:v>6.25</x:v>
      </x:c>
      <x:c r="C4962" s="274" t="n">
        <x:v>0</x:v>
      </x:c>
      <x:c r="D4962" s="274" t="n">
        <x:v>32</x:v>
      </x:c>
      <x:c r="E4962" s="274" t="n">
        <x:v>28</x:v>
      </x:c>
      <x:c r="F4962" s="274" t="s">
        <x:v>128</x:v>
      </x:c>
      <x:c r="G4962" s="274" t="s">
        <x:v>8751</x:v>
      </x:c>
      <x:c r="H4962" s="274" t="s">
        <x:v>4179</x:v>
      </x:c>
      <x:c r="I4962" s="274" t="n">
        <x:v>0.8</x:v>
      </x:c>
      <x:c r="J4962" s="274" t="n">
        <x:v>640</x:v>
      </x:c>
      <x:c r="K4962" s="274" t="n">
        <x:v>1540</x:v>
      </x:c>
      <x:c r="M4962" s="274" t="s">
        <x:v>8752</x:v>
      </x:c>
      <x:c r="N4962" s="274" t="s">
        <x:v>126</x:v>
      </x:c>
    </x:row>
    <x:row r="4963" spans="1:14">
      <x:c r="A4963" s="274" t="s">
        <x:v>8753</x:v>
      </x:c>
      <x:c r="B4963" s="274" t="n">
        <x:v>2.84</x:v>
      </x:c>
      <x:c r="C4963" s="274" t="n">
        <x:v>0</x:v>
      </x:c>
      <x:c r="D4963" s="274" t="n">
        <x:v>0</x:v>
      </x:c>
      <x:c r="F4963" s="274" t="s">
        <x:v>128</x:v>
      </x:c>
      <x:c r="G4963" s="274" t="s">
        <x:v>136</x:v>
      </x:c>
      <x:c r="H4963" s="274" t="s">
        <x:v>397</x:v>
      </x:c>
      <x:c r="I4963" s="274" t="n">
        <x:v>0.75</x:v>
      </x:c>
      <x:c r="J4963" s="274" t="n">
        <x:v>360</x:v>
      </x:c>
      <x:c r="K4963" s="274" t="n">
        <x:v>1320</x:v>
      </x:c>
      <x:c r="M4963" s="274" t="s">
        <x:v>7434</x:v>
      </x:c>
      <x:c r="N4963" s="274" t="s">
        <x:v>126</x:v>
      </x:c>
    </x:row>
    <x:row r="4964" spans="1:14">
      <x:c r="A4964" s="274" t="s">
        <x:v>8754</x:v>
      </x:c>
      <x:c r="B4964" s="274" t="n">
        <x:v>31.03</x:v>
      </x:c>
      <x:c r="C4964" s="274" t="n">
        <x:v>0</x:v>
      </x:c>
      <x:c r="D4964" s="274" t="n">
        <x:v>0</x:v>
      </x:c>
      <x:c r="E4964" s="274" t="n">
        <x:v>10</x:v>
      </x:c>
      <x:c r="F4964" s="274" t="s">
        <x:v>128</x:v>
      </x:c>
      <x:c r="G4964" s="274" t="s">
        <x:v>136</x:v>
      </x:c>
      <x:c r="H4964" s="274" t="s">
        <x:v>1729</x:v>
      </x:c>
      <x:c r="I4964" s="274" t="n">
        <x:v>0.75</x:v>
      </x:c>
      <x:c r="J4964" s="274" t="n">
        <x:v>1511</x:v>
      </x:c>
      <x:c r="K4964" s="274" t="n">
        <x:v>3435</x:v>
      </x:c>
      <x:c r="M4964" s="274" t="s">
        <x:v>8755</x:v>
      </x:c>
      <x:c r="N4964" s="274" t="s">
        <x:v>475</x:v>
      </x:c>
    </x:row>
    <x:row r="4965" spans="1:14">
      <x:c r="A4965" s="274" t="s">
        <x:v>8756</x:v>
      </x:c>
      <x:c r="B4965" s="274" t="n">
        <x:v>6.07</x:v>
      </x:c>
      <x:c r="C4965" s="274" t="n">
        <x:v>0</x:v>
      </x:c>
      <x:c r="D4965" s="274" t="n">
        <x:v>0</x:v>
      </x:c>
      <x:c r="F4965" s="274" t="s">
        <x:v>128</x:v>
      </x:c>
      <x:c r="G4965" s="274" t="s">
        <x:v>8751</x:v>
      </x:c>
      <x:c r="H4965" s="274" t="s">
        <x:v>4179</x:v>
      </x:c>
      <x:c r="I4965" s="274" t="n">
        <x:v>0.9</x:v>
      </x:c>
      <x:c r="J4965" s="274" t="n">
        <x:v>550</x:v>
      </x:c>
      <x:c r="K4965" s="274" t="n">
        <x:v>1550</x:v>
      </x:c>
      <x:c r="M4965" s="274" t="s">
        <x:v>8757</x:v>
      </x:c>
      <x:c r="N4965" s="274" t="s">
        <x:v>126</x:v>
      </x:c>
    </x:row>
    <x:row r="4966" spans="1:14">
      <x:c r="A4966" s="274" t="s">
        <x:v>8758</x:v>
      </x:c>
      <x:c r="B4966" s="274" t="n">
        <x:v>1.78</x:v>
      </x:c>
      <x:c r="C4966" s="274" t="n">
        <x:v>0</x:v>
      </x:c>
      <x:c r="D4966" s="274" t="n">
        <x:v>0</x:v>
      </x:c>
      <x:c r="F4966" s="274" t="s">
        <x:v>128</x:v>
      </x:c>
      <x:c r="G4966" s="274" t="s">
        <x:v>3314</x:v>
      </x:c>
      <x:c r="H4966" s="274" t="n">
        <x:v>45</x:v>
      </x:c>
      <x:c r="I4966" s="274" t="n">
        <x:v>2.3</x:v>
      </x:c>
      <x:c r="J4966" s="274" t="n">
        <x:v>161</x:v>
      </x:c>
      <x:c r="K4966" s="274" t="n">
        <x:v>608</x:v>
      </x:c>
      <x:c r="M4966" s="274" t="s">
        <x:v>8759</x:v>
      </x:c>
      <x:c r="N4966" s="274" t="s">
        <x:v>162</x:v>
      </x:c>
    </x:row>
    <x:row r="4967" spans="1:14">
      <x:c r="A4967" s="274" t="s">
        <x:v>8760</x:v>
      </x:c>
      <x:c r="B4967" s="274" t="n">
        <x:v>8.14</x:v>
      </x:c>
      <x:c r="C4967" s="274" t="n">
        <x:v>0</x:v>
      </x:c>
      <x:c r="D4967" s="274" t="n">
        <x:v>0</x:v>
      </x:c>
      <x:c r="F4967" s="274" t="s">
        <x:v>128</x:v>
      </x:c>
      <x:c r="G4967" s="274" t="s">
        <x:v>8761</x:v>
      </x:c>
      <x:c r="I4967" s="274" t="n">
        <x:v>1.8</x:v>
      </x:c>
      <x:c r="J4967" s="274" t="n">
        <x:v>450</x:v>
      </x:c>
      <x:c r="K4967" s="274" t="n">
        <x:v>1281</x:v>
      </x:c>
      <x:c r="M4967" s="274" t="s">
        <x:v>8762</x:v>
      </x:c>
      <x:c r="N4967" s="274" t="s">
        <x:v>363</x:v>
      </x:c>
    </x:row>
    <x:row r="4968" spans="1:14">
      <x:c r="A4968" s="274" t="s">
        <x:v>8763</x:v>
      </x:c>
      <x:c r="B4968" s="274" t="n">
        <x:v>1</x:v>
      </x:c>
      <x:c r="C4968" s="274" t="n">
        <x:v>19</x:v>
      </x:c>
      <x:c r="D4968" s="274" t="n">
        <x:v>26</x:v>
      </x:c>
      <x:c r="E4968" s="274" t="n">
        <x:v>18</x:v>
      </x:c>
      <x:c r="F4968" s="274" t="s">
        <x:v>133</x:v>
      </x:c>
      <x:c r="G4968" s="274" t="s">
        <x:v>136</x:v>
      </x:c>
      <x:c r="H4968" s="274" t="n">
        <x:v>45</x:v>
      </x:c>
      <x:c r="I4968" s="274" t="n">
        <x:v>0.65</x:v>
      </x:c>
      <x:c r="J4968" s="274" t="n">
        <x:v>209</x:v>
      </x:c>
      <x:c r="K4968" s="274" t="n">
        <x:v>925</x:v>
      </x:c>
      <x:c r="M4968" s="274" t="s">
        <x:v>8764</x:v>
      </x:c>
      <x:c r="N4968" s="274" t="s">
        <x:v>162</x:v>
      </x:c>
    </x:row>
    <x:row r="4969" spans="1:14">
      <x:c r="A4969" s="274" t="s">
        <x:v>8765</x:v>
      </x:c>
      <x:c r="B4969" s="274" t="n">
        <x:v>0.43</x:v>
      </x:c>
      <x:c r="C4969" s="274" t="n">
        <x:v>0</x:v>
      </x:c>
      <x:c r="D4969" s="274" t="n">
        <x:v>0</x:v>
      </x:c>
      <x:c r="F4969" s="274" t="s">
        <x:v>133</x:v>
      </x:c>
      <x:c r="G4969" s="274" t="s">
        <x:v>136</x:v>
      </x:c>
      <x:c r="H4969" s="274" t="n">
        <x:v>45</x:v>
      </x:c>
      <x:c r="I4969" s="274" t="n">
        <x:v>0.9</x:v>
      </x:c>
      <x:c r="J4969" s="274" t="n">
        <x:v>240</x:v>
      </x:c>
      <x:c r="K4969" s="274" t="n">
        <x:v>250</x:v>
      </x:c>
      <x:c r="M4969" s="274" t="s">
        <x:v>8766</x:v>
      </x:c>
      <x:c r="N4969" s="274" t="s">
        <x:v>162</x:v>
      </x:c>
    </x:row>
    <x:row r="4970" spans="1:14">
      <x:c r="A4970" s="274" t="s">
        <x:v>8767</x:v>
      </x:c>
      <x:c r="B4970" s="274" t="n">
        <x:v>0.73</x:v>
      </x:c>
      <x:c r="C4970" s="274" t="n">
        <x:v>0</x:v>
      </x:c>
      <x:c r="D4970" s="274" t="n">
        <x:v>0</x:v>
      </x:c>
      <x:c r="F4970" s="274" t="s">
        <x:v>123</x:v>
      </x:c>
      <x:c r="G4970" s="274" t="s">
        <x:v>209</x:v>
      </x:c>
      <x:c r="I4970" s="274" t="n">
        <x:v>0.9</x:v>
      </x:c>
      <x:c r="J4970" s="274" t="n">
        <x:v>81</x:v>
      </x:c>
      <x:c r="K4970" s="274" t="n">
        <x:v>1280</x:v>
      </x:c>
      <x:c r="M4970" s="274" t="s">
        <x:v>8768</x:v>
      </x:c>
      <x:c r="N4970" s="274" t="s">
        <x:v>162</x:v>
      </x:c>
    </x:row>
    <x:row r="4971" spans="1:14">
      <x:c r="A4971" s="274" t="s">
        <x:v>8769</x:v>
      </x:c>
      <x:c r="B4971" s="274" t="n">
        <x:v>0.13</x:v>
      </x:c>
      <x:c r="C4971" s="274" t="n">
        <x:v>35</x:v>
      </x:c>
      <x:c r="D4971" s="274" t="n">
        <x:v>35</x:v>
      </x:c>
      <x:c r="E4971" s="274" t="n">
        <x:v>33</x:v>
      </x:c>
      <x:c r="F4971" s="274" t="s">
        <x:v>123</x:v>
      </x:c>
      <x:c r="G4971" s="274" t="s">
        <x:v>209</x:v>
      </x:c>
      <x:c r="I4971" s="274" t="n">
        <x:v>1</x:v>
      </x:c>
      <x:c r="J4971" s="274" t="n">
        <x:v>120</x:v>
      </x:c>
      <x:c r="K4971" s="274" t="n">
        <x:v>137</x:v>
      </x:c>
      <x:c r="M4971" s="274" t="s">
        <x:v>2960</x:v>
      </x:c>
      <x:c r="N4971" s="274" t="s">
        <x:v>162</x:v>
      </x:c>
    </x:row>
    <x:row r="4972" spans="1:14">
      <x:c r="A4972" s="274" t="s">
        <x:v>8770</x:v>
      </x:c>
      <x:c r="B4972" s="274" t="n">
        <x:v>0.97</x:v>
      </x:c>
      <x:c r="C4972" s="274" t="n">
        <x:v>0</x:v>
      </x:c>
      <x:c r="D4972" s="274" t="n">
        <x:v>0</x:v>
      </x:c>
      <x:c r="F4972" s="274" t="s">
        <x:v>123</x:v>
      </x:c>
      <x:c r="G4972" s="274" t="s">
        <x:v>209</x:v>
      </x:c>
      <x:c r="I4972" s="274" t="n">
        <x:v>1.2</x:v>
      </x:c>
      <x:c r="J4972" s="274" t="n">
        <x:v>106</x:v>
      </x:c>
      <x:c r="K4972" s="274" t="n">
        <x:v>970</x:v>
      </x:c>
      <x:c r="M4972" s="274" t="s">
        <x:v>8771</x:v>
      </x:c>
      <x:c r="N4972" s="274" t="s">
        <x:v>162</x:v>
      </x:c>
    </x:row>
    <x:row r="4973" spans="1:14">
      <x:c r="A4973" s="274" t="s">
        <x:v>8772</x:v>
      </x:c>
      <x:c r="B4973" s="274" t="n">
        <x:v>1.62</x:v>
      </x:c>
      <x:c r="C4973" s="274" t="n">
        <x:v>0</x:v>
      </x:c>
      <x:c r="D4973" s="274" t="n">
        <x:v>0</x:v>
      </x:c>
      <x:c r="F4973" s="274" t="s">
        <x:v>123</x:v>
      </x:c>
      <x:c r="G4973" s="274" t="s">
        <x:v>209</x:v>
      </x:c>
      <x:c r="I4973" s="274" t="n">
        <x:v>1.2</x:v>
      </x:c>
      <x:c r="J4973" s="274" t="n">
        <x:v>180</x:v>
      </x:c>
      <x:c r="K4973" s="274" t="n">
        <x:v>955</x:v>
      </x:c>
      <x:c r="M4973" s="274" t="s">
        <x:v>8773</x:v>
      </x:c>
      <x:c r="N4973" s="274" t="s">
        <x:v>162</x:v>
      </x:c>
    </x:row>
    <x:row r="4974" spans="1:14">
      <x:c r="A4974" s="274" t="s">
        <x:v>8774</x:v>
      </x:c>
      <x:c r="B4974" s="274" t="n">
        <x:v>2.13</x:v>
      </x:c>
      <x:c r="C4974" s="274" t="n">
        <x:v>0</x:v>
      </x:c>
      <x:c r="D4974" s="274" t="n">
        <x:v>0</x:v>
      </x:c>
      <x:c r="F4974" s="274" t="s">
        <x:v>123</x:v>
      </x:c>
      <x:c r="G4974" s="274" t="s">
        <x:v>209</x:v>
      </x:c>
      <x:c r="I4974" s="274" t="n">
        <x:v>1.2</x:v>
      </x:c>
      <x:c r="J4974" s="274" t="n">
        <x:v>227</x:v>
      </x:c>
      <x:c r="K4974" s="274" t="n">
        <x:v>995</x:v>
      </x:c>
      <x:c r="M4974" s="274" t="s">
        <x:v>8775</x:v>
      </x:c>
      <x:c r="N4974" s="274" t="s">
        <x:v>162</x:v>
      </x:c>
    </x:row>
    <x:row r="4975" spans="1:14">
      <x:c r="A4975" s="274" t="s">
        <x:v>8776</x:v>
      </x:c>
      <x:c r="B4975" s="274" t="n">
        <x:v>0.27</x:v>
      </x:c>
      <x:c r="C4975" s="274" t="n">
        <x:v>35</x:v>
      </x:c>
      <x:c r="D4975" s="274" t="n">
        <x:v>35</x:v>
      </x:c>
      <x:c r="E4975" s="274" t="n">
        <x:v>33</x:v>
      </x:c>
      <x:c r="F4975" s="274" t="s">
        <x:v>123</x:v>
      </x:c>
      <x:c r="G4975" s="274" t="s">
        <x:v>209</x:v>
      </x:c>
      <x:c r="I4975" s="274" t="n">
        <x:v>1.2</x:v>
      </x:c>
      <x:c r="J4975" s="274" t="n">
        <x:v>247</x:v>
      </x:c>
      <x:c r="K4975" s="274" t="n">
        <x:v>115</x:v>
      </x:c>
      <x:c r="M4975" s="274" t="s">
        <x:v>8777</x:v>
      </x:c>
      <x:c r="N4975" s="274" t="s">
        <x:v>162</x:v>
      </x:c>
    </x:row>
    <x:row r="4976" spans="1:14">
      <x:c r="A4976" s="274" t="s">
        <x:v>8778</x:v>
      </x:c>
      <x:c r="B4976" s="274" t="n">
        <x:v>2.81</x:v>
      </x:c>
      <x:c r="C4976" s="274" t="n">
        <x:v>0</x:v>
      </x:c>
      <x:c r="D4976" s="274" t="n">
        <x:v>0</x:v>
      </x:c>
      <x:c r="F4976" s="274" t="s">
        <x:v>123</x:v>
      </x:c>
      <x:c r="G4976" s="274" t="s">
        <x:v>209</x:v>
      </x:c>
      <x:c r="I4976" s="274" t="n">
        <x:v>1.2</x:v>
      </x:c>
      <x:c r="J4976" s="274" t="n">
        <x:v>312</x:v>
      </x:c>
      <x:c r="K4976" s="274" t="n">
        <x:v>955</x:v>
      </x:c>
      <x:c r="M4976" s="274" t="s">
        <x:v>8779</x:v>
      </x:c>
      <x:c r="N4976" s="274" t="s">
        <x:v>162</x:v>
      </x:c>
    </x:row>
    <x:row r="4977" spans="1:14">
      <x:c r="A4977" s="274" t="s">
        <x:v>8780</x:v>
      </x:c>
      <x:c r="B4977" s="274" t="n">
        <x:v>0.67</x:v>
      </x:c>
      <x:c r="C4977" s="274" t="n">
        <x:v>30</x:v>
      </x:c>
      <x:c r="D4977" s="274" t="n">
        <x:v>35</x:v>
      </x:c>
      <x:c r="E4977" s="274" t="n">
        <x:v>33</x:v>
      </x:c>
      <x:c r="F4977" s="274" t="s">
        <x:v>123</x:v>
      </x:c>
      <x:c r="G4977" s="274" t="s">
        <x:v>209</x:v>
      </x:c>
      <x:c r="I4977" s="274" t="n">
        <x:v>1.2</x:v>
      </x:c>
      <x:c r="J4977" s="274" t="n">
        <x:v>199</x:v>
      </x:c>
      <x:c r="K4977" s="274" t="n">
        <x:v>360</x:v>
      </x:c>
      <x:c r="M4977" s="274" t="s">
        <x:v>2939</x:v>
      </x:c>
      <x:c r="N4977" s="274" t="s">
        <x:v>162</x:v>
      </x:c>
    </x:row>
    <x:row r="4978" spans="1:14">
      <x:c r="A4978" s="274" t="s">
        <x:v>8781</x:v>
      </x:c>
      <x:c r="B4978" s="274" t="n">
        <x:v>0.34</x:v>
      </x:c>
      <x:c r="C4978" s="274" t="n">
        <x:v>30</x:v>
      </x:c>
      <x:c r="D4978" s="274" t="n">
        <x:v>35</x:v>
      </x:c>
      <x:c r="E4978" s="274" t="n">
        <x:v>33</x:v>
      </x:c>
      <x:c r="F4978" s="274" t="s">
        <x:v>123</x:v>
      </x:c>
      <x:c r="G4978" s="274" t="s">
        <x:v>209</x:v>
      </x:c>
      <x:c r="I4978" s="274" t="n">
        <x:v>1.2</x:v>
      </x:c>
      <x:c r="J4978" s="274" t="n">
        <x:v>250</x:v>
      </x:c>
      <x:c r="K4978" s="274" t="n">
        <x:v>145</x:v>
      </x:c>
      <x:c r="M4978" s="274" t="s">
        <x:v>2945</x:v>
      </x:c>
      <x:c r="N4978" s="274" t="s">
        <x:v>162</x:v>
      </x:c>
    </x:row>
    <x:row r="4979" spans="1:14">
      <x:c r="A4979" s="274" t="s">
        <x:v>8782</x:v>
      </x:c>
      <x:c r="B4979" s="274" t="n">
        <x:v>1.44</x:v>
      </x:c>
      <x:c r="C4979" s="274" t="n">
        <x:v>0</x:v>
      </x:c>
      <x:c r="D4979" s="274" t="n">
        <x:v>0</x:v>
      </x:c>
      <x:c r="F4979" s="274" t="s">
        <x:v>123</x:v>
      </x:c>
      <x:c r="G4979" s="274" t="s">
        <x:v>209</x:v>
      </x:c>
      <x:c r="I4979" s="274" t="n">
        <x:v>1.4</x:v>
      </x:c>
      <x:c r="J4979" s="274" t="n">
        <x:v>136</x:v>
      </x:c>
      <x:c r="K4979" s="274" t="n">
        <x:v>960</x:v>
      </x:c>
      <x:c r="M4979" s="274" t="s">
        <x:v>8783</x:v>
      </x:c>
      <x:c r="N4979" s="274" t="s">
        <x:v>162</x:v>
      </x:c>
    </x:row>
    <x:row r="4980" spans="1:14">
      <x:c r="A4980" s="274" t="s">
        <x:v>8784</x:v>
      </x:c>
      <x:c r="B4980" s="274" t="n">
        <x:v>2.24</x:v>
      </x:c>
      <x:c r="C4980" s="274" t="n">
        <x:v>0</x:v>
      </x:c>
      <x:c r="D4980" s="274" t="n">
        <x:v>0</x:v>
      </x:c>
      <x:c r="F4980" s="274" t="s">
        <x:v>123</x:v>
      </x:c>
      <x:c r="G4980" s="274" t="s">
        <x:v>209</x:v>
      </x:c>
      <x:c r="I4980" s="274" t="n">
        <x:v>1.4</x:v>
      </x:c>
      <x:c r="J4980" s="274" t="n">
        <x:v>225</x:v>
      </x:c>
      <x:c r="K4980" s="274" t="n">
        <x:v>905</x:v>
      </x:c>
      <x:c r="M4980" s="274" t="s">
        <x:v>8785</x:v>
      </x:c>
      <x:c r="N4980" s="274" t="s">
        <x:v>162</x:v>
      </x:c>
    </x:row>
    <x:row r="4981" spans="1:14">
      <x:c r="A4981" s="274" t="s">
        <x:v>8786</x:v>
      </x:c>
      <x:c r="B4981" s="274" t="n">
        <x:v>0.55</x:v>
      </x:c>
      <x:c r="C4981" s="274" t="n">
        <x:v>0</x:v>
      </x:c>
      <x:c r="D4981" s="274" t="n">
        <x:v>0</x:v>
      </x:c>
      <x:c r="F4981" s="274" t="s">
        <x:v>123</x:v>
      </x:c>
      <x:c r="G4981" s="274" t="s">
        <x:v>209</x:v>
      </x:c>
      <x:c r="I4981" s="274" t="n">
        <x:v>1.6</x:v>
      </x:c>
      <x:c r="J4981" s="274" t="n">
        <x:v>40</x:v>
      </x:c>
      <x:c r="K4981" s="274" t="n">
        <x:v>1085</x:v>
      </x:c>
      <x:c r="M4981" s="274" t="s">
        <x:v>8787</x:v>
      </x:c>
      <x:c r="N4981" s="274" t="s">
        <x:v>162</x:v>
      </x:c>
    </x:row>
    <x:row r="4982" spans="1:14">
      <x:c r="A4982" s="274" t="s">
        <x:v>8788</x:v>
      </x:c>
      <x:c r="B4982" s="274" t="n">
        <x:v>1.21</x:v>
      </x:c>
      <x:c r="C4982" s="274" t="n">
        <x:v>0</x:v>
      </x:c>
      <x:c r="D4982" s="274" t="n">
        <x:v>0</x:v>
      </x:c>
      <x:c r="F4982" s="274" t="s">
        <x:v>123</x:v>
      </x:c>
      <x:c r="G4982" s="274" t="s">
        <x:v>209</x:v>
      </x:c>
      <x:c r="I4982" s="274" t="n">
        <x:v>1.6</x:v>
      </x:c>
      <x:c r="J4982" s="274" t="n">
        <x:v>92</x:v>
      </x:c>
      <x:c r="K4982" s="274" t="n">
        <x:v>1045</x:v>
      </x:c>
      <x:c r="M4982" s="274" t="s">
        <x:v>8789</x:v>
      </x:c>
      <x:c r="N4982" s="274" t="s">
        <x:v>162</x:v>
      </x:c>
    </x:row>
    <x:row r="4983" spans="1:14">
      <x:c r="A4983" s="274" t="s">
        <x:v>8790</x:v>
      </x:c>
      <x:c r="B4983" s="274" t="n">
        <x:v>0.77</x:v>
      </x:c>
      <x:c r="C4983" s="274" t="n">
        <x:v>0</x:v>
      </x:c>
      <x:c r="D4983" s="274" t="n">
        <x:v>0</x:v>
      </x:c>
      <x:c r="F4983" s="274" t="s">
        <x:v>123</x:v>
      </x:c>
      <x:c r="G4983" s="274" t="s">
        <x:v>209</x:v>
      </x:c>
      <x:c r="I4983" s="274" t="n">
        <x:v>1.6</x:v>
      </x:c>
      <x:c r="J4983" s="274" t="n">
        <x:v>130</x:v>
      </x:c>
      <x:c r="K4983" s="274" t="n">
        <x:v>470</x:v>
      </x:c>
      <x:c r="M4983" s="274" t="s">
        <x:v>8791</x:v>
      </x:c>
      <x:c r="N4983" s="274" t="s">
        <x:v>162</x:v>
      </x:c>
    </x:row>
    <x:row r="4984" spans="1:14">
      <x:c r="A4984" s="274" t="s">
        <x:v>8792</x:v>
      </x:c>
      <x:c r="B4984" s="274" t="n">
        <x:v>0.19</x:v>
      </x:c>
      <x:c r="C4984" s="274" t="n">
        <x:v>0</x:v>
      </x:c>
      <x:c r="D4984" s="274" t="n">
        <x:v>35</x:v>
      </x:c>
      <x:c r="E4984" s="274" t="n">
        <x:v>33</x:v>
      </x:c>
      <x:c r="F4984" s="274" t="s">
        <x:v>123</x:v>
      </x:c>
      <x:c r="G4984" s="274" t="s">
        <x:v>153</x:v>
      </x:c>
      <x:c r="I4984" s="274" t="n">
        <x:v>1.4</x:v>
      </x:c>
      <x:c r="J4984" s="274" t="n">
        <x:v>65</x:v>
      </x:c>
      <x:c r="K4984" s="274" t="n">
        <x:v>262</x:v>
      </x:c>
      <x:c r="M4984" s="274" t="s">
        <x:v>1421</x:v>
      </x:c>
      <x:c r="N4984" s="274" t="s">
        <x:v>162</x:v>
      </x:c>
    </x:row>
    <x:row r="4985" spans="1:14">
      <x:c r="A4985" s="274" t="s">
        <x:v>8793</x:v>
      </x:c>
      <x:c r="B4985" s="274" t="n">
        <x:v>1.69</x:v>
      </x:c>
      <x:c r="C4985" s="274" t="n">
        <x:v>35</x:v>
      </x:c>
      <x:c r="D4985" s="274" t="n">
        <x:v>45</x:v>
      </x:c>
      <x:c r="E4985" s="274" t="n">
        <x:v>40</x:v>
      </x:c>
      <x:c r="F4985" s="274" t="s">
        <x:v>123</x:v>
      </x:c>
      <x:c r="G4985" s="274" t="s">
        <x:v>153</x:v>
      </x:c>
      <x:c r="I4985" s="274" t="n">
        <x:v>1.4</x:v>
      </x:c>
      <x:c r="J4985" s="274" t="n">
        <x:v>750</x:v>
      </x:c>
      <x:c r="K4985" s="274" t="n">
        <x:v>409</x:v>
      </x:c>
      <x:c r="M4985" s="274" t="s">
        <x:v>8794</x:v>
      </x:c>
      <x:c r="N4985" s="274" t="s">
        <x:v>202</x:v>
      </x:c>
    </x:row>
    <x:row r="4986" spans="1:14">
      <x:c r="A4986" s="274" t="s">
        <x:v>8795</x:v>
      </x:c>
      <x:c r="B4986" s="274" t="n">
        <x:v>15.01</x:v>
      </x:c>
      <x:c r="C4986" s="274" t="n">
        <x:v>0</x:v>
      </x:c>
      <x:c r="D4986" s="274" t="n">
        <x:v>0</x:v>
      </x:c>
      <x:c r="F4986" s="274" t="s">
        <x:v>133</x:v>
      </x:c>
      <x:c r="G4986" s="274" t="s">
        <x:v>1636</x:v>
      </x:c>
      <x:c r="I4986" s="274" t="n">
        <x:v>10</x:v>
      </x:c>
      <x:c r="J4986" s="274" t="n">
        <x:v>153</x:v>
      </x:c>
      <x:c r="K4986" s="274" t="n">
        <x:v>1250</x:v>
      </x:c>
      <x:c r="M4986" s="274" t="s">
        <x:v>8796</x:v>
      </x:c>
      <x:c r="N4986" s="274" t="s">
        <x:v>162</x:v>
      </x:c>
    </x:row>
    <x:row r="4987" spans="1:14">
      <x:c r="A4987" s="274" t="s">
        <x:v>8797</x:v>
      </x:c>
      <x:c r="B4987" s="274" t="n">
        <x:v>1.35</x:v>
      </x:c>
      <x:c r="C4987" s="274" t="n">
        <x:v>0</x:v>
      </x:c>
      <x:c r="D4987" s="274" t="n">
        <x:v>0</x:v>
      </x:c>
      <x:c r="F4987" s="274" t="s">
        <x:v>133</x:v>
      </x:c>
      <x:c r="G4987" s="274" t="s">
        <x:v>134</x:v>
      </x:c>
      <x:c r="I4987" s="274" t="n">
        <x:v>1.6</x:v>
      </x:c>
      <x:c r="J4987" s="274" t="n">
        <x:v>86</x:v>
      </x:c>
      <x:c r="K4987" s="274" t="n">
        <x:v>1250</x:v>
      </x:c>
      <x:c r="M4987" s="274" t="s">
        <x:v>8798</x:v>
      </x:c>
      <x:c r="N4987" s="274" t="s">
        <x:v>126</x:v>
      </x:c>
    </x:row>
    <x:row r="4988" spans="1:14">
      <x:c r="A4988" s="274" t="s">
        <x:v>8799</x:v>
      </x:c>
      <x:c r="B4988" s="274" t="n">
        <x:v>1.27</x:v>
      </x:c>
      <x:c r="C4988" s="274" t="n">
        <x:v>0</x:v>
      </x:c>
      <x:c r="D4988" s="274" t="n">
        <x:v>0</x:v>
      </x:c>
      <x:c r="F4988" s="274" t="s">
        <x:v>133</x:v>
      </x:c>
      <x:c r="G4988" s="274" t="s">
        <x:v>134</x:v>
      </x:c>
      <x:c r="I4988" s="274" t="n">
        <x:v>1.6</x:v>
      </x:c>
      <x:c r="J4988" s="274" t="n">
        <x:v>94</x:v>
      </x:c>
      <x:c r="K4988" s="274" t="n">
        <x:v>1080</x:v>
      </x:c>
      <x:c r="M4988" s="274" t="s">
        <x:v>8800</x:v>
      </x:c>
      <x:c r="N4988" s="274" t="s">
        <x:v>162</x:v>
      </x:c>
    </x:row>
    <x:row r="4989" spans="1:14">
      <x:c r="A4989" s="274" t="s">
        <x:v>8801</x:v>
      </x:c>
      <x:c r="B4989" s="274" t="n">
        <x:v>1.28</x:v>
      </x:c>
      <x:c r="C4989" s="274" t="n">
        <x:v>0</x:v>
      </x:c>
      <x:c r="D4989" s="274" t="n">
        <x:v>0</x:v>
      </x:c>
      <x:c r="F4989" s="274" t="s">
        <x:v>133</x:v>
      </x:c>
      <x:c r="G4989" s="274" t="s">
        <x:v>134</x:v>
      </x:c>
      <x:c r="I4989" s="274" t="n">
        <x:v>1.6</x:v>
      </x:c>
      <x:c r="J4989" s="274" t="n">
        <x:v>103</x:v>
      </x:c>
      <x:c r="K4989" s="274" t="n">
        <x:v>986</x:v>
      </x:c>
      <x:c r="M4989" s="274" t="s">
        <x:v>8802</x:v>
      </x:c>
      <x:c r="N4989" s="274" t="s">
        <x:v>162</x:v>
      </x:c>
    </x:row>
    <x:row r="4990" spans="1:14">
      <x:c r="A4990" s="274" t="s">
        <x:v>8803</x:v>
      </x:c>
      <x:c r="B4990" s="274" t="n">
        <x:v>4.68</x:v>
      </x:c>
      <x:c r="C4990" s="274" t="n">
        <x:v>0</x:v>
      </x:c>
      <x:c r="D4990" s="274" t="n">
        <x:v>0</x:v>
      </x:c>
      <x:c r="F4990" s="274" t="s">
        <x:v>133</x:v>
      </x:c>
      <x:c r="G4990" s="274" t="s">
        <x:v>134</x:v>
      </x:c>
      <x:c r="I4990" s="274" t="n">
        <x:v>1.6</x:v>
      </x:c>
      <x:c r="J4990" s="274" t="n">
        <x:v>234</x:v>
      </x:c>
      <x:c r="K4990" s="274" t="n">
        <x:v>1592</x:v>
      </x:c>
      <x:c r="M4990" s="274" t="s">
        <x:v>8804</x:v>
      </x:c>
      <x:c r="N4990" s="274" t="s">
        <x:v>162</x:v>
      </x:c>
    </x:row>
    <x:row r="4991" spans="1:14">
      <x:c r="A4991" s="274" t="s">
        <x:v>8805</x:v>
      </x:c>
      <x:c r="B4991" s="274" t="n">
        <x:v>2.14</x:v>
      </x:c>
      <x:c r="C4991" s="274" t="n">
        <x:v>0</x:v>
      </x:c>
      <x:c r="D4991" s="274" t="n">
        <x:v>0</x:v>
      </x:c>
      <x:c r="F4991" s="274" t="s">
        <x:v>133</x:v>
      </x:c>
      <x:c r="G4991" s="274" t="s">
        <x:v>134</x:v>
      </x:c>
      <x:c r="I4991" s="274" t="n">
        <x:v>1.6</x:v>
      </x:c>
      <x:c r="J4991" s="274" t="n">
        <x:v>252</x:v>
      </x:c>
      <x:c r="K4991" s="274" t="n">
        <x:v>675</x:v>
      </x:c>
      <x:c r="M4991" s="274" t="s">
        <x:v>8806</x:v>
      </x:c>
      <x:c r="N4991" s="274" t="s">
        <x:v>162</x:v>
      </x:c>
    </x:row>
    <x:row r="4992" spans="1:14">
      <x:c r="A4992" s="274" t="s">
        <x:v>8807</x:v>
      </x:c>
      <x:c r="B4992" s="274" t="n">
        <x:v>4.84</x:v>
      </x:c>
      <x:c r="C4992" s="274" t="n">
        <x:v>0</x:v>
      </x:c>
      <x:c r="D4992" s="274" t="n">
        <x:v>0</x:v>
      </x:c>
      <x:c r="F4992" s="274" t="s">
        <x:v>133</x:v>
      </x:c>
      <x:c r="G4992" s="274" t="s">
        <x:v>134</x:v>
      </x:c>
      <x:c r="I4992" s="274" t="n">
        <x:v>1.6</x:v>
      </x:c>
      <x:c r="J4992" s="274" t="n">
        <x:v>252</x:v>
      </x:c>
      <x:c r="K4992" s="274" t="n">
        <x:v>1530</x:v>
      </x:c>
      <x:c r="M4992" s="274" t="s">
        <x:v>8808</x:v>
      </x:c>
      <x:c r="N4992" s="274" t="s">
        <x:v>162</x:v>
      </x:c>
    </x:row>
    <x:row r="4993" spans="1:14">
      <x:c r="A4993" s="274" t="s">
        <x:v>8809</x:v>
      </x:c>
      <x:c r="B4993" s="274" t="n">
        <x:v>0.44</x:v>
      </x:c>
      <x:c r="C4993" s="274" t="n">
        <x:v>0</x:v>
      </x:c>
      <x:c r="D4993" s="274" t="n">
        <x:v>0</x:v>
      </x:c>
      <x:c r="F4993" s="274" t="s">
        <x:v>133</x:v>
      </x:c>
      <x:c r="G4993" s="274" t="s">
        <x:v>134</x:v>
      </x:c>
      <x:c r="I4993" s="274" t="n">
        <x:v>2</x:v>
      </x:c>
      <x:c r="J4993" s="274" t="n">
        <x:v>26</x:v>
      </x:c>
      <x:c r="K4993" s="274" t="n">
        <x:v>1085</x:v>
      </x:c>
      <x:c r="M4993" s="274" t="s">
        <x:v>8810</x:v>
      </x:c>
      <x:c r="N4993" s="274" t="s">
        <x:v>409</x:v>
      </x:c>
    </x:row>
    <x:row r="4994" spans="1:14">
      <x:c r="A4994" s="274" t="s">
        <x:v>8811</x:v>
      </x:c>
      <x:c r="B4994" s="274" t="n">
        <x:v>0.94</x:v>
      </x:c>
      <x:c r="C4994" s="274" t="n">
        <x:v>0</x:v>
      </x:c>
      <x:c r="D4994" s="274" t="n">
        <x:v>0</x:v>
      </x:c>
      <x:c r="F4994" s="274" t="s">
        <x:v>133</x:v>
      </x:c>
      <x:c r="G4994" s="274" t="s">
        <x:v>134</x:v>
      </x:c>
      <x:c r="I4994" s="274" t="n">
        <x:v>2</x:v>
      </x:c>
      <x:c r="J4994" s="274" t="n">
        <x:v>55</x:v>
      </x:c>
      <x:c r="K4994" s="274" t="n">
        <x:v>1085</x:v>
      </x:c>
      <x:c r="M4994" s="274" t="s">
        <x:v>8812</x:v>
      </x:c>
      <x:c r="N4994" s="274" t="s">
        <x:v>363</x:v>
      </x:c>
    </x:row>
    <x:row r="4995" spans="1:14">
      <x:c r="A4995" s="274" t="s">
        <x:v>8813</x:v>
      </x:c>
      <x:c r="B4995" s="274" t="n">
        <x:v>11.63</x:v>
      </x:c>
      <x:c r="C4995" s="274" t="n">
        <x:v>0</x:v>
      </x:c>
      <x:c r="D4995" s="274" t="n">
        <x:v>30</x:v>
      </x:c>
      <x:c r="E4995" s="274" t="n">
        <x:v>40</x:v>
      </x:c>
      <x:c r="F4995" s="274" t="s">
        <x:v>133</x:v>
      </x:c>
      <x:c r="G4995" s="274" t="s">
        <x:v>134</x:v>
      </x:c>
      <x:c r="I4995" s="274" t="n">
        <x:v>2</x:v>
      </x:c>
      <x:c r="J4995" s="274" t="n">
        <x:v>1085</x:v>
      </x:c>
      <x:c r="K4995" s="274" t="n">
        <x:v>683</x:v>
      </x:c>
      <x:c r="M4995" s="274" t="s">
        <x:v>8814</x:v>
      </x:c>
      <x:c r="N4995" s="274" t="s">
        <x:v>8815</x:v>
      </x:c>
    </x:row>
    <x:row r="4996" spans="1:14">
      <x:c r="A4996" s="274" t="s">
        <x:v>8816</x:v>
      </x:c>
      <x:c r="B4996" s="274" t="n">
        <x:v>0.38</x:v>
      </x:c>
      <x:c r="C4996" s="274" t="n">
        <x:v>0</x:v>
      </x:c>
      <x:c r="D4996" s="274" t="n">
        <x:v>0</x:v>
      </x:c>
      <x:c r="F4996" s="274" t="s">
        <x:v>133</x:v>
      </x:c>
      <x:c r="G4996" s="274" t="s">
        <x:v>134</x:v>
      </x:c>
      <x:c r="I4996" s="274" t="n">
        <x:v>2.8</x:v>
      </x:c>
      <x:c r="J4996" s="274" t="n">
        <x:v>128</x:v>
      </x:c>
      <x:c r="K4996" s="274" t="n">
        <x:v>135</x:v>
      </x:c>
      <x:c r="M4996" s="274" t="s">
        <x:v>8817</x:v>
      </x:c>
      <x:c r="N4996" s="274" t="s">
        <x:v>126</x:v>
      </x:c>
    </x:row>
    <x:row r="4997" spans="1:14">
      <x:c r="A4997" s="274" t="s">
        <x:v>8818</x:v>
      </x:c>
      <x:c r="B4997" s="274" t="n">
        <x:v>1.21</x:v>
      </x:c>
      <x:c r="C4997" s="274" t="n">
        <x:v>0</x:v>
      </x:c>
      <x:c r="D4997" s="274" t="n">
        <x:v>0</x:v>
      </x:c>
      <x:c r="F4997" s="274" t="s">
        <x:v>133</x:v>
      </x:c>
      <x:c r="G4997" s="274" t="s">
        <x:v>134</x:v>
      </x:c>
      <x:c r="I4997" s="274" t="n">
        <x:v>3.8</x:v>
      </x:c>
      <x:c r="J4997" s="274" t="n">
        <x:v>165</x:v>
      </x:c>
      <x:c r="K4997" s="274" t="n">
        <x:v>245</x:v>
      </x:c>
      <x:c r="M4997" s="274" t="s">
        <x:v>8819</x:v>
      </x:c>
      <x:c r="N4997" s="274" t="s">
        <x:v>126</x:v>
      </x:c>
    </x:row>
    <x:row r="4998" spans="1:14">
      <x:c r="A4998" s="274" t="s">
        <x:v>8820</x:v>
      </x:c>
      <x:c r="B4998" s="274" t="n">
        <x:v>2.4</x:v>
      </x:c>
      <x:c r="C4998" s="274" t="n">
        <x:v>0</x:v>
      </x:c>
      <x:c r="D4998" s="274" t="n">
        <x:v>0</x:v>
      </x:c>
      <x:c r="F4998" s="274" t="s">
        <x:v>133</x:v>
      </x:c>
      <x:c r="G4998" s="274" t="s">
        <x:v>134</x:v>
      </x:c>
      <x:c r="I4998" s="274" t="n">
        <x:v>5</x:v>
      </x:c>
      <x:c r="J4998" s="274" t="n">
        <x:v>126</x:v>
      </x:c>
      <x:c r="K4998" s="274" t="n">
        <x:v>485</x:v>
      </x:c>
      <x:c r="M4998" s="274" t="s">
        <x:v>8821</x:v>
      </x:c>
      <x:c r="N4998" s="274" t="s">
        <x:v>363</x:v>
      </x:c>
    </x:row>
    <x:row r="4999" spans="1:14">
      <x:c r="A4999" s="274" t="s">
        <x:v>8822</x:v>
      </x:c>
      <x:c r="B4999" s="274" t="n">
        <x:v>14.37</x:v>
      </x:c>
      <x:c r="C4999" s="274" t="n">
        <x:v>0</x:v>
      </x:c>
      <x:c r="D4999" s="274" t="n">
        <x:v>0</x:v>
      </x:c>
      <x:c r="F4999" s="274" t="s">
        <x:v>133</x:v>
      </x:c>
      <x:c r="G4999" s="274" t="s">
        <x:v>1170</x:v>
      </x:c>
      <x:c r="I4999" s="274" t="n">
        <x:v>8</x:v>
      </x:c>
      <x:c r="J4999" s="274" t="n">
        <x:v>398</x:v>
      </x:c>
      <x:c r="K4999" s="274" t="n">
        <x:v>575</x:v>
      </x:c>
      <x:c r="M4999" s="274" t="s">
        <x:v>3368</x:v>
      </x:c>
      <x:c r="N4999" s="274" t="s">
        <x:v>162</x:v>
      </x:c>
    </x:row>
    <x:row r="5000" spans="1:14">
      <x:c r="A5000" s="274" t="s">
        <x:v>8823</x:v>
      </x:c>
      <x:c r="B5000" s="274" t="n">
        <x:v>1.66</x:v>
      </x:c>
      <x:c r="C5000" s="274" t="n">
        <x:v>0</x:v>
      </x:c>
      <x:c r="D5000" s="274" t="n">
        <x:v>0</x:v>
      </x:c>
      <x:c r="F5000" s="274" t="s">
        <x:v>133</x:v>
      </x:c>
      <x:c r="G5000" s="274" t="s">
        <x:v>148</x:v>
      </x:c>
      <x:c r="I5000" s="274" t="n">
        <x:v>2</x:v>
      </x:c>
      <x:c r="J5000" s="274" t="n">
        <x:v>88</x:v>
      </x:c>
      <x:c r="K5000" s="274" t="n">
        <x:v>1200</x:v>
      </x:c>
      <x:c r="M5000" s="274" t="s">
        <x:v>8824</x:v>
      </x:c>
      <x:c r="N5000" s="274" t="s">
        <x:v>126</x:v>
      </x:c>
    </x:row>
    <x:row r="5001" spans="1:14">
      <x:c r="A5001" s="274" t="s">
        <x:v>8825</x:v>
      </x:c>
      <x:c r="B5001" s="274" t="n">
        <x:v>4.78</x:v>
      </x:c>
      <x:c r="C5001" s="274" t="n">
        <x:v>0</x:v>
      </x:c>
      <x:c r="D5001" s="274" t="n">
        <x:v>0</x:v>
      </x:c>
      <x:c r="F5001" s="274" t="s">
        <x:v>133</x:v>
      </x:c>
      <x:c r="G5001" s="274" t="s">
        <x:v>148</x:v>
      </x:c>
      <x:c r="I5001" s="274" t="n">
        <x:v>2.9</x:v>
      </x:c>
      <x:c r="J5001" s="274" t="n">
        <x:v>330</x:v>
      </x:c>
      <x:c r="K5001" s="274" t="n">
        <x:v>636</x:v>
      </x:c>
      <x:c r="M5001" s="274" t="s">
        <x:v>8826</x:v>
      </x:c>
      <x:c r="N5001" s="274" t="s">
        <x:v>126</x:v>
      </x:c>
    </x:row>
    <x:row r="5002" spans="1:14">
      <x:c r="A5002" s="274" t="s">
        <x:v>8827</x:v>
      </x:c>
      <x:c r="B5002" s="274" t="n">
        <x:v>1.67</x:v>
      </x:c>
      <x:c r="C5002" s="274" t="n">
        <x:v>0</x:v>
      </x:c>
      <x:c r="D5002" s="274" t="n">
        <x:v>0</x:v>
      </x:c>
      <x:c r="F5002" s="274" t="s">
        <x:v>133</x:v>
      </x:c>
      <x:c r="G5002" s="274" t="s">
        <x:v>148</x:v>
      </x:c>
      <x:c r="I5002" s="274" t="n">
        <x:v>3.2</x:v>
      </x:c>
      <x:c r="J5002" s="274" t="n">
        <x:v>61</x:v>
      </x:c>
      <x:c r="K5002" s="274" t="n">
        <x:v>1090</x:v>
      </x:c>
      <x:c r="M5002" s="274" t="s">
        <x:v>8828</x:v>
      </x:c>
      <x:c r="N5002" s="274" t="s">
        <x:v>162</x:v>
      </x:c>
    </x:row>
    <x:row r="5003" spans="1:14">
      <x:c r="A5003" s="274" t="s">
        <x:v>8829</x:v>
      </x:c>
      <x:c r="B5003" s="274" t="n">
        <x:v>2.72</x:v>
      </x:c>
      <x:c r="C5003" s="274" t="n">
        <x:v>0</x:v>
      </x:c>
      <x:c r="D5003" s="274" t="n">
        <x:v>0</x:v>
      </x:c>
      <x:c r="F5003" s="274" t="s">
        <x:v>133</x:v>
      </x:c>
      <x:c r="G5003" s="274" t="s">
        <x:v>148</x:v>
      </x:c>
      <x:c r="I5003" s="274" t="n">
        <x:v>3.2</x:v>
      </x:c>
      <x:c r="J5003" s="274" t="n">
        <x:v>272</x:v>
      </x:c>
      <x:c r="K5003" s="274" t="n">
        <x:v>398</x:v>
      </x:c>
      <x:c r="M5003" s="274" t="s">
        <x:v>8830</x:v>
      </x:c>
    </x:row>
    <x:row r="5004" spans="1:14">
      <x:c r="A5004" s="274" t="s">
        <x:v>8831</x:v>
      </x:c>
      <x:c r="B5004" s="274" t="n">
        <x:v>11</x:v>
      </x:c>
      <x:c r="C5004" s="274" t="n">
        <x:v>0</x:v>
      </x:c>
      <x:c r="D5004" s="274" t="n">
        <x:v>30</x:v>
      </x:c>
      <x:c r="E5004" s="274" t="n">
        <x:v>40</x:v>
      </x:c>
      <x:c r="F5004" s="274" t="s">
        <x:v>133</x:v>
      </x:c>
      <x:c r="G5004" s="274" t="s">
        <x:v>148</x:v>
      </x:c>
      <x:c r="I5004" s="274" t="n">
        <x:v>3.2</x:v>
      </x:c>
      <x:c r="J5004" s="274" t="n">
        <x:v>1095</x:v>
      </x:c>
      <x:c r="K5004" s="274" t="n">
        <x:v>400</x:v>
      </x:c>
      <x:c r="M5004" s="274" t="s">
        <x:v>8832</x:v>
      </x:c>
      <x:c r="N5004" s="274" t="s">
        <x:v>162</x:v>
      </x:c>
    </x:row>
    <x:row r="5005" spans="1:14">
      <x:c r="A5005" s="274" t="s">
        <x:v>8833</x:v>
      </x:c>
      <x:c r="B5005" s="274" t="n">
        <x:v>1.75</x:v>
      </x:c>
      <x:c r="C5005" s="274" t="n">
        <x:v>0</x:v>
      </x:c>
      <x:c r="D5005" s="274" t="n">
        <x:v>0</x:v>
      </x:c>
      <x:c r="F5005" s="274" t="s">
        <x:v>133</x:v>
      </x:c>
      <x:c r="G5005" s="274" t="s">
        <x:v>148</x:v>
      </x:c>
      <x:c r="I5005" s="274" t="n">
        <x:v>3.6</x:v>
      </x:c>
      <x:c r="J5005" s="274" t="n">
        <x:v>146</x:v>
      </x:c>
      <x:c r="K5005" s="274" t="n">
        <x:v>425</x:v>
      </x:c>
      <x:c r="M5005" s="274" t="s">
        <x:v>8834</x:v>
      </x:c>
      <x:c r="N5005" s="274" t="s">
        <x:v>126</x:v>
      </x:c>
    </x:row>
    <x:row r="5006" spans="1:14">
      <x:c r="A5006" s="274" t="s">
        <x:v>8835</x:v>
      </x:c>
      <x:c r="B5006" s="274" t="n">
        <x:v>5.32</x:v>
      </x:c>
      <x:c r="C5006" s="274" t="n">
        <x:v>0</x:v>
      </x:c>
      <x:c r="D5006" s="274" t="n">
        <x:v>0</x:v>
      </x:c>
      <x:c r="F5006" s="274" t="s">
        <x:v>133</x:v>
      </x:c>
      <x:c r="G5006" s="274" t="s">
        <x:v>148</x:v>
      </x:c>
      <x:c r="I5006" s="274" t="n">
        <x:v>3.6</x:v>
      </x:c>
      <x:c r="J5006" s="274" t="n">
        <x:v>330</x:v>
      </x:c>
      <x:c r="K5006" s="274" t="n">
        <x:v>570</x:v>
      </x:c>
      <x:c r="M5006" s="274" t="s">
        <x:v>8836</x:v>
      </x:c>
      <x:c r="N5006" s="274" t="s">
        <x:v>126</x:v>
      </x:c>
    </x:row>
    <x:row r="5007" spans="1:14">
      <x:c r="A5007" s="274" t="s">
        <x:v>8837</x:v>
      </x:c>
      <x:c r="B5007" s="274" t="n">
        <x:v>4.22</x:v>
      </x:c>
      <x:c r="C5007" s="274" t="n">
        <x:v>0</x:v>
      </x:c>
      <x:c r="D5007" s="274" t="n">
        <x:v>0</x:v>
      </x:c>
      <x:c r="F5007" s="274" t="s">
        <x:v>133</x:v>
      </x:c>
      <x:c r="G5007" s="274" t="s">
        <x:v>148</x:v>
      </x:c>
      <x:c r="I5007" s="274" t="n">
        <x:v>3.6</x:v>
      </x:c>
      <x:c r="J5007" s="274" t="n">
        <x:v>975</x:v>
      </x:c>
      <x:c r="K5007" s="274" t="n">
        <x:v>153</x:v>
      </x:c>
      <x:c r="M5007" s="274" t="s">
        <x:v>8838</x:v>
      </x:c>
      <x:c r="N5007" s="274" t="s">
        <x:v>162</x:v>
      </x:c>
    </x:row>
    <x:row r="5008" spans="1:14">
      <x:c r="A5008" s="274" t="s">
        <x:v>8839</x:v>
      </x:c>
      <x:c r="B5008" s="274" t="n">
        <x:v>3.79</x:v>
      </x:c>
      <x:c r="C5008" s="274" t="n">
        <x:v>0</x:v>
      </x:c>
      <x:c r="D5008" s="274" t="n">
        <x:v>0</x:v>
      </x:c>
      <x:c r="F5008" s="274" t="s">
        <x:v>133</x:v>
      </x:c>
      <x:c r="G5008" s="274" t="s">
        <x:v>148</x:v>
      </x:c>
      <x:c r="I5008" s="274" t="n">
        <x:v>3.8</x:v>
      </x:c>
      <x:c r="J5008" s="274" t="n">
        <x:v>210</x:v>
      </x:c>
      <x:c r="K5008" s="274" t="n">
        <x:v>605</x:v>
      </x:c>
      <x:c r="M5008" s="274" t="s">
        <x:v>8840</x:v>
      </x:c>
      <x:c r="N5008" s="274" t="s">
        <x:v>126</x:v>
      </x:c>
    </x:row>
    <x:row r="5009" spans="1:14">
      <x:c r="A5009" s="274" t="s">
        <x:v>8841</x:v>
      </x:c>
      <x:c r="B5009" s="274" t="n">
        <x:v>3.88</x:v>
      </x:c>
      <x:c r="C5009" s="274" t="n">
        <x:v>0</x:v>
      </x:c>
      <x:c r="D5009" s="274" t="n">
        <x:v>0</x:v>
      </x:c>
      <x:c r="F5009" s="274" t="s">
        <x:v>133</x:v>
      </x:c>
      <x:c r="G5009" s="274" t="s">
        <x:v>148</x:v>
      </x:c>
      <x:c r="I5009" s="274" t="n">
        <x:v>4.5</x:v>
      </x:c>
      <x:c r="J5009" s="274" t="n">
        <x:v>545</x:v>
      </x:c>
      <x:c r="K5009" s="274" t="n">
        <x:v>423</x:v>
      </x:c>
      <x:c r="M5009" s="274" t="s">
        <x:v>8842</x:v>
      </x:c>
      <x:c r="N5009" s="274" t="s">
        <x:v>162</x:v>
      </x:c>
    </x:row>
    <x:row r="5010" spans="1:14">
      <x:c r="A5010" s="274" t="s">
        <x:v>8843</x:v>
      </x:c>
      <x:c r="B5010" s="274" t="n">
        <x:v>12.4</x:v>
      </x:c>
      <x:c r="C5010" s="274" t="n">
        <x:v>0</x:v>
      </x:c>
      <x:c r="D5010" s="274" t="n">
        <x:v>0</x:v>
      </x:c>
      <x:c r="F5010" s="274" t="s">
        <x:v>133</x:v>
      </x:c>
      <x:c r="G5010" s="274" t="s">
        <x:v>148</x:v>
      </x:c>
      <x:c r="I5010" s="274" t="n">
        <x:v>5</x:v>
      </x:c>
      <x:c r="J5010" s="274" t="n">
        <x:v>294</x:v>
      </x:c>
      <x:c r="K5010" s="274" t="n">
        <x:v>1075</x:v>
      </x:c>
      <x:c r="M5010" s="274" t="s">
        <x:v>8844</x:v>
      </x:c>
      <x:c r="N5010" s="274" t="s">
        <x:v>162</x:v>
      </x:c>
    </x:row>
    <x:row r="5011" spans="1:14">
      <x:c r="A5011" s="274" t="s">
        <x:v>8845</x:v>
      </x:c>
      <x:c r="B5011" s="274" t="n">
        <x:v>9.35</x:v>
      </x:c>
      <x:c r="C5011" s="274" t="n">
        <x:v>0</x:v>
      </x:c>
      <x:c r="D5011" s="274" t="n">
        <x:v>0</x:v>
      </x:c>
      <x:c r="F5011" s="274" t="s">
        <x:v>133</x:v>
      </x:c>
      <x:c r="G5011" s="274" t="s">
        <x:v>148</x:v>
      </x:c>
      <x:c r="I5011" s="274" t="n">
        <x:v>6</x:v>
      </x:c>
      <x:c r="J5011" s="274" t="n">
        <x:v>598</x:v>
      </x:c>
      <x:c r="K5011" s="274" t="n">
        <x:v>332</x:v>
      </x:c>
      <x:c r="M5011" s="274" t="s">
        <x:v>8846</x:v>
      </x:c>
      <x:c r="N5011" s="274" t="s">
        <x:v>162</x:v>
      </x:c>
    </x:row>
    <x:row r="5012" spans="1:14">
      <x:c r="A5012" s="274" t="s">
        <x:v>8847</x:v>
      </x:c>
      <x:c r="B5012" s="274" t="n">
        <x:v>2.2</x:v>
      </x:c>
      <x:c r="C5012" s="274" t="n">
        <x:v>0</x:v>
      </x:c>
      <x:c r="D5012" s="274" t="n">
        <x:v>35</x:v>
      </x:c>
      <x:c r="E5012" s="274" t="n">
        <x:v>33</x:v>
      </x:c>
      <x:c r="F5012" s="274" t="s">
        <x:v>128</x:v>
      </x:c>
      <x:c r="G5012" s="274" t="s">
        <x:v>3314</x:v>
      </x:c>
      <x:c r="H5012" s="274" t="n">
        <x:v>45</x:v>
      </x:c>
      <x:c r="I5012" s="274" t="n">
        <x:v>2</x:v>
      </x:c>
      <x:c r="J5012" s="274" t="n">
        <x:v>394</x:v>
      </x:c>
      <x:c r="K5012" s="274" t="n">
        <x:v>354</x:v>
      </x:c>
      <x:c r="M5012" s="274" t="s">
        <x:v>3315</x:v>
      </x:c>
      <x:c r="N5012" s="274" t="s">
        <x:v>162</x:v>
      </x:c>
    </x:row>
    <x:row r="5013" spans="1:14">
      <x:c r="A5013" s="274" t="s">
        <x:v>8848</x:v>
      </x:c>
      <x:c r="B5013" s="274" t="n">
        <x:v>1.05</x:v>
      </x:c>
      <x:c r="C5013" s="274" t="n">
        <x:v>0</x:v>
      </x:c>
      <x:c r="D5013" s="274" t="n">
        <x:v>0</x:v>
      </x:c>
      <x:c r="F5013" s="274" t="s">
        <x:v>133</x:v>
      </x:c>
      <x:c r="G5013" s="274" t="s">
        <x:v>136</x:v>
      </x:c>
      <x:c r="H5013" s="274" t="n">
        <x:v>45</x:v>
      </x:c>
      <x:c r="I5013" s="274" t="n">
        <x:v>0.9</x:v>
      </x:c>
      <x:c r="J5013" s="274" t="n">
        <x:v>860</x:v>
      </x:c>
      <x:c r="K5013" s="274" t="n">
        <x:v>170</x:v>
      </x:c>
      <x:c r="M5013" s="274" t="s">
        <x:v>8849</x:v>
      </x:c>
      <x:c r="N5013" s="274" t="s">
        <x:v>162</x:v>
      </x:c>
    </x:row>
    <x:row r="5014" spans="1:14">
      <x:c r="A5014" s="274" t="s">
        <x:v>8850</x:v>
      </x:c>
      <x:c r="B5014" s="274" t="n">
        <x:v>0.08</x:v>
      </x:c>
      <x:c r="C5014" s="274" t="n">
        <x:v>35</x:v>
      </x:c>
      <x:c r="D5014" s="274" t="n">
        <x:v>35</x:v>
      </x:c>
      <x:c r="E5014" s="274" t="n">
        <x:v>33</x:v>
      </x:c>
      <x:c r="F5014" s="274" t="s">
        <x:v>123</x:v>
      </x:c>
      <x:c r="G5014" s="274" t="s">
        <x:v>209</x:v>
      </x:c>
      <x:c r="I5014" s="274" t="n">
        <x:v>1</x:v>
      </x:c>
      <x:c r="J5014" s="274" t="n">
        <x:v>120</x:v>
      </x:c>
      <x:c r="K5014" s="274" t="n">
        <x:v>87</x:v>
      </x:c>
      <x:c r="M5014" s="274" t="s">
        <x:v>3317</x:v>
      </x:c>
      <x:c r="N5014" s="274" t="s">
        <x:v>162</x:v>
      </x:c>
    </x:row>
    <x:row r="5015" spans="1:14">
      <x:c r="A5015" s="274" t="s">
        <x:v>8851</x:v>
      </x:c>
      <x:c r="B5015" s="274" t="n">
        <x:v>4.4</x:v>
      </x:c>
      <x:c r="C5015" s="274" t="n">
        <x:v>0</x:v>
      </x:c>
      <x:c r="D5015" s="274" t="n">
        <x:v>0</x:v>
      </x:c>
      <x:c r="F5015" s="274" t="s">
        <x:v>123</x:v>
      </x:c>
      <x:c r="G5015" s="274" t="s">
        <x:v>209</x:v>
      </x:c>
      <x:c r="I5015" s="274" t="n">
        <x:v>1.6</x:v>
      </x:c>
      <x:c r="J5015" s="274" t="n">
        <x:v>358</x:v>
      </x:c>
      <x:c r="K5015" s="274" t="n">
        <x:v>978</x:v>
      </x:c>
      <x:c r="M5015" s="274" t="s">
        <x:v>8852</x:v>
      </x:c>
      <x:c r="N5015" s="274" t="s">
        <x:v>162</x:v>
      </x:c>
    </x:row>
    <x:row r="5016" spans="1:14">
      <x:c r="A5016" s="274" t="s">
        <x:v>8853</x:v>
      </x:c>
      <x:c r="B5016" s="274" t="n">
        <x:v>9.07</x:v>
      </x:c>
      <x:c r="C5016" s="274" t="n">
        <x:v>0</x:v>
      </x:c>
      <x:c r="D5016" s="274" t="n">
        <x:v>0</x:v>
      </x:c>
      <x:c r="F5016" s="274" t="s">
        <x:v>133</x:v>
      </x:c>
      <x:c r="G5016" s="274" t="s">
        <x:v>148</x:v>
      </x:c>
      <x:c r="I5016" s="274" t="n">
        <x:v>5</x:v>
      </x:c>
      <x:c r="J5016" s="274" t="n">
        <x:v>185</x:v>
      </x:c>
      <x:c r="K5016" s="274" t="n">
        <x:v>1250</x:v>
      </x:c>
      <x:c r="M5016" s="274" t="s">
        <x:v>8854</x:v>
      </x:c>
      <x:c r="N5016" s="274" t="s">
        <x:v>162</x:v>
      </x:c>
    </x:row>
    <x:row r="5017" spans="1:14">
      <x:c r="A5017" s="274" t="s">
        <x:v>8855</x:v>
      </x:c>
      <x:c r="B5017" s="274" t="n">
        <x:v>13.05</x:v>
      </x:c>
      <x:c r="C5017" s="274" t="n">
        <x:v>0</x:v>
      </x:c>
      <x:c r="D5017" s="274" t="n">
        <x:v>0</x:v>
      </x:c>
      <x:c r="F5017" s="274" t="s">
        <x:v>133</x:v>
      </x:c>
      <x:c r="G5017" s="274" t="s">
        <x:v>148</x:v>
      </x:c>
      <x:c r="I5017" s="274" t="n">
        <x:v>5</x:v>
      </x:c>
      <x:c r="J5017" s="274" t="n">
        <x:v>266</x:v>
      </x:c>
      <x:c r="K5017" s="274" t="n">
        <x:v>1250</x:v>
      </x:c>
      <x:c r="M5017" s="274" t="s">
        <x:v>8856</x:v>
      </x:c>
      <x:c r="N5017" s="274" t="s">
        <x:v>162</x:v>
      </x:c>
    </x:row>
    <x:row r="5018" spans="1:14">
      <x:c r="A5018" s="274" t="s">
        <x:v>8857</x:v>
      </x:c>
      <x:c r="B5018" s="274" t="n">
        <x:v>3.89</x:v>
      </x:c>
      <x:c r="C5018" s="274" t="n">
        <x:v>0</x:v>
      </x:c>
      <x:c r="D5018" s="274" t="n">
        <x:v>0</x:v>
      </x:c>
      <x:c r="F5018" s="274" t="s">
        <x:v>133</x:v>
      </x:c>
      <x:c r="G5018" s="274" t="s">
        <x:v>134</x:v>
      </x:c>
      <x:c r="I5018" s="274" t="n">
        <x:v>2</x:v>
      </x:c>
      <x:c r="J5018" s="274" t="n">
        <x:v>258</x:v>
      </x:c>
      <x:c r="K5018" s="274" t="n">
        <x:v>960</x:v>
      </x:c>
      <x:c r="M5018" s="274" t="s">
        <x:v>8858</x:v>
      </x:c>
      <x:c r="N5018" s="274" t="s">
        <x:v>207</x:v>
      </x:c>
    </x:row>
    <x:row r="5019" spans="1:14">
      <x:c r="A5019" s="274" t="s">
        <x:v>8859</x:v>
      </x:c>
      <x:c r="B5019" s="274" t="n">
        <x:v>1.01</x:v>
      </x:c>
      <x:c r="C5019" s="274" t="n">
        <x:v>0</x:v>
      </x:c>
      <x:c r="D5019" s="274" t="n">
        <x:v>0</x:v>
      </x:c>
      <x:c r="F5019" s="274" t="s">
        <x:v>133</x:v>
      </x:c>
      <x:c r="G5019" s="274" t="s">
        <x:v>136</x:v>
      </x:c>
      <x:c r="H5019" s="274" t="n">
        <x:v>45</x:v>
      </x:c>
      <x:c r="I5019" s="274" t="n">
        <x:v>0.65</x:v>
      </x:c>
      <x:c r="J5019" s="274" t="n">
        <x:v>209</x:v>
      </x:c>
      <x:c r="K5019" s="274" t="n">
        <x:v>925</x:v>
      </x:c>
      <x:c r="M5019" s="274" t="s">
        <x:v>8764</x:v>
      </x:c>
    </x:row>
    <x:row r="5020" spans="1:14">
      <x:c r="A5020" s="274" t="s">
        <x:v>8860</x:v>
      </x:c>
      <x:c r="B5020" s="274" t="n">
        <x:v>3.8</x:v>
      </x:c>
      <x:c r="C5020" s="274" t="n">
        <x:v>0</x:v>
      </x:c>
      <x:c r="D5020" s="274" t="n">
        <x:v>0</x:v>
      </x:c>
      <x:c r="F5020" s="274" t="s">
        <x:v>133</x:v>
      </x:c>
      <x:c r="G5020" s="274" t="s">
        <x:v>136</x:v>
      </x:c>
      <x:c r="H5020" s="274" t="n">
        <x:v>45</x:v>
      </x:c>
      <x:c r="I5020" s="274" t="n">
        <x:v>0.65</x:v>
      </x:c>
      <x:c r="J5020" s="274" t="n">
        <x:v>490</x:v>
      </x:c>
      <x:c r="K5020" s="274" t="n">
        <x:v>1495</x:v>
      </x:c>
      <x:c r="M5020" s="274" t="s">
        <x:v>8861</x:v>
      </x:c>
      <x:c r="N5020" s="274" t="s">
        <x:v>202</x:v>
      </x:c>
    </x:row>
    <x:row r="5021" spans="1:14">
      <x:c r="A5021" s="274" t="s">
        <x:v>8862</x:v>
      </x:c>
      <x:c r="B5021" s="274" t="n">
        <x:v>39.06</x:v>
      </x:c>
      <x:c r="C5021" s="274" t="n">
        <x:v>0</x:v>
      </x:c>
      <x:c r="D5021" s="274" t="n">
        <x:v>30</x:v>
      </x:c>
      <x:c r="E5021" s="274" t="n">
        <x:v>40</x:v>
      </x:c>
      <x:c r="F5021" s="274" t="s">
        <x:v>133</x:v>
      </x:c>
      <x:c r="G5021" s="274" t="s">
        <x:v>148</x:v>
      </x:c>
      <x:c r="I5021" s="274" t="n">
        <x:v>3.2</x:v>
      </x:c>
      <x:c r="J5021" s="274" t="n">
        <x:v>1095</x:v>
      </x:c>
      <x:c r="K5021" s="274" t="n">
        <x:v>1420</x:v>
      </x:c>
      <x:c r="M5021" s="274" t="s">
        <x:v>8863</x:v>
      </x:c>
      <x:c r="N5021" s="274" t="s">
        <x:v>126</x:v>
      </x:c>
    </x:row>
    <x:row r="5022" spans="1:14">
      <x:c r="A5022" s="274" t="s">
        <x:v>8864</x:v>
      </x:c>
      <x:c r="B5022" s="274" t="n">
        <x:v>2.26</x:v>
      </x:c>
      <x:c r="C5022" s="274" t="n">
        <x:v>0</x:v>
      </x:c>
      <x:c r="D5022" s="274" t="n">
        <x:v>0</x:v>
      </x:c>
      <x:c r="F5022" s="274" t="s">
        <x:v>133</x:v>
      </x:c>
      <x:c r="G5022" s="274" t="s">
        <x:v>148</x:v>
      </x:c>
      <x:c r="I5022" s="274" t="n">
        <x:v>2.3</x:v>
      </x:c>
      <x:c r="J5022" s="274" t="n">
        <x:v>212</x:v>
      </x:c>
      <x:c r="K5022" s="274" t="n">
        <x:v>590</x:v>
      </x:c>
      <x:c r="M5022" s="274" t="s">
        <x:v>4031</x:v>
      </x:c>
      <x:c r="N5022" s="274" t="s">
        <x:v>162</x:v>
      </x:c>
    </x:row>
    <x:row r="5023" spans="1:14">
      <x:c r="A5023" s="274" t="s">
        <x:v>8865</x:v>
      </x:c>
      <x:c r="B5023" s="274" t="n">
        <x:v>1.19</x:v>
      </x:c>
      <x:c r="C5023" s="274" t="n">
        <x:v>0</x:v>
      </x:c>
      <x:c r="D5023" s="274" t="n">
        <x:v>0</x:v>
      </x:c>
      <x:c r="F5023" s="274" t="s">
        <x:v>133</x:v>
      </x:c>
      <x:c r="G5023" s="274" t="s">
        <x:v>136</x:v>
      </x:c>
      <x:c r="H5023" s="274" t="n">
        <x:v>45</x:v>
      </x:c>
      <x:c r="I5023" s="274" t="n">
        <x:v>0.65</x:v>
      </x:c>
      <x:c r="J5023" s="274" t="n">
        <x:v>230</x:v>
      </x:c>
      <x:c r="K5023" s="274" t="n">
        <x:v>1000</x:v>
      </x:c>
      <x:c r="M5023" s="274" t="s">
        <x:v>8866</x:v>
      </x:c>
      <x:c r="N5023" s="274" t="s">
        <x:v>162</x:v>
      </x:c>
    </x:row>
    <x:row r="5024" spans="1:14">
      <x:c r="A5024" s="274" t="s">
        <x:v>8867</x:v>
      </x:c>
      <x:c r="B5024" s="274" t="n">
        <x:v>0.31</x:v>
      </x:c>
      <x:c r="C5024" s="274" t="n">
        <x:v>0</x:v>
      </x:c>
      <x:c r="D5024" s="274" t="n">
        <x:v>35</x:v>
      </x:c>
      <x:c r="E5024" s="274" t="n">
        <x:v>33</x:v>
      </x:c>
      <x:c r="F5024" s="274" t="s">
        <x:v>123</x:v>
      </x:c>
      <x:c r="G5024" s="274" t="s">
        <x:v>209</x:v>
      </x:c>
      <x:c r="I5024" s="274" t="n">
        <x:v>1.8</x:v>
      </x:c>
      <x:c r="J5024" s="274" t="n">
        <x:v>115</x:v>
      </x:c>
      <x:c r="K5024" s="274" t="n">
        <x:v>190</x:v>
      </x:c>
      <x:c r="M5024" s="274" t="s">
        <x:v>3319</x:v>
      </x:c>
      <x:c r="N5024" s="274" t="s">
        <x:v>162</x:v>
      </x:c>
    </x:row>
    <x:row r="5025" spans="1:14">
      <x:c r="A5025" s="274" t="s">
        <x:v>8868</x:v>
      </x:c>
      <x:c r="B5025" s="274" t="n">
        <x:v>2.48</x:v>
      </x:c>
      <x:c r="C5025" s="274" t="n">
        <x:v>0</x:v>
      </x:c>
      <x:c r="D5025" s="274" t="n">
        <x:v>0</x:v>
      </x:c>
      <x:c r="F5025" s="274" t="s">
        <x:v>123</x:v>
      </x:c>
      <x:c r="G5025" s="274" t="s">
        <x:v>209</x:v>
      </x:c>
      <x:c r="I5025" s="274" t="n">
        <x:v>1.4</x:v>
      </x:c>
      <x:c r="J5025" s="274" t="n">
        <x:v>145</x:v>
      </x:c>
      <x:c r="K5025" s="274" t="n">
        <x:v>1555</x:v>
      </x:c>
      <x:c r="M5025" s="274" t="s">
        <x:v>8869</x:v>
      </x:c>
      <x:c r="N5025" s="274" t="s">
        <x:v>162</x:v>
      </x:c>
    </x:row>
    <x:row r="5026" spans="1:14">
      <x:c r="A5026" s="274" t="s">
        <x:v>8870</x:v>
      </x:c>
      <x:c r="B5026" s="274" t="n">
        <x:v>0.08</x:v>
      </x:c>
      <x:c r="C5026" s="274" t="n">
        <x:v>0</x:v>
      </x:c>
      <x:c r="D5026" s="274" t="n">
        <x:v>0</x:v>
      </x:c>
      <x:c r="F5026" s="274" t="s">
        <x:v>123</x:v>
      </x:c>
      <x:c r="G5026" s="274" t="s">
        <x:v>209</x:v>
      </x:c>
      <x:c r="I5026" s="274" t="n">
        <x:v>1</x:v>
      </x:c>
      <x:c r="J5026" s="274" t="n">
        <x:v>120</x:v>
      </x:c>
      <x:c r="K5026" s="274" t="n">
        <x:v>87</x:v>
      </x:c>
      <x:c r="M5026" s="274" t="s">
        <x:v>3317</x:v>
      </x:c>
      <x:c r="N5026" s="274" t="s">
        <x:v>162</x:v>
      </x:c>
    </x:row>
    <x:row r="5027" spans="1:14">
      <x:c r="A5027" s="274" t="s">
        <x:v>8871</x:v>
      </x:c>
      <x:c r="B5027" s="274" t="n">
        <x:v>2.03</x:v>
      </x:c>
      <x:c r="C5027" s="274" t="n">
        <x:v>0</x:v>
      </x:c>
      <x:c r="D5027" s="274" t="n">
        <x:v>0</x:v>
      </x:c>
      <x:c r="E5027" s="274" t="n">
        <x:v>30</x:v>
      </x:c>
      <x:c r="F5027" s="274" t="s">
        <x:v>133</x:v>
      </x:c>
      <x:c r="G5027" s="274" t="s">
        <x:v>134</x:v>
      </x:c>
      <x:c r="I5027" s="274" t="n">
        <x:v>2</x:v>
      </x:c>
      <x:c r="J5027" s="274" t="n">
        <x:v>120</x:v>
      </x:c>
      <x:c r="K5027" s="274" t="n">
        <x:v>1079</x:v>
      </x:c>
      <x:c r="M5027" s="274" t="s">
        <x:v>8872</x:v>
      </x:c>
    </x:row>
    <x:row r="5028" spans="1:14">
      <x:c r="A5028" s="274" t="s">
        <x:v>8873</x:v>
      </x:c>
      <x:c r="B5028" s="274" t="n">
        <x:v>2.77</x:v>
      </x:c>
      <x:c r="C5028" s="274" t="n">
        <x:v>0</x:v>
      </x:c>
      <x:c r="D5028" s="274" t="n">
        <x:v>0</x:v>
      </x:c>
      <x:c r="F5028" s="274" t="s">
        <x:v>123</x:v>
      </x:c>
      <x:c r="G5028" s="274" t="s">
        <x:v>209</x:v>
      </x:c>
      <x:c r="I5028" s="274" t="n">
        <x:v>1.6</x:v>
      </x:c>
      <x:c r="J5028" s="274" t="n">
        <x:v>208</x:v>
      </x:c>
      <x:c r="K5028" s="274" t="n">
        <x:v>1060</x:v>
      </x:c>
      <x:c r="M5028" s="274" t="s">
        <x:v>8874</x:v>
      </x:c>
      <x:c r="N5028" s="274" t="s">
        <x:v>162</x:v>
      </x:c>
    </x:row>
    <x:row r="5029" spans="1:14">
      <x:c r="A5029" s="274" t="s">
        <x:v>8875</x:v>
      </x:c>
      <x:c r="B5029" s="274" t="n">
        <x:v>0.22</x:v>
      </x:c>
      <x:c r="C5029" s="274" t="n">
        <x:v>35</x:v>
      </x:c>
      <x:c r="D5029" s="274" t="n">
        <x:v>35</x:v>
      </x:c>
      <x:c r="E5029" s="274" t="n">
        <x:v>33</x:v>
      </x:c>
      <x:c r="F5029" s="274" t="s">
        <x:v>133</x:v>
      </x:c>
      <x:c r="G5029" s="274" t="s">
        <x:v>136</x:v>
      </x:c>
      <x:c r="H5029" s="274" t="n">
        <x:v>45</x:v>
      </x:c>
      <x:c r="I5029" s="274" t="n">
        <x:v>1.6</x:v>
      </x:c>
      <x:c r="J5029" s="274" t="n">
        <x:v>90</x:v>
      </x:c>
      <x:c r="K5029" s="274" t="n">
        <x:v>195</x:v>
      </x:c>
      <x:c r="M5029" s="274" t="s">
        <x:v>2928</x:v>
      </x:c>
      <x:c r="N5029" s="274" t="s">
        <x:v>162</x:v>
      </x:c>
    </x:row>
    <x:row r="5030" spans="1:14">
      <x:c r="A5030" s="274" t="s">
        <x:v>8876</x:v>
      </x:c>
      <x:c r="B5030" s="274" t="n">
        <x:v>0.27</x:v>
      </x:c>
      <x:c r="C5030" s="274" t="n">
        <x:v>0</x:v>
      </x:c>
      <x:c r="D5030" s="274" t="n">
        <x:v>0</x:v>
      </x:c>
      <x:c r="F5030" s="274" t="s">
        <x:v>123</x:v>
      </x:c>
      <x:c r="G5030" s="274" t="s">
        <x:v>209</x:v>
      </x:c>
      <x:c r="I5030" s="274" t="n">
        <x:v>1.2</x:v>
      </x:c>
      <x:c r="J5030" s="274" t="n">
        <x:v>247</x:v>
      </x:c>
      <x:c r="K5030" s="274" t="n">
        <x:v>115</x:v>
      </x:c>
      <x:c r="M5030" s="274" t="s">
        <x:v>8777</x:v>
      </x:c>
    </x:row>
    <x:row r="5031" spans="1:14">
      <x:c r="A5031" s="274" t="s">
        <x:v>8877</x:v>
      </x:c>
      <x:c r="B5031" s="274" t="n">
        <x:v>1.99</x:v>
      </x:c>
      <x:c r="C5031" s="274" t="n">
        <x:v>0</x:v>
      </x:c>
      <x:c r="D5031" s="274" t="n">
        <x:v>0</x:v>
      </x:c>
      <x:c r="F5031" s="274" t="s">
        <x:v>123</x:v>
      </x:c>
      <x:c r="G5031" s="274" t="s">
        <x:v>153</x:v>
      </x:c>
      <x:c r="I5031" s="274" t="n">
        <x:v>1.2</x:v>
      </x:c>
      <x:c r="J5031" s="274" t="n">
        <x:v>200</x:v>
      </x:c>
      <x:c r="K5031" s="274" t="n">
        <x:v>1055</x:v>
      </x:c>
      <x:c r="M5031" s="274" t="s">
        <x:v>8878</x:v>
      </x:c>
      <x:c r="N5031" s="274" t="s">
        <x:v>162</x:v>
      </x:c>
    </x:row>
    <x:row r="5032" spans="1:14">
      <x:c r="A5032" s="274" t="s">
        <x:v>8879</x:v>
      </x:c>
      <x:c r="B5032" s="274" t="n">
        <x:v>0</x:v>
      </x:c>
      <x:c r="C5032" s="274" t="n">
        <x:v>0</x:v>
      </x:c>
      <x:c r="D5032" s="274" t="n">
        <x:v>0</x:v>
      </x:c>
      <x:c r="E5032" s="274" t="n">
        <x:v>20</x:v>
      </x:c>
      <x:c r="F5032" s="274" t="s">
        <x:v>128</x:v>
      </x:c>
      <x:c r="G5032" s="274" t="s">
        <x:v>136</x:v>
      </x:c>
      <x:c r="H5032" s="274" t="s">
        <x:v>397</x:v>
      </x:c>
      <x:c r="I5032" s="274" t="n">
        <x:v>0.75</x:v>
      </x:c>
      <x:c r="J5032" s="274" t="n">
        <x:v>350</x:v>
      </x:c>
      <x:c r="K5032" s="274" t="n">
        <x:v>460</x:v>
      </x:c>
      <x:c r="M5032" s="274" t="s">
        <x:v>7657</x:v>
      </x:c>
      <x:c r="N5032" s="274" t="s">
        <x:v>126</x:v>
      </x:c>
    </x:row>
    <x:row r="5033" spans="1:14">
      <x:c r="A5033" s="274" t="s">
        <x:v>8880</x:v>
      </x:c>
      <x:c r="B5033" s="274" t="n">
        <x:v>0</x:v>
      </x:c>
      <x:c r="C5033" s="274" t="n">
        <x:v>0</x:v>
      </x:c>
      <x:c r="D5033" s="274" t="n">
        <x:v>0</x:v>
      </x:c>
      <x:c r="E5033" s="274" t="n">
        <x:v>20</x:v>
      </x:c>
      <x:c r="F5033" s="274" t="s">
        <x:v>128</x:v>
      </x:c>
      <x:c r="G5033" s="274" t="s">
        <x:v>136</x:v>
      </x:c>
      <x:c r="H5033" s="274" t="s">
        <x:v>397</x:v>
      </x:c>
      <x:c r="I5033" s="274" t="n">
        <x:v>0.75</x:v>
      </x:c>
      <x:c r="J5033" s="274" t="n">
        <x:v>920</x:v>
      </x:c>
      <x:c r="K5033" s="274" t="n">
        <x:v>520</x:v>
      </x:c>
      <x:c r="M5033" s="274" t="s">
        <x:v>8881</x:v>
      </x:c>
      <x:c r="N5033" s="274" t="s">
        <x:v>126</x:v>
      </x:c>
    </x:row>
    <x:row r="5034" spans="1:14">
      <x:c r="A5034" s="274" t="s">
        <x:v>8882</x:v>
      </x:c>
      <x:c r="B5034" s="274" t="n">
        <x:v>1.33</x:v>
      </x:c>
      <x:c r="C5034" s="274" t="n">
        <x:v>0</x:v>
      </x:c>
      <x:c r="D5034" s="274" t="n">
        <x:v>0</x:v>
      </x:c>
      <x:c r="F5034" s="274" t="s">
        <x:v>123</x:v>
      </x:c>
      <x:c r="G5034" s="274" t="s">
        <x:v>209</x:v>
      </x:c>
      <x:c r="I5034" s="274" t="n">
        <x:v>1.6</x:v>
      </x:c>
      <x:c r="J5034" s="274" t="n">
        <x:v>250</x:v>
      </x:c>
      <x:c r="K5034" s="274" t="n">
        <x:v>425</x:v>
      </x:c>
      <x:c r="M5034" s="274" t="s">
        <x:v>8883</x:v>
      </x:c>
      <x:c r="N5034" s="274" t="s">
        <x:v>162</x:v>
      </x:c>
    </x:row>
    <x:row r="5035" spans="1:14">
      <x:c r="A5035" s="274" t="s">
        <x:v>8884</x:v>
      </x:c>
      <x:c r="B5035" s="274" t="n">
        <x:v>3.63</x:v>
      </x:c>
      <x:c r="C5035" s="274" t="n">
        <x:v>0</x:v>
      </x:c>
      <x:c r="D5035" s="274" t="n">
        <x:v>0</x:v>
      </x:c>
      <x:c r="F5035" s="274" t="s">
        <x:v>133</x:v>
      </x:c>
      <x:c r="G5035" s="274" t="s">
        <x:v>148</x:v>
      </x:c>
      <x:c r="I5035" s="274" t="n">
        <x:v>5</x:v>
      </x:c>
      <x:c r="J5035" s="274" t="n">
        <x:v>86</x:v>
      </x:c>
      <x:c r="K5035" s="274" t="n">
        <x:v>1075</x:v>
      </x:c>
      <x:c r="M5035" s="274" t="s">
        <x:v>8885</x:v>
      </x:c>
      <x:c r="N5035" s="274" t="s">
        <x:v>162</x:v>
      </x:c>
    </x:row>
    <x:row r="5036" spans="1:14">
      <x:c r="A5036" s="274" t="s">
        <x:v>8886</x:v>
      </x:c>
      <x:c r="B5036" s="274" t="n">
        <x:v>2.41</x:v>
      </x:c>
      <x:c r="C5036" s="274" t="n">
        <x:v>0</x:v>
      </x:c>
      <x:c r="D5036" s="274" t="n">
        <x:v>0</x:v>
      </x:c>
      <x:c r="F5036" s="274" t="s">
        <x:v>133</x:v>
      </x:c>
      <x:c r="G5036" s="274" t="s">
        <x:v>136</x:v>
      </x:c>
      <x:c r="H5036" s="274" t="n">
        <x:v>45</x:v>
      </x:c>
      <x:c r="I5036" s="274" t="n">
        <x:v>0.65</x:v>
      </x:c>
      <x:c r="J5036" s="274" t="n">
        <x:v>480</x:v>
      </x:c>
      <x:c r="K5036" s="274" t="n">
        <x:v>969</x:v>
      </x:c>
      <x:c r="M5036" s="274" t="s">
        <x:v>8887</x:v>
      </x:c>
      <x:c r="N5036" s="274" t="s">
        <x:v>162</x:v>
      </x:c>
    </x:row>
    <x:row r="5037" spans="1:14">
      <x:c r="A5037" s="274" t="s">
        <x:v>8888</x:v>
      </x:c>
      <x:c r="B5037" s="274" t="n">
        <x:v>35.9</x:v>
      </x:c>
      <x:c r="C5037" s="274" t="n">
        <x:v>0</x:v>
      </x:c>
      <x:c r="D5037" s="274" t="n">
        <x:v>0</x:v>
      </x:c>
      <x:c r="E5037" s="274" t="n">
        <x:v>10</x:v>
      </x:c>
      <x:c r="F5037" s="274" t="s">
        <x:v>128</x:v>
      </x:c>
      <x:c r="G5037" s="274" t="s">
        <x:v>136</x:v>
      </x:c>
      <x:c r="H5037" s="274" t="s">
        <x:v>397</x:v>
      </x:c>
      <x:c r="I5037" s="274" t="n">
        <x:v>0.75</x:v>
      </x:c>
      <x:c r="J5037" s="274" t="n">
        <x:v>1675</x:v>
      </x:c>
      <x:c r="K5037" s="274" t="n">
        <x:v>3585</x:v>
      </x:c>
      <x:c r="M5037" s="274" t="s">
        <x:v>7541</x:v>
      </x:c>
      <x:c r="N5037" s="274" t="s">
        <x:v>126</x:v>
      </x:c>
    </x:row>
    <x:row r="5038" spans="1:14">
      <x:c r="A5038" s="274" t="s">
        <x:v>8889</x:v>
      </x:c>
      <x:c r="B5038" s="274" t="n">
        <x:v>35.9</x:v>
      </x:c>
      <x:c r="C5038" s="274" t="n">
        <x:v>0</x:v>
      </x:c>
      <x:c r="D5038" s="274" t="n">
        <x:v>0</x:v>
      </x:c>
      <x:c r="E5038" s="274" t="n">
        <x:v>10</x:v>
      </x:c>
      <x:c r="F5038" s="274" t="s">
        <x:v>128</x:v>
      </x:c>
      <x:c r="G5038" s="274" t="s">
        <x:v>136</x:v>
      </x:c>
      <x:c r="H5038" s="274" t="s">
        <x:v>397</x:v>
      </x:c>
      <x:c r="I5038" s="274" t="n">
        <x:v>0.75</x:v>
      </x:c>
      <x:c r="J5038" s="274" t="n">
        <x:v>1675</x:v>
      </x:c>
      <x:c r="K5038" s="274" t="n">
        <x:v>3585</x:v>
      </x:c>
      <x:c r="M5038" s="274" t="s">
        <x:v>7543</x:v>
      </x:c>
      <x:c r="N5038" s="274" t="s">
        <x:v>126</x:v>
      </x:c>
    </x:row>
    <x:row r="5039" spans="1:14">
      <x:c r="A5039" s="274" t="s">
        <x:v>8890</x:v>
      </x:c>
      <x:c r="B5039" s="274" t="n">
        <x:v>0.9</x:v>
      </x:c>
      <x:c r="C5039" s="274" t="n">
        <x:v>0</x:v>
      </x:c>
      <x:c r="D5039" s="274" t="n">
        <x:v>0</x:v>
      </x:c>
      <x:c r="F5039" s="274" t="s">
        <x:v>133</x:v>
      </x:c>
      <x:c r="G5039" s="274" t="s">
        <x:v>144</x:v>
      </x:c>
      <x:c r="H5039" s="274" t="n">
        <x:v>45</x:v>
      </x:c>
      <x:c r="I5039" s="274" t="n">
        <x:v>1.2</x:v>
      </x:c>
      <x:c r="J5039" s="274" t="n">
        <x:v>401</x:v>
      </x:c>
      <x:c r="K5039" s="274" t="n">
        <x:v>236</x:v>
      </x:c>
      <x:c r="M5039" s="274" t="s">
        <x:v>360</x:v>
      </x:c>
      <x:c r="N5039" s="274" t="s">
        <x:v>162</x:v>
      </x:c>
    </x:row>
    <x:row r="5040" spans="1:14">
      <x:c r="A5040" s="274" t="s">
        <x:v>8891</x:v>
      </x:c>
      <x:c r="B5040" s="274" t="n">
        <x:v>0.24</x:v>
      </x:c>
      <x:c r="C5040" s="274" t="n">
        <x:v>0</x:v>
      </x:c>
      <x:c r="D5040" s="274" t="n">
        <x:v>0</x:v>
      </x:c>
      <x:c r="F5040" s="274" t="s">
        <x:v>133</x:v>
      </x:c>
      <x:c r="G5040" s="274" t="s">
        <x:v>136</x:v>
      </x:c>
      <x:c r="H5040" s="274" t="n">
        <x:v>45</x:v>
      </x:c>
      <x:c r="I5040" s="274" t="n">
        <x:v>0.65</x:v>
      </x:c>
      <x:c r="J5040" s="274" t="n">
        <x:v>60</x:v>
      </x:c>
      <x:c r="K5040" s="274" t="n">
        <x:v>780</x:v>
      </x:c>
      <x:c r="M5040" s="274" t="s">
        <x:v>8892</x:v>
      </x:c>
      <x:c r="N5040" s="274" t="s">
        <x:v>202</x:v>
      </x:c>
    </x:row>
    <x:row r="5041" spans="1:14">
      <x:c r="A5041" s="274" t="s">
        <x:v>8893</x:v>
      </x:c>
      <x:c r="B5041" s="274" t="n">
        <x:v>4.95</x:v>
      </x:c>
      <x:c r="C5041" s="274" t="n">
        <x:v>38</x:v>
      </x:c>
      <x:c r="D5041" s="274" t="n">
        <x:v>39</x:v>
      </x:c>
      <x:c r="F5041" s="274" t="s">
        <x:v>133</x:v>
      </x:c>
      <x:c r="G5041" s="274" t="s">
        <x:v>144</x:v>
      </x:c>
      <x:c r="H5041" s="274" t="n">
        <x:v>45</x:v>
      </x:c>
      <x:c r="I5041" s="274" t="n">
        <x:v>1.6</x:v>
      </x:c>
      <x:c r="J5041" s="274" t="n">
        <x:v>450</x:v>
      </x:c>
      <x:c r="K5041" s="274" t="n">
        <x:v>1740</x:v>
      </x:c>
      <x:c r="M5041" s="274" t="s">
        <x:v>7647</x:v>
      </x:c>
      <x:c r="N5041" s="274" t="s">
        <x:v>162</x:v>
      </x:c>
    </x:row>
    <x:row r="5042" spans="1:14">
      <x:c r="A5042" s="274" t="s">
        <x:v>8894</x:v>
      </x:c>
      <x:c r="B5042" s="274" t="n">
        <x:v>1.02</x:v>
      </x:c>
      <x:c r="C5042" s="274" t="n">
        <x:v>0</x:v>
      </x:c>
      <x:c r="D5042" s="274" t="n">
        <x:v>0</x:v>
      </x:c>
      <x:c r="F5042" s="274" t="s">
        <x:v>133</x:v>
      </x:c>
      <x:c r="G5042" s="274" t="s">
        <x:v>136</x:v>
      </x:c>
      <x:c r="H5042" s="274" t="n">
        <x:v>45</x:v>
      </x:c>
      <x:c r="I5042" s="274" t="n">
        <x:v>0.8</x:v>
      </x:c>
      <x:c r="J5042" s="274" t="n">
        <x:v>850</x:v>
      </x:c>
      <x:c r="K5042" s="274" t="n">
        <x:v>188</x:v>
      </x:c>
      <x:c r="M5042" s="274" t="s">
        <x:v>4078</x:v>
      </x:c>
      <x:c r="N5042" s="274" t="s">
        <x:v>162</x:v>
      </x:c>
    </x:row>
    <x:row r="5043" spans="1:14">
      <x:c r="A5043" s="274" t="s">
        <x:v>8895</x:v>
      </x:c>
      <x:c r="B5043" s="274" t="n">
        <x:v>0.91</x:v>
      </x:c>
      <x:c r="C5043" s="274" t="n">
        <x:v>0</x:v>
      </x:c>
      <x:c r="D5043" s="274" t="n">
        <x:v>0</x:v>
      </x:c>
      <x:c r="F5043" s="274" t="s">
        <x:v>133</x:v>
      </x:c>
      <x:c r="G5043" s="274" t="s">
        <x:v>136</x:v>
      </x:c>
      <x:c r="H5043" s="274" t="n">
        <x:v>45</x:v>
      </x:c>
      <x:c r="I5043" s="274" t="n">
        <x:v>0.9</x:v>
      </x:c>
      <x:c r="J5043" s="274" t="n">
        <x:v>375</x:v>
      </x:c>
      <x:c r="K5043" s="274" t="n">
        <x:v>340</x:v>
      </x:c>
      <x:c r="M5043" s="274" t="s">
        <x:v>8896</x:v>
      </x:c>
      <x:c r="N5043" s="274" t="s">
        <x:v>162</x:v>
      </x:c>
    </x:row>
    <x:row r="5044" spans="1:14">
      <x:c r="A5044" s="274" t="s">
        <x:v>8897</x:v>
      </x:c>
      <x:c r="B5044" s="274" t="n">
        <x:v>3.84</x:v>
      </x:c>
      <x:c r="C5044" s="274" t="n">
        <x:v>0</x:v>
      </x:c>
      <x:c r="D5044" s="274" t="n">
        <x:v>0</x:v>
      </x:c>
      <x:c r="F5044" s="274" t="s">
        <x:v>123</x:v>
      </x:c>
      <x:c r="G5044" s="274" t="s">
        <x:v>153</x:v>
      </x:c>
      <x:c r="I5044" s="274" t="n">
        <x:v>0.9</x:v>
      </x:c>
      <x:c r="J5044" s="274" t="n">
        <x:v>425</x:v>
      </x:c>
      <x:c r="K5044" s="274" t="n">
        <x:v>1278</x:v>
      </x:c>
      <x:c r="M5044" s="274" t="s">
        <x:v>8898</x:v>
      </x:c>
      <x:c r="N5044" s="274" t="s">
        <x:v>202</x:v>
      </x:c>
    </x:row>
    <x:row r="5045" spans="1:14">
      <x:c r="A5045" s="274" t="s">
        <x:v>8899</x:v>
      </x:c>
      <x:c r="B5045" s="274" t="n">
        <x:v>3.81</x:v>
      </x:c>
      <x:c r="C5045" s="274" t="n">
        <x:v>0</x:v>
      </x:c>
      <x:c r="D5045" s="274" t="n">
        <x:v>0</x:v>
      </x:c>
      <x:c r="F5045" s="274" t="s">
        <x:v>123</x:v>
      </x:c>
      <x:c r="G5045" s="274" t="s">
        <x:v>153</x:v>
      </x:c>
      <x:c r="I5045" s="274" t="n">
        <x:v>0.9</x:v>
      </x:c>
      <x:c r="J5045" s="274" t="n">
        <x:v>380</x:v>
      </x:c>
      <x:c r="K5045" s="274" t="n">
        <x:v>1425</x:v>
      </x:c>
      <x:c r="M5045" s="274" t="s">
        <x:v>8900</x:v>
      </x:c>
      <x:c r="N5045" s="274" t="s">
        <x:v>202</x:v>
      </x:c>
    </x:row>
    <x:row r="5046" spans="1:14">
      <x:c r="A5046" s="274" t="s">
        <x:v>8901</x:v>
      </x:c>
      <x:c r="B5046" s="274" t="n">
        <x:v>1.58</x:v>
      </x:c>
      <x:c r="C5046" s="274" t="n">
        <x:v>27</x:v>
      </x:c>
      <x:c r="D5046" s="274" t="n">
        <x:v>35</x:v>
      </x:c>
      <x:c r="E5046" s="274" t="n">
        <x:v>33</x:v>
      </x:c>
      <x:c r="F5046" s="274" t="s">
        <x:v>123</x:v>
      </x:c>
      <x:c r="G5046" s="274" t="s">
        <x:v>153</x:v>
      </x:c>
      <x:c r="I5046" s="274" t="n">
        <x:v>1.6</x:v>
      </x:c>
      <x:c r="J5046" s="274" t="n">
        <x:v>270</x:v>
      </x:c>
      <x:c r="K5046" s="274" t="n">
        <x:v>465</x:v>
      </x:c>
      <x:c r="M5046" s="274" t="s">
        <x:v>2911</x:v>
      </x:c>
      <x:c r="N5046" s="274" t="s">
        <x:v>162</x:v>
      </x:c>
    </x:row>
    <x:row r="5047" spans="1:14">
      <x:c r="A5047" s="274" t="s">
        <x:v>8902</x:v>
      </x:c>
      <x:c r="B5047" s="274" t="n">
        <x:v>1.9</x:v>
      </x:c>
      <x:c r="C5047" s="274" t="n">
        <x:v>0</x:v>
      </x:c>
      <x:c r="D5047" s="274" t="n">
        <x:v>0</x:v>
      </x:c>
      <x:c r="F5047" s="274" t="s">
        <x:v>123</x:v>
      </x:c>
      <x:c r="G5047" s="274" t="s">
        <x:v>209</x:v>
      </x:c>
      <x:c r="I5047" s="274" t="n">
        <x:v>1.8</x:v>
      </x:c>
      <x:c r="J5047" s="274" t="n">
        <x:v>220</x:v>
      </x:c>
      <x:c r="K5047" s="274" t="n">
        <x:v>610</x:v>
      </x:c>
      <x:c r="M5047" s="274" t="s">
        <x:v>2577</x:v>
      </x:c>
      <x:c r="N5047" s="274" t="s">
        <x:v>162</x:v>
      </x:c>
    </x:row>
    <x:row r="5048" spans="1:14">
      <x:c r="A5048" s="274" t="s">
        <x:v>8903</x:v>
      </x:c>
      <x:c r="B5048" s="274" t="n">
        <x:v>3.13</x:v>
      </x:c>
      <x:c r="C5048" s="274" t="n">
        <x:v>0</x:v>
      </x:c>
      <x:c r="D5048" s="274" t="n">
        <x:v>0</x:v>
      </x:c>
      <x:c r="F5048" s="274" t="s">
        <x:v>133</x:v>
      </x:c>
      <x:c r="G5048" s="274" t="s">
        <x:v>134</x:v>
      </x:c>
      <x:c r="I5048" s="274" t="n">
        <x:v>2.8</x:v>
      </x:c>
      <x:c r="J5048" s="274" t="n">
        <x:v>520</x:v>
      </x:c>
      <x:c r="K5048" s="274" t="n">
        <x:v>274</x:v>
      </x:c>
      <x:c r="M5048" s="274" t="s">
        <x:v>8904</x:v>
      </x:c>
    </x:row>
    <x:row r="5049" spans="1:14">
      <x:c r="A5049" s="274" t="s">
        <x:v>8905</x:v>
      </x:c>
      <x:c r="B5049" s="274" t="n">
        <x:v>2.72</x:v>
      </x:c>
      <x:c r="C5049" s="274" t="n">
        <x:v>0</x:v>
      </x:c>
      <x:c r="D5049" s="274" t="n">
        <x:v>35</x:v>
      </x:c>
      <x:c r="E5049" s="274" t="n">
        <x:v>33</x:v>
      </x:c>
      <x:c r="F5049" s="274" t="s">
        <x:v>133</x:v>
      </x:c>
      <x:c r="G5049" s="274" t="s">
        <x:v>148</x:v>
      </x:c>
      <x:c r="I5049" s="274" t="n">
        <x:v>3.2</x:v>
      </x:c>
      <x:c r="J5049" s="274" t="n">
        <x:v>272</x:v>
      </x:c>
      <x:c r="K5049" s="274" t="n">
        <x:v>398</x:v>
      </x:c>
      <x:c r="M5049" s="274" t="s">
        <x:v>8830</x:v>
      </x:c>
      <x:c r="N5049" s="274" t="s">
        <x:v>162</x:v>
      </x:c>
    </x:row>
    <x:row r="5050" spans="1:14">
      <x:c r="A5050" s="274" t="s">
        <x:v>8906</x:v>
      </x:c>
      <x:c r="B5050" s="274" t="n">
        <x:v>0.74</x:v>
      </x:c>
      <x:c r="C5050" s="274" t="n">
        <x:v>0</x:v>
      </x:c>
      <x:c r="D5050" s="274" t="n">
        <x:v>35</x:v>
      </x:c>
      <x:c r="E5050" s="274" t="n">
        <x:v>33</x:v>
      </x:c>
      <x:c r="F5050" s="274" t="s">
        <x:v>133</x:v>
      </x:c>
      <x:c r="G5050" s="274" t="s">
        <x:v>148</x:v>
      </x:c>
      <x:c r="I5050" s="274" t="n">
        <x:v>2.3</x:v>
      </x:c>
      <x:c r="J5050" s="274" t="n">
        <x:v>110</x:v>
      </x:c>
      <x:c r="K5050" s="274" t="n">
        <x:v>375</x:v>
      </x:c>
      <x:c r="M5050" s="274" t="s">
        <x:v>8907</x:v>
      </x:c>
      <x:c r="N5050" s="274" t="s">
        <x:v>162</x:v>
      </x:c>
    </x:row>
    <x:row r="5051" spans="1:14">
      <x:c r="A5051" s="274" t="s">
        <x:v>8908</x:v>
      </x:c>
      <x:c r="B5051" s="274" t="n">
        <x:v>3.49</x:v>
      </x:c>
      <x:c r="C5051" s="274" t="n">
        <x:v>0</x:v>
      </x:c>
      <x:c r="D5051" s="274" t="n">
        <x:v>45</x:v>
      </x:c>
      <x:c r="E5051" s="274" t="n">
        <x:v>40</x:v>
      </x:c>
      <x:c r="F5051" s="274" t="s">
        <x:v>123</x:v>
      </x:c>
      <x:c r="G5051" s="274" t="s">
        <x:v>209</x:v>
      </x:c>
      <x:c r="I5051" s="274" t="n">
        <x:v>0.55</x:v>
      </x:c>
      <x:c r="J5051" s="274" t="n">
        <x:v>980</x:v>
      </x:c>
      <x:c r="K5051" s="274" t="n">
        <x:v>825</x:v>
      </x:c>
      <x:c r="M5051" s="274" t="s">
        <x:v>8909</x:v>
      </x:c>
      <x:c r="N5051" s="274" t="s">
        <x:v>480</x:v>
      </x:c>
    </x:row>
    <x:row r="5052" spans="1:14">
      <x:c r="A5052" s="274" t="s">
        <x:v>8910</x:v>
      </x:c>
      <x:c r="B5052" s="274" t="n">
        <x:v>0.1</x:v>
      </x:c>
      <x:c r="C5052" s="274" t="n">
        <x:v>0</x:v>
      </x:c>
      <x:c r="D5052" s="274" t="n">
        <x:v>0</x:v>
      </x:c>
      <x:c r="F5052" s="274" t="s">
        <x:v>123</x:v>
      </x:c>
      <x:c r="G5052" s="274" t="s">
        <x:v>209</x:v>
      </x:c>
      <x:c r="I5052" s="274" t="n">
        <x:v>1.6</x:v>
      </x:c>
      <x:c r="J5052" s="274" t="n">
        <x:v>46</x:v>
      </x:c>
      <x:c r="K5052" s="274" t="n">
        <x:v>175</x:v>
      </x:c>
      <x:c r="M5052" s="274" t="s">
        <x:v>8911</x:v>
      </x:c>
      <x:c r="N5052" s="274" t="s">
        <x:v>162</x:v>
      </x:c>
    </x:row>
    <x:row r="5053" spans="1:14">
      <x:c r="A5053" s="274" t="s">
        <x:v>8912</x:v>
      </x:c>
      <x:c r="B5053" s="274" t="n">
        <x:v>1.22</x:v>
      </x:c>
      <x:c r="C5053" s="274" t="n">
        <x:v>0</x:v>
      </x:c>
      <x:c r="D5053" s="274" t="n">
        <x:v>0</x:v>
      </x:c>
      <x:c r="F5053" s="274" t="s">
        <x:v>133</x:v>
      </x:c>
      <x:c r="G5053" s="274" t="s">
        <x:v>136</x:v>
      </x:c>
      <x:c r="H5053" s="274" t="n">
        <x:v>45</x:v>
      </x:c>
      <x:c r="I5053" s="274" t="n">
        <x:v>0.8</x:v>
      </x:c>
      <x:c r="J5053" s="274" t="n">
        <x:v>140</x:v>
      </x:c>
      <x:c r="K5053" s="274" t="n">
        <x:v>1370</x:v>
      </x:c>
      <x:c r="M5053" s="274" t="s">
        <x:v>2564</x:v>
      </x:c>
      <x:c r="N5053" s="274" t="s">
        <x:v>162</x:v>
      </x:c>
    </x:row>
    <x:row r="5054" spans="1:14">
      <x:c r="A5054" s="274" t="s">
        <x:v>8913</x:v>
      </x:c>
      <x:c r="B5054" s="274" t="n">
        <x:v>7.74</x:v>
      </x:c>
      <x:c r="C5054" s="274" t="n">
        <x:v>0</x:v>
      </x:c>
      <x:c r="D5054" s="274" t="n">
        <x:v>0</x:v>
      </x:c>
      <x:c r="F5054" s="274" t="s">
        <x:v>133</x:v>
      </x:c>
      <x:c r="G5054" s="274" t="s">
        <x:v>2310</x:v>
      </x:c>
      <x:c r="I5054" s="274" t="n">
        <x:v>4</x:v>
      </x:c>
      <x:c r="J5054" s="274" t="n">
        <x:v>210</x:v>
      </x:c>
      <x:c r="K5054" s="274" t="n">
        <x:v>1180</x:v>
      </x:c>
      <x:c r="M5054" s="274" t="s">
        <x:v>8914</x:v>
      </x:c>
    </x:row>
    <x:row r="5055" spans="1:14">
      <x:c r="A5055" s="274" t="s">
        <x:v>8915</x:v>
      </x:c>
      <x:c r="B5055" s="274" t="n">
        <x:v>4.97</x:v>
      </x:c>
      <x:c r="C5055" s="274" t="n">
        <x:v>45</x:v>
      </x:c>
      <x:c r="D5055" s="274" t="n">
        <x:v>54</x:v>
      </x:c>
      <x:c r="E5055" s="274" t="n">
        <x:v>40</x:v>
      </x:c>
      <x:c r="F5055" s="274" t="s">
        <x:v>133</x:v>
      </x:c>
      <x:c r="G5055" s="274" t="s">
        <x:v>144</x:v>
      </x:c>
      <x:c r="H5055" s="274" t="n">
        <x:v>45</x:v>
      </x:c>
      <x:c r="I5055" s="274" t="n">
        <x:v>1.6</x:v>
      </x:c>
      <x:c r="J5055" s="274" t="n">
        <x:v>920</x:v>
      </x:c>
      <x:c r="K5055" s="274" t="n">
        <x:v>853</x:v>
      </x:c>
      <x:c r="M5055" s="274" t="s">
        <x:v>8916</x:v>
      </x:c>
      <x:c r="N5055" s="274" t="s">
        <x:v>162</x:v>
      </x:c>
    </x:row>
    <x:row r="5056" spans="1:14">
      <x:c r="A5056" s="274" t="s">
        <x:v>8917</x:v>
      </x:c>
      <x:c r="B5056" s="274" t="n">
        <x:v>0.08</x:v>
      </x:c>
      <x:c r="C5056" s="274" t="n">
        <x:v>35</x:v>
      </x:c>
      <x:c r="D5056" s="274" t="n">
        <x:v>35</x:v>
      </x:c>
      <x:c r="E5056" s="274" t="n">
        <x:v>33</x:v>
      </x:c>
      <x:c r="F5056" s="274" t="s">
        <x:v>123</x:v>
      </x:c>
      <x:c r="G5056" s="274" t="s">
        <x:v>153</x:v>
      </x:c>
      <x:c r="I5056" s="274" t="n">
        <x:v>1</x:v>
      </x:c>
      <x:c r="J5056" s="274" t="n">
        <x:v>90</x:v>
      </x:c>
      <x:c r="K5056" s="274" t="n">
        <x:v>108</x:v>
      </x:c>
      <x:c r="M5056" s="274" t="s">
        <x:v>3491</x:v>
      </x:c>
      <x:c r="N5056" s="274" t="s">
        <x:v>162</x:v>
      </x:c>
    </x:row>
    <x:row r="5057" spans="1:14">
      <x:c r="A5057" s="274" t="s">
        <x:v>8918</x:v>
      </x:c>
      <x:c r="B5057" s="274" t="n">
        <x:v>0.98</x:v>
      </x:c>
      <x:c r="C5057" s="274" t="n">
        <x:v>27</x:v>
      </x:c>
      <x:c r="D5057" s="274" t="n">
        <x:v>35</x:v>
      </x:c>
      <x:c r="E5057" s="274" t="n">
        <x:v>33</x:v>
      </x:c>
      <x:c r="F5057" s="274" t="s">
        <x:v>123</x:v>
      </x:c>
      <x:c r="G5057" s="274" t="s">
        <x:v>153</x:v>
      </x:c>
      <x:c r="I5057" s="274" t="n">
        <x:v>1</x:v>
      </x:c>
      <x:c r="J5057" s="274" t="n">
        <x:v>260</x:v>
      </x:c>
      <x:c r="K5057" s="274" t="n">
        <x:v>480</x:v>
      </x:c>
      <x:c r="M5057" s="274" t="s">
        <x:v>2926</x:v>
      </x:c>
      <x:c r="N5057" s="274" t="s">
        <x:v>162</x:v>
      </x:c>
    </x:row>
    <x:row r="5058" spans="1:14">
      <x:c r="A5058" s="274" t="s">
        <x:v>8919</x:v>
      </x:c>
      <x:c r="B5058" s="274" t="n">
        <x:v>2.82</x:v>
      </x:c>
      <x:c r="C5058" s="274" t="n">
        <x:v>0</x:v>
      </x:c>
      <x:c r="D5058" s="274" t="n">
        <x:v>0</x:v>
      </x:c>
      <x:c r="F5058" s="274" t="s">
        <x:v>133</x:v>
      </x:c>
      <x:c r="G5058" s="274" t="s">
        <x:v>148</x:v>
      </x:c>
      <x:c r="I5058" s="274" t="n">
        <x:v>3.2</x:v>
      </x:c>
      <x:c r="J5058" s="274" t="n">
        <x:v>115</x:v>
      </x:c>
      <x:c r="K5058" s="274" t="n">
        <x:v>975</x:v>
      </x:c>
      <x:c r="M5058" s="274" t="s">
        <x:v>8920</x:v>
      </x:c>
      <x:c r="N5058" s="274" t="s">
        <x:v>162</x:v>
      </x:c>
    </x:row>
    <x:row r="5059" spans="1:14">
      <x:c r="A5059" s="274" t="s">
        <x:v>8921</x:v>
      </x:c>
      <x:c r="B5059" s="274" t="n">
        <x:v>3.03</x:v>
      </x:c>
      <x:c r="C5059" s="274" t="n">
        <x:v>0</x:v>
      </x:c>
      <x:c r="D5059" s="274" t="n">
        <x:v>32</x:v>
      </x:c>
      <x:c r="E5059" s="274" t="n">
        <x:v>40</x:v>
      </x:c>
      <x:c r="F5059" s="274" t="s">
        <x:v>123</x:v>
      </x:c>
      <x:c r="G5059" s="274" t="s">
        <x:v>153</x:v>
      </x:c>
      <x:c r="I5059" s="274" t="n">
        <x:v>0.6</x:v>
      </x:c>
      <x:c r="J5059" s="274" t="n">
        <x:v>940</x:v>
      </x:c>
      <x:c r="K5059" s="274" t="n">
        <x:v>685</x:v>
      </x:c>
      <x:c r="M5059" s="274" t="s">
        <x:v>8922</x:v>
      </x:c>
      <x:c r="N5059" s="274" t="s">
        <x:v>480</x:v>
      </x:c>
    </x:row>
    <x:row r="5060" spans="1:14">
      <x:c r="A5060" s="274" t="s">
        <x:v>8923</x:v>
      </x:c>
      <x:c r="B5060" s="274" t="n">
        <x:v>4.1</x:v>
      </x:c>
      <x:c r="C5060" s="274" t="n">
        <x:v>0</x:v>
      </x:c>
      <x:c r="D5060" s="274" t="n">
        <x:v>0</x:v>
      </x:c>
      <x:c r="F5060" s="274" t="s">
        <x:v>123</x:v>
      </x:c>
      <x:c r="G5060" s="274" t="s">
        <x:v>209</x:v>
      </x:c>
      <x:c r="I5060" s="274" t="n">
        <x:v>2</x:v>
      </x:c>
      <x:c r="J5060" s="274" t="n">
        <x:v>270</x:v>
      </x:c>
      <x:c r="K5060" s="274" t="n">
        <x:v>968</x:v>
      </x:c>
      <x:c r="M5060" s="274" t="s">
        <x:v>8924</x:v>
      </x:c>
      <x:c r="N5060" s="274" t="s">
        <x:v>162</x:v>
      </x:c>
    </x:row>
    <x:row r="5061" spans="1:14">
      <x:c r="A5061" s="274" t="s">
        <x:v>8925</x:v>
      </x:c>
      <x:c r="B5061" s="274" t="n">
        <x:v>3.92</x:v>
      </x:c>
      <x:c r="C5061" s="274" t="n">
        <x:v>0</x:v>
      </x:c>
      <x:c r="D5061" s="274" t="n">
        <x:v>45</x:v>
      </x:c>
      <x:c r="E5061" s="274" t="n">
        <x:v>40</x:v>
      </x:c>
      <x:c r="F5061" s="274" t="s">
        <x:v>123</x:v>
      </x:c>
      <x:c r="G5061" s="274" t="s">
        <x:v>153</x:v>
      </x:c>
      <x:c r="I5061" s="274" t="n">
        <x:v>0.55</x:v>
      </x:c>
      <x:c r="J5061" s="274" t="n">
        <x:v>1055</x:v>
      </x:c>
      <x:c r="K5061" s="274" t="n">
        <x:v>860</x:v>
      </x:c>
      <x:c r="M5061" s="274" t="s">
        <x:v>8926</x:v>
      </x:c>
      <x:c r="N5061" s="274" t="s">
        <x:v>162</x:v>
      </x:c>
    </x:row>
    <x:row r="5062" spans="1:14">
      <x:c r="A5062" s="274" t="s">
        <x:v>8927</x:v>
      </x:c>
      <x:c r="B5062" s="274" t="n">
        <x:v>0.31</x:v>
      </x:c>
      <x:c r="C5062" s="274" t="n">
        <x:v>0</x:v>
      </x:c>
      <x:c r="D5062" s="274" t="n">
        <x:v>0</x:v>
      </x:c>
      <x:c r="F5062" s="274" t="s">
        <x:v>123</x:v>
      </x:c>
      <x:c r="G5062" s="274" t="s">
        <x:v>209</x:v>
      </x:c>
      <x:c r="I5062" s="274" t="n">
        <x:v>1</x:v>
      </x:c>
      <x:c r="J5062" s="274" t="n">
        <x:v>35</x:v>
      </x:c>
      <x:c r="K5062" s="274" t="n">
        <x:v>1140</x:v>
      </x:c>
      <x:c r="M5062" s="274" t="s">
        <x:v>8928</x:v>
      </x:c>
      <x:c r="N5062" s="274" t="s">
        <x:v>162</x:v>
      </x:c>
    </x:row>
    <x:row r="5063" spans="1:14">
      <x:c r="A5063" s="274" t="s">
        <x:v>8929</x:v>
      </x:c>
      <x:c r="B5063" s="274" t="n">
        <x:v>4.91</x:v>
      </x:c>
      <x:c r="C5063" s="274" t="n">
        <x:v>0</x:v>
      </x:c>
      <x:c r="D5063" s="274" t="n">
        <x:v>0</x:v>
      </x:c>
      <x:c r="F5063" s="274" t="s">
        <x:v>133</x:v>
      </x:c>
      <x:c r="G5063" s="274" t="s">
        <x:v>134</x:v>
      </x:c>
      <x:c r="I5063" s="274" t="n">
        <x:v>2.8</x:v>
      </x:c>
      <x:c r="J5063" s="274" t="n">
        <x:v>190</x:v>
      </x:c>
      <x:c r="K5063" s="274" t="n">
        <x:v>1175</x:v>
      </x:c>
      <x:c r="M5063" s="274" t="s">
        <x:v>8930</x:v>
      </x:c>
      <x:c r="N5063" s="274" t="s">
        <x:v>162</x:v>
      </x:c>
    </x:row>
    <x:row r="5064" spans="1:14">
      <x:c r="A5064" s="274" t="s">
        <x:v>8931</x:v>
      </x:c>
      <x:c r="B5064" s="274" t="n">
        <x:v>13.79</x:v>
      </x:c>
      <x:c r="C5064" s="274" t="n">
        <x:v>0</x:v>
      </x:c>
      <x:c r="D5064" s="274" t="n">
        <x:v>30</x:v>
      </x:c>
      <x:c r="E5064" s="274" t="n">
        <x:v>33</x:v>
      </x:c>
      <x:c r="F5064" s="274" t="s">
        <x:v>133</x:v>
      </x:c>
      <x:c r="G5064" s="274" t="s">
        <x:v>134</x:v>
      </x:c>
      <x:c r="I5064" s="274" t="n">
        <x:v>2</x:v>
      </x:c>
      <x:c r="J5064" s="274" t="n">
        <x:v>1085</x:v>
      </x:c>
      <x:c r="K5064" s="274" t="n">
        <x:v>809.5</x:v>
      </x:c>
      <x:c r="M5064" s="274" t="s">
        <x:v>8932</x:v>
      </x:c>
      <x:c r="N5064" s="274" t="s">
        <x:v>126</x:v>
      </x:c>
    </x:row>
    <x:row r="5065" spans="1:14">
      <x:c r="A5065" s="274" t="s">
        <x:v>8933</x:v>
      </x:c>
      <x:c r="B5065" s="274" t="n">
        <x:v>3.08</x:v>
      </x:c>
      <x:c r="C5065" s="274" t="n">
        <x:v>0</x:v>
      </x:c>
      <x:c r="D5065" s="274" t="n">
        <x:v>0</x:v>
      </x:c>
      <x:c r="F5065" s="274" t="s">
        <x:v>123</x:v>
      </x:c>
      <x:c r="G5065" s="274" t="s">
        <x:v>209</x:v>
      </x:c>
      <x:c r="I5065" s="274" t="n">
        <x:v>1.2</x:v>
      </x:c>
      <x:c r="J5065" s="274" t="n">
        <x:v>222</x:v>
      </x:c>
      <x:c r="K5065" s="274" t="n">
        <x:v>1471</x:v>
      </x:c>
      <x:c r="M5065" s="274" t="s">
        <x:v>8934</x:v>
      </x:c>
      <x:c r="N5065" s="274" t="s">
        <x:v>162</x:v>
      </x:c>
    </x:row>
    <x:row r="5066" spans="1:14">
      <x:c r="A5066" s="274" t="s">
        <x:v>8935</x:v>
      </x:c>
      <x:c r="B5066" s="274" t="n">
        <x:v>18.82</x:v>
      </x:c>
      <x:c r="C5066" s="274" t="n">
        <x:v>0</x:v>
      </x:c>
      <x:c r="D5066" s="274" t="n">
        <x:v>30</x:v>
      </x:c>
      <x:c r="E5066" s="274" t="n">
        <x:v>31</x:v>
      </x:c>
      <x:c r="F5066" s="274" t="s">
        <x:v>133</x:v>
      </x:c>
      <x:c r="G5066" s="274" t="s">
        <x:v>148</x:v>
      </x:c>
      <x:c r="I5066" s="274" t="n">
        <x:v>2.3</x:v>
      </x:c>
      <x:c r="J5066" s="274" t="n">
        <x:v>1120</x:v>
      </x:c>
      <x:c r="K5066" s="274" t="n">
        <x:v>930</x:v>
      </x:c>
      <x:c r="M5066" s="274" t="s">
        <x:v>8936</x:v>
      </x:c>
      <x:c r="N5066" s="274" t="s">
        <x:v>126</x:v>
      </x:c>
    </x:row>
    <x:row r="5067" spans="1:14">
      <x:c r="A5067" s="274" t="s">
        <x:v>8937</x:v>
      </x:c>
      <x:c r="B5067" s="274" t="n">
        <x:v>3.6</x:v>
      </x:c>
      <x:c r="C5067" s="274" t="n">
        <x:v>0</x:v>
      </x:c>
      <x:c r="D5067" s="274" t="n">
        <x:v>35</x:v>
      </x:c>
      <x:c r="E5067" s="274" t="n">
        <x:v>24</x:v>
      </x:c>
      <x:c r="F5067" s="274" t="s">
        <x:v>123</x:v>
      </x:c>
      <x:c r="G5067" s="274" t="s">
        <x:v>153</x:v>
      </x:c>
      <x:c r="I5067" s="274" t="n">
        <x:v>1.2</x:v>
      </x:c>
      <x:c r="J5067" s="274" t="n">
        <x:v>500</x:v>
      </x:c>
      <x:c r="K5067" s="274" t="n">
        <x:v>765</x:v>
      </x:c>
      <x:c r="M5067" s="274" t="s">
        <x:v>2907</x:v>
      </x:c>
      <x:c r="N5067" s="274" t="s">
        <x:v>162</x:v>
      </x:c>
    </x:row>
    <x:row r="5068" spans="1:14">
      <x:c r="A5068" s="274" t="s">
        <x:v>8938</x:v>
      </x:c>
      <x:c r="B5068" s="274" t="n">
        <x:v>3.18</x:v>
      </x:c>
      <x:c r="C5068" s="274" t="n">
        <x:v>0</x:v>
      </x:c>
      <x:c r="D5068" s="274" t="n">
        <x:v>35</x:v>
      </x:c>
      <x:c r="E5068" s="274" t="n">
        <x:v>30</x:v>
      </x:c>
      <x:c r="F5068" s="274" t="s">
        <x:v>123</x:v>
      </x:c>
      <x:c r="G5068" s="274" t="s">
        <x:v>153</x:v>
      </x:c>
      <x:c r="I5068" s="274" t="n">
        <x:v>1.2</x:v>
      </x:c>
      <x:c r="J5068" s="274" t="n">
        <x:v>500</x:v>
      </x:c>
      <x:c r="K5068" s="274" t="n">
        <x:v>675</x:v>
      </x:c>
      <x:c r="M5068" s="274" t="s">
        <x:v>2909</x:v>
      </x:c>
      <x:c r="N5068" s="274" t="s">
        <x:v>162</x:v>
      </x:c>
    </x:row>
    <x:row r="5069" spans="1:14">
      <x:c r="A5069" s="274" t="s">
        <x:v>8939</x:v>
      </x:c>
      <x:c r="B5069" s="274" t="n">
        <x:v>7.21</x:v>
      </x:c>
      <x:c r="C5069" s="274" t="n">
        <x:v>0</x:v>
      </x:c>
      <x:c r="D5069" s="274" t="n">
        <x:v>0</x:v>
      </x:c>
      <x:c r="E5069" s="274" t="n">
        <x:v>0</x:v>
      </x:c>
      <x:c r="F5069" s="274" t="s">
        <x:v>184</x:v>
      </x:c>
      <x:c r="G5069" s="274" t="s">
        <x:v>1718</x:v>
      </x:c>
      <x:c r="H5069" s="274" t="s">
        <x:v>285</x:v>
      </x:c>
      <x:c r="I5069" s="274" t="n">
        <x:v>0.65</x:v>
      </x:c>
      <x:c r="J5069" s="274" t="n">
        <x:v>1155</x:v>
      </x:c>
      <x:c r="K5069" s="274" t="n">
        <x:v>1415.4</x:v>
      </x:c>
      <x:c r="L5069" s="274" t="n">
        <x:v>988.7</x:v>
      </x:c>
      <x:c r="M5069" s="274" t="s">
        <x:v>8940</x:v>
      </x:c>
      <x:c r="N5069" s="274" t="s">
        <x:v>162</x:v>
      </x:c>
    </x:row>
    <x:row r="5070" spans="1:14">
      <x:c r="A5070" s="274" t="s">
        <x:v>8941</x:v>
      </x:c>
      <x:c r="B5070" s="274" t="n">
        <x:v>5.9</x:v>
      </x:c>
      <x:c r="C5070" s="274" t="n">
        <x:v>0</x:v>
      </x:c>
      <x:c r="D5070" s="274" t="n">
        <x:v>32</x:v>
      </x:c>
      <x:c r="E5070" s="274" t="n">
        <x:v>40</x:v>
      </x:c>
      <x:c r="F5070" s="274" t="s">
        <x:v>184</x:v>
      </x:c>
      <x:c r="G5070" s="274" t="s">
        <x:v>144</x:v>
      </x:c>
      <x:c r="H5070" s="274" t="n">
        <x:v>45</x:v>
      </x:c>
      <x:c r="I5070" s="274" t="n">
        <x:v>1.2</x:v>
      </x:c>
      <x:c r="J5070" s="274" t="n">
        <x:v>1360</x:v>
      </x:c>
      <x:c r="K5070" s="274" t="n">
        <x:v>456</x:v>
      </x:c>
      <x:c r="M5070" s="274" t="s">
        <x:v>6444</x:v>
      </x:c>
      <x:c r="N5070" s="274" t="s">
        <x:v>202</x:v>
      </x:c>
    </x:row>
    <x:row r="5071" spans="1:14">
      <x:c r="A5071" s="274" t="s">
        <x:v>8942</x:v>
      </x:c>
      <x:c r="B5071" s="274" t="n">
        <x:v>7.21</x:v>
      </x:c>
      <x:c r="C5071" s="274" t="n">
        <x:v>0</x:v>
      </x:c>
      <x:c r="D5071" s="274" t="n">
        <x:v>0</x:v>
      </x:c>
      <x:c r="E5071" s="274" t="n">
        <x:v>0</x:v>
      </x:c>
      <x:c r="F5071" s="274" t="s">
        <x:v>184</x:v>
      </x:c>
      <x:c r="G5071" s="274" t="s">
        <x:v>1718</x:v>
      </x:c>
      <x:c r="H5071" s="274" t="s">
        <x:v>285</x:v>
      </x:c>
      <x:c r="I5071" s="274" t="n">
        <x:v>0.65</x:v>
      </x:c>
      <x:c r="J5071" s="274" t="n">
        <x:v>1155</x:v>
      </x:c>
      <x:c r="K5071" s="274" t="n">
        <x:v>1415.4</x:v>
      </x:c>
      <x:c r="L5071" s="274" t="n">
        <x:v>988.7</x:v>
      </x:c>
      <x:c r="M5071" s="274" t="s">
        <x:v>8943</x:v>
      </x:c>
      <x:c r="N5071" s="274" t="s">
        <x:v>162</x:v>
      </x:c>
    </x:row>
    <x:row r="5072" spans="1:14">
      <x:c r="A5072" s="274" t="s">
        <x:v>8944</x:v>
      </x:c>
      <x:c r="B5072" s="274" t="n">
        <x:v>3.62</x:v>
      </x:c>
      <x:c r="C5072" s="274" t="n">
        <x:v>0</x:v>
      </x:c>
      <x:c r="D5072" s="274" t="n">
        <x:v>42</x:v>
      </x:c>
      <x:c r="E5072" s="274" t="n">
        <x:v>40</x:v>
      </x:c>
      <x:c r="F5072" s="274" t="s">
        <x:v>184</x:v>
      </x:c>
      <x:c r="G5072" s="274" t="s">
        <x:v>136</x:v>
      </x:c>
      <x:c r="H5072" s="274" t="n">
        <x:v>45</x:v>
      </x:c>
      <x:c r="I5072" s="274" t="n">
        <x:v>0.6</x:v>
      </x:c>
      <x:c r="J5072" s="274" t="n">
        <x:v>1435</x:v>
      </x:c>
      <x:c r="K5072" s="274" t="n">
        <x:v>525</x:v>
      </x:c>
      <x:c r="M5072" s="274" t="s">
        <x:v>7590</x:v>
      </x:c>
      <x:c r="N5072" s="274" t="s">
        <x:v>162</x:v>
      </x:c>
    </x:row>
    <x:row r="5073" spans="1:14">
      <x:c r="A5073" s="274" t="s">
        <x:v>8945</x:v>
      </x:c>
      <x:c r="B5073" s="274" t="n">
        <x:v>10.29</x:v>
      </x:c>
      <x:c r="C5073" s="274" t="n">
        <x:v>0</x:v>
      </x:c>
      <x:c r="D5073" s="274" t="n">
        <x:v>0</x:v>
      </x:c>
      <x:c r="E5073" s="274" t="n">
        <x:v>0</x:v>
      </x:c>
      <x:c r="F5073" s="274" t="s">
        <x:v>133</x:v>
      </x:c>
      <x:c r="G5073" s="274" t="s">
        <x:v>473</x:v>
      </x:c>
      <x:c r="I5073" s="274" t="n">
        <x:v>0.65</x:v>
      </x:c>
      <x:c r="J5073" s="274" t="n">
        <x:v>1115</x:v>
      </x:c>
      <x:c r="K5073" s="274" t="n">
        <x:v>1809</x:v>
      </x:c>
      <x:c r="M5073" s="274" t="s">
        <x:v>8946</x:v>
      </x:c>
      <x:c r="N5073" s="274" t="s">
        <x:v>202</x:v>
      </x:c>
    </x:row>
    <x:row r="5074" spans="1:14">
      <x:c r="A5074" s="274" t="s">
        <x:v>8947</x:v>
      </x:c>
      <x:c r="B5074" s="274" t="n">
        <x:v>2.89</x:v>
      </x:c>
      <x:c r="C5074" s="274" t="n">
        <x:v>0</x:v>
      </x:c>
      <x:c r="D5074" s="274" t="n">
        <x:v>0</x:v>
      </x:c>
      <x:c r="F5074" s="274" t="s">
        <x:v>133</x:v>
      </x:c>
      <x:c r="G5074" s="274" t="s">
        <x:v>136</x:v>
      </x:c>
      <x:c r="H5074" s="274" t="n">
        <x:v>45</x:v>
      </x:c>
      <x:c r="I5074" s="274" t="n">
        <x:v>1.2</x:v>
      </x:c>
      <x:c r="J5074" s="274" t="n">
        <x:v>220</x:v>
      </x:c>
      <x:c r="K5074" s="274" t="n">
        <x:v>1380</x:v>
      </x:c>
      <x:c r="M5074" s="274" t="s">
        <x:v>8948</x:v>
      </x:c>
      <x:c r="N5074" s="274" t="s">
        <x:v>207</x:v>
      </x:c>
    </x:row>
    <x:row r="5075" spans="1:14">
      <x:c r="A5075" s="274" t="s">
        <x:v>8949</x:v>
      </x:c>
      <x:c r="B5075" s="274" t="n">
        <x:v>83.62</x:v>
      </x:c>
      <x:c r="C5075" s="274" t="n">
        <x:v>0</x:v>
      </x:c>
      <x:c r="D5075" s="274" t="n">
        <x:v>30</x:v>
      </x:c>
      <x:c r="E5075" s="274" t="n">
        <x:v>14</x:v>
      </x:c>
      <x:c r="F5075" s="274" t="s">
        <x:v>133</x:v>
      </x:c>
      <x:c r="G5075" s="274" t="s">
        <x:v>148</x:v>
      </x:c>
      <x:c r="I5075" s="274" t="n">
        <x:v>2.9</x:v>
      </x:c>
      <x:c r="J5075" s="274" t="n">
        <x:v>950</x:v>
      </x:c>
      <x:c r="K5075" s="274" t="n">
        <x:v>3867</x:v>
      </x:c>
      <x:c r="M5075" s="274" t="s">
        <x:v>8950</x:v>
      </x:c>
      <x:c r="N5075" s="274" t="s">
        <x:v>126</x:v>
      </x:c>
    </x:row>
    <x:row r="5076" spans="1:14">
      <x:c r="A5076" s="274" t="s">
        <x:v>8951</x:v>
      </x:c>
      <x:c r="B5076" s="274" t="n">
        <x:v>0.93</x:v>
      </x:c>
      <x:c r="C5076" s="274" t="n">
        <x:v>0</x:v>
      </x:c>
      <x:c r="D5076" s="274" t="n">
        <x:v>0</x:v>
      </x:c>
      <x:c r="F5076" s="274" t="s">
        <x:v>123</x:v>
      </x:c>
      <x:c r="G5076" s="274" t="s">
        <x:v>209</x:v>
      </x:c>
      <x:c r="I5076" s="274" t="n">
        <x:v>1.2</x:v>
      </x:c>
      <x:c r="J5076" s="274" t="n">
        <x:v>143</x:v>
      </x:c>
      <x:c r="K5076" s="274" t="n">
        <x:v>687</x:v>
      </x:c>
      <x:c r="M5076" s="274" t="s">
        <x:v>2759</x:v>
      </x:c>
      <x:c r="N5076" s="274" t="s">
        <x:v>126</x:v>
      </x:c>
    </x:row>
    <x:row r="5077" spans="1:14">
      <x:c r="A5077" s="274" t="s">
        <x:v>8952</x:v>
      </x:c>
      <x:c r="B5077" s="274" t="n">
        <x:v>7.46</x:v>
      </x:c>
      <x:c r="C5077" s="274" t="n">
        <x:v>38</x:v>
      </x:c>
      <x:c r="D5077" s="274" t="n">
        <x:v>38</x:v>
      </x:c>
      <x:c r="F5077" s="274" t="s">
        <x:v>184</x:v>
      </x:c>
      <x:c r="G5077" s="274" t="s">
        <x:v>136</x:v>
      </x:c>
      <x:c r="H5077" s="274" t="n">
        <x:v>45</x:v>
      </x:c>
      <x:c r="I5077" s="274" t="n">
        <x:v>0.6</x:v>
      </x:c>
      <x:c r="J5077" s="274" t="n">
        <x:v>1610</x:v>
      </x:c>
      <x:c r="K5077" s="274" t="n">
        <x:v>966</x:v>
      </x:c>
      <x:c r="M5077" s="274" t="s">
        <x:v>5201</x:v>
      </x:c>
      <x:c r="N5077" s="274" t="s">
        <x:v>126</x:v>
      </x:c>
    </x:row>
    <x:row r="5078" spans="1:14">
      <x:c r="A5078" s="274" t="s">
        <x:v>8953</x:v>
      </x:c>
      <x:c r="B5078" s="274" t="n">
        <x:v>0.3</x:v>
      </x:c>
      <x:c r="C5078" s="274" t="n">
        <x:v>32</x:v>
      </x:c>
      <x:c r="D5078" s="274" t="n">
        <x:v>35</x:v>
      </x:c>
      <x:c r="E5078" s="274" t="n">
        <x:v>33</x:v>
      </x:c>
      <x:c r="F5078" s="274" t="s">
        <x:v>123</x:v>
      </x:c>
      <x:c r="G5078" s="274" t="s">
        <x:v>153</x:v>
      </x:c>
      <x:c r="I5078" s="274" t="n">
        <x:v>1</x:v>
      </x:c>
      <x:c r="J5078" s="274" t="n">
        <x:v>200</x:v>
      </x:c>
      <x:c r="K5078" s="274" t="n">
        <x:v>190</x:v>
      </x:c>
      <x:c r="M5078" s="274" t="s">
        <x:v>1194</x:v>
      </x:c>
      <x:c r="N5078" s="274" t="s">
        <x:v>162</x:v>
      </x:c>
    </x:row>
    <x:row r="5079" spans="1:14">
      <x:c r="A5079" s="274" t="s">
        <x:v>8954</x:v>
      </x:c>
      <x:c r="B5079" s="274" t="n">
        <x:v>1.66</x:v>
      </x:c>
      <x:c r="C5079" s="274" t="n">
        <x:v>0</x:v>
      </x:c>
      <x:c r="D5079" s="274" t="n">
        <x:v>35</x:v>
      </x:c>
      <x:c r="E5079" s="274" t="n">
        <x:v>33</x:v>
      </x:c>
      <x:c r="F5079" s="274" t="s">
        <x:v>123</x:v>
      </x:c>
      <x:c r="G5079" s="274" t="s">
        <x:v>153</x:v>
      </x:c>
      <x:c r="I5079" s="274" t="n">
        <x:v>2.6</x:v>
      </x:c>
      <x:c r="J5079" s="274" t="n">
        <x:v>307</x:v>
      </x:c>
      <x:c r="K5079" s="274" t="n">
        <x:v>265</x:v>
      </x:c>
      <x:c r="M5079" s="274" t="s">
        <x:v>3333</x:v>
      </x:c>
      <x:c r="N5079" s="274" t="s">
        <x:v>162</x:v>
      </x:c>
    </x:row>
    <x:row r="5080" spans="1:14">
      <x:c r="A5080" s="274" t="s">
        <x:v>8955</x:v>
      </x:c>
      <x:c r="B5080" s="274" t="n">
        <x:v>1.85</x:v>
      </x:c>
      <x:c r="C5080" s="274" t="n">
        <x:v>0</x:v>
      </x:c>
      <x:c r="D5080" s="274" t="n">
        <x:v>35</x:v>
      </x:c>
      <x:c r="E5080" s="274" t="n">
        <x:v>33</x:v>
      </x:c>
      <x:c r="F5080" s="274" t="s">
        <x:v>123</x:v>
      </x:c>
      <x:c r="G5080" s="274" t="s">
        <x:v>153</x:v>
      </x:c>
      <x:c r="I5080" s="274" t="n">
        <x:v>2.6</x:v>
      </x:c>
      <x:c r="J5080" s="274" t="n">
        <x:v>307</x:v>
      </x:c>
      <x:c r="K5080" s="274" t="n">
        <x:v>295</x:v>
      </x:c>
      <x:c r="M5080" s="274" t="s">
        <x:v>3190</x:v>
      </x:c>
      <x:c r="N5080" s="274" t="s">
        <x:v>162</x:v>
      </x:c>
    </x:row>
    <x:row r="5081" spans="1:14">
      <x:c r="A5081" s="274" t="s">
        <x:v>8956</x:v>
      </x:c>
      <x:c r="B5081" s="274" t="n">
        <x:v>0.58</x:v>
      </x:c>
      <x:c r="C5081" s="274" t="n">
        <x:v>0</x:v>
      </x:c>
      <x:c r="D5081" s="274" t="n">
        <x:v>35</x:v>
      </x:c>
      <x:c r="E5081" s="274" t="n">
        <x:v>33</x:v>
      </x:c>
      <x:c r="F5081" s="274" t="s">
        <x:v>123</x:v>
      </x:c>
      <x:c r="G5081" s="274" t="s">
        <x:v>209</x:v>
      </x:c>
      <x:c r="I5081" s="274" t="n">
        <x:v>1.8</x:v>
      </x:c>
      <x:c r="J5081" s="274" t="n">
        <x:v>205</x:v>
      </x:c>
      <x:c r="K5081" s="274" t="n">
        <x:v>199</x:v>
      </x:c>
      <x:c r="M5081" s="274" t="s">
        <x:v>3310</x:v>
      </x:c>
      <x:c r="N5081" s="274" t="s">
        <x:v>162</x:v>
      </x:c>
    </x:row>
    <x:row r="5082" spans="1:14">
      <x:c r="A5082" s="274" t="s">
        <x:v>8957</x:v>
      </x:c>
      <x:c r="B5082" s="274" t="n">
        <x:v>6.07</x:v>
      </x:c>
      <x:c r="C5082" s="274" t="n">
        <x:v>0</x:v>
      </x:c>
      <x:c r="D5082" s="274" t="n">
        <x:v>32</x:v>
      </x:c>
      <x:c r="E5082" s="274" t="n">
        <x:v>40</x:v>
      </x:c>
      <x:c r="F5082" s="274" t="s">
        <x:v>123</x:v>
      </x:c>
      <x:c r="G5082" s="274" t="s">
        <x:v>209</x:v>
      </x:c>
      <x:c r="I5082" s="274" t="n">
        <x:v>0.65</x:v>
      </x:c>
      <x:c r="J5082" s="274" t="n">
        <x:v>1460</x:v>
      </x:c>
      <x:c r="K5082" s="274" t="n">
        <x:v>815</x:v>
      </x:c>
      <x:c r="M5082" s="274" t="s">
        <x:v>8958</x:v>
      </x:c>
      <x:c r="N5082" s="274" t="s">
        <x:v>162</x:v>
      </x:c>
    </x:row>
    <x:row r="5083" spans="1:14">
      <x:c r="A5083" s="274" t="s">
        <x:v>8959</x:v>
      </x:c>
      <x:c r="B5083" s="274" t="n">
        <x:v>30.15</x:v>
      </x:c>
      <x:c r="C5083" s="274" t="n">
        <x:v>0</x:v>
      </x:c>
      <x:c r="D5083" s="274" t="n">
        <x:v>0</x:v>
      </x:c>
      <x:c r="E5083" s="274" t="n">
        <x:v>0</x:v>
      </x:c>
      <x:c r="F5083" s="274" t="s">
        <x:v>128</x:v>
      </x:c>
      <x:c r="G5083" s="274" t="s">
        <x:v>136</x:v>
      </x:c>
      <x:c r="H5083" s="274" t="s">
        <x:v>1729</x:v>
      </x:c>
      <x:c r="I5083" s="274" t="n">
        <x:v>0.7</x:v>
      </x:c>
      <x:c r="J5083" s="274" t="n">
        <x:v>1575</x:v>
      </x:c>
      <x:c r="K5083" s="274" t="n">
        <x:v>3427</x:v>
      </x:c>
      <x:c r="M5083" s="274" t="s">
        <x:v>8960</x:v>
      </x:c>
      <x:c r="N5083" s="274" t="s">
        <x:v>146</x:v>
      </x:c>
    </x:row>
    <x:row r="5084" spans="1:14">
      <x:c r="A5084" s="274" t="s">
        <x:v>8961</x:v>
      </x:c>
      <x:c r="B5084" s="274" t="n">
        <x:v>30.16</x:v>
      </x:c>
      <x:c r="C5084" s="274" t="n">
        <x:v>0</x:v>
      </x:c>
      <x:c r="D5084" s="274" t="n">
        <x:v>0</x:v>
      </x:c>
      <x:c r="E5084" s="274" t="n">
        <x:v>10</x:v>
      </x:c>
      <x:c r="F5084" s="274" t="s">
        <x:v>128</x:v>
      </x:c>
      <x:c r="G5084" s="274" t="s">
        <x:v>136</x:v>
      </x:c>
      <x:c r="H5084" s="274" t="s">
        <x:v>1732</x:v>
      </x:c>
      <x:c r="I5084" s="274" t="n">
        <x:v>0.7</x:v>
      </x:c>
      <x:c r="J5084" s="274" t="n">
        <x:v>1576</x:v>
      </x:c>
      <x:c r="K5084" s="274" t="n">
        <x:v>3427</x:v>
      </x:c>
      <x:c r="M5084" s="274" t="s">
        <x:v>3798</x:v>
      </x:c>
      <x:c r="N5084" s="274" t="s">
        <x:v>126</x:v>
      </x:c>
    </x:row>
    <x:row r="5085" spans="1:14">
      <x:c r="A5085" s="274" t="s">
        <x:v>8962</x:v>
      </x:c>
      <x:c r="B5085" s="274" t="n">
        <x:v>1.78</x:v>
      </x:c>
      <x:c r="C5085" s="274" t="n">
        <x:v>0</x:v>
      </x:c>
      <x:c r="D5085" s="274" t="n">
        <x:v>35</x:v>
      </x:c>
      <x:c r="E5085" s="274" t="n">
        <x:v>30</x:v>
      </x:c>
      <x:c r="F5085" s="274" t="s">
        <x:v>128</x:v>
      </x:c>
      <x:c r="G5085" s="274" t="s">
        <x:v>3314</x:v>
      </x:c>
      <x:c r="H5085" s="274" t="n">
        <x:v>45</x:v>
      </x:c>
      <x:c r="I5085" s="274" t="n">
        <x:v>2.3</x:v>
      </x:c>
      <x:c r="J5085" s="274" t="n">
        <x:v>161</x:v>
      </x:c>
      <x:c r="K5085" s="274" t="n">
        <x:v>608</x:v>
      </x:c>
      <x:c r="M5085" s="274" t="s">
        <x:v>8963</x:v>
      </x:c>
      <x:c r="N5085" s="274" t="s">
        <x:v>162</x:v>
      </x:c>
    </x:row>
    <x:row r="5086" spans="1:14">
      <x:c r="A5086" s="274" t="s">
        <x:v>8964</x:v>
      </x:c>
      <x:c r="B5086" s="274" t="n">
        <x:v>4.4</x:v>
      </x:c>
      <x:c r="C5086" s="274" t="n">
        <x:v>19</x:v>
      </x:c>
      <x:c r="D5086" s="274" t="n">
        <x:v>28</x:v>
      </x:c>
      <x:c r="E5086" s="274" t="n">
        <x:v>24</x:v>
      </x:c>
      <x:c r="F5086" s="274" t="s">
        <x:v>123</x:v>
      </x:c>
      <x:c r="G5086" s="274" t="s">
        <x:v>209</x:v>
      </x:c>
      <x:c r="I5086" s="274" t="n">
        <x:v>1.6</x:v>
      </x:c>
      <x:c r="J5086" s="274" t="n">
        <x:v>358</x:v>
      </x:c>
      <x:c r="K5086" s="274" t="n">
        <x:v>978</x:v>
      </x:c>
      <x:c r="M5086" s="274" t="s">
        <x:v>8852</x:v>
      </x:c>
      <x:c r="N5086" s="274" t="s">
        <x:v>162</x:v>
      </x:c>
    </x:row>
    <x:row r="5087" spans="1:14">
      <x:c r="A5087" s="274" t="s">
        <x:v>8965</x:v>
      </x:c>
      <x:c r="B5087" s="274" t="n">
        <x:v>12.81</x:v>
      </x:c>
      <x:c r="C5087" s="274" t="n">
        <x:v>0</x:v>
      </x:c>
      <x:c r="D5087" s="274" t="n">
        <x:v>0</x:v>
      </x:c>
      <x:c r="E5087" s="274" t="n">
        <x:v>28</x:v>
      </x:c>
      <x:c r="F5087" s="274" t="s">
        <x:v>184</x:v>
      </x:c>
      <x:c r="G5087" s="274" t="s">
        <x:v>136</x:v>
      </x:c>
      <x:c r="H5087" s="274" t="s">
        <x:v>285</x:v>
      </x:c>
      <x:c r="I5087" s="274" t="n">
        <x:v>0.75</x:v>
      </x:c>
      <x:c r="J5087" s="274" t="n">
        <x:v>1405</x:v>
      </x:c>
      <x:c r="K5087" s="274" t="n">
        <x:v>1525</x:v>
      </x:c>
      <x:c r="M5087" s="274" t="s">
        <x:v>6448</x:v>
      </x:c>
      <x:c r="N5087" s="274" t="s">
        <x:v>126</x:v>
      </x:c>
    </x:row>
    <x:row r="5088" spans="1:14">
      <x:c r="A5088" s="274" t="s">
        <x:v>8966</x:v>
      </x:c>
      <x:c r="B5088" s="274" t="n">
        <x:v>13.01</x:v>
      </x:c>
      <x:c r="C5088" s="274" t="n">
        <x:v>0</x:v>
      </x:c>
      <x:c r="D5088" s="274" t="n">
        <x:v>0</x:v>
      </x:c>
      <x:c r="E5088" s="274" t="n">
        <x:v>0</x:v>
      </x:c>
      <x:c r="F5088" s="274" t="s">
        <x:v>184</x:v>
      </x:c>
      <x:c r="G5088" s="274" t="s">
        <x:v>136</x:v>
      </x:c>
      <x:c r="H5088" s="274" t="s">
        <x:v>285</x:v>
      </x:c>
      <x:c r="I5088" s="274" t="n">
        <x:v>0.75</x:v>
      </x:c>
      <x:c r="J5088" s="274" t="n">
        <x:v>955</x:v>
      </x:c>
      <x:c r="K5088" s="274" t="n">
        <x:v>2112</x:v>
      </x:c>
      <x:c r="L5088" s="274" t="n">
        <x:v>2447</x:v>
      </x:c>
      <x:c r="M5088" s="274" t="s">
        <x:v>8967</x:v>
      </x:c>
      <x:c r="N5088" s="274" t="s">
        <x:v>126</x:v>
      </x:c>
    </x:row>
    <x:row r="5089" spans="1:14">
      <x:c r="A5089" s="274" t="s">
        <x:v>8968</x:v>
      </x:c>
      <x:c r="B5089" s="274" t="n">
        <x:v>4.1</x:v>
      </x:c>
      <x:c r="C5089" s="274" t="n">
        <x:v>0</x:v>
      </x:c>
      <x:c r="D5089" s="274" t="n">
        <x:v>28</x:v>
      </x:c>
      <x:c r="E5089" s="274" t="n">
        <x:v>24</x:v>
      </x:c>
      <x:c r="F5089" s="274" t="s">
        <x:v>123</x:v>
      </x:c>
      <x:c r="G5089" s="274" t="s">
        <x:v>209</x:v>
      </x:c>
      <x:c r="I5089" s="274" t="n">
        <x:v>2</x:v>
      </x:c>
      <x:c r="J5089" s="274" t="n">
        <x:v>270</x:v>
      </x:c>
      <x:c r="K5089" s="274" t="n">
        <x:v>968</x:v>
      </x:c>
      <x:c r="M5089" s="274" t="s">
        <x:v>8924</x:v>
      </x:c>
      <x:c r="N5089" s="274" t="s">
        <x:v>162</x:v>
      </x:c>
    </x:row>
    <x:row r="5090" spans="1:14">
      <x:c r="A5090" s="274" t="s">
        <x:v>8969</x:v>
      </x:c>
      <x:c r="B5090" s="274" t="n">
        <x:v>0.43</x:v>
      </x:c>
      <x:c r="C5090" s="274" t="n">
        <x:v>30</x:v>
      </x:c>
      <x:c r="D5090" s="274" t="n">
        <x:v>35</x:v>
      </x:c>
      <x:c r="E5090" s="274" t="n">
        <x:v>33</x:v>
      </x:c>
      <x:c r="F5090" s="274" t="s">
        <x:v>133</x:v>
      </x:c>
      <x:c r="G5090" s="274" t="s">
        <x:v>136</x:v>
      </x:c>
      <x:c r="H5090" s="274" t="n">
        <x:v>45</x:v>
      </x:c>
      <x:c r="I5090" s="274" t="n">
        <x:v>0.9</x:v>
      </x:c>
      <x:c r="J5090" s="274" t="n">
        <x:v>240</x:v>
      </x:c>
      <x:c r="K5090" s="274" t="n">
        <x:v>250</x:v>
      </x:c>
      <x:c r="M5090" s="274" t="s">
        <x:v>8766</x:v>
      </x:c>
      <x:c r="N5090" s="274" t="s">
        <x:v>162</x:v>
      </x:c>
    </x:row>
    <x:row r="5091" spans="1:14">
      <x:c r="A5091" s="274" t="s">
        <x:v>8970</x:v>
      </x:c>
      <x:c r="B5091" s="274" t="n">
        <x:v>0.91</x:v>
      </x:c>
      <x:c r="C5091" s="274" t="n">
        <x:v>28</x:v>
      </x:c>
      <x:c r="D5091" s="274" t="n">
        <x:v>35</x:v>
      </x:c>
      <x:c r="E5091" s="274" t="n">
        <x:v>33</x:v>
      </x:c>
      <x:c r="F5091" s="274" t="s">
        <x:v>133</x:v>
      </x:c>
      <x:c r="G5091" s="274" t="s">
        <x:v>136</x:v>
      </x:c>
      <x:c r="H5091" s="274" t="n">
        <x:v>45</x:v>
      </x:c>
      <x:c r="I5091" s="274" t="n">
        <x:v>0.9</x:v>
      </x:c>
      <x:c r="J5091" s="274" t="n">
        <x:v>375</x:v>
      </x:c>
      <x:c r="K5091" s="274" t="n">
        <x:v>340</x:v>
      </x:c>
      <x:c r="M5091" s="274" t="s">
        <x:v>8896</x:v>
      </x:c>
      <x:c r="N5091" s="274" t="s">
        <x:v>162</x:v>
      </x:c>
    </x:row>
    <x:row r="5092" spans="1:14">
      <x:c r="A5092" s="274" t="s">
        <x:v>8971</x:v>
      </x:c>
      <x:c r="B5092" s="274" t="n">
        <x:v>0.67</x:v>
      </x:c>
      <x:c r="C5092" s="274" t="n">
        <x:v>0</x:v>
      </x:c>
      <x:c r="D5092" s="274" t="n">
        <x:v>0</x:v>
      </x:c>
      <x:c r="F5092" s="274" t="s">
        <x:v>123</x:v>
      </x:c>
      <x:c r="G5092" s="274" t="s">
        <x:v>153</x:v>
      </x:c>
      <x:c r="I5092" s="274" t="n">
        <x:v>1</x:v>
      </x:c>
      <x:c r="J5092" s="274" t="n">
        <x:v>570</x:v>
      </x:c>
      <x:c r="K5092" s="274" t="n">
        <x:v>150</x:v>
      </x:c>
      <x:c r="M5092" s="274" t="s">
        <x:v>8972</x:v>
      </x:c>
    </x:row>
    <x:row r="5093" spans="1:14">
      <x:c r="A5093" s="274" t="s">
        <x:v>8973</x:v>
      </x:c>
      <x:c r="B5093" s="274" t="n">
        <x:v>4.4</x:v>
      </x:c>
      <x:c r="C5093" s="274" t="n">
        <x:v>0</x:v>
      </x:c>
      <x:c r="D5093" s="274" t="n">
        <x:v>0</x:v>
      </x:c>
      <x:c r="F5093" s="274" t="s">
        <x:v>133</x:v>
      </x:c>
      <x:c r="G5093" s="274" t="s">
        <x:v>148</x:v>
      </x:c>
      <x:c r="I5093" s="274" t="n">
        <x:v>4</x:v>
      </x:c>
      <x:c r="J5093" s="274" t="n">
        <x:v>1030</x:v>
      </x:c>
      <x:c r="K5093" s="274" t="n">
        <x:v>136</x:v>
      </x:c>
      <x:c r="M5093" s="274" t="s">
        <x:v>8974</x:v>
      </x:c>
      <x:c r="N5093" s="274" t="s">
        <x:v>126</x:v>
      </x:c>
    </x:row>
    <x:row r="5094" spans="1:14">
      <x:c r="A5094" s="274" t="s">
        <x:v>8975</x:v>
      </x:c>
      <x:c r="B5094" s="274" t="n">
        <x:v>1.99</x:v>
      </x:c>
      <x:c r="C5094" s="274" t="n">
        <x:v>0</x:v>
      </x:c>
      <x:c r="D5094" s="274" t="n">
        <x:v>26</x:v>
      </x:c>
      <x:c r="E5094" s="274" t="n">
        <x:v>16</x:v>
      </x:c>
      <x:c r="F5094" s="274" t="s">
        <x:v>123</x:v>
      </x:c>
      <x:c r="G5094" s="274" t="s">
        <x:v>153</x:v>
      </x:c>
      <x:c r="I5094" s="274" t="n">
        <x:v>1.2</x:v>
      </x:c>
      <x:c r="J5094" s="274" t="n">
        <x:v>200</x:v>
      </x:c>
      <x:c r="K5094" s="274" t="n">
        <x:v>1055</x:v>
      </x:c>
      <x:c r="M5094" s="274" t="s">
        <x:v>8878</x:v>
      </x:c>
      <x:c r="N5094" s="274" t="s">
        <x:v>162</x:v>
      </x:c>
    </x:row>
    <x:row r="5095" spans="1:14">
      <x:c r="A5095" s="274" t="s">
        <x:v>8976</x:v>
      </x:c>
      <x:c r="B5095" s="274" t="n">
        <x:v>9.26</x:v>
      </x:c>
      <x:c r="C5095" s="274" t="n">
        <x:v>0</x:v>
      </x:c>
      <x:c r="D5095" s="274" t="n">
        <x:v>0</x:v>
      </x:c>
      <x:c r="F5095" s="274" t="s">
        <x:v>133</x:v>
      </x:c>
      <x:c r="G5095" s="274" t="s">
        <x:v>1636</x:v>
      </x:c>
      <x:c r="I5095" s="274" t="n">
        <x:v>8</x:v>
      </x:c>
      <x:c r="J5095" s="274" t="n">
        <x:v>118</x:v>
      </x:c>
      <x:c r="K5095" s="274" t="n">
        <x:v>1250</x:v>
      </x:c>
      <x:c r="M5095" s="274" t="s">
        <x:v>8977</x:v>
      </x:c>
      <x:c r="N5095" s="274" t="s">
        <x:v>126</x:v>
      </x:c>
    </x:row>
    <x:row r="5096" spans="1:14">
      <x:c r="A5096" s="274" t="s">
        <x:v>8978</x:v>
      </x:c>
      <x:c r="B5096" s="274" t="n">
        <x:v>0.58</x:v>
      </x:c>
      <x:c r="C5096" s="274" t="n">
        <x:v>27</x:v>
      </x:c>
      <x:c r="D5096" s="274" t="n">
        <x:v>35</x:v>
      </x:c>
      <x:c r="E5096" s="274" t="n">
        <x:v>33</x:v>
      </x:c>
      <x:c r="F5096" s="274" t="s">
        <x:v>123</x:v>
      </x:c>
      <x:c r="G5096" s="274" t="s">
        <x:v>153</x:v>
      </x:c>
      <x:c r="I5096" s="274" t="n">
        <x:v>0.9</x:v>
      </x:c>
      <x:c r="J5096" s="274" t="n">
        <x:v>145</x:v>
      </x:c>
      <x:c r="K5096" s="274" t="n">
        <x:v>570</x:v>
      </x:c>
      <x:c r="M5096" s="274" t="s">
        <x:v>3308</x:v>
      </x:c>
      <x:c r="N5096" s="274" t="s">
        <x:v>162</x:v>
      </x:c>
    </x:row>
    <x:row r="5097" spans="1:14">
      <x:c r="A5097" s="274" t="s">
        <x:v>8979</x:v>
      </x:c>
      <x:c r="B5097" s="274" t="n">
        <x:v>0.71</x:v>
      </x:c>
      <x:c r="C5097" s="274" t="n">
        <x:v>0</x:v>
      </x:c>
      <x:c r="D5097" s="274" t="n">
        <x:v>0</x:v>
      </x:c>
      <x:c r="F5097" s="274" t="s">
        <x:v>133</x:v>
      </x:c>
      <x:c r="G5097" s="274" t="s">
        <x:v>136</x:v>
      </x:c>
      <x:c r="H5097" s="274" t="n">
        <x:v>45</x:v>
      </x:c>
      <x:c r="I5097" s="274" t="n">
        <x:v>0.6</x:v>
      </x:c>
      <x:c r="J5097" s="274" t="n">
        <x:v>290</x:v>
      </x:c>
      <x:c r="K5097" s="274" t="n">
        <x:v>510</x:v>
      </x:c>
      <x:c r="M5097" s="274" t="s">
        <x:v>8980</x:v>
      </x:c>
      <x:c r="N5097" s="274" t="s">
        <x:v>480</x:v>
      </x:c>
    </x:row>
    <x:row r="5098" spans="1:14">
      <x:c r="A5098" s="274" t="s">
        <x:v>8981</x:v>
      </x:c>
      <x:c r="B5098" s="274" t="n">
        <x:v>2.5</x:v>
      </x:c>
      <x:c r="C5098" s="274" t="n">
        <x:v>0</x:v>
      </x:c>
      <x:c r="D5098" s="274" t="n">
        <x:v>0</x:v>
      </x:c>
      <x:c r="F5098" s="274" t="s">
        <x:v>133</x:v>
      </x:c>
      <x:c r="G5098" s="274" t="s">
        <x:v>134</x:v>
      </x:c>
      <x:c r="I5098" s="274" t="n">
        <x:v>2.9</x:v>
      </x:c>
      <x:c r="J5098" s="274" t="n">
        <x:v>220</x:v>
      </x:c>
      <x:c r="K5098" s="274" t="n">
        <x:v>500</x:v>
      </x:c>
      <x:c r="M5098" s="274" t="s">
        <x:v>8982</x:v>
      </x:c>
    </x:row>
    <x:row r="5099" spans="1:14">
      <x:c r="A5099" s="274" t="s">
        <x:v>8983</x:v>
      </x:c>
      <x:c r="B5099" s="274" t="n">
        <x:v>7.41</x:v>
      </x:c>
      <x:c r="C5099" s="274" t="n">
        <x:v>0</x:v>
      </x:c>
      <x:c r="D5099" s="274" t="n">
        <x:v>0</x:v>
      </x:c>
      <x:c r="F5099" s="274" t="s">
        <x:v>133</x:v>
      </x:c>
      <x:c r="G5099" s="274" t="s">
        <x:v>148</x:v>
      </x:c>
      <x:c r="I5099" s="274" t="n">
        <x:v>4</x:v>
      </x:c>
      <x:c r="J5099" s="274" t="n">
        <x:v>229</x:v>
      </x:c>
      <x:c r="K5099" s="274" t="n">
        <x:v>1030</x:v>
      </x:c>
      <x:c r="M5099" s="274" t="s">
        <x:v>8984</x:v>
      </x:c>
      <x:c r="N5099" s="274" t="s">
        <x:v>162</x:v>
      </x:c>
    </x:row>
    <x:row r="5100" spans="1:14">
      <x:c r="A5100" s="274" t="s">
        <x:v>8985</x:v>
      </x:c>
      <x:c r="B5100" s="274" t="n">
        <x:v>15.1</x:v>
      </x:c>
      <x:c r="C5100" s="274" t="n">
        <x:v>51</x:v>
      </x:c>
      <x:c r="D5100" s="274" t="n">
        <x:v>46</x:v>
      </x:c>
      <x:c r="E5100" s="274" t="n">
        <x:v>0</x:v>
      </x:c>
      <x:c r="F5100" s="274" t="s">
        <x:v>123</x:v>
      </x:c>
      <x:c r="G5100" s="274" t="s">
        <x:v>124</x:v>
      </x:c>
      <x:c r="I5100" s="274" t="n">
        <x:v>1.2</x:v>
      </x:c>
      <x:c r="J5100" s="274" t="n">
        <x:v>1505</x:v>
      </x:c>
      <x:c r="K5100" s="274" t="n">
        <x:v>1105</x:v>
      </x:c>
      <x:c r="L5100" s="274" t="n">
        <x:v>1025</x:v>
      </x:c>
      <x:c r="M5100" s="274" t="s">
        <x:v>8986</x:v>
      </x:c>
      <x:c r="N5100" s="274" t="s">
        <x:v>126</x:v>
      </x:c>
    </x:row>
    <x:row r="5101" spans="1:14">
      <x:c r="A5101" s="274" t="s">
        <x:v>8987</x:v>
      </x:c>
      <x:c r="B5101" s="274" t="n">
        <x:v>1.71</x:v>
      </x:c>
      <x:c r="C5101" s="274" t="n">
        <x:v>0</x:v>
      </x:c>
      <x:c r="D5101" s="274" t="n">
        <x:v>0</x:v>
      </x:c>
      <x:c r="F5101" s="274" t="s">
        <x:v>133</x:v>
      </x:c>
      <x:c r="G5101" s="274" t="s">
        <x:v>136</x:v>
      </x:c>
      <x:c r="H5101" s="274" t="n">
        <x:v>45</x:v>
      </x:c>
      <x:c r="I5101" s="274" t="n">
        <x:v>1.6</x:v>
      </x:c>
      <x:c r="J5101" s="274" t="n">
        <x:v>113</x:v>
      </x:c>
      <x:c r="K5101" s="274" t="n">
        <x:v>1194</x:v>
      </x:c>
      <x:c r="M5101" s="274" t="s">
        <x:v>8988</x:v>
      </x:c>
      <x:c r="N5101" s="274" t="s">
        <x:v>162</x:v>
      </x:c>
    </x:row>
    <x:row r="5102" spans="1:14">
      <x:c r="A5102" s="274" t="s">
        <x:v>8989</x:v>
      </x:c>
      <x:c r="B5102" s="274" t="n">
        <x:v>0.61</x:v>
      </x:c>
      <x:c r="C5102" s="274" t="n">
        <x:v>0</x:v>
      </x:c>
      <x:c r="D5102" s="274" t="n">
        <x:v>35</x:v>
      </x:c>
      <x:c r="E5102" s="274" t="n">
        <x:v>33</x:v>
      </x:c>
      <x:c r="F5102" s="274" t="s">
        <x:v>133</x:v>
      </x:c>
      <x:c r="G5102" s="274" t="s">
        <x:v>148</x:v>
      </x:c>
      <x:c r="I5102" s="274" t="n">
        <x:v>2.9</x:v>
      </x:c>
      <x:c r="J5102" s="274" t="n">
        <x:v>135</x:v>
      </x:c>
      <x:c r="K5102" s="274" t="n">
        <x:v>200</x:v>
      </x:c>
      <x:c r="M5102" s="274" t="s">
        <x:v>1440</x:v>
      </x:c>
      <x:c r="N5102" s="274" t="s">
        <x:v>162</x:v>
      </x:c>
    </x:row>
    <x:row r="5103" spans="1:14">
      <x:c r="A5103" s="274" t="s">
        <x:v>8990</x:v>
      </x:c>
      <x:c r="B5103" s="274" t="n">
        <x:v>3.13</x:v>
      </x:c>
      <x:c r="C5103" s="274" t="n">
        <x:v>73</x:v>
      </x:c>
      <x:c r="D5103" s="274" t="n">
        <x:v>75</x:v>
      </x:c>
      <x:c r="E5103" s="274" t="n">
        <x:v>0</x:v>
      </x:c>
      <x:c r="F5103" s="274" t="s">
        <x:v>123</x:v>
      </x:c>
      <x:c r="G5103" s="274" t="s">
        <x:v>124</x:v>
      </x:c>
      <x:c r="I5103" s="274" t="n">
        <x:v>1.4</x:v>
      </x:c>
      <x:c r="J5103" s="274" t="n">
        <x:v>1430</x:v>
      </x:c>
      <x:c r="K5103" s="274" t="n">
        <x:v>199</x:v>
      </x:c>
      <x:c r="M5103" s="274" t="s">
        <x:v>8991</x:v>
      </x:c>
      <x:c r="N5103" s="274" t="s">
        <x:v>162</x:v>
      </x:c>
    </x:row>
    <x:row r="5104" spans="1:14">
      <x:c r="A5104" s="274" t="s">
        <x:v>8992</x:v>
      </x:c>
      <x:c r="B5104" s="274" t="n">
        <x:v>1.67</x:v>
      </x:c>
      <x:c r="C5104" s="274" t="n">
        <x:v>0</x:v>
      </x:c>
      <x:c r="D5104" s="274" t="n">
        <x:v>0</x:v>
      </x:c>
      <x:c r="F5104" s="274" t="s">
        <x:v>133</x:v>
      </x:c>
      <x:c r="G5104" s="274" t="s">
        <x:v>136</x:v>
      </x:c>
      <x:c r="H5104" s="274" t="n">
        <x:v>45</x:v>
      </x:c>
      <x:c r="I5104" s="274" t="n">
        <x:v>0.6</x:v>
      </x:c>
      <x:c r="J5104" s="274" t="n">
        <x:v>300</x:v>
      </x:c>
      <x:c r="K5104" s="274" t="n">
        <x:v>1160</x:v>
      </x:c>
      <x:c r="M5104" s="274" t="s">
        <x:v>8993</x:v>
      </x:c>
      <x:c r="N5104" s="274" t="s">
        <x:v>162</x:v>
      </x:c>
    </x:row>
    <x:row r="5105" spans="1:14">
      <x:c r="A5105" s="274" t="s">
        <x:v>8994</x:v>
      </x:c>
      <x:c r="B5105" s="274" t="n">
        <x:v>1.11</x:v>
      </x:c>
      <x:c r="C5105" s="274" t="n">
        <x:v>0</x:v>
      </x:c>
      <x:c r="D5105" s="274" t="n">
        <x:v>0</x:v>
      </x:c>
      <x:c r="F5105" s="274" t="s">
        <x:v>133</x:v>
      </x:c>
      <x:c r="G5105" s="274" t="s">
        <x:v>144</x:v>
      </x:c>
      <x:c r="H5105" s="274" t="n">
        <x:v>45</x:v>
      </x:c>
      <x:c r="I5105" s="274" t="n">
        <x:v>2</x:v>
      </x:c>
      <x:c r="J5105" s="274" t="n">
        <x:v>260</x:v>
      </x:c>
      <x:c r="K5105" s="274" t="n">
        <x:v>270</x:v>
      </x:c>
      <x:c r="M5105" s="274" t="s">
        <x:v>8995</x:v>
      </x:c>
      <x:c r="N5105" s="274" t="s">
        <x:v>146</x:v>
      </x:c>
    </x:row>
    <x:row r="5106" spans="1:14">
      <x:c r="A5106" s="274" t="s">
        <x:v>8996</x:v>
      </x:c>
      <x:c r="B5106" s="274" t="n">
        <x:v>2.48</x:v>
      </x:c>
      <x:c r="C5106" s="274" t="n">
        <x:v>0</x:v>
      </x:c>
      <x:c r="D5106" s="274" t="n">
        <x:v>0</x:v>
      </x:c>
      <x:c r="F5106" s="274" t="s">
        <x:v>133</x:v>
      </x:c>
      <x:c r="G5106" s="274" t="s">
        <x:v>144</x:v>
      </x:c>
      <x:c r="H5106" s="274" t="n">
        <x:v>45</x:v>
      </x:c>
      <x:c r="I5106" s="274" t="n">
        <x:v>2</x:v>
      </x:c>
      <x:c r="J5106" s="274" t="n">
        <x:v>325</x:v>
      </x:c>
      <x:c r="K5106" s="274" t="n">
        <x:v>484</x:v>
      </x:c>
      <x:c r="M5106" s="274" t="s">
        <x:v>8997</x:v>
      </x:c>
      <x:c r="N5106" s="274" t="s">
        <x:v>146</x:v>
      </x:c>
    </x:row>
    <x:row r="5107" spans="1:14">
      <x:c r="A5107" s="274" t="s">
        <x:v>8998</x:v>
      </x:c>
      <x:c r="B5107" s="274" t="n">
        <x:v>1.75</x:v>
      </x:c>
      <x:c r="C5107" s="274" t="n">
        <x:v>0</x:v>
      </x:c>
      <x:c r="D5107" s="274" t="n">
        <x:v>0</x:v>
      </x:c>
      <x:c r="F5107" s="274" t="s">
        <x:v>123</x:v>
      </x:c>
      <x:c r="G5107" s="274" t="s">
        <x:v>209</x:v>
      </x:c>
      <x:c r="I5107" s="274" t="n">
        <x:v>2.3</x:v>
      </x:c>
      <x:c r="J5107" s="274" t="n">
        <x:v>79</x:v>
      </x:c>
      <x:c r="K5107" s="274" t="n">
        <x:v>1230</x:v>
      </x:c>
      <x:c r="M5107" s="274" t="s">
        <x:v>8999</x:v>
      </x:c>
      <x:c r="N5107" s="274" t="s">
        <x:v>202</x:v>
      </x:c>
    </x:row>
    <x:row r="5108" spans="1:14">
      <x:c r="A5108" s="274" t="s">
        <x:v>9000</x:v>
      </x:c>
      <x:c r="B5108" s="274" t="n">
        <x:v>3.88</x:v>
      </x:c>
      <x:c r="C5108" s="274" t="n">
        <x:v>0</x:v>
      </x:c>
      <x:c r="D5108" s="274" t="n">
        <x:v>0</x:v>
      </x:c>
      <x:c r="F5108" s="274" t="s">
        <x:v>133</x:v>
      </x:c>
      <x:c r="G5108" s="274" t="s">
        <x:v>148</x:v>
      </x:c>
      <x:c r="I5108" s="274" t="n">
        <x:v>4.5</x:v>
      </x:c>
      <x:c r="J5108" s="274" t="n">
        <x:v>545</x:v>
      </x:c>
      <x:c r="K5108" s="274" t="n">
        <x:v>423</x:v>
      </x:c>
      <x:c r="M5108" s="274" t="s">
        <x:v>9001</x:v>
      </x:c>
      <x:c r="N5108" s="274" t="s">
        <x:v>162</x:v>
      </x:c>
    </x:row>
    <x:row r="5109" spans="1:14">
      <x:c r="A5109" s="274" t="s">
        <x:v>9002</x:v>
      </x:c>
      <x:c r="B5109" s="274" t="n">
        <x:v>9.58</x:v>
      </x:c>
      <x:c r="C5109" s="274" t="n">
        <x:v>0</x:v>
      </x:c>
      <x:c r="D5109" s="274" t="n">
        <x:v>0</x:v>
      </x:c>
      <x:c r="E5109" s="274" t="n">
        <x:v>40</x:v>
      </x:c>
      <x:c r="F5109" s="274" t="s">
        <x:v>184</x:v>
      </x:c>
      <x:c r="G5109" s="274" t="s">
        <x:v>136</x:v>
      </x:c>
      <x:c r="H5109" s="274" t="s">
        <x:v>285</x:v>
      </x:c>
      <x:c r="I5109" s="274" t="n">
        <x:v>0.8</x:v>
      </x:c>
      <x:c r="J5109" s="274" t="n">
        <x:v>1575</x:v>
      </x:c>
      <x:c r="K5109" s="274" t="n">
        <x:v>955</x:v>
      </x:c>
      <x:c r="M5109" s="274" t="s">
        <x:v>9003</x:v>
      </x:c>
      <x:c r="N5109" s="274" t="s">
        <x:v>126</x:v>
      </x:c>
    </x:row>
    <x:row r="5110" spans="1:14">
      <x:c r="A5110" s="274" t="s">
        <x:v>9004</x:v>
      </x:c>
      <x:c r="B5110" s="274" t="n">
        <x:v>1</x:v>
      </x:c>
      <x:c r="C5110" s="274" t="n">
        <x:v>0</x:v>
      </x:c>
      <x:c r="D5110" s="274" t="n">
        <x:v>0</x:v>
      </x:c>
      <x:c r="F5110" s="274" t="s">
        <x:v>123</x:v>
      </x:c>
      <x:c r="G5110" s="274" t="s">
        <x:v>209</x:v>
      </x:c>
      <x:c r="I5110" s="274" t="n">
        <x:v>1.6</x:v>
      </x:c>
      <x:c r="J5110" s="274" t="n">
        <x:v>74</x:v>
      </x:c>
      <x:c r="K5110" s="274" t="n">
        <x:v>1080</x:v>
      </x:c>
      <x:c r="M5110" s="274" t="s">
        <x:v>9005</x:v>
      </x:c>
      <x:c r="N5110" s="274" t="s">
        <x:v>480</x:v>
      </x:c>
    </x:row>
    <x:row r="5111" spans="1:14">
      <x:c r="A5111" s="274" t="s">
        <x:v>9006</x:v>
      </x:c>
      <x:c r="B5111" s="274" t="n">
        <x:v>5.48</x:v>
      </x:c>
      <x:c r="C5111" s="274" t="n">
        <x:v>0</x:v>
      </x:c>
      <x:c r="D5111" s="274" t="n">
        <x:v>0</x:v>
      </x:c>
      <x:c r="F5111" s="274" t="s">
        <x:v>133</x:v>
      </x:c>
      <x:c r="G5111" s="274" t="s">
        <x:v>136</x:v>
      </x:c>
      <x:c r="H5111" s="274" t="n">
        <x:v>45</x:v>
      </x:c>
      <x:c r="I5111" s="274" t="n">
        <x:v>1.2</x:v>
      </x:c>
      <x:c r="J5111" s="274" t="n">
        <x:v>670</x:v>
      </x:c>
      <x:c r="K5111" s="274" t="n">
        <x:v>860</x:v>
      </x:c>
      <x:c r="M5111" s="274" t="s">
        <x:v>9007</x:v>
      </x:c>
      <x:c r="N5111" s="274" t="s">
        <x:v>126</x:v>
      </x:c>
    </x:row>
    <x:row r="5112" spans="1:14">
      <x:c r="A5112" s="274" t="s">
        <x:v>9008</x:v>
      </x:c>
      <x:c r="B5112" s="274" t="n">
        <x:v>0.23</x:v>
      </x:c>
      <x:c r="C5112" s="274" t="n">
        <x:v>36</x:v>
      </x:c>
      <x:c r="D5112" s="274" t="n">
        <x:v>35</x:v>
      </x:c>
      <x:c r="E5112" s="274" t="n">
        <x:v>33</x:v>
      </x:c>
      <x:c r="F5112" s="274" t="s">
        <x:v>133</x:v>
      </x:c>
      <x:c r="G5112" s="274" t="s">
        <x:v>136</x:v>
      </x:c>
      <x:c r="H5112" s="274" t="n">
        <x:v>45</x:v>
      </x:c>
      <x:c r="I5112" s="274" t="n">
        <x:v>1.2</x:v>
      </x:c>
      <x:c r="J5112" s="274" t="n">
        <x:v>115</x:v>
      </x:c>
      <x:c r="K5112" s="274" t="n">
        <x:v>210</x:v>
      </x:c>
      <x:c r="M5112" s="274" t="s">
        <x:v>2949</x:v>
      </x:c>
      <x:c r="N5112" s="274" t="s">
        <x:v>162</x:v>
      </x:c>
    </x:row>
    <x:row r="5113" spans="1:14">
      <x:c r="A5113" s="274" t="s">
        <x:v>9009</x:v>
      </x:c>
      <x:c r="B5113" s="274" t="n">
        <x:v>1.91</x:v>
      </x:c>
      <x:c r="C5113" s="274" t="n">
        <x:v>0</x:v>
      </x:c>
      <x:c r="D5113" s="274" t="n">
        <x:v>0</x:v>
      </x:c>
      <x:c r="F5113" s="274" t="s">
        <x:v>123</x:v>
      </x:c>
      <x:c r="G5113" s="274" t="s">
        <x:v>209</x:v>
      </x:c>
      <x:c r="I5113" s="274" t="n">
        <x:v>1.2</x:v>
      </x:c>
      <x:c r="J5113" s="274" t="n">
        <x:v>162</x:v>
      </x:c>
      <x:c r="K5113" s="274" t="n">
        <x:v>1250</x:v>
      </x:c>
      <x:c r="M5113" s="274" t="s">
        <x:v>9010</x:v>
      </x:c>
      <x:c r="N5113" s="274" t="s">
        <x:v>480</x:v>
      </x:c>
    </x:row>
    <x:row r="5114" spans="1:14">
      <x:c r="A5114" s="274" t="s">
        <x:v>9011</x:v>
      </x:c>
      <x:c r="B5114" s="274" t="n">
        <x:v>0.84</x:v>
      </x:c>
      <x:c r="C5114" s="274" t="n">
        <x:v>0</x:v>
      </x:c>
      <x:c r="D5114" s="274" t="n">
        <x:v>0</x:v>
      </x:c>
      <x:c r="F5114" s="274" t="s">
        <x:v>133</x:v>
      </x:c>
      <x:c r="G5114" s="274" t="s">
        <x:v>136</x:v>
      </x:c>
      <x:c r="H5114" s="274" t="n">
        <x:v>45</x:v>
      </x:c>
      <x:c r="I5114" s="274" t="n">
        <x:v>0.9</x:v>
      </x:c>
      <x:c r="J5114" s="274" t="n">
        <x:v>185</x:v>
      </x:c>
      <x:c r="K5114" s="274" t="n">
        <x:v>635</x:v>
      </x:c>
      <x:c r="M5114" s="274" t="s">
        <x:v>9012</x:v>
      </x:c>
      <x:c r="N5114" s="274" t="s">
        <x:v>229</x:v>
      </x:c>
    </x:row>
    <x:row r="5115" spans="1:14">
      <x:c r="A5115" s="274" t="s">
        <x:v>9013</x:v>
      </x:c>
      <x:c r="B5115" s="274" t="n">
        <x:v>0.4</x:v>
      </x:c>
      <x:c r="C5115" s="274" t="n">
        <x:v>0</x:v>
      </x:c>
      <x:c r="D5115" s="274" t="n">
        <x:v>0</x:v>
      </x:c>
      <x:c r="F5115" s="274" t="s">
        <x:v>128</x:v>
      </x:c>
      <x:c r="G5115" s="274" t="s">
        <x:v>129</x:v>
      </x:c>
      <x:c r="H5115" s="274" t="n">
        <x:v>45</x:v>
      </x:c>
      <x:c r="I5115" s="274" t="n">
        <x:v>0.8</x:v>
      </x:c>
      <x:c r="J5115" s="274" t="n">
        <x:v>140</x:v>
      </x:c>
      <x:c r="K5115" s="274" t="n">
        <x:v>450</x:v>
      </x:c>
      <x:c r="M5115" s="274" t="s">
        <x:v>9014</x:v>
      </x:c>
      <x:c r="N5115" s="274" t="s">
        <x:v>229</x:v>
      </x:c>
    </x:row>
    <x:row r="5116" spans="1:14">
      <x:c r="A5116" s="274" t="s">
        <x:v>9015</x:v>
      </x:c>
      <x:c r="B5116" s="274" t="n">
        <x:v>4.02</x:v>
      </x:c>
      <x:c r="C5116" s="274" t="n">
        <x:v>0</x:v>
      </x:c>
      <x:c r="D5116" s="274" t="n">
        <x:v>0</x:v>
      </x:c>
      <x:c r="F5116" s="274" t="s">
        <x:v>133</x:v>
      </x:c>
      <x:c r="G5116" s="274" t="s">
        <x:v>148</x:v>
      </x:c>
      <x:c r="I5116" s="274" t="n">
        <x:v>3.2</x:v>
      </x:c>
      <x:c r="J5116" s="274" t="n">
        <x:v>128</x:v>
      </x:c>
      <x:c r="K5116" s="274" t="n">
        <x:v>1250</x:v>
      </x:c>
      <x:c r="M5116" s="274" t="s">
        <x:v>9016</x:v>
      </x:c>
      <x:c r="N5116" s="274" t="s">
        <x:v>207</x:v>
      </x:c>
    </x:row>
    <x:row r="5117" spans="1:14">
      <x:c r="A5117" s="274" t="s">
        <x:v>9017</x:v>
      </x:c>
      <x:c r="B5117" s="274" t="n">
        <x:v>0.67</x:v>
      </x:c>
      <x:c r="C5117" s="274" t="n">
        <x:v>0</x:v>
      </x:c>
      <x:c r="D5117" s="274" t="n">
        <x:v>0</x:v>
      </x:c>
      <x:c r="F5117" s="274" t="s">
        <x:v>123</x:v>
      </x:c>
      <x:c r="G5117" s="274" t="s">
        <x:v>153</x:v>
      </x:c>
      <x:c r="I5117" s="274" t="n">
        <x:v>1</x:v>
      </x:c>
      <x:c r="J5117" s="274" t="n">
        <x:v>570</x:v>
      </x:c>
      <x:c r="K5117" s="274" t="n">
        <x:v>150</x:v>
      </x:c>
      <x:c r="M5117" s="274" t="s">
        <x:v>2568</x:v>
      </x:c>
      <x:c r="N5117" s="274" t="s">
        <x:v>229</x:v>
      </x:c>
    </x:row>
    <x:row r="5118" spans="1:14">
      <x:c r="A5118" s="274" t="s">
        <x:v>9018</x:v>
      </x:c>
      <x:c r="B5118" s="274" t="n">
        <x:v>1.27</x:v>
      </x:c>
      <x:c r="C5118" s="274" t="n">
        <x:v>0</x:v>
      </x:c>
      <x:c r="D5118" s="274" t="n">
        <x:v>0</x:v>
      </x:c>
      <x:c r="F5118" s="274" t="s">
        <x:v>133</x:v>
      </x:c>
      <x:c r="G5118" s="274" t="s">
        <x:v>134</x:v>
      </x:c>
      <x:c r="I5118" s="274" t="n">
        <x:v>1.6</x:v>
      </x:c>
      <x:c r="J5118" s="274" t="n">
        <x:v>81</x:v>
      </x:c>
      <x:c r="K5118" s="274" t="n">
        <x:v>1250</x:v>
      </x:c>
      <x:c r="M5118" s="274" t="s">
        <x:v>9019</x:v>
      </x:c>
      <x:c r="N5118" s="274" t="s">
        <x:v>126</x:v>
      </x:c>
    </x:row>
    <x:row r="5119" spans="1:14">
      <x:c r="A5119" s="274" t="s">
        <x:v>9020</x:v>
      </x:c>
      <x:c r="B5119" s="274" t="n">
        <x:v>7.22</x:v>
      </x:c>
      <x:c r="C5119" s="274" t="n">
        <x:v>0</x:v>
      </x:c>
      <x:c r="D5119" s="274" t="n">
        <x:v>32</x:v>
      </x:c>
      <x:c r="E5119" s="274" t="n">
        <x:v>29</x:v>
      </x:c>
      <x:c r="F5119" s="274" t="s">
        <x:v>133</x:v>
      </x:c>
      <x:c r="G5119" s="274" t="s">
        <x:v>124</x:v>
      </x:c>
      <x:c r="I5119" s="274" t="n">
        <x:v>0.9</x:v>
      </x:c>
      <x:c r="J5119" s="274" t="n">
        <x:v>720</x:v>
      </x:c>
      <x:c r="K5119" s="274" t="n">
        <x:v>1420</x:v>
      </x:c>
      <x:c r="M5119" s="274" t="s">
        <x:v>9021</x:v>
      </x:c>
      <x:c r="N5119" s="274" t="s">
        <x:v>126</x:v>
      </x:c>
    </x:row>
    <x:row r="5120" spans="1:14">
      <x:c r="A5120" s="274" t="s">
        <x:v>9022</x:v>
      </x:c>
      <x:c r="B5120" s="274" t="n">
        <x:v>0.15</x:v>
      </x:c>
      <x:c r="C5120" s="274" t="n">
        <x:v>0</x:v>
      </x:c>
      <x:c r="D5120" s="274" t="n">
        <x:v>0</x:v>
      </x:c>
      <x:c r="E5120" s="274" t="n">
        <x:v>16</x:v>
      </x:c>
      <x:c r="F5120" s="274" t="s">
        <x:v>133</x:v>
      </x:c>
      <x:c r="G5120" s="274" t="s">
        <x:v>124</x:v>
      </x:c>
      <x:c r="I5120" s="274" t="n">
        <x:v>0.9</x:v>
      </x:c>
      <x:c r="J5120" s="274" t="n">
        <x:v>140</x:v>
      </x:c>
      <x:c r="K5120" s="274" t="n">
        <x:v>155</x:v>
      </x:c>
      <x:c r="M5120" s="274" t="s">
        <x:v>9023</x:v>
      </x:c>
      <x:c r="N5120" s="274" t="s">
        <x:v>229</x:v>
      </x:c>
    </x:row>
    <x:row r="5121" spans="1:14">
      <x:c r="A5121" s="274" t="s">
        <x:v>9024</x:v>
      </x:c>
      <x:c r="B5121" s="274" t="n">
        <x:v>0.83</x:v>
      </x:c>
      <x:c r="C5121" s="274" t="n">
        <x:v>0</x:v>
      </x:c>
      <x:c r="D5121" s="274" t="n">
        <x:v>0</x:v>
      </x:c>
      <x:c r="F5121" s="274" t="s">
        <x:v>133</x:v>
      </x:c>
      <x:c r="G5121" s="274" t="s">
        <x:v>134</x:v>
      </x:c>
      <x:c r="I5121" s="274" t="n">
        <x:v>1.6</x:v>
      </x:c>
      <x:c r="J5121" s="274" t="n">
        <x:v>53</x:v>
      </x:c>
      <x:c r="K5121" s="274" t="n">
        <x:v>1250</x:v>
      </x:c>
      <x:c r="M5121" s="274" t="s">
        <x:v>9025</x:v>
      </x:c>
      <x:c r="N5121" s="274" t="s">
        <x:v>131</x:v>
      </x:c>
    </x:row>
    <x:row r="5122" spans="1:14">
      <x:c r="A5122" s="274" t="s">
        <x:v>9026</x:v>
      </x:c>
      <x:c r="B5122" s="274" t="n">
        <x:v>1.07</x:v>
      </x:c>
      <x:c r="C5122" s="274" t="n">
        <x:v>0</x:v>
      </x:c>
      <x:c r="D5122" s="274" t="n">
        <x:v>0</x:v>
      </x:c>
      <x:c r="F5122" s="274" t="s">
        <x:v>133</x:v>
      </x:c>
      <x:c r="G5122" s="274" t="s">
        <x:v>134</x:v>
      </x:c>
      <x:c r="I5122" s="274" t="n">
        <x:v>1.6</x:v>
      </x:c>
      <x:c r="J5122" s="274" t="n">
        <x:v>68</x:v>
      </x:c>
      <x:c r="K5122" s="274" t="n">
        <x:v>1250</x:v>
      </x:c>
      <x:c r="M5122" s="274" t="s">
        <x:v>9027</x:v>
      </x:c>
      <x:c r="N5122" s="274" t="s">
        <x:v>131</x:v>
      </x:c>
    </x:row>
    <x:row r="5123" spans="1:14">
      <x:c r="A5123" s="274" t="s">
        <x:v>9028</x:v>
      </x:c>
      <x:c r="B5123" s="274" t="n">
        <x:v>4.79</x:v>
      </x:c>
      <x:c r="C5123" s="274" t="n">
        <x:v>0</x:v>
      </x:c>
      <x:c r="D5123" s="274" t="n">
        <x:v>0</x:v>
      </x:c>
      <x:c r="F5123" s="274" t="s">
        <x:v>133</x:v>
      </x:c>
      <x:c r="G5123" s="274" t="s">
        <x:v>134</x:v>
      </x:c>
      <x:c r="I5123" s="274" t="n">
        <x:v>1.8</x:v>
      </x:c>
      <x:c r="J5123" s="274" t="n">
        <x:v>222</x:v>
      </x:c>
      <x:c r="K5123" s="274" t="n">
        <x:v>1527</x:v>
      </x:c>
      <x:c r="M5123" s="274" t="s">
        <x:v>9029</x:v>
      </x:c>
      <x:c r="N5123" s="274" t="s">
        <x:v>162</x:v>
      </x:c>
    </x:row>
    <x:row r="5124" spans="1:14">
      <x:c r="A5124" s="274" t="s">
        <x:v>9030</x:v>
      </x:c>
      <x:c r="B5124" s="274" t="n">
        <x:v>3.28</x:v>
      </x:c>
      <x:c r="C5124" s="274" t="n">
        <x:v>0</x:v>
      </x:c>
      <x:c r="D5124" s="274" t="n">
        <x:v>0</x:v>
      </x:c>
      <x:c r="F5124" s="274" t="s">
        <x:v>133</x:v>
      </x:c>
      <x:c r="G5124" s="274" t="s">
        <x:v>134</x:v>
      </x:c>
      <x:c r="I5124" s="274" t="n">
        <x:v>1.8</x:v>
      </x:c>
      <x:c r="J5124" s="274" t="n">
        <x:v>138</x:v>
      </x:c>
      <x:c r="K5124" s="274" t="n">
        <x:v>1683</x:v>
      </x:c>
      <x:c r="M5124" s="274" t="s">
        <x:v>9031</x:v>
      </x:c>
      <x:c r="N5124" s="274" t="s">
        <x:v>162</x:v>
      </x:c>
    </x:row>
    <x:row r="5125" spans="1:14">
      <x:c r="A5125" s="274" t="s">
        <x:v>9032</x:v>
      </x:c>
      <x:c r="B5125" s="274" t="n">
        <x:v>2.95</x:v>
      </x:c>
      <x:c r="C5125" s="274" t="n">
        <x:v>0</x:v>
      </x:c>
      <x:c r="D5125" s="274" t="n">
        <x:v>0</x:v>
      </x:c>
      <x:c r="F5125" s="274" t="s">
        <x:v>133</x:v>
      </x:c>
      <x:c r="G5125" s="274" t="s">
        <x:v>134</x:v>
      </x:c>
      <x:c r="I5125" s="274" t="n">
        <x:v>2</x:v>
      </x:c>
      <x:c r="J5125" s="274" t="n">
        <x:v>119</x:v>
      </x:c>
      <x:c r="K5125" s="274" t="n">
        <x:v>1582</x:v>
      </x:c>
      <x:c r="M5125" s="274" t="s">
        <x:v>9033</x:v>
      </x:c>
      <x:c r="N5125" s="274" t="s">
        <x:v>229</x:v>
      </x:c>
    </x:row>
    <x:row r="5126" spans="1:14">
      <x:c r="A5126" s="274" t="s">
        <x:v>9034</x:v>
      </x:c>
      <x:c r="B5126" s="274" t="n">
        <x:v>2.66</x:v>
      </x:c>
      <x:c r="C5126" s="274" t="n">
        <x:v>0</x:v>
      </x:c>
      <x:c r="D5126" s="274" t="n">
        <x:v>0</x:v>
      </x:c>
      <x:c r="F5126" s="274" t="s">
        <x:v>133</x:v>
      </x:c>
      <x:c r="G5126" s="274" t="s">
        <x:v>134</x:v>
      </x:c>
      <x:c r="I5126" s="274" t="n">
        <x:v>2</x:v>
      </x:c>
      <x:c r="J5126" s="274" t="n">
        <x:v>106</x:v>
      </x:c>
      <x:c r="K5126" s="274" t="n">
        <x:v>1600</x:v>
      </x:c>
      <x:c r="M5126" s="274" t="s">
        <x:v>9035</x:v>
      </x:c>
      <x:c r="N5126" s="274" t="s">
        <x:v>229</x:v>
      </x:c>
    </x:row>
    <x:row r="5127" spans="1:14">
      <x:c r="A5127" s="274" t="s">
        <x:v>9036</x:v>
      </x:c>
      <x:c r="B5127" s="274" t="n">
        <x:v>3.57</x:v>
      </x:c>
      <x:c r="C5127" s="274" t="n">
        <x:v>0</x:v>
      </x:c>
      <x:c r="D5127" s="274" t="n">
        <x:v>0</x:v>
      </x:c>
      <x:c r="F5127" s="274" t="s">
        <x:v>133</x:v>
      </x:c>
      <x:c r="G5127" s="274" t="s">
        <x:v>134</x:v>
      </x:c>
      <x:c r="I5127" s="274" t="n">
        <x:v>2</x:v>
      </x:c>
      <x:c r="J5127" s="274" t="n">
        <x:v>153</x:v>
      </x:c>
      <x:c r="K5127" s="274" t="n">
        <x:v>1488</x:v>
      </x:c>
      <x:c r="M5127" s="274" t="s">
        <x:v>9037</x:v>
      </x:c>
      <x:c r="N5127" s="274" t="s">
        <x:v>229</x:v>
      </x:c>
    </x:row>
    <x:row r="5128" spans="1:14">
      <x:c r="A5128" s="274" t="s">
        <x:v>9038</x:v>
      </x:c>
      <x:c r="B5128" s="274" t="n">
        <x:v>1.19</x:v>
      </x:c>
      <x:c r="C5128" s="274" t="n">
        <x:v>0</x:v>
      </x:c>
      <x:c r="D5128" s="274" t="n">
        <x:v>0</x:v>
      </x:c>
      <x:c r="F5128" s="274" t="s">
        <x:v>133</x:v>
      </x:c>
      <x:c r="G5128" s="274" t="s">
        <x:v>134</x:v>
      </x:c>
      <x:c r="I5128" s="274" t="n">
        <x:v>1.8</x:v>
      </x:c>
      <x:c r="J5128" s="274" t="n">
        <x:v>84</x:v>
      </x:c>
      <x:c r="K5128" s="274" t="n">
        <x:v>1000</x:v>
      </x:c>
      <x:c r="M5128" s="274" t="s">
        <x:v>9039</x:v>
      </x:c>
      <x:c r="N5128" s="274" t="s">
        <x:v>229</x:v>
      </x:c>
    </x:row>
    <x:row r="5129" spans="1:14">
      <x:c r="A5129" s="274" t="s">
        <x:v>9040</x:v>
      </x:c>
      <x:c r="B5129" s="274" t="n">
        <x:v>7.76</x:v>
      </x:c>
      <x:c r="C5129" s="274" t="n">
        <x:v>40</x:v>
      </x:c>
      <x:c r="D5129" s="274" t="n">
        <x:v>48</x:v>
      </x:c>
      <x:c r="E5129" s="274" t="n">
        <x:v>0</x:v>
      </x:c>
      <x:c r="F5129" s="274" t="s">
        <x:v>133</x:v>
      </x:c>
      <x:c r="G5129" s="274" t="s">
        <x:v>136</x:v>
      </x:c>
      <x:c r="H5129" s="274" t="n">
        <x:v>45</x:v>
      </x:c>
      <x:c r="I5129" s="274" t="n">
        <x:v>0.65</x:v>
      </x:c>
      <x:c r="J5129" s="274" t="n">
        <x:v>1175</x:v>
      </x:c>
      <x:c r="K5129" s="274" t="n">
        <x:v>1210.5</x:v>
      </x:c>
      <x:c r="L5129" s="274" t="n">
        <x:v>1332.9</x:v>
      </x:c>
      <x:c r="M5129" s="274" t="s">
        <x:v>7447</x:v>
      </x:c>
      <x:c r="N5129" s="274" t="s">
        <x:v>480</x:v>
      </x:c>
    </x:row>
    <x:row r="5130" spans="1:14">
      <x:c r="A5130" s="274" t="s">
        <x:v>9041</x:v>
      </x:c>
      <x:c r="B5130" s="274" t="n">
        <x:v>0.6</x:v>
      </x:c>
      <x:c r="C5130" s="274" t="n">
        <x:v>0</x:v>
      </x:c>
      <x:c r="D5130" s="274" t="n">
        <x:v>0</x:v>
      </x:c>
      <x:c r="F5130" s="274" t="s">
        <x:v>184</x:v>
      </x:c>
      <x:c r="G5130" s="274" t="s">
        <x:v>129</x:v>
      </x:c>
      <x:c r="H5130" s="274" t="n">
        <x:v>45</x:v>
      </x:c>
      <x:c r="I5130" s="274" t="n">
        <x:v>1.4</x:v>
      </x:c>
      <x:c r="J5130" s="274" t="n">
        <x:v>190</x:v>
      </x:c>
      <x:c r="K5130" s="274" t="n">
        <x:v>285</x:v>
      </x:c>
      <x:c r="M5130" s="274" t="s">
        <x:v>428</x:v>
      </x:c>
      <x:c r="N5130" s="274" t="s">
        <x:v>131</x:v>
      </x:c>
    </x:row>
    <x:row r="5131" spans="1:14">
      <x:c r="A5131" s="274" t="s">
        <x:v>9042</x:v>
      </x:c>
      <x:c r="B5131" s="274" t="n">
        <x:v>0.99</x:v>
      </x:c>
      <x:c r="C5131" s="274" t="n">
        <x:v>0</x:v>
      </x:c>
      <x:c r="D5131" s="274" t="n">
        <x:v>0</x:v>
      </x:c>
      <x:c r="F5131" s="274" t="s">
        <x:v>123</x:v>
      </x:c>
      <x:c r="G5131" s="274" t="s">
        <x:v>209</x:v>
      </x:c>
      <x:c r="I5131" s="274" t="n">
        <x:v>1</x:v>
      </x:c>
      <x:c r="J5131" s="274" t="n">
        <x:v>114</x:v>
      </x:c>
      <x:c r="K5131" s="274" t="n">
        <x:v>1110</x:v>
      </x:c>
      <x:c r="M5131" s="274" t="s">
        <x:v>9043</x:v>
      </x:c>
      <x:c r="N5131" s="274" t="s">
        <x:v>480</x:v>
      </x:c>
    </x:row>
    <x:row r="5132" spans="1:14">
      <x:c r="A5132" s="274" t="s">
        <x:v>9044</x:v>
      </x:c>
      <x:c r="B5132" s="274" t="n">
        <x:v>4.14</x:v>
      </x:c>
      <x:c r="C5132" s="274" t="n">
        <x:v>40</x:v>
      </x:c>
      <x:c r="D5132" s="274" t="n">
        <x:v>60</x:v>
      </x:c>
      <x:c r="E5132" s="274" t="n">
        <x:v>0</x:v>
      </x:c>
      <x:c r="F5132" s="274" t="s">
        <x:v>128</x:v>
      </x:c>
      <x:c r="G5132" s="274" t="s">
        <x:v>144</x:v>
      </x:c>
      <x:c r="H5132" s="274" t="n">
        <x:v>45</x:v>
      </x:c>
      <x:c r="I5132" s="274" t="n">
        <x:v>2</x:v>
      </x:c>
      <x:c r="J5132" s="274" t="n">
        <x:v>1105</x:v>
      </x:c>
      <x:c r="K5132" s="274" t="n">
        <x:v>237</x:v>
      </x:c>
      <x:c r="M5132" s="274" t="s">
        <x:v>9045</x:v>
      </x:c>
      <x:c r="N5132" s="274" t="s">
        <x:v>162</x:v>
      </x:c>
    </x:row>
    <x:row r="5133" spans="1:14">
      <x:c r="A5133" s="274" t="s">
        <x:v>9046</x:v>
      </x:c>
      <x:c r="B5133" s="274" t="n">
        <x:v>3.95</x:v>
      </x:c>
      <x:c r="C5133" s="274" t="n">
        <x:v>0</x:v>
      </x:c>
      <x:c r="D5133" s="274" t="n">
        <x:v>32</x:v>
      </x:c>
      <x:c r="E5133" s="274" t="n">
        <x:v>40</x:v>
      </x:c>
      <x:c r="F5133" s="274" t="s">
        <x:v>123</x:v>
      </x:c>
      <x:c r="G5133" s="274" t="s">
        <x:v>153</x:v>
      </x:c>
      <x:c r="I5133" s="274" t="n">
        <x:v>0.9</x:v>
      </x:c>
      <x:c r="J5133" s="274" t="n">
        <x:v>1417</x:v>
      </x:c>
      <x:c r="K5133" s="274" t="n">
        <x:v>395</x:v>
      </x:c>
      <x:c r="M5133" s="274" t="s">
        <x:v>9047</x:v>
      </x:c>
    </x:row>
    <x:row r="5134" spans="1:14">
      <x:c r="A5134" s="274" t="s">
        <x:v>9048</x:v>
      </x:c>
      <x:c r="B5134" s="274" t="n">
        <x:v>0.32</x:v>
      </x:c>
      <x:c r="C5134" s="274" t="n">
        <x:v>0</x:v>
      </x:c>
      <x:c r="D5134" s="274" t="n">
        <x:v>0</x:v>
      </x:c>
      <x:c r="F5134" s="274" t="s">
        <x:v>133</x:v>
      </x:c>
      <x:c r="G5134" s="274" t="s">
        <x:v>153</x:v>
      </x:c>
      <x:c r="I5134" s="274" t="n">
        <x:v>1</x:v>
      </x:c>
      <x:c r="J5134" s="274" t="n">
        <x:v>252</x:v>
      </x:c>
      <x:c r="K5134" s="274" t="n">
        <x:v>163</x:v>
      </x:c>
      <x:c r="M5134" s="274" t="s">
        <x:v>2361</x:v>
      </x:c>
      <x:c r="N5134" s="274" t="s">
        <x:v>131</x:v>
      </x:c>
    </x:row>
    <x:row r="5135" spans="1:14">
      <x:c r="A5135" s="274" t="s">
        <x:v>9049</x:v>
      </x:c>
      <x:c r="B5135" s="274" t="n">
        <x:v>1.34</x:v>
      </x:c>
      <x:c r="C5135" s="274" t="n">
        <x:v>0</x:v>
      </x:c>
      <x:c r="D5135" s="274" t="n">
        <x:v>0</x:v>
      </x:c>
      <x:c r="F5135" s="274" t="s">
        <x:v>133</x:v>
      </x:c>
      <x:c r="G5135" s="274" t="s">
        <x:v>136</x:v>
      </x:c>
      <x:c r="H5135" s="274" t="n">
        <x:v>45</x:v>
      </x:c>
      <x:c r="I5135" s="274" t="n">
        <x:v>1.6</x:v>
      </x:c>
      <x:c r="J5135" s="274" t="n">
        <x:v>85</x:v>
      </x:c>
      <x:c r="K5135" s="274" t="n">
        <x:v>1250</x:v>
      </x:c>
      <x:c r="M5135" s="274" t="s">
        <x:v>9050</x:v>
      </x:c>
      <x:c r="N5135" s="274" t="s">
        <x:v>162</x:v>
      </x:c>
    </x:row>
    <x:row r="5136" spans="1:14">
      <x:c r="A5136" s="274" t="s">
        <x:v>9051</x:v>
      </x:c>
      <x:c r="B5136" s="274" t="n">
        <x:v>2.11</x:v>
      </x:c>
      <x:c r="C5136" s="274" t="n">
        <x:v>0</x:v>
      </x:c>
      <x:c r="D5136" s="274" t="n">
        <x:v>0</x:v>
      </x:c>
      <x:c r="E5136" s="274" t="n">
        <x:v>16</x:v>
      </x:c>
      <x:c r="F5136" s="274" t="s">
        <x:v>123</x:v>
      </x:c>
      <x:c r="G5136" s="274" t="s">
        <x:v>153</x:v>
      </x:c>
      <x:c r="I5136" s="274" t="n">
        <x:v>0.7</x:v>
      </x:c>
      <x:c r="J5136" s="274" t="n">
        <x:v>260</x:v>
      </x:c>
      <x:c r="K5136" s="274" t="n">
        <x:v>1480</x:v>
      </x:c>
      <x:c r="M5136" s="274" t="s">
        <x:v>9052</x:v>
      </x:c>
      <x:c r="N5136" s="274" t="s">
        <x:v>1233</x:v>
      </x:c>
    </x:row>
    <x:row r="5137" spans="1:14">
      <x:c r="A5137" s="274" t="s">
        <x:v>9053</x:v>
      </x:c>
      <x:c r="B5137" s="274" t="n">
        <x:v>1.84</x:v>
      </x:c>
      <x:c r="C5137" s="274" t="n">
        <x:v>19</x:v>
      </x:c>
      <x:c r="D5137" s="274" t="n">
        <x:v>26</x:v>
      </x:c>
      <x:c r="E5137" s="274" t="n">
        <x:v>18</x:v>
      </x:c>
      <x:c r="F5137" s="274" t="s">
        <x:v>123</x:v>
      </x:c>
      <x:c r="G5137" s="274" t="s">
        <x:v>153</x:v>
      </x:c>
      <x:c r="I5137" s="274" t="n">
        <x:v>0.75</x:v>
      </x:c>
      <x:c r="J5137" s="274" t="n">
        <x:v>315</x:v>
      </x:c>
      <x:c r="K5137" s="274" t="n">
        <x:v>990</x:v>
      </x:c>
      <x:c r="M5137" s="274" t="s">
        <x:v>2924</x:v>
      </x:c>
      <x:c r="N5137" s="274" t="s">
        <x:v>162</x:v>
      </x:c>
    </x:row>
    <x:row r="5138" spans="1:14">
      <x:c r="A5138" s="274" t="s">
        <x:v>9054</x:v>
      </x:c>
      <x:c r="B5138" s="274" t="n">
        <x:v>0.61</x:v>
      </x:c>
      <x:c r="C5138" s="274" t="n">
        <x:v>0</x:v>
      </x:c>
      <x:c r="D5138" s="274" t="n">
        <x:v>35</x:v>
      </x:c>
      <x:c r="E5138" s="274" t="n">
        <x:v>33</x:v>
      </x:c>
      <x:c r="F5138" s="274" t="s">
        <x:v>133</x:v>
      </x:c>
      <x:c r="G5138" s="274" t="s">
        <x:v>148</x:v>
      </x:c>
      <x:c r="I5138" s="274" t="n">
        <x:v>2.9</x:v>
      </x:c>
      <x:c r="J5138" s="274" t="n">
        <x:v>135</x:v>
      </x:c>
      <x:c r="K5138" s="274" t="n">
        <x:v>200</x:v>
      </x:c>
      <x:c r="M5138" s="274" t="s">
        <x:v>1440</x:v>
      </x:c>
      <x:c r="N5138" s="274" t="s">
        <x:v>162</x:v>
      </x:c>
    </x:row>
    <x:row r="5139" spans="1:14">
      <x:c r="A5139" s="274" t="s">
        <x:v>9055</x:v>
      </x:c>
      <x:c r="B5139" s="274" t="n">
        <x:v>0.96</x:v>
      </x:c>
      <x:c r="C5139" s="274" t="n">
        <x:v>0</x:v>
      </x:c>
      <x:c r="D5139" s="274" t="n">
        <x:v>0</x:v>
      </x:c>
      <x:c r="F5139" s="274" t="s">
        <x:v>133</x:v>
      </x:c>
      <x:c r="G5139" s="274" t="s">
        <x:v>209</x:v>
      </x:c>
      <x:c r="I5139" s="274" t="n">
        <x:v>1.2</x:v>
      </x:c>
      <x:c r="J5139" s="274" t="n">
        <x:v>83</x:v>
      </x:c>
      <x:c r="K5139" s="274" t="n">
        <x:v>1234</x:v>
      </x:c>
      <x:c r="M5139" s="274" t="s">
        <x:v>9056</x:v>
      </x:c>
      <x:c r="N5139" s="274" t="s">
        <x:v>131</x:v>
      </x:c>
    </x:row>
    <x:row r="5140" spans="1:14">
      <x:c r="A5140" s="274" t="s">
        <x:v>9057</x:v>
      </x:c>
      <x:c r="B5140" s="274" t="n">
        <x:v>3.13</x:v>
      </x:c>
      <x:c r="C5140" s="274" t="n">
        <x:v>0</x:v>
      </x:c>
      <x:c r="D5140" s="274" t="n">
        <x:v>0</x:v>
      </x:c>
      <x:c r="F5140" s="274" t="s">
        <x:v>133</x:v>
      </x:c>
      <x:c r="G5140" s="274" t="s">
        <x:v>209</x:v>
      </x:c>
      <x:c r="I5140" s="274" t="n">
        <x:v>1.2</x:v>
      </x:c>
      <x:c r="J5140" s="274" t="n">
        <x:v>277</x:v>
      </x:c>
      <x:c r="K5140" s="274" t="n">
        <x:v>1200</x:v>
      </x:c>
      <x:c r="M5140" s="274" t="s">
        <x:v>2855</x:v>
      </x:c>
      <x:c r="N5140" s="274" t="s">
        <x:v>131</x:v>
      </x:c>
    </x:row>
    <x:row r="5141" spans="1:14">
      <x:c r="A5141" s="274" t="s">
        <x:v>9058</x:v>
      </x:c>
      <x:c r="B5141" s="274" t="n">
        <x:v>0.81</x:v>
      </x:c>
      <x:c r="C5141" s="274" t="n">
        <x:v>0</x:v>
      </x:c>
      <x:c r="D5141" s="274" t="n">
        <x:v>0</x:v>
      </x:c>
      <x:c r="F5141" s="274" t="s">
        <x:v>133</x:v>
      </x:c>
      <x:c r="G5141" s="274" t="s">
        <x:v>209</x:v>
      </x:c>
      <x:c r="I5141" s="274" t="n">
        <x:v>1.2</x:v>
      </x:c>
      <x:c r="J5141" s="274" t="n">
        <x:v>70</x:v>
      </x:c>
      <x:c r="K5141" s="274" t="n">
        <x:v>1227</x:v>
      </x:c>
      <x:c r="M5141" s="274" t="s">
        <x:v>9059</x:v>
      </x:c>
      <x:c r="N5141" s="274" t="s">
        <x:v>131</x:v>
      </x:c>
    </x:row>
    <x:row r="5142" spans="1:14">
      <x:c r="A5142" s="274" t="s">
        <x:v>9060</x:v>
      </x:c>
      <x:c r="B5142" s="274" t="n">
        <x:v>0.96</x:v>
      </x:c>
      <x:c r="C5142" s="274" t="n">
        <x:v>0</x:v>
      </x:c>
      <x:c r="D5142" s="274" t="n">
        <x:v>0</x:v>
      </x:c>
      <x:c r="F5142" s="274" t="s">
        <x:v>184</x:v>
      </x:c>
      <x:c r="G5142" s="274" t="s">
        <x:v>129</x:v>
      </x:c>
      <x:c r="H5142" s="274" t="n">
        <x:v>45</x:v>
      </x:c>
      <x:c r="I5142" s="274" t="n">
        <x:v>1.6</x:v>
      </x:c>
      <x:c r="J5142" s="274" t="n">
        <x:v>72</x:v>
      </x:c>
      <x:c r="K5142" s="274" t="n">
        <x:v>1056</x:v>
      </x:c>
      <x:c r="M5142" s="274" t="s">
        <x:v>9061</x:v>
      </x:c>
      <x:c r="N5142" s="274" t="s">
        <x:v>458</x:v>
      </x:c>
    </x:row>
    <x:row r="5143" spans="1:14">
      <x:c r="A5143" s="274" t="s">
        <x:v>9062</x:v>
      </x:c>
      <x:c r="B5143" s="274" t="n">
        <x:v>4.44</x:v>
      </x:c>
      <x:c r="C5143" s="274" t="n">
        <x:v>0</x:v>
      </x:c>
      <x:c r="D5143" s="274" t="n">
        <x:v>0</x:v>
      </x:c>
      <x:c r="F5143" s="274" t="s">
        <x:v>133</x:v>
      </x:c>
      <x:c r="G5143" s="274" t="s">
        <x:v>136</x:v>
      </x:c>
      <x:c r="H5143" s="274" t="n">
        <x:v>45</x:v>
      </x:c>
      <x:c r="I5143" s="274" t="n">
        <x:v>1.6</x:v>
      </x:c>
      <x:c r="J5143" s="274" t="n">
        <x:v>233.4</x:v>
      </x:c>
      <x:c r="K5143" s="274" t="n">
        <x:v>1500</x:v>
      </x:c>
      <x:c r="M5143" s="274" t="s">
        <x:v>3452</x:v>
      </x:c>
      <x:c r="N5143" s="274" t="s">
        <x:v>126</x:v>
      </x:c>
    </x:row>
    <x:row r="5144" spans="1:14">
      <x:c r="A5144" s="274" t="s">
        <x:v>9063</x:v>
      </x:c>
      <x:c r="B5144" s="274" t="n">
        <x:v>1.67</x:v>
      </x:c>
      <x:c r="C5144" s="274" t="n">
        <x:v>0</x:v>
      </x:c>
      <x:c r="D5144" s="274" t="n">
        <x:v>0</x:v>
      </x:c>
      <x:c r="F5144" s="274" t="s">
        <x:v>123</x:v>
      </x:c>
      <x:c r="G5144" s="274" t="s">
        <x:v>209</x:v>
      </x:c>
      <x:c r="I5144" s="274" t="n">
        <x:v>0.6</x:v>
      </x:c>
      <x:c r="J5144" s="274" t="n">
        <x:v>280</x:v>
      </x:c>
      <x:c r="K5144" s="274" t="n">
        <x:v>1265</x:v>
      </x:c>
      <x:c r="M5144" s="274" t="s">
        <x:v>9064</x:v>
      </x:c>
      <x:c r="N5144" s="274" t="s">
        <x:v>299</x:v>
      </x:c>
    </x:row>
    <x:row r="5145" spans="1:14">
      <x:c r="A5145" s="274" t="s">
        <x:v>9065</x:v>
      </x:c>
      <x:c r="B5145" s="274" t="n">
        <x:v>8.54</x:v>
      </x:c>
      <x:c r="C5145" s="274" t="n">
        <x:v>0</x:v>
      </x:c>
      <x:c r="D5145" s="274" t="n">
        <x:v>0</x:v>
      </x:c>
      <x:c r="F5145" s="274" t="s">
        <x:v>133</x:v>
      </x:c>
      <x:c r="G5145" s="274" t="s">
        <x:v>148</x:v>
      </x:c>
      <x:c r="I5145" s="274" t="n">
        <x:v>4.5</x:v>
      </x:c>
      <x:c r="J5145" s="274" t="n">
        <x:v>1180</x:v>
      </x:c>
      <x:c r="K5145" s="274" t="n">
        <x:v>205</x:v>
      </x:c>
      <x:c r="M5145" s="274" t="s">
        <x:v>9066</x:v>
      </x:c>
      <x:c r="N5145" s="274" t="s">
        <x:v>162</x:v>
      </x:c>
    </x:row>
    <x:row r="5146" spans="1:14">
      <x:c r="A5146" s="274" t="s">
        <x:v>9067</x:v>
      </x:c>
      <x:c r="B5146" s="274" t="n">
        <x:v>1.32</x:v>
      </x:c>
      <x:c r="C5146" s="274" t="n">
        <x:v>0</x:v>
      </x:c>
      <x:c r="D5146" s="274" t="n">
        <x:v>0</x:v>
      </x:c>
      <x:c r="F5146" s="274" t="s">
        <x:v>133</x:v>
      </x:c>
      <x:c r="G5146" s="274" t="s">
        <x:v>144</x:v>
      </x:c>
      <x:c r="H5146" s="274" t="n">
        <x:v>45</x:v>
      </x:c>
      <x:c r="I5146" s="274" t="n">
        <x:v>2</x:v>
      </x:c>
      <x:c r="J5146" s="274" t="n">
        <x:v>67</x:v>
      </x:c>
      <x:c r="K5146" s="274" t="n">
        <x:v>1250</x:v>
      </x:c>
      <x:c r="M5146" s="274" t="s">
        <x:v>8361</x:v>
      </x:c>
      <x:c r="N5146" s="274" t="s">
        <x:v>131</x:v>
      </x:c>
    </x:row>
    <x:row r="5147" spans="1:14">
      <x:c r="A5147" s="274" t="s">
        <x:v>9068</x:v>
      </x:c>
      <x:c r="B5147" s="274" t="n">
        <x:v>0.51</x:v>
      </x:c>
      <x:c r="C5147" s="274" t="n">
        <x:v>0</x:v>
      </x:c>
      <x:c r="D5147" s="274" t="n">
        <x:v>0</x:v>
      </x:c>
      <x:c r="F5147" s="274" t="s">
        <x:v>133</x:v>
      </x:c>
      <x:c r="G5147" s="274" t="s">
        <x:v>209</x:v>
      </x:c>
      <x:c r="I5147" s="274" t="n">
        <x:v>1.2</x:v>
      </x:c>
      <x:c r="J5147" s="274" t="n">
        <x:v>53</x:v>
      </x:c>
      <x:c r="K5147" s="274" t="n">
        <x:v>1030</x:v>
      </x:c>
      <x:c r="M5147" s="274" t="s">
        <x:v>9069</x:v>
      </x:c>
      <x:c r="N5147" s="274" t="s">
        <x:v>131</x:v>
      </x:c>
    </x:row>
    <x:row r="5148" spans="1:14">
      <x:c r="A5148" s="274" t="s">
        <x:v>9070</x:v>
      </x:c>
      <x:c r="B5148" s="274" t="n">
        <x:v>2.2</x:v>
      </x:c>
      <x:c r="C5148" s="274" t="n">
        <x:v>0</x:v>
      </x:c>
      <x:c r="D5148" s="274" t="n">
        <x:v>0</x:v>
      </x:c>
      <x:c r="F5148" s="274" t="s">
        <x:v>133</x:v>
      </x:c>
      <x:c r="G5148" s="274" t="s">
        <x:v>148</x:v>
      </x:c>
      <x:c r="I5148" s="274" t="n">
        <x:v>6</x:v>
      </x:c>
      <x:c r="J5148" s="274" t="n">
        <x:v>39</x:v>
      </x:c>
      <x:c r="K5148" s="274" t="n">
        <x:v>1196</x:v>
      </x:c>
      <x:c r="M5148" s="274" t="s">
        <x:v>9071</x:v>
      </x:c>
      <x:c r="N5148" s="274" t="s">
        <x:v>131</x:v>
      </x:c>
    </x:row>
    <x:row r="5149" spans="1:14">
      <x:c r="A5149" s="274" t="s">
        <x:v>9072</x:v>
      </x:c>
      <x:c r="B5149" s="274" t="n">
        <x:v>3.33</x:v>
      </x:c>
      <x:c r="C5149" s="274" t="n">
        <x:v>0</x:v>
      </x:c>
      <x:c r="D5149" s="274" t="n">
        <x:v>0</x:v>
      </x:c>
      <x:c r="F5149" s="274" t="s">
        <x:v>123</x:v>
      </x:c>
      <x:c r="G5149" s="274" t="s">
        <x:v>139</x:v>
      </x:c>
      <x:c r="I5149" s="274" t="n">
        <x:v>4</x:v>
      </x:c>
      <x:c r="J5149" s="274" t="n">
        <x:v>106</x:v>
      </x:c>
      <x:c r="K5149" s="274" t="n">
        <x:v>1000</x:v>
      </x:c>
      <x:c r="M5149" s="274" t="s">
        <x:v>4492</x:v>
      </x:c>
    </x:row>
    <x:row r="5150" spans="1:14">
      <x:c r="A5150" s="274" t="s">
        <x:v>9073</x:v>
      </x:c>
      <x:c r="B5150" s="274" t="n">
        <x:v>47.2</x:v>
      </x:c>
      <x:c r="C5150" s="274" t="n">
        <x:v>0</x:v>
      </x:c>
      <x:c r="D5150" s="274" t="n">
        <x:v>30</x:v>
      </x:c>
      <x:c r="E5150" s="274" t="n">
        <x:v>20</x:v>
      </x:c>
      <x:c r="F5150" s="274" t="s">
        <x:v>133</x:v>
      </x:c>
      <x:c r="G5150" s="274" t="s">
        <x:v>148</x:v>
      </x:c>
      <x:c r="I5150" s="274" t="n">
        <x:v>3.2</x:v>
      </x:c>
      <x:c r="J5150" s="274" t="n">
        <x:v>1125</x:v>
      </x:c>
      <x:c r="K5150" s="274" t="n">
        <x:v>1670</x:v>
      </x:c>
      <x:c r="M5150" s="274" t="s">
        <x:v>9074</x:v>
      </x:c>
      <x:c r="N5150" s="274" t="s">
        <x:v>126</x:v>
      </x:c>
    </x:row>
    <x:row r="5151" spans="1:14">
      <x:c r="A5151" s="274" t="s">
        <x:v>9075</x:v>
      </x:c>
      <x:c r="B5151" s="274" t="n">
        <x:v>4.93</x:v>
      </x:c>
      <x:c r="C5151" s="274" t="n">
        <x:v>0</x:v>
      </x:c>
      <x:c r="D5151" s="274" t="n">
        <x:v>0</x:v>
      </x:c>
      <x:c r="F5151" s="274" t="s">
        <x:v>133</x:v>
      </x:c>
      <x:c r="G5151" s="274" t="s">
        <x:v>134</x:v>
      </x:c>
      <x:c r="I5151" s="274" t="n">
        <x:v>4</x:v>
      </x:c>
      <x:c r="J5151" s="274" t="n">
        <x:v>157</x:v>
      </x:c>
      <x:c r="K5151" s="274" t="n">
        <x:v>1000</x:v>
      </x:c>
      <x:c r="M5151" s="274" t="s">
        <x:v>9076</x:v>
      </x:c>
      <x:c r="N5151" s="274" t="s">
        <x:v>162</x:v>
      </x:c>
    </x:row>
    <x:row r="5152" spans="1:14">
      <x:c r="A5152" s="274" t="s">
        <x:v>9077</x:v>
      </x:c>
      <x:c r="B5152" s="274" t="n">
        <x:v>8.21</x:v>
      </x:c>
      <x:c r="C5152" s="274" t="n">
        <x:v>0</x:v>
      </x:c>
      <x:c r="D5152" s="274" t="n">
        <x:v>0</x:v>
      </x:c>
      <x:c r="F5152" s="274" t="s">
        <x:v>133</x:v>
      </x:c>
      <x:c r="G5152" s="274" t="s">
        <x:v>134</x:v>
      </x:c>
      <x:c r="I5152" s="274" t="n">
        <x:v>4</x:v>
      </x:c>
      <x:c r="J5152" s="274" t="n">
        <x:v>249</x:v>
      </x:c>
      <x:c r="K5152" s="274" t="n">
        <x:v>1050</x:v>
      </x:c>
      <x:c r="M5152" s="274" t="s">
        <x:v>9078</x:v>
      </x:c>
      <x:c r="N5152" s="274" t="s">
        <x:v>9079</x:v>
      </x:c>
    </x:row>
    <x:row r="5153" spans="1:14">
      <x:c r="A5153" s="274" t="s">
        <x:v>9080</x:v>
      </x:c>
      <x:c r="B5153" s="274" t="n">
        <x:v>4.43</x:v>
      </x:c>
      <x:c r="C5153" s="274" t="n">
        <x:v>0</x:v>
      </x:c>
      <x:c r="D5153" s="274" t="n">
        <x:v>0</x:v>
      </x:c>
      <x:c r="F5153" s="274" t="s">
        <x:v>133</x:v>
      </x:c>
      <x:c r="G5153" s="274" t="s">
        <x:v>134</x:v>
      </x:c>
      <x:c r="I5153" s="274" t="n">
        <x:v>3.8</x:v>
      </x:c>
      <x:c r="J5153" s="274" t="n">
        <x:v>158</x:v>
      </x:c>
      <x:c r="K5153" s="274" t="n">
        <x:v>940</x:v>
      </x:c>
      <x:c r="M5153" s="274" t="s">
        <x:v>9081</x:v>
      </x:c>
    </x:row>
    <x:row r="5154" spans="1:14">
      <x:c r="A5154" s="274" t="s">
        <x:v>9082</x:v>
      </x:c>
      <x:c r="B5154" s="274" t="n">
        <x:v>2.12</x:v>
      </x:c>
      <x:c r="C5154" s="274" t="n">
        <x:v>0</x:v>
      </x:c>
      <x:c r="D5154" s="274" t="n">
        <x:v>0</x:v>
      </x:c>
      <x:c r="F5154" s="274" t="s">
        <x:v>123</x:v>
      </x:c>
      <x:c r="G5154" s="274" t="s">
        <x:v>153</x:v>
      </x:c>
      <x:c r="I5154" s="274" t="n">
        <x:v>1.2</x:v>
      </x:c>
      <x:c r="J5154" s="274" t="n">
        <x:v>900</x:v>
      </x:c>
      <x:c r="K5154" s="274" t="n">
        <x:v>250</x:v>
      </x:c>
      <x:c r="M5154" s="274" t="s">
        <x:v>3489</x:v>
      </x:c>
      <x:c r="N5154" s="274" t="s">
        <x:v>229</x:v>
      </x:c>
    </x:row>
    <x:row r="5155" spans="1:14">
      <x:c r="A5155" s="274" t="s">
        <x:v>9083</x:v>
      </x:c>
      <x:c r="B5155" s="274" t="n">
        <x:v>2.71</x:v>
      </x:c>
      <x:c r="C5155" s="274" t="n">
        <x:v>0</x:v>
      </x:c>
      <x:c r="D5155" s="274" t="n">
        <x:v>0</x:v>
      </x:c>
      <x:c r="F5155" s="274" t="s">
        <x:v>123</x:v>
      </x:c>
      <x:c r="G5155" s="274" t="s">
        <x:v>153</x:v>
      </x:c>
      <x:c r="I5155" s="274" t="n">
        <x:v>1.2</x:v>
      </x:c>
      <x:c r="J5155" s="274" t="n">
        <x:v>1065</x:v>
      </x:c>
      <x:c r="K5155" s="274" t="n">
        <x:v>270</x:v>
      </x:c>
      <x:c r="M5155" s="274" t="s">
        <x:v>9084</x:v>
      </x:c>
      <x:c r="N5155" s="274" t="s">
        <x:v>787</x:v>
      </x:c>
    </x:row>
    <x:row r="5156" spans="1:14">
      <x:c r="A5156" s="274" t="s">
        <x:v>9085</x:v>
      </x:c>
      <x:c r="B5156" s="274" t="n">
        <x:v>0.34</x:v>
      </x:c>
      <x:c r="C5156" s="274" t="n">
        <x:v>0</x:v>
      </x:c>
      <x:c r="D5156" s="274" t="n">
        <x:v>0</x:v>
      </x:c>
      <x:c r="F5156" s="274" t="s">
        <x:v>133</x:v>
      </x:c>
      <x:c r="G5156" s="274" t="s">
        <x:v>144</x:v>
      </x:c>
      <x:c r="H5156" s="274" t="n">
        <x:v>45</x:v>
      </x:c>
      <x:c r="I5156" s="274" t="n">
        <x:v>2</x:v>
      </x:c>
      <x:c r="J5156" s="274" t="n">
        <x:v>312</x:v>
      </x:c>
      <x:c r="K5156" s="274" t="n">
        <x:v>70</x:v>
      </x:c>
      <x:c r="M5156" s="274" t="s">
        <x:v>994</x:v>
      </x:c>
      <x:c r="N5156" s="274" t="s">
        <x:v>229</x:v>
      </x:c>
    </x:row>
    <x:row r="5157" spans="1:14">
      <x:c r="A5157" s="274" t="s">
        <x:v>9086</x:v>
      </x:c>
      <x:c r="B5157" s="274" t="n">
        <x:v>1.65</x:v>
      </x:c>
      <x:c r="C5157" s="274" t="n">
        <x:v>0</x:v>
      </x:c>
      <x:c r="D5157" s="274" t="n">
        <x:v>0</x:v>
      </x:c>
      <x:c r="F5157" s="274" t="s">
        <x:v>128</x:v>
      </x:c>
      <x:c r="G5157" s="274" t="s">
        <x:v>496</x:v>
      </x:c>
      <x:c r="H5157" s="274" t="n">
        <x:v>45</x:v>
      </x:c>
      <x:c r="I5157" s="274" t="n">
        <x:v>2.9</x:v>
      </x:c>
      <x:c r="J5157" s="274" t="n">
        <x:v>164</x:v>
      </x:c>
      <x:c r="K5157" s="274" t="n">
        <x:v>441</x:v>
      </x:c>
      <x:c r="M5157" s="274" t="s">
        <x:v>9087</x:v>
      </x:c>
      <x:c r="N5157" s="274" t="s">
        <x:v>229</x:v>
      </x:c>
    </x:row>
    <x:row r="5158" spans="1:14">
      <x:c r="A5158" s="274" t="s">
        <x:v>9088</x:v>
      </x:c>
      <x:c r="B5158" s="274" t="n">
        <x:v>1.09</x:v>
      </x:c>
      <x:c r="C5158" s="274" t="n">
        <x:v>0</x:v>
      </x:c>
      <x:c r="D5158" s="274" t="n">
        <x:v>0</x:v>
      </x:c>
      <x:c r="F5158" s="274" t="s">
        <x:v>128</x:v>
      </x:c>
      <x:c r="G5158" s="274" t="s">
        <x:v>496</x:v>
      </x:c>
      <x:c r="H5158" s="274" t="n">
        <x:v>45</x:v>
      </x:c>
      <x:c r="I5158" s="274" t="n">
        <x:v>2.3</x:v>
      </x:c>
      <x:c r="J5158" s="274" t="n">
        <x:v>129</x:v>
      </x:c>
      <x:c r="K5158" s="274" t="n">
        <x:v>464</x:v>
      </x:c>
      <x:c r="M5158" s="274" t="s">
        <x:v>9089</x:v>
      </x:c>
      <x:c r="N5158" s="274" t="s">
        <x:v>126</x:v>
      </x:c>
    </x:row>
    <x:row r="5159" spans="1:14">
      <x:c r="A5159" s="274" t="s">
        <x:v>9090</x:v>
      </x:c>
      <x:c r="B5159" s="274" t="n">
        <x:v>5.37</x:v>
      </x:c>
      <x:c r="C5159" s="274" t="n">
        <x:v>0</x:v>
      </x:c>
      <x:c r="D5159" s="274" t="n">
        <x:v>0</x:v>
      </x:c>
      <x:c r="F5159" s="274" t="s">
        <x:v>133</x:v>
      </x:c>
      <x:c r="G5159" s="274" t="s">
        <x:v>134</x:v>
      </x:c>
      <x:c r="I5159" s="274" t="n">
        <x:v>4</x:v>
      </x:c>
      <x:c r="J5159" s="274" t="n">
        <x:v>150</x:v>
      </x:c>
      <x:c r="K5159" s="274" t="n">
        <x:v>1140</x:v>
      </x:c>
      <x:c r="M5159" s="274" t="s">
        <x:v>9091</x:v>
      </x:c>
      <x:c r="N5159" s="274" t="s">
        <x:v>162</x:v>
      </x:c>
    </x:row>
    <x:row r="5160" spans="1:14">
      <x:c r="A5160" s="274" t="s">
        <x:v>9092</x:v>
      </x:c>
      <x:c r="B5160" s="274" t="n">
        <x:v>1.22</x:v>
      </x:c>
      <x:c r="C5160" s="274" t="n">
        <x:v>0</x:v>
      </x:c>
      <x:c r="D5160" s="274" t="n">
        <x:v>22</x:v>
      </x:c>
      <x:c r="E5160" s="274" t="n">
        <x:v>15</x:v>
      </x:c>
      <x:c r="F5160" s="274" t="s">
        <x:v>133</x:v>
      </x:c>
      <x:c r="G5160" s="274" t="s">
        <x:v>136</x:v>
      </x:c>
      <x:c r="H5160" s="274" t="n">
        <x:v>45</x:v>
      </x:c>
      <x:c r="I5160" s="274" t="n">
        <x:v>0.8</x:v>
      </x:c>
      <x:c r="J5160" s="274" t="n">
        <x:v>140</x:v>
      </x:c>
      <x:c r="K5160" s="274" t="n">
        <x:v>1370</x:v>
      </x:c>
      <x:c r="M5160" s="274" t="s">
        <x:v>2564</x:v>
      </x:c>
      <x:c r="N5160" s="274" t="s">
        <x:v>162</x:v>
      </x:c>
    </x:row>
    <x:row r="5161" spans="1:14">
      <x:c r="A5161" s="274" t="s">
        <x:v>9093</x:v>
      </x:c>
      <x:c r="B5161" s="274" t="n">
        <x:v>1.04</x:v>
      </x:c>
      <x:c r="C5161" s="274" t="n">
        <x:v>0</x:v>
      </x:c>
      <x:c r="D5161" s="274" t="n">
        <x:v>0</x:v>
      </x:c>
      <x:c r="F5161" s="274" t="s">
        <x:v>128</x:v>
      </x:c>
      <x:c r="G5161" s="274" t="s">
        <x:v>496</x:v>
      </x:c>
      <x:c r="H5161" s="274" t="n">
        <x:v>45</x:v>
      </x:c>
      <x:c r="I5161" s="274" t="n">
        <x:v>2.6</x:v>
      </x:c>
      <x:c r="J5161" s="274" t="n">
        <x:v>107</x:v>
      </x:c>
      <x:c r="K5161" s="274" t="n">
        <x:v>472</x:v>
      </x:c>
      <x:c r="M5161" s="274" t="s">
        <x:v>497</x:v>
      </x:c>
      <x:c r="N5161" s="274" t="s">
        <x:v>155</x:v>
      </x:c>
    </x:row>
    <x:row r="5162" spans="1:14">
      <x:c r="A5162" s="274" t="s">
        <x:v>9094</x:v>
      </x:c>
      <x:c r="B5162" s="274" t="n">
        <x:v>0.74</x:v>
      </x:c>
      <x:c r="C5162" s="274" t="n">
        <x:v>0</x:v>
      </x:c>
      <x:c r="D5162" s="274" t="n">
        <x:v>0</x:v>
      </x:c>
      <x:c r="F5162" s="274" t="s">
        <x:v>184</x:v>
      </x:c>
      <x:c r="G5162" s="274" t="s">
        <x:v>129</x:v>
      </x:c>
      <x:c r="H5162" s="274" t="n">
        <x:v>45</x:v>
      </x:c>
      <x:c r="I5162" s="274" t="n">
        <x:v>1.6</x:v>
      </x:c>
      <x:c r="J5162" s="274" t="n">
        <x:v>170</x:v>
      </x:c>
      <x:c r="K5162" s="274" t="n">
        <x:v>343</x:v>
      </x:c>
      <x:c r="M5162" s="274" t="s">
        <x:v>9095</x:v>
      </x:c>
      <x:c r="N5162" s="274" t="s">
        <x:v>155</x:v>
      </x:c>
    </x:row>
    <x:row r="5163" spans="1:14">
      <x:c r="A5163" s="274" t="s">
        <x:v>9096</x:v>
      </x:c>
      <x:c r="B5163" s="274" t="n">
        <x:v>3.76</x:v>
      </x:c>
      <x:c r="C5163" s="274" t="n">
        <x:v>0</x:v>
      </x:c>
      <x:c r="D5163" s="274" t="n">
        <x:v>0</x:v>
      </x:c>
      <x:c r="F5163" s="274" t="s">
        <x:v>133</x:v>
      </x:c>
      <x:c r="G5163" s="274" t="s">
        <x:v>134</x:v>
      </x:c>
      <x:c r="I5163" s="274" t="n">
        <x:v>2.8</x:v>
      </x:c>
      <x:c r="J5163" s="274" t="n">
        <x:v>139</x:v>
      </x:c>
      <x:c r="K5163" s="274" t="n">
        <x:v>1230</x:v>
      </x:c>
      <x:c r="M5163" s="274" t="s">
        <x:v>9097</x:v>
      </x:c>
      <x:c r="N5163" s="274" t="s">
        <x:v>155</x:v>
      </x:c>
    </x:row>
    <x:row r="5164" spans="1:14">
      <x:c r="A5164" s="274" t="s">
        <x:v>9098</x:v>
      </x:c>
      <x:c r="B5164" s="274" t="n">
        <x:v>1.86</x:v>
      </x:c>
      <x:c r="C5164" s="274" t="n">
        <x:v>0</x:v>
      </x:c>
      <x:c r="D5164" s="274" t="n">
        <x:v>0</x:v>
      </x:c>
      <x:c r="F5164" s="274" t="s">
        <x:v>123</x:v>
      </x:c>
      <x:c r="G5164" s="274" t="s">
        <x:v>153</x:v>
      </x:c>
      <x:c r="I5164" s="274" t="n">
        <x:v>0.8</x:v>
      </x:c>
      <x:c r="J5164" s="274" t="n">
        <x:v>585</x:v>
      </x:c>
      <x:c r="K5164" s="274" t="n">
        <x:v>505</x:v>
      </x:c>
      <x:c r="M5164" s="274" t="s">
        <x:v>7432</x:v>
      </x:c>
      <x:c r="N5164" s="274" t="s">
        <x:v>372</x:v>
      </x:c>
    </x:row>
    <x:row r="5165" spans="1:14">
      <x:c r="A5165" s="274" t="s">
        <x:v>9099</x:v>
      </x:c>
      <x:c r="B5165" s="274" t="n">
        <x:v>0.99</x:v>
      </x:c>
      <x:c r="C5165" s="274" t="n">
        <x:v>0</x:v>
      </x:c>
      <x:c r="D5165" s="274" t="n">
        <x:v>35</x:v>
      </x:c>
      <x:c r="E5165" s="274" t="n">
        <x:v>33</x:v>
      </x:c>
      <x:c r="F5165" s="274" t="s">
        <x:v>128</x:v>
      </x:c>
      <x:c r="G5165" s="274" t="s">
        <x:v>496</x:v>
      </x:c>
      <x:c r="H5165" s="274" t="n">
        <x:v>45</x:v>
      </x:c>
      <x:c r="I5165" s="274" t="n">
        <x:v>2.6</x:v>
      </x:c>
      <x:c r="J5165" s="274" t="n">
        <x:v>130</x:v>
      </x:c>
      <x:c r="K5165" s="274" t="n">
        <x:v>370</x:v>
      </x:c>
      <x:c r="M5165" s="274" t="s">
        <x:v>2947</x:v>
      </x:c>
      <x:c r="N5165" s="274" t="s">
        <x:v>162</x:v>
      </x:c>
    </x:row>
    <x:row r="5166" spans="1:14">
      <x:c r="A5166" s="274" t="s">
        <x:v>9100</x:v>
      </x:c>
      <x:c r="B5166" s="274" t="n">
        <x:v>0.29</x:v>
      </x:c>
      <x:c r="C5166" s="274" t="n">
        <x:v>0</x:v>
      </x:c>
      <x:c r="D5166" s="274" t="n">
        <x:v>0</x:v>
      </x:c>
      <x:c r="F5166" s="274" t="s">
        <x:v>128</x:v>
      </x:c>
      <x:c r="G5166" s="274" t="s">
        <x:v>129</x:v>
      </x:c>
      <x:c r="H5166" s="274" t="n">
        <x:v>45</x:v>
      </x:c>
      <x:c r="I5166" s="274" t="n">
        <x:v>0.6</x:v>
      </x:c>
      <x:c r="J5166" s="274" t="n">
        <x:v>114</x:v>
      </x:c>
      <x:c r="K5166" s="274" t="n">
        <x:v>525</x:v>
      </x:c>
      <x:c r="M5166" s="274" t="s">
        <x:v>2124</x:v>
      </x:c>
    </x:row>
    <x:row r="5167" spans="1:14">
      <x:c r="A5167" s="274" t="s">
        <x:v>9101</x:v>
      </x:c>
      <x:c r="B5167" s="274" t="n">
        <x:v>1.72</x:v>
      </x:c>
      <x:c r="C5167" s="274" t="n">
        <x:v>0</x:v>
      </x:c>
      <x:c r="D5167" s="274" t="n">
        <x:v>0</x:v>
      </x:c>
      <x:c r="F5167" s="274" t="s">
        <x:v>123</x:v>
      </x:c>
      <x:c r="G5167" s="274" t="s">
        <x:v>153</x:v>
      </x:c>
      <x:c r="I5167" s="274" t="n">
        <x:v>1.2</x:v>
      </x:c>
      <x:c r="J5167" s="274" t="n">
        <x:v>174</x:v>
      </x:c>
      <x:c r="K5167" s="274" t="n">
        <x:v>1050</x:v>
      </x:c>
      <x:c r="M5167" s="274" t="s">
        <x:v>9102</x:v>
      </x:c>
    </x:row>
    <x:row r="5168" spans="1:14">
      <x:c r="A5168" s="274" t="s">
        <x:v>9103</x:v>
      </x:c>
      <x:c r="B5168" s="274" t="n">
        <x:v>9.96</x:v>
      </x:c>
      <x:c r="C5168" s="274" t="n">
        <x:v>0</x:v>
      </x:c>
      <x:c r="D5168" s="274" t="n">
        <x:v>42</x:v>
      </x:c>
      <x:c r="E5168" s="274" t="n">
        <x:v>0</x:v>
      </x:c>
      <x:c r="F5168" s="274" t="s">
        <x:v>184</x:v>
      </x:c>
      <x:c r="G5168" s="274" t="s">
        <x:v>284</x:v>
      </x:c>
      <x:c r="H5168" s="274" t="n">
        <x:v>45</x:v>
      </x:c>
      <x:c r="I5168" s="274" t="n">
        <x:v>1</x:v>
      </x:c>
      <x:c r="J5168" s="274" t="n">
        <x:v>1644</x:v>
      </x:c>
      <x:c r="K5168" s="274" t="n">
        <x:v>763</x:v>
      </x:c>
      <x:c r="M5168" s="274" t="s">
        <x:v>9104</x:v>
      </x:c>
    </x:row>
    <x:row r="5169" spans="1:14">
      <x:c r="A5169" s="274" t="s">
        <x:v>9105</x:v>
      </x:c>
      <x:c r="B5169" s="274" t="n">
        <x:v>8.57</x:v>
      </x:c>
      <x:c r="C5169" s="274" t="n">
        <x:v>0</x:v>
      </x:c>
      <x:c r="D5169" s="274" t="n">
        <x:v>30</x:v>
      </x:c>
      <x:c r="E5169" s="274" t="n">
        <x:v>40</x:v>
      </x:c>
      <x:c r="F5169" s="274" t="s">
        <x:v>184</x:v>
      </x:c>
      <x:c r="G5169" s="274" t="s">
        <x:v>1614</x:v>
      </x:c>
      <x:c r="H5169" s="274" t="n">
        <x:v>45</x:v>
      </x:c>
      <x:c r="I5169" s="274" t="n">
        <x:v>1.8</x:v>
      </x:c>
      <x:c r="J5169" s="274" t="n">
        <x:v>1208</x:v>
      </x:c>
      <x:c r="K5169" s="274" t="n">
        <x:v>499</x:v>
      </x:c>
      <x:c r="M5169" s="274" t="s">
        <x:v>6575</x:v>
      </x:c>
      <x:c r="N5169" s="274" t="s">
        <x:v>4250</x:v>
      </x:c>
    </x:row>
    <x:row r="5170" spans="1:14">
      <x:c r="A5170" s="274" t="s">
        <x:v>9106</x:v>
      </x:c>
      <x:c r="B5170" s="274" t="n">
        <x:v>0.25</x:v>
      </x:c>
      <x:c r="C5170" s="274" t="n">
        <x:v>0</x:v>
      </x:c>
      <x:c r="D5170" s="274" t="n">
        <x:v>0</x:v>
      </x:c>
      <x:c r="F5170" s="274" t="s">
        <x:v>133</x:v>
      </x:c>
      <x:c r="G5170" s="274" t="s">
        <x:v>136</x:v>
      </x:c>
      <x:c r="H5170" s="274" t="n">
        <x:v>45</x:v>
      </x:c>
      <x:c r="I5170" s="274" t="n">
        <x:v>1.6</x:v>
      </x:c>
      <x:c r="J5170" s="274" t="n">
        <x:v>190</x:v>
      </x:c>
      <x:c r="K5170" s="274" t="n">
        <x:v>106</x:v>
      </x:c>
      <x:c r="M5170" s="274" t="s">
        <x:v>3487</x:v>
      </x:c>
      <x:c r="N5170" s="274" t="s">
        <x:v>299</x:v>
      </x:c>
    </x:row>
    <x:row r="5171" spans="1:14">
      <x:c r="A5171" s="274" t="s">
        <x:v>9107</x:v>
      </x:c>
      <x:c r="B5171" s="274" t="n">
        <x:v>1.38</x:v>
      </x:c>
      <x:c r="C5171" s="274" t="n">
        <x:v>0</x:v>
      </x:c>
      <x:c r="D5171" s="274" t="n">
        <x:v>0</x:v>
      </x:c>
      <x:c r="F5171" s="274" t="s">
        <x:v>133</x:v>
      </x:c>
      <x:c r="G5171" s="274" t="s">
        <x:v>209</x:v>
      </x:c>
      <x:c r="I5171" s="274" t="n">
        <x:v>1.2</x:v>
      </x:c>
      <x:c r="J5171" s="274" t="n">
        <x:v>120</x:v>
      </x:c>
      <x:c r="K5171" s="274" t="n">
        <x:v>1223</x:v>
      </x:c>
      <x:c r="M5171" s="274" t="s">
        <x:v>9108</x:v>
      </x:c>
      <x:c r="N5171" s="274" t="s">
        <x:v>229</x:v>
      </x:c>
    </x:row>
    <x:row r="5172" spans="1:14">
      <x:c r="A5172" s="274" t="s">
        <x:v>9109</x:v>
      </x:c>
      <x:c r="B5172" s="274" t="n">
        <x:v>0.53</x:v>
      </x:c>
      <x:c r="C5172" s="274" t="n">
        <x:v>0</x:v>
      </x:c>
      <x:c r="D5172" s="274" t="n">
        <x:v>0</x:v>
      </x:c>
      <x:c r="F5172" s="274" t="s">
        <x:v>133</x:v>
      </x:c>
      <x:c r="G5172" s="274" t="s">
        <x:v>134</x:v>
      </x:c>
      <x:c r="I5172" s="274" t="n">
        <x:v>1.6</x:v>
      </x:c>
      <x:c r="J5172" s="274" t="n">
        <x:v>34</x:v>
      </x:c>
      <x:c r="K5172" s="274" t="n">
        <x:v>1234</x:v>
      </x:c>
      <x:c r="M5172" s="274" t="s">
        <x:v>9110</x:v>
      </x:c>
      <x:c r="N5172" s="274" t="s">
        <x:v>299</x:v>
      </x:c>
    </x:row>
    <x:row r="5173" spans="1:14">
      <x:c r="A5173" s="274" t="s">
        <x:v>9111</x:v>
      </x:c>
      <x:c r="B5173" s="274" t="n">
        <x:v>1.04</x:v>
      </x:c>
      <x:c r="C5173" s="274" t="n">
        <x:v>0</x:v>
      </x:c>
      <x:c r="D5173" s="274" t="n">
        <x:v>0</x:v>
      </x:c>
      <x:c r="F5173" s="274" t="s">
        <x:v>133</x:v>
      </x:c>
      <x:c r="G5173" s="274" t="s">
        <x:v>134</x:v>
      </x:c>
      <x:c r="I5173" s="274" t="n">
        <x:v>1.6</x:v>
      </x:c>
      <x:c r="J5173" s="274" t="n">
        <x:v>67</x:v>
      </x:c>
      <x:c r="K5173" s="274" t="n">
        <x:v>1234</x:v>
      </x:c>
      <x:c r="M5173" s="274" t="s">
        <x:v>9112</x:v>
      </x:c>
      <x:c r="N5173" s="274" t="s">
        <x:v>299</x:v>
      </x:c>
    </x:row>
    <x:row r="5174" spans="1:14">
      <x:c r="A5174" s="274" t="s">
        <x:v>9113</x:v>
      </x:c>
      <x:c r="B5174" s="274" t="n">
        <x:v>0.28</x:v>
      </x:c>
      <x:c r="C5174" s="274" t="n">
        <x:v>0</x:v>
      </x:c>
      <x:c r="D5174" s="274" t="n">
        <x:v>0</x:v>
      </x:c>
      <x:c r="F5174" s="274" t="s">
        <x:v>128</x:v>
      </x:c>
      <x:c r="G5174" s="274" t="s">
        <x:v>129</x:v>
      </x:c>
      <x:c r="H5174" s="274" t="n">
        <x:v>45</x:v>
      </x:c>
      <x:c r="I5174" s="274" t="n">
        <x:v>0.6</x:v>
      </x:c>
      <x:c r="J5174" s="274" t="n">
        <x:v>97</x:v>
      </x:c>
      <x:c r="K5174" s="274" t="n">
        <x:v>610</x:v>
      </x:c>
      <x:c r="M5174" s="274" t="s">
        <x:v>2120</x:v>
      </x:c>
      <x:c r="N5174" s="274" t="s">
        <x:v>299</x:v>
      </x:c>
    </x:row>
    <x:row r="5175" spans="1:14">
      <x:c r="A5175" s="274" t="s">
        <x:v>9114</x:v>
      </x:c>
      <x:c r="B5175" s="274" t="n">
        <x:v>1.76</x:v>
      </x:c>
      <x:c r="C5175" s="274" t="n">
        <x:v>0</x:v>
      </x:c>
      <x:c r="D5175" s="274" t="n">
        <x:v>0</x:v>
      </x:c>
      <x:c r="F5175" s="274" t="s">
        <x:v>133</x:v>
      </x:c>
      <x:c r="G5175" s="274" t="s">
        <x:v>209</x:v>
      </x:c>
      <x:c r="I5175" s="274" t="n">
        <x:v>1.2</x:v>
      </x:c>
      <x:c r="J5175" s="274" t="n">
        <x:v>153</x:v>
      </x:c>
      <x:c r="K5175" s="274" t="n">
        <x:v>1224</x:v>
      </x:c>
      <x:c r="M5175" s="274" t="s">
        <x:v>9115</x:v>
      </x:c>
    </x:row>
    <x:row r="5176" spans="1:14">
      <x:c r="A5176" s="274" t="s">
        <x:v>9116</x:v>
      </x:c>
      <x:c r="B5176" s="274" t="n">
        <x:v>1.79</x:v>
      </x:c>
      <x:c r="C5176" s="274" t="n">
        <x:v>0</x:v>
      </x:c>
      <x:c r="D5176" s="274" t="n">
        <x:v>0</x:v>
      </x:c>
      <x:c r="F5176" s="274" t="s">
        <x:v>133</x:v>
      </x:c>
      <x:c r="G5176" s="274" t="s">
        <x:v>209</x:v>
      </x:c>
      <x:c r="I5176" s="274" t="n">
        <x:v>1.2</x:v>
      </x:c>
      <x:c r="J5176" s="274" t="n">
        <x:v>153</x:v>
      </x:c>
      <x:c r="K5176" s="274" t="n">
        <x:v>1239</x:v>
      </x:c>
      <x:c r="M5176" s="274" t="s">
        <x:v>9117</x:v>
      </x:c>
    </x:row>
    <x:row r="5177" spans="1:14">
      <x:c r="A5177" s="274" t="s">
        <x:v>9118</x:v>
      </x:c>
      <x:c r="B5177" s="274" t="n">
        <x:v>1.3</x:v>
      </x:c>
      <x:c r="C5177" s="274" t="n">
        <x:v>0</x:v>
      </x:c>
      <x:c r="D5177" s="274" t="n">
        <x:v>0</x:v>
      </x:c>
      <x:c r="F5177" s="274" t="s">
        <x:v>133</x:v>
      </x:c>
      <x:c r="G5177" s="274" t="s">
        <x:v>148</x:v>
      </x:c>
      <x:c r="I5177" s="274" t="n">
        <x:v>3.6</x:v>
      </x:c>
      <x:c r="J5177" s="274" t="n">
        <x:v>443</x:v>
      </x:c>
      <x:c r="K5177" s="274" t="n">
        <x:v>104</x:v>
      </x:c>
      <x:c r="M5177" s="274" t="s">
        <x:v>9119</x:v>
      </x:c>
      <x:c r="N5177" s="274" t="s">
        <x:v>299</x:v>
      </x:c>
    </x:row>
    <x:row r="5178" spans="1:14">
      <x:c r="A5178" s="274" t="s">
        <x:v>9120</x:v>
      </x:c>
      <x:c r="B5178" s="274" t="n">
        <x:v>0.71</x:v>
      </x:c>
      <x:c r="C5178" s="274" t="n">
        <x:v>0</x:v>
      </x:c>
      <x:c r="D5178" s="274" t="n">
        <x:v>0</x:v>
      </x:c>
      <x:c r="F5178" s="274" t="s">
        <x:v>133</x:v>
      </x:c>
      <x:c r="G5178" s="274" t="s">
        <x:v>209</x:v>
      </x:c>
      <x:c r="I5178" s="274" t="n">
        <x:v>1.2</x:v>
      </x:c>
      <x:c r="J5178" s="274" t="n">
        <x:v>260</x:v>
      </x:c>
      <x:c r="K5178" s="274" t="n">
        <x:v>290</x:v>
      </x:c>
      <x:c r="M5178" s="274" t="s">
        <x:v>9121</x:v>
      </x:c>
    </x:row>
    <x:row r="5179" spans="1:14">
      <x:c r="A5179" s="274" t="s">
        <x:v>9122</x:v>
      </x:c>
      <x:c r="B5179" s="274" t="n">
        <x:v>0.34</x:v>
      </x:c>
      <x:c r="C5179" s="274" t="n">
        <x:v>0</x:v>
      </x:c>
      <x:c r="D5179" s="274" t="n">
        <x:v>0</x:v>
      </x:c>
      <x:c r="F5179" s="274" t="s">
        <x:v>128</x:v>
      </x:c>
      <x:c r="G5179" s="274" t="s">
        <x:v>129</x:v>
      </x:c>
      <x:c r="H5179" s="274" t="n">
        <x:v>45</x:v>
      </x:c>
      <x:c r="I5179" s="274" t="n">
        <x:v>0.8</x:v>
      </x:c>
      <x:c r="J5179" s="274" t="n">
        <x:v>135</x:v>
      </x:c>
      <x:c r="K5179" s="274" t="n">
        <x:v>393</x:v>
      </x:c>
      <x:c r="M5179" s="274" t="s">
        <x:v>9123</x:v>
      </x:c>
      <x:c r="N5179" s="274" t="s">
        <x:v>131</x:v>
      </x:c>
    </x:row>
    <x:row r="5180" spans="1:14">
      <x:c r="A5180" s="274" t="s">
        <x:v>9124</x:v>
      </x:c>
      <x:c r="B5180" s="274" t="n">
        <x:v>1.92</x:v>
      </x:c>
      <x:c r="C5180" s="274" t="n">
        <x:v>0</x:v>
      </x:c>
      <x:c r="D5180" s="274" t="n">
        <x:v>0</x:v>
      </x:c>
      <x:c r="F5180" s="274" t="s">
        <x:v>133</x:v>
      </x:c>
      <x:c r="G5180" s="274" t="s">
        <x:v>148</x:v>
      </x:c>
      <x:c r="I5180" s="274" t="n">
        <x:v>4.5</x:v>
      </x:c>
      <x:c r="J5180" s="274" t="n">
        <x:v>65</x:v>
      </x:c>
      <x:c r="K5180" s="274" t="n">
        <x:v>835</x:v>
      </x:c>
      <x:c r="M5180" s="274" t="s">
        <x:v>9125</x:v>
      </x:c>
    </x:row>
    <x:row r="5181" spans="1:14">
      <x:c r="A5181" s="274" t="s">
        <x:v>9126</x:v>
      </x:c>
      <x:c r="B5181" s="274" t="n">
        <x:v>0.68</x:v>
      </x:c>
      <x:c r="C5181" s="274" t="n">
        <x:v>0</x:v>
      </x:c>
      <x:c r="D5181" s="274" t="n">
        <x:v>35</x:v>
      </x:c>
      <x:c r="E5181" s="274" t="n">
        <x:v>33</x:v>
      </x:c>
      <x:c r="F5181" s="274" t="s">
        <x:v>128</x:v>
      </x:c>
      <x:c r="G5181" s="274" t="s">
        <x:v>437</x:v>
      </x:c>
      <x:c r="I5181" s="274" t="n">
        <x:v>3.2</x:v>
      </x:c>
      <x:c r="J5181" s="274" t="n">
        <x:v>168</x:v>
      </x:c>
      <x:c r="K5181" s="274" t="n">
        <x:v>160</x:v>
      </x:c>
      <x:c r="M5181" s="274" t="s">
        <x:v>1359</x:v>
      </x:c>
      <x:c r="N5181" s="274" t="s">
        <x:v>299</x:v>
      </x:c>
    </x:row>
    <x:row r="5182" spans="1:14">
      <x:c r="A5182" s="274" t="s">
        <x:v>9127</x:v>
      </x:c>
      <x:c r="B5182" s="274" t="n">
        <x:v>3.13</x:v>
      </x:c>
      <x:c r="C5182" s="274" t="n">
        <x:v>0</x:v>
      </x:c>
      <x:c r="D5182" s="274" t="n">
        <x:v>0</x:v>
      </x:c>
      <x:c r="F5182" s="274" t="s">
        <x:v>133</x:v>
      </x:c>
      <x:c r="G5182" s="274" t="s">
        <x:v>148</x:v>
      </x:c>
      <x:c r="I5182" s="274" t="n">
        <x:v>3.6</x:v>
      </x:c>
      <x:c r="J5182" s="274" t="n">
        <x:v>485</x:v>
      </x:c>
      <x:c r="K5182" s="274" t="n">
        <x:v>228</x:v>
      </x:c>
      <x:c r="M5182" s="274" t="s">
        <x:v>9128</x:v>
      </x:c>
      <x:c r="N5182" s="274" t="s">
        <x:v>126</x:v>
      </x:c>
    </x:row>
    <x:row r="5183" spans="1:14">
      <x:c r="A5183" s="274" t="s">
        <x:v>9129</x:v>
      </x:c>
      <x:c r="B5183" s="274" t="n">
        <x:v>5.39</x:v>
      </x:c>
      <x:c r="C5183" s="274" t="n">
        <x:v>0</x:v>
      </x:c>
      <x:c r="D5183" s="274" t="n">
        <x:v>0</x:v>
      </x:c>
      <x:c r="F5183" s="274" t="s">
        <x:v>133</x:v>
      </x:c>
      <x:c r="G5183" s="274" t="s">
        <x:v>148</x:v>
      </x:c>
      <x:c r="I5183" s="274" t="n">
        <x:v>3.8</x:v>
      </x:c>
      <x:c r="J5183" s="274" t="n">
        <x:v>570</x:v>
      </x:c>
      <x:c r="K5183" s="274" t="n">
        <x:v>317</x:v>
      </x:c>
      <x:c r="M5183" s="274" t="s">
        <x:v>9130</x:v>
      </x:c>
      <x:c r="N5183" s="274" t="s">
        <x:v>126</x:v>
      </x:c>
    </x:row>
    <x:row r="5184" spans="1:14">
      <x:c r="A5184" s="274" t="s">
        <x:v>9131</x:v>
      </x:c>
      <x:c r="B5184" s="274" t="n">
        <x:v>33.96</x:v>
      </x:c>
      <x:c r="C5184" s="274" t="n">
        <x:v>0</x:v>
      </x:c>
      <x:c r="D5184" s="274" t="n">
        <x:v>20</x:v>
      </x:c>
      <x:c r="E5184" s="274" t="n">
        <x:v>0</x:v>
      </x:c>
      <x:c r="F5184" s="274" t="s">
        <x:v>123</x:v>
      </x:c>
      <x:c r="G5184" s="274" t="s">
        <x:v>139</x:v>
      </x:c>
      <x:c r="I5184" s="274" t="n">
        <x:v>2.6</x:v>
      </x:c>
      <x:c r="J5184" s="274" t="n">
        <x:v>817</x:v>
      </x:c>
      <x:c r="K5184" s="274" t="n">
        <x:v>2037</x:v>
      </x:c>
      <x:c r="L5184" s="274" t="n">
        <x:v>2037</x:v>
      </x:c>
      <x:c r="M5184" s="274" t="s">
        <x:v>9132</x:v>
      </x:c>
    </x:row>
    <x:row r="5185" spans="1:14">
      <x:c r="A5185" s="274" t="s">
        <x:v>9133</x:v>
      </x:c>
      <x:c r="B5185" s="274" t="n">
        <x:v>5.52</x:v>
      </x:c>
      <x:c r="C5185" s="274" t="n">
        <x:v>0</x:v>
      </x:c>
      <x:c r="D5185" s="274" t="n">
        <x:v>0</x:v>
      </x:c>
      <x:c r="F5185" s="274" t="s">
        <x:v>133</x:v>
      </x:c>
      <x:c r="G5185" s="274" t="s">
        <x:v>148</x:v>
      </x:c>
      <x:c r="I5185" s="274" t="n">
        <x:v>3.6</x:v>
      </x:c>
      <x:c r="J5185" s="274" t="n">
        <x:v>1111</x:v>
      </x:c>
      <x:c r="K5185" s="274" t="n">
        <x:v>176</x:v>
      </x:c>
      <x:c r="M5185" s="274" t="s">
        <x:v>9134</x:v>
      </x:c>
      <x:c r="N5185" s="274" t="s">
        <x:v>299</x:v>
      </x:c>
    </x:row>
    <x:row r="5186" spans="1:14">
      <x:c r="A5186" s="274" t="s">
        <x:v>9135</x:v>
      </x:c>
      <x:c r="B5186" s="274" t="n">
        <x:v>5.51</x:v>
      </x:c>
      <x:c r="C5186" s="274" t="n">
        <x:v>0</x:v>
      </x:c>
      <x:c r="D5186" s="274" t="n">
        <x:v>0</x:v>
      </x:c>
      <x:c r="F5186" s="274" t="s">
        <x:v>133</x:v>
      </x:c>
      <x:c r="G5186" s="274" t="s">
        <x:v>148</x:v>
      </x:c>
      <x:c r="I5186" s="274" t="n">
        <x:v>3.6</x:v>
      </x:c>
      <x:c r="J5186" s="274" t="n">
        <x:v>1108</x:v>
      </x:c>
      <x:c r="K5186" s="274" t="n">
        <x:v>176</x:v>
      </x:c>
      <x:c r="M5186" s="274" t="s">
        <x:v>9136</x:v>
      </x:c>
      <x:c r="N5186" s="274" t="s">
        <x:v>299</x:v>
      </x:c>
    </x:row>
    <x:row r="5187" spans="1:14">
      <x:c r="A5187" s="274" t="s">
        <x:v>9137</x:v>
      </x:c>
      <x:c r="B5187" s="274" t="n">
        <x:v>7.93</x:v>
      </x:c>
      <x:c r="C5187" s="274" t="n">
        <x:v>0</x:v>
      </x:c>
      <x:c r="D5187" s="274" t="n">
        <x:v>0</x:v>
      </x:c>
      <x:c r="F5187" s="274" t="s">
        <x:v>133</x:v>
      </x:c>
      <x:c r="G5187" s="274" t="s">
        <x:v>134</x:v>
      </x:c>
      <x:c r="I5187" s="274" t="n">
        <x:v>3.8</x:v>
      </x:c>
      <x:c r="J5187" s="274" t="n">
        <x:v>297</x:v>
      </x:c>
      <x:c r="K5187" s="274" t="n">
        <x:v>895</x:v>
      </x:c>
      <x:c r="M5187" s="274" t="s">
        <x:v>9138</x:v>
      </x:c>
    </x:row>
    <x:row r="5188" spans="1:14">
      <x:c r="A5188" s="274" t="s">
        <x:v>9139</x:v>
      </x:c>
      <x:c r="B5188" s="274" t="n">
        <x:v>1.05</x:v>
      </x:c>
      <x:c r="C5188" s="274" t="n">
        <x:v>0</x:v>
      </x:c>
      <x:c r="D5188" s="274" t="n">
        <x:v>0</x:v>
      </x:c>
      <x:c r="F5188" s="274" t="s">
        <x:v>133</x:v>
      </x:c>
      <x:c r="G5188" s="274" t="s">
        <x:v>134</x:v>
      </x:c>
      <x:c r="I5188" s="274" t="n">
        <x:v>2.9</x:v>
      </x:c>
      <x:c r="J5188" s="274" t="n">
        <x:v>66</x:v>
      </x:c>
      <x:c r="K5188" s="274" t="n">
        <x:v>700</x:v>
      </x:c>
      <x:c r="M5188" s="274" t="s">
        <x:v>9140</x:v>
      </x:c>
      <x:c r="N5188" s="274" t="s">
        <x:v>131</x:v>
      </x:c>
    </x:row>
    <x:row r="5189" spans="1:14">
      <x:c r="A5189" s="274" t="s">
        <x:v>9141</x:v>
      </x:c>
      <x:c r="B5189" s="274" t="n">
        <x:v>0.74</x:v>
      </x:c>
      <x:c r="C5189" s="274" t="n">
        <x:v>30</x:v>
      </x:c>
      <x:c r="D5189" s="274" t="n">
        <x:v>35</x:v>
      </x:c>
      <x:c r="E5189" s="274" t="n">
        <x:v>33</x:v>
      </x:c>
      <x:c r="F5189" s="274" t="s">
        <x:v>184</x:v>
      </x:c>
      <x:c r="G5189" s="274" t="s">
        <x:v>129</x:v>
      </x:c>
      <x:c r="H5189" s="274" t="n">
        <x:v>45</x:v>
      </x:c>
      <x:c r="I5189" s="274" t="n">
        <x:v>1.6</x:v>
      </x:c>
      <x:c r="J5189" s="274" t="n">
        <x:v>170</x:v>
      </x:c>
      <x:c r="K5189" s="274" t="n">
        <x:v>343</x:v>
      </x:c>
      <x:c r="M5189" s="274" t="s">
        <x:v>9095</x:v>
      </x:c>
      <x:c r="N5189" s="274" t="s">
        <x:v>155</x:v>
      </x:c>
    </x:row>
    <x:row r="5190" spans="1:14">
      <x:c r="A5190" s="274" t="s">
        <x:v>9142</x:v>
      </x:c>
      <x:c r="B5190" s="274" t="n">
        <x:v>0.23</x:v>
      </x:c>
      <x:c r="C5190" s="274" t="n">
        <x:v>0</x:v>
      </x:c>
      <x:c r="D5190" s="274" t="n">
        <x:v>0</x:v>
      </x:c>
      <x:c r="F5190" s="274" t="s">
        <x:v>128</x:v>
      </x:c>
      <x:c r="G5190" s="274" t="s">
        <x:v>136</x:v>
      </x:c>
      <x:c r="H5190" s="274" t="n">
        <x:v>45</x:v>
      </x:c>
      <x:c r="I5190" s="274" t="n">
        <x:v>2.3</x:v>
      </x:c>
      <x:c r="J5190" s="274" t="n">
        <x:v>48</x:v>
      </x:c>
      <x:c r="K5190" s="274" t="n">
        <x:v>266</x:v>
      </x:c>
      <x:c r="M5190" s="274" t="s">
        <x:v>9143</x:v>
      </x:c>
      <x:c r="N5190" s="274" t="s">
        <x:v>131</x:v>
      </x:c>
    </x:row>
    <x:row r="5191" spans="1:14">
      <x:c r="A5191" s="274" t="s">
        <x:v>9144</x:v>
      </x:c>
      <x:c r="B5191" s="274" t="n">
        <x:v>2.4</x:v>
      </x:c>
      <x:c r="C5191" s="274" t="n">
        <x:v>0</x:v>
      </x:c>
      <x:c r="D5191" s="274" t="n">
        <x:v>0</x:v>
      </x:c>
      <x:c r="F5191" s="274" t="s">
        <x:v>133</x:v>
      </x:c>
      <x:c r="G5191" s="274" t="s">
        <x:v>134</x:v>
      </x:c>
      <x:c r="I5191" s="274" t="n">
        <x:v>5</x:v>
      </x:c>
      <x:c r="J5191" s="274" t="n">
        <x:v>126</x:v>
      </x:c>
      <x:c r="K5191" s="274" t="n">
        <x:v>485</x:v>
      </x:c>
      <x:c r="M5191" s="274" t="s">
        <x:v>8821</x:v>
      </x:c>
      <x:c r="N5191" s="274" t="s">
        <x:v>363</x:v>
      </x:c>
    </x:row>
    <x:row r="5192" spans="1:14">
      <x:c r="A5192" s="274" t="s">
        <x:v>9145</x:v>
      </x:c>
      <x:c r="B5192" s="274" t="n">
        <x:v>2.08</x:v>
      </x:c>
      <x:c r="C5192" s="274" t="n">
        <x:v>0</x:v>
      </x:c>
      <x:c r="D5192" s="274" t="n">
        <x:v>0</x:v>
      </x:c>
      <x:c r="F5192" s="274" t="s">
        <x:v>133</x:v>
      </x:c>
      <x:c r="G5192" s="274" t="s">
        <x:v>148</x:v>
      </x:c>
      <x:c r="I5192" s="274" t="n">
        <x:v>3.2</x:v>
      </x:c>
      <x:c r="J5192" s="274" t="n">
        <x:v>167</x:v>
      </x:c>
      <x:c r="K5192" s="274" t="n">
        <x:v>495</x:v>
      </x:c>
      <x:c r="M5192" s="274" t="s">
        <x:v>9146</x:v>
      </x:c>
      <x:c r="N5192" s="274" t="s">
        <x:v>126</x:v>
      </x:c>
    </x:row>
    <x:row r="5193" spans="1:14">
      <x:c r="A5193" s="274" t="s">
        <x:v>9147</x:v>
      </x:c>
      <x:c r="B5193" s="274" t="n">
        <x:v>0.89</x:v>
      </x:c>
      <x:c r="C5193" s="274" t="n">
        <x:v>0</x:v>
      </x:c>
      <x:c r="D5193" s="274" t="n">
        <x:v>0</x:v>
      </x:c>
      <x:c r="F5193" s="274" t="s">
        <x:v>128</x:v>
      </x:c>
      <x:c r="G5193" s="274" t="s">
        <x:v>136</x:v>
      </x:c>
      <x:c r="H5193" s="274" t="n">
        <x:v>45</x:v>
      </x:c>
      <x:c r="I5193" s="274" t="n">
        <x:v>2.3</x:v>
      </x:c>
      <x:c r="J5193" s="274" t="n">
        <x:v>120</x:v>
      </x:c>
      <x:c r="K5193" s="274" t="n">
        <x:v>410</x:v>
      </x:c>
      <x:c r="M5193" s="274" t="s">
        <x:v>492</x:v>
      </x:c>
      <x:c r="N5193" s="274" t="s">
        <x:v>155</x:v>
      </x:c>
    </x:row>
    <x:row r="5194" spans="1:14">
      <x:c r="A5194" s="274" t="s">
        <x:v>9148</x:v>
      </x:c>
      <x:c r="B5194" s="274" t="n">
        <x:v>0.55</x:v>
      </x:c>
      <x:c r="C5194" s="274" t="n">
        <x:v>0</x:v>
      </x:c>
      <x:c r="D5194" s="274" t="n">
        <x:v>0</x:v>
      </x:c>
      <x:c r="F5194" s="274" t="s">
        <x:v>128</x:v>
      </x:c>
      <x:c r="G5194" s="274" t="s">
        <x:v>136</x:v>
      </x:c>
      <x:c r="H5194" s="274" t="n">
        <x:v>45</x:v>
      </x:c>
      <x:c r="I5194" s="274" t="n">
        <x:v>2.3</x:v>
      </x:c>
      <x:c r="J5194" s="274" t="n">
        <x:v>116</x:v>
      </x:c>
      <x:c r="K5194" s="274" t="n">
        <x:v>260</x:v>
      </x:c>
      <x:c r="M5194" s="274" t="s">
        <x:v>3710</x:v>
      </x:c>
      <x:c r="N5194" s="274" t="s">
        <x:v>155</x:v>
      </x:c>
    </x:row>
    <x:row r="5195" spans="1:14">
      <x:c r="A5195" s="274" t="s">
        <x:v>9149</x:v>
      </x:c>
      <x:c r="B5195" s="274" t="n">
        <x:v>0.57</x:v>
      </x:c>
      <x:c r="C5195" s="274" t="n">
        <x:v>30</x:v>
      </x:c>
      <x:c r="D5195" s="274" t="n">
        <x:v>35</x:v>
      </x:c>
      <x:c r="E5195" s="274" t="n">
        <x:v>33</x:v>
      </x:c>
      <x:c r="F5195" s="274" t="s">
        <x:v>133</x:v>
      </x:c>
      <x:c r="G5195" s="274" t="s">
        <x:v>136</x:v>
      </x:c>
      <x:c r="H5195" s="274" t="n">
        <x:v>45</x:v>
      </x:c>
      <x:c r="I5195" s="274" t="n">
        <x:v>1.2</x:v>
      </x:c>
      <x:c r="J5195" s="274" t="n">
        <x:v>140</x:v>
      </x:c>
      <x:c r="K5195" s="274" t="n">
        <x:v>431</x:v>
      </x:c>
      <x:c r="M5195" s="274" t="s">
        <x:v>3069</x:v>
      </x:c>
      <x:c r="N5195" s="274" t="s">
        <x:v>131</x:v>
      </x:c>
    </x:row>
    <x:row r="5196" spans="1:14">
      <x:c r="A5196" s="274" t="s">
        <x:v>9150</x:v>
      </x:c>
      <x:c r="B5196" s="274" t="n">
        <x:v>0.7</x:v>
      </x:c>
      <x:c r="C5196" s="274" t="n">
        <x:v>0</x:v>
      </x:c>
      <x:c r="D5196" s="274" t="n">
        <x:v>35</x:v>
      </x:c>
      <x:c r="E5196" s="274" t="n">
        <x:v>33</x:v>
      </x:c>
      <x:c r="F5196" s="274" t="s">
        <x:v>128</x:v>
      </x:c>
      <x:c r="G5196" s="274" t="s">
        <x:v>136</x:v>
      </x:c>
      <x:c r="H5196" s="274" t="n">
        <x:v>45</x:v>
      </x:c>
      <x:c r="I5196" s="274" t="n">
        <x:v>2.3</x:v>
      </x:c>
      <x:c r="J5196" s="274" t="n">
        <x:v>165</x:v>
      </x:c>
      <x:c r="K5196" s="274" t="n">
        <x:v>234</x:v>
      </x:c>
      <x:c r="M5196" s="274" t="s">
        <x:v>9151</x:v>
      </x:c>
      <x:c r="N5196" s="274" t="s">
        <x:v>131</x:v>
      </x:c>
    </x:row>
    <x:row r="5197" spans="1:14">
      <x:c r="A5197" s="274" t="s">
        <x:v>9152</x:v>
      </x:c>
      <x:c r="B5197" s="274" t="n">
        <x:v>0.18</x:v>
      </x:c>
      <x:c r="C5197" s="274" t="n">
        <x:v>0</x:v>
      </x:c>
      <x:c r="D5197" s="274" t="n">
        <x:v>0</x:v>
      </x:c>
      <x:c r="F5197" s="274" t="s">
        <x:v>133</x:v>
      </x:c>
      <x:c r="G5197" s="274" t="s">
        <x:v>136</x:v>
      </x:c>
      <x:c r="H5197" s="274" t="n">
        <x:v>45</x:v>
      </x:c>
      <x:c r="I5197" s="274" t="n">
        <x:v>0.65</x:v>
      </x:c>
      <x:c r="J5197" s="274" t="n">
        <x:v>60</x:v>
      </x:c>
      <x:c r="K5197" s="274" t="n">
        <x:v>580</x:v>
      </x:c>
      <x:c r="M5197" s="274" t="s">
        <x:v>9153</x:v>
      </x:c>
    </x:row>
    <x:row r="5198" spans="1:14">
      <x:c r="A5198" s="274" t="s">
        <x:v>9154</x:v>
      </x:c>
      <x:c r="B5198" s="274" t="n">
        <x:v>0.67</x:v>
      </x:c>
      <x:c r="C5198" s="274" t="n">
        <x:v>0</x:v>
      </x:c>
      <x:c r="D5198" s="274" t="n">
        <x:v>0</x:v>
      </x:c>
      <x:c r="F5198" s="274" t="s">
        <x:v>133</x:v>
      </x:c>
      <x:c r="G5198" s="274" t="s">
        <x:v>134</x:v>
      </x:c>
      <x:c r="I5198" s="274" t="n">
        <x:v>2</x:v>
      </x:c>
      <x:c r="J5198" s="274" t="n">
        <x:v>152</x:v>
      </x:c>
      <x:c r="K5198" s="274" t="n">
        <x:v>280</x:v>
      </x:c>
      <x:c r="M5198" s="274" t="s">
        <x:v>2859</x:v>
      </x:c>
      <x:c r="N5198" s="274" t="s">
        <x:v>9155</x:v>
      </x:c>
    </x:row>
    <x:row r="5199" spans="1:14">
      <x:c r="A5199" s="274" t="s">
        <x:v>9156</x:v>
      </x:c>
      <x:c r="B5199" s="274" t="n">
        <x:v>0.94</x:v>
      </x:c>
      <x:c r="C5199" s="274" t="n">
        <x:v>0</x:v>
      </x:c>
      <x:c r="D5199" s="274" t="n">
        <x:v>0</x:v>
      </x:c>
      <x:c r="F5199" s="274" t="s">
        <x:v>123</x:v>
      </x:c>
      <x:c r="G5199" s="274" t="s">
        <x:v>209</x:v>
      </x:c>
      <x:c r="I5199" s="274" t="n">
        <x:v>1.2</x:v>
      </x:c>
      <x:c r="J5199" s="274" t="n">
        <x:v>80</x:v>
      </x:c>
      <x:c r="K5199" s="274" t="n">
        <x:v>1250</x:v>
      </x:c>
      <x:c r="M5199" s="274" t="s">
        <x:v>9157</x:v>
      </x:c>
      <x:c r="N5199" s="274" t="s">
        <x:v>126</x:v>
      </x:c>
    </x:row>
    <x:row r="5200" spans="1:14">
      <x:c r="A5200" s="274" t="s">
        <x:v>9158</x:v>
      </x:c>
      <x:c r="B5200" s="274" t="n">
        <x:v>0.14</x:v>
      </x:c>
      <x:c r="C5200" s="274" t="n">
        <x:v>0</x:v>
      </x:c>
      <x:c r="D5200" s="274" t="n">
        <x:v>0</x:v>
      </x:c>
      <x:c r="F5200" s="274" t="s">
        <x:v>133</x:v>
      </x:c>
      <x:c r="G5200" s="274" t="s">
        <x:v>136</x:v>
      </x:c>
      <x:c r="H5200" s="274" t="n">
        <x:v>45</x:v>
      </x:c>
      <x:c r="I5200" s="274" t="n">
        <x:v>0.8</x:v>
      </x:c>
      <x:c r="J5200" s="274" t="n">
        <x:v>142</x:v>
      </x:c>
      <x:c r="K5200" s="274" t="n">
        <x:v>160</x:v>
      </x:c>
      <x:c r="M5200" s="274" t="s">
        <x:v>3273</x:v>
      </x:c>
      <x:c r="N5200" s="274" t="s">
        <x:v>131</x:v>
      </x:c>
    </x:row>
    <x:row r="5201" spans="1:14">
      <x:c r="A5201" s="274" t="s">
        <x:v>9159</x:v>
      </x:c>
      <x:c r="B5201" s="274" t="n">
        <x:v>0.7</x:v>
      </x:c>
      <x:c r="C5201" s="274" t="n">
        <x:v>0</x:v>
      </x:c>
      <x:c r="D5201" s="274" t="n">
        <x:v>0</x:v>
      </x:c>
      <x:c r="F5201" s="274" t="s">
        <x:v>133</x:v>
      </x:c>
      <x:c r="G5201" s="274" t="s">
        <x:v>136</x:v>
      </x:c>
      <x:c r="H5201" s="274" t="n">
        <x:v>45</x:v>
      </x:c>
      <x:c r="I5201" s="274" t="n">
        <x:v>0.8</x:v>
      </x:c>
      <x:c r="J5201" s="274" t="n">
        <x:v>130</x:v>
      </x:c>
      <x:c r="K5201" s="274" t="n">
        <x:v>850</x:v>
      </x:c>
      <x:c r="M5201" s="274" t="s">
        <x:v>6978</x:v>
      </x:c>
      <x:c r="N5201" s="274" t="s">
        <x:v>131</x:v>
      </x:c>
    </x:row>
    <x:row r="5202" spans="1:14">
      <x:c r="A5202" s="274" t="s">
        <x:v>9160</x:v>
      </x:c>
      <x:c r="B5202" s="274" t="n">
        <x:v>0.87</x:v>
      </x:c>
      <x:c r="C5202" s="274" t="n">
        <x:v>0</x:v>
      </x:c>
      <x:c r="D5202" s="274" t="n">
        <x:v>0</x:v>
      </x:c>
      <x:c r="F5202" s="274" t="s">
        <x:v>128</x:v>
      </x:c>
      <x:c r="G5202" s="274" t="s">
        <x:v>437</x:v>
      </x:c>
      <x:c r="I5202" s="274" t="n">
        <x:v>2</x:v>
      </x:c>
      <x:c r="J5202" s="274" t="n">
        <x:v>96</x:v>
      </x:c>
      <x:c r="K5202" s="274" t="n">
        <x:v>580</x:v>
      </x:c>
      <x:c r="M5202" s="274" t="s">
        <x:v>9161</x:v>
      </x:c>
    </x:row>
    <x:row r="5203" spans="1:14">
      <x:c r="A5203" s="274" t="s">
        <x:v>9162</x:v>
      </x:c>
      <x:c r="B5203" s="274" t="n">
        <x:v>1.42</x:v>
      </x:c>
      <x:c r="C5203" s="274" t="n">
        <x:v>0</x:v>
      </x:c>
      <x:c r="D5203" s="274" t="n">
        <x:v>0</x:v>
      </x:c>
      <x:c r="F5203" s="274" t="s">
        <x:v>128</x:v>
      </x:c>
      <x:c r="G5203" s="274" t="s">
        <x:v>437</x:v>
      </x:c>
      <x:c r="I5203" s="274" t="n">
        <x:v>2</x:v>
      </x:c>
      <x:c r="J5203" s="274" t="n">
        <x:v>161</x:v>
      </x:c>
      <x:c r="K5203" s="274" t="n">
        <x:v>560</x:v>
      </x:c>
      <x:c r="M5203" s="274" t="s">
        <x:v>7063</x:v>
      </x:c>
    </x:row>
    <x:row r="5204" spans="1:14">
      <x:c r="A5204" s="274" t="s">
        <x:v>9163</x:v>
      </x:c>
      <x:c r="B5204" s="274" t="n">
        <x:v>0.67</x:v>
      </x:c>
      <x:c r="C5204" s="274" t="n">
        <x:v>0</x:v>
      </x:c>
      <x:c r="D5204" s="274" t="n">
        <x:v>0</x:v>
      </x:c>
      <x:c r="F5204" s="274" t="s">
        <x:v>128</x:v>
      </x:c>
      <x:c r="G5204" s="274" t="s">
        <x:v>437</x:v>
      </x:c>
      <x:c r="I5204" s="274" t="n">
        <x:v>2</x:v>
      </x:c>
      <x:c r="J5204" s="274" t="n">
        <x:v>95</x:v>
      </x:c>
      <x:c r="K5204" s="274" t="n">
        <x:v>451</x:v>
      </x:c>
      <x:c r="M5204" s="274" t="s">
        <x:v>9164</x:v>
      </x:c>
    </x:row>
    <x:row r="5205" spans="1:14">
      <x:c r="A5205" s="274" t="s">
        <x:v>9165</x:v>
      </x:c>
      <x:c r="B5205" s="274" t="n">
        <x:v>0.54</x:v>
      </x:c>
      <x:c r="C5205" s="274" t="n">
        <x:v>0</x:v>
      </x:c>
      <x:c r="D5205" s="274" t="n">
        <x:v>0</x:v>
      </x:c>
      <x:c r="F5205" s="274" t="s">
        <x:v>184</x:v>
      </x:c>
      <x:c r="G5205" s="274" t="s">
        <x:v>129</x:v>
      </x:c>
      <x:c r="H5205" s="274" t="n">
        <x:v>45</x:v>
      </x:c>
      <x:c r="I5205" s="274" t="n">
        <x:v>2</x:v>
      </x:c>
      <x:c r="J5205" s="274" t="n">
        <x:v>195</x:v>
      </x:c>
      <x:c r="K5205" s="274" t="n">
        <x:v>174</x:v>
      </x:c>
      <x:c r="M5205" s="274" t="s">
        <x:v>426</x:v>
      </x:c>
      <x:c r="N5205" s="274" t="s">
        <x:v>131</x:v>
      </x:c>
    </x:row>
    <x:row r="5206" spans="1:14">
      <x:c r="A5206" s="274" t="s">
        <x:v>9166</x:v>
      </x:c>
      <x:c r="B5206" s="274" t="n">
        <x:v>0.25</x:v>
      </x:c>
      <x:c r="C5206" s="274" t="n">
        <x:v>35</x:v>
      </x:c>
      <x:c r="D5206" s="274" t="n">
        <x:v>35</x:v>
      </x:c>
      <x:c r="E5206" s="274" t="n">
        <x:v>33</x:v>
      </x:c>
      <x:c r="F5206" s="274" t="s">
        <x:v>128</x:v>
      </x:c>
      <x:c r="G5206" s="274" t="s">
        <x:v>129</x:v>
      </x:c>
      <x:c r="H5206" s="274" t="n">
        <x:v>45</x:v>
      </x:c>
      <x:c r="I5206" s="274" t="n">
        <x:v>0.7</x:v>
      </x:c>
      <x:c r="J5206" s="274" t="n">
        <x:v>281</x:v>
      </x:c>
      <x:c r="K5206" s="274" t="n">
        <x:v>160</x:v>
      </x:c>
      <x:c r="M5206" s="274" t="s">
        <x:v>3558</x:v>
      </x:c>
    </x:row>
    <x:row r="5207" spans="1:14">
      <x:c r="A5207" s="274" t="s">
        <x:v>9167</x:v>
      </x:c>
      <x:c r="B5207" s="274" t="n">
        <x:v>0.46</x:v>
      </x:c>
      <x:c r="C5207" s="274" t="n">
        <x:v>20</x:v>
      </x:c>
      <x:c r="D5207" s="274" t="n">
        <x:v>35</x:v>
      </x:c>
      <x:c r="E5207" s="274" t="n">
        <x:v>30</x:v>
      </x:c>
      <x:c r="F5207" s="274" t="s">
        <x:v>128</x:v>
      </x:c>
      <x:c r="G5207" s="274" t="s">
        <x:v>129</x:v>
      </x:c>
      <x:c r="H5207" s="274" t="n">
        <x:v>45</x:v>
      </x:c>
      <x:c r="I5207" s="274" t="n">
        <x:v>0.7</x:v>
      </x:c>
      <x:c r="J5207" s="274" t="n">
        <x:v>127</x:v>
      </x:c>
      <x:c r="K5207" s="274" t="n">
        <x:v>650</x:v>
      </x:c>
      <x:c r="M5207" s="274" t="s">
        <x:v>130</x:v>
      </x:c>
      <x:c r="N5207" s="274" t="s">
        <x:v>131</x:v>
      </x:c>
    </x:row>
    <x:row r="5208" spans="1:14">
      <x:c r="A5208" s="274" t="s">
        <x:v>9168</x:v>
      </x:c>
      <x:c r="B5208" s="274" t="n">
        <x:v>0.75</x:v>
      </x:c>
      <x:c r="C5208" s="274" t="n">
        <x:v>0</x:v>
      </x:c>
      <x:c r="D5208" s="274" t="n">
        <x:v>0</x:v>
      </x:c>
      <x:c r="F5208" s="274" t="s">
        <x:v>133</x:v>
      </x:c>
      <x:c r="G5208" s="274" t="s">
        <x:v>124</x:v>
      </x:c>
      <x:c r="I5208" s="274" t="n">
        <x:v>1.2</x:v>
      </x:c>
      <x:c r="J5208" s="274" t="n">
        <x:v>145</x:v>
      </x:c>
      <x:c r="K5208" s="274" t="n">
        <x:v>549</x:v>
      </x:c>
      <x:c r="M5208" s="274" t="s">
        <x:v>756</x:v>
      </x:c>
    </x:row>
    <x:row r="5209" spans="1:14">
      <x:c r="A5209" s="274" t="s">
        <x:v>9169</x:v>
      </x:c>
      <x:c r="B5209" s="274" t="n">
        <x:v>2.61</x:v>
      </x:c>
      <x:c r="C5209" s="274" t="n">
        <x:v>0</x:v>
      </x:c>
      <x:c r="D5209" s="274" t="n">
        <x:v>0</x:v>
      </x:c>
      <x:c r="F5209" s="274" t="s">
        <x:v>133</x:v>
      </x:c>
      <x:c r="G5209" s="274" t="s">
        <x:v>136</x:v>
      </x:c>
      <x:c r="H5209" s="274" t="n">
        <x:v>45</x:v>
      </x:c>
      <x:c r="I5209" s="274" t="n">
        <x:v>1.4</x:v>
      </x:c>
      <x:c r="J5209" s="274" t="n">
        <x:v>200</x:v>
      </x:c>
      <x:c r="K5209" s="274" t="n">
        <x:v>1180</x:v>
      </x:c>
      <x:c r="M5209" s="274" t="s">
        <x:v>9170</x:v>
      </x:c>
      <x:c r="N5209" s="274" t="s">
        <x:v>131</x:v>
      </x:c>
    </x:row>
    <x:row r="5210" spans="1:14">
      <x:c r="A5210" s="274" t="s">
        <x:v>9171</x:v>
      </x:c>
      <x:c r="B5210" s="274" t="n">
        <x:v>0.76</x:v>
      </x:c>
      <x:c r="C5210" s="274" t="n">
        <x:v>0</x:v>
      </x:c>
      <x:c r="D5210" s="274" t="n">
        <x:v>35</x:v>
      </x:c>
      <x:c r="E5210" s="274" t="n">
        <x:v>33</x:v>
      </x:c>
      <x:c r="F5210" s="274" t="s">
        <x:v>123</x:v>
      </x:c>
      <x:c r="G5210" s="274" t="s">
        <x:v>153</x:v>
      </x:c>
      <x:c r="I5210" s="274" t="n">
        <x:v>2</x:v>
      </x:c>
      <x:c r="J5210" s="274" t="n">
        <x:v>210</x:v>
      </x:c>
      <x:c r="K5210" s="274" t="n">
        <x:v>230</x:v>
      </x:c>
      <x:c r="M5210" s="274" t="s">
        <x:v>9172</x:v>
      </x:c>
      <x:c r="N5210" s="274" t="s">
        <x:v>131</x:v>
      </x:c>
    </x:row>
    <x:row r="5211" spans="1:14">
      <x:c r="A5211" s="274" t="s">
        <x:v>9173</x:v>
      </x:c>
      <x:c r="B5211" s="274" t="n">
        <x:v>1</x:v>
      </x:c>
      <x:c r="C5211" s="274" t="n">
        <x:v>0</x:v>
      </x:c>
      <x:c r="D5211" s="274" t="n">
        <x:v>35</x:v>
      </x:c>
      <x:c r="E5211" s="274" t="n">
        <x:v>33</x:v>
      </x:c>
      <x:c r="F5211" s="274" t="s">
        <x:v>128</x:v>
      </x:c>
      <x:c r="G5211" s="274" t="s">
        <x:v>437</x:v>
      </x:c>
      <x:c r="I5211" s="274" t="n">
        <x:v>2</x:v>
      </x:c>
      <x:c r="J5211" s="274" t="n">
        <x:v>197</x:v>
      </x:c>
      <x:c r="K5211" s="274" t="n">
        <x:v>324</x:v>
      </x:c>
      <x:c r="M5211" s="274" t="s">
        <x:v>9174</x:v>
      </x:c>
    </x:row>
    <x:row r="5212" spans="1:14">
      <x:c r="A5212" s="274" t="s">
        <x:v>9175</x:v>
      </x:c>
      <x:c r="B5212" s="274" t="n">
        <x:v>0.77</x:v>
      </x:c>
      <x:c r="C5212" s="274" t="n">
        <x:v>0</x:v>
      </x:c>
      <x:c r="D5212" s="274" t="n">
        <x:v>0</x:v>
      </x:c>
      <x:c r="F5212" s="274" t="s">
        <x:v>133</x:v>
      </x:c>
      <x:c r="G5212" s="274" t="s">
        <x:v>136</x:v>
      </x:c>
      <x:c r="H5212" s="274" t="n">
        <x:v>45</x:v>
      </x:c>
      <x:c r="I5212" s="274" t="n">
        <x:v>0.7</x:v>
      </x:c>
      <x:c r="J5212" s="274" t="n">
        <x:v>290</x:v>
      </x:c>
      <x:c r="K5212" s="274" t="n">
        <x:v>475</x:v>
      </x:c>
      <x:c r="M5212" s="274" t="s">
        <x:v>159</x:v>
      </x:c>
      <x:c r="N5212" s="274" t="s">
        <x:v>155</x:v>
      </x:c>
    </x:row>
    <x:row r="5213" spans="1:14">
      <x:c r="A5213" s="274" t="s">
        <x:v>9176</x:v>
      </x:c>
      <x:c r="B5213" s="274" t="n">
        <x:v>0.35</x:v>
      </x:c>
      <x:c r="C5213" s="274" t="n">
        <x:v>0</x:v>
      </x:c>
      <x:c r="D5213" s="274" t="n">
        <x:v>0</x:v>
      </x:c>
      <x:c r="F5213" s="274" t="s">
        <x:v>133</x:v>
      </x:c>
      <x:c r="G5213" s="274" t="s">
        <x:v>144</x:v>
      </x:c>
      <x:c r="H5213" s="274" t="n">
        <x:v>45</x:v>
      </x:c>
      <x:c r="I5213" s="274" t="n">
        <x:v>1.2</x:v>
      </x:c>
      <x:c r="J5213" s="274" t="n">
        <x:v>270</x:v>
      </x:c>
      <x:c r="K5213" s="274" t="n">
        <x:v>138</x:v>
      </x:c>
      <x:c r="M5213" s="274" t="s">
        <x:v>3747</x:v>
      </x:c>
      <x:c r="N5213" s="274" t="s">
        <x:v>131</x:v>
      </x:c>
    </x:row>
    <x:row r="5214" spans="1:14">
      <x:c r="A5214" s="274" t="s">
        <x:v>9177</x:v>
      </x:c>
      <x:c r="B5214" s="274" t="n">
        <x:v>0.7</x:v>
      </x:c>
      <x:c r="C5214" s="274" t="n">
        <x:v>0</x:v>
      </x:c>
      <x:c r="D5214" s="274" t="n">
        <x:v>0</x:v>
      </x:c>
      <x:c r="F5214" s="274" t="s">
        <x:v>133</x:v>
      </x:c>
      <x:c r="G5214" s="274" t="s">
        <x:v>136</x:v>
      </x:c>
      <x:c r="H5214" s="274" t="n">
        <x:v>45</x:v>
      </x:c>
      <x:c r="I5214" s="274" t="n">
        <x:v>1.2</x:v>
      </x:c>
      <x:c r="J5214" s="274" t="n">
        <x:v>390</x:v>
      </x:c>
      <x:c r="K5214" s="274" t="n">
        <x:v>190</x:v>
      </x:c>
      <x:c r="M5214" s="274" t="s">
        <x:v>2738</x:v>
      </x:c>
    </x:row>
    <x:row r="5215" spans="1:14">
      <x:c r="A5215" s="274" t="s">
        <x:v>9178</x:v>
      </x:c>
      <x:c r="B5215" s="274" t="n">
        <x:v>2.91</x:v>
      </x:c>
      <x:c r="C5215" s="274" t="n">
        <x:v>0</x:v>
      </x:c>
      <x:c r="D5215" s="274" t="n">
        <x:v>0</x:v>
      </x:c>
      <x:c r="F5215" s="274" t="s">
        <x:v>123</x:v>
      </x:c>
      <x:c r="G5215" s="274" t="s">
        <x:v>148</x:v>
      </x:c>
      <x:c r="I5215" s="274" t="n">
        <x:v>1.8</x:v>
      </x:c>
      <x:c r="J5215" s="274" t="n">
        <x:v>166</x:v>
      </x:c>
      <x:c r="K5215" s="274" t="n">
        <x:v>1240</x:v>
      </x:c>
      <x:c r="M5215" s="274" t="s">
        <x:v>3599</x:v>
      </x:c>
    </x:row>
    <x:row r="5216" spans="1:14">
      <x:c r="A5216" s="274" t="s">
        <x:v>9179</x:v>
      </x:c>
      <x:c r="B5216" s="274" t="n">
        <x:v>5.5</x:v>
      </x:c>
      <x:c r="C5216" s="274" t="n">
        <x:v>0</x:v>
      </x:c>
      <x:c r="D5216" s="274" t="n">
        <x:v>0</x:v>
      </x:c>
      <x:c r="F5216" s="274" t="s">
        <x:v>133</x:v>
      </x:c>
      <x:c r="G5216" s="274" t="s">
        <x:v>148</x:v>
      </x:c>
      <x:c r="I5216" s="274" t="n">
        <x:v>4.5</x:v>
      </x:c>
      <x:c r="J5216" s="274" t="n">
        <x:v>233</x:v>
      </x:c>
      <x:c r="K5216" s="274" t="n">
        <x:v>668</x:v>
      </x:c>
      <x:c r="M5216" s="274" t="s">
        <x:v>9180</x:v>
      </x:c>
      <x:c r="N5216" s="274" t="s">
        <x:v>131</x:v>
      </x:c>
    </x:row>
    <x:row r="5217" spans="1:14">
      <x:c r="A5217" s="274" t="s">
        <x:v>9181</x:v>
      </x:c>
      <x:c r="B5217" s="274" t="n">
        <x:v>5.94</x:v>
      </x:c>
      <x:c r="C5217" s="274" t="n">
        <x:v>0</x:v>
      </x:c>
      <x:c r="D5217" s="274" t="n">
        <x:v>0</x:v>
      </x:c>
      <x:c r="F5217" s="274" t="s">
        <x:v>184</x:v>
      </x:c>
      <x:c r="G5217" s="274" t="s">
        <x:v>1614</x:v>
      </x:c>
      <x:c r="H5217" s="274" t="n">
        <x:v>45</x:v>
      </x:c>
      <x:c r="I5217" s="274" t="n">
        <x:v>1.8</x:v>
      </x:c>
      <x:c r="J5217" s="274" t="n">
        <x:v>1575</x:v>
      </x:c>
      <x:c r="K5217" s="274" t="n">
        <x:v>265</x:v>
      </x:c>
      <x:c r="M5217" s="274" t="s">
        <x:v>9182</x:v>
      </x:c>
      <x:c r="N5217" s="274" t="s">
        <x:v>155</x:v>
      </x:c>
    </x:row>
    <x:row r="5218" spans="1:14">
      <x:c r="A5218" s="274" t="s">
        <x:v>9183</x:v>
      </x:c>
      <x:c r="B5218" s="274" t="n">
        <x:v>4.22</x:v>
      </x:c>
      <x:c r="C5218" s="274" t="n">
        <x:v>0</x:v>
      </x:c>
      <x:c r="D5218" s="274" t="n">
        <x:v>0</x:v>
      </x:c>
      <x:c r="F5218" s="274" t="s">
        <x:v>133</x:v>
      </x:c>
      <x:c r="G5218" s="274" t="s">
        <x:v>148</x:v>
      </x:c>
      <x:c r="I5218" s="274" t="n">
        <x:v>3.2</x:v>
      </x:c>
      <x:c r="J5218" s="274" t="n">
        <x:v>781</x:v>
      </x:c>
      <x:c r="K5218" s="274" t="n">
        <x:v>215</x:v>
      </x:c>
      <x:c r="M5218" s="274" t="s">
        <x:v>9184</x:v>
      </x:c>
      <x:c r="N5218" s="274" t="s">
        <x:v>155</x:v>
      </x:c>
    </x:row>
    <x:row r="5219" spans="1:14">
      <x:c r="A5219" s="274" t="s">
        <x:v>9185</x:v>
      </x:c>
      <x:c r="B5219" s="274" t="n">
        <x:v>0.34</x:v>
      </x:c>
      <x:c r="C5219" s="274" t="n">
        <x:v>0</x:v>
      </x:c>
      <x:c r="D5219" s="274" t="n">
        <x:v>0</x:v>
      </x:c>
      <x:c r="F5219" s="274" t="s">
        <x:v>184</x:v>
      </x:c>
      <x:c r="G5219" s="274" t="s">
        <x:v>129</x:v>
      </x:c>
      <x:c r="H5219" s="274" t="n">
        <x:v>45</x:v>
      </x:c>
      <x:c r="I5219" s="274" t="n">
        <x:v>2</x:v>
      </x:c>
      <x:c r="J5219" s="274" t="n">
        <x:v>40</x:v>
      </x:c>
      <x:c r="K5219" s="274" t="n">
        <x:v>540</x:v>
      </x:c>
      <x:c r="M5219" s="274" t="s">
        <x:v>4459</x:v>
      </x:c>
    </x:row>
    <x:row r="5220" spans="1:14">
      <x:c r="A5220" s="274" t="s">
        <x:v>9186</x:v>
      </x:c>
      <x:c r="B5220" s="274" t="n">
        <x:v>0.47</x:v>
      </x:c>
      <x:c r="C5220" s="274" t="n">
        <x:v>0</x:v>
      </x:c>
      <x:c r="D5220" s="274" t="n">
        <x:v>0</x:v>
      </x:c>
      <x:c r="F5220" s="274" t="s">
        <x:v>184</x:v>
      </x:c>
      <x:c r="G5220" s="274" t="s">
        <x:v>129</x:v>
      </x:c>
      <x:c r="H5220" s="274" t="n">
        <x:v>45</x:v>
      </x:c>
      <x:c r="I5220" s="274" t="n">
        <x:v>2</x:v>
      </x:c>
      <x:c r="J5220" s="274" t="n">
        <x:v>40</x:v>
      </x:c>
      <x:c r="K5220" s="274" t="n">
        <x:v>743</x:v>
      </x:c>
      <x:c r="M5220" s="274" t="s">
        <x:v>4461</x:v>
      </x:c>
      <x:c r="N5220" s="274" t="s">
        <x:v>131</x:v>
      </x:c>
    </x:row>
    <x:row r="5221" spans="1:14">
      <x:c r="A5221" s="274" t="s">
        <x:v>9187</x:v>
      </x:c>
      <x:c r="B5221" s="274" t="n">
        <x:v>4.01</x:v>
      </x:c>
      <x:c r="C5221" s="274" t="n">
        <x:v>0</x:v>
      </x:c>
      <x:c r="D5221" s="274" t="n">
        <x:v>0</x:v>
      </x:c>
      <x:c r="F5221" s="274" t="s">
        <x:v>133</x:v>
      </x:c>
      <x:c r="G5221" s="274" t="s">
        <x:v>148</x:v>
      </x:c>
      <x:c r="I5221" s="274" t="n">
        <x:v>3.6</x:v>
      </x:c>
      <x:c r="J5221" s="274" t="n">
        <x:v>330</x:v>
      </x:c>
      <x:c r="K5221" s="274" t="n">
        <x:v>430</x:v>
      </x:c>
      <x:c r="M5221" s="274" t="s">
        <x:v>9188</x:v>
      </x:c>
      <x:c r="N5221" s="274" t="s">
        <x:v>126</x:v>
      </x:c>
    </x:row>
    <x:row r="5222" spans="1:14">
      <x:c r="A5222" s="274" t="s">
        <x:v>9189</x:v>
      </x:c>
      <x:c r="B5222" s="274" t="n">
        <x:v>6.9</x:v>
      </x:c>
      <x:c r="C5222" s="274" t="n">
        <x:v>0</x:v>
      </x:c>
      <x:c r="D5222" s="274" t="n">
        <x:v>0</x:v>
      </x:c>
      <x:c r="F5222" s="274" t="s">
        <x:v>133</x:v>
      </x:c>
      <x:c r="G5222" s="274" t="s">
        <x:v>148</x:v>
      </x:c>
      <x:c r="I5222" s="274" t="n">
        <x:v>2.6</x:v>
      </x:c>
      <x:c r="J5222" s="274" t="n">
        <x:v>1087</x:v>
      </x:c>
      <x:c r="K5222" s="274" t="n">
        <x:v>311</x:v>
      </x:c>
      <x:c r="M5222" s="274" t="s">
        <x:v>9190</x:v>
      </x:c>
    </x:row>
    <x:row r="5223" spans="1:14">
      <x:c r="A5223" s="274" t="s">
        <x:v>9191</x:v>
      </x:c>
      <x:c r="B5223" s="274" t="n">
        <x:v>2.16</x:v>
      </x:c>
      <x:c r="C5223" s="274" t="n">
        <x:v>0</x:v>
      </x:c>
      <x:c r="D5223" s="274" t="n">
        <x:v>0</x:v>
      </x:c>
      <x:c r="F5223" s="274" t="s">
        <x:v>133</x:v>
      </x:c>
      <x:c r="G5223" s="274" t="s">
        <x:v>144</x:v>
      </x:c>
      <x:c r="H5223" s="274" t="n">
        <x:v>45</x:v>
      </x:c>
      <x:c r="I5223" s="274" t="n">
        <x:v>1.4</x:v>
      </x:c>
      <x:c r="J5223" s="274" t="n">
        <x:v>1047</x:v>
      </x:c>
      <x:c r="K5223" s="274" t="n">
        <x:v>186</x:v>
      </x:c>
      <x:c r="M5223" s="274" t="s">
        <x:v>9192</x:v>
      </x:c>
      <x:c r="N5223" s="274" t="s">
        <x:v>131</x:v>
      </x:c>
    </x:row>
    <x:row r="5224" spans="1:14">
      <x:c r="A5224" s="274" t="s">
        <x:v>9193</x:v>
      </x:c>
      <x:c r="B5224" s="274" t="n">
        <x:v>1.46</x:v>
      </x:c>
      <x:c r="C5224" s="274" t="n">
        <x:v>0</x:v>
      </x:c>
      <x:c r="D5224" s="274" t="n">
        <x:v>0</x:v>
      </x:c>
      <x:c r="F5224" s="274" t="s">
        <x:v>123</x:v>
      </x:c>
      <x:c r="G5224" s="274" t="s">
        <x:v>124</x:v>
      </x:c>
      <x:c r="I5224" s="274" t="n">
        <x:v>0.8</x:v>
      </x:c>
      <x:c r="J5224" s="274" t="n">
        <x:v>1035</x:v>
      </x:c>
      <x:c r="K5224" s="274" t="n">
        <x:v>225</x:v>
      </x:c>
      <x:c r="M5224" s="274" t="s">
        <x:v>9194</x:v>
      </x:c>
      <x:c r="N5224" s="274" t="s">
        <x:v>131</x:v>
      </x:c>
    </x:row>
    <x:row r="5225" spans="1:14">
      <x:c r="A5225" s="274" t="s">
        <x:v>9195</x:v>
      </x:c>
      <x:c r="B5225" s="274" t="n">
        <x:v>2.11</x:v>
      </x:c>
      <x:c r="C5225" s="274" t="n">
        <x:v>0</x:v>
      </x:c>
      <x:c r="D5225" s="274" t="n">
        <x:v>0</x:v>
      </x:c>
      <x:c r="F5225" s="274" t="s">
        <x:v>184</x:v>
      </x:c>
      <x:c r="G5225" s="274" t="s">
        <x:v>136</x:v>
      </x:c>
      <x:c r="H5225" s="274" t="n">
        <x:v>45</x:v>
      </x:c>
      <x:c r="I5225" s="274" t="n">
        <x:v>0.65</x:v>
      </x:c>
      <x:c r="J5225" s="274" t="n">
        <x:v>1456</x:v>
      </x:c>
      <x:c r="K5225" s="274" t="n">
        <x:v>279</x:v>
      </x:c>
      <x:c r="M5225" s="274" t="s">
        <x:v>9196</x:v>
      </x:c>
      <x:c r="N5225" s="274" t="s">
        <x:v>131</x:v>
      </x:c>
    </x:row>
    <x:row r="5226" spans="1:14">
      <x:c r="A5226" s="274" t="s">
        <x:v>9197</x:v>
      </x:c>
      <x:c r="B5226" s="274" t="n">
        <x:v>53.91</x:v>
      </x:c>
      <x:c r="C5226" s="274" t="n">
        <x:v>0</x:v>
      </x:c>
      <x:c r="D5226" s="274" t="n">
        <x:v>0</x:v>
      </x:c>
      <x:c r="F5226" s="274" t="s">
        <x:v>123</x:v>
      </x:c>
      <x:c r="G5226" s="274" t="s">
        <x:v>139</x:v>
      </x:c>
      <x:c r="I5226" s="274" t="n">
        <x:v>3.2</x:v>
      </x:c>
      <x:c r="J5226" s="274" t="n">
        <x:v>1156</x:v>
      </x:c>
      <x:c r="K5226" s="274" t="n">
        <x:v>1857</x:v>
      </x:c>
      <x:c r="M5226" s="274" t="s">
        <x:v>9198</x:v>
      </x:c>
    </x:row>
    <x:row r="5227" spans="1:14">
      <x:c r="A5227" s="274" t="s">
        <x:v>9199</x:v>
      </x:c>
      <x:c r="B5227" s="274" t="n">
        <x:v>1.36</x:v>
      </x:c>
      <x:c r="C5227" s="274" t="n">
        <x:v>0</x:v>
      </x:c>
      <x:c r="D5227" s="274" t="n">
        <x:v>0</x:v>
      </x:c>
      <x:c r="F5227" s="274" t="s">
        <x:v>184</x:v>
      </x:c>
      <x:c r="G5227" s="274" t="s">
        <x:v>129</x:v>
      </x:c>
      <x:c r="H5227" s="274" t="n">
        <x:v>45</x:v>
      </x:c>
      <x:c r="I5227" s="274" t="n">
        <x:v>2</x:v>
      </x:c>
      <x:c r="J5227" s="274" t="n">
        <x:v>210</x:v>
      </x:c>
      <x:c r="K5227" s="274" t="n">
        <x:v>410</x:v>
      </x:c>
      <x:c r="M5227" s="274" t="s">
        <x:v>3571</x:v>
      </x:c>
      <x:c r="N5227" s="274" t="s">
        <x:v>131</x:v>
      </x:c>
    </x:row>
    <x:row r="5228" spans="1:14">
      <x:c r="A5228" s="274" t="s">
        <x:v>9200</x:v>
      </x:c>
      <x:c r="B5228" s="274" t="n">
        <x:v>0.56</x:v>
      </x:c>
      <x:c r="C5228" s="274" t="n">
        <x:v>0</x:v>
      </x:c>
      <x:c r="D5228" s="274" t="n">
        <x:v>0</x:v>
      </x:c>
      <x:c r="F5228" s="274" t="s">
        <x:v>133</x:v>
      </x:c>
      <x:c r="G5228" s="274" t="s">
        <x:v>134</x:v>
      </x:c>
      <x:c r="I5228" s="274" t="n">
        <x:v>3.6</x:v>
      </x:c>
      <x:c r="J5228" s="274" t="n">
        <x:v>52</x:v>
      </x:c>
      <x:c r="K5228" s="274" t="n">
        <x:v>378</x:v>
      </x:c>
      <x:c r="M5228" s="274" t="s">
        <x:v>9201</x:v>
      </x:c>
      <x:c r="N5228" s="274" t="s">
        <x:v>131</x:v>
      </x:c>
    </x:row>
    <x:row r="5229" spans="1:14">
      <x:c r="A5229" s="274" t="s">
        <x:v>9202</x:v>
      </x:c>
      <x:c r="B5229" s="274" t="n">
        <x:v>3.24</x:v>
      </x:c>
      <x:c r="C5229" s="274" t="n">
        <x:v>0</x:v>
      </x:c>
      <x:c r="D5229" s="274" t="n">
        <x:v>0</x:v>
      </x:c>
      <x:c r="F5229" s="274" t="s">
        <x:v>133</x:v>
      </x:c>
      <x:c r="G5229" s="274" t="s">
        <x:v>134</x:v>
      </x:c>
      <x:c r="I5229" s="274" t="n">
        <x:v>1.6</x:v>
      </x:c>
      <x:c r="J5229" s="274" t="n">
        <x:v>243</x:v>
      </x:c>
      <x:c r="K5229" s="274" t="n">
        <x:v>1060</x:v>
      </x:c>
      <x:c r="M5229" s="274" t="s">
        <x:v>430</x:v>
      </x:c>
      <x:c r="N5229" s="274" t="s">
        <x:v>131</x:v>
      </x:c>
    </x:row>
    <x:row r="5230" spans="1:14">
      <x:c r="A5230" s="274" t="s">
        <x:v>9203</x:v>
      </x:c>
      <x:c r="B5230" s="274" t="n">
        <x:v>1.78</x:v>
      </x:c>
      <x:c r="C5230" s="274" t="n">
        <x:v>0</x:v>
      </x:c>
      <x:c r="D5230" s="274" t="n">
        <x:v>0</x:v>
      </x:c>
      <x:c r="F5230" s="274" t="s">
        <x:v>128</x:v>
      </x:c>
      <x:c r="G5230" s="274" t="s">
        <x:v>139</x:v>
      </x:c>
      <x:c r="I5230" s="274" t="n">
        <x:v>2.6</x:v>
      </x:c>
      <x:c r="J5230" s="274" t="n">
        <x:v>71</x:v>
      </x:c>
      <x:c r="K5230" s="274" t="n">
        <x:v>1230</x:v>
      </x:c>
      <x:c r="M5230" s="274" t="s">
        <x:v>9204</x:v>
      </x:c>
      <x:c r="N5230" s="274" t="s">
        <x:v>363</x:v>
      </x:c>
    </x:row>
    <x:row r="5231" spans="1:14">
      <x:c r="A5231" s="274" t="s">
        <x:v>9205</x:v>
      </x:c>
      <x:c r="B5231" s="274" t="n">
        <x:v>0.51</x:v>
      </x:c>
      <x:c r="C5231" s="274" t="n">
        <x:v>0</x:v>
      </x:c>
      <x:c r="D5231" s="274" t="n">
        <x:v>0</x:v>
      </x:c>
      <x:c r="F5231" s="274" t="s">
        <x:v>133</x:v>
      </x:c>
      <x:c r="G5231" s="274" t="s">
        <x:v>144</x:v>
      </x:c>
      <x:c r="H5231" s="274" t="n">
        <x:v>45</x:v>
      </x:c>
      <x:c r="I5231" s="274" t="n">
        <x:v>1.6</x:v>
      </x:c>
      <x:c r="J5231" s="274" t="n">
        <x:v>281</x:v>
      </x:c>
      <x:c r="K5231" s="274" t="n">
        <x:v>144</x:v>
      </x:c>
      <x:c r="M5231" s="274" t="s">
        <x:v>3408</x:v>
      </x:c>
      <x:c r="N5231" s="274" t="s">
        <x:v>296</x:v>
      </x:c>
    </x:row>
    <x:row r="5232" spans="1:14">
      <x:c r="A5232" s="274" t="s">
        <x:v>9206</x:v>
      </x:c>
      <x:c r="B5232" s="274" t="n">
        <x:v>1.78</x:v>
      </x:c>
      <x:c r="C5232" s="274" t="n">
        <x:v>0</x:v>
      </x:c>
      <x:c r="D5232" s="274" t="n">
        <x:v>0</x:v>
      </x:c>
      <x:c r="F5232" s="274" t="s">
        <x:v>133</x:v>
      </x:c>
      <x:c r="G5232" s="274" t="s">
        <x:v>136</x:v>
      </x:c>
      <x:c r="H5232" s="274" t="n">
        <x:v>45</x:v>
      </x:c>
      <x:c r="I5232" s="274" t="n">
        <x:v>1.6</x:v>
      </x:c>
      <x:c r="J5232" s="274" t="n">
        <x:v>94</x:v>
      </x:c>
      <x:c r="K5232" s="274" t="n">
        <x:v>1500</x:v>
      </x:c>
      <x:c r="M5232" s="274" t="s">
        <x:v>537</x:v>
      </x:c>
    </x:row>
    <x:row r="5233" spans="1:14">
      <x:c r="A5233" s="274" t="s">
        <x:v>9207</x:v>
      </x:c>
      <x:c r="B5233" s="274" t="n">
        <x:v>4.5</x:v>
      </x:c>
      <x:c r="C5233" s="274" t="n">
        <x:v>0</x:v>
      </x:c>
      <x:c r="D5233" s="274" t="n">
        <x:v>0</x:v>
      </x:c>
      <x:c r="F5233" s="274" t="s">
        <x:v>133</x:v>
      </x:c>
      <x:c r="G5233" s="274" t="s">
        <x:v>134</x:v>
      </x:c>
      <x:c r="I5233" s="274" t="n">
        <x:v>3.2</x:v>
      </x:c>
      <x:c r="J5233" s="274" t="n">
        <x:v>320</x:v>
      </x:c>
      <x:c r="K5233" s="274" t="n">
        <x:v>560</x:v>
      </x:c>
      <x:c r="M5233" s="274" t="s">
        <x:v>9208</x:v>
      </x:c>
      <x:c r="N5233" s="274" t="s">
        <x:v>126</x:v>
      </x:c>
    </x:row>
    <x:row r="5234" spans="1:14">
      <x:c r="A5234" s="274" t="s">
        <x:v>9209</x:v>
      </x:c>
      <x:c r="B5234" s="274" t="n">
        <x:v>5.34</x:v>
      </x:c>
      <x:c r="C5234" s="274" t="n">
        <x:v>35</x:v>
      </x:c>
      <x:c r="D5234" s="274" t="n">
        <x:v>48</x:v>
      </x:c>
      <x:c r="E5234" s="274" t="n">
        <x:v>0</x:v>
      </x:c>
      <x:c r="F5234" s="274" t="s">
        <x:v>133</x:v>
      </x:c>
      <x:c r="G5234" s="274" t="s">
        <x:v>136</x:v>
      </x:c>
      <x:c r="H5234" s="274" t="n">
        <x:v>45</x:v>
      </x:c>
      <x:c r="I5234" s="274" t="n">
        <x:v>0.8</x:v>
      </x:c>
      <x:c r="J5234" s="274" t="n">
        <x:v>1010</x:v>
      </x:c>
      <x:c r="K5234" s="274" t="n">
        <x:v>960</x:v>
      </x:c>
      <x:c r="L5234" s="274" t="n">
        <x:v>700</x:v>
      </x:c>
      <x:c r="M5234" s="274" t="s">
        <x:v>9210</x:v>
      </x:c>
      <x:c r="N5234" s="274" t="s">
        <x:v>131</x:v>
      </x:c>
    </x:row>
    <x:row r="5235" spans="1:14">
      <x:c r="A5235" s="274" t="s">
        <x:v>9211</x:v>
      </x:c>
      <x:c r="B5235" s="274" t="n">
        <x:v>5.21</x:v>
      </x:c>
      <x:c r="C5235" s="274" t="n">
        <x:v>0</x:v>
      </x:c>
      <x:c r="D5235" s="274" t="n">
        <x:v>42</x:v>
      </x:c>
      <x:c r="E5235" s="274" t="n">
        <x:v>40</x:v>
      </x:c>
      <x:c r="F5235" s="274" t="s">
        <x:v>133</x:v>
      </x:c>
      <x:c r="G5235" s="274" t="s">
        <x:v>136</x:v>
      </x:c>
      <x:c r="H5235" s="274" t="n">
        <x:v>45</x:v>
      </x:c>
      <x:c r="I5235" s="274" t="n">
        <x:v>0.8</x:v>
      </x:c>
      <x:c r="J5235" s="274" t="n">
        <x:v>1010</x:v>
      </x:c>
      <x:c r="K5235" s="274" t="n">
        <x:v>810</x:v>
      </x:c>
      <x:c r="M5235" s="274" t="s">
        <x:v>9212</x:v>
      </x:c>
      <x:c r="N5235" s="274" t="s">
        <x:v>131</x:v>
      </x:c>
    </x:row>
    <x:row r="5236" spans="1:14">
      <x:c r="A5236" s="274" t="s">
        <x:v>9213</x:v>
      </x:c>
      <x:c r="B5236" s="274" t="n">
        <x:v>2.83</x:v>
      </x:c>
      <x:c r="C5236" s="274" t="n">
        <x:v>0</x:v>
      </x:c>
      <x:c r="D5236" s="274" t="n">
        <x:v>0</x:v>
      </x:c>
      <x:c r="F5236" s="274" t="s">
        <x:v>123</x:v>
      </x:c>
      <x:c r="G5236" s="274" t="s">
        <x:v>148</x:v>
      </x:c>
      <x:c r="I5236" s="274" t="n">
        <x:v>1.6</x:v>
      </x:c>
      <x:c r="J5236" s="274" t="n">
        <x:v>180</x:v>
      </x:c>
      <x:c r="K5236" s="274" t="n">
        <x:v>1250</x:v>
      </x:c>
      <x:c r="M5236" s="274" t="s">
        <x:v>9214</x:v>
      </x:c>
    </x:row>
    <x:row r="5237" spans="1:14">
      <x:c r="A5237" s="274" t="s">
        <x:v>9215</x:v>
      </x:c>
      <x:c r="B5237" s="274" t="n">
        <x:v>0.54</x:v>
      </x:c>
      <x:c r="C5237" s="274" t="n">
        <x:v>0</x:v>
      </x:c>
      <x:c r="D5237" s="274" t="n">
        <x:v>0</x:v>
      </x:c>
      <x:c r="F5237" s="274" t="s">
        <x:v>133</x:v>
      </x:c>
      <x:c r="G5237" s="274" t="s">
        <x:v>136</x:v>
      </x:c>
      <x:c r="H5237" s="274" t="n">
        <x:v>45</x:v>
      </x:c>
      <x:c r="I5237" s="274" t="n">
        <x:v>0.6</x:v>
      </x:c>
      <x:c r="J5237" s="274" t="n">
        <x:v>360</x:v>
      </x:c>
      <x:c r="K5237" s="274" t="n">
        <x:v>310</x:v>
      </x:c>
      <x:c r="M5237" s="274" t="s">
        <x:v>9216</x:v>
      </x:c>
      <x:c r="N5237" s="274" t="s">
        <x:v>155</x:v>
      </x:c>
    </x:row>
    <x:row r="5238" spans="1:14">
      <x:c r="A5238" s="274" t="s">
        <x:v>9217</x:v>
      </x:c>
      <x:c r="B5238" s="274" t="n">
        <x:v>5.16</x:v>
      </x:c>
      <x:c r="C5238" s="274" t="n">
        <x:v>0</x:v>
      </x:c>
      <x:c r="D5238" s="274" t="n">
        <x:v>0</x:v>
      </x:c>
      <x:c r="F5238" s="274" t="s">
        <x:v>133</x:v>
      </x:c>
      <x:c r="G5238" s="274" t="s">
        <x:v>134</x:v>
      </x:c>
      <x:c r="I5238" s="274" t="n">
        <x:v>2.3</x:v>
      </x:c>
      <x:c r="J5238" s="274" t="n">
        <x:v>238</x:v>
      </x:c>
      <x:c r="K5238" s="274" t="n">
        <x:v>1200</x:v>
      </x:c>
      <x:c r="M5238" s="274" t="s">
        <x:v>2836</x:v>
      </x:c>
      <x:c r="N5238" s="274" t="s">
        <x:v>131</x:v>
      </x:c>
    </x:row>
    <x:row r="5239" spans="1:14">
      <x:c r="A5239" s="274" t="s">
        <x:v>9218</x:v>
      </x:c>
      <x:c r="B5239" s="274" t="n">
        <x:v>0.88</x:v>
      </x:c>
      <x:c r="C5239" s="274" t="n">
        <x:v>0</x:v>
      </x:c>
      <x:c r="D5239" s="274" t="n">
        <x:v>0</x:v>
      </x:c>
      <x:c r="F5239" s="274" t="s">
        <x:v>133</x:v>
      </x:c>
      <x:c r="G5239" s="274" t="s">
        <x:v>134</x:v>
      </x:c>
      <x:c r="I5239" s="274" t="n">
        <x:v>2.6</x:v>
      </x:c>
      <x:c r="J5239" s="274" t="n">
        <x:v>155</x:v>
      </x:c>
      <x:c r="K5239" s="274" t="n">
        <x:v>278</x:v>
      </x:c>
      <x:c r="M5239" s="274" t="s">
        <x:v>435</x:v>
      </x:c>
      <x:c r="N5239" s="274" t="s">
        <x:v>155</x:v>
      </x:c>
    </x:row>
    <x:row r="5240" spans="1:14">
      <x:c r="A5240" s="274" t="s">
        <x:v>9219</x:v>
      </x:c>
      <x:c r="B5240" s="274" t="n">
        <x:v>6.57</x:v>
      </x:c>
      <x:c r="C5240" s="274" t="n">
        <x:v>0</x:v>
      </x:c>
      <x:c r="D5240" s="274" t="n">
        <x:v>0</x:v>
      </x:c>
      <x:c r="F5240" s="274" t="s">
        <x:v>133</x:v>
      </x:c>
      <x:c r="G5240" s="274" t="s">
        <x:v>134</x:v>
      </x:c>
      <x:c r="I5240" s="274" t="n">
        <x:v>2.6</x:v>
      </x:c>
      <x:c r="J5240" s="274" t="n">
        <x:v>280</x:v>
      </x:c>
      <x:c r="K5240" s="274" t="n">
        <x:v>1150</x:v>
      </x:c>
      <x:c r="M5240" s="274" t="s">
        <x:v>433</x:v>
      </x:c>
      <x:c r="N5240" s="274" t="s">
        <x:v>131</x:v>
      </x:c>
    </x:row>
    <x:row r="5241" spans="1:14">
      <x:c r="A5241" s="274" t="s">
        <x:v>9220</x:v>
      </x:c>
      <x:c r="B5241" s="274" t="n">
        <x:v>0.57</x:v>
      </x:c>
      <x:c r="C5241" s="274" t="n">
        <x:v>30</x:v>
      </x:c>
      <x:c r="D5241" s="274" t="n">
        <x:v>35</x:v>
      </x:c>
      <x:c r="E5241" s="274" t="n">
        <x:v>33</x:v>
      </x:c>
      <x:c r="F5241" s="274" t="s">
        <x:v>133</x:v>
      </x:c>
      <x:c r="G5241" s="274" t="s">
        <x:v>136</x:v>
      </x:c>
      <x:c r="H5241" s="274" t="n">
        <x:v>45</x:v>
      </x:c>
      <x:c r="I5241" s="274" t="n">
        <x:v>1.2</x:v>
      </x:c>
      <x:c r="J5241" s="274" t="n">
        <x:v>140</x:v>
      </x:c>
      <x:c r="K5241" s="274" t="n">
        <x:v>431</x:v>
      </x:c>
      <x:c r="M5241" s="274" t="s">
        <x:v>3069</x:v>
      </x:c>
      <x:c r="N5241" s="274" t="s">
        <x:v>131</x:v>
      </x:c>
    </x:row>
    <x:row r="5242" spans="1:14">
      <x:c r="A5242" s="274" t="s">
        <x:v>9221</x:v>
      </x:c>
      <x:c r="B5242" s="274" t="n">
        <x:v>0.51</x:v>
      </x:c>
      <x:c r="C5242" s="274" t="n">
        <x:v>0</x:v>
      </x:c>
      <x:c r="D5242" s="274" t="n">
        <x:v>0</x:v>
      </x:c>
      <x:c r="F5242" s="274" t="s">
        <x:v>133</x:v>
      </x:c>
      <x:c r="G5242" s="274" t="s">
        <x:v>134</x:v>
      </x:c>
      <x:c r="I5242" s="274" t="n">
        <x:v>1.6</x:v>
      </x:c>
      <x:c r="J5242" s="274" t="n">
        <x:v>33</x:v>
      </x:c>
      <x:c r="K5242" s="274" t="n">
        <x:v>1232</x:v>
      </x:c>
      <x:c r="M5242" s="274" t="s">
        <x:v>9222</x:v>
      </x:c>
      <x:c r="N5242" s="274" t="s">
        <x:v>131</x:v>
      </x:c>
    </x:row>
    <x:row r="5243" spans="1:14">
      <x:c r="A5243" s="274" t="s">
        <x:v>9223</x:v>
      </x:c>
      <x:c r="B5243" s="274" t="n">
        <x:v>20.96</x:v>
      </x:c>
      <x:c r="C5243" s="274" t="n">
        <x:v>0</x:v>
      </x:c>
      <x:c r="D5243" s="274" t="n">
        <x:v>63</x:v>
      </x:c>
      <x:c r="E5243" s="274" t="n">
        <x:v>37</x:v>
      </x:c>
      <x:c r="F5243" s="274" t="s">
        <x:v>9224</x:v>
      </x:c>
      <x:c r="G5243" s="274" t="s">
        <x:v>9225</x:v>
      </x:c>
      <x:c r="I5243" s="274" t="n">
        <x:v>3.6</x:v>
      </x:c>
      <x:c r="J5243" s="274" t="n">
        <x:v>1030</x:v>
      </x:c>
      <x:c r="K5243" s="274" t="n">
        <x:v>720</x:v>
      </x:c>
      <x:c r="M5243" s="274" t="s">
        <x:v>9226</x:v>
      </x:c>
    </x:row>
    <x:row r="5244" spans="1:14">
      <x:c r="A5244" s="274" t="s">
        <x:v>9227</x:v>
      </x:c>
      <x:c r="B5244" s="274" t="n">
        <x:v>1.85</x:v>
      </x:c>
      <x:c r="C5244" s="274" t="n">
        <x:v>0</x:v>
      </x:c>
      <x:c r="D5244" s="274" t="n">
        <x:v>0</x:v>
      </x:c>
      <x:c r="E5244" s="274" t="n">
        <x:v>0</x:v>
      </x:c>
      <x:c r="F5244" s="274" t="s">
        <x:v>128</x:v>
      </x:c>
      <x:c r="G5244" s="274" t="s">
        <x:v>136</x:v>
      </x:c>
      <x:c r="H5244" s="274" t="s">
        <x:v>397</x:v>
      </x:c>
      <x:c r="I5244" s="274" t="n">
        <x:v>0.75</x:v>
      </x:c>
      <x:c r="J5244" s="274" t="n">
        <x:v>235</x:v>
      </x:c>
      <x:c r="K5244" s="274" t="n">
        <x:v>1320</x:v>
      </x:c>
      <x:c r="M5244" s="274" t="s">
        <x:v>9228</x:v>
      </x:c>
      <x:c r="N5244" s="274" t="s">
        <x:v>126</x:v>
      </x:c>
    </x:row>
    <x:row r="5245" spans="1:14">
      <x:c r="A5245" s="274" t="s">
        <x:v>9229</x:v>
      </x:c>
      <x:c r="B5245" s="274" t="n">
        <x:v>17.23</x:v>
      </x:c>
      <x:c r="C5245" s="274" t="n">
        <x:v>0</x:v>
      </x:c>
      <x:c r="D5245" s="274" t="n">
        <x:v>30</x:v>
      </x:c>
      <x:c r="E5245" s="274" t="n">
        <x:v>33</x:v>
      </x:c>
      <x:c r="F5245" s="274" t="s">
        <x:v>133</x:v>
      </x:c>
      <x:c r="G5245" s="274" t="s">
        <x:v>144</x:v>
      </x:c>
      <x:c r="H5245" s="274" t="n">
        <x:v>45</x:v>
      </x:c>
      <x:c r="I5245" s="274" t="n">
        <x:v>1.6</x:v>
      </x:c>
      <x:c r="J5245" s="274" t="n">
        <x:v>1135</x:v>
      </x:c>
      <x:c r="K5245" s="274" t="n">
        <x:v>1200</x:v>
      </x:c>
      <x:c r="M5245" s="274" t="s">
        <x:v>9230</x:v>
      </x:c>
      <x:c r="N5245" s="274" t="s">
        <x:v>146</x:v>
      </x:c>
    </x:row>
    <x:row r="5246" spans="1:14">
      <x:c r="A5246" s="274" t="s">
        <x:v>9231</x:v>
      </x:c>
      <x:c r="B5246" s="274" t="n">
        <x:v>33.41</x:v>
      </x:c>
      <x:c r="C5246" s="274" t="n">
        <x:v>0</x:v>
      </x:c>
      <x:c r="D5246" s="274" t="n">
        <x:v>30</x:v>
      </x:c>
      <x:c r="E5246" s="274" t="n">
        <x:v>25</x:v>
      </x:c>
      <x:c r="F5246" s="274" t="s">
        <x:v>133</x:v>
      </x:c>
      <x:c r="G5246" s="274" t="s">
        <x:v>148</x:v>
      </x:c>
      <x:c r="I5246" s="274" t="n">
        <x:v>3.2</x:v>
      </x:c>
      <x:c r="J5246" s="274" t="n">
        <x:v>1095</x:v>
      </x:c>
      <x:c r="K5246" s="274" t="n">
        <x:v>1215</x:v>
      </x:c>
      <x:c r="M5246" s="274" t="s">
        <x:v>9232</x:v>
      </x:c>
      <x:c r="N5246" s="274" t="s">
        <x:v>9233</x:v>
      </x:c>
    </x:row>
    <x:row r="5247" spans="1:14">
      <x:c r="A5247" s="274" t="s">
        <x:v>9234</x:v>
      </x:c>
      <x:c r="B5247" s="274" t="n">
        <x:v>30.95</x:v>
      </x:c>
      <x:c r="C5247" s="274" t="n">
        <x:v>0</x:v>
      </x:c>
      <x:c r="D5247" s="274" t="n">
        <x:v>30</x:v>
      </x:c>
      <x:c r="E5247" s="274" t="n">
        <x:v>25</x:v>
      </x:c>
      <x:c r="F5247" s="274" t="s">
        <x:v>133</x:v>
      </x:c>
      <x:c r="G5247" s="274" t="s">
        <x:v>134</x:v>
      </x:c>
      <x:c r="I5247" s="274" t="n">
        <x:v>2.9</x:v>
      </x:c>
      <x:c r="J5247" s="274" t="n">
        <x:v>1100</x:v>
      </x:c>
      <x:c r="K5247" s="274" t="n">
        <x:v>1236</x:v>
      </x:c>
      <x:c r="N5247" s="274" t="s">
        <x:v>4250</x:v>
      </x:c>
    </x:row>
    <x:row r="5248" spans="1:14">
      <x:c r="A5248" s="274" t="s">
        <x:v>9235</x:v>
      </x:c>
      <x:c r="B5248" s="274" t="n">
        <x:v>7.99</x:v>
      </x:c>
      <x:c r="C5248" s="274" t="n">
        <x:v>0</x:v>
      </x:c>
      <x:c r="D5248" s="274" t="n">
        <x:v>32</x:v>
      </x:c>
      <x:c r="E5248" s="274" t="n">
        <x:v>40</x:v>
      </x:c>
      <x:c r="F5248" s="274" t="s">
        <x:v>133</x:v>
      </x:c>
      <x:c r="G5248" s="274" t="s">
        <x:v>136</x:v>
      </x:c>
      <x:c r="H5248" s="274" t="n">
        <x:v>45</x:v>
      </x:c>
      <x:c r="I5248" s="274" t="n">
        <x:v>1</x:v>
      </x:c>
      <x:c r="J5248" s="274" t="n">
        <x:v>1195</x:v>
      </x:c>
      <x:c r="K5248" s="274" t="n">
        <x:v>842</x:v>
      </x:c>
      <x:c r="N5248" s="274" t="s">
        <x:v>4250</x:v>
      </x:c>
    </x:row>
    <x:row r="5249" spans="1:14">
      <x:c r="A5249" s="274" t="s">
        <x:v>9236</x:v>
      </x:c>
      <x:c r="B5249" s="274" t="n">
        <x:v>11.56</x:v>
      </x:c>
      <x:c r="C5249" s="274" t="n">
        <x:v>0</x:v>
      </x:c>
      <x:c r="D5249" s="274" t="n">
        <x:v>30</x:v>
      </x:c>
      <x:c r="E5249" s="274" t="n">
        <x:v>40</x:v>
      </x:c>
      <x:c r="F5249" s="274" t="s">
        <x:v>133</x:v>
      </x:c>
      <x:c r="G5249" s="274" t="s">
        <x:v>134</x:v>
      </x:c>
      <x:c r="I5249" s="274" t="n">
        <x:v>2</x:v>
      </x:c>
      <x:c r="J5249" s="274" t="n">
        <x:v>1150</x:v>
      </x:c>
      <x:c r="K5249" s="274" t="n">
        <x:v>640</x:v>
      </x:c>
      <x:c r="M5249" s="274" t="s">
        <x:v>9237</x:v>
      </x:c>
      <x:c r="N5249" s="274" t="s">
        <x:v>155</x:v>
      </x:c>
    </x:row>
    <x:row r="5250" spans="1:14">
      <x:c r="A5250" s="274" t="s">
        <x:v>9238</x:v>
      </x:c>
      <x:c r="B5250" s="274" t="n">
        <x:v>4.95</x:v>
      </x:c>
      <x:c r="C5250" s="274" t="n">
        <x:v>0</x:v>
      </x:c>
      <x:c r="D5250" s="274" t="n">
        <x:v>30</x:v>
      </x:c>
      <x:c r="E5250" s="274" t="n">
        <x:v>40</x:v>
      </x:c>
      <x:c r="F5250" s="274" t="s">
        <x:v>133</x:v>
      </x:c>
      <x:c r="G5250" s="274" t="s">
        <x:v>144</x:v>
      </x:c>
      <x:c r="H5250" s="274" t="n">
        <x:v>45</x:v>
      </x:c>
      <x:c r="I5250" s="274" t="n">
        <x:v>1.4</x:v>
      </x:c>
      <x:c r="J5250" s="274" t="n">
        <x:v>890</x:v>
      </x:c>
      <x:c r="K5250" s="274" t="n">
        <x:v>502</x:v>
      </x:c>
      <x:c r="N5250" s="274" t="s">
        <x:v>155</x:v>
      </x:c>
    </x:row>
    <x:row r="5251" spans="1:14">
      <x:c r="A5251" s="274" t="s">
        <x:v>9239</x:v>
      </x:c>
      <x:c r="B5251" s="274" t="n">
        <x:v>14.31</x:v>
      </x:c>
      <x:c r="C5251" s="274" t="n">
        <x:v>0</x:v>
      </x:c>
      <x:c r="D5251" s="274" t="n">
        <x:v>30</x:v>
      </x:c>
      <x:c r="E5251" s="274" t="n">
        <x:v>31</x:v>
      </x:c>
      <x:c r="F5251" s="274" t="s">
        <x:v>128</x:v>
      </x:c>
      <x:c r="G5251" s="274" t="s">
        <x:v>177</x:v>
      </x:c>
      <x:c r="H5251" s="274" t="n">
        <x:v>45</x:v>
      </x:c>
      <x:c r="I5251" s="274" t="n">
        <x:v>2</x:v>
      </x:c>
      <x:c r="J5251" s="274" t="n">
        <x:v>925</x:v>
      </x:c>
      <x:c r="K5251" s="274" t="n">
        <x:v>980</x:v>
      </x:c>
      <x:c r="N5251" s="274" t="s">
        <x:v>9240</x:v>
      </x:c>
    </x:row>
    <x:row r="5252" spans="1:14">
      <x:c r="A5252" s="274" t="s">
        <x:v>9241</x:v>
      </x:c>
      <x:c r="B5252" s="274" t="n">
        <x:v>22.74</x:v>
      </x:c>
      <x:c r="C5252" s="274" t="n">
        <x:v>0</x:v>
      </x:c>
      <x:c r="D5252" s="274" t="n">
        <x:v>30</x:v>
      </x:c>
      <x:c r="E5252" s="274" t="n">
        <x:v>26</x:v>
      </x:c>
      <x:c r="F5252" s="274" t="s">
        <x:v>133</x:v>
      </x:c>
      <x:c r="G5252" s="274" t="s">
        <x:v>134</x:v>
      </x:c>
      <x:c r="I5252" s="274" t="n">
        <x:v>2.6</x:v>
      </x:c>
      <x:c r="J5252" s="274" t="n">
        <x:v>975</x:v>
      </x:c>
      <x:c r="K5252" s="274" t="n">
        <x:v>1143</x:v>
      </x:c>
      <x:c r="N5252" s="274" t="s">
        <x:v>4250</x:v>
      </x:c>
    </x:row>
    <x:row r="5253" spans="1:14">
      <x:c r="A5253" s="274" t="s">
        <x:v>9242</x:v>
      </x:c>
      <x:c r="B5253" s="274" t="n">
        <x:v>20.94</x:v>
      </x:c>
      <x:c r="C5253" s="274" t="n">
        <x:v>0</x:v>
      </x:c>
      <x:c r="D5253" s="274" t="n">
        <x:v>30</x:v>
      </x:c>
      <x:c r="E5253" s="274" t="n">
        <x:v>31</x:v>
      </x:c>
      <x:c r="F5253" s="274" t="s">
        <x:v>133</x:v>
      </x:c>
      <x:c r="G5253" s="274" t="s">
        <x:v>134</x:v>
      </x:c>
      <x:c r="I5253" s="274" t="n">
        <x:v>2.6</x:v>
      </x:c>
      <x:c r="J5253" s="274" t="n">
        <x:v>1130</x:v>
      </x:c>
      <x:c r="K5253" s="274" t="n">
        <x:v>908</x:v>
      </x:c>
      <x:c r="N5253" s="274" t="s">
        <x:v>155</x:v>
      </x:c>
    </x:row>
    <x:row r="5254" spans="1:14">
      <x:c r="A5254" s="274" t="s">
        <x:v>9243</x:v>
      </x:c>
      <x:c r="B5254" s="274" t="n">
        <x:v>28.61</x:v>
      </x:c>
      <x:c r="C5254" s="274" t="n">
        <x:v>0</x:v>
      </x:c>
      <x:c r="D5254" s="274" t="n">
        <x:v>30</x:v>
      </x:c>
      <x:c r="E5254" s="274" t="n">
        <x:v>26</x:v>
      </x:c>
      <x:c r="F5254" s="274" t="s">
        <x:v>133</x:v>
      </x:c>
      <x:c r="G5254" s="274" t="s">
        <x:v>134</x:v>
      </x:c>
      <x:c r="I5254" s="274" t="n">
        <x:v>2.9</x:v>
      </x:c>
      <x:c r="J5254" s="274" t="n">
        <x:v>1100</x:v>
      </x:c>
      <x:c r="K5254" s="274" t="n">
        <x:v>1143</x:v>
      </x:c>
      <x:c r="M5254" s="274" t="s">
        <x:v>9244</x:v>
      </x:c>
      <x:c r="N5254" s="274" t="s">
        <x:v>155</x:v>
      </x:c>
    </x:row>
    <x:row r="5255" spans="1:14">
      <x:c r="A5255" s="274" t="s">
        <x:v>9245</x:v>
      </x:c>
      <x:c r="B5255" s="274" t="n">
        <x:v>16.18</x:v>
      </x:c>
      <x:c r="C5255" s="274" t="n">
        <x:v>0</x:v>
      </x:c>
      <x:c r="D5255" s="274" t="n">
        <x:v>30</x:v>
      </x:c>
      <x:c r="E5255" s="274" t="n">
        <x:v>32</x:v>
      </x:c>
      <x:c r="F5255" s="274" t="s">
        <x:v>133</x:v>
      </x:c>
      <x:c r="G5255" s="274" t="s">
        <x:v>136</x:v>
      </x:c>
      <x:c r="H5255" s="274" t="n">
        <x:v>45</x:v>
      </x:c>
      <x:c r="I5255" s="274" t="n">
        <x:v>1.4</x:v>
      </x:c>
      <x:c r="J5255" s="274" t="n">
        <x:v>1185</x:v>
      </x:c>
      <x:c r="K5255" s="274" t="n">
        <x:v>1232</x:v>
      </x:c>
      <x:c r="M5255" s="274" t="s">
        <x:v>9246</x:v>
      </x:c>
    </x:row>
    <x:row r="5256" spans="1:14">
      <x:c r="A5256" s="274" t="s">
        <x:v>9247</x:v>
      </x:c>
      <x:c r="B5256" s="274" t="n">
        <x:v>17.41</x:v>
      </x:c>
      <x:c r="C5256" s="274" t="n">
        <x:v>0</x:v>
      </x:c>
      <x:c r="D5256" s="274" t="n">
        <x:v>30</x:v>
      </x:c>
      <x:c r="E5256" s="274" t="n">
        <x:v>31</x:v>
      </x:c>
      <x:c r="F5256" s="274" t="s">
        <x:v>133</x:v>
      </x:c>
      <x:c r="G5256" s="274" t="s">
        <x:v>134</x:v>
      </x:c>
      <x:c r="I5256" s="274" t="n">
        <x:v>3.2</x:v>
      </x:c>
      <x:c r="J5256" s="274" t="n">
        <x:v>700</x:v>
      </x:c>
      <x:c r="K5256" s="274" t="n">
        <x:v>990</x:v>
      </x:c>
    </x:row>
    <x:row r="5257" spans="1:14">
      <x:c r="A5257" s="274" t="s">
        <x:v>9248</x:v>
      </x:c>
      <x:c r="B5257" s="274" t="n">
        <x:v>14.84</x:v>
      </x:c>
      <x:c r="C5257" s="274" t="n">
        <x:v>0</x:v>
      </x:c>
      <x:c r="D5257" s="274" t="n">
        <x:v>32</x:v>
      </x:c>
      <x:c r="E5257" s="274" t="n">
        <x:v>28</x:v>
      </x:c>
      <x:c r="F5257" s="274" t="s">
        <x:v>133</x:v>
      </x:c>
      <x:c r="G5257" s="274" t="s">
        <x:v>136</x:v>
      </x:c>
      <x:c r="H5257" s="274" t="n">
        <x:v>45</x:v>
      </x:c>
      <x:c r="I5257" s="274" t="n">
        <x:v>1</x:v>
      </x:c>
      <x:c r="J5257" s="274" t="n">
        <x:v>1195</x:v>
      </x:c>
      <x:c r="K5257" s="274" t="n">
        <x:v>1564</x:v>
      </x:c>
      <x:c r="M5257" s="274" t="s">
        <x:v>9249</x:v>
      </x:c>
    </x:row>
    <x:row r="5258" spans="1:14">
      <x:c r="A5258" s="274" t="s">
        <x:v>9250</x:v>
      </x:c>
      <x:c r="B5258" s="274" t="n">
        <x:v>8.74</x:v>
      </x:c>
      <x:c r="C5258" s="274" t="n">
        <x:v>0</x:v>
      </x:c>
      <x:c r="D5258" s="274" t="n">
        <x:v>30</x:v>
      </x:c>
      <x:c r="E5258" s="274" t="n">
        <x:v>40</x:v>
      </x:c>
      <x:c r="F5258" s="274" t="s">
        <x:v>133</x:v>
      </x:c>
      <x:c r="G5258" s="274" t="s">
        <x:v>148</x:v>
      </x:c>
      <x:c r="I5258" s="274" t="n">
        <x:v>2</x:v>
      </x:c>
      <x:c r="J5258" s="274" t="n">
        <x:v>970</x:v>
      </x:c>
      <x:c r="K5258" s="274" t="n">
        <x:v>574</x:v>
      </x:c>
      <x:c r="N5258" s="274" t="s">
        <x:v>155</x:v>
      </x:c>
    </x:row>
    <x:row r="5259" spans="1:14">
      <x:c r="A5259" s="274" t="s">
        <x:v>9251</x:v>
      </x:c>
      <x:c r="B5259" s="274" t="n">
        <x:v>4.52</x:v>
      </x:c>
      <x:c r="C5259" s="274" t="n">
        <x:v>0</x:v>
      </x:c>
      <x:c r="D5259" s="274" t="n">
        <x:v>32</x:v>
      </x:c>
      <x:c r="E5259" s="274" t="n">
        <x:v>40</x:v>
      </x:c>
      <x:c r="F5259" s="274" t="s">
        <x:v>133</x:v>
      </x:c>
      <x:c r="G5259" s="274" t="s">
        <x:v>209</x:v>
      </x:c>
      <x:c r="I5259" s="274" t="n">
        <x:v>0.8</x:v>
      </x:c>
      <x:c r="J5259" s="274" t="n">
        <x:v>1120</x:v>
      </x:c>
      <x:c r="K5259" s="274" t="n">
        <x:v>642</x:v>
      </x:c>
      <x:c r="N5259" s="274" t="s">
        <x:v>241</x:v>
      </x:c>
    </x:row>
    <x:row r="5260" spans="1:14">
      <x:c r="A5260" s="274" t="s">
        <x:v>9252</x:v>
      </x:c>
      <x:c r="B5260" s="274" t="n">
        <x:v>13.07</x:v>
      </x:c>
      <x:c r="C5260" s="274" t="n">
        <x:v>0</x:v>
      </x:c>
      <x:c r="D5260" s="274" t="n">
        <x:v>32</x:v>
      </x:c>
      <x:c r="E5260" s="274" t="n">
        <x:v>32</x:v>
      </x:c>
      <x:c r="F5260" s="274" t="s">
        <x:v>133</x:v>
      </x:c>
      <x:c r="G5260" s="274" t="s">
        <x:v>209</x:v>
      </x:c>
      <x:c r="I5260" s="274" t="n">
        <x:v>1.2</x:v>
      </x:c>
      <x:c r="J5260" s="274" t="n">
        <x:v>1135</x:v>
      </x:c>
      <x:c r="K5260" s="274" t="n">
        <x:v>1222</x:v>
      </x:c>
      <x:c r="N5260" s="274" t="s">
        <x:v>299</x:v>
      </x:c>
    </x:row>
    <x:row r="5261" spans="1:14">
      <x:c r="A5261" s="274" t="s">
        <x:v>9253</x:v>
      </x:c>
      <x:c r="B5261" s="274" t="n">
        <x:v>13.56</x:v>
      </x:c>
      <x:c r="C5261" s="274" t="n">
        <x:v>0</x:v>
      </x:c>
      <x:c r="D5261" s="274" t="n">
        <x:v>32</x:v>
      </x:c>
      <x:c r="E5261" s="274" t="n">
        <x:v>32</x:v>
      </x:c>
      <x:c r="F5261" s="274" t="s">
        <x:v>133</x:v>
      </x:c>
      <x:c r="G5261" s="274" t="s">
        <x:v>209</x:v>
      </x:c>
      <x:c r="I5261" s="274" t="n">
        <x:v>1.2</x:v>
      </x:c>
      <x:c r="J5261" s="274" t="n">
        <x:v>1135</x:v>
      </x:c>
      <x:c r="K5261" s="274" t="n">
        <x:v>1268</x:v>
      </x:c>
      <x:c r="N5261" s="274" t="s">
        <x:v>131</x:v>
      </x:c>
    </x:row>
    <x:row r="5262" spans="1:14">
      <x:c r="A5262" s="274" t="s">
        <x:v>9254</x:v>
      </x:c>
      <x:c r="B5262" s="274" t="n">
        <x:v>18.06</x:v>
      </x:c>
      <x:c r="C5262" s="274" t="n">
        <x:v>0</x:v>
      </x:c>
      <x:c r="D5262" s="274" t="n">
        <x:v>30</x:v>
      </x:c>
      <x:c r="E5262" s="274" t="n">
        <x:v>28</x:v>
      </x:c>
      <x:c r="F5262" s="274" t="s">
        <x:v>133</x:v>
      </x:c>
      <x:c r="G5262" s="274" t="s">
        <x:v>134</x:v>
      </x:c>
      <x:c r="I5262" s="274" t="n">
        <x:v>2</x:v>
      </x:c>
      <x:c r="J5262" s="274" t="n">
        <x:v>1150</x:v>
      </x:c>
      <x:c r="K5262" s="274" t="n">
        <x:v>1000</x:v>
      </x:c>
      <x:c r="N5262" s="274" t="s">
        <x:v>126</x:v>
      </x:c>
    </x:row>
    <x:row r="5263" spans="1:14">
      <x:c r="A5263" s="274" t="s">
        <x:v>9255</x:v>
      </x:c>
      <x:c r="B5263" s="274" t="n">
        <x:v>19.11</x:v>
      </x:c>
      <x:c r="C5263" s="274" t="n">
        <x:v>0</x:v>
      </x:c>
      <x:c r="D5263" s="274" t="n">
        <x:v>30</x:v>
      </x:c>
      <x:c r="E5263" s="274" t="n">
        <x:v>32</x:v>
      </x:c>
      <x:c r="F5263" s="274" t="s">
        <x:v>133</x:v>
      </x:c>
      <x:c r="G5263" s="274" t="s">
        <x:v>136</x:v>
      </x:c>
      <x:c r="H5263" s="274" t="n">
        <x:v>45</x:v>
      </x:c>
      <x:c r="I5263" s="274" t="n">
        <x:v>1.4</x:v>
      </x:c>
      <x:c r="J5263" s="274" t="n">
        <x:v>1408</x:v>
      </x:c>
      <x:c r="K5263" s="274" t="n">
        <x:v>1225</x:v>
      </x:c>
      <x:c r="M5263" s="274" t="s">
        <x:v>9256</x:v>
      </x:c>
      <x:c r="N5263" s="274" t="s">
        <x:v>155</x:v>
      </x:c>
    </x:row>
    <x:row r="5264" spans="1:14">
      <x:c r="A5264" s="274" t="s">
        <x:v>9257</x:v>
      </x:c>
      <x:c r="B5264" s="274" t="n">
        <x:v>13.37</x:v>
      </x:c>
      <x:c r="C5264" s="274" t="n">
        <x:v>0</x:v>
      </x:c>
      <x:c r="D5264" s="274" t="n">
        <x:v>32</x:v>
      </x:c>
      <x:c r="E5264" s="274" t="n">
        <x:v>32</x:v>
      </x:c>
      <x:c r="F5264" s="274" t="s">
        <x:v>133</x:v>
      </x:c>
      <x:c r="G5264" s="274" t="s">
        <x:v>209</x:v>
      </x:c>
      <x:c r="I5264" s="274" t="n">
        <x:v>1.2</x:v>
      </x:c>
      <x:c r="J5264" s="274" t="n">
        <x:v>1135</x:v>
      </x:c>
      <x:c r="K5264" s="274" t="n">
        <x:v>1250</x:v>
      </x:c>
      <x:c r="M5264" s="274" t="s">
        <x:v>9258</x:v>
      </x:c>
      <x:c r="N5264" s="274" t="s">
        <x:v>4250</x:v>
      </x:c>
    </x:row>
    <x:row r="5265" spans="1:14">
      <x:c r="A5265" s="274" t="s">
        <x:v>9259</x:v>
      </x:c>
      <x:c r="B5265" s="274" t="n">
        <x:v>18.6</x:v>
      </x:c>
      <x:c r="C5265" s="274" t="n">
        <x:v>0</x:v>
      </x:c>
      <x:c r="D5265" s="274" t="n">
        <x:v>30</x:v>
      </x:c>
      <x:c r="E5265" s="274" t="n">
        <x:v>25</x:v>
      </x:c>
      <x:c r="F5265" s="274" t="s">
        <x:v>133</x:v>
      </x:c>
      <x:c r="G5265" s="274" t="s">
        <x:v>134</x:v>
      </x:c>
      <x:c r="I5265" s="274" t="n">
        <x:v>1.8</x:v>
      </x:c>
      <x:c r="J5265" s="274" t="n">
        <x:v>1115</x:v>
      </x:c>
      <x:c r="K5265" s="274" t="n">
        <x:v>1180</x:v>
      </x:c>
      <x:c r="M5265" s="274" t="s">
        <x:v>9260</x:v>
      </x:c>
      <x:c r="N5265" s="274" t="s">
        <x:v>299</x:v>
      </x:c>
    </x:row>
    <x:row r="5266" spans="1:14">
      <x:c r="A5266" s="274" t="s">
        <x:v>9261</x:v>
      </x:c>
      <x:c r="B5266" s="274" t="n">
        <x:v>8.42</x:v>
      </x:c>
      <x:c r="C5266" s="274" t="n">
        <x:v>0</x:v>
      </x:c>
      <x:c r="D5266" s="274" t="n">
        <x:v>30</x:v>
      </x:c>
      <x:c r="E5266" s="274" t="n">
        <x:v>40</x:v>
      </x:c>
      <x:c r="F5266" s="274" t="s">
        <x:v>133</x:v>
      </x:c>
      <x:c r="G5266" s="274" t="s">
        <x:v>136</x:v>
      </x:c>
      <x:c r="H5266" s="274" t="n">
        <x:v>45</x:v>
      </x:c>
      <x:c r="I5266" s="274" t="n">
        <x:v>1.6</x:v>
      </x:c>
      <x:c r="J5266" s="274" t="n">
        <x:v>1260</x:v>
      </x:c>
      <x:c r="K5266" s="274" t="n">
        <x:v>528</x:v>
      </x:c>
      <x:c r="M5266" s="274" t="s">
        <x:v>9262</x:v>
      </x:c>
    </x:row>
    <x:row r="5267" spans="1:14">
      <x:c r="A5267" s="274" t="s">
        <x:v>9263</x:v>
      </x:c>
      <x:c r="B5267" s="274" t="n">
        <x:v>15.56</x:v>
      </x:c>
      <x:c r="C5267" s="274" t="n">
        <x:v>0</x:v>
      </x:c>
      <x:c r="D5267" s="274" t="n">
        <x:v>30</x:v>
      </x:c>
      <x:c r="E5267" s="274" t="n">
        <x:v>37</x:v>
      </x:c>
      <x:c r="F5267" s="274" t="s">
        <x:v>133</x:v>
      </x:c>
      <x:c r="G5267" s="274" t="s">
        <x:v>134</x:v>
      </x:c>
      <x:c r="I5267" s="274" t="n">
        <x:v>2.3</x:v>
      </x:c>
      <x:c r="J5267" s="274" t="n">
        <x:v>1185</x:v>
      </x:c>
      <x:c r="K5267" s="274" t="n">
        <x:v>727</x:v>
      </x:c>
      <x:c r="N5267" s="274" t="s">
        <x:v>4250</x:v>
      </x:c>
    </x:row>
    <x:row r="5268" spans="1:14">
      <x:c r="A5268" s="274" t="s">
        <x:v>9264</x:v>
      </x:c>
      <x:c r="B5268" s="274" t="n">
        <x:v>14.7</x:v>
      </x:c>
      <x:c r="C5268" s="274" t="n">
        <x:v>0</x:v>
      </x:c>
      <x:c r="D5268" s="274" t="n">
        <x:v>30</x:v>
      </x:c>
      <x:c r="E5268" s="274" t="n">
        <x:v>40</x:v>
      </x:c>
      <x:c r="F5268" s="274" t="s">
        <x:v>133</x:v>
      </x:c>
      <x:c r="G5268" s="274" t="s">
        <x:v>134</x:v>
      </x:c>
      <x:c r="I5268" s="274" t="n">
        <x:v>2.3</x:v>
      </x:c>
      <x:c r="J5268" s="274" t="n">
        <x:v>1185</x:v>
      </x:c>
      <x:c r="K5268" s="274" t="n">
        <x:v>687</x:v>
      </x:c>
      <x:c r="N5268" s="274" t="s">
        <x:v>4250</x:v>
      </x:c>
    </x:row>
    <x:row r="5269" spans="1:14">
      <x:c r="A5269" s="274" t="s">
        <x:v>9265</x:v>
      </x:c>
      <x:c r="B5269" s="274" t="n">
        <x:v>28.18</x:v>
      </x:c>
      <x:c r="C5269" s="274" t="n">
        <x:v>0</x:v>
      </x:c>
      <x:c r="D5269" s="274" t="n">
        <x:v>30</x:v>
      </x:c>
      <x:c r="E5269" s="274" t="n">
        <x:v>19</x:v>
      </x:c>
      <x:c r="F5269" s="274" t="s">
        <x:v>133</x:v>
      </x:c>
      <x:c r="G5269" s="274" t="s">
        <x:v>136</x:v>
      </x:c>
      <x:c r="H5269" s="274" t="n">
        <x:v>45</x:v>
      </x:c>
      <x:c r="I5269" s="274" t="n">
        <x:v>1.6</x:v>
      </x:c>
      <x:c r="J5269" s="274" t="n">
        <x:v>1485</x:v>
      </x:c>
      <x:c r="K5269" s="274" t="n">
        <x:v>1500</x:v>
      </x:c>
    </x:row>
    <x:row r="5270" spans="1:14">
      <x:c r="A5270" s="274" t="s">
        <x:v>9266</x:v>
      </x:c>
      <x:c r="B5270" s="274" t="n">
        <x:v>10.6</x:v>
      </x:c>
      <x:c r="C5270" s="274" t="n">
        <x:v>0</x:v>
      </x:c>
      <x:c r="D5270" s="274" t="n">
        <x:v>30</x:v>
      </x:c>
      <x:c r="E5270" s="274" t="n">
        <x:v>40</x:v>
      </x:c>
      <x:c r="F5270" s="274" t="s">
        <x:v>133</x:v>
      </x:c>
      <x:c r="G5270" s="274" t="s">
        <x:v>148</x:v>
      </x:c>
      <x:c r="I5270" s="274" t="n">
        <x:v>2.3</x:v>
      </x:c>
      <x:c r="J5270" s="274" t="n">
        <x:v>1120</x:v>
      </x:c>
      <x:c r="K5270" s="274" t="n">
        <x:v>524</x:v>
      </x:c>
      <x:c r="N5270" s="274" t="s">
        <x:v>9267</x:v>
      </x:c>
    </x:row>
    <x:row r="5271" spans="1:14">
      <x:c r="A5271" s="274" t="s">
        <x:v>9268</x:v>
      </x:c>
      <x:c r="B5271" s="274" t="n">
        <x:v>4.22</x:v>
      </x:c>
      <x:c r="C5271" s="274" t="n">
        <x:v>0</x:v>
      </x:c>
      <x:c r="D5271" s="274" t="n">
        <x:v>32</x:v>
      </x:c>
      <x:c r="E5271" s="274" t="n">
        <x:v>40</x:v>
      </x:c>
      <x:c r="F5271" s="274" t="s">
        <x:v>133</x:v>
      </x:c>
      <x:c r="G5271" s="274" t="s">
        <x:v>209</x:v>
      </x:c>
      <x:c r="I5271" s="274" t="n">
        <x:v>0.8</x:v>
      </x:c>
      <x:c r="J5271" s="274" t="n">
        <x:v>1120</x:v>
      </x:c>
      <x:c r="K5271" s="274" t="n">
        <x:v>600</x:v>
      </x:c>
      <x:c r="N5271" s="274" t="s">
        <x:v>126</x:v>
      </x:c>
    </x:row>
    <x:row r="5272" spans="1:14">
      <x:c r="A5272" s="274" t="s">
        <x:v>9269</x:v>
      </x:c>
      <x:c r="B5272" s="274" t="n">
        <x:v>12.25</x:v>
      </x:c>
      <x:c r="C5272" s="274" t="n">
        <x:v>0</x:v>
      </x:c>
      <x:c r="D5272" s="274" t="n">
        <x:v>30</x:v>
      </x:c>
      <x:c r="E5272" s="274" t="n">
        <x:v>37</x:v>
      </x:c>
      <x:c r="F5272" s="274" t="s">
        <x:v>133</x:v>
      </x:c>
      <x:c r="G5272" s="274" t="s">
        <x:v>144</x:v>
      </x:c>
      <x:c r="H5272" s="274" t="n">
        <x:v>45</x:v>
      </x:c>
      <x:c r="I5272" s="274" t="n">
        <x:v>2</x:v>
      </x:c>
      <x:c r="J5272" s="274" t="n">
        <x:v>1105</x:v>
      </x:c>
      <x:c r="K5272" s="274" t="n">
        <x:v>702</x:v>
      </x:c>
    </x:row>
    <x:row r="5273" spans="1:14">
      <x:c r="A5273" s="274" t="s">
        <x:v>9270</x:v>
      </x:c>
      <x:c r="B5273" s="274" t="n">
        <x:v>12.91</x:v>
      </x:c>
      <x:c r="C5273" s="274" t="n">
        <x:v>0</x:v>
      </x:c>
      <x:c r="D5273" s="274" t="n">
        <x:v>32</x:v>
      </x:c>
      <x:c r="E5273" s="274" t="n">
        <x:v>35</x:v>
      </x:c>
      <x:c r="F5273" s="274" t="s">
        <x:v>184</x:v>
      </x:c>
      <x:c r="G5273" s="274" t="s">
        <x:v>129</x:v>
      </x:c>
      <x:c r="H5273" s="274" t="n">
        <x:v>45</x:v>
      </x:c>
      <x:c r="I5273" s="274" t="n">
        <x:v>1.2</x:v>
      </x:c>
      <x:c r="J5273" s="274" t="n">
        <x:v>1135</x:v>
      </x:c>
      <x:c r="K5273" s="274" t="n">
        <x:v>1197</x:v>
      </x:c>
      <x:c r="N5273" s="274" t="s">
        <x:v>173</x:v>
      </x:c>
    </x:row>
    <x:row r="5274" spans="1:14">
      <x:c r="A5274" s="274" t="s">
        <x:v>9271</x:v>
      </x:c>
      <x:c r="B5274" s="274" t="n">
        <x:v>1.4</x:v>
      </x:c>
      <x:c r="C5274" s="274" t="n">
        <x:v>0</x:v>
      </x:c>
      <x:c r="D5274" s="274" t="n">
        <x:v>0</x:v>
      </x:c>
      <x:c r="E5274" s="274" t="n">
        <x:v>0</x:v>
      </x:c>
      <x:c r="F5274" s="274" t="s">
        <x:v>123</x:v>
      </x:c>
      <x:c r="G5274" s="274" t="s">
        <x:v>209</x:v>
      </x:c>
      <x:c r="I5274" s="274" t="n">
        <x:v>1</x:v>
      </x:c>
      <x:c r="J5274" s="274" t="n">
        <x:v>143</x:v>
      </x:c>
      <x:c r="K5274" s="274" t="n">
        <x:v>1250</x:v>
      </x:c>
    </x:row>
    <x:row r="5275" spans="1:14">
      <x:c r="A5275" s="274" t="s">
        <x:v>9272</x:v>
      </x:c>
      <x:c r="B5275" s="274" t="n">
        <x:v>1.25</x:v>
      </x:c>
      <x:c r="C5275" s="274" t="n">
        <x:v>0</x:v>
      </x:c>
      <x:c r="D5275" s="274" t="n">
        <x:v>0</x:v>
      </x:c>
      <x:c r="E5275" s="274" t="n">
        <x:v>0</x:v>
      </x:c>
      <x:c r="F5275" s="274" t="s">
        <x:v>123</x:v>
      </x:c>
      <x:c r="G5275" s="274" t="s">
        <x:v>209</x:v>
      </x:c>
      <x:c r="I5275" s="274" t="n">
        <x:v>1</x:v>
      </x:c>
      <x:c r="J5275" s="274" t="n">
        <x:v>143</x:v>
      </x:c>
      <x:c r="K5275" s="274" t="n">
        <x:v>1110</x:v>
      </x:c>
    </x:row>
    <x:row r="5276" spans="1:14">
      <x:c r="A5276" s="274" t="s">
        <x:v>9273</x:v>
      </x:c>
      <x:c r="B5276" s="274" t="n">
        <x:v>9.96</x:v>
      </x:c>
      <x:c r="C5276" s="274" t="n">
        <x:v>0</x:v>
      </x:c>
      <x:c r="D5276" s="274" t="n">
        <x:v>30</x:v>
      </x:c>
      <x:c r="E5276" s="274" t="n">
        <x:v>40</x:v>
      </x:c>
      <x:c r="F5276" s="274" t="s">
        <x:v>133</x:v>
      </x:c>
      <x:c r="G5276" s="274" t="s">
        <x:v>144</x:v>
      </x:c>
      <x:c r="H5276" s="274" t="n">
        <x:v>45</x:v>
      </x:c>
      <x:c r="I5276" s="274" t="n">
        <x:v>1.6</x:v>
      </x:c>
      <x:c r="J5276" s="274" t="n">
        <x:v>1200</x:v>
      </x:c>
      <x:c r="K5276" s="274" t="n">
        <x:v>656</x:v>
      </x:c>
      <x:c r="N5276" s="274" t="s">
        <x:v>299</x:v>
      </x:c>
    </x:row>
    <x:row r="5277" spans="1:14">
      <x:c r="A5277" s="274" t="s">
        <x:v>9274</x:v>
      </x:c>
      <x:c r="B5277" s="274" t="n">
        <x:v>3.43</x:v>
      </x:c>
      <x:c r="C5277" s="274" t="n">
        <x:v>0</x:v>
      </x:c>
      <x:c r="D5277" s="274" t="n">
        <x:v>32</x:v>
      </x:c>
      <x:c r="E5277" s="274" t="n">
        <x:v>40</x:v>
      </x:c>
      <x:c r="F5277" s="274" t="s">
        <x:v>184</x:v>
      </x:c>
      <x:c r="G5277" s="274" t="s">
        <x:v>136</x:v>
      </x:c>
      <x:c r="H5277" s="274" t="n">
        <x:v>45</x:v>
      </x:c>
      <x:c r="I5277" s="274" t="n">
        <x:v>0.65</x:v>
      </x:c>
      <x:c r="J5277" s="274" t="n">
        <x:v>1425</x:v>
      </x:c>
      <x:c r="K5277" s="274" t="n">
        <x:v>463</x:v>
      </x:c>
      <x:c r="N5277" s="274" t="s">
        <x:v>480</x:v>
      </x:c>
    </x:row>
    <x:row r="5278" spans="1:14">
      <x:c r="A5278" s="274" t="s">
        <x:v>9275</x:v>
      </x:c>
      <x:c r="B5278" s="274" t="n">
        <x:v>11.89</x:v>
      </x:c>
      <x:c r="C5278" s="274" t="n">
        <x:v>0</x:v>
      </x:c>
      <x:c r="D5278" s="274" t="n">
        <x:v>30</x:v>
      </x:c>
      <x:c r="E5278" s="274" t="n">
        <x:v>40</x:v>
      </x:c>
      <x:c r="F5278" s="274" t="s">
        <x:v>133</x:v>
      </x:c>
      <x:c r="G5278" s="274" t="s">
        <x:v>134</x:v>
      </x:c>
      <x:c r="I5278" s="274" t="n">
        <x:v>2.9</x:v>
      </x:c>
      <x:c r="J5278" s="274" t="n">
        <x:v>1100</x:v>
      </x:c>
      <x:c r="K5278" s="274" t="n">
        <x:v>475</x:v>
      </x:c>
      <x:c r="M5278" s="274" t="s">
        <x:v>9276</x:v>
      </x:c>
    </x:row>
    <x:row r="5279" spans="1:14">
      <x:c r="A5279" s="274" t="s">
        <x:v>9277</x:v>
      </x:c>
      <x:c r="B5279" s="274" t="n">
        <x:v>7.47</x:v>
      </x:c>
      <x:c r="C5279" s="274" t="n">
        <x:v>0</x:v>
      </x:c>
      <x:c r="D5279" s="274" t="n">
        <x:v>32</x:v>
      </x:c>
      <x:c r="E5279" s="274" t="n">
        <x:v>32</x:v>
      </x:c>
      <x:c r="F5279" s="274" t="s">
        <x:v>128</x:v>
      </x:c>
      <x:c r="G5279" s="274" t="s">
        <x:v>129</x:v>
      </x:c>
      <x:c r="H5279" s="274" t="n">
        <x:v>45</x:v>
      </x:c>
      <x:c r="I5279" s="274" t="n">
        <x:v>0.8</x:v>
      </x:c>
      <x:c r="J5279" s="274" t="n">
        <x:v>970</x:v>
      </x:c>
      <x:c r="K5279" s="274" t="n">
        <x:v>1208</x:v>
      </x:c>
      <x:c r="N5279" s="274" t="s">
        <x:v>299</x:v>
      </x:c>
    </x:row>
    <x:row r="5280" spans="1:14">
      <x:c r="A5280" s="274" t="s">
        <x:v>9278</x:v>
      </x:c>
      <x:c r="B5280" s="274" t="n">
        <x:v>7.37</x:v>
      </x:c>
      <x:c r="C5280" s="274" t="n">
        <x:v>0</x:v>
      </x:c>
      <x:c r="D5280" s="274" t="n">
        <x:v>32</x:v>
      </x:c>
      <x:c r="E5280" s="274" t="n">
        <x:v>32</x:v>
      </x:c>
      <x:c r="F5280" s="274" t="s">
        <x:v>133</x:v>
      </x:c>
      <x:c r="G5280" s="274" t="s">
        <x:v>136</x:v>
      </x:c>
      <x:c r="H5280" s="274" t="n">
        <x:v>45</x:v>
      </x:c>
      <x:c r="I5280" s="274" t="n">
        <x:v>0.7</x:v>
      </x:c>
      <x:c r="J5280" s="274" t="n">
        <x:v>1045</x:v>
      </x:c>
      <x:c r="K5280" s="274" t="n">
        <x:v>1263</x:v>
      </x:c>
      <x:c r="M5280" s="274" t="s">
        <x:v>9279</x:v>
      </x:c>
    </x:row>
    <x:row r="5281" spans="1:14">
      <x:c r="A5281" s="274" t="s">
        <x:v>9280</x:v>
      </x:c>
      <x:c r="B5281" s="274" t="n">
        <x:v>16.01</x:v>
      </x:c>
      <x:c r="C5281" s="274" t="n">
        <x:v>0</x:v>
      </x:c>
      <x:c r="D5281" s="274" t="n">
        <x:v>30</x:v>
      </x:c>
      <x:c r="E5281" s="274" t="n">
        <x:v>25</x:v>
      </x:c>
      <x:c r="F5281" s="274" t="s">
        <x:v>333</x:v>
      </x:c>
      <x:c r="G5281" s="274" t="s">
        <x:v>334</x:v>
      </x:c>
      <x:c r="I5281" s="274" t="n">
        <x:v>1.8</x:v>
      </x:c>
      <x:c r="J5281" s="274" t="n">
        <x:v>922</x:v>
      </x:c>
      <x:c r="K5281" s="274" t="n">
        <x:v>1229</x:v>
      </x:c>
      <x:c r="N5281" s="274" t="s">
        <x:v>299</x:v>
      </x:c>
    </x:row>
    <x:row r="5282" spans="1:14">
      <x:c r="A5282" s="274" t="s">
        <x:v>9281</x:v>
      </x:c>
      <x:c r="B5282" s="274" t="n">
        <x:v>19.4</x:v>
      </x:c>
      <x:c r="C5282" s="274" t="n">
        <x:v>0</x:v>
      </x:c>
      <x:c r="D5282" s="274" t="n">
        <x:v>30</x:v>
      </x:c>
      <x:c r="E5282" s="274" t="n">
        <x:v>37</x:v>
      </x:c>
      <x:c r="F5282" s="274" t="s">
        <x:v>133</x:v>
      </x:c>
      <x:c r="G5282" s="274" t="s">
        <x:v>148</x:v>
      </x:c>
      <x:c r="I5282" s="274" t="n">
        <x:v>3.2</x:v>
      </x:c>
      <x:c r="J5282" s="274" t="n">
        <x:v>975</x:v>
      </x:c>
      <x:c r="K5282" s="274" t="n">
        <x:v>792</x:v>
      </x:c>
      <x:c r="N5282" s="274" t="s">
        <x:v>155</x:v>
      </x:c>
    </x:row>
    <x:row r="5283" spans="1:14">
      <x:c r="A5283" s="274" t="s">
        <x:v>9282</x:v>
      </x:c>
      <x:c r="B5283" s="274" t="n">
        <x:v>18.81</x:v>
      </x:c>
      <x:c r="C5283" s="274" t="n">
        <x:v>0</x:v>
      </x:c>
      <x:c r="D5283" s="274" t="n">
        <x:v>30</x:v>
      </x:c>
      <x:c r="E5283" s="274" t="n">
        <x:v>37</x:v>
      </x:c>
      <x:c r="F5283" s="274" t="s">
        <x:v>133</x:v>
      </x:c>
      <x:c r="G5283" s="274" t="s">
        <x:v>148</x:v>
      </x:c>
      <x:c r="I5283" s="274" t="n">
        <x:v>3.2</x:v>
      </x:c>
      <x:c r="J5283" s="274" t="n">
        <x:v>975</x:v>
      </x:c>
      <x:c r="K5283" s="274" t="n">
        <x:v>768</x:v>
      </x:c>
      <x:c r="M5283" s="274" t="s">
        <x:v>9283</x:v>
      </x:c>
      <x:c r="N5283" s="274" t="s">
        <x:v>4250</x:v>
      </x:c>
    </x:row>
    <x:row r="5284" spans="1:14">
      <x:c r="A5284" s="274" t="s">
        <x:v>9284</x:v>
      </x:c>
      <x:c r="B5284" s="274" t="n">
        <x:v>7.43</x:v>
      </x:c>
      <x:c r="C5284" s="274" t="n">
        <x:v>0</x:v>
      </x:c>
      <x:c r="D5284" s="274" t="n">
        <x:v>32</x:v>
      </x:c>
      <x:c r="E5284" s="274" t="n">
        <x:v>29</x:v>
      </x:c>
      <x:c r="F5284" s="274" t="s">
        <x:v>133</x:v>
      </x:c>
      <x:c r="G5284" s="274" t="s">
        <x:v>136</x:v>
      </x:c>
      <x:c r="H5284" s="274" t="n">
        <x:v>45</x:v>
      </x:c>
      <x:c r="I5284" s="274" t="n">
        <x:v>0.6</x:v>
      </x:c>
      <x:c r="J5284" s="274" t="n">
        <x:v>1075</x:v>
      </x:c>
      <x:c r="K5284" s="274" t="n">
        <x:v>1440</x:v>
      </x:c>
      <x:c r="M5284" s="274" t="s">
        <x:v>9285</x:v>
      </x:c>
      <x:c r="N5284" s="274" t="s">
        <x:v>372</x:v>
      </x:c>
    </x:row>
    <x:row r="5285" spans="1:14">
      <x:c r="A5285" s="274" t="s">
        <x:v>9286</x:v>
      </x:c>
      <x:c r="B5285" s="274" t="n">
        <x:v>7.03</x:v>
      </x:c>
      <x:c r="C5285" s="274" t="n">
        <x:v>0</x:v>
      </x:c>
      <x:c r="D5285" s="274" t="n">
        <x:v>32</x:v>
      </x:c>
      <x:c r="E5285" s="274" t="n">
        <x:v>37</x:v>
      </x:c>
      <x:c r="F5285" s="274" t="s">
        <x:v>133</x:v>
      </x:c>
      <x:c r="G5285" s="274" t="s">
        <x:v>209</x:v>
      </x:c>
      <x:c r="I5285" s="274" t="n">
        <x:v>0.8</x:v>
      </x:c>
      <x:c r="J5285" s="274" t="n">
        <x:v>1120</x:v>
      </x:c>
      <x:c r="K5285" s="274" t="n">
        <x:v>1000</x:v>
      </x:c>
      <x:c r="N5285" s="274" t="s">
        <x:v>241</x:v>
      </x:c>
    </x:row>
    <x:row r="5286" spans="1:14">
      <x:c r="A5286" s="274" t="s">
        <x:v>9287</x:v>
      </x:c>
      <x:c r="B5286" s="274" t="n">
        <x:v>1.28</x:v>
      </x:c>
      <x:c r="C5286" s="274" t="n">
        <x:v>0</x:v>
      </x:c>
      <x:c r="D5286" s="274" t="n">
        <x:v>0</x:v>
      </x:c>
      <x:c r="E5286" s="274" t="n">
        <x:v>0</x:v>
      </x:c>
      <x:c r="F5286" s="274" t="s">
        <x:v>133</x:v>
      </x:c>
      <x:c r="G5286" s="274" t="s">
        <x:v>136</x:v>
      </x:c>
      <x:c r="H5286" s="274" t="n">
        <x:v>45</x:v>
      </x:c>
      <x:c r="I5286" s="274" t="n">
        <x:v>1.2</x:v>
      </x:c>
      <x:c r="J5286" s="274" t="n">
        <x:v>280</x:v>
      </x:c>
      <x:c r="K5286" s="274" t="n">
        <x:v>479</x:v>
      </x:c>
      <x:c r="M5286" s="274" t="s">
        <x:v>9288</x:v>
      </x:c>
    </x:row>
    <x:row r="5287" spans="1:14">
      <x:c r="A5287" s="274" t="s">
        <x:v>9289</x:v>
      </x:c>
      <x:c r="B5287" s="274" t="n">
        <x:v>15.89</x:v>
      </x:c>
      <x:c r="C5287" s="274" t="n">
        <x:v>0</x:v>
      </x:c>
      <x:c r="D5287" s="274" t="n">
        <x:v>30</x:v>
      </x:c>
      <x:c r="E5287" s="274" t="n">
        <x:v>31</x:v>
      </x:c>
      <x:c r="F5287" s="274" t="s">
        <x:v>123</x:v>
      </x:c>
      <x:c r="G5287" s="274" t="s">
        <x:v>153</x:v>
      </x:c>
      <x:c r="I5287" s="274" t="n">
        <x:v>2</x:v>
      </x:c>
      <x:c r="J5287" s="274" t="n">
        <x:v>1100</x:v>
      </x:c>
      <x:c r="K5287" s="274" t="n">
        <x:v>920</x:v>
      </x:c>
      <x:c r="N5287" s="274" t="s">
        <x:v>131</x:v>
      </x:c>
    </x:row>
    <x:row r="5288" spans="1:14">
      <x:c r="A5288" s="274" t="s">
        <x:v>9290</x:v>
      </x:c>
      <x:c r="B5288" s="274" t="n">
        <x:v>5.76</x:v>
      </x:c>
      <x:c r="C5288" s="274" t="n">
        <x:v>0</x:v>
      </x:c>
      <x:c r="D5288" s="274" t="n">
        <x:v>32</x:v>
      </x:c>
      <x:c r="E5288" s="274" t="n">
        <x:v>37</x:v>
      </x:c>
      <x:c r="F5288" s="274" t="s">
        <x:v>133</x:v>
      </x:c>
      <x:c r="G5288" s="274" t="s">
        <x:v>136</x:v>
      </x:c>
      <x:c r="H5288" s="274" t="n">
        <x:v>45</x:v>
      </x:c>
      <x:c r="I5288" s="274" t="n">
        <x:v>0.75</x:v>
      </x:c>
      <x:c r="J5288" s="274" t="n">
        <x:v>935</x:v>
      </x:c>
      <x:c r="K5288" s="274" t="n">
        <x:v>1030</x:v>
      </x:c>
      <x:c r="M5288" s="274" t="s">
        <x:v>9291</x:v>
      </x:c>
      <x:c r="N5288" s="274" t="s">
        <x:v>126</x:v>
      </x:c>
    </x:row>
    <x:row r="5289" spans="1:14">
      <x:c r="A5289" s="274" t="s">
        <x:v>9292</x:v>
      </x:c>
      <x:c r="B5289" s="274" t="n">
        <x:v>7.17</x:v>
      </x:c>
      <x:c r="C5289" s="274" t="n">
        <x:v>0</x:v>
      </x:c>
      <x:c r="D5289" s="274" t="n">
        <x:v>26</x:v>
      </x:c>
      <x:c r="E5289" s="274" t="n">
        <x:v>40</x:v>
      </x:c>
      <x:c r="F5289" s="274" t="s">
        <x:v>133</x:v>
      </x:c>
      <x:c r="G5289" s="274" t="s">
        <x:v>136</x:v>
      </x:c>
      <x:c r="H5289" s="274" t="n">
        <x:v>45</x:v>
      </x:c>
      <x:c r="I5289" s="274" t="n">
        <x:v>1.6</x:v>
      </x:c>
      <x:c r="J5289" s="274" t="n">
        <x:v>810</x:v>
      </x:c>
      <x:c r="K5289" s="274" t="n">
        <x:v>700</x:v>
      </x:c>
      <x:c r="N5289" s="274" t="s">
        <x:v>465</x:v>
      </x:c>
    </x:row>
    <x:row r="5290" spans="1:14">
      <x:c r="A5290" s="274" t="s">
        <x:v>9293</x:v>
      </x:c>
      <x:c r="B5290" s="274" t="n">
        <x:v>3.33</x:v>
      </x:c>
      <x:c r="C5290" s="274" t="n">
        <x:v>0</x:v>
      </x:c>
      <x:c r="D5290" s="274" t="n">
        <x:v>32</x:v>
      </x:c>
      <x:c r="E5290" s="274" t="n">
        <x:v>40</x:v>
      </x:c>
      <x:c r="F5290" s="274" t="s">
        <x:v>133</x:v>
      </x:c>
      <x:c r="G5290" s="274" t="s">
        <x:v>209</x:v>
      </x:c>
      <x:c r="I5290" s="274" t="n">
        <x:v>0.8</x:v>
      </x:c>
      <x:c r="J5290" s="274" t="n">
        <x:v>1120</x:v>
      </x:c>
      <x:c r="K5290" s="274" t="n">
        <x:v>473</x:v>
      </x:c>
      <x:c r="N5290" s="274" t="s">
        <x:v>241</x:v>
      </x:c>
    </x:row>
    <x:row r="5291" spans="1:14">
      <x:c r="A5291" s="274" t="s">
        <x:v>9294</x:v>
      </x:c>
      <x:c r="B5291" s="274" t="n">
        <x:v>5.19</x:v>
      </x:c>
      <x:c r="C5291" s="274" t="n">
        <x:v>0</x:v>
      </x:c>
      <x:c r="D5291" s="274" t="n">
        <x:v>32</x:v>
      </x:c>
      <x:c r="E5291" s="274" t="n">
        <x:v>40</x:v>
      </x:c>
      <x:c r="F5291" s="274" t="s">
        <x:v>133</x:v>
      </x:c>
      <x:c r="G5291" s="274" t="s">
        <x:v>209</x:v>
      </x:c>
      <x:c r="I5291" s="274" t="n">
        <x:v>1.2</x:v>
      </x:c>
      <x:c r="J5291" s="274" t="n">
        <x:v>1135</x:v>
      </x:c>
      <x:c r="K5291" s="274" t="n">
        <x:v>485</x:v>
      </x:c>
    </x:row>
    <x:row r="5292" spans="1:14">
      <x:c r="A5292" s="274" t="s">
        <x:v>9295</x:v>
      </x:c>
      <x:c r="B5292" s="274" t="n">
        <x:v>9.84</x:v>
      </x:c>
      <x:c r="C5292" s="274" t="n">
        <x:v>0</x:v>
      </x:c>
      <x:c r="D5292" s="274" t="n">
        <x:v>30</x:v>
      </x:c>
      <x:c r="E5292" s="274" t="n">
        <x:v>40</x:v>
      </x:c>
      <x:c r="F5292" s="274" t="s">
        <x:v>133</x:v>
      </x:c>
      <x:c r="G5292" s="274" t="s">
        <x:v>134</x:v>
      </x:c>
      <x:c r="I5292" s="274" t="n">
        <x:v>2.3</x:v>
      </x:c>
      <x:c r="J5292" s="274" t="n">
        <x:v>1185</x:v>
      </x:c>
      <x:c r="K5292" s="274" t="n">
        <x:v>460</x:v>
      </x:c>
      <x:c r="M5292" s="274" t="s">
        <x:v>9296</x:v>
      </x:c>
    </x:row>
    <x:row r="5293" spans="1:14">
      <x:c r="A5293" s="274" t="s">
        <x:v>9297</x:v>
      </x:c>
      <x:c r="B5293" s="274" t="n">
        <x:v>4.61</x:v>
      </x:c>
      <x:c r="C5293" s="274" t="n">
        <x:v>0</x:v>
      </x:c>
      <x:c r="D5293" s="274" t="n">
        <x:v>35</x:v>
      </x:c>
      <x:c r="E5293" s="274" t="n">
        <x:v>0</x:v>
      </x:c>
      <x:c r="F5293" s="274" t="s">
        <x:v>128</x:v>
      </x:c>
      <x:c r="G5293" s="274" t="s">
        <x:v>136</x:v>
      </x:c>
      <x:c r="H5293" s="274" t="s">
        <x:v>397</x:v>
      </x:c>
      <x:c r="I5293" s="274" t="n">
        <x:v>0.75</x:v>
      </x:c>
      <x:c r="J5293" s="274" t="n">
        <x:v>1675</x:v>
      </x:c>
      <x:c r="K5293" s="274" t="n">
        <x:v>460</x:v>
      </x:c>
    </x:row>
    <x:row r="5294" spans="1:14">
      <x:c r="A5294" s="274" t="s">
        <x:v>9298</x:v>
      </x:c>
      <x:c r="B5294" s="274" t="n">
        <x:v>27.36</x:v>
      </x:c>
      <x:c r="C5294" s="274" t="n">
        <x:v>0</x:v>
      </x:c>
      <x:c r="D5294" s="274" t="n">
        <x:v>30</x:v>
      </x:c>
      <x:c r="E5294" s="274" t="n">
        <x:v>26</x:v>
      </x:c>
      <x:c r="F5294" s="274" t="s">
        <x:v>133</x:v>
      </x:c>
      <x:c r="G5294" s="274" t="s">
        <x:v>134</x:v>
      </x:c>
      <x:c r="I5294" s="274" t="n">
        <x:v>3.2</x:v>
      </x:c>
      <x:c r="J5294" s="274" t="n">
        <x:v>990</x:v>
      </x:c>
      <x:c r="K5294" s="274" t="n">
        <x:v>1100</x:v>
      </x:c>
    </x:row>
    <x:row r="5295" spans="1:14">
      <x:c r="A5295" s="274" t="s">
        <x:v>9299</x:v>
      </x:c>
      <x:c r="B5295" s="274" t="n">
        <x:v>9.24</x:v>
      </x:c>
      <x:c r="C5295" s="274" t="n">
        <x:v>0</x:v>
      </x:c>
      <x:c r="D5295" s="274" t="n">
        <x:v>32</x:v>
      </x:c>
      <x:c r="E5295" s="274" t="n">
        <x:v>40</x:v>
      </x:c>
      <x:c r="F5295" s="274" t="s">
        <x:v>133</x:v>
      </x:c>
      <x:c r="G5295" s="274" t="s">
        <x:v>209</x:v>
      </x:c>
      <x:c r="I5295" s="274" t="n">
        <x:v>1.2</x:v>
      </x:c>
      <x:c r="J5295" s="274" t="n">
        <x:v>1135</x:v>
      </x:c>
      <x:c r="K5295" s="274" t="n">
        <x:v>864</x:v>
      </x:c>
      <x:c r="N5295" s="274" t="s">
        <x:v>2111</x:v>
      </x:c>
    </x:row>
    <x:row r="5296" spans="1:14">
      <x:c r="A5296" s="274" t="s">
        <x:v>9300</x:v>
      </x:c>
      <x:c r="B5296" s="274" t="n">
        <x:v>9.25</x:v>
      </x:c>
      <x:c r="C5296" s="274" t="n">
        <x:v>0</x:v>
      </x:c>
      <x:c r="D5296" s="274" t="n">
        <x:v>32</x:v>
      </x:c>
      <x:c r="E5296" s="274" t="n">
        <x:v>40</x:v>
      </x:c>
      <x:c r="F5296" s="274" t="s">
        <x:v>133</x:v>
      </x:c>
      <x:c r="G5296" s="274" t="s">
        <x:v>209</x:v>
      </x:c>
      <x:c r="I5296" s="274" t="n">
        <x:v>1.2</x:v>
      </x:c>
      <x:c r="J5296" s="274" t="n">
        <x:v>1135</x:v>
      </x:c>
      <x:c r="K5296" s="274" t="n">
        <x:v>865</x:v>
      </x:c>
      <x:c r="N5296" s="274" t="s">
        <x:v>2111</x:v>
      </x:c>
    </x:row>
    <x:row r="5297" spans="1:14">
      <x:c r="A5297" s="274" t="s">
        <x:v>9301</x:v>
      </x:c>
      <x:c r="B5297" s="274" t="n">
        <x:v>9.86</x:v>
      </x:c>
      <x:c r="C5297" s="274" t="n">
        <x:v>0</x:v>
      </x:c>
      <x:c r="D5297" s="274" t="n">
        <x:v>32</x:v>
      </x:c>
      <x:c r="E5297" s="274" t="n">
        <x:v>35</x:v>
      </x:c>
      <x:c r="F5297" s="274" t="s">
        <x:v>133</x:v>
      </x:c>
      <x:c r="G5297" s="274" t="s">
        <x:v>136</x:v>
      </x:c>
      <x:c r="H5297" s="274" t="n">
        <x:v>45</x:v>
      </x:c>
      <x:c r="I5297" s="274" t="n">
        <x:v>1.2</x:v>
      </x:c>
      <x:c r="J5297" s="274" t="n">
        <x:v>877</x:v>
      </x:c>
      <x:c r="K5297" s="274" t="n">
        <x:v>1182</x:v>
      </x:c>
      <x:c r="N5297" s="274" t="s">
        <x:v>421</x:v>
      </x:c>
    </x:row>
    <x:row r="5298" spans="1:14">
      <x:c r="A5298" s="274" t="s">
        <x:v>9302</x:v>
      </x:c>
      <x:c r="B5298" s="274" t="n">
        <x:v>9.65</x:v>
      </x:c>
      <x:c r="C5298" s="274" t="n">
        <x:v>0</x:v>
      </x:c>
      <x:c r="D5298" s="274" t="n">
        <x:v>30</x:v>
      </x:c>
      <x:c r="E5298" s="274" t="n">
        <x:v>40</x:v>
      </x:c>
      <x:c r="F5298" s="274" t="s">
        <x:v>128</x:v>
      </x:c>
      <x:c r="G5298" s="274" t="s">
        <x:v>437</x:v>
      </x:c>
      <x:c r="I5298" s="274" t="n">
        <x:v>2</x:v>
      </x:c>
      <x:c r="J5298" s="274" t="n">
        <x:v>1115</x:v>
      </x:c>
      <x:c r="K5298" s="274" t="n">
        <x:v>551</x:v>
      </x:c>
      <x:c r="N5298" s="274" t="s">
        <x:v>155</x:v>
      </x:c>
    </x:row>
    <x:row r="5299" spans="1:14">
      <x:c r="A5299" s="274" t="s">
        <x:v>9303</x:v>
      </x:c>
      <x:c r="B5299" s="274" t="n">
        <x:v>13.34</x:v>
      </x:c>
      <x:c r="C5299" s="274" t="n">
        <x:v>0</x:v>
      </x:c>
      <x:c r="D5299" s="274" t="n">
        <x:v>32</x:v>
      </x:c>
      <x:c r="E5299" s="274" t="n">
        <x:v>35</x:v>
      </x:c>
      <x:c r="F5299" s="274" t="s">
        <x:v>123</x:v>
      </x:c>
      <x:c r="G5299" s="274" t="s">
        <x:v>209</x:v>
      </x:c>
      <x:c r="I5299" s="274" t="n">
        <x:v>1.2</x:v>
      </x:c>
      <x:c r="J5299" s="274" t="n">
        <x:v>1200</x:v>
      </x:c>
      <x:c r="K5299" s="274" t="n">
        <x:v>1180</x:v>
      </x:c>
      <x:c r="N5299" s="274" t="s">
        <x:v>229</x:v>
      </x:c>
    </x:row>
    <x:row r="5300" spans="1:14">
      <x:c r="A5300" s="274" t="s">
        <x:v>9304</x:v>
      </x:c>
      <x:c r="B5300" s="274" t="n">
        <x:v>6.81</x:v>
      </x:c>
      <x:c r="C5300" s="274" t="n">
        <x:v>0</x:v>
      </x:c>
      <x:c r="D5300" s="274" t="n">
        <x:v>32</x:v>
      </x:c>
      <x:c r="E5300" s="274" t="n">
        <x:v>40</x:v>
      </x:c>
      <x:c r="F5300" s="274" t="s">
        <x:v>123</x:v>
      </x:c>
      <x:c r="G5300" s="274" t="s">
        <x:v>209</x:v>
      </x:c>
      <x:c r="I5300" s="274" t="n">
        <x:v>1.2</x:v>
      </x:c>
      <x:c r="J5300" s="274" t="n">
        <x:v>1200</x:v>
      </x:c>
      <x:c r="K5300" s="274" t="n">
        <x:v>602</x:v>
      </x:c>
      <x:c r="N5300" s="274" t="s">
        <x:v>229</x:v>
      </x:c>
    </x:row>
    <x:row r="5301" spans="1:14">
      <x:c r="A5301" s="274" t="s">
        <x:v>9305</x:v>
      </x:c>
      <x:c r="B5301" s="274" t="n">
        <x:v>18.31</x:v>
      </x:c>
      <x:c r="C5301" s="274" t="n">
        <x:v>0</x:v>
      </x:c>
      <x:c r="D5301" s="274" t="n">
        <x:v>30</x:v>
      </x:c>
      <x:c r="E5301" s="274" t="n">
        <x:v>26</x:v>
      </x:c>
      <x:c r="F5301" s="274" t="s">
        <x:v>133</x:v>
      </x:c>
      <x:c r="G5301" s="274" t="s">
        <x:v>134</x:v>
      </x:c>
      <x:c r="I5301" s="274" t="n">
        <x:v>2</x:v>
      </x:c>
      <x:c r="J5301" s="274" t="n">
        <x:v>1050</x:v>
      </x:c>
      <x:c r="K5301" s="274" t="n">
        <x:v>1110</x:v>
      </x:c>
      <x:c r="M5301" s="274" t="s">
        <x:v>9306</x:v>
      </x:c>
      <x:c r="N5301" s="274" t="s">
        <x:v>299</x:v>
      </x:c>
    </x:row>
    <x:row r="5302" spans="1:14">
      <x:c r="A5302" s="274" t="s">
        <x:v>9307</x:v>
      </x:c>
      <x:c r="B5302" s="274" t="n">
        <x:v>14.48</x:v>
      </x:c>
      <x:c r="C5302" s="274" t="n">
        <x:v>0</x:v>
      </x:c>
      <x:c r="D5302" s="274" t="n">
        <x:v>30</x:v>
      </x:c>
      <x:c r="E5302" s="274" t="n">
        <x:v>35</x:v>
      </x:c>
      <x:c r="F5302" s="274" t="s">
        <x:v>133</x:v>
      </x:c>
      <x:c r="G5302" s="274" t="s">
        <x:v>134</x:v>
      </x:c>
      <x:c r="I5302" s="274" t="n">
        <x:v>1.6</x:v>
      </x:c>
      <x:c r="J5302" s="274" t="n">
        <x:v>1020</x:v>
      </x:c>
      <x:c r="K5302" s="274" t="n">
        <x:v>1130</x:v>
      </x:c>
      <x:c r="N5302" s="274" t="s">
        <x:v>299</x:v>
      </x:c>
    </x:row>
    <x:row r="5303" spans="1:14">
      <x:c r="A5303" s="274" t="s">
        <x:v>9308</x:v>
      </x:c>
      <x:c r="B5303" s="274" t="n">
        <x:v>1.5</x:v>
      </x:c>
      <x:c r="C5303" s="274" t="n">
        <x:v>0</x:v>
      </x:c>
      <x:c r="D5303" s="274" t="n">
        <x:v>0</x:v>
      </x:c>
      <x:c r="E5303" s="274" t="n">
        <x:v>0</x:v>
      </x:c>
      <x:c r="F5303" s="274" t="s">
        <x:v>123</x:v>
      </x:c>
      <x:c r="G5303" s="274" t="s">
        <x:v>209</x:v>
      </x:c>
      <x:c r="I5303" s="274" t="n">
        <x:v>2.3</x:v>
      </x:c>
      <x:c r="J5303" s="274" t="n">
        <x:v>155</x:v>
      </x:c>
      <x:c r="K5303" s="274" t="n">
        <x:v>535</x:v>
      </x:c>
      <x:c r="M5303" s="274" t="s">
        <x:v>923</x:v>
      </x:c>
      <x:c r="N5303" s="274" t="s">
        <x:v>9309</x:v>
      </x:c>
    </x:row>
    <x:row r="5304" spans="1:14">
      <x:c r="A5304" s="274" t="s">
        <x:v>9310</x:v>
      </x:c>
      <x:c r="B5304" s="274" t="n">
        <x:v>5.65</x:v>
      </x:c>
      <x:c r="C5304" s="274" t="n">
        <x:v>0</x:v>
      </x:c>
      <x:c r="D5304" s="274" t="n">
        <x:v>32</x:v>
      </x:c>
      <x:c r="E5304" s="274" t="n">
        <x:v>40</x:v>
      </x:c>
      <x:c r="F5304" s="274" t="s">
        <x:v>123</x:v>
      </x:c>
      <x:c r="G5304" s="274" t="s">
        <x:v>209</x:v>
      </x:c>
      <x:c r="I5304" s="274" t="n">
        <x:v>1.2</x:v>
      </x:c>
      <x:c r="J5304" s="274" t="n">
        <x:v>1200</x:v>
      </x:c>
      <x:c r="K5304" s="274" t="n">
        <x:v>500</x:v>
      </x:c>
      <x:c r="N5304" s="274" t="s">
        <x:v>421</x:v>
      </x:c>
    </x:row>
    <x:row r="5305" spans="1:14">
      <x:c r="A5305" s="274" t="s">
        <x:v>9311</x:v>
      </x:c>
      <x:c r="B5305" s="274" t="n">
        <x:v>0.85</x:v>
      </x:c>
      <x:c r="C5305" s="274" t="n">
        <x:v>0</x:v>
      </x:c>
      <x:c r="D5305" s="274" t="n">
        <x:v>0</x:v>
      </x:c>
      <x:c r="E5305" s="274" t="n">
        <x:v>0</x:v>
      </x:c>
      <x:c r="F5305" s="274" t="s">
        <x:v>133</x:v>
      </x:c>
      <x:c r="G5305" s="274" t="s">
        <x:v>136</x:v>
      </x:c>
      <x:c r="H5305" s="274" t="n">
        <x:v>45</x:v>
      </x:c>
      <x:c r="I5305" s="274" t="n">
        <x:v>0.65</x:v>
      </x:c>
      <x:c r="J5305" s="274" t="n">
        <x:v>209</x:v>
      </x:c>
      <x:c r="K5305" s="274" t="n">
        <x:v>780</x:v>
      </x:c>
      <x:c r="M5305" s="274" t="s">
        <x:v>9312</x:v>
      </x:c>
      <x:c r="N5305" s="274" t="s">
        <x:v>202</x:v>
      </x:c>
    </x:row>
    <x:row r="5306" spans="1:14">
      <x:c r="A5306" s="274" t="s">
        <x:v>9313</x:v>
      </x:c>
      <x:c r="B5306" s="274" t="n">
        <x:v>22.56</x:v>
      </x:c>
      <x:c r="C5306" s="274" t="n">
        <x:v>0</x:v>
      </x:c>
      <x:c r="D5306" s="274" t="n">
        <x:v>30</x:v>
      </x:c>
      <x:c r="E5306" s="274" t="n">
        <x:v>25</x:v>
      </x:c>
      <x:c r="F5306" s="274" t="s">
        <x:v>133</x:v>
      </x:c>
      <x:c r="G5306" s="274" t="s">
        <x:v>148</x:v>
      </x:c>
      <x:c r="I5306" s="274" t="n">
        <x:v>2</x:v>
      </x:c>
      <x:c r="J5306" s="274" t="n">
        <x:v>1110</x:v>
      </x:c>
      <x:c r="K5306" s="274" t="n">
        <x:v>1295</x:v>
      </x:c>
      <x:c r="N5306" s="274" t="s">
        <x:v>299</x:v>
      </x:c>
    </x:row>
    <x:row r="5307" spans="1:14">
      <x:c r="A5307" s="274" t="s">
        <x:v>9314</x:v>
      </x:c>
      <x:c r="B5307" s="274" t="n">
        <x:v>6.05</x:v>
      </x:c>
      <x:c r="C5307" s="274" t="n">
        <x:v>0</x:v>
      </x:c>
      <x:c r="D5307" s="274" t="n">
        <x:v>32</x:v>
      </x:c>
      <x:c r="E5307" s="274" t="n">
        <x:v>40</x:v>
      </x:c>
      <x:c r="F5307" s="274" t="s">
        <x:v>133</x:v>
      </x:c>
      <x:c r="G5307" s="274" t="s">
        <x:v>209</x:v>
      </x:c>
      <x:c r="I5307" s="274" t="n">
        <x:v>0.8</x:v>
      </x:c>
      <x:c r="J5307" s="274" t="n">
        <x:v>1120</x:v>
      </x:c>
      <x:c r="K5307" s="274" t="n">
        <x:v>860</x:v>
      </x:c>
      <x:c r="M5307" s="274" t="s">
        <x:v>9315</x:v>
      </x:c>
      <x:c r="N5307" s="274" t="s">
        <x:v>4250</x:v>
      </x:c>
    </x:row>
    <x:row r="5308" spans="1:14">
      <x:c r="A5308" s="274" t="s">
        <x:v>9316</x:v>
      </x:c>
      <x:c r="B5308" s="274" t="n">
        <x:v>14.71</x:v>
      </x:c>
      <x:c r="C5308" s="274" t="n">
        <x:v>0</x:v>
      </x:c>
      <x:c r="D5308" s="274" t="n">
        <x:v>32</x:v>
      </x:c>
      <x:c r="E5308" s="274" t="n">
        <x:v>32</x:v>
      </x:c>
      <x:c r="F5308" s="274" t="s">
        <x:v>333</x:v>
      </x:c>
      <x:c r="G5308" s="274" t="s">
        <x:v>209</x:v>
      </x:c>
      <x:c r="I5308" s="274" t="n">
        <x:v>1.2</x:v>
      </x:c>
      <x:c r="J5308" s="274" t="n">
        <x:v>1250</x:v>
      </x:c>
      <x:c r="K5308" s="274" t="n">
        <x:v>1250</x:v>
      </x:c>
    </x:row>
    <x:row r="5309" spans="1:14">
      <x:c r="A5309" s="274" t="s">
        <x:v>9317</x:v>
      </x:c>
      <x:c r="B5309" s="274" t="n">
        <x:v>9.67</x:v>
      </x:c>
      <x:c r="C5309" s="274" t="n">
        <x:v>0</x:v>
      </x:c>
      <x:c r="D5309" s="274" t="n">
        <x:v>30</x:v>
      </x:c>
      <x:c r="E5309" s="274" t="n">
        <x:v>40</x:v>
      </x:c>
      <x:c r="F5309" s="274" t="s">
        <x:v>133</x:v>
      </x:c>
      <x:c r="G5309" s="274" t="s">
        <x:v>134</x:v>
      </x:c>
      <x:c r="I5309" s="274" t="n">
        <x:v>2.3</x:v>
      </x:c>
      <x:c r="J5309" s="274" t="n">
        <x:v>1010</x:v>
      </x:c>
      <x:c r="K5309" s="274" t="n">
        <x:v>530</x:v>
      </x:c>
      <x:c r="N5309" s="274" t="s">
        <x:v>155</x:v>
      </x:c>
    </x:row>
    <x:row r="5310" spans="1:14">
      <x:c r="A5310" s="274" t="s">
        <x:v>9318</x:v>
      </x:c>
      <x:c r="B5310" s="274" t="n">
        <x:v>6.71</x:v>
      </x:c>
      <x:c r="C5310" s="274" t="n">
        <x:v>0</x:v>
      </x:c>
      <x:c r="D5310" s="274" t="n">
        <x:v>30</x:v>
      </x:c>
      <x:c r="E5310" s="274" t="n">
        <x:v>40</x:v>
      </x:c>
      <x:c r="F5310" s="274" t="s">
        <x:v>133</x:v>
      </x:c>
      <x:c r="G5310" s="274" t="s">
        <x:v>144</x:v>
      </x:c>
      <x:c r="H5310" s="274" t="n">
        <x:v>45</x:v>
      </x:c>
      <x:c r="I5310" s="274" t="n">
        <x:v>1.4</x:v>
      </x:c>
      <x:c r="J5310" s="274" t="n">
        <x:v>890</x:v>
      </x:c>
      <x:c r="K5310" s="274" t="n">
        <x:v>680</x:v>
      </x:c>
      <x:c r="N5310" s="274" t="s">
        <x:v>299</x:v>
      </x:c>
    </x:row>
    <x:row r="5311" spans="1:14">
      <x:c r="A5311" s="274" t="s">
        <x:v>9319</x:v>
      </x:c>
      <x:c r="B5311" s="274" t="n">
        <x:v>2.79</x:v>
      </x:c>
      <x:c r="C5311" s="274" t="n">
        <x:v>0</x:v>
      </x:c>
      <x:c r="D5311" s="274" t="n">
        <x:v>32</x:v>
      </x:c>
      <x:c r="E5311" s="274" t="n">
        <x:v>40</x:v>
      </x:c>
      <x:c r="F5311" s="274" t="s">
        <x:v>133</x:v>
      </x:c>
      <x:c r="G5311" s="274" t="s">
        <x:v>136</x:v>
      </x:c>
      <x:c r="H5311" s="274" t="n">
        <x:v>45</x:v>
      </x:c>
      <x:c r="I5311" s="274" t="n">
        <x:v>0.6</x:v>
      </x:c>
      <x:c r="J5311" s="274" t="n">
        <x:v>1075</x:v>
      </x:c>
      <x:c r="K5311" s="274" t="n">
        <x:v>540</x:v>
      </x:c>
      <x:c r="N5311" s="274" t="s">
        <x:v>155</x:v>
      </x:c>
    </x:row>
    <x:row r="5312" spans="1:14">
      <x:c r="A5312" s="274" t="s">
        <x:v>9320</x:v>
      </x:c>
      <x:c r="B5312" s="274" t="n">
        <x:v>4.65</x:v>
      </x:c>
      <x:c r="C5312" s="274" t="n">
        <x:v>0</x:v>
      </x:c>
      <x:c r="D5312" s="274" t="n">
        <x:v>32</x:v>
      </x:c>
      <x:c r="E5312" s="274" t="n">
        <x:v>40</x:v>
      </x:c>
      <x:c r="F5312" s="274" t="s">
        <x:v>133</x:v>
      </x:c>
      <x:c r="G5312" s="274" t="s">
        <x:v>144</x:v>
      </x:c>
      <x:c r="H5312" s="274" t="n">
        <x:v>45</x:v>
      </x:c>
      <x:c r="I5312" s="274" t="n">
        <x:v>1.2</x:v>
      </x:c>
      <x:c r="J5312" s="274" t="n">
        <x:v>1210</x:v>
      </x:c>
      <x:c r="K5312" s="274" t="n">
        <x:v>404</x:v>
      </x:c>
      <x:c r="N5312" s="274" t="s">
        <x:v>299</x:v>
      </x:c>
    </x:row>
    <x:row r="5313" spans="1:14">
      <x:c r="A5313" s="274" t="s">
        <x:v>9321</x:v>
      </x:c>
      <x:c r="B5313" s="274" t="n">
        <x:v>6.4</x:v>
      </x:c>
      <x:c r="C5313" s="274" t="n">
        <x:v>0</x:v>
      </x:c>
      <x:c r="D5313" s="274" t="n">
        <x:v>32</x:v>
      </x:c>
      <x:c r="E5313" s="274" t="n">
        <x:v>40</x:v>
      </x:c>
      <x:c r="F5313" s="274" t="s">
        <x:v>133</x:v>
      </x:c>
      <x:c r="G5313" s="274" t="s">
        <x:v>144</x:v>
      </x:c>
      <x:c r="H5313" s="274" t="n">
        <x:v>45</x:v>
      </x:c>
      <x:c r="I5313" s="274" t="n">
        <x:v>1.2</x:v>
      </x:c>
      <x:c r="J5313" s="274" t="n">
        <x:v>1210</x:v>
      </x:c>
      <x:c r="K5313" s="274" t="n">
        <x:v>556</x:v>
      </x:c>
      <x:c r="N5313" s="274" t="s">
        <x:v>299</x:v>
      </x:c>
    </x:row>
    <x:row r="5314" spans="1:14">
      <x:c r="A5314" s="274" t="s">
        <x:v>9322</x:v>
      </x:c>
      <x:c r="B5314" s="274" t="n">
        <x:v>19.94</x:v>
      </x:c>
      <x:c r="C5314" s="274" t="n">
        <x:v>0</x:v>
      </x:c>
      <x:c r="D5314" s="274" t="n">
        <x:v>30</x:v>
      </x:c>
      <x:c r="E5314" s="274" t="n">
        <x:v>25</x:v>
      </x:c>
      <x:c r="F5314" s="274" t="s">
        <x:v>133</x:v>
      </x:c>
      <x:c r="G5314" s="274" t="s">
        <x:v>134</x:v>
      </x:c>
      <x:c r="I5314" s="274" t="n">
        <x:v>2</x:v>
      </x:c>
      <x:c r="J5314" s="274" t="n">
        <x:v>1050</x:v>
      </x:c>
      <x:c r="K5314" s="274" t="n">
        <x:v>1210</x:v>
      </x:c>
      <x:c r="N5314" s="274" t="s">
        <x:v>299</x:v>
      </x:c>
    </x:row>
    <x:row r="5315" spans="1:14">
      <x:c r="A5315" s="274" t="s">
        <x:v>9323</x:v>
      </x:c>
      <x:c r="B5315" s="274" t="n">
        <x:v>32.73</x:v>
      </x:c>
      <x:c r="C5315" s="274" t="n">
        <x:v>0</x:v>
      </x:c>
      <x:c r="D5315" s="274" t="n">
        <x:v>30</x:v>
      </x:c>
      <x:c r="E5315" s="274" t="n">
        <x:v>26</x:v>
      </x:c>
      <x:c r="F5315" s="274" t="s">
        <x:v>133</x:v>
      </x:c>
      <x:c r="G5315" s="274" t="s">
        <x:v>148</x:v>
      </x:c>
      <x:c r="I5315" s="274" t="n">
        <x:v>3.2</x:v>
      </x:c>
      <x:c r="J5315" s="274" t="n">
        <x:v>1095</x:v>
      </x:c>
      <x:c r="K5315" s="274" t="n">
        <x:v>1190</x:v>
      </x:c>
      <x:c r="N5315" s="274" t="s">
        <x:v>126</x:v>
      </x:c>
    </x:row>
    <x:row r="5316" spans="1:14">
      <x:c r="A5316" s="274" t="s">
        <x:v>9324</x:v>
      </x:c>
      <x:c r="B5316" s="274" t="n">
        <x:v>2.57</x:v>
      </x:c>
      <x:c r="C5316" s="274" t="n">
        <x:v>0</x:v>
      </x:c>
      <x:c r="D5316" s="274" t="n">
        <x:v>32</x:v>
      </x:c>
      <x:c r="E5316" s="274" t="n">
        <x:v>40</x:v>
      </x:c>
      <x:c r="F5316" s="274" t="s">
        <x:v>133</x:v>
      </x:c>
      <x:c r="G5316" s="274" t="s">
        <x:v>136</x:v>
      </x:c>
      <x:c r="H5316" s="274" t="n">
        <x:v>45</x:v>
      </x:c>
      <x:c r="I5316" s="274" t="n">
        <x:v>0.75</x:v>
      </x:c>
      <x:c r="J5316" s="274" t="n">
        <x:v>935</x:v>
      </x:c>
      <x:c r="K5316" s="274" t="n">
        <x:v>460</x:v>
      </x:c>
      <x:c r="N5316" s="274" t="s">
        <x:v>441</x:v>
      </x:c>
    </x:row>
    <x:row r="5317" spans="1:14">
      <x:c r="A5317" s="274" t="s">
        <x:v>9325</x:v>
      </x:c>
      <x:c r="B5317" s="274" t="n">
        <x:v>11.78</x:v>
      </x:c>
      <x:c r="C5317" s="274" t="n">
        <x:v>0</x:v>
      </x:c>
      <x:c r="D5317" s="274" t="n">
        <x:v>32</x:v>
      </x:c>
      <x:c r="E5317" s="274" t="n">
        <x:v>32</x:v>
      </x:c>
      <x:c r="F5317" s="274" t="s">
        <x:v>333</x:v>
      </x:c>
      <x:c r="G5317" s="274" t="s">
        <x:v>209</x:v>
      </x:c>
      <x:c r="I5317" s="274" t="n">
        <x:v>1</x:v>
      </x:c>
      <x:c r="J5317" s="274" t="n">
        <x:v>1200</x:v>
      </x:c>
      <x:c r="K5317" s="274" t="n">
        <x:v>1250</x:v>
      </x:c>
      <x:c r="N5317" s="274" t="s">
        <x:v>870</x:v>
      </x:c>
    </x:row>
    <x:row r="5318" spans="1:14">
      <x:c r="A5318" s="274" t="s">
        <x:v>9326</x:v>
      </x:c>
      <x:c r="B5318" s="274" t="n">
        <x:v>3.72</x:v>
      </x:c>
      <x:c r="C5318" s="274" t="n">
        <x:v>0</x:v>
      </x:c>
      <x:c r="D5318" s="274" t="n">
        <x:v>0</x:v>
      </x:c>
      <x:c r="E5318" s="274" t="n">
        <x:v>0</x:v>
      </x:c>
      <x:c r="F5318" s="274" t="s">
        <x:v>133</x:v>
      </x:c>
      <x:c r="G5318" s="274" t="s">
        <x:v>148</x:v>
      </x:c>
      <x:c r="I5318" s="274" t="n">
        <x:v>2.3</x:v>
      </x:c>
      <x:c r="J5318" s="274" t="n">
        <x:v>165</x:v>
      </x:c>
      <x:c r="K5318" s="274" t="n">
        <x:v>1250</x:v>
      </x:c>
      <x:c r="M5318" s="274" t="s">
        <x:v>9327</x:v>
      </x:c>
    </x:row>
    <x:row r="5319" spans="1:14">
      <x:c r="A5319" s="274" t="s">
        <x:v>9328</x:v>
      </x:c>
      <x:c r="B5319" s="274" t="n">
        <x:v>2.99</x:v>
      </x:c>
      <x:c r="C5319" s="274" t="n">
        <x:v>0</x:v>
      </x:c>
      <x:c r="D5319" s="274" t="n">
        <x:v>32</x:v>
      </x:c>
      <x:c r="E5319" s="274" t="n">
        <x:v>40</x:v>
      </x:c>
      <x:c r="F5319" s="274" t="s">
        <x:v>133</x:v>
      </x:c>
      <x:c r="G5319" s="274" t="s">
        <x:v>136</x:v>
      </x:c>
      <x:c r="H5319" s="274" t="n">
        <x:v>45</x:v>
      </x:c>
      <x:c r="I5319" s="274" t="n">
        <x:v>0.6</x:v>
      </x:c>
      <x:c r="J5319" s="274" t="n">
        <x:v>1075</x:v>
      </x:c>
      <x:c r="K5319" s="274" t="n">
        <x:v>580</x:v>
      </x:c>
      <x:c r="M5319" s="274" t="s">
        <x:v>9329</x:v>
      </x:c>
      <x:c r="N5319" s="274" t="s">
        <x:v>299</x:v>
      </x:c>
    </x:row>
    <x:row r="5320" spans="1:14">
      <x:c r="A5320" s="274" t="s">
        <x:v>9330</x:v>
      </x:c>
      <x:c r="B5320" s="274" t="n">
        <x:v>11.6</x:v>
      </x:c>
      <x:c r="C5320" s="274" t="n">
        <x:v>0</x:v>
      </x:c>
      <x:c r="D5320" s="274" t="n">
        <x:v>30</x:v>
      </x:c>
      <x:c r="E5320" s="274" t="n">
        <x:v>40</x:v>
      </x:c>
      <x:c r="F5320" s="274" t="s">
        <x:v>184</x:v>
      </x:c>
      <x:c r="G5320" s="274" t="s">
        <x:v>129</x:v>
      </x:c>
      <x:c r="H5320" s="274" t="n">
        <x:v>45</x:v>
      </x:c>
      <x:c r="I5320" s="274" t="n">
        <x:v>2</x:v>
      </x:c>
      <x:c r="J5320" s="274" t="n">
        <x:v>1218</x:v>
      </x:c>
      <x:c r="K5320" s="274" t="n">
        <x:v>603</x:v>
      </x:c>
      <x:c r="N5320" s="274" t="s">
        <x:v>299</x:v>
      </x:c>
    </x:row>
    <x:row r="5321" spans="1:14">
      <x:c r="A5321" s="274" t="s">
        <x:v>9331</x:v>
      </x:c>
      <x:c r="B5321" s="274" t="n">
        <x:v>15.65</x:v>
      </x:c>
      <x:c r="C5321" s="274" t="n">
        <x:v>0</x:v>
      </x:c>
      <x:c r="D5321" s="274" t="n">
        <x:v>30</x:v>
      </x:c>
      <x:c r="E5321" s="274" t="n">
        <x:v>33</x:v>
      </x:c>
      <x:c r="F5321" s="274" t="s">
        <x:v>184</x:v>
      </x:c>
      <x:c r="G5321" s="274" t="s">
        <x:v>129</x:v>
      </x:c>
      <x:c r="H5321" s="274" t="n">
        <x:v>45</x:v>
      </x:c>
      <x:c r="I5321" s="274" t="n">
        <x:v>2</x:v>
      </x:c>
      <x:c r="J5321" s="274" t="n">
        <x:v>1218</x:v>
      </x:c>
      <x:c r="K5321" s="274" t="n">
        <x:v>814</x:v>
      </x:c>
      <x:c r="N5321" s="274" t="s">
        <x:v>299</x:v>
      </x:c>
    </x:row>
    <x:row r="5322" spans="1:14">
      <x:c r="A5322" s="274" t="s">
        <x:v>9332</x:v>
      </x:c>
      <x:c r="B5322" s="274" t="n">
        <x:v>34.14</x:v>
      </x:c>
      <x:c r="C5322" s="274" t="n">
        <x:v>0</x:v>
      </x:c>
      <x:c r="D5322" s="274" t="n">
        <x:v>30</x:v>
      </x:c>
      <x:c r="E5322" s="274" t="n">
        <x:v>25</x:v>
      </x:c>
      <x:c r="F5322" s="274" t="s">
        <x:v>133</x:v>
      </x:c>
      <x:c r="G5322" s="274" t="s">
        <x:v>134</x:v>
      </x:c>
      <x:c r="I5322" s="274" t="n">
        <x:v>2.9</x:v>
      </x:c>
      <x:c r="J5322" s="274" t="n">
        <x:v>1200</x:v>
      </x:c>
      <x:c r="K5322" s="274" t="n">
        <x:v>1250</x:v>
      </x:c>
      <x:c r="N5322" s="274" t="s">
        <x:v>299</x:v>
      </x:c>
    </x:row>
    <x:row r="5323" spans="1:14">
      <x:c r="A5323" s="274" t="s">
        <x:v>9333</x:v>
      </x:c>
      <x:c r="B5323" s="274" t="n">
        <x:v>6.35</x:v>
      </x:c>
      <x:c r="C5323" s="274" t="n">
        <x:v>0</x:v>
      </x:c>
      <x:c r="D5323" s="274" t="n">
        <x:v>30</x:v>
      </x:c>
      <x:c r="E5323" s="274" t="n">
        <x:v>40</x:v>
      </x:c>
      <x:c r="F5323" s="274" t="s">
        <x:v>133</x:v>
      </x:c>
      <x:c r="G5323" s="274" t="s">
        <x:v>144</x:v>
      </x:c>
      <x:c r="H5323" s="274" t="n">
        <x:v>45</x:v>
      </x:c>
      <x:c r="I5323" s="274" t="n">
        <x:v>1.6</x:v>
      </x:c>
      <x:c r="J5323" s="274" t="n">
        <x:v>1135</x:v>
      </x:c>
      <x:c r="K5323" s="274" t="n">
        <x:v>442</x:v>
      </x:c>
      <x:c r="N5323" s="274" t="s">
        <x:v>299</x:v>
      </x:c>
    </x:row>
    <x:row r="5324" spans="1:14">
      <x:c r="A5324" s="274" t="s">
        <x:v>9334</x:v>
      </x:c>
      <x:c r="B5324" s="274" t="n">
        <x:v>11.1</x:v>
      </x:c>
      <x:c r="C5324" s="274" t="n">
        <x:v>0</x:v>
      </x:c>
      <x:c r="D5324" s="274" t="n">
        <x:v>30</x:v>
      </x:c>
      <x:c r="E5324" s="274" t="n">
        <x:v>40</x:v>
      </x:c>
      <x:c r="F5324" s="274" t="s">
        <x:v>133</x:v>
      </x:c>
      <x:c r="G5324" s="274" t="s">
        <x:v>148</x:v>
      </x:c>
      <x:c r="I5324" s="274" t="n">
        <x:v>3.2</x:v>
      </x:c>
      <x:c r="J5324" s="274" t="n">
        <x:v>1000</x:v>
      </x:c>
      <x:c r="K5324" s="274" t="n">
        <x:v>442</x:v>
      </x:c>
      <x:c r="N5324" s="274" t="s">
        <x:v>299</x:v>
      </x:c>
    </x:row>
    <x:row r="5325" spans="1:14">
      <x:c r="A5325" s="274" t="s">
        <x:v>9335</x:v>
      </x:c>
      <x:c r="B5325" s="274" t="n">
        <x:v>12.53</x:v>
      </x:c>
      <x:c r="C5325" s="274" t="n">
        <x:v>0</x:v>
      </x:c>
      <x:c r="D5325" s="274" t="n">
        <x:v>30</x:v>
      </x:c>
      <x:c r="E5325" s="274" t="n">
        <x:v>40</x:v>
      </x:c>
      <x:c r="F5325" s="274" t="s">
        <x:v>133</x:v>
      </x:c>
      <x:c r="G5325" s="274" t="s">
        <x:v>134</x:v>
      </x:c>
      <x:c r="I5325" s="274" t="n">
        <x:v>3.2</x:v>
      </x:c>
      <x:c r="J5325" s="274" t="n">
        <x:v>990</x:v>
      </x:c>
      <x:c r="K5325" s="274" t="n">
        <x:v>504</x:v>
      </x:c>
      <x:c r="N5325" s="274" t="s">
        <x:v>299</x:v>
      </x:c>
    </x:row>
    <x:row r="5326" spans="1:14">
      <x:c r="A5326" s="274" t="s">
        <x:v>9336</x:v>
      </x:c>
      <x:c r="B5326" s="274" t="n">
        <x:v>13.12</x:v>
      </x:c>
      <x:c r="C5326" s="274" t="n">
        <x:v>0</x:v>
      </x:c>
      <x:c r="D5326" s="274" t="n">
        <x:v>30</x:v>
      </x:c>
      <x:c r="E5326" s="274" t="n">
        <x:v>40</x:v>
      </x:c>
      <x:c r="F5326" s="274" t="s">
        <x:v>184</x:v>
      </x:c>
      <x:c r="G5326" s="274" t="s">
        <x:v>129</x:v>
      </x:c>
      <x:c r="H5326" s="274" t="n">
        <x:v>45</x:v>
      </x:c>
      <x:c r="I5326" s="274" t="n">
        <x:v>2</x:v>
      </x:c>
      <x:c r="J5326" s="274" t="n">
        <x:v>1218</x:v>
      </x:c>
      <x:c r="K5326" s="274" t="n">
        <x:v>682</x:v>
      </x:c>
      <x:c r="M5326" s="274" t="s">
        <x:v>9337</x:v>
      </x:c>
      <x:c r="N5326" s="274" t="s">
        <x:v>299</x:v>
      </x:c>
    </x:row>
    <x:row r="5327" spans="1:14">
      <x:c r="A5327" s="274" t="s">
        <x:v>9338</x:v>
      </x:c>
      <x:c r="B5327" s="274" t="n">
        <x:v>10.06</x:v>
      </x:c>
      <x:c r="C5327" s="274" t="n">
        <x:v>0</x:v>
      </x:c>
      <x:c r="D5327" s="274" t="n">
        <x:v>30</x:v>
      </x:c>
      <x:c r="E5327" s="274" t="n">
        <x:v>40</x:v>
      </x:c>
      <x:c r="F5327" s="274" t="s">
        <x:v>133</x:v>
      </x:c>
      <x:c r="G5327" s="274" t="s">
        <x:v>134</x:v>
      </x:c>
      <x:c r="I5327" s="274" t="n">
        <x:v>2.6</x:v>
      </x:c>
      <x:c r="J5327" s="274" t="n">
        <x:v>1130</x:v>
      </x:c>
      <x:c r="K5327" s="274" t="n">
        <x:v>436</x:v>
      </x:c>
      <x:c r="M5327" s="274" t="s">
        <x:v>9276</x:v>
      </x:c>
      <x:c r="N5327" s="274" t="s">
        <x:v>299</x:v>
      </x:c>
    </x:row>
    <x:row r="5328" spans="1:14">
      <x:c r="A5328" s="274" t="s">
        <x:v>9339</x:v>
      </x:c>
      <x:c r="B5328" s="274" t="n">
        <x:v>14.27</x:v>
      </x:c>
      <x:c r="C5328" s="274" t="n">
        <x:v>0</x:v>
      </x:c>
      <x:c r="D5328" s="274" t="n">
        <x:v>30</x:v>
      </x:c>
      <x:c r="E5328" s="274" t="n">
        <x:v>40</x:v>
      </x:c>
      <x:c r="F5328" s="274" t="s">
        <x:v>133</x:v>
      </x:c>
      <x:c r="G5328" s="274" t="s">
        <x:v>134</x:v>
      </x:c>
      <x:c r="I5328" s="274" t="n">
        <x:v>2.9</x:v>
      </x:c>
      <x:c r="J5328" s="274" t="n">
        <x:v>1100</x:v>
      </x:c>
      <x:c r="K5328" s="274" t="n">
        <x:v>570</x:v>
      </x:c>
      <x:c r="M5328" s="274" t="s">
        <x:v>9337</x:v>
      </x:c>
      <x:c r="N5328" s="274" t="s">
        <x:v>299</x:v>
      </x:c>
    </x:row>
    <x:row r="5329" spans="1:14">
      <x:c r="A5329" s="274" t="s">
        <x:v>9340</x:v>
      </x:c>
      <x:c r="B5329" s="274" t="n">
        <x:v>29.68</x:v>
      </x:c>
      <x:c r="C5329" s="274" t="n">
        <x:v>0</x:v>
      </x:c>
      <x:c r="D5329" s="274" t="n">
        <x:v>30</x:v>
      </x:c>
      <x:c r="E5329" s="274" t="n">
        <x:v>25</x:v>
      </x:c>
      <x:c r="F5329" s="274" t="s">
        <x:v>133</x:v>
      </x:c>
      <x:c r="G5329" s="274" t="s">
        <x:v>134</x:v>
      </x:c>
      <x:c r="I5329" s="274" t="n">
        <x:v>2.9</x:v>
      </x:c>
      <x:c r="J5329" s="274" t="n">
        <x:v>1060</x:v>
      </x:c>
      <x:c r="K5329" s="274" t="n">
        <x:v>1230</x:v>
      </x:c>
      <x:c r="M5329" s="274" t="s">
        <x:v>9341</x:v>
      </x:c>
      <x:c r="N5329" s="274" t="s">
        <x:v>299</x:v>
      </x:c>
    </x:row>
    <x:row r="5330" spans="1:14">
      <x:c r="A5330" s="274" t="s">
        <x:v>9342</x:v>
      </x:c>
      <x:c r="B5330" s="274" t="n">
        <x:v>33.51</x:v>
      </x:c>
      <x:c r="C5330" s="274" t="n">
        <x:v>0</x:v>
      </x:c>
      <x:c r="D5330" s="274" t="n">
        <x:v>30</x:v>
      </x:c>
      <x:c r="E5330" s="274" t="n">
        <x:v>26</x:v>
      </x:c>
      <x:c r="F5330" s="274" t="s">
        <x:v>133</x:v>
      </x:c>
      <x:c r="G5330" s="274" t="s">
        <x:v>134</x:v>
      </x:c>
      <x:c r="I5330" s="274" t="n">
        <x:v>3.2</x:v>
      </x:c>
      <x:c r="J5330" s="274" t="n">
        <x:v>1170</x:v>
      </x:c>
      <x:c r="K5330" s="274" t="n">
        <x:v>1140</x:v>
      </x:c>
      <x:c r="N5330" s="274" t="s">
        <x:v>299</x:v>
      </x:c>
    </x:row>
    <x:row r="5331" spans="1:14">
      <x:c r="A5331" s="274" t="s">
        <x:v>9343</x:v>
      </x:c>
      <x:c r="B5331" s="274" t="n">
        <x:v>18.52</x:v>
      </x:c>
      <x:c r="C5331" s="274" t="n">
        <x:v>0</x:v>
      </x:c>
      <x:c r="D5331" s="274" t="n">
        <x:v>30</x:v>
      </x:c>
      <x:c r="E5331" s="274" t="n">
        <x:v>40</x:v>
      </x:c>
      <x:c r="F5331" s="274" t="s">
        <x:v>133</x:v>
      </x:c>
      <x:c r="G5331" s="274" t="s">
        <x:v>134</x:v>
      </x:c>
      <x:c r="I5331" s="274" t="n">
        <x:v>3.2</x:v>
      </x:c>
      <x:c r="J5331" s="274" t="n">
        <x:v>1170</x:v>
      </x:c>
      <x:c r="K5331" s="274" t="n">
        <x:v>630</x:v>
      </x:c>
      <x:c r="N5331" s="274" t="s">
        <x:v>299</x:v>
      </x:c>
    </x:row>
    <x:row r="5332" spans="1:14">
      <x:c r="A5332" s="274" t="s">
        <x:v>9344</x:v>
      </x:c>
      <x:c r="B5332" s="274" t="n">
        <x:v>9.03</x:v>
      </x:c>
      <x:c r="C5332" s="274" t="n">
        <x:v>0</x:v>
      </x:c>
      <x:c r="D5332" s="274" t="n">
        <x:v>30</x:v>
      </x:c>
      <x:c r="E5332" s="274" t="n">
        <x:v>40</x:v>
      </x:c>
      <x:c r="F5332" s="274" t="s">
        <x:v>133</x:v>
      </x:c>
      <x:c r="G5332" s="274" t="s">
        <x:v>148</x:v>
      </x:c>
      <x:c r="I5332" s="274" t="n">
        <x:v>3.2</x:v>
      </x:c>
      <x:c r="J5332" s="274" t="n">
        <x:v>781</x:v>
      </x:c>
      <x:c r="K5332" s="274" t="n">
        <x:v>460</x:v>
      </x:c>
      <x:c r="N5332" s="274" t="s">
        <x:v>299</x:v>
      </x:c>
    </x:row>
    <x:row r="5333" spans="1:14">
      <x:c r="A5333" s="274" t="s">
        <x:v>9345</x:v>
      </x:c>
      <x:c r="B5333" s="274" t="n">
        <x:v>6.91</x:v>
      </x:c>
      <x:c r="C5333" s="274" t="n">
        <x:v>0</x:v>
      </x:c>
      <x:c r="D5333" s="274" t="n">
        <x:v>30</x:v>
      </x:c>
      <x:c r="E5333" s="274" t="n">
        <x:v>40</x:v>
      </x:c>
      <x:c r="F5333" s="274" t="s">
        <x:v>333</x:v>
      </x:c>
      <x:c r="G5333" s="274" t="s">
        <x:v>334</x:v>
      </x:c>
      <x:c r="I5333" s="274" t="n">
        <x:v>1.6</x:v>
      </x:c>
      <x:c r="J5333" s="274" t="n">
        <x:v>1000</x:v>
      </x:c>
      <x:c r="K5333" s="274" t="n">
        <x:v>550</x:v>
      </x:c>
      <x:c r="N5333" s="274" t="s">
        <x:v>131</x:v>
      </x:c>
    </x:row>
    <x:row r="5334" spans="1:14">
      <x:c r="A5334" s="274" t="s">
        <x:v>9346</x:v>
      </x:c>
      <x:c r="B5334" s="274" t="n">
        <x:v>19.22</x:v>
      </x:c>
      <x:c r="C5334" s="274" t="n">
        <x:v>0</x:v>
      </x:c>
      <x:c r="D5334" s="274" t="n">
        <x:v>30</x:v>
      </x:c>
      <x:c r="E5334" s="274" t="n">
        <x:v>40</x:v>
      </x:c>
      <x:c r="F5334" s="274" t="s">
        <x:v>133</x:v>
      </x:c>
      <x:c r="G5334" s="274" t="s">
        <x:v>134</x:v>
      </x:c>
      <x:c r="I5334" s="274" t="n">
        <x:v>3.2</x:v>
      </x:c>
      <x:c r="J5334" s="274" t="n">
        <x:v>1170</x:v>
      </x:c>
      <x:c r="K5334" s="274" t="n">
        <x:v>654</x:v>
      </x:c>
      <x:c r="N5334" s="274" t="s">
        <x:v>299</x:v>
      </x:c>
    </x:row>
    <x:row r="5335" spans="1:14">
      <x:c r="A5335" s="274" t="s">
        <x:v>9347</x:v>
      </x:c>
      <x:c r="B5335" s="274" t="n">
        <x:v>2.67</x:v>
      </x:c>
      <x:c r="C5335" s="274" t="n">
        <x:v>0</x:v>
      </x:c>
      <x:c r="D5335" s="274" t="n">
        <x:v>32</x:v>
      </x:c>
      <x:c r="E5335" s="274" t="n">
        <x:v>40</x:v>
      </x:c>
      <x:c r="F5335" s="274" t="s">
        <x:v>133</x:v>
      </x:c>
      <x:c r="G5335" s="274" t="s">
        <x:v>153</x:v>
      </x:c>
      <x:c r="I5335" s="274" t="n">
        <x:v>0.7</x:v>
      </x:c>
      <x:c r="J5335" s="274" t="n">
        <x:v>875</x:v>
      </x:c>
      <x:c r="K5335" s="274" t="n">
        <x:v>556</x:v>
      </x:c>
      <x:c r="N5335" s="274" t="s">
        <x:v>299</x:v>
      </x:c>
    </x:row>
    <x:row r="5336" spans="1:14">
      <x:c r="A5336" s="274" t="s">
        <x:v>9348</x:v>
      </x:c>
      <x:c r="B5336" s="274" t="n">
        <x:v>15.68</x:v>
      </x:c>
      <x:c r="C5336" s="274" t="n">
        <x:v>0</x:v>
      </x:c>
      <x:c r="D5336" s="274" t="n">
        <x:v>30</x:v>
      </x:c>
      <x:c r="E5336" s="274" t="n">
        <x:v>40</x:v>
      </x:c>
      <x:c r="F5336" s="274" t="s">
        <x:v>123</x:v>
      </x:c>
      <x:c r="G5336" s="274" t="s">
        <x:v>139</x:v>
      </x:c>
      <x:c r="I5336" s="274" t="n">
        <x:v>2.9</x:v>
      </x:c>
      <x:c r="J5336" s="274" t="n">
        <x:v>1300</x:v>
      </x:c>
      <x:c r="K5336" s="274" t="n">
        <x:v>530</x:v>
      </x:c>
      <x:c r="N5336" s="274" t="s">
        <x:v>299</x:v>
      </x:c>
    </x:row>
    <x:row r="5337" spans="1:14">
      <x:c r="A5337" s="274" t="s">
        <x:v>9349</x:v>
      </x:c>
      <x:c r="B5337" s="274" t="n">
        <x:v>2.71</x:v>
      </x:c>
      <x:c r="C5337" s="274" t="n">
        <x:v>0</x:v>
      </x:c>
      <x:c r="D5337" s="274" t="n">
        <x:v>32</x:v>
      </x:c>
      <x:c r="E5337" s="274" t="n">
        <x:v>40</x:v>
      </x:c>
      <x:c r="F5337" s="274" t="s">
        <x:v>123</x:v>
      </x:c>
      <x:c r="G5337" s="274" t="s">
        <x:v>209</x:v>
      </x:c>
      <x:c r="I5337" s="274" t="n">
        <x:v>0.6</x:v>
      </x:c>
      <x:c r="J5337" s="274" t="n">
        <x:v>1180</x:v>
      </x:c>
      <x:c r="K5337" s="274" t="n">
        <x:v>487</x:v>
      </x:c>
    </x:row>
    <x:row r="5338" spans="1:14">
      <x:c r="A5338" s="274" t="s">
        <x:v>9350</x:v>
      </x:c>
      <x:c r="B5338" s="274" t="n">
        <x:v>4.95</x:v>
      </x:c>
      <x:c r="C5338" s="274" t="n">
        <x:v>0</x:v>
      </x:c>
      <x:c r="D5338" s="274" t="n">
        <x:v>32</x:v>
      </x:c>
      <x:c r="E5338" s="274" t="n">
        <x:v>40</x:v>
      </x:c>
      <x:c r="F5338" s="274" t="s">
        <x:v>133</x:v>
      </x:c>
      <x:c r="G5338" s="274" t="s">
        <x:v>136</x:v>
      </x:c>
      <x:c r="H5338" s="274" t="n">
        <x:v>45</x:v>
      </x:c>
      <x:c r="I5338" s="274" t="n">
        <x:v>0.6</x:v>
      </x:c>
      <x:c r="J5338" s="274" t="n">
        <x:v>1075</x:v>
      </x:c>
      <x:c r="K5338" s="274" t="n">
        <x:v>960</x:v>
      </x:c>
      <x:c r="M5338" s="274" t="s">
        <x:v>9329</x:v>
      </x:c>
      <x:c r="N5338" s="274" t="s">
        <x:v>631</x:v>
      </x:c>
    </x:row>
    <x:row r="5339" spans="1:14">
      <x:c r="A5339" s="274" t="s">
        <x:v>9351</x:v>
      </x:c>
      <x:c r="B5339" s="274" t="n">
        <x:v>9.65</x:v>
      </x:c>
      <x:c r="C5339" s="274" t="n">
        <x:v>0</x:v>
      </x:c>
      <x:c r="D5339" s="274" t="n">
        <x:v>30</x:v>
      </x:c>
      <x:c r="E5339" s="274" t="n">
        <x:v>40</x:v>
      </x:c>
      <x:c r="F5339" s="274" t="s">
        <x:v>133</x:v>
      </x:c>
      <x:c r="G5339" s="274" t="s">
        <x:v>134</x:v>
      </x:c>
      <x:c r="I5339" s="274" t="n">
        <x:v>2.9</x:v>
      </x:c>
      <x:c r="J5339" s="274" t="n">
        <x:v>1060</x:v>
      </x:c>
      <x:c r="K5339" s="274" t="n">
        <x:v>400</x:v>
      </x:c>
    </x:row>
    <x:row r="5340" spans="1:14">
      <x:c r="A5340" s="274" t="s">
        <x:v>9352</x:v>
      </x:c>
      <x:c r="B5340" s="274" t="n">
        <x:v>3.03</x:v>
      </x:c>
      <x:c r="C5340" s="274" t="n">
        <x:v>0</x:v>
      </x:c>
      <x:c r="D5340" s="274" t="n">
        <x:v>32</x:v>
      </x:c>
      <x:c r="E5340" s="274" t="n">
        <x:v>40</x:v>
      </x:c>
      <x:c r="F5340" s="274" t="s">
        <x:v>133</x:v>
      </x:c>
      <x:c r="G5340" s="274" t="s">
        <x:v>136</x:v>
      </x:c>
      <x:c r="H5340" s="274" t="n">
        <x:v>45</x:v>
      </x:c>
      <x:c r="I5340" s="274" t="n">
        <x:v>0.6</x:v>
      </x:c>
      <x:c r="J5340" s="274" t="n">
        <x:v>1165</x:v>
      </x:c>
      <x:c r="K5340" s="274" t="n">
        <x:v>542</x:v>
      </x:c>
      <x:c r="N5340" s="274" t="s">
        <x:v>299</x:v>
      </x:c>
    </x:row>
    <x:row r="5341" spans="1:14">
      <x:c r="A5341" s="274" t="s">
        <x:v>9353</x:v>
      </x:c>
      <x:c r="B5341" s="274" t="n">
        <x:v>4.71</x:v>
      </x:c>
      <x:c r="C5341" s="274" t="n">
        <x:v>0</x:v>
      </x:c>
      <x:c r="D5341" s="274" t="n">
        <x:v>32</x:v>
      </x:c>
      <x:c r="E5341" s="274" t="n">
        <x:v>40</x:v>
      </x:c>
      <x:c r="F5341" s="274" t="s">
        <x:v>133</x:v>
      </x:c>
      <x:c r="G5341" s="274" t="s">
        <x:v>209</x:v>
      </x:c>
      <x:c r="I5341" s="274" t="n">
        <x:v>0.8</x:v>
      </x:c>
      <x:c r="J5341" s="274" t="n">
        <x:v>1120</x:v>
      </x:c>
      <x:c r="K5341" s="274" t="n">
        <x:v>670</x:v>
      </x:c>
      <x:c r="N5341" s="274" t="s">
        <x:v>299</x:v>
      </x:c>
    </x:row>
    <x:row r="5342" spans="1:14">
      <x:c r="A5342" s="274" t="s">
        <x:v>9354</x:v>
      </x:c>
      <x:c r="B5342" s="274" t="n">
        <x:v>4.19</x:v>
      </x:c>
      <x:c r="C5342" s="274" t="n">
        <x:v>0</x:v>
      </x:c>
      <x:c r="D5342" s="274" t="n">
        <x:v>32</x:v>
      </x:c>
      <x:c r="E5342" s="274" t="n">
        <x:v>40</x:v>
      </x:c>
      <x:c r="F5342" s="274" t="s">
        <x:v>184</x:v>
      </x:c>
      <x:c r="G5342" s="274" t="s">
        <x:v>129</x:v>
      </x:c>
      <x:c r="H5342" s="274" t="n">
        <x:v>45</x:v>
      </x:c>
      <x:c r="I5342" s="274" t="n">
        <x:v>1</x:v>
      </x:c>
      <x:c r="J5342" s="274" t="n">
        <x:v>1080</x:v>
      </x:c>
      <x:c r="K5342" s="274" t="n">
        <x:v>489</x:v>
      </x:c>
      <x:c r="N5342" s="274" t="s">
        <x:v>299</x:v>
      </x:c>
    </x:row>
    <x:row r="5343" spans="1:14">
      <x:c r="A5343" s="274" t="s">
        <x:v>9355</x:v>
      </x:c>
      <x:c r="B5343" s="274" t="n">
        <x:v>8.01</x:v>
      </x:c>
      <x:c r="C5343" s="274" t="n">
        <x:v>0</x:v>
      </x:c>
      <x:c r="D5343" s="274" t="n">
        <x:v>30</x:v>
      </x:c>
      <x:c r="E5343" s="274" t="n">
        <x:v>40</x:v>
      </x:c>
      <x:c r="F5343" s="274" t="s">
        <x:v>133</x:v>
      </x:c>
      <x:c r="G5343" s="274" t="s">
        <x:v>148</x:v>
      </x:c>
      <x:c r="I5343" s="274" t="n">
        <x:v>2</x:v>
      </x:c>
      <x:c r="J5343" s="274" t="n">
        <x:v>970</x:v>
      </x:c>
      <x:c r="K5343" s="274" t="n">
        <x:v>526</x:v>
      </x:c>
      <x:c r="M5343" s="274" t="s">
        <x:v>9356</x:v>
      </x:c>
    </x:row>
    <x:row r="5344" spans="1:14">
      <x:c r="A5344" s="274" t="s">
        <x:v>9357</x:v>
      </x:c>
      <x:c r="B5344" s="274" t="n">
        <x:v>19.05</x:v>
      </x:c>
      <x:c r="C5344" s="274" t="n">
        <x:v>0</x:v>
      </x:c>
      <x:c r="D5344" s="274" t="n">
        <x:v>30</x:v>
      </x:c>
      <x:c r="E5344" s="274" t="n">
        <x:v>33</x:v>
      </x:c>
      <x:c r="F5344" s="274" t="s">
        <x:v>133</x:v>
      </x:c>
      <x:c r="G5344" s="274" t="s">
        <x:v>134</x:v>
      </x:c>
      <x:c r="I5344" s="274" t="n">
        <x:v>2.3</x:v>
      </x:c>
      <x:c r="J5344" s="274" t="n">
        <x:v>1185</x:v>
      </x:c>
      <x:c r="K5344" s="274" t="n">
        <x:v>890</x:v>
      </x:c>
      <x:c r="M5344" s="274" t="s">
        <x:v>9358</x:v>
      </x:c>
      <x:c r="N5344" s="274" t="s">
        <x:v>299</x:v>
      </x:c>
    </x:row>
    <x:row r="5345" spans="1:14">
      <x:c r="A5345" s="274" t="s">
        <x:v>9359</x:v>
      </x:c>
      <x:c r="B5345" s="274" t="n">
        <x:v>15.49</x:v>
      </x:c>
      <x:c r="C5345" s="274" t="n">
        <x:v>0</x:v>
      </x:c>
      <x:c r="D5345" s="274" t="n">
        <x:v>30</x:v>
      </x:c>
      <x:c r="E5345" s="274" t="n">
        <x:v>40</x:v>
      </x:c>
      <x:c r="F5345" s="274" t="s">
        <x:v>133</x:v>
      </x:c>
      <x:c r="G5345" s="274" t="s">
        <x:v>134</x:v>
      </x:c>
      <x:c r="I5345" s="274" t="n">
        <x:v>2.9</x:v>
      </x:c>
      <x:c r="J5345" s="274" t="n">
        <x:v>1200</x:v>
      </x:c>
      <x:c r="K5345" s="274" t="n">
        <x:v>567</x:v>
      </x:c>
      <x:c r="M5345" s="274" t="s">
        <x:v>9360</x:v>
      </x:c>
      <x:c r="N5345" s="274" t="s">
        <x:v>299</x:v>
      </x:c>
    </x:row>
    <x:row r="5346" spans="1:14">
      <x:c r="A5346" s="274" t="s">
        <x:v>9361</x:v>
      </x:c>
      <x:c r="B5346" s="274" t="n">
        <x:v>7.83</x:v>
      </x:c>
      <x:c r="C5346" s="274" t="n">
        <x:v>0</x:v>
      </x:c>
      <x:c r="D5346" s="274" t="n">
        <x:v>30</x:v>
      </x:c>
      <x:c r="E5346" s="274" t="n">
        <x:v>40</x:v>
      </x:c>
      <x:c r="F5346" s="274" t="s">
        <x:v>133</x:v>
      </x:c>
      <x:c r="G5346" s="274" t="s">
        <x:v>136</x:v>
      </x:c>
      <x:c r="H5346" s="274" t="n">
        <x:v>45</x:v>
      </x:c>
      <x:c r="I5346" s="274" t="n">
        <x:v>1.6</x:v>
      </x:c>
      <x:c r="J5346" s="274" t="n">
        <x:v>1105</x:v>
      </x:c>
      <x:c r="K5346" s="274" t="n">
        <x:v>560</x:v>
      </x:c>
      <x:c r="N5346" s="274" t="s">
        <x:v>131</x:v>
      </x:c>
    </x:row>
    <x:row r="5347" spans="1:14">
      <x:c r="A5347" s="274" t="s">
        <x:v>9362</x:v>
      </x:c>
      <x:c r="B5347" s="274" t="n">
        <x:v>7.3</x:v>
      </x:c>
      <x:c r="C5347" s="274" t="n">
        <x:v>0</x:v>
      </x:c>
      <x:c r="D5347" s="274" t="n">
        <x:v>30</x:v>
      </x:c>
      <x:c r="E5347" s="274" t="n">
        <x:v>40</x:v>
      </x:c>
      <x:c r="F5347" s="274" t="s">
        <x:v>133</x:v>
      </x:c>
      <x:c r="G5347" s="274" t="s">
        <x:v>136</x:v>
      </x:c>
      <x:c r="H5347" s="274" t="n">
        <x:v>45</x:v>
      </x:c>
      <x:c r="I5347" s="274" t="n">
        <x:v>1.6</x:v>
      </x:c>
      <x:c r="J5347" s="274" t="n">
        <x:v>1105</x:v>
      </x:c>
      <x:c r="K5347" s="274" t="n">
        <x:v>522</x:v>
      </x:c>
      <x:c r="N5347" s="274" t="s">
        <x:v>131</x:v>
      </x:c>
    </x:row>
    <x:row r="5348" spans="1:14">
      <x:c r="A5348" s="274" t="s">
        <x:v>9363</x:v>
      </x:c>
      <x:c r="B5348" s="274" t="n">
        <x:v>4.4</x:v>
      </x:c>
      <x:c r="C5348" s="274" t="n">
        <x:v>0</x:v>
      </x:c>
      <x:c r="D5348" s="274" t="n">
        <x:v>30</x:v>
      </x:c>
      <x:c r="E5348" s="274" t="n">
        <x:v>40</x:v>
      </x:c>
      <x:c r="F5348" s="274" t="s">
        <x:v>333</x:v>
      </x:c>
      <x:c r="G5348" s="274" t="s">
        <x:v>334</x:v>
      </x:c>
      <x:c r="I5348" s="274" t="n">
        <x:v>1.4</x:v>
      </x:c>
      <x:c r="J5348" s="274" t="n">
        <x:v>864</x:v>
      </x:c>
      <x:c r="K5348" s="274" t="n">
        <x:v>463</x:v>
      </x:c>
      <x:c r="N5348" s="274" t="s">
        <x:v>299</x:v>
      </x:c>
    </x:row>
    <x:row r="5349" spans="1:14">
      <x:c r="A5349" s="274" t="s">
        <x:v>9364</x:v>
      </x:c>
      <x:c r="B5349" s="274" t="n">
        <x:v>12.25</x:v>
      </x:c>
      <x:c r="C5349" s="274" t="n">
        <x:v>0</x:v>
      </x:c>
      <x:c r="D5349" s="274" t="n">
        <x:v>32</x:v>
      </x:c>
      <x:c r="E5349" s="274" t="n">
        <x:v>30</x:v>
      </x:c>
      <x:c r="F5349" s="274" t="s">
        <x:v>333</x:v>
      </x:c>
      <x:c r="G5349" s="274" t="s">
        <x:v>209</x:v>
      </x:c>
      <x:c r="I5349" s="274" t="n">
        <x:v>1</x:v>
      </x:c>
      <x:c r="J5349" s="274" t="n">
        <x:v>1200</x:v>
      </x:c>
      <x:c r="K5349" s="274" t="n">
        <x:v>1300</x:v>
      </x:c>
      <x:c r="N5349" s="274" t="s">
        <x:v>126</x:v>
      </x:c>
    </x:row>
    <x:row r="5350" spans="1:14">
      <x:c r="A5350" s="274" t="s">
        <x:v>9365</x:v>
      </x:c>
      <x:c r="B5350" s="274" t="n">
        <x:v>11.78</x:v>
      </x:c>
      <x:c r="C5350" s="274" t="n">
        <x:v>0</x:v>
      </x:c>
      <x:c r="D5350" s="274" t="n">
        <x:v>32</x:v>
      </x:c>
      <x:c r="E5350" s="274" t="n">
        <x:v>32</x:v>
      </x:c>
      <x:c r="F5350" s="274" t="s">
        <x:v>333</x:v>
      </x:c>
      <x:c r="G5350" s="274" t="s">
        <x:v>209</x:v>
      </x:c>
      <x:c r="I5350" s="274" t="n">
        <x:v>1</x:v>
      </x:c>
      <x:c r="J5350" s="274" t="n">
        <x:v>1200</x:v>
      </x:c>
      <x:c r="K5350" s="274" t="n">
        <x:v>1250</x:v>
      </x:c>
      <x:c r="M5350" s="274" t="s">
        <x:v>155</x:v>
      </x:c>
      <x:c r="N5350" s="274" t="s">
        <x:v>155</x:v>
      </x:c>
    </x:row>
    <x:row r="5351" spans="1:14">
      <x:c r="A5351" s="274" t="s">
        <x:v>9366</x:v>
      </x:c>
      <x:c r="B5351" s="274" t="n">
        <x:v>3.79</x:v>
      </x:c>
      <x:c r="C5351" s="274" t="n">
        <x:v>0</x:v>
      </x:c>
      <x:c r="D5351" s="274" t="n">
        <x:v>32</x:v>
      </x:c>
      <x:c r="E5351" s="274" t="n">
        <x:v>40</x:v>
      </x:c>
      <x:c r="F5351" s="274" t="s">
        <x:v>333</x:v>
      </x:c>
      <x:c r="G5351" s="274" t="s">
        <x:v>209</x:v>
      </x:c>
      <x:c r="I5351" s="274" t="n">
        <x:v>1</x:v>
      </x:c>
      <x:c r="J5351" s="274" t="n">
        <x:v>1200</x:v>
      </x:c>
      <x:c r="K5351" s="274" t="n">
        <x:v>402</x:v>
      </x:c>
      <x:c r="N5351" s="274" t="s">
        <x:v>126</x:v>
      </x:c>
    </x:row>
    <x:row r="5352" spans="1:14">
      <x:c r="A5352" s="274" t="s">
        <x:v>9367</x:v>
      </x:c>
      <x:c r="B5352" s="274" t="n">
        <x:v>5.37</x:v>
      </x:c>
      <x:c r="C5352" s="274" t="n">
        <x:v>0</x:v>
      </x:c>
      <x:c r="D5352" s="274" t="n">
        <x:v>32</x:v>
      </x:c>
      <x:c r="E5352" s="274" t="n">
        <x:v>40</x:v>
      </x:c>
      <x:c r="F5352" s="274" t="s">
        <x:v>333</x:v>
      </x:c>
      <x:c r="G5352" s="274" t="s">
        <x:v>209</x:v>
      </x:c>
      <x:c r="I5352" s="274" t="n">
        <x:v>1</x:v>
      </x:c>
      <x:c r="J5352" s="274" t="n">
        <x:v>1200</x:v>
      </x:c>
      <x:c r="K5352" s="274" t="n">
        <x:v>570</x:v>
      </x:c>
      <x:c r="N5352" s="274" t="s">
        <x:v>155</x:v>
      </x:c>
    </x:row>
    <x:row r="5353" spans="1:14">
      <x:c r="A5353" s="274" t="s">
        <x:v>9368</x:v>
      </x:c>
      <x:c r="B5353" s="274" t="n">
        <x:v>11.49</x:v>
      </x:c>
      <x:c r="C5353" s="274" t="n">
        <x:v>0</x:v>
      </x:c>
      <x:c r="D5353" s="274" t="n">
        <x:v>32</x:v>
      </x:c>
      <x:c r="E5353" s="274" t="n">
        <x:v>32</x:v>
      </x:c>
      <x:c r="F5353" s="274" t="s">
        <x:v>333</x:v>
      </x:c>
      <x:c r="G5353" s="274" t="s">
        <x:v>209</x:v>
      </x:c>
      <x:c r="I5353" s="274" t="n">
        <x:v>1</x:v>
      </x:c>
      <x:c r="J5353" s="274" t="n">
        <x:v>1200</x:v>
      </x:c>
      <x:c r="K5353" s="274" t="n">
        <x:v>1220</x:v>
      </x:c>
      <x:c r="N5353" s="274" t="s">
        <x:v>155</x:v>
      </x:c>
    </x:row>
    <x:row r="5354" spans="1:14">
      <x:c r="A5354" s="274" t="s">
        <x:v>9369</x:v>
      </x:c>
      <x:c r="B5354" s="274" t="n">
        <x:v>13.41</x:v>
      </x:c>
      <x:c r="C5354" s="274" t="n">
        <x:v>0</x:v>
      </x:c>
      <x:c r="D5354" s="274" t="n">
        <x:v>30</x:v>
      </x:c>
      <x:c r="E5354" s="274" t="n">
        <x:v>32</x:v>
      </x:c>
      <x:c r="F5354" s="274" t="s">
        <x:v>333</x:v>
      </x:c>
      <x:c r="G5354" s="274" t="s">
        <x:v>153</x:v>
      </x:c>
      <x:c r="I5354" s="274" t="n">
        <x:v>1.4</x:v>
      </x:c>
      <x:c r="J5354" s="274" t="n">
        <x:v>1000</x:v>
      </x:c>
      <x:c r="K5354" s="274" t="n">
        <x:v>1220</x:v>
      </x:c>
      <x:c r="N5354" s="274" t="s">
        <x:v>155</x:v>
      </x:c>
    </x:row>
    <x:row r="5355" spans="1:14">
      <x:c r="A5355" s="274" t="s">
        <x:v>9370</x:v>
      </x:c>
      <x:c r="B5355" s="274" t="n">
        <x:v>7.71</x:v>
      </x:c>
      <x:c r="C5355" s="274" t="n">
        <x:v>0</x:v>
      </x:c>
      <x:c r="D5355" s="274" t="n">
        <x:v>30</x:v>
      </x:c>
      <x:c r="E5355" s="274" t="n">
        <x:v>40</x:v>
      </x:c>
      <x:c r="F5355" s="274" t="s">
        <x:v>333</x:v>
      </x:c>
      <x:c r="G5355" s="274" t="s">
        <x:v>124</x:v>
      </x:c>
      <x:c r="I5355" s="274" t="n">
        <x:v>2.3</x:v>
      </x:c>
      <x:c r="J5355" s="274" t="n">
        <x:v>975</x:v>
      </x:c>
      <x:c r="K5355" s="274" t="n">
        <x:v>438</x:v>
      </x:c>
      <x:c r="N5355" s="274" t="s">
        <x:v>229</x:v>
      </x:c>
    </x:row>
    <x:row r="5356" spans="1:14">
      <x:c r="A5356" s="274" t="s">
        <x:v>9371</x:v>
      </x:c>
      <x:c r="B5356" s="274" t="n">
        <x:v>7.78</x:v>
      </x:c>
      <x:c r="C5356" s="274" t="n">
        <x:v>0</x:v>
      </x:c>
      <x:c r="D5356" s="274" t="n">
        <x:v>30</x:v>
      </x:c>
      <x:c r="E5356" s="274" t="n">
        <x:v>40</x:v>
      </x:c>
      <x:c r="F5356" s="274" t="s">
        <x:v>333</x:v>
      </x:c>
      <x:c r="G5356" s="274" t="s">
        <x:v>153</x:v>
      </x:c>
      <x:c r="I5356" s="274" t="n">
        <x:v>1.4</x:v>
      </x:c>
      <x:c r="J5356" s="274" t="n">
        <x:v>1000</x:v>
      </x:c>
      <x:c r="K5356" s="274" t="n">
        <x:v>708</x:v>
      </x:c>
      <x:c r="N5356" s="274" t="s">
        <x:v>155</x:v>
      </x:c>
    </x:row>
    <x:row r="5357" spans="1:14">
      <x:c r="A5357" s="274" t="s">
        <x:v>9372</x:v>
      </x:c>
      <x:c r="B5357" s="274" t="n">
        <x:v>8.79</x:v>
      </x:c>
      <x:c r="C5357" s="274" t="n">
        <x:v>0</x:v>
      </x:c>
      <x:c r="D5357" s="274" t="n">
        <x:v>32</x:v>
      </x:c>
      <x:c r="E5357" s="274" t="n">
        <x:v>40</x:v>
      </x:c>
      <x:c r="F5357" s="274" t="s">
        <x:v>333</x:v>
      </x:c>
      <x:c r="G5357" s="274" t="s">
        <x:v>153</x:v>
      </x:c>
      <x:c r="I5357" s="274" t="n">
        <x:v>1.2</x:v>
      </x:c>
      <x:c r="J5357" s="274" t="n">
        <x:v>1290</x:v>
      </x:c>
      <x:c r="K5357" s="274" t="n">
        <x:v>723</x:v>
      </x:c>
      <x:c r="N5357" s="274" t="s">
        <x:v>155</x:v>
      </x:c>
    </x:row>
    <x:row r="5358" spans="1:14">
      <x:c r="A5358" s="274" t="s">
        <x:v>9373</x:v>
      </x:c>
      <x:c r="B5358" s="274" t="n">
        <x:v>21.95</x:v>
      </x:c>
      <x:c r="C5358" s="274" t="n">
        <x:v>0</x:v>
      </x:c>
      <x:c r="D5358" s="274" t="n">
        <x:v>32</x:v>
      </x:c>
      <x:c r="E5358" s="274" t="n">
        <x:v>26</x:v>
      </x:c>
      <x:c r="F5358" s="274" t="s">
        <x:v>133</x:v>
      </x:c>
      <x:c r="G5358" s="274" t="s">
        <x:v>136</x:v>
      </x:c>
      <x:c r="H5358" s="274" t="n">
        <x:v>45</x:v>
      </x:c>
      <x:c r="I5358" s="274" t="n">
        <x:v>1.2</x:v>
      </x:c>
      <x:c r="J5358" s="274" t="n">
        <x:v>1346</x:v>
      </x:c>
      <x:c r="K5358" s="274" t="n">
        <x:v>1715</x:v>
      </x:c>
      <x:c r="N5358" s="274" t="s">
        <x:v>631</x:v>
      </x:c>
    </x:row>
    <x:row r="5359" spans="1:14">
      <x:c r="A5359" s="274" t="s">
        <x:v>9374</x:v>
      </x:c>
      <x:c r="B5359" s="274" t="n">
        <x:v>7.31</x:v>
      </x:c>
      <x:c r="C5359" s="274" t="n">
        <x:v>0</x:v>
      </x:c>
      <x:c r="D5359" s="274" t="n">
        <x:v>30</x:v>
      </x:c>
      <x:c r="E5359" s="274" t="n">
        <x:v>40</x:v>
      </x:c>
      <x:c r="F5359" s="274" t="s">
        <x:v>133</x:v>
      </x:c>
      <x:c r="G5359" s="274" t="s">
        <x:v>144</x:v>
      </x:c>
      <x:c r="H5359" s="274" t="n">
        <x:v>45</x:v>
      </x:c>
      <x:c r="I5359" s="274" t="n">
        <x:v>1.8</x:v>
      </x:c>
      <x:c r="J5359" s="274" t="n">
        <x:v>1185</x:v>
      </x:c>
      <x:c r="K5359" s="274" t="n">
        <x:v>434</x:v>
      </x:c>
    </x:row>
    <x:row r="5360" spans="1:14">
      <x:c r="A5360" s="274" t="s">
        <x:v>9375</x:v>
      </x:c>
      <x:c r="B5360" s="274" t="n">
        <x:v>19.44</x:v>
      </x:c>
      <x:c r="C5360" s="274" t="n">
        <x:v>0</x:v>
      </x:c>
      <x:c r="D5360" s="274" t="n">
        <x:v>30</x:v>
      </x:c>
      <x:c r="E5360" s="274" t="n">
        <x:v>25</x:v>
      </x:c>
      <x:c r="F5360" s="274" t="s">
        <x:v>133</x:v>
      </x:c>
      <x:c r="G5360" s="274" t="s">
        <x:v>144</x:v>
      </x:c>
      <x:c r="H5360" s="274" t="n">
        <x:v>45</x:v>
      </x:c>
      <x:c r="I5360" s="274" t="n">
        <x:v>1.8</x:v>
      </x:c>
      <x:c r="J5360" s="274" t="n">
        <x:v>1185</x:v>
      </x:c>
      <x:c r="K5360" s="274" t="n">
        <x:v>1154</x:v>
      </x:c>
    </x:row>
    <x:row r="5361" spans="1:14">
      <x:c r="A5361" s="274" t="s">
        <x:v>9376</x:v>
      </x:c>
      <x:c r="B5361" s="274" t="n">
        <x:v>3.88</x:v>
      </x:c>
      <x:c r="C5361" s="274" t="n">
        <x:v>0</x:v>
      </x:c>
      <x:c r="D5361" s="274" t="n">
        <x:v>32</x:v>
      </x:c>
      <x:c r="E5361" s="274" t="n">
        <x:v>40</x:v>
      </x:c>
      <x:c r="F5361" s="274" t="s">
        <x:v>184</x:v>
      </x:c>
      <x:c r="G5361" s="274" t="s">
        <x:v>129</x:v>
      </x:c>
      <x:c r="H5361" s="274" t="n">
        <x:v>45</x:v>
      </x:c>
      <x:c r="I5361" s="274" t="n">
        <x:v>1</x:v>
      </x:c>
      <x:c r="J5361" s="274" t="n">
        <x:v>1080</x:v>
      </x:c>
      <x:c r="K5361" s="274" t="n">
        <x:v>452</x:v>
      </x:c>
      <x:c r="N5361" s="274" t="s">
        <x:v>299</x:v>
      </x:c>
    </x:row>
    <x:row r="5362" spans="1:14">
      <x:c r="A5362" s="274" t="s">
        <x:v>9377</x:v>
      </x:c>
      <x:c r="B5362" s="274" t="n">
        <x:v>14.41</x:v>
      </x:c>
      <x:c r="C5362" s="274" t="n">
        <x:v>0</x:v>
      </x:c>
      <x:c r="D5362" s="274" t="n">
        <x:v>32</x:v>
      </x:c>
      <x:c r="E5362" s="274" t="n">
        <x:v>19</x:v>
      </x:c>
      <x:c r="F5362" s="274" t="s">
        <x:v>333</x:v>
      </x:c>
      <x:c r="G5362" s="274" t="s">
        <x:v>124</x:v>
      </x:c>
      <x:c r="I5362" s="274" t="n">
        <x:v>1.2</x:v>
      </x:c>
      <x:c r="J5362" s="274" t="n">
        <x:v>1020</x:v>
      </x:c>
      <x:c r="K5362" s="274" t="n">
        <x:v>1500</x:v>
      </x:c>
      <x:c r="N5362" s="274" t="s">
        <x:v>727</x:v>
      </x:c>
    </x:row>
    <x:row r="5363" spans="1:14">
      <x:c r="A5363" s="274" t="s">
        <x:v>9378</x:v>
      </x:c>
      <x:c r="B5363" s="274" t="n">
        <x:v>17.49</x:v>
      </x:c>
      <x:c r="C5363" s="274" t="n">
        <x:v>0</x:v>
      </x:c>
      <x:c r="D5363" s="274" t="n">
        <x:v>30</x:v>
      </x:c>
      <x:c r="E5363" s="274" t="n">
        <x:v>32</x:v>
      </x:c>
      <x:c r="F5363" s="274" t="s">
        <x:v>333</x:v>
      </x:c>
      <x:c r="G5363" s="274" t="s">
        <x:v>209</x:v>
      </x:c>
      <x:c r="I5363" s="274" t="n">
        <x:v>1.4</x:v>
      </x:c>
      <x:c r="J5363" s="274" t="n">
        <x:v>1315</x:v>
      </x:c>
      <x:c r="K5363" s="274" t="n">
        <x:v>1210</x:v>
      </x:c>
      <x:c r="N5363" s="274" t="s">
        <x:v>441</x:v>
      </x:c>
    </x:row>
    <x:row r="5364" spans="1:14">
      <x:c r="A5364" s="274" t="s">
        <x:v>9379</x:v>
      </x:c>
      <x:c r="B5364" s="274" t="n">
        <x:v>4.18</x:v>
      </x:c>
      <x:c r="C5364" s="274" t="n">
        <x:v>0</x:v>
      </x:c>
      <x:c r="D5364" s="274" t="n">
        <x:v>32</x:v>
      </x:c>
      <x:c r="E5364" s="274" t="n">
        <x:v>40</x:v>
      </x:c>
      <x:c r="F5364" s="274" t="s">
        <x:v>333</x:v>
      </x:c>
      <x:c r="G5364" s="274" t="s">
        <x:v>124</x:v>
      </x:c>
      <x:c r="I5364" s="274" t="n">
        <x:v>1</x:v>
      </x:c>
      <x:c r="J5364" s="274" t="n">
        <x:v>1090</x:v>
      </x:c>
      <x:c r="K5364" s="274" t="n">
        <x:v>488</x:v>
      </x:c>
      <x:c r="N5364" s="274" t="s">
        <x:v>4250</x:v>
      </x:c>
    </x:row>
    <x:row r="5365" spans="1:14">
      <x:c r="A5365" s="274" t="s">
        <x:v>9380</x:v>
      </x:c>
      <x:c r="B5365" s="274" t="n">
        <x:v>14.62</x:v>
      </x:c>
      <x:c r="C5365" s="274" t="n">
        <x:v>0</x:v>
      </x:c>
      <x:c r="D5365" s="274" t="n">
        <x:v>32</x:v>
      </x:c>
      <x:c r="E5365" s="274" t="n">
        <x:v>32</x:v>
      </x:c>
      <x:c r="F5365" s="274" t="s">
        <x:v>333</x:v>
      </x:c>
      <x:c r="G5365" s="274" t="s">
        <x:v>209</x:v>
      </x:c>
      <x:c r="I5365" s="274" t="n">
        <x:v>1.2</x:v>
      </x:c>
      <x:c r="J5365" s="274" t="n">
        <x:v>1250</x:v>
      </x:c>
      <x:c r="K5365" s="274" t="n">
        <x:v>1242</x:v>
      </x:c>
      <x:c r="N5365" s="274" t="s">
        <x:v>131</x:v>
      </x:c>
    </x:row>
    <x:row r="5366" spans="1:14">
      <x:c r="A5366" s="274" t="s">
        <x:v>9381</x:v>
      </x:c>
      <x:c r="B5366" s="274" t="n">
        <x:v>14.51</x:v>
      </x:c>
      <x:c r="C5366" s="274" t="n">
        <x:v>0</x:v>
      </x:c>
      <x:c r="D5366" s="274" t="n">
        <x:v>32</x:v>
      </x:c>
      <x:c r="E5366" s="274" t="n">
        <x:v>32</x:v>
      </x:c>
      <x:c r="F5366" s="274" t="s">
        <x:v>333</x:v>
      </x:c>
      <x:c r="G5366" s="274" t="s">
        <x:v>209</x:v>
      </x:c>
      <x:c r="I5366" s="274" t="n">
        <x:v>1.2</x:v>
      </x:c>
      <x:c r="J5366" s="274" t="n">
        <x:v>1250</x:v>
      </x:c>
      <x:c r="K5366" s="274" t="n">
        <x:v>1232</x:v>
      </x:c>
      <x:c r="N5366" s="274" t="s">
        <x:v>131</x:v>
      </x:c>
    </x:row>
    <x:row r="5367" spans="1:14">
      <x:c r="A5367" s="274" t="s">
        <x:v>9382</x:v>
      </x:c>
      <x:c r="B5367" s="274" t="n">
        <x:v>5.18</x:v>
      </x:c>
      <x:c r="C5367" s="274" t="n">
        <x:v>0</x:v>
      </x:c>
      <x:c r="D5367" s="274" t="n">
        <x:v>32</x:v>
      </x:c>
      <x:c r="E5367" s="274" t="n">
        <x:v>40</x:v>
      </x:c>
      <x:c r="F5367" s="274" t="s">
        <x:v>333</x:v>
      </x:c>
      <x:c r="G5367" s="274" t="s">
        <x:v>209</x:v>
      </x:c>
      <x:c r="I5367" s="274" t="n">
        <x:v>1.2</x:v>
      </x:c>
      <x:c r="J5367" s="274" t="n">
        <x:v>1250</x:v>
      </x:c>
      <x:c r="K5367" s="274" t="n">
        <x:v>440</x:v>
      </x:c>
      <x:c r="N5367" s="274" t="s">
        <x:v>131</x:v>
      </x:c>
    </x:row>
    <x:row r="5368" spans="1:14">
      <x:c r="A5368" s="274" t="s">
        <x:v>9383</x:v>
      </x:c>
      <x:c r="B5368" s="274" t="n">
        <x:v>4.88</x:v>
      </x:c>
      <x:c r="C5368" s="274" t="n">
        <x:v>0</x:v>
      </x:c>
      <x:c r="D5368" s="274" t="n">
        <x:v>32</x:v>
      </x:c>
      <x:c r="E5368" s="274" t="n">
        <x:v>40</x:v>
      </x:c>
      <x:c r="F5368" s="274" t="s">
        <x:v>333</x:v>
      </x:c>
      <x:c r="G5368" s="274" t="s">
        <x:v>124</x:v>
      </x:c>
      <x:c r="I5368" s="274" t="n">
        <x:v>1.2</x:v>
      </x:c>
      <x:c r="J5368" s="274" t="n">
        <x:v>1020</x:v>
      </x:c>
      <x:c r="K5368" s="274" t="n">
        <x:v>508</x:v>
      </x:c>
      <x:c r="M5368" s="274" t="s">
        <x:v>9384</x:v>
      </x:c>
    </x:row>
    <x:row r="5369" spans="1:14">
      <x:c r="A5369" s="274" t="s">
        <x:v>9385</x:v>
      </x:c>
      <x:c r="B5369" s="274" t="n">
        <x:v>5.28</x:v>
      </x:c>
      <x:c r="C5369" s="274" t="n">
        <x:v>0</x:v>
      </x:c>
      <x:c r="D5369" s="274" t="n">
        <x:v>32</x:v>
      </x:c>
      <x:c r="E5369" s="274" t="n">
        <x:v>40</x:v>
      </x:c>
      <x:c r="F5369" s="274" t="s">
        <x:v>333</x:v>
      </x:c>
      <x:c r="G5369" s="274" t="s">
        <x:v>124</x:v>
      </x:c>
      <x:c r="I5369" s="274" t="n">
        <x:v>1.2</x:v>
      </x:c>
      <x:c r="J5369" s="274" t="n">
        <x:v>1020</x:v>
      </x:c>
      <x:c r="K5369" s="274" t="n">
        <x:v>549</x:v>
      </x:c>
      <x:c r="M5369" s="274" t="s">
        <x:v>9386</x:v>
      </x:c>
      <x:c r="N5369" s="274" t="s">
        <x:v>155</x:v>
      </x:c>
    </x:row>
    <x:row r="5370" spans="1:14">
      <x:c r="A5370" s="274" t="s">
        <x:v>9387</x:v>
      </x:c>
      <x:c r="B5370" s="274" t="n">
        <x:v>11.98</x:v>
      </x:c>
      <x:c r="C5370" s="274" t="n">
        <x:v>0</x:v>
      </x:c>
      <x:c r="D5370" s="274" t="n">
        <x:v>30</x:v>
      </x:c>
      <x:c r="E5370" s="274" t="n">
        <x:v>40</x:v>
      </x:c>
      <x:c r="F5370" s="274" t="s">
        <x:v>333</x:v>
      </x:c>
      <x:c r="G5370" s="274" t="s">
        <x:v>124</x:v>
      </x:c>
      <x:c r="I5370" s="274" t="n">
        <x:v>1.4</x:v>
      </x:c>
      <x:c r="J5370" s="274" t="n">
        <x:v>1135</x:v>
      </x:c>
      <x:c r="K5370" s="274" t="n">
        <x:v>960</x:v>
      </x:c>
      <x:c r="N5370" s="274" t="s">
        <x:v>765</x:v>
      </x:c>
    </x:row>
    <x:row r="5371" spans="1:14">
      <x:c r="A5371" s="274" t="s">
        <x:v>9388</x:v>
      </x:c>
      <x:c r="B5371" s="274" t="n">
        <x:v>15.39</x:v>
      </x:c>
      <x:c r="C5371" s="274" t="n">
        <x:v>0</x:v>
      </x:c>
      <x:c r="D5371" s="274" t="n">
        <x:v>30</x:v>
      </x:c>
      <x:c r="E5371" s="274" t="n">
        <x:v>37</x:v>
      </x:c>
      <x:c r="F5371" s="274" t="s">
        <x:v>333</x:v>
      </x:c>
      <x:c r="G5371" s="274" t="s">
        <x:v>209</x:v>
      </x:c>
      <x:c r="I5371" s="274" t="n">
        <x:v>1.6</x:v>
      </x:c>
      <x:c r="J5371" s="274" t="n">
        <x:v>1225</x:v>
      </x:c>
      <x:c r="K5371" s="274" t="n">
        <x:v>1000</x:v>
      </x:c>
      <x:c r="M5371" s="274" t="s">
        <x:v>9389</x:v>
      </x:c>
      <x:c r="N5371" s="274" t="s">
        <x:v>299</x:v>
      </x:c>
    </x:row>
    <x:row r="5372" spans="1:14">
      <x:c r="A5372" s="274" t="s">
        <x:v>9390</x:v>
      </x:c>
      <x:c r="B5372" s="274" t="n">
        <x:v>3.77</x:v>
      </x:c>
      <x:c r="C5372" s="274" t="n">
        <x:v>0</x:v>
      </x:c>
      <x:c r="D5372" s="274" t="n">
        <x:v>32</x:v>
      </x:c>
      <x:c r="E5372" s="274" t="n">
        <x:v>40</x:v>
      </x:c>
      <x:c r="F5372" s="274" t="s">
        <x:v>333</x:v>
      </x:c>
      <x:c r="G5372" s="274" t="s">
        <x:v>209</x:v>
      </x:c>
      <x:c r="I5372" s="274" t="n">
        <x:v>0.7</x:v>
      </x:c>
      <x:c r="J5372" s="274" t="n">
        <x:v>1160</x:v>
      </x:c>
      <x:c r="K5372" s="274" t="n">
        <x:v>592</x:v>
      </x:c>
      <x:c r="N5372" s="274" t="s">
        <x:v>131</x:v>
      </x:c>
    </x:row>
    <x:row r="5373" spans="1:14">
      <x:c r="A5373" s="274" t="s">
        <x:v>9391</x:v>
      </x:c>
      <x:c r="B5373" s="274" t="n">
        <x:v>3.3</x:v>
      </x:c>
      <x:c r="C5373" s="274" t="n">
        <x:v>0</x:v>
      </x:c>
      <x:c r="D5373" s="274" t="n">
        <x:v>32</x:v>
      </x:c>
      <x:c r="E5373" s="274" t="n">
        <x:v>40</x:v>
      </x:c>
      <x:c r="F5373" s="274" t="s">
        <x:v>333</x:v>
      </x:c>
      <x:c r="G5373" s="274" t="s">
        <x:v>124</x:v>
      </x:c>
      <x:c r="I5373" s="274" t="n">
        <x:v>1</x:v>
      </x:c>
      <x:c r="J5373" s="274" t="n">
        <x:v>700</x:v>
      </x:c>
      <x:c r="K5373" s="274" t="n">
        <x:v>600</x:v>
      </x:c>
      <x:c r="M5373" s="274" t="s">
        <x:v>9392</x:v>
      </x:c>
      <x:c r="N5373" s="274" t="s">
        <x:v>787</x:v>
      </x:c>
    </x:row>
    <x:row r="5374" spans="1:14">
      <x:c r="A5374" s="274" t="s">
        <x:v>9393</x:v>
      </x:c>
      <x:c r="B5374" s="274" t="n">
        <x:v>1.15</x:v>
      </x:c>
      <x:c r="C5374" s="274" t="n">
        <x:v>0</x:v>
      </x:c>
      <x:c r="D5374" s="274" t="n">
        <x:v>0</x:v>
      </x:c>
      <x:c r="E5374" s="274" t="n">
        <x:v>0</x:v>
      </x:c>
      <x:c r="F5374" s="274" t="s">
        <x:v>333</x:v>
      </x:c>
      <x:c r="G5374" s="274" t="s">
        <x:v>209</x:v>
      </x:c>
      <x:c r="I5374" s="274" t="n">
        <x:v>1.2</x:v>
      </x:c>
      <x:c r="J5374" s="274" t="n">
        <x:v>104</x:v>
      </x:c>
      <x:c r="K5374" s="274" t="n">
        <x:v>1174</x:v>
      </x:c>
      <x:c r="M5374" s="274" t="s">
        <x:v>9394</x:v>
      </x:c>
      <x:c r="N5374" s="274" t="s">
        <x:v>155</x:v>
      </x:c>
    </x:row>
    <x:row r="5375" spans="1:14">
      <x:c r="A5375" s="274" t="s">
        <x:v>9395</x:v>
      </x:c>
      <x:c r="B5375" s="274" t="n">
        <x:v>0.26</x:v>
      </x:c>
      <x:c r="C5375" s="274" t="n">
        <x:v>0</x:v>
      </x:c>
      <x:c r="D5375" s="274" t="n">
        <x:v>0</x:v>
      </x:c>
      <x:c r="E5375" s="274" t="n">
        <x:v>0</x:v>
      </x:c>
      <x:c r="F5375" s="274" t="s">
        <x:v>333</x:v>
      </x:c>
      <x:c r="G5375" s="274" t="s">
        <x:v>209</x:v>
      </x:c>
      <x:c r="I5375" s="274" t="n">
        <x:v>1.2</x:v>
      </x:c>
      <x:c r="J5375" s="274" t="n">
        <x:v>75</x:v>
      </x:c>
      <x:c r="K5375" s="274" t="n">
        <x:v>370</x:v>
      </x:c>
      <x:c r="M5375" s="274" t="s">
        <x:v>1294</x:v>
      </x:c>
      <x:c r="N5375" s="274" t="s">
        <x:v>155</x:v>
      </x:c>
    </x:row>
    <x:row r="5376" spans="1:14">
      <x:c r="A5376" s="274" t="s">
        <x:v>9396</x:v>
      </x:c>
      <x:c r="B5376" s="274" t="n">
        <x:v>33.07</x:v>
      </x:c>
      <x:c r="C5376" s="274" t="n">
        <x:v>0</x:v>
      </x:c>
      <x:c r="D5376" s="274" t="n">
        <x:v>30</x:v>
      </x:c>
      <x:c r="E5376" s="274" t="n">
        <x:v>40</x:v>
      </x:c>
      <x:c r="F5376" s="274" t="s">
        <x:v>133</x:v>
      </x:c>
      <x:c r="G5376" s="274" t="s">
        <x:v>148</x:v>
      </x:c>
      <x:c r="I5376" s="274" t="n">
        <x:v>6</x:v>
      </x:c>
      <x:c r="J5376" s="274" t="n">
        <x:v>1190</x:v>
      </x:c>
      <x:c r="K5376" s="274" t="n">
        <x:v>590</x:v>
      </x:c>
      <x:c r="N5376" s="274" t="s">
        <x:v>299</x:v>
      </x:c>
    </x:row>
    <x:row r="5377" spans="1:14">
      <x:c r="A5377" s="274" t="s">
        <x:v>9397</x:v>
      </x:c>
      <x:c r="B5377" s="274" t="n">
        <x:v>0.8</x:v>
      </x:c>
      <x:c r="C5377" s="274" t="n">
        <x:v>0</x:v>
      </x:c>
      <x:c r="D5377" s="274" t="n">
        <x:v>0</x:v>
      </x:c>
      <x:c r="E5377" s="274" t="n">
        <x:v>0</x:v>
      </x:c>
      <x:c r="F5377" s="274" t="s">
        <x:v>133</x:v>
      </x:c>
      <x:c r="G5377" s="274" t="s">
        <x:v>134</x:v>
      </x:c>
      <x:c r="I5377" s="274" t="n">
        <x:v>2.6</x:v>
      </x:c>
      <x:c r="J5377" s="274" t="n">
        <x:v>237</x:v>
      </x:c>
      <x:c r="K5377" s="274" t="n">
        <x:v>165</x:v>
      </x:c>
      <x:c r="N5377" s="274" t="s">
        <x:v>131</x:v>
      </x:c>
    </x:row>
    <x:row r="5378" spans="1:14">
      <x:c r="A5378" s="274" t="s">
        <x:v>9398</x:v>
      </x:c>
      <x:c r="B5378" s="274" t="n">
        <x:v>4.8</x:v>
      </x:c>
      <x:c r="C5378" s="274" t="n">
        <x:v>0</x:v>
      </x:c>
      <x:c r="D5378" s="274" t="n">
        <x:v>32</x:v>
      </x:c>
      <x:c r="E5378" s="274" t="n">
        <x:v>40</x:v>
      </x:c>
      <x:c r="F5378" s="274" t="s">
        <x:v>133</x:v>
      </x:c>
      <x:c r="G5378" s="274" t="s">
        <x:v>136</x:v>
      </x:c>
      <x:c r="H5378" s="274" t="n">
        <x:v>45</x:v>
      </x:c>
      <x:c r="I5378" s="274" t="n">
        <x:v>0.6</x:v>
      </x:c>
      <x:c r="J5378" s="274" t="n">
        <x:v>1075</x:v>
      </x:c>
      <x:c r="K5378" s="274" t="n">
        <x:v>930</x:v>
      </x:c>
      <x:c r="N5378" s="274" t="s">
        <x:v>807</x:v>
      </x:c>
    </x:row>
    <x:row r="5379" spans="1:14">
      <x:c r="A5379" s="274" t="s">
        <x:v>9399</x:v>
      </x:c>
      <x:c r="B5379" s="274" t="n">
        <x:v>15.82</x:v>
      </x:c>
      <x:c r="C5379" s="274" t="n">
        <x:v>0</x:v>
      </x:c>
      <x:c r="D5379" s="274" t="n">
        <x:v>30</x:v>
      </x:c>
      <x:c r="E5379" s="274" t="n">
        <x:v>40</x:v>
      </x:c>
      <x:c r="F5379" s="274" t="s">
        <x:v>133</x:v>
      </x:c>
      <x:c r="G5379" s="274" t="s">
        <x:v>134</x:v>
      </x:c>
      <x:c r="I5379" s="274" t="n">
        <x:v>2.9</x:v>
      </x:c>
      <x:c r="J5379" s="274" t="n">
        <x:v>1100</x:v>
      </x:c>
      <x:c r="K5379" s="274" t="n">
        <x:v>632</x:v>
      </x:c>
      <x:c r="N5379" s="274" t="s">
        <x:v>126</x:v>
      </x:c>
    </x:row>
    <x:row r="5380" spans="1:14">
      <x:c r="A5380" s="274" t="s">
        <x:v>9400</x:v>
      </x:c>
      <x:c r="B5380" s="274" t="n">
        <x:v>18.48</x:v>
      </x:c>
      <x:c r="C5380" s="274" t="n">
        <x:v>0</x:v>
      </x:c>
      <x:c r="D5380" s="274" t="n">
        <x:v>30</x:v>
      </x:c>
      <x:c r="E5380" s="274" t="n">
        <x:v>28</x:v>
      </x:c>
      <x:c r="F5380" s="274" t="s">
        <x:v>133</x:v>
      </x:c>
      <x:c r="G5380" s="274" t="s">
        <x:v>134</x:v>
      </x:c>
      <x:c r="I5380" s="274" t="n">
        <x:v>2</x:v>
      </x:c>
      <x:c r="J5380" s="274" t="n">
        <x:v>1085</x:v>
      </x:c>
      <x:c r="K5380" s="274" t="n">
        <x:v>1085</x:v>
      </x:c>
      <x:c r="N5380" s="274" t="s">
        <x:v>1157</x:v>
      </x:c>
    </x:row>
    <x:row r="5381" spans="1:14">
      <x:c r="A5381" s="274" t="s">
        <x:v>9401</x:v>
      </x:c>
      <x:c r="B5381" s="274" t="n">
        <x:v>0.14</x:v>
      </x:c>
      <x:c r="C5381" s="274" t="n">
        <x:v>0</x:v>
      </x:c>
      <x:c r="D5381" s="274" t="n">
        <x:v>0</x:v>
      </x:c>
      <x:c r="E5381" s="274" t="n">
        <x:v>0</x:v>
      </x:c>
      <x:c r="F5381" s="274" t="s">
        <x:v>184</x:v>
      </x:c>
      <x:c r="G5381" s="274" t="s">
        <x:v>129</x:v>
      </x:c>
      <x:c r="H5381" s="274" t="n">
        <x:v>45</x:v>
      </x:c>
      <x:c r="I5381" s="274" t="n">
        <x:v>1</x:v>
      </x:c>
      <x:c r="J5381" s="274" t="n">
        <x:v>103</x:v>
      </x:c>
      <x:c r="K5381" s="274" t="n">
        <x:v>168</x:v>
      </x:c>
      <x:c r="M5381" s="274" t="s">
        <x:v>9402</x:v>
      </x:c>
      <x:c r="N5381" s="274" t="s">
        <x:v>155</x:v>
      </x:c>
    </x:row>
    <x:row r="5382" spans="1:14">
      <x:c r="A5382" s="274" t="s">
        <x:v>9403</x:v>
      </x:c>
      <x:c r="B5382" s="274" t="n">
        <x:v>10.75</x:v>
      </x:c>
      <x:c r="C5382" s="274" t="n">
        <x:v>0</x:v>
      </x:c>
      <x:c r="D5382" s="274" t="n">
        <x:v>30</x:v>
      </x:c>
      <x:c r="E5382" s="274" t="n">
        <x:v>40</x:v>
      </x:c>
      <x:c r="F5382" s="274" t="s">
        <x:v>133</x:v>
      </x:c>
      <x:c r="G5382" s="274" t="s">
        <x:v>136</x:v>
      </x:c>
      <x:c r="H5382" s="274" t="n">
        <x:v>45</x:v>
      </x:c>
      <x:c r="I5382" s="274" t="n">
        <x:v>1.6</x:v>
      </x:c>
      <x:c r="J5382" s="274" t="n">
        <x:v>1205</x:v>
      </x:c>
      <x:c r="K5382" s="274" t="n">
        <x:v>705</x:v>
      </x:c>
      <x:c r="N5382" s="274" t="s">
        <x:v>421</x:v>
      </x:c>
    </x:row>
    <x:row r="5383" spans="1:14">
      <x:c r="A5383" s="274" t="s">
        <x:v>9404</x:v>
      </x:c>
      <x:c r="B5383" s="274" t="n">
        <x:v>10.32</x:v>
      </x:c>
      <x:c r="C5383" s="274" t="n">
        <x:v>0</x:v>
      </x:c>
      <x:c r="D5383" s="274" t="n">
        <x:v>32</x:v>
      </x:c>
      <x:c r="E5383" s="274" t="n">
        <x:v>32</x:v>
      </x:c>
      <x:c r="F5383" s="274" t="s">
        <x:v>133</x:v>
      </x:c>
      <x:c r="G5383" s="274" t="s">
        <x:v>136</x:v>
      </x:c>
      <x:c r="H5383" s="274" t="n">
        <x:v>45</x:v>
      </x:c>
      <x:c r="I5383" s="274" t="n">
        <x:v>1</x:v>
      </x:c>
      <x:c r="J5383" s="274" t="n">
        <x:v>1040</x:v>
      </x:c>
      <x:c r="K5383" s="274" t="n">
        <x:v>1250</x:v>
      </x:c>
      <x:c r="N5383" s="274" t="s">
        <x:v>441</x:v>
      </x:c>
    </x:row>
    <x:row r="5384" spans="1:14">
      <x:c r="A5384" s="274" t="s">
        <x:v>9405</x:v>
      </x:c>
      <x:c r="B5384" s="274" t="n">
        <x:v>9.08</x:v>
      </x:c>
      <x:c r="C5384" s="274" t="n">
        <x:v>0</x:v>
      </x:c>
      <x:c r="D5384" s="274" t="n">
        <x:v>30</x:v>
      </x:c>
      <x:c r="E5384" s="274" t="n">
        <x:v>40</x:v>
      </x:c>
      <x:c r="F5384" s="274" t="s">
        <x:v>133</x:v>
      </x:c>
      <x:c r="G5384" s="274" t="s">
        <x:v>124</x:v>
      </x:c>
      <x:c r="I5384" s="274" t="n">
        <x:v>1.6</x:v>
      </x:c>
      <x:c r="J5384" s="274" t="n">
        <x:v>1240</x:v>
      </x:c>
      <x:c r="K5384" s="274" t="n">
        <x:v>583</x:v>
      </x:c>
      <x:c r="N5384" s="274" t="s">
        <x:v>155</x:v>
      </x:c>
    </x:row>
    <x:row r="5385" spans="1:14">
      <x:c r="A5385" s="274" t="s">
        <x:v>9406</x:v>
      </x:c>
      <x:c r="B5385" s="274" t="n">
        <x:v>2.97</x:v>
      </x:c>
      <x:c r="C5385" s="274" t="n">
        <x:v>0</x:v>
      </x:c>
      <x:c r="D5385" s="274" t="n">
        <x:v>38</x:v>
      </x:c>
      <x:c r="E5385" s="274" t="n">
        <x:v>40</x:v>
      </x:c>
      <x:c r="F5385" s="274" t="s">
        <x:v>123</x:v>
      </x:c>
      <x:c r="G5385" s="274" t="s">
        <x:v>153</x:v>
      </x:c>
      <x:c r="I5385" s="274" t="n">
        <x:v>0.75</x:v>
      </x:c>
      <x:c r="J5385" s="274" t="n">
        <x:v>1035</x:v>
      </x:c>
      <x:c r="K5385" s="274" t="n">
        <x:v>488</x:v>
      </x:c>
      <x:c r="N5385" s="274" t="s">
        <x:v>155</x:v>
      </x:c>
    </x:row>
    <x:row r="5386" spans="1:14">
      <x:c r="A5386" s="274" t="s">
        <x:v>9407</x:v>
      </x:c>
      <x:c r="B5386" s="274" t="n">
        <x:v>4.88</x:v>
      </x:c>
      <x:c r="C5386" s="274" t="n">
        <x:v>0</x:v>
      </x:c>
      <x:c r="D5386" s="274" t="n">
        <x:v>30</x:v>
      </x:c>
      <x:c r="E5386" s="274" t="n">
        <x:v>40</x:v>
      </x:c>
      <x:c r="F5386" s="274" t="s">
        <x:v>133</x:v>
      </x:c>
      <x:c r="G5386" s="274" t="s">
        <x:v>134</x:v>
      </x:c>
      <x:c r="I5386" s="274" t="n">
        <x:v>2</x:v>
      </x:c>
      <x:c r="J5386" s="274" t="n">
        <x:v>679</x:v>
      </x:c>
      <x:c r="K5386" s="274" t="n">
        <x:v>458</x:v>
      </x:c>
      <x:c r="N5386" s="274" t="s">
        <x:v>155</x:v>
      </x:c>
    </x:row>
    <x:row r="5387" spans="1:14">
      <x:c r="A5387" s="274" t="s">
        <x:v>9408</x:v>
      </x:c>
      <x:c r="B5387" s="274" t="n">
        <x:v>0.65</x:v>
      </x:c>
      <x:c r="C5387" s="274" t="n">
        <x:v>0</x:v>
      </x:c>
      <x:c r="D5387" s="274" t="n">
        <x:v>0</x:v>
      </x:c>
      <x:c r="E5387" s="274" t="n">
        <x:v>0</x:v>
      </x:c>
      <x:c r="F5387" s="274" t="s">
        <x:v>333</x:v>
      </x:c>
      <x:c r="G5387" s="274" t="s">
        <x:v>124</x:v>
      </x:c>
      <x:c r="I5387" s="274" t="n">
        <x:v>1.6</x:v>
      </x:c>
      <x:c r="J5387" s="274" t="n">
        <x:v>205</x:v>
      </x:c>
      <x:c r="K5387" s="274" t="n">
        <x:v>254</x:v>
      </x:c>
      <x:c r="M5387" s="274" t="s">
        <x:v>9409</x:v>
      </x:c>
      <x:c r="N5387" s="274" t="s">
        <x:v>131</x:v>
      </x:c>
    </x:row>
    <x:row r="5388" spans="1:14">
      <x:c r="A5388" s="274" t="s">
        <x:v>9410</x:v>
      </x:c>
      <x:c r="B5388" s="274" t="n">
        <x:v>0.39</x:v>
      </x:c>
      <x:c r="C5388" s="274" t="n">
        <x:v>0</x:v>
      </x:c>
      <x:c r="D5388" s="274" t="n">
        <x:v>0</x:v>
      </x:c>
      <x:c r="E5388" s="274" t="n">
        <x:v>0</x:v>
      </x:c>
      <x:c r="F5388" s="274" t="s">
        <x:v>333</x:v>
      </x:c>
      <x:c r="G5388" s="274" t="s">
        <x:v>153</x:v>
      </x:c>
      <x:c r="I5388" s="274" t="n">
        <x:v>1.2</x:v>
      </x:c>
      <x:c r="J5388" s="274" t="n">
        <x:v>282</x:v>
      </x:c>
      <x:c r="K5388" s="274" t="n">
        <x:v>146</x:v>
      </x:c>
      <x:c r="M5388" s="274" t="s">
        <x:v>9411</x:v>
      </x:c>
    </x:row>
    <x:row r="5389" spans="1:14">
      <x:c r="A5389" s="274" t="s">
        <x:v>9412</x:v>
      </x:c>
      <x:c r="B5389" s="274" t="n">
        <x:v>6.53</x:v>
      </x:c>
      <x:c r="C5389" s="274" t="n">
        <x:v>0</x:v>
      </x:c>
      <x:c r="D5389" s="274" t="n">
        <x:v>30</x:v>
      </x:c>
      <x:c r="E5389" s="274" t="n">
        <x:v>40</x:v>
      </x:c>
      <x:c r="F5389" s="274" t="s">
        <x:v>123</x:v>
      </x:c>
      <x:c r="G5389" s="274" t="s">
        <x:v>209</x:v>
      </x:c>
      <x:c r="I5389" s="274" t="n">
        <x:v>1.4</x:v>
      </x:c>
      <x:c r="J5389" s="274" t="n">
        <x:v>1250</x:v>
      </x:c>
      <x:c r="K5389" s="274" t="n">
        <x:v>475</x:v>
      </x:c>
      <x:c r="M5389" s="274" t="s">
        <x:v>9413</x:v>
      </x:c>
    </x:row>
    <x:row r="5390" spans="1:14">
      <x:c r="A5390" s="274" t="s">
        <x:v>9414</x:v>
      </x:c>
      <x:c r="B5390" s="274" t="n">
        <x:v>28.27</x:v>
      </x:c>
      <x:c r="C5390" s="274" t="n">
        <x:v>0</x:v>
      </x:c>
      <x:c r="D5390" s="274" t="n">
        <x:v>30</x:v>
      </x:c>
      <x:c r="E5390" s="274" t="n">
        <x:v>26</x:v>
      </x:c>
      <x:c r="F5390" s="274" t="s">
        <x:v>133</x:v>
      </x:c>
      <x:c r="G5390" s="274" t="s">
        <x:v>134</x:v>
      </x:c>
      <x:c r="I5390" s="274" t="n">
        <x:v>2.8</x:v>
      </x:c>
      <x:c r="J5390" s="274" t="n">
        <x:v>1145</x:v>
      </x:c>
      <x:c r="K5390" s="274" t="n">
        <x:v>1123</x:v>
      </x:c>
      <x:c r="M5390" s="274" t="s">
        <x:v>9415</x:v>
      </x:c>
    </x:row>
    <x:row r="5391" spans="1:14">
      <x:c r="A5391" s="274" t="s">
        <x:v>9416</x:v>
      </x:c>
      <x:c r="B5391" s="274" t="n">
        <x:v>10.93</x:v>
      </x:c>
      <x:c r="C5391" s="274" t="n">
        <x:v>0</x:v>
      </x:c>
      <x:c r="D5391" s="274" t="n">
        <x:v>32</x:v>
      </x:c>
      <x:c r="E5391" s="274" t="n">
        <x:v>27</x:v>
      </x:c>
      <x:c r="F5391" s="274" t="s">
        <x:v>133</x:v>
      </x:c>
      <x:c r="G5391" s="274" t="s">
        <x:v>136</x:v>
      </x:c>
      <x:c r="H5391" s="274" t="n">
        <x:v>45</x:v>
      </x:c>
      <x:c r="I5391" s="274" t="n">
        <x:v>0.7</x:v>
      </x:c>
      <x:c r="J5391" s="274" t="n">
        <x:v>1208</x:v>
      </x:c>
      <x:c r="K5391" s="274" t="n">
        <x:v>1620</x:v>
      </x:c>
      <x:c r="N5391" s="274" t="s">
        <x:v>155</x:v>
      </x:c>
    </x:row>
    <x:row r="5392" spans="1:14">
      <x:c r="A5392" s="274" t="s">
        <x:v>9417</x:v>
      </x:c>
      <x:c r="B5392" s="274" t="n">
        <x:v>1.25</x:v>
      </x:c>
      <x:c r="C5392" s="274" t="n">
        <x:v>0</x:v>
      </x:c>
      <x:c r="D5392" s="274" t="n">
        <x:v>0</x:v>
      </x:c>
      <x:c r="E5392" s="274" t="n">
        <x:v>0</x:v>
      </x:c>
      <x:c r="F5392" s="274" t="s">
        <x:v>133</x:v>
      </x:c>
      <x:c r="G5392" s="274" t="s">
        <x:v>136</x:v>
      </x:c>
      <x:c r="H5392" s="274" t="n">
        <x:v>45</x:v>
      </x:c>
      <x:c r="I5392" s="274" t="n">
        <x:v>0.65</x:v>
      </x:c>
      <x:c r="J5392" s="274" t="n">
        <x:v>240</x:v>
      </x:c>
      <x:c r="K5392" s="274" t="n">
        <x:v>1000</x:v>
      </x:c>
      <x:c r="M5392" s="274" t="s">
        <x:v>9312</x:v>
      </x:c>
      <x:c r="N5392" s="274" t="s">
        <x:v>202</x:v>
      </x:c>
    </x:row>
    <x:row r="5393" spans="1:14">
      <x:c r="A5393" s="274" t="s">
        <x:v>9418</x:v>
      </x:c>
      <x:c r="B5393" s="274" t="n">
        <x:v>4.14</x:v>
      </x:c>
      <x:c r="C5393" s="274" t="n">
        <x:v>0</x:v>
      </x:c>
      <x:c r="D5393" s="274" t="n">
        <x:v>0</x:v>
      </x:c>
      <x:c r="E5393" s="274" t="n">
        <x:v>0</x:v>
      </x:c>
      <x:c r="F5393" s="274" t="s">
        <x:v>128</x:v>
      </x:c>
      <x:c r="G5393" s="274" t="s">
        <x:v>139</x:v>
      </x:c>
      <x:c r="I5393" s="274" t="n">
        <x:v>2.6</x:v>
      </x:c>
      <x:c r="J5393" s="274" t="n">
        <x:v>165</x:v>
      </x:c>
      <x:c r="K5393" s="274" t="n">
        <x:v>1230</x:v>
      </x:c>
      <x:c r="M5393" s="274" t="s">
        <x:v>9419</x:v>
      </x:c>
      <x:c r="N5393" s="274" t="s">
        <x:v>363</x:v>
      </x:c>
    </x:row>
    <x:row r="5394" spans="1:14">
      <x:c r="A5394" s="274" t="s">
        <x:v>9420</x:v>
      </x:c>
      <x:c r="B5394" s="274" t="n">
        <x:v>26.8</x:v>
      </x:c>
      <x:c r="C5394" s="274" t="n">
        <x:v>0</x:v>
      </x:c>
      <x:c r="D5394" s="274" t="n">
        <x:v>30</x:v>
      </x:c>
      <x:c r="E5394" s="274" t="n">
        <x:v>28</x:v>
      </x:c>
      <x:c r="F5394" s="274" t="s">
        <x:v>133</x:v>
      </x:c>
      <x:c r="G5394" s="274" t="s">
        <x:v>148</x:v>
      </x:c>
      <x:c r="I5394" s="274" t="n">
        <x:v>3.2</x:v>
      </x:c>
      <x:c r="J5394" s="274" t="n">
        <x:v>975</x:v>
      </x:c>
      <x:c r="K5394" s="274" t="n">
        <x:v>1094</x:v>
      </x:c>
      <x:c r="M5394" s="274" t="s">
        <x:v>9421</x:v>
      </x:c>
      <x:c r="N5394" s="274" t="s">
        <x:v>155</x:v>
      </x:c>
    </x:row>
    <x:row r="5395" spans="1:14">
      <x:c r="A5395" s="274" t="s">
        <x:v>9422</x:v>
      </x:c>
      <x:c r="B5395" s="274" t="n">
        <x:v>4.72</x:v>
      </x:c>
      <x:c r="C5395" s="274" t="n">
        <x:v>0</x:v>
      </x:c>
      <x:c r="D5395" s="274" t="n">
        <x:v>36</x:v>
      </x:c>
      <x:c r="E5395" s="274" t="n">
        <x:v>40</x:v>
      </x:c>
      <x:c r="F5395" s="274" t="s">
        <x:v>184</x:v>
      </x:c>
      <x:c r="G5395" s="274" t="s">
        <x:v>881</x:v>
      </x:c>
      <x:c r="H5395" s="274" t="n">
        <x:v>45</x:v>
      </x:c>
      <x:c r="I5395" s="274" t="n">
        <x:v>1.2</x:v>
      </x:c>
      <x:c r="J5395" s="274" t="n">
        <x:v>1157</x:v>
      </x:c>
      <x:c r="K5395" s="274" t="n">
        <x:v>429</x:v>
      </x:c>
      <x:c r="N5395" s="274" t="s">
        <x:v>155</x:v>
      </x:c>
    </x:row>
    <x:row r="5396" spans="1:14">
      <x:c r="A5396" s="274" t="s">
        <x:v>9423</x:v>
      </x:c>
      <x:c r="B5396" s="274" t="n">
        <x:v>2.83</x:v>
      </x:c>
      <x:c r="C5396" s="274" t="n">
        <x:v>0</x:v>
      </x:c>
      <x:c r="D5396" s="274" t="n">
        <x:v>32</x:v>
      </x:c>
      <x:c r="E5396" s="274" t="n">
        <x:v>40</x:v>
      </x:c>
      <x:c r="F5396" s="274" t="s">
        <x:v>133</x:v>
      </x:c>
      <x:c r="G5396" s="274" t="s">
        <x:v>124</x:v>
      </x:c>
      <x:c r="I5396" s="274" t="n">
        <x:v>0.9</x:v>
      </x:c>
      <x:c r="J5396" s="274" t="n">
        <x:v>720</x:v>
      </x:c>
      <x:c r="K5396" s="274" t="n">
        <x:v>556</x:v>
      </x:c>
      <x:c r="N5396" s="274" t="s">
        <x:v>155</x:v>
      </x:c>
    </x:row>
    <x:row r="5397" spans="1:14">
      <x:c r="A5397" s="274" t="s">
        <x:v>9424</x:v>
      </x:c>
      <x:c r="B5397" s="274" t="n">
        <x:v>5.63</x:v>
      </x:c>
      <x:c r="C5397" s="274" t="n">
        <x:v>0</x:v>
      </x:c>
      <x:c r="D5397" s="274" t="n">
        <x:v>30</x:v>
      </x:c>
      <x:c r="E5397" s="274" t="n">
        <x:v>40</x:v>
      </x:c>
      <x:c r="F5397" s="274" t="s">
        <x:v>133</x:v>
      </x:c>
      <x:c r="G5397" s="274" t="s">
        <x:v>144</x:v>
      </x:c>
      <x:c r="H5397" s="274" t="n">
        <x:v>45</x:v>
      </x:c>
      <x:c r="I5397" s="274" t="n">
        <x:v>1.4</x:v>
      </x:c>
      <x:c r="J5397" s="274" t="n">
        <x:v>890</x:v>
      </x:c>
      <x:c r="K5397" s="274" t="n">
        <x:v>571</x:v>
      </x:c>
      <x:c r="N5397" s="274" t="s">
        <x:v>155</x:v>
      </x:c>
    </x:row>
    <x:row r="5398" spans="1:14">
      <x:c r="A5398" s="274" t="s">
        <x:v>9425</x:v>
      </x:c>
      <x:c r="B5398" s="274" t="n">
        <x:v>21.79</x:v>
      </x:c>
      <x:c r="C5398" s="274" t="n">
        <x:v>0</x:v>
      </x:c>
      <x:c r="D5398" s="274" t="n">
        <x:v>30</x:v>
      </x:c>
      <x:c r="E5398" s="274" t="n">
        <x:v>25</x:v>
      </x:c>
      <x:c r="F5398" s="274" t="s">
        <x:v>133</x:v>
      </x:c>
      <x:c r="G5398" s="274" t="s">
        <x:v>148</x:v>
      </x:c>
      <x:c r="I5398" s="274" t="n">
        <x:v>2</x:v>
      </x:c>
      <x:c r="J5398" s="274" t="n">
        <x:v>1110</x:v>
      </x:c>
      <x:c r="K5398" s="274" t="n">
        <x:v>1250</x:v>
      </x:c>
      <x:c r="M5398" s="274" t="s">
        <x:v>9426</x:v>
      </x:c>
      <x:c r="N5398" s="274" t="s">
        <x:v>441</x:v>
      </x:c>
    </x:row>
    <x:row r="5399" spans="1:14">
      <x:c r="A5399" s="274" t="s">
        <x:v>9427</x:v>
      </x:c>
      <x:c r="B5399" s="274" t="n">
        <x:v>22.21</x:v>
      </x:c>
      <x:c r="C5399" s="274" t="n">
        <x:v>0</x:v>
      </x:c>
      <x:c r="D5399" s="274" t="n">
        <x:v>30</x:v>
      </x:c>
      <x:c r="E5399" s="274" t="n">
        <x:v>22</x:v>
      </x:c>
      <x:c r="F5399" s="274" t="s">
        <x:v>123</x:v>
      </x:c>
      <x:c r="G5399" s="274" t="s">
        <x:v>148</x:v>
      </x:c>
      <x:c r="I5399" s="274" t="n">
        <x:v>1.8</x:v>
      </x:c>
      <x:c r="J5399" s="274" t="n">
        <x:v>1075</x:v>
      </x:c>
      <x:c r="K5399" s="274" t="n">
        <x:v>1462</x:v>
      </x:c>
    </x:row>
    <x:row r="5400" spans="1:14">
      <x:c r="A5400" s="274" t="s">
        <x:v>9428</x:v>
      </x:c>
      <x:c r="B5400" s="274" t="n">
        <x:v>18.27</x:v>
      </x:c>
      <x:c r="C5400" s="274" t="n">
        <x:v>0</x:v>
      </x:c>
      <x:c r="D5400" s="274" t="n">
        <x:v>30</x:v>
      </x:c>
      <x:c r="E5400" s="274" t="n">
        <x:v>25</x:v>
      </x:c>
      <x:c r="F5400" s="274" t="s">
        <x:v>133</x:v>
      </x:c>
      <x:c r="G5400" s="274" t="s">
        <x:v>148</x:v>
      </x:c>
      <x:c r="I5400" s="274" t="n">
        <x:v>2</x:v>
      </x:c>
      <x:c r="J5400" s="274" t="n">
        <x:v>970</x:v>
      </x:c>
      <x:c r="K5400" s="274" t="n">
        <x:v>1200</x:v>
      </x:c>
    </x:row>
    <x:row r="5401" spans="1:14">
      <x:c r="A5401" s="274" t="s">
        <x:v>9429</x:v>
      </x:c>
      <x:c r="B5401" s="274" t="n">
        <x:v>11.39</x:v>
      </x:c>
      <x:c r="C5401" s="274" t="n">
        <x:v>0</x:v>
      </x:c>
      <x:c r="D5401" s="274" t="n">
        <x:v>30</x:v>
      </x:c>
      <x:c r="E5401" s="274" t="n">
        <x:v>40</x:v>
      </x:c>
      <x:c r="F5401" s="274" t="s">
        <x:v>133</x:v>
      </x:c>
      <x:c r="G5401" s="274" t="s">
        <x:v>134</x:v>
      </x:c>
      <x:c r="I5401" s="274" t="n">
        <x:v>2.9</x:v>
      </x:c>
      <x:c r="J5401" s="274" t="n">
        <x:v>1060</x:v>
      </x:c>
      <x:c r="K5401" s="274" t="n">
        <x:v>472</x:v>
      </x:c>
      <x:c r="N5401" s="274" t="s">
        <x:v>4250</x:v>
      </x:c>
    </x:row>
    <x:row r="5402" spans="1:14">
      <x:c r="A5402" s="274" t="s">
        <x:v>9430</x:v>
      </x:c>
      <x:c r="B5402" s="274" t="n">
        <x:v>5.49</x:v>
      </x:c>
      <x:c r="C5402" s="274" t="n">
        <x:v>0</x:v>
      </x:c>
      <x:c r="D5402" s="274" t="n">
        <x:v>40</x:v>
      </x:c>
      <x:c r="E5402" s="274" t="n">
        <x:v>40</x:v>
      </x:c>
      <x:c r="F5402" s="274" t="s">
        <x:v>133</x:v>
      </x:c>
      <x:c r="G5402" s="274" t="s">
        <x:v>136</x:v>
      </x:c>
      <x:c r="H5402" s="274" t="n">
        <x:v>45</x:v>
      </x:c>
      <x:c r="I5402" s="274" t="n">
        <x:v>1.6</x:v>
      </x:c>
      <x:c r="J5402" s="274" t="n">
        <x:v>810</x:v>
      </x:c>
      <x:c r="K5402" s="274" t="n">
        <x:v>536</x:v>
      </x:c>
      <x:c r="N5402" s="274" t="s">
        <x:v>4250</x:v>
      </x:c>
    </x:row>
    <x:row r="5403" spans="1:14">
      <x:c r="A5403" s="274" t="s">
        <x:v>9431</x:v>
      </x:c>
      <x:c r="B5403" s="274" t="n">
        <x:v>11.94</x:v>
      </x:c>
      <x:c r="C5403" s="274" t="n">
        <x:v>0</x:v>
      </x:c>
      <x:c r="D5403" s="274" t="n">
        <x:v>30</x:v>
      </x:c>
      <x:c r="E5403" s="274" t="n">
        <x:v>40</x:v>
      </x:c>
      <x:c r="F5403" s="274" t="s">
        <x:v>133</x:v>
      </x:c>
      <x:c r="G5403" s="274" t="s">
        <x:v>134</x:v>
      </x:c>
      <x:c r="I5403" s="274" t="n">
        <x:v>3.2</x:v>
      </x:c>
      <x:c r="J5403" s="274" t="n">
        <x:v>990</x:v>
      </x:c>
      <x:c r="K5403" s="274" t="n">
        <x:v>480</x:v>
      </x:c>
      <x:c r="N5403" s="274" t="s">
        <x:v>4250</x:v>
      </x:c>
    </x:row>
    <x:row r="5404" spans="1:14">
      <x:c r="A5404" s="274" t="s">
        <x:v>9432</x:v>
      </x:c>
      <x:c r="B5404" s="274" t="n">
        <x:v>11.08</x:v>
      </x:c>
      <x:c r="C5404" s="274" t="n">
        <x:v>0</x:v>
      </x:c>
      <x:c r="D5404" s="274" t="n">
        <x:v>30</x:v>
      </x:c>
      <x:c r="E5404" s="274" t="n">
        <x:v>40</x:v>
      </x:c>
      <x:c r="F5404" s="274" t="s">
        <x:v>133</x:v>
      </x:c>
      <x:c r="G5404" s="274" t="s">
        <x:v>136</x:v>
      </x:c>
      <x:c r="H5404" s="274" t="n">
        <x:v>45</x:v>
      </x:c>
      <x:c r="I5404" s="274" t="n">
        <x:v>2</x:v>
      </x:c>
      <x:c r="J5404" s="274" t="n">
        <x:v>1248</x:v>
      </x:c>
      <x:c r="K5404" s="274" t="n">
        <x:v>562</x:v>
      </x:c>
      <x:c r="N5404" s="274" t="s">
        <x:v>4250</x:v>
      </x:c>
    </x:row>
    <x:row r="5405" spans="1:14">
      <x:c r="A5405" s="274" t="s">
        <x:v>9433</x:v>
      </x:c>
      <x:c r="B5405" s="274" t="n">
        <x:v>15.23</x:v>
      </x:c>
      <x:c r="C5405" s="274" t="n">
        <x:v>0</x:v>
      </x:c>
      <x:c r="D5405" s="274" t="n">
        <x:v>30</x:v>
      </x:c>
      <x:c r="E5405" s="274" t="n">
        <x:v>28</x:v>
      </x:c>
      <x:c r="F5405" s="274" t="s">
        <x:v>133</x:v>
      </x:c>
      <x:c r="G5405" s="274" t="s">
        <x:v>148</x:v>
      </x:c>
      <x:c r="I5405" s="274" t="n">
        <x:v>2</x:v>
      </x:c>
      <x:c r="J5405" s="274" t="n">
        <x:v>970</x:v>
      </x:c>
      <x:c r="K5405" s="274" t="n">
        <x:v>1000</x:v>
      </x:c>
    </x:row>
    <x:row r="5406" spans="1:14">
      <x:c r="A5406" s="274" t="s">
        <x:v>9434</x:v>
      </x:c>
      <x:c r="B5406" s="274" t="n">
        <x:v>24.67</x:v>
      </x:c>
      <x:c r="C5406" s="274" t="n">
        <x:v>0</x:v>
      </x:c>
      <x:c r="D5406" s="274" t="n">
        <x:v>30</x:v>
      </x:c>
      <x:c r="E5406" s="274" t="n">
        <x:v>25</x:v>
      </x:c>
      <x:c r="F5406" s="274" t="s">
        <x:v>123</x:v>
      </x:c>
      <x:c r="G5406" s="274" t="s">
        <x:v>209</x:v>
      </x:c>
      <x:c r="I5406" s="274" t="n">
        <x:v>2.3</x:v>
      </x:c>
      <x:c r="J5406" s="274" t="n">
        <x:v>1115</x:v>
      </x:c>
      <x:c r="K5406" s="274" t="n">
        <x:v>1225</x:v>
      </x:c>
      <x:c r="N5406" s="274" t="s">
        <x:v>870</x:v>
      </x:c>
    </x:row>
    <x:row r="5407" spans="1:14">
      <x:c r="A5407" s="274" t="s">
        <x:v>9435</x:v>
      </x:c>
      <x:c r="B5407" s="274" t="n">
        <x:v>19.73</x:v>
      </x:c>
      <x:c r="C5407" s="274" t="n">
        <x:v>0</x:v>
      </x:c>
      <x:c r="D5407" s="274" t="n">
        <x:v>30</x:v>
      </x:c>
      <x:c r="E5407" s="274" t="n">
        <x:v>32</x:v>
      </x:c>
      <x:c r="F5407" s="274" t="s">
        <x:v>133</x:v>
      </x:c>
      <x:c r="G5407" s="274" t="s">
        <x:v>136</x:v>
      </x:c>
      <x:c r="H5407" s="274" t="n">
        <x:v>45</x:v>
      </x:c>
      <x:c r="I5407" s="274" t="n">
        <x:v>1.4</x:v>
      </x:c>
      <x:c r="J5407" s="274" t="n">
        <x:v>1425</x:v>
      </x:c>
      <x:c r="K5407" s="274" t="n">
        <x:v>1250</x:v>
      </x:c>
      <x:c r="N5407" s="274" t="s">
        <x:v>299</x:v>
      </x:c>
    </x:row>
    <x:row r="5408" spans="1:14">
      <x:c r="A5408" s="274" t="s">
        <x:v>9436</x:v>
      </x:c>
      <x:c r="B5408" s="274" t="n">
        <x:v>13.49</x:v>
      </x:c>
      <x:c r="C5408" s="274" t="n">
        <x:v>0</x:v>
      </x:c>
      <x:c r="D5408" s="274" t="n">
        <x:v>32</x:v>
      </x:c>
      <x:c r="E5408" s="274" t="n">
        <x:v>30</x:v>
      </x:c>
      <x:c r="F5408" s="274" t="s">
        <x:v>123</x:v>
      </x:c>
      <x:c r="G5408" s="274" t="s">
        <x:v>153</x:v>
      </x:c>
      <x:c r="I5408" s="274" t="n">
        <x:v>1.2</x:v>
      </x:c>
      <x:c r="J5408" s="274" t="n">
        <x:v>1065</x:v>
      </x:c>
      <x:c r="K5408" s="274" t="n">
        <x:v>1345</x:v>
      </x:c>
    </x:row>
    <x:row r="5409" spans="1:14">
      <x:c r="A5409" s="274" t="s">
        <x:v>9437</x:v>
      </x:c>
      <x:c r="B5409" s="274" t="n">
        <x:v>3.73</x:v>
      </x:c>
      <x:c r="C5409" s="274" t="n">
        <x:v>0</x:v>
      </x:c>
      <x:c r="D5409" s="274" t="n">
        <x:v>32</x:v>
      </x:c>
      <x:c r="E5409" s="274" t="n">
        <x:v>40</x:v>
      </x:c>
      <x:c r="F5409" s="274" t="s">
        <x:v>333</x:v>
      </x:c>
      <x:c r="G5409" s="274" t="s">
        <x:v>124</x:v>
      </x:c>
      <x:c r="I5409" s="274" t="n">
        <x:v>1</x:v>
      </x:c>
      <x:c r="J5409" s="274" t="n">
        <x:v>1090</x:v>
      </x:c>
      <x:c r="K5409" s="274" t="n">
        <x:v>436</x:v>
      </x:c>
      <x:c r="N5409" s="274" t="s">
        <x:v>155</x:v>
      </x:c>
    </x:row>
    <x:row r="5410" spans="1:14">
      <x:c r="A5410" s="274" t="s">
        <x:v>9438</x:v>
      </x:c>
      <x:c r="B5410" s="274" t="n">
        <x:v>34.22</x:v>
      </x:c>
      <x:c r="C5410" s="274" t="n">
        <x:v>0</x:v>
      </x:c>
      <x:c r="D5410" s="274" t="n">
        <x:v>30</x:v>
      </x:c>
      <x:c r="E5410" s="274" t="n">
        <x:v>26</x:v>
      </x:c>
      <x:c r="F5410" s="274" t="s">
        <x:v>311</x:v>
      </x:c>
      <x:c r="G5410" s="274" t="s">
        <x:v>134</x:v>
      </x:c>
      <x:c r="I5410" s="274" t="n">
        <x:v>3.4</x:v>
      </x:c>
      <x:c r="J5410" s="274" t="n">
        <x:v>1125</x:v>
      </x:c>
      <x:c r="K5410" s="274" t="n">
        <x:v>1140</x:v>
      </x:c>
    </x:row>
    <x:row r="5411" spans="1:14">
      <x:c r="A5411" s="274" t="s">
        <x:v>9439</x:v>
      </x:c>
      <x:c r="B5411" s="274" t="n">
        <x:v>12.64</x:v>
      </x:c>
      <x:c r="C5411" s="274" t="n">
        <x:v>0</x:v>
      </x:c>
      <x:c r="D5411" s="274" t="n">
        <x:v>30</x:v>
      </x:c>
      <x:c r="E5411" s="274" t="n">
        <x:v>40</x:v>
      </x:c>
      <x:c r="F5411" s="274" t="s">
        <x:v>311</x:v>
      </x:c>
      <x:c r="G5411" s="274" t="s">
        <x:v>134</x:v>
      </x:c>
      <x:c r="I5411" s="274" t="n">
        <x:v>3.4</x:v>
      </x:c>
      <x:c r="J5411" s="274" t="n">
        <x:v>1125</x:v>
      </x:c>
      <x:c r="K5411" s="274" t="n">
        <x:v>421</x:v>
      </x:c>
      <x:c r="N5411" s="274" t="s">
        <x:v>299</x:v>
      </x:c>
    </x:row>
    <x:row r="5412" spans="1:14">
      <x:c r="A5412" s="274" t="s">
        <x:v>9440</x:v>
      </x:c>
      <x:c r="B5412" s="274" t="n">
        <x:v>3.06</x:v>
      </x:c>
      <x:c r="C5412" s="274" t="n">
        <x:v>0</x:v>
      </x:c>
      <x:c r="D5412" s="274" t="n">
        <x:v>32</x:v>
      </x:c>
      <x:c r="E5412" s="274" t="n">
        <x:v>40</x:v>
      </x:c>
      <x:c r="F5412" s="274" t="s">
        <x:v>123</x:v>
      </x:c>
      <x:c r="G5412" s="274" t="s">
        <x:v>209</x:v>
      </x:c>
      <x:c r="I5412" s="274" t="n">
        <x:v>0.75</x:v>
      </x:c>
      <x:c r="J5412" s="274" t="n">
        <x:v>1000</x:v>
      </x:c>
      <x:c r="K5412" s="274" t="n">
        <x:v>520</x:v>
      </x:c>
      <x:c r="N5412" s="274" t="s">
        <x:v>299</x:v>
      </x:c>
    </x:row>
    <x:row r="5413" spans="1:14">
      <x:c r="A5413" s="274" t="s">
        <x:v>9441</x:v>
      </x:c>
      <x:c r="B5413" s="274" t="n">
        <x:v>20.91</x:v>
      </x:c>
      <x:c r="C5413" s="274" t="n">
        <x:v>0</x:v>
      </x:c>
      <x:c r="D5413" s="274" t="n">
        <x:v>30</x:v>
      </x:c>
      <x:c r="E5413" s="274" t="n">
        <x:v>25</x:v>
      </x:c>
      <x:c r="F5413" s="274" t="s">
        <x:v>133</x:v>
      </x:c>
      <x:c r="G5413" s="274" t="s">
        <x:v>148</x:v>
      </x:c>
      <x:c r="I5413" s="274" t="n">
        <x:v>2</x:v>
      </x:c>
      <x:c r="J5413" s="274" t="n">
        <x:v>1110</x:v>
      </x:c>
      <x:c r="K5413" s="274" t="n">
        <x:v>1200</x:v>
      </x:c>
      <x:c r="M5413" s="274" t="s">
        <x:v>9442</x:v>
      </x:c>
    </x:row>
    <x:row r="5414" spans="1:14">
      <x:c r="A5414" s="274" t="s">
        <x:v>9443</x:v>
      </x:c>
      <x:c r="B5414" s="274" t="n">
        <x:v>7.05</x:v>
      </x:c>
      <x:c r="C5414" s="274" t="n">
        <x:v>0</x:v>
      </x:c>
      <x:c r="D5414" s="274" t="n">
        <x:v>32</x:v>
      </x:c>
      <x:c r="E5414" s="274" t="n">
        <x:v>40</x:v>
      </x:c>
      <x:c r="F5414" s="274" t="s">
        <x:v>333</x:v>
      </x:c>
      <x:c r="G5414" s="274" t="s">
        <x:v>209</x:v>
      </x:c>
      <x:c r="I5414" s="274" t="n">
        <x:v>1.2</x:v>
      </x:c>
      <x:c r="J5414" s="274" t="n">
        <x:v>1170</x:v>
      </x:c>
      <x:c r="K5414" s="274" t="n">
        <x:v>640</x:v>
      </x:c>
      <x:c r="N5414" s="274" t="s">
        <x:v>299</x:v>
      </x:c>
    </x:row>
    <x:row r="5415" spans="1:14">
      <x:c r="A5415" s="274" t="s">
        <x:v>9444</x:v>
      </x:c>
      <x:c r="B5415" s="274" t="n">
        <x:v>12.12</x:v>
      </x:c>
      <x:c r="C5415" s="274" t="n">
        <x:v>0</x:v>
      </x:c>
      <x:c r="D5415" s="274" t="n">
        <x:v>32</x:v>
      </x:c>
      <x:c r="E5415" s="274" t="n">
        <x:v>35</x:v>
      </x:c>
      <x:c r="F5415" s="274" t="s">
        <x:v>333</x:v>
      </x:c>
      <x:c r="G5415" s="274" t="s">
        <x:v>209</x:v>
      </x:c>
      <x:c r="I5415" s="274" t="n">
        <x:v>1.2</x:v>
      </x:c>
      <x:c r="J5415" s="274" t="n">
        <x:v>1170</x:v>
      </x:c>
      <x:c r="K5415" s="274" t="n">
        <x:v>1100</x:v>
      </x:c>
      <x:c r="N5415" s="274" t="s">
        <x:v>299</x:v>
      </x:c>
    </x:row>
    <x:row r="5416" spans="1:14">
      <x:c r="A5416" s="274" t="s">
        <x:v>9445</x:v>
      </x:c>
      <x:c r="B5416" s="274" t="n">
        <x:v>5.65</x:v>
      </x:c>
      <x:c r="C5416" s="274" t="n">
        <x:v>0</x:v>
      </x:c>
      <x:c r="D5416" s="274" t="n">
        <x:v>32</x:v>
      </x:c>
      <x:c r="E5416" s="274" t="n">
        <x:v>40</x:v>
      </x:c>
      <x:c r="F5416" s="274" t="s">
        <x:v>333</x:v>
      </x:c>
      <x:c r="G5416" s="274" t="s">
        <x:v>153</x:v>
      </x:c>
      <x:c r="I5416" s="274" t="n">
        <x:v>1.2</x:v>
      </x:c>
      <x:c r="J5416" s="274" t="n">
        <x:v>1050</x:v>
      </x:c>
      <x:c r="K5416" s="274" t="n">
        <x:v>571</x:v>
      </x:c>
      <x:c r="M5416" s="274" t="s">
        <x:v>9446</x:v>
      </x:c>
      <x:c r="N5416" s="274" t="s">
        <x:v>299</x:v>
      </x:c>
    </x:row>
    <x:row r="5417" spans="1:14">
      <x:c r="A5417" s="274" t="s">
        <x:v>9447</x:v>
      </x:c>
      <x:c r="B5417" s="274" t="n">
        <x:v>5.68</x:v>
      </x:c>
      <x:c r="C5417" s="274" t="n">
        <x:v>0</x:v>
      </x:c>
      <x:c r="D5417" s="274" t="n">
        <x:v>32</x:v>
      </x:c>
      <x:c r="E5417" s="274" t="n">
        <x:v>40</x:v>
      </x:c>
      <x:c r="F5417" s="274" t="s">
        <x:v>333</x:v>
      </x:c>
      <x:c r="G5417" s="274" t="s">
        <x:v>209</x:v>
      </x:c>
      <x:c r="I5417" s="274" t="n">
        <x:v>1.2</x:v>
      </x:c>
      <x:c r="J5417" s="274" t="n">
        <x:v>1170</x:v>
      </x:c>
      <x:c r="K5417" s="274" t="n">
        <x:v>515</x:v>
      </x:c>
      <x:c r="N5417" s="274" t="s">
        <x:v>299</x:v>
      </x:c>
    </x:row>
    <x:row r="5418" spans="1:14">
      <x:c r="A5418" s="274" t="s">
        <x:v>9448</x:v>
      </x:c>
      <x:c r="B5418" s="274" t="n">
        <x:v>4.18</x:v>
      </x:c>
      <x:c r="C5418" s="274" t="n">
        <x:v>0</x:v>
      </x:c>
      <x:c r="D5418" s="274" t="n">
        <x:v>32</x:v>
      </x:c>
      <x:c r="E5418" s="274" t="n">
        <x:v>40</x:v>
      </x:c>
      <x:c r="F5418" s="274" t="s">
        <x:v>333</x:v>
      </x:c>
      <x:c r="G5418" s="274" t="s">
        <x:v>124</x:v>
      </x:c>
      <x:c r="I5418" s="274" t="n">
        <x:v>1</x:v>
      </x:c>
      <x:c r="J5418" s="274" t="n">
        <x:v>900</x:v>
      </x:c>
      <x:c r="K5418" s="274" t="n">
        <x:v>592</x:v>
      </x:c>
      <x:c r="M5418" s="274" t="s">
        <x:v>9446</x:v>
      </x:c>
      <x:c r="N5418" s="274" t="s">
        <x:v>299</x:v>
      </x:c>
    </x:row>
    <x:row r="5419" spans="1:14">
      <x:c r="A5419" s="274" t="s">
        <x:v>9449</x:v>
      </x:c>
      <x:c r="B5419" s="274" t="n">
        <x:v>4.83</x:v>
      </x:c>
      <x:c r="C5419" s="274" t="n">
        <x:v>0</x:v>
      </x:c>
      <x:c r="D5419" s="274" t="n">
        <x:v>32</x:v>
      </x:c>
      <x:c r="E5419" s="274" t="n">
        <x:v>40</x:v>
      </x:c>
      <x:c r="F5419" s="274" t="s">
        <x:v>333</x:v>
      </x:c>
      <x:c r="G5419" s="274" t="s">
        <x:v>153</x:v>
      </x:c>
      <x:c r="I5419" s="274" t="n">
        <x:v>1.2</x:v>
      </x:c>
      <x:c r="J5419" s="274" t="n">
        <x:v>1050</x:v>
      </x:c>
      <x:c r="K5419" s="274" t="n">
        <x:v>488</x:v>
      </x:c>
      <x:c r="N5419" s="274" t="s">
        <x:v>299</x:v>
      </x:c>
    </x:row>
    <x:row r="5420" spans="1:14">
      <x:c r="A5420" s="274" t="s">
        <x:v>9450</x:v>
      </x:c>
      <x:c r="B5420" s="274" t="n">
        <x:v>13.69</x:v>
      </x:c>
      <x:c r="C5420" s="274" t="n">
        <x:v>0</x:v>
      </x:c>
      <x:c r="D5420" s="274" t="n">
        <x:v>30</x:v>
      </x:c>
      <x:c r="E5420" s="274" t="n">
        <x:v>35</x:v>
      </x:c>
      <x:c r="F5420" s="274" t="s">
        <x:v>333</x:v>
      </x:c>
      <x:c r="G5420" s="274" t="s">
        <x:v>209</x:v>
      </x:c>
      <x:c r="I5420" s="274" t="n">
        <x:v>1.4</x:v>
      </x:c>
      <x:c r="J5420" s="274" t="n">
        <x:v>1065</x:v>
      </x:c>
      <x:c r="K5420" s="274" t="n">
        <x:v>1170</x:v>
      </x:c>
      <x:c r="M5420" s="274" t="s">
        <x:v>9446</x:v>
      </x:c>
      <x:c r="N5420" s="274" t="s">
        <x:v>299</x:v>
      </x:c>
    </x:row>
    <x:row r="5421" spans="1:14">
      <x:c r="A5421" s="274" t="s">
        <x:v>9451</x:v>
      </x:c>
      <x:c r="B5421" s="274" t="n">
        <x:v>12.33</x:v>
      </x:c>
      <x:c r="C5421" s="274" t="n">
        <x:v>0</x:v>
      </x:c>
      <x:c r="D5421" s="274" t="n">
        <x:v>32</x:v>
      </x:c>
      <x:c r="E5421" s="274" t="n">
        <x:v>35</x:v>
      </x:c>
      <x:c r="F5421" s="274" t="s">
        <x:v>333</x:v>
      </x:c>
      <x:c r="G5421" s="274" t="s">
        <x:v>209</x:v>
      </x:c>
      <x:c r="I5421" s="274" t="n">
        <x:v>1.2</x:v>
      </x:c>
      <x:c r="J5421" s="274" t="n">
        <x:v>1170</x:v>
      </x:c>
      <x:c r="K5421" s="274" t="n">
        <x:v>1119</x:v>
      </x:c>
      <x:c r="M5421" s="274" t="s">
        <x:v>9452</x:v>
      </x:c>
      <x:c r="N5421" s="274" t="s">
        <x:v>299</x:v>
      </x:c>
    </x:row>
    <x:row r="5422" spans="1:14">
      <x:c r="A5422" s="274" t="s">
        <x:v>9453</x:v>
      </x:c>
      <x:c r="B5422" s="274" t="n">
        <x:v>12.98</x:v>
      </x:c>
      <x:c r="C5422" s="274" t="n">
        <x:v>0</x:v>
      </x:c>
      <x:c r="D5422" s="274" t="n">
        <x:v>32</x:v>
      </x:c>
      <x:c r="E5422" s="274" t="n">
        <x:v>35</x:v>
      </x:c>
      <x:c r="F5422" s="274" t="s">
        <x:v>333</x:v>
      </x:c>
      <x:c r="G5422" s="274" t="s">
        <x:v>209</x:v>
      </x:c>
      <x:c r="I5422" s="274" t="n">
        <x:v>1.2</x:v>
      </x:c>
      <x:c r="J5422" s="274" t="n">
        <x:v>1170</x:v>
      </x:c>
      <x:c r="K5422" s="274" t="n">
        <x:v>1178</x:v>
      </x:c>
      <x:c r="M5422" s="274" t="s">
        <x:v>9452</x:v>
      </x:c>
      <x:c r="N5422" s="274" t="s">
        <x:v>155</x:v>
      </x:c>
    </x:row>
    <x:row r="5423" spans="1:14">
      <x:c r="A5423" s="274" t="s">
        <x:v>9454</x:v>
      </x:c>
      <x:c r="B5423" s="274" t="n">
        <x:v>9.41</x:v>
      </x:c>
      <x:c r="C5423" s="274" t="n">
        <x:v>0</x:v>
      </x:c>
      <x:c r="D5423" s="274" t="n">
        <x:v>32</x:v>
      </x:c>
      <x:c r="E5423" s="274" t="n">
        <x:v>28</x:v>
      </x:c>
      <x:c r="F5423" s="274" t="s">
        <x:v>123</x:v>
      </x:c>
      <x:c r="G5423" s="274" t="s">
        <x:v>153</x:v>
      </x:c>
      <x:c r="I5423" s="274" t="n">
        <x:v>0.75</x:v>
      </x:c>
      <x:c r="J5423" s="274" t="n">
        <x:v>1035</x:v>
      </x:c>
      <x:c r="K5423" s="274" t="n">
        <x:v>1544</x:v>
      </x:c>
      <x:c r="M5423" s="274" t="s">
        <x:v>9455</x:v>
      </x:c>
      <x:c r="N5423" s="274" t="s">
        <x:v>9456</x:v>
      </x:c>
    </x:row>
    <x:row r="5424" spans="1:14">
      <x:c r="A5424" s="274" t="s">
        <x:v>9457</x:v>
      </x:c>
      <x:c r="B5424" s="274" t="n">
        <x:v>13.64</x:v>
      </x:c>
      <x:c r="C5424" s="274" t="n">
        <x:v>0</x:v>
      </x:c>
      <x:c r="D5424" s="274" t="n">
        <x:v>32</x:v>
      </x:c>
      <x:c r="E5424" s="274" t="n">
        <x:v>32</x:v>
      </x:c>
      <x:c r="F5424" s="274" t="s">
        <x:v>333</x:v>
      </x:c>
      <x:c r="G5424" s="274" t="s">
        <x:v>209</x:v>
      </x:c>
      <x:c r="I5424" s="274" t="n">
        <x:v>1.2</x:v>
      </x:c>
      <x:c r="J5424" s="274" t="n">
        <x:v>1170</x:v>
      </x:c>
      <x:c r="K5424" s="274" t="n">
        <x:v>1238</x:v>
      </x:c>
      <x:c r="N5424" s="274" t="s">
        <x:v>299</x:v>
      </x:c>
    </x:row>
    <x:row r="5425" spans="1:14">
      <x:c r="A5425" s="274" t="s">
        <x:v>9458</x:v>
      </x:c>
      <x:c r="B5425" s="274" t="n">
        <x:v>4.14</x:v>
      </x:c>
      <x:c r="C5425" s="274" t="n">
        <x:v>0</x:v>
      </x:c>
      <x:c r="D5425" s="274" t="n">
        <x:v>32</x:v>
      </x:c>
      <x:c r="E5425" s="274" t="n">
        <x:v>40</x:v>
      </x:c>
      <x:c r="F5425" s="274" t="s">
        <x:v>333</x:v>
      </x:c>
      <x:c r="G5425" s="274" t="s">
        <x:v>209</x:v>
      </x:c>
      <x:c r="I5425" s="274" t="n">
        <x:v>1</x:v>
      </x:c>
      <x:c r="J5425" s="274" t="n">
        <x:v>1200</x:v>
      </x:c>
      <x:c r="K5425" s="274" t="n">
        <x:v>440</x:v>
      </x:c>
      <x:c r="N5425" s="274" t="s">
        <x:v>299</x:v>
      </x:c>
    </x:row>
    <x:row r="5426" spans="1:14">
      <x:c r="A5426" s="274" t="s">
        <x:v>9459</x:v>
      </x:c>
      <x:c r="B5426" s="274" t="n">
        <x:v>4.22</x:v>
      </x:c>
      <x:c r="C5426" s="274" t="n">
        <x:v>0</x:v>
      </x:c>
      <x:c r="D5426" s="274" t="n">
        <x:v>32</x:v>
      </x:c>
      <x:c r="E5426" s="274" t="n">
        <x:v>40</x:v>
      </x:c>
      <x:c r="F5426" s="274" t="s">
        <x:v>333</x:v>
      </x:c>
      <x:c r="G5426" s="274" t="s">
        <x:v>209</x:v>
      </x:c>
      <x:c r="I5426" s="274" t="n">
        <x:v>1</x:v>
      </x:c>
      <x:c r="J5426" s="274" t="n">
        <x:v>1200</x:v>
      </x:c>
      <x:c r="K5426" s="274" t="n">
        <x:v>448</x:v>
      </x:c>
      <x:c r="N5426" s="274" t="s">
        <x:v>299</x:v>
      </x:c>
    </x:row>
    <x:row r="5427" spans="1:14">
      <x:c r="A5427" s="274" t="s">
        <x:v>9460</x:v>
      </x:c>
      <x:c r="B5427" s="274" t="n">
        <x:v>8.71</x:v>
      </x:c>
      <x:c r="C5427" s="274" t="n">
        <x:v>0</x:v>
      </x:c>
      <x:c r="D5427" s="274" t="n">
        <x:v>32</x:v>
      </x:c>
      <x:c r="E5427" s="274" t="n">
        <x:v>40</x:v>
      </x:c>
      <x:c r="F5427" s="274" t="s">
        <x:v>333</x:v>
      </x:c>
      <x:c r="G5427" s="274" t="s">
        <x:v>209</x:v>
      </x:c>
      <x:c r="I5427" s="274" t="n">
        <x:v>1.2</x:v>
      </x:c>
      <x:c r="J5427" s="274" t="n">
        <x:v>1170</x:v>
      </x:c>
      <x:c r="K5427" s="274" t="n">
        <x:v>790</x:v>
      </x:c>
      <x:c r="M5427" s="274" t="s">
        <x:v>9446</x:v>
      </x:c>
      <x:c r="N5427" s="274" t="s">
        <x:v>299</x:v>
      </x:c>
    </x:row>
    <x:row r="5428" spans="1:14">
      <x:c r="A5428" s="274" t="s">
        <x:v>9461</x:v>
      </x:c>
      <x:c r="B5428" s="274" t="n">
        <x:v>7.21</x:v>
      </x:c>
      <x:c r="C5428" s="274" t="n">
        <x:v>0</x:v>
      </x:c>
      <x:c r="D5428" s="274" t="n">
        <x:v>32</x:v>
      </x:c>
      <x:c r="E5428" s="274" t="n">
        <x:v>40</x:v>
      </x:c>
      <x:c r="F5428" s="274" t="s">
        <x:v>333</x:v>
      </x:c>
      <x:c r="G5428" s="274" t="s">
        <x:v>209</x:v>
      </x:c>
      <x:c r="I5428" s="274" t="n">
        <x:v>1.2</x:v>
      </x:c>
      <x:c r="J5428" s="274" t="n">
        <x:v>1170</x:v>
      </x:c>
      <x:c r="K5428" s="274" t="n">
        <x:v>654</x:v>
      </x:c>
      <x:c r="M5428" s="274" t="s">
        <x:v>9446</x:v>
      </x:c>
      <x:c r="N5428" s="274" t="s">
        <x:v>299</x:v>
      </x:c>
    </x:row>
    <x:row r="5429" spans="1:14">
      <x:c r="A5429" s="274" t="s">
        <x:v>9462</x:v>
      </x:c>
      <x:c r="B5429" s="274" t="n">
        <x:v>13.43</x:v>
      </x:c>
      <x:c r="C5429" s="274" t="n">
        <x:v>0</x:v>
      </x:c>
      <x:c r="D5429" s="274" t="n">
        <x:v>32</x:v>
      </x:c>
      <x:c r="E5429" s="274" t="n">
        <x:v>32</x:v>
      </x:c>
      <x:c r="F5429" s="274" t="s">
        <x:v>333</x:v>
      </x:c>
      <x:c r="G5429" s="274" t="s">
        <x:v>209</x:v>
      </x:c>
      <x:c r="I5429" s="274" t="n">
        <x:v>1.2</x:v>
      </x:c>
      <x:c r="J5429" s="274" t="n">
        <x:v>1170</x:v>
      </x:c>
      <x:c r="K5429" s="274" t="n">
        <x:v>1219</x:v>
      </x:c>
      <x:c r="M5429" s="274" t="s">
        <x:v>9446</x:v>
      </x:c>
    </x:row>
    <x:row r="5430" spans="1:14">
      <x:c r="A5430" s="274" t="s">
        <x:v>9463</x:v>
      </x:c>
      <x:c r="B5430" s="274" t="n">
        <x:v>9.71</x:v>
      </x:c>
      <x:c r="C5430" s="274" t="n">
        <x:v>0</x:v>
      </x:c>
      <x:c r="D5430" s="274" t="n">
        <x:v>32</x:v>
      </x:c>
      <x:c r="E5430" s="274" t="n">
        <x:v>32</x:v>
      </x:c>
      <x:c r="F5430" s="274" t="s">
        <x:v>333</x:v>
      </x:c>
      <x:c r="G5430" s="274" t="s">
        <x:v>209</x:v>
      </x:c>
      <x:c r="I5430" s="274" t="n">
        <x:v>0.9</x:v>
      </x:c>
      <x:c r="J5430" s="274" t="n">
        <x:v>1130</x:v>
      </x:c>
      <x:c r="K5430" s="274" t="n">
        <x:v>1217</x:v>
      </x:c>
      <x:c r="M5430" s="274" t="s">
        <x:v>9464</x:v>
      </x:c>
    </x:row>
    <x:row r="5431" spans="1:14">
      <x:c r="A5431" s="274" t="s">
        <x:v>9465</x:v>
      </x:c>
      <x:c r="B5431" s="274" t="n">
        <x:v>13.6</x:v>
      </x:c>
      <x:c r="C5431" s="274" t="n">
        <x:v>0</x:v>
      </x:c>
      <x:c r="D5431" s="274" t="n">
        <x:v>32</x:v>
      </x:c>
      <x:c r="E5431" s="274" t="n">
        <x:v>32</x:v>
      </x:c>
      <x:c r="F5431" s="274" t="s">
        <x:v>333</x:v>
      </x:c>
      <x:c r="G5431" s="274" t="s">
        <x:v>209</x:v>
      </x:c>
      <x:c r="I5431" s="274" t="n">
        <x:v>1.2</x:v>
      </x:c>
      <x:c r="J5431" s="274" t="n">
        <x:v>1170</x:v>
      </x:c>
      <x:c r="K5431" s="274" t="n">
        <x:v>1234</x:v>
      </x:c>
      <x:c r="M5431" s="274" t="s">
        <x:v>9446</x:v>
      </x:c>
      <x:c r="N5431" s="274" t="s">
        <x:v>299</x:v>
      </x:c>
    </x:row>
    <x:row r="5432" spans="1:14">
      <x:c r="A5432" s="274" t="s">
        <x:v>9466</x:v>
      </x:c>
      <x:c r="B5432" s="274" t="n">
        <x:v>13.5</x:v>
      </x:c>
      <x:c r="C5432" s="274" t="n">
        <x:v>0</x:v>
      </x:c>
      <x:c r="D5432" s="274" t="n">
        <x:v>32</x:v>
      </x:c>
      <x:c r="E5432" s="274" t="n">
        <x:v>32</x:v>
      </x:c>
      <x:c r="F5432" s="274" t="s">
        <x:v>333</x:v>
      </x:c>
      <x:c r="G5432" s="274" t="s">
        <x:v>209</x:v>
      </x:c>
      <x:c r="I5432" s="274" t="n">
        <x:v>1.2</x:v>
      </x:c>
      <x:c r="J5432" s="274" t="n">
        <x:v>1170</x:v>
      </x:c>
      <x:c r="K5432" s="274" t="n">
        <x:v>1225</x:v>
      </x:c>
      <x:c r="M5432" s="274" t="s">
        <x:v>9446</x:v>
      </x:c>
      <x:c r="N5432" s="274" t="s">
        <x:v>299</x:v>
      </x:c>
    </x:row>
    <x:row r="5433" spans="1:14">
      <x:c r="A5433" s="274" t="s">
        <x:v>9467</x:v>
      </x:c>
      <x:c r="B5433" s="274" t="n">
        <x:v>4.92</x:v>
      </x:c>
      <x:c r="C5433" s="274" t="n">
        <x:v>0</x:v>
      </x:c>
      <x:c r="D5433" s="274" t="n">
        <x:v>32</x:v>
      </x:c>
      <x:c r="E5433" s="274" t="n">
        <x:v>40</x:v>
      </x:c>
      <x:c r="F5433" s="274" t="s">
        <x:v>333</x:v>
      </x:c>
      <x:c r="G5433" s="274" t="s">
        <x:v>209</x:v>
      </x:c>
      <x:c r="I5433" s="274" t="n">
        <x:v>1</x:v>
      </x:c>
      <x:c r="J5433" s="274" t="n">
        <x:v>1200</x:v>
      </x:c>
      <x:c r="K5433" s="274" t="n">
        <x:v>522</x:v>
      </x:c>
      <x:c r="M5433" s="274" t="s">
        <x:v>9446</x:v>
      </x:c>
      <x:c r="N5433" s="274" t="s">
        <x:v>131</x:v>
      </x:c>
    </x:row>
    <x:row r="5434" spans="1:14">
      <x:c r="A5434" s="274" t="s">
        <x:v>9468</x:v>
      </x:c>
      <x:c r="B5434" s="274" t="n">
        <x:v>4.25</x:v>
      </x:c>
      <x:c r="C5434" s="274" t="n">
        <x:v>0</x:v>
      </x:c>
      <x:c r="D5434" s="274" t="n">
        <x:v>32</x:v>
      </x:c>
      <x:c r="E5434" s="274" t="n">
        <x:v>40</x:v>
      </x:c>
      <x:c r="F5434" s="274" t="s">
        <x:v>333</x:v>
      </x:c>
      <x:c r="G5434" s="274" t="s">
        <x:v>209</x:v>
      </x:c>
      <x:c r="I5434" s="274" t="n">
        <x:v>1</x:v>
      </x:c>
      <x:c r="J5434" s="274" t="n">
        <x:v>1200</x:v>
      </x:c>
      <x:c r="K5434" s="274" t="n">
        <x:v>451</x:v>
      </x:c>
      <x:c r="M5434" s="274" t="s">
        <x:v>9276</x:v>
      </x:c>
      <x:c r="N5434" s="274" t="s">
        <x:v>9469</x:v>
      </x:c>
    </x:row>
    <x:row r="5435" spans="1:14">
      <x:c r="A5435" s="274" t="s">
        <x:v>9470</x:v>
      </x:c>
      <x:c r="B5435" s="274" t="n">
        <x:v>4</x:v>
      </x:c>
      <x:c r="C5435" s="274" t="n">
        <x:v>0</x:v>
      </x:c>
      <x:c r="D5435" s="274" t="n">
        <x:v>32</x:v>
      </x:c>
      <x:c r="E5435" s="274" t="n">
        <x:v>40</x:v>
      </x:c>
      <x:c r="F5435" s="274" t="s">
        <x:v>333</x:v>
      </x:c>
      <x:c r="G5435" s="274" t="s">
        <x:v>209</x:v>
      </x:c>
      <x:c r="I5435" s="274" t="n">
        <x:v>1</x:v>
      </x:c>
      <x:c r="J5435" s="274" t="n">
        <x:v>1200</x:v>
      </x:c>
      <x:c r="K5435" s="274" t="n">
        <x:v>425</x:v>
      </x:c>
      <x:c r="M5435" s="274" t="s">
        <x:v>9446</x:v>
      </x:c>
      <x:c r="N5435" s="274" t="s">
        <x:v>299</x:v>
      </x:c>
    </x:row>
    <x:row r="5436" spans="1:14">
      <x:c r="A5436" s="274" t="s">
        <x:v>9471</x:v>
      </x:c>
      <x:c r="B5436" s="274" t="n">
        <x:v>8.9</x:v>
      </x:c>
      <x:c r="C5436" s="274" t="n">
        <x:v>0</x:v>
      </x:c>
      <x:c r="D5436" s="274" t="n">
        <x:v>30</x:v>
      </x:c>
      <x:c r="E5436" s="274" t="n">
        <x:v>40</x:v>
      </x:c>
      <x:c r="F5436" s="274" t="s">
        <x:v>333</x:v>
      </x:c>
      <x:c r="G5436" s="274" t="s">
        <x:v>153</x:v>
      </x:c>
      <x:c r="I5436" s="274" t="n">
        <x:v>1.6</x:v>
      </x:c>
      <x:c r="J5436" s="274" t="n">
        <x:v>1310</x:v>
      </x:c>
      <x:c r="K5436" s="274" t="n">
        <x:v>541</x:v>
      </x:c>
      <x:c r="M5436" s="274" t="s">
        <x:v>9446</x:v>
      </x:c>
      <x:c r="N5436" s="274" t="s">
        <x:v>155</x:v>
      </x:c>
    </x:row>
    <x:row r="5437" spans="1:14">
      <x:c r="A5437" s="274" t="s">
        <x:v>9472</x:v>
      </x:c>
      <x:c r="B5437" s="274" t="n">
        <x:v>23.02</x:v>
      </x:c>
      <x:c r="C5437" s="274" t="n">
        <x:v>0</x:v>
      </x:c>
      <x:c r="D5437" s="274" t="n">
        <x:v>30</x:v>
      </x:c>
      <x:c r="E5437" s="274" t="n">
        <x:v>25</x:v>
      </x:c>
      <x:c r="F5437" s="274" t="s">
        <x:v>333</x:v>
      </x:c>
      <x:c r="G5437" s="274" t="s">
        <x:v>124</x:v>
      </x:c>
      <x:c r="I5437" s="274" t="n">
        <x:v>2</x:v>
      </x:c>
      <x:c r="J5437" s="274" t="n">
        <x:v>1212</x:v>
      </x:c>
      <x:c r="K5437" s="274" t="n">
        <x:v>1210</x:v>
      </x:c>
      <x:c r="M5437" s="274" t="s">
        <x:v>9446</x:v>
      </x:c>
      <x:c r="N5437" s="274" t="s">
        <x:v>299</x:v>
      </x:c>
    </x:row>
    <x:row r="5438" spans="1:14">
      <x:c r="A5438" s="274" t="s">
        <x:v>9473</x:v>
      </x:c>
      <x:c r="B5438" s="274" t="n">
        <x:v>8.53</x:v>
      </x:c>
      <x:c r="C5438" s="274" t="n">
        <x:v>0</x:v>
      </x:c>
      <x:c r="D5438" s="274" t="n">
        <x:v>32</x:v>
      </x:c>
      <x:c r="E5438" s="274" t="n">
        <x:v>32</x:v>
      </x:c>
      <x:c r="F5438" s="274" t="s">
        <x:v>333</x:v>
      </x:c>
      <x:c r="G5438" s="274" t="s">
        <x:v>153</x:v>
      </x:c>
      <x:c r="I5438" s="274" t="n">
        <x:v>0.9</x:v>
      </x:c>
      <x:c r="J5438" s="274" t="n">
        <x:v>990</x:v>
      </x:c>
      <x:c r="K5438" s="274" t="n">
        <x:v>1220</x:v>
      </x:c>
      <x:c r="M5438" s="274" t="s">
        <x:v>9446</x:v>
      </x:c>
      <x:c r="N5438" s="274" t="s">
        <x:v>9474</x:v>
      </x:c>
    </x:row>
    <x:row r="5439" spans="1:14">
      <x:c r="A5439" s="274" t="s">
        <x:v>9475</x:v>
      </x:c>
      <x:c r="B5439" s="274" t="n">
        <x:v>12.58</x:v>
      </x:c>
      <x:c r="C5439" s="274" t="n">
        <x:v>0</x:v>
      </x:c>
      <x:c r="D5439" s="274" t="n">
        <x:v>30</x:v>
      </x:c>
      <x:c r="E5439" s="274" t="n">
        <x:v>40</x:v>
      </x:c>
      <x:c r="F5439" s="274" t="s">
        <x:v>133</x:v>
      </x:c>
      <x:c r="G5439" s="274" t="s">
        <x:v>148</x:v>
      </x:c>
      <x:c r="I5439" s="274" t="n">
        <x:v>2.9</x:v>
      </x:c>
      <x:c r="J5439" s="274" t="n">
        <x:v>950</x:v>
      </x:c>
      <x:c r="K5439" s="274" t="n">
        <x:v>582</x:v>
      </x:c>
      <x:c r="N5439" s="274" t="s">
        <x:v>299</x:v>
      </x:c>
    </x:row>
    <x:row r="5440" spans="1:14">
      <x:c r="A5440" s="274" t="s">
        <x:v>9476</x:v>
      </x:c>
      <x:c r="B5440" s="274" t="n">
        <x:v>9.8</x:v>
      </x:c>
      <x:c r="C5440" s="274" t="n">
        <x:v>0</x:v>
      </x:c>
      <x:c r="D5440" s="274" t="n">
        <x:v>30</x:v>
      </x:c>
      <x:c r="E5440" s="274" t="n">
        <x:v>40</x:v>
      </x:c>
      <x:c r="F5440" s="274" t="s">
        <x:v>333</x:v>
      </x:c>
      <x:c r="G5440" s="274" t="s">
        <x:v>334</x:v>
      </x:c>
      <x:c r="I5440" s="274" t="n">
        <x:v>1.6</x:v>
      </x:c>
      <x:c r="J5440" s="274" t="n">
        <x:v>1000</x:v>
      </x:c>
      <x:c r="K5440" s="274" t="n">
        <x:v>780</x:v>
      </x:c>
    </x:row>
    <x:row r="5441" spans="1:14">
      <x:c r="A5441" s="274" t="s">
        <x:v>9477</x:v>
      </x:c>
      <x:c r="B5441" s="274" t="n">
        <x:v>15.92</x:v>
      </x:c>
      <x:c r="C5441" s="274" t="n">
        <x:v>0</x:v>
      </x:c>
      <x:c r="D5441" s="274" t="n">
        <x:v>30</x:v>
      </x:c>
      <x:c r="E5441" s="274" t="n">
        <x:v>40</x:v>
      </x:c>
      <x:c r="F5441" s="274" t="s">
        <x:v>133</x:v>
      </x:c>
      <x:c r="G5441" s="274" t="s">
        <x:v>134</x:v>
      </x:c>
      <x:c r="I5441" s="274" t="n">
        <x:v>2.9</x:v>
      </x:c>
      <x:c r="J5441" s="274" t="n">
        <x:v>1200</x:v>
      </x:c>
      <x:c r="K5441" s="274" t="n">
        <x:v>583</x:v>
      </x:c>
      <x:c r="N5441" s="274" t="s">
        <x:v>299</x:v>
      </x:c>
    </x:row>
    <x:row r="5442" spans="1:14">
      <x:c r="A5442" s="274" t="s">
        <x:v>9478</x:v>
      </x:c>
      <x:c r="B5442" s="274" t="n">
        <x:v>22.69</x:v>
      </x:c>
      <x:c r="C5442" s="274" t="n">
        <x:v>0</x:v>
      </x:c>
      <x:c r="D5442" s="274" t="n">
        <x:v>30</x:v>
      </x:c>
      <x:c r="E5442" s="274" t="n">
        <x:v>33</x:v>
      </x:c>
      <x:c r="F5442" s="274" t="s">
        <x:v>133</x:v>
      </x:c>
      <x:c r="G5442" s="274" t="s">
        <x:v>148</x:v>
      </x:c>
      <x:c r="I5442" s="274" t="n">
        <x:v>3.2</x:v>
      </x:c>
      <x:c r="J5442" s="274" t="n">
        <x:v>1095</x:v>
      </x:c>
      <x:c r="K5442" s="274" t="n">
        <x:v>825</x:v>
      </x:c>
      <x:c r="N5442" s="274" t="s">
        <x:v>9240</x:v>
      </x:c>
    </x:row>
    <x:row r="5443" spans="1:14">
      <x:c r="A5443" s="274" t="s">
        <x:v>9479</x:v>
      </x:c>
      <x:c r="B5443" s="274" t="n">
        <x:v>8.54</x:v>
      </x:c>
      <x:c r="C5443" s="274" t="n">
        <x:v>0</x:v>
      </x:c>
      <x:c r="D5443" s="274" t="n">
        <x:v>30</x:v>
      </x:c>
      <x:c r="E5443" s="274" t="n">
        <x:v>40</x:v>
      </x:c>
      <x:c r="F5443" s="274" t="s">
        <x:v>333</x:v>
      </x:c>
      <x:c r="G5443" s="274" t="s">
        <x:v>209</x:v>
      </x:c>
      <x:c r="I5443" s="274" t="n">
        <x:v>1.4</x:v>
      </x:c>
      <x:c r="J5443" s="274" t="n">
        <x:v>1065</x:v>
      </x:c>
      <x:c r="K5443" s="274" t="n">
        <x:v>730</x:v>
      </x:c>
      <x:c r="M5443" s="274" t="s">
        <x:v>9480</x:v>
      </x:c>
    </x:row>
    <x:row r="5444" spans="1:14">
      <x:c r="A5444" s="274" t="s">
        <x:v>9481</x:v>
      </x:c>
      <x:c r="B5444" s="274" t="n">
        <x:v>5.63</x:v>
      </x:c>
      <x:c r="C5444" s="274" t="n">
        <x:v>0</x:v>
      </x:c>
      <x:c r="D5444" s="274" t="n">
        <x:v>30</x:v>
      </x:c>
      <x:c r="E5444" s="274" t="n">
        <x:v>40</x:v>
      </x:c>
      <x:c r="F5444" s="274" t="s">
        <x:v>333</x:v>
      </x:c>
      <x:c r="G5444" s="274" t="s">
        <x:v>124</x:v>
      </x:c>
      <x:c r="I5444" s="274" t="n">
        <x:v>1.6</x:v>
      </x:c>
      <x:c r="J5444" s="274" t="n">
        <x:v>1120</x:v>
      </x:c>
      <x:c r="K5444" s="274" t="n">
        <x:v>400</x:v>
      </x:c>
      <x:c r="N5444" s="274" t="s">
        <x:v>229</x:v>
      </x:c>
    </x:row>
    <x:row r="5445" spans="1:14">
      <x:c r="A5445" s="274" t="s">
        <x:v>9482</x:v>
      </x:c>
      <x:c r="B5445" s="274" t="n">
        <x:v>18.62</x:v>
      </x:c>
      <x:c r="C5445" s="274" t="n">
        <x:v>0</x:v>
      </x:c>
      <x:c r="D5445" s="274" t="n">
        <x:v>30</x:v>
      </x:c>
      <x:c r="E5445" s="274" t="n">
        <x:v>28</x:v>
      </x:c>
      <x:c r="F5445" s="274" t="s">
        <x:v>133</x:v>
      </x:c>
      <x:c r="G5445" s="274" t="s">
        <x:v>144</x:v>
      </x:c>
      <x:c r="H5445" s="274" t="n">
        <x:v>45</x:v>
      </x:c>
      <x:c r="I5445" s="274" t="n">
        <x:v>2</x:v>
      </x:c>
      <x:c r="J5445" s="274" t="n">
        <x:v>1105</x:v>
      </x:c>
      <x:c r="K5445" s="274" t="n">
        <x:v>1067</x:v>
      </x:c>
    </x:row>
    <x:row r="5446" spans="1:14">
      <x:c r="A5446" s="274" t="s">
        <x:v>9483</x:v>
      </x:c>
      <x:c r="B5446" s="274" t="n">
        <x:v>0.95</x:v>
      </x:c>
      <x:c r="C5446" s="274" t="n">
        <x:v>0</x:v>
      </x:c>
      <x:c r="D5446" s="274" t="n">
        <x:v>0</x:v>
      </x:c>
      <x:c r="E5446" s="274" t="n">
        <x:v>0</x:v>
      </x:c>
      <x:c r="F5446" s="274" t="s">
        <x:v>133</x:v>
      </x:c>
      <x:c r="G5446" s="274" t="s">
        <x:v>209</x:v>
      </x:c>
      <x:c r="I5446" s="274" t="n">
        <x:v>1.4</x:v>
      </x:c>
      <x:c r="J5446" s="274" t="n">
        <x:v>86</x:v>
      </x:c>
      <x:c r="K5446" s="274" t="n">
        <x:v>1000</x:v>
      </x:c>
      <x:c r="N5446" s="274" t="s">
        <x:v>162</x:v>
      </x:c>
    </x:row>
    <x:row r="5447" spans="1:14">
      <x:c r="A5447" s="274" t="s">
        <x:v>9484</x:v>
      </x:c>
      <x:c r="B5447" s="274" t="n">
        <x:v>15.91</x:v>
      </x:c>
      <x:c r="C5447" s="274" t="n">
        <x:v>0</x:v>
      </x:c>
      <x:c r="D5447" s="274" t="n">
        <x:v>30</x:v>
      </x:c>
      <x:c r="E5447" s="274" t="n">
        <x:v>26</x:v>
      </x:c>
      <x:c r="F5447" s="274" t="s">
        <x:v>133</x:v>
      </x:c>
      <x:c r="G5447" s="274" t="s">
        <x:v>134</x:v>
      </x:c>
      <x:c r="I5447" s="274" t="n">
        <x:v>2.6</x:v>
      </x:c>
      <x:c r="J5447" s="274" t="n">
        <x:v>1185</x:v>
      </x:c>
      <x:c r="K5447" s="274" t="n">
        <x:v>658</x:v>
      </x:c>
      <x:c r="N5447" s="274" t="s">
        <x:v>9240</x:v>
      </x:c>
    </x:row>
    <x:row r="5448" spans="1:14">
      <x:c r="A5448" s="274" t="s">
        <x:v>9485</x:v>
      </x:c>
      <x:c r="B5448" s="274" t="n">
        <x:v>1.04</x:v>
      </x:c>
      <x:c r="C5448" s="274" t="n">
        <x:v>0</x:v>
      </x:c>
      <x:c r="D5448" s="274" t="n">
        <x:v>0</x:v>
      </x:c>
      <x:c r="E5448" s="274" t="n">
        <x:v>0</x:v>
      </x:c>
      <x:c r="F5448" s="274" t="s">
        <x:v>133</x:v>
      </x:c>
      <x:c r="G5448" s="274" t="s">
        <x:v>153</x:v>
      </x:c>
      <x:c r="I5448" s="274" t="n">
        <x:v>1.6</x:v>
      </x:c>
      <x:c r="J5448" s="274" t="n">
        <x:v>182</x:v>
      </x:c>
      <x:c r="K5448" s="274" t="n">
        <x:v>456</x:v>
      </x:c>
      <x:c r="M5448" s="274" t="s">
        <x:v>9486</x:v>
      </x:c>
      <x:c r="N5448" s="274" t="s">
        <x:v>299</x:v>
      </x:c>
    </x:row>
    <x:row r="5449" spans="1:14">
      <x:c r="A5449" s="274" t="s">
        <x:v>9487</x:v>
      </x:c>
      <x:c r="B5449" s="274" t="n">
        <x:v>5.09</x:v>
      </x:c>
      <x:c r="C5449" s="274" t="n">
        <x:v>0</x:v>
      </x:c>
      <x:c r="D5449" s="274" t="n">
        <x:v>32</x:v>
      </x:c>
      <x:c r="E5449" s="274" t="n">
        <x:v>40</x:v>
      </x:c>
      <x:c r="F5449" s="274" t="s">
        <x:v>123</x:v>
      </x:c>
      <x:c r="G5449" s="274" t="s">
        <x:v>209</x:v>
      </x:c>
      <x:c r="I5449" s="274" t="n">
        <x:v>0.6</x:v>
      </x:c>
      <x:c r="J5449" s="274" t="n">
        <x:v>1180</x:v>
      </x:c>
      <x:c r="K5449" s="274" t="n">
        <x:v>915</x:v>
      </x:c>
    </x:row>
    <x:row r="5450" spans="1:14">
      <x:c r="A5450" s="274" t="s">
        <x:v>9488</x:v>
      </x:c>
      <x:c r="B5450" s="274" t="n">
        <x:v>6.68</x:v>
      </x:c>
      <x:c r="C5450" s="274" t="n">
        <x:v>0</x:v>
      </x:c>
      <x:c r="D5450" s="274" t="n">
        <x:v>30</x:v>
      </x:c>
      <x:c r="E5450" s="274" t="n">
        <x:v>40</x:v>
      </x:c>
      <x:c r="F5450" s="274" t="s">
        <x:v>128</x:v>
      </x:c>
      <x:c r="G5450" s="274" t="s">
        <x:v>496</x:v>
      </x:c>
      <x:c r="H5450" s="274" t="n">
        <x:v>45</x:v>
      </x:c>
      <x:c r="I5450" s="274" t="n">
        <x:v>2.3</x:v>
      </x:c>
      <x:c r="J5450" s="274" t="n">
        <x:v>920</x:v>
      </x:c>
      <x:c r="K5450" s="274" t="n">
        <x:v>400</x:v>
      </x:c>
      <x:c r="N5450" s="274" t="s">
        <x:v>299</x:v>
      </x:c>
    </x:row>
    <x:row r="5451" spans="1:14">
      <x:c r="A5451" s="274" t="s">
        <x:v>9489</x:v>
      </x:c>
      <x:c r="B5451" s="274" t="n">
        <x:v>11.28</x:v>
      </x:c>
      <x:c r="C5451" s="274" t="n">
        <x:v>0</x:v>
      </x:c>
      <x:c r="D5451" s="274" t="n">
        <x:v>30</x:v>
      </x:c>
      <x:c r="E5451" s="274" t="n">
        <x:v>40</x:v>
      </x:c>
      <x:c r="F5451" s="274" t="s">
        <x:v>133</x:v>
      </x:c>
      <x:c r="G5451" s="274" t="s">
        <x:v>148</x:v>
      </x:c>
      <x:c r="I5451" s="274" t="n">
        <x:v>3.2</x:v>
      </x:c>
      <x:c r="J5451" s="274" t="n">
        <x:v>1095</x:v>
      </x:c>
      <x:c r="K5451" s="274" t="n">
        <x:v>410</x:v>
      </x:c>
      <x:c r="N5451" s="274" t="s">
        <x:v>131</x:v>
      </x:c>
    </x:row>
    <x:row r="5452" spans="1:14">
      <x:c r="A5452" s="274" t="s">
        <x:v>9490</x:v>
      </x:c>
      <x:c r="B5452" s="274" t="n">
        <x:v>14.31</x:v>
      </x:c>
      <x:c r="C5452" s="274" t="n">
        <x:v>0</x:v>
      </x:c>
      <x:c r="D5452" s="274" t="n">
        <x:v>30</x:v>
      </x:c>
      <x:c r="E5452" s="274" t="n">
        <x:v>40</x:v>
      </x:c>
      <x:c r="F5452" s="274" t="s">
        <x:v>123</x:v>
      </x:c>
      <x:c r="G5452" s="274" t="s">
        <x:v>139</x:v>
      </x:c>
      <x:c r="I5452" s="274" t="n">
        <x:v>3.2</x:v>
      </x:c>
      <x:c r="J5452" s="274" t="n">
        <x:v>1225</x:v>
      </x:c>
      <x:c r="K5452" s="274" t="n">
        <x:v>465</x:v>
      </x:c>
      <x:c r="N5452" s="274" t="s">
        <x:v>299</x:v>
      </x:c>
    </x:row>
    <x:row r="5453" spans="1:14">
      <x:c r="A5453" s="274" t="s">
        <x:v>9491</x:v>
      </x:c>
      <x:c r="B5453" s="274" t="n">
        <x:v>8.89</x:v>
      </x:c>
      <x:c r="C5453" s="274" t="n">
        <x:v>0</x:v>
      </x:c>
      <x:c r="D5453" s="274" t="n">
        <x:v>0</x:v>
      </x:c>
      <x:c r="E5453" s="274" t="n">
        <x:v>0</x:v>
      </x:c>
      <x:c r="F5453" s="274" t="s">
        <x:v>133</x:v>
      </x:c>
      <x:c r="G5453" s="274" t="s">
        <x:v>134</x:v>
      </x:c>
      <x:c r="I5453" s="274" t="n">
        <x:v>3.6</x:v>
      </x:c>
      <x:c r="J5453" s="274" t="n">
        <x:v>1165</x:v>
      </x:c>
      <x:c r="K5453" s="274" t="n">
        <x:v>270</x:v>
      </x:c>
      <x:c r="M5453" s="274" t="s">
        <x:v>9486</x:v>
      </x:c>
    </x:row>
    <x:row r="5454" spans="1:14">
      <x:c r="A5454" s="274" t="s">
        <x:v>9492</x:v>
      </x:c>
      <x:c r="B5454" s="274" t="n">
        <x:v>1.43</x:v>
      </x:c>
      <x:c r="C5454" s="274" t="n">
        <x:v>0</x:v>
      </x:c>
      <x:c r="D5454" s="274" t="n">
        <x:v>0</x:v>
      </x:c>
      <x:c r="E5454" s="274" t="n">
        <x:v>0</x:v>
      </x:c>
      <x:c r="F5454" s="274" t="s">
        <x:v>128</x:v>
      </x:c>
      <x:c r="G5454" s="274" t="s">
        <x:v>129</x:v>
      </x:c>
      <x:c r="H5454" s="274" t="n">
        <x:v>45</x:v>
      </x:c>
      <x:c r="I5454" s="274" t="n">
        <x:v>0.6</x:v>
      </x:c>
      <x:c r="J5454" s="274" t="n">
        <x:v>270</x:v>
      </x:c>
      <x:c r="K5454" s="274" t="n">
        <x:v>1100</x:v>
      </x:c>
      <x:c r="M5454" s="274" t="s">
        <x:v>9486</x:v>
      </x:c>
    </x:row>
    <x:row r="5455" spans="1:14">
      <x:c r="A5455" s="274" t="s">
        <x:v>9493</x:v>
      </x:c>
      <x:c r="B5455" s="274" t="n">
        <x:v>0.58</x:v>
      </x:c>
      <x:c r="C5455" s="274" t="n">
        <x:v>0</x:v>
      </x:c>
      <x:c r="D5455" s="274" t="n">
        <x:v>0</x:v>
      </x:c>
      <x:c r="E5455" s="274" t="n">
        <x:v>0</x:v>
      </x:c>
      <x:c r="F5455" s="274" t="s">
        <x:v>133</x:v>
      </x:c>
      <x:c r="G5455" s="274" t="s">
        <x:v>209</x:v>
      </x:c>
      <x:c r="I5455" s="274" t="n">
        <x:v>0.8</x:v>
      </x:c>
      <x:c r="J5455" s="274" t="n">
        <x:v>190</x:v>
      </x:c>
      <x:c r="K5455" s="274" t="n">
        <x:v>490</x:v>
      </x:c>
      <x:c r="M5455" s="274" t="s">
        <x:v>9486</x:v>
      </x:c>
      <x:c r="N5455" s="274" t="s">
        <x:v>146</x:v>
      </x:c>
    </x:row>
    <x:row r="5456" spans="1:14">
      <x:c r="A5456" s="274" t="s">
        <x:v>9494</x:v>
      </x:c>
      <x:c r="B5456" s="274" t="n">
        <x:v>0.81</x:v>
      </x:c>
      <x:c r="C5456" s="274" t="n">
        <x:v>0</x:v>
      </x:c>
      <x:c r="D5456" s="274" t="n">
        <x:v>0</x:v>
      </x:c>
      <x:c r="E5456" s="274" t="n">
        <x:v>0</x:v>
      </x:c>
      <x:c r="F5456" s="274" t="s">
        <x:v>133</x:v>
      </x:c>
      <x:c r="G5456" s="274" t="s">
        <x:v>209</x:v>
      </x:c>
      <x:c r="I5456" s="274" t="n">
        <x:v>1.2</x:v>
      </x:c>
      <x:c r="J5456" s="274" t="n">
        <x:v>78</x:v>
      </x:c>
      <x:c r="K5456" s="274" t="n">
        <x:v>1100</x:v>
      </x:c>
      <x:c r="M5456" s="274" t="s">
        <x:v>9486</x:v>
      </x:c>
      <x:c r="N5456" s="274" t="s">
        <x:v>131</x:v>
      </x:c>
    </x:row>
    <x:row r="5457" spans="1:14">
      <x:c r="A5457" s="274" t="s">
        <x:v>9495</x:v>
      </x:c>
      <x:c r="B5457" s="274" t="n">
        <x:v>23.23</x:v>
      </x:c>
      <x:c r="C5457" s="274" t="n">
        <x:v>0</x:v>
      </x:c>
      <x:c r="D5457" s="274" t="n">
        <x:v>30</x:v>
      </x:c>
      <x:c r="E5457" s="274" t="n">
        <x:v>28</x:v>
      </x:c>
      <x:c r="F5457" s="274" t="s">
        <x:v>133</x:v>
      </x:c>
      <x:c r="G5457" s="274" t="s">
        <x:v>134</x:v>
      </x:c>
      <x:c r="I5457" s="274" t="n">
        <x:v>2.3</x:v>
      </x:c>
      <x:c r="J5457" s="274" t="n">
        <x:v>1185</x:v>
      </x:c>
      <x:c r="K5457" s="274" t="n">
        <x:v>1085</x:v>
      </x:c>
      <x:c r="N5457" s="274" t="s">
        <x:v>1182</x:v>
      </x:c>
    </x:row>
    <x:row r="5458" spans="1:14">
      <x:c r="A5458" s="274" t="s">
        <x:v>9496</x:v>
      </x:c>
      <x:c r="B5458" s="274" t="n">
        <x:v>10.74</x:v>
      </x:c>
      <x:c r="C5458" s="274" t="n">
        <x:v>0</x:v>
      </x:c>
      <x:c r="D5458" s="274" t="n">
        <x:v>32</x:v>
      </x:c>
      <x:c r="E5458" s="274" t="n">
        <x:v>40</x:v>
      </x:c>
      <x:c r="F5458" s="274" t="s">
        <x:v>123</x:v>
      </x:c>
      <x:c r="G5458" s="274" t="s">
        <x:v>209</x:v>
      </x:c>
      <x:c r="I5458" s="274" t="n">
        <x:v>1.2</x:v>
      </x:c>
      <x:c r="J5458" s="274" t="n">
        <x:v>1200</x:v>
      </x:c>
      <x:c r="K5458" s="274" t="n">
        <x:v>950</x:v>
      </x:c>
    </x:row>
    <x:row r="5459" spans="1:14">
      <x:c r="A5459" s="274" t="s">
        <x:v>9497</x:v>
      </x:c>
      <x:c r="B5459" s="274" t="n">
        <x:v>10.9</x:v>
      </x:c>
      <x:c r="C5459" s="274" t="n">
        <x:v>0</x:v>
      </x:c>
      <x:c r="D5459" s="274" t="n">
        <x:v>30</x:v>
      </x:c>
      <x:c r="E5459" s="274" t="n">
        <x:v>40</x:v>
      </x:c>
      <x:c r="F5459" s="274" t="s">
        <x:v>123</x:v>
      </x:c>
      <x:c r="G5459" s="274" t="s">
        <x:v>209</x:v>
      </x:c>
      <x:c r="I5459" s="274" t="n">
        <x:v>1.6</x:v>
      </x:c>
      <x:c r="J5459" s="274" t="n">
        <x:v>1085</x:v>
      </x:c>
      <x:c r="K5459" s="274" t="n">
        <x:v>800</x:v>
      </x:c>
    </x:row>
    <x:row r="5460" spans="1:14">
      <x:c r="A5460" s="274" t="s">
        <x:v>9498</x:v>
      </x:c>
      <x:c r="B5460" s="274" t="n">
        <x:v>0.74</x:v>
      </x:c>
      <x:c r="C5460" s="274" t="n">
        <x:v>0</x:v>
      </x:c>
      <x:c r="D5460" s="274" t="n">
        <x:v>0</x:v>
      </x:c>
      <x:c r="E5460" s="274" t="n">
        <x:v>0</x:v>
      </x:c>
      <x:c r="F5460" s="274" t="s">
        <x:v>133</x:v>
      </x:c>
      <x:c r="G5460" s="274" t="s">
        <x:v>209</x:v>
      </x:c>
      <x:c r="I5460" s="274" t="n">
        <x:v>1.2</x:v>
      </x:c>
      <x:c r="J5460" s="274" t="n">
        <x:v>144</x:v>
      </x:c>
      <x:c r="K5460" s="274" t="n">
        <x:v>544</x:v>
      </x:c>
    </x:row>
    <x:row r="5461" spans="1:14">
      <x:c r="A5461" s="274" t="s">
        <x:v>9499</x:v>
      </x:c>
      <x:c r="B5461" s="274" t="n">
        <x:v>13.87</x:v>
      </x:c>
      <x:c r="C5461" s="274" t="n">
        <x:v>0</x:v>
      </x:c>
      <x:c r="D5461" s="274" t="n">
        <x:v>30</x:v>
      </x:c>
      <x:c r="E5461" s="274" t="n">
        <x:v>35</x:v>
      </x:c>
      <x:c r="F5461" s="274" t="s">
        <x:v>133</x:v>
      </x:c>
      <x:c r="G5461" s="274" t="s">
        <x:v>136</x:v>
      </x:c>
      <x:c r="H5461" s="274" t="n">
        <x:v>45</x:v>
      </x:c>
      <x:c r="I5461" s="274" t="n">
        <x:v>1.4</x:v>
      </x:c>
      <x:c r="J5461" s="274" t="n">
        <x:v>1070</x:v>
      </x:c>
      <x:c r="K5461" s="274" t="n">
        <x:v>1170</x:v>
      </x:c>
      <x:c r="N5461" s="274" t="s">
        <x:v>229</x:v>
      </x:c>
    </x:row>
    <x:row r="5462" spans="1:14">
      <x:c r="A5462" s="274" t="s">
        <x:v>9500</x:v>
      </x:c>
      <x:c r="B5462" s="274" t="n">
        <x:v>11.7</x:v>
      </x:c>
      <x:c r="C5462" s="274" t="n">
        <x:v>0</x:v>
      </x:c>
      <x:c r="D5462" s="274" t="n">
        <x:v>30</x:v>
      </x:c>
      <x:c r="E5462" s="274" t="n">
        <x:v>37</x:v>
      </x:c>
      <x:c r="F5462" s="274" t="s">
        <x:v>333</x:v>
      </x:c>
      <x:c r="G5462" s="274" t="s">
        <x:v>209</x:v>
      </x:c>
      <x:c r="I5462" s="274" t="n">
        <x:v>1.4</x:v>
      </x:c>
      <x:c r="J5462" s="274" t="n">
        <x:v>1065</x:v>
      </x:c>
      <x:c r="K5462" s="274" t="n">
        <x:v>1000</x:v>
      </x:c>
      <x:c r="N5462" s="274" t="s">
        <x:v>4250</x:v>
      </x:c>
    </x:row>
    <x:row r="5463" spans="1:14">
      <x:c r="A5463" s="274" t="s">
        <x:v>9501</x:v>
      </x:c>
      <x:c r="B5463" s="274" t="n">
        <x:v>8.87</x:v>
      </x:c>
      <x:c r="C5463" s="274" t="n">
        <x:v>0</x:v>
      </x:c>
      <x:c r="D5463" s="274" t="n">
        <x:v>30</x:v>
      </x:c>
      <x:c r="E5463" s="274" t="n">
        <x:v>40</x:v>
      </x:c>
      <x:c r="F5463" s="274" t="s">
        <x:v>333</x:v>
      </x:c>
      <x:c r="G5463" s="274" t="s">
        <x:v>209</x:v>
      </x:c>
      <x:c r="I5463" s="274" t="n">
        <x:v>1.4</x:v>
      </x:c>
      <x:c r="J5463" s="274" t="n">
        <x:v>1065</x:v>
      </x:c>
      <x:c r="K5463" s="274" t="n">
        <x:v>758</x:v>
      </x:c>
    </x:row>
    <x:row r="5464" spans="1:14">
      <x:c r="A5464" s="274" t="s">
        <x:v>9502</x:v>
      </x:c>
      <x:c r="B5464" s="274" t="n">
        <x:v>22.34</x:v>
      </x:c>
      <x:c r="C5464" s="274" t="n">
        <x:v>0</x:v>
      </x:c>
      <x:c r="D5464" s="274" t="n">
        <x:v>30</x:v>
      </x:c>
      <x:c r="E5464" s="274" t="n">
        <x:v>26</x:v>
      </x:c>
      <x:c r="F5464" s="274" t="s">
        <x:v>133</x:v>
      </x:c>
      <x:c r="G5464" s="274" t="s">
        <x:v>136</x:v>
      </x:c>
      <x:c r="H5464" s="274" t="n">
        <x:v>45</x:v>
      </x:c>
      <x:c r="I5464" s="274" t="n">
        <x:v>2</x:v>
      </x:c>
      <x:c r="J5464" s="274" t="n">
        <x:v>1190</x:v>
      </x:c>
      <x:c r="K5464" s="274" t="n">
        <x:v>1189</x:v>
      </x:c>
      <x:c r="N5464" s="274" t="s">
        <x:v>155</x:v>
      </x:c>
    </x:row>
    <x:row r="5465" spans="1:14">
      <x:c r="A5465" s="274" t="s">
        <x:v>9503</x:v>
      </x:c>
      <x:c r="B5465" s="274" t="n">
        <x:v>14.4</x:v>
      </x:c>
      <x:c r="C5465" s="274" t="n">
        <x:v>0</x:v>
      </x:c>
      <x:c r="D5465" s="274" t="n">
        <x:v>30</x:v>
      </x:c>
      <x:c r="E5465" s="274" t="n">
        <x:v>40</x:v>
      </x:c>
      <x:c r="F5465" s="274" t="s">
        <x:v>133</x:v>
      </x:c>
      <x:c r="G5465" s="274" t="s">
        <x:v>134</x:v>
      </x:c>
      <x:c r="I5465" s="274" t="n">
        <x:v>2.3</x:v>
      </x:c>
      <x:c r="J5465" s="274" t="n">
        <x:v>1185</x:v>
      </x:c>
      <x:c r="K5465" s="274" t="n">
        <x:v>673</x:v>
      </x:c>
      <x:c r="N5465" s="274" t="s">
        <x:v>1182</x:v>
      </x:c>
    </x:row>
    <x:row r="5466" spans="1:14">
      <x:c r="A5466" s="274" t="s">
        <x:v>9504</x:v>
      </x:c>
      <x:c r="B5466" s="274" t="n">
        <x:v>8.16</x:v>
      </x:c>
      <x:c r="C5466" s="274" t="n">
        <x:v>0</x:v>
      </x:c>
      <x:c r="D5466" s="274" t="n">
        <x:v>32</x:v>
      </x:c>
      <x:c r="E5466" s="274" t="n">
        <x:v>40</x:v>
      </x:c>
      <x:c r="F5466" s="274" t="s">
        <x:v>333</x:v>
      </x:c>
      <x:c r="G5466" s="274" t="s">
        <x:v>209</x:v>
      </x:c>
      <x:c r="I5466" s="274" t="n">
        <x:v>1.2</x:v>
      </x:c>
      <x:c r="J5466" s="274" t="n">
        <x:v>1170</x:v>
      </x:c>
      <x:c r="K5466" s="274" t="n">
        <x:v>740</x:v>
      </x:c>
      <x:c r="N5466" s="274" t="s">
        <x:v>1236</x:v>
      </x:c>
    </x:row>
    <x:row r="5467" spans="1:14">
      <x:c r="A5467" s="274" t="s">
        <x:v>9505</x:v>
      </x:c>
      <x:c r="B5467" s="274" t="n">
        <x:v>5.29</x:v>
      </x:c>
      <x:c r="C5467" s="274" t="n">
        <x:v>0</x:v>
      </x:c>
      <x:c r="D5467" s="274" t="n">
        <x:v>32</x:v>
      </x:c>
      <x:c r="E5467" s="274" t="n">
        <x:v>40</x:v>
      </x:c>
      <x:c r="F5467" s="274" t="s">
        <x:v>333</x:v>
      </x:c>
      <x:c r="G5467" s="274" t="s">
        <x:v>209</x:v>
      </x:c>
      <x:c r="I5467" s="274" t="n">
        <x:v>1.2</x:v>
      </x:c>
      <x:c r="J5467" s="274" t="n">
        <x:v>1170</x:v>
      </x:c>
      <x:c r="K5467" s="274" t="n">
        <x:v>480</x:v>
      </x:c>
      <x:c r="N5467" s="274" t="s">
        <x:v>4250</x:v>
      </x:c>
    </x:row>
    <x:row r="5468" spans="1:14">
      <x:c r="A5468" s="274" t="s">
        <x:v>9506</x:v>
      </x:c>
      <x:c r="B5468" s="274" t="n">
        <x:v>7.71</x:v>
      </x:c>
      <x:c r="C5468" s="274" t="n">
        <x:v>0</x:v>
      </x:c>
      <x:c r="D5468" s="274" t="n">
        <x:v>32</x:v>
      </x:c>
      <x:c r="E5468" s="274" t="n">
        <x:v>40</x:v>
      </x:c>
      <x:c r="F5468" s="274" t="s">
        <x:v>333</x:v>
      </x:c>
      <x:c r="G5468" s="274" t="s">
        <x:v>153</x:v>
      </x:c>
      <x:c r="I5468" s="274" t="n">
        <x:v>1.2</x:v>
      </x:c>
      <x:c r="J5468" s="274" t="n">
        <x:v>1050</x:v>
      </x:c>
      <x:c r="K5468" s="274" t="n">
        <x:v>780</x:v>
      </x:c>
      <x:c r="N5468" s="274" t="s">
        <x:v>465</x:v>
      </x:c>
    </x:row>
    <x:row r="5469" spans="1:14">
      <x:c r="A5469" s="274" t="s">
        <x:v>9507</x:v>
      </x:c>
      <x:c r="B5469" s="274" t="n">
        <x:v>12.51</x:v>
      </x:c>
      <x:c r="C5469" s="274" t="n">
        <x:v>0</x:v>
      </x:c>
      <x:c r="D5469" s="274" t="n">
        <x:v>0</x:v>
      </x:c>
      <x:c r="E5469" s="274" t="n">
        <x:v>0</x:v>
      </x:c>
      <x:c r="F5469" s="274" t="s">
        <x:v>133</x:v>
      </x:c>
      <x:c r="G5469" s="274" t="s">
        <x:v>134</x:v>
      </x:c>
      <x:c r="I5469" s="274" t="n">
        <x:v>3.6</x:v>
      </x:c>
      <x:c r="J5469" s="274" t="n">
        <x:v>1165</x:v>
      </x:c>
      <x:c r="K5469" s="274" t="n">
        <x:v>380</x:v>
      </x:c>
      <x:c r="M5469" s="274" t="s">
        <x:v>9486</x:v>
      </x:c>
    </x:row>
    <x:row r="5470" spans="1:14">
      <x:c r="A5470" s="274" t="s">
        <x:v>9508</x:v>
      </x:c>
      <x:c r="B5470" s="274" t="n">
        <x:v>14.03</x:v>
      </x:c>
      <x:c r="C5470" s="274" t="n">
        <x:v>0</x:v>
      </x:c>
      <x:c r="D5470" s="274" t="n">
        <x:v>32</x:v>
      </x:c>
      <x:c r="E5470" s="274" t="n">
        <x:v>32</x:v>
      </x:c>
      <x:c r="F5470" s="274" t="s">
        <x:v>133</x:v>
      </x:c>
      <x:c r="G5470" s="274" t="s">
        <x:v>144</x:v>
      </x:c>
      <x:c r="H5470" s="274" t="n">
        <x:v>45</x:v>
      </x:c>
      <x:c r="I5470" s="274" t="n">
        <x:v>1.2</x:v>
      </x:c>
      <x:c r="J5470" s="274" t="n">
        <x:v>1210</x:v>
      </x:c>
      <x:c r="K5470" s="274" t="n">
        <x:v>1219</x:v>
      </x:c>
    </x:row>
    <x:row r="5471" spans="1:14">
      <x:c r="A5471" s="274" t="s">
        <x:v>9509</x:v>
      </x:c>
      <x:c r="B5471" s="274" t="n">
        <x:v>14.11</x:v>
      </x:c>
      <x:c r="C5471" s="274" t="n">
        <x:v>0</x:v>
      </x:c>
      <x:c r="D5471" s="274" t="n">
        <x:v>30</x:v>
      </x:c>
      <x:c r="E5471" s="274" t="n">
        <x:v>40</x:v>
      </x:c>
      <x:c r="F5471" s="274" t="s">
        <x:v>133</x:v>
      </x:c>
      <x:c r="G5471" s="274" t="s">
        <x:v>134</x:v>
      </x:c>
      <x:c r="I5471" s="274" t="n">
        <x:v>3.6</x:v>
      </x:c>
      <x:c r="J5471" s="274" t="n">
        <x:v>1040</x:v>
      </x:c>
      <x:c r="K5471" s="274" t="n">
        <x:v>480</x:v>
      </x:c>
    </x:row>
    <x:row r="5472" spans="1:14">
      <x:c r="A5472" s="274" t="s">
        <x:v>9510</x:v>
      </x:c>
      <x:c r="B5472" s="274" t="n">
        <x:v>3.7</x:v>
      </x:c>
      <x:c r="C5472" s="274" t="n">
        <x:v>0</x:v>
      </x:c>
      <x:c r="D5472" s="274" t="n">
        <x:v>32</x:v>
      </x:c>
      <x:c r="E5472" s="274" t="n">
        <x:v>40</x:v>
      </x:c>
      <x:c r="F5472" s="274" t="s">
        <x:v>333</x:v>
      </x:c>
      <x:c r="G5472" s="274" t="s">
        <x:v>153</x:v>
      </x:c>
      <x:c r="I5472" s="274" t="n">
        <x:v>0.7</x:v>
      </x:c>
      <x:c r="J5472" s="274" t="n">
        <x:v>875</x:v>
      </x:c>
      <x:c r="K5472" s="274" t="n">
        <x:v>770</x:v>
      </x:c>
      <x:c r="N5472" s="274" t="s">
        <x:v>299</x:v>
      </x:c>
    </x:row>
    <x:row r="5473" spans="1:14">
      <x:c r="A5473" s="274" t="s">
        <x:v>9511</x:v>
      </x:c>
      <x:c r="B5473" s="274" t="n">
        <x:v>15.88</x:v>
      </x:c>
      <x:c r="C5473" s="274" t="n">
        <x:v>0</x:v>
      </x:c>
      <x:c r="D5473" s="274" t="n">
        <x:v>30</x:v>
      </x:c>
      <x:c r="E5473" s="274" t="n">
        <x:v>29</x:v>
      </x:c>
      <x:c r="F5473" s="274" t="s">
        <x:v>333</x:v>
      </x:c>
      <x:c r="G5473" s="274" t="s">
        <x:v>153</x:v>
      </x:c>
      <x:c r="I5473" s="274" t="n">
        <x:v>1.4</x:v>
      </x:c>
      <x:c r="J5473" s="274" t="n">
        <x:v>1000</x:v>
      </x:c>
      <x:c r="K5473" s="274" t="n">
        <x:v>1445</x:v>
      </x:c>
    </x:row>
    <x:row r="5474" spans="1:14">
      <x:c r="A5474" s="274" t="s">
        <x:v>9512</x:v>
      </x:c>
      <x:c r="B5474" s="274" t="n">
        <x:v>7.33</x:v>
      </x:c>
      <x:c r="C5474" s="274" t="n">
        <x:v>0</x:v>
      </x:c>
      <x:c r="D5474" s="274" t="n">
        <x:v>32</x:v>
      </x:c>
      <x:c r="E5474" s="274" t="n">
        <x:v>40</x:v>
      </x:c>
      <x:c r="F5474" s="274" t="s">
        <x:v>333</x:v>
      </x:c>
      <x:c r="G5474" s="274" t="s">
        <x:v>153</x:v>
      </x:c>
      <x:c r="I5474" s="274" t="n">
        <x:v>1.2</x:v>
      </x:c>
      <x:c r="J5474" s="274" t="n">
        <x:v>1050</x:v>
      </x:c>
      <x:c r="K5474" s="274" t="n">
        <x:v>741</x:v>
      </x:c>
      <x:c r="N5474" s="274" t="s">
        <x:v>155</x:v>
      </x:c>
    </x:row>
    <x:row r="5475" spans="1:14">
      <x:c r="A5475" s="274" t="s">
        <x:v>9513</x:v>
      </x:c>
      <x:c r="B5475" s="274" t="n">
        <x:v>3.42</x:v>
      </x:c>
      <x:c r="C5475" s="274" t="n">
        <x:v>0</x:v>
      </x:c>
      <x:c r="D5475" s="274" t="n">
        <x:v>32</x:v>
      </x:c>
      <x:c r="E5475" s="274" t="n">
        <x:v>40</x:v>
      </x:c>
      <x:c r="F5475" s="274" t="s">
        <x:v>128</x:v>
      </x:c>
      <x:c r="G5475" s="274" t="s">
        <x:v>1013</x:v>
      </x:c>
      <x:c r="I5475" s="274" t="n">
        <x:v>0.6</x:v>
      </x:c>
      <x:c r="J5475" s="274" t="n">
        <x:v>920</x:v>
      </x:c>
      <x:c r="K5475" s="274" t="n">
        <x:v>790</x:v>
      </x:c>
      <x:c r="M5475" s="274" t="s">
        <x:v>9514</x:v>
      </x:c>
      <x:c r="N5475" s="274" t="s">
        <x:v>893</x:v>
      </x:c>
    </x:row>
    <x:row r="5476" spans="1:14">
      <x:c r="A5476" s="274" t="s">
        <x:v>9515</x:v>
      </x:c>
      <x:c r="B5476" s="274" t="n">
        <x:v>25.68</x:v>
      </x:c>
      <x:c r="C5476" s="274" t="n">
        <x:v>0</x:v>
      </x:c>
      <x:c r="D5476" s="274" t="n">
        <x:v>30</x:v>
      </x:c>
      <x:c r="E5476" s="274" t="n">
        <x:v>25</x:v>
      </x:c>
      <x:c r="F5476" s="274" t="s">
        <x:v>133</x:v>
      </x:c>
      <x:c r="G5476" s="274" t="s">
        <x:v>134</x:v>
      </x:c>
      <x:c r="I5476" s="274" t="n">
        <x:v>2.3</x:v>
      </x:c>
      <x:c r="J5476" s="274" t="n">
        <x:v>1185</x:v>
      </x:c>
      <x:c r="K5476" s="274" t="n">
        <x:v>1200</x:v>
      </x:c>
      <x:c r="N5476" s="274" t="s">
        <x:v>131</x:v>
      </x:c>
    </x:row>
    <x:row r="5477" spans="1:14">
      <x:c r="A5477" s="274" t="s">
        <x:v>9516</x:v>
      </x:c>
      <x:c r="B5477" s="274" t="n">
        <x:v>14.56</x:v>
      </x:c>
      <x:c r="C5477" s="274" t="n">
        <x:v>0</x:v>
      </x:c>
      <x:c r="D5477" s="274" t="n">
        <x:v>30</x:v>
      </x:c>
      <x:c r="E5477" s="274" t="n">
        <x:v>30</x:v>
      </x:c>
      <x:c r="F5477" s="274" t="s">
        <x:v>333</x:v>
      </x:c>
      <x:c r="G5477" s="274" t="s">
        <x:v>153</x:v>
      </x:c>
      <x:c r="I5477" s="274" t="n">
        <x:v>1.4</x:v>
      </x:c>
      <x:c r="J5477" s="274" t="n">
        <x:v>1000</x:v>
      </x:c>
      <x:c r="K5477" s="274" t="n">
        <x:v>1325</x:v>
      </x:c>
      <x:c r="N5477" s="274" t="s">
        <x:v>131</x:v>
      </x:c>
    </x:row>
    <x:row r="5478" spans="1:14">
      <x:c r="A5478" s="274" t="s">
        <x:v>9517</x:v>
      </x:c>
      <x:c r="B5478" s="274" t="n">
        <x:v>4.48</x:v>
      </x:c>
      <x:c r="C5478" s="274" t="n">
        <x:v>0</x:v>
      </x:c>
      <x:c r="D5478" s="274" t="n">
        <x:v>32</x:v>
      </x:c>
      <x:c r="E5478" s="274" t="n">
        <x:v>40</x:v>
      </x:c>
      <x:c r="F5478" s="274" t="s">
        <x:v>333</x:v>
      </x:c>
      <x:c r="G5478" s="274" t="s">
        <x:v>153</x:v>
      </x:c>
      <x:c r="I5478" s="274" t="n">
        <x:v>0.9</x:v>
      </x:c>
      <x:c r="J5478" s="274" t="n">
        <x:v>990</x:v>
      </x:c>
      <x:c r="K5478" s="274" t="n">
        <x:v>640</x:v>
      </x:c>
      <x:c r="N5478" s="274" t="s">
        <x:v>893</x:v>
      </x:c>
    </x:row>
    <x:row r="5479" spans="1:14">
      <x:c r="A5479" s="274" t="s">
        <x:v>9518</x:v>
      </x:c>
      <x:c r="B5479" s="274" t="n">
        <x:v>14.13</x:v>
      </x:c>
      <x:c r="C5479" s="274" t="n">
        <x:v>0</x:v>
      </x:c>
      <x:c r="D5479" s="274" t="n">
        <x:v>32</x:v>
      </x:c>
      <x:c r="E5479" s="274" t="n">
        <x:v>32</x:v>
      </x:c>
      <x:c r="F5479" s="274" t="s">
        <x:v>123</x:v>
      </x:c>
      <x:c r="G5479" s="274" t="s">
        <x:v>209</x:v>
      </x:c>
      <x:c r="I5479" s="274" t="n">
        <x:v>1.2</x:v>
      </x:c>
      <x:c r="J5479" s="274" t="n">
        <x:v>1200</x:v>
      </x:c>
      <x:c r="K5479" s="274" t="n">
        <x:v>1250</x:v>
      </x:c>
    </x:row>
    <x:row r="5480" spans="1:14">
      <x:c r="A5480" s="274" t="s">
        <x:v>9519</x:v>
      </x:c>
      <x:c r="B5480" s="274" t="n">
        <x:v>20.6</x:v>
      </x:c>
      <x:c r="C5480" s="274" t="n">
        <x:v>0</x:v>
      </x:c>
      <x:c r="D5480" s="274" t="n">
        <x:v>30</x:v>
      </x:c>
      <x:c r="E5480" s="274" t="n">
        <x:v>25</x:v>
      </x:c>
      <x:c r="F5480" s="274" t="s">
        <x:v>133</x:v>
      </x:c>
      <x:c r="G5480" s="274" t="s">
        <x:v>134</x:v>
      </x:c>
      <x:c r="I5480" s="274" t="n">
        <x:v>2</x:v>
      </x:c>
      <x:c r="J5480" s="274" t="n">
        <x:v>1050</x:v>
      </x:c>
      <x:c r="K5480" s="274" t="n">
        <x:v>1250</x:v>
      </x:c>
      <x:c r="N5480" s="274" t="s">
        <x:v>155</x:v>
      </x:c>
    </x:row>
    <x:row r="5481" spans="1:14">
      <x:c r="A5481" s="274" t="s">
        <x:v>9520</x:v>
      </x:c>
      <x:c r="B5481" s="274" t="n">
        <x:v>7.1</x:v>
      </x:c>
      <x:c r="C5481" s="274" t="n">
        <x:v>0</x:v>
      </x:c>
      <x:c r="D5481" s="274" t="n">
        <x:v>32</x:v>
      </x:c>
      <x:c r="E5481" s="274" t="n">
        <x:v>40</x:v>
      </x:c>
      <x:c r="F5481" s="274" t="s">
        <x:v>333</x:v>
      </x:c>
      <x:c r="G5481" s="274" t="s">
        <x:v>124</x:v>
      </x:c>
      <x:c r="I5481" s="274" t="n">
        <x:v>1</x:v>
      </x:c>
      <x:c r="J5481" s="274" t="n">
        <x:v>1090</x:v>
      </x:c>
      <x:c r="K5481" s="274" t="n">
        <x:v>830</x:v>
      </x:c>
      <x:c r="M5481" s="274" t="s">
        <x:v>9521</x:v>
      </x:c>
    </x:row>
    <x:row r="5482" spans="1:14">
      <x:c r="A5482" s="274" t="s">
        <x:v>9522</x:v>
      </x:c>
      <x:c r="B5482" s="274" t="n">
        <x:v>41.25</x:v>
      </x:c>
      <x:c r="C5482" s="274" t="n">
        <x:v>0</x:v>
      </x:c>
      <x:c r="D5482" s="274" t="n">
        <x:v>30</x:v>
      </x:c>
      <x:c r="E5482" s="274" t="n">
        <x:v>21</x:v>
      </x:c>
      <x:c r="F5482" s="274" t="s">
        <x:v>133</x:v>
      </x:c>
      <x:c r="G5482" s="274" t="s">
        <x:v>148</x:v>
      </x:c>
      <x:c r="I5482" s="274" t="n">
        <x:v>3.2</x:v>
      </x:c>
      <x:c r="J5482" s="274" t="n">
        <x:v>1095</x:v>
      </x:c>
      <x:c r="K5482" s="274" t="n">
        <x:v>1500</x:v>
      </x:c>
    </x:row>
    <x:row r="5483" spans="1:14">
      <x:c r="A5483" s="274" t="s">
        <x:v>9523</x:v>
      </x:c>
      <x:c r="B5483" s="274" t="n">
        <x:v>15.11</x:v>
      </x:c>
      <x:c r="C5483" s="274" t="n">
        <x:v>0</x:v>
      </x:c>
      <x:c r="D5483" s="274" t="n">
        <x:v>30</x:v>
      </x:c>
      <x:c r="E5483" s="274" t="n">
        <x:v>33</x:v>
      </x:c>
      <x:c r="F5483" s="274" t="s">
        <x:v>128</x:v>
      </x:c>
      <x:c r="G5483" s="274" t="s">
        <x:v>136</x:v>
      </x:c>
      <x:c r="H5483" s="274" t="n">
        <x:v>45</x:v>
      </x:c>
      <x:c r="I5483" s="274" t="n">
        <x:v>2.3</x:v>
      </x:c>
      <x:c r="J5483" s="274" t="n">
        <x:v>1010</x:v>
      </x:c>
      <x:c r="K5483" s="274" t="n">
        <x:v>825</x:v>
      </x:c>
      <x:c r="M5483" s="274" t="s">
        <x:v>9524</x:v>
      </x:c>
    </x:row>
    <x:row r="5484" spans="1:14">
      <x:c r="A5484" s="274" t="s">
        <x:v>9525</x:v>
      </x:c>
      <x:c r="B5484" s="274" t="n">
        <x:v>39.85</x:v>
      </x:c>
      <x:c r="C5484" s="274" t="n">
        <x:v>0</x:v>
      </x:c>
      <x:c r="D5484" s="274" t="n">
        <x:v>0</x:v>
      </x:c>
      <x:c r="E5484" s="274" t="n">
        <x:v>0</x:v>
      </x:c>
      <x:c r="F5484" s="274" t="s">
        <x:v>123</x:v>
      </x:c>
      <x:c r="G5484" s="274" t="s">
        <x:v>139</x:v>
      </x:c>
      <x:c r="I5484" s="274" t="n">
        <x:v>6</x:v>
      </x:c>
      <x:c r="J5484" s="274" t="n">
        <x:v>955</x:v>
      </x:c>
      <x:c r="K5484" s="274" t="n">
        <x:v>886</x:v>
      </x:c>
      <x:c r="N5484" s="274" t="s">
        <x:v>475</x:v>
      </x:c>
    </x:row>
    <x:row r="5485" spans="1:14">
      <x:c r="A5485" s="274" t="s">
        <x:v>9526</x:v>
      </x:c>
      <x:c r="B5485" s="274" t="n">
        <x:v>7.34</x:v>
      </x:c>
      <x:c r="C5485" s="274" t="n">
        <x:v>0</x:v>
      </x:c>
      <x:c r="D5485" s="274" t="n">
        <x:v>32</x:v>
      </x:c>
      <x:c r="E5485" s="274" t="n">
        <x:v>28</x:v>
      </x:c>
      <x:c r="F5485" s="274" t="s">
        <x:v>333</x:v>
      </x:c>
      <x:c r="G5485" s="274" t="s">
        <x:v>153</x:v>
      </x:c>
      <x:c r="I5485" s="274" t="n">
        <x:v>0.7</x:v>
      </x:c>
      <x:c r="J5485" s="274" t="n">
        <x:v>875</x:v>
      </x:c>
      <x:c r="K5485" s="274" t="n">
        <x:v>1526</x:v>
      </x:c>
      <x:c r="N5485" s="274" t="s">
        <x:v>1365</x:v>
      </x:c>
    </x:row>
    <x:row r="5486" spans="1:14">
      <x:c r="A5486" s="274" t="s">
        <x:v>9527</x:v>
      </x:c>
      <x:c r="B5486" s="274" t="n">
        <x:v>20.94</x:v>
      </x:c>
      <x:c r="C5486" s="274" t="n">
        <x:v>0</x:v>
      </x:c>
      <x:c r="D5486" s="274" t="n">
        <x:v>30</x:v>
      </x:c>
      <x:c r="E5486" s="274" t="n">
        <x:v>25</x:v>
      </x:c>
      <x:c r="F5486" s="274" t="s">
        <x:v>133</x:v>
      </x:c>
      <x:c r="G5486" s="274" t="s">
        <x:v>148</x:v>
      </x:c>
      <x:c r="I5486" s="274" t="n">
        <x:v>2</x:v>
      </x:c>
      <x:c r="J5486" s="274" t="n">
        <x:v>1110</x:v>
      </x:c>
      <x:c r="K5486" s="274" t="n">
        <x:v>1202</x:v>
      </x:c>
      <x:c r="M5486" s="274" t="s">
        <x:v>9528</x:v>
      </x:c>
      <x:c r="N5486" s="274" t="s">
        <x:v>1236</x:v>
      </x:c>
    </x:row>
    <x:row r="5487" spans="1:14">
      <x:c r="A5487" s="274" t="s">
        <x:v>9529</x:v>
      </x:c>
      <x:c r="B5487" s="274" t="n">
        <x:v>14.48</x:v>
      </x:c>
      <x:c r="C5487" s="274" t="n">
        <x:v>0</x:v>
      </x:c>
      <x:c r="D5487" s="274" t="n">
        <x:v>30</x:v>
      </x:c>
      <x:c r="E5487" s="274" t="n">
        <x:v>40</x:v>
      </x:c>
      <x:c r="F5487" s="274" t="s">
        <x:v>133</x:v>
      </x:c>
      <x:c r="G5487" s="274" t="s">
        <x:v>134</x:v>
      </x:c>
      <x:c r="I5487" s="274" t="n">
        <x:v>2.9</x:v>
      </x:c>
      <x:c r="J5487" s="274" t="n">
        <x:v>1200</x:v>
      </x:c>
      <x:c r="K5487" s="274" t="n">
        <x:v>530</x:v>
      </x:c>
      <x:c r="N5487" s="274" t="s">
        <x:v>299</x:v>
      </x:c>
    </x:row>
    <x:row r="5488" spans="1:14">
      <x:c r="A5488" s="274" t="s">
        <x:v>9530</x:v>
      </x:c>
      <x:c r="B5488" s="274" t="n">
        <x:v>4.75</x:v>
      </x:c>
      <x:c r="C5488" s="274" t="n">
        <x:v>0</x:v>
      </x:c>
      <x:c r="D5488" s="274" t="n">
        <x:v>32</x:v>
      </x:c>
      <x:c r="E5488" s="274" t="n">
        <x:v>40</x:v>
      </x:c>
      <x:c r="F5488" s="274" t="s">
        <x:v>333</x:v>
      </x:c>
      <x:c r="G5488" s="274" t="s">
        <x:v>153</x:v>
      </x:c>
      <x:c r="I5488" s="274" t="n">
        <x:v>1.2</x:v>
      </x:c>
      <x:c r="J5488" s="274" t="n">
        <x:v>1050</x:v>
      </x:c>
      <x:c r="K5488" s="274" t="n">
        <x:v>480</x:v>
      </x:c>
    </x:row>
    <x:row r="5489" spans="1:14">
      <x:c r="A5489" s="274" t="s">
        <x:v>9531</x:v>
      </x:c>
      <x:c r="B5489" s="274" t="n">
        <x:v>17.58</x:v>
      </x:c>
      <x:c r="C5489" s="274" t="n">
        <x:v>0</x:v>
      </x:c>
      <x:c r="D5489" s="274" t="n">
        <x:v>30</x:v>
      </x:c>
      <x:c r="E5489" s="274" t="n">
        <x:v>37</x:v>
      </x:c>
      <x:c r="F5489" s="274" t="s">
        <x:v>133</x:v>
      </x:c>
      <x:c r="G5489" s="274" t="s">
        <x:v>134</x:v>
      </x:c>
      <x:c r="I5489" s="274" t="n">
        <x:v>2.9</x:v>
      </x:c>
      <x:c r="J5489" s="274" t="n">
        <x:v>1100</x:v>
      </x:c>
      <x:c r="K5489" s="274" t="n">
        <x:v>702</x:v>
      </x:c>
      <x:c r="N5489" s="274" t="s">
        <x:v>299</x:v>
      </x:c>
    </x:row>
    <x:row r="5490" spans="1:14">
      <x:c r="A5490" s="274" t="s">
        <x:v>9532</x:v>
      </x:c>
      <x:c r="B5490" s="274" t="n">
        <x:v>8.2</x:v>
      </x:c>
      <x:c r="C5490" s="274" t="n">
        <x:v>0</x:v>
      </x:c>
      <x:c r="D5490" s="274" t="n">
        <x:v>30</x:v>
      </x:c>
      <x:c r="E5490" s="274" t="n">
        <x:v>40</x:v>
      </x:c>
      <x:c r="F5490" s="274" t="s">
        <x:v>133</x:v>
      </x:c>
      <x:c r="G5490" s="274" t="s">
        <x:v>134</x:v>
      </x:c>
      <x:c r="I5490" s="274" t="n">
        <x:v>1.6</x:v>
      </x:c>
      <x:c r="J5490" s="274" t="n">
        <x:v>1020</x:v>
      </x:c>
      <x:c r="K5490" s="274" t="n">
        <x:v>640</x:v>
      </x:c>
      <x:c r="N5490" s="274" t="s">
        <x:v>299</x:v>
      </x:c>
    </x:row>
    <x:row r="5491" spans="1:14">
      <x:c r="A5491" s="274" t="s">
        <x:v>9533</x:v>
      </x:c>
      <x:c r="B5491" s="274" t="n">
        <x:v>1.56</x:v>
      </x:c>
      <x:c r="C5491" s="274" t="n">
        <x:v>0</x:v>
      </x:c>
      <x:c r="D5491" s="274" t="n">
        <x:v>0</x:v>
      </x:c>
      <x:c r="E5491" s="274" t="n">
        <x:v>0</x:v>
      </x:c>
      <x:c r="F5491" s="274" t="s">
        <x:v>133</x:v>
      </x:c>
      <x:c r="G5491" s="274" t="s">
        <x:v>209</x:v>
      </x:c>
      <x:c r="I5491" s="274" t="n">
        <x:v>0.8</x:v>
      </x:c>
      <x:c r="J5491" s="274" t="n">
        <x:v>288</x:v>
      </x:c>
      <x:c r="K5491" s="274" t="n">
        <x:v>860</x:v>
      </x:c>
      <x:c r="M5491" s="274" t="s">
        <x:v>9486</x:v>
      </x:c>
      <x:c r="N5491" s="274" t="s">
        <x:v>241</x:v>
      </x:c>
    </x:row>
    <x:row r="5492" spans="1:14">
      <x:c r="A5492" s="274" t="s">
        <x:v>9534</x:v>
      </x:c>
      <x:c r="B5492" s="274" t="n">
        <x:v>32.76</x:v>
      </x:c>
      <x:c r="C5492" s="274" t="n">
        <x:v>0</x:v>
      </x:c>
      <x:c r="D5492" s="274" t="n">
        <x:v>30</x:v>
      </x:c>
      <x:c r="E5492" s="274" t="n">
        <x:v>26</x:v>
      </x:c>
      <x:c r="F5492" s="274" t="s">
        <x:v>133</x:v>
      </x:c>
      <x:c r="G5492" s="274" t="s">
        <x:v>134</x:v>
      </x:c>
      <x:c r="I5492" s="274" t="n">
        <x:v>3.2</x:v>
      </x:c>
      <x:c r="J5492" s="274" t="n">
        <x:v>1170</x:v>
      </x:c>
      <x:c r="K5492" s="274" t="n">
        <x:v>1115</x:v>
      </x:c>
    </x:row>
    <x:row r="5493" spans="1:14">
      <x:c r="A5493" s="274" t="s">
        <x:v>9535</x:v>
      </x:c>
      <x:c r="B5493" s="274" t="n">
        <x:v>1.51</x:v>
      </x:c>
      <x:c r="C5493" s="274" t="n">
        <x:v>0</x:v>
      </x:c>
      <x:c r="D5493" s="274" t="n">
        <x:v>0</x:v>
      </x:c>
      <x:c r="E5493" s="274" t="n">
        <x:v>0</x:v>
      </x:c>
      <x:c r="F5493" s="274" t="s">
        <x:v>133</x:v>
      </x:c>
      <x:c r="G5493" s="274" t="s">
        <x:v>124</x:v>
      </x:c>
      <x:c r="I5493" s="274" t="n">
        <x:v>1.2</x:v>
      </x:c>
      <x:c r="J5493" s="274" t="n">
        <x:v>276</x:v>
      </x:c>
      <x:c r="K5493" s="274" t="n">
        <x:v>580</x:v>
      </x:c>
      <x:c r="M5493" s="274" t="s">
        <x:v>9536</x:v>
      </x:c>
      <x:c r="N5493" s="274" t="s">
        <x:v>299</x:v>
      </x:c>
    </x:row>
    <x:row r="5494" spans="1:14">
      <x:c r="A5494" s="274" t="s">
        <x:v>9537</x:v>
      </x:c>
      <x:c r="B5494" s="274" t="n">
        <x:v>0.74</x:v>
      </x:c>
      <x:c r="C5494" s="274" t="n">
        <x:v>0</x:v>
      </x:c>
      <x:c r="D5494" s="274" t="n">
        <x:v>0</x:v>
      </x:c>
      <x:c r="E5494" s="274" t="n">
        <x:v>0</x:v>
      </x:c>
      <x:c r="F5494" s="274" t="s">
        <x:v>133</x:v>
      </x:c>
      <x:c r="G5494" s="274" t="s">
        <x:v>209</x:v>
      </x:c>
      <x:c r="I5494" s="274" t="n">
        <x:v>1.2</x:v>
      </x:c>
      <x:c r="J5494" s="274" t="n">
        <x:v>144</x:v>
      </x:c>
      <x:c r="K5494" s="274" t="n">
        <x:v>544</x:v>
      </x:c>
      <x:c r="M5494" s="274" t="s">
        <x:v>1583</x:v>
      </x:c>
      <x:c r="N5494" s="274" t="s">
        <x:v>299</x:v>
      </x:c>
    </x:row>
    <x:row r="5495" spans="1:14">
      <x:c r="A5495" s="274" t="s">
        <x:v>9538</x:v>
      </x:c>
      <x:c r="B5495" s="274" t="n">
        <x:v>10.59</x:v>
      </x:c>
      <x:c r="C5495" s="274" t="n">
        <x:v>0</x:v>
      </x:c>
      <x:c r="D5495" s="274" t="n">
        <x:v>30</x:v>
      </x:c>
      <x:c r="E5495" s="274" t="n">
        <x:v>40</x:v>
      </x:c>
      <x:c r="F5495" s="274" t="s">
        <x:v>133</x:v>
      </x:c>
      <x:c r="G5495" s="274" t="s">
        <x:v>148</x:v>
      </x:c>
      <x:c r="I5495" s="274" t="n">
        <x:v>2.9</x:v>
      </x:c>
      <x:c r="J5495" s="274" t="n">
        <x:v>990</x:v>
      </x:c>
      <x:c r="K5495" s="274" t="n">
        <x:v>470</x:v>
      </x:c>
    </x:row>
    <x:row r="5496" spans="1:14">
      <x:c r="A5496" s="274" t="s">
        <x:v>9539</x:v>
      </x:c>
      <x:c r="B5496" s="274" t="n">
        <x:v>4.45</x:v>
      </x:c>
      <x:c r="C5496" s="274" t="n">
        <x:v>0</x:v>
      </x:c>
      <x:c r="D5496" s="274" t="n">
        <x:v>32</x:v>
      </x:c>
      <x:c r="E5496" s="274" t="n">
        <x:v>40</x:v>
      </x:c>
      <x:c r="F5496" s="274" t="s">
        <x:v>333</x:v>
      </x:c>
      <x:c r="G5496" s="274" t="s">
        <x:v>209</x:v>
      </x:c>
      <x:c r="I5496" s="274" t="n">
        <x:v>1.2</x:v>
      </x:c>
      <x:c r="J5496" s="274" t="n">
        <x:v>1170</x:v>
      </x:c>
      <x:c r="K5496" s="274" t="n">
        <x:v>404</x:v>
      </x:c>
      <x:c r="M5496" s="274" t="s">
        <x:v>9446</x:v>
      </x:c>
      <x:c r="N5496" s="274" t="s">
        <x:v>299</x:v>
      </x:c>
    </x:row>
    <x:row r="5497" spans="1:14">
      <x:c r="A5497" s="274" t="s">
        <x:v>9540</x:v>
      </x:c>
      <x:c r="B5497" s="274" t="n">
        <x:v>4.32</x:v>
      </x:c>
      <x:c r="C5497" s="274" t="n">
        <x:v>0</x:v>
      </x:c>
      <x:c r="D5497" s="274" t="n">
        <x:v>30</x:v>
      </x:c>
      <x:c r="E5497" s="274" t="n">
        <x:v>40</x:v>
      </x:c>
      <x:c r="F5497" s="274" t="s">
        <x:v>123</x:v>
      </x:c>
      <x:c r="G5497" s="274" t="s">
        <x:v>153</x:v>
      </x:c>
      <x:c r="I5497" s="274" t="n">
        <x:v>1.4</x:v>
      </x:c>
      <x:c r="J5497" s="274" t="n">
        <x:v>750</x:v>
      </x:c>
      <x:c r="K5497" s="274" t="n">
        <x:v>524</x:v>
      </x:c>
      <x:c r="N5497" s="274" t="s">
        <x:v>421</x:v>
      </x:c>
    </x:row>
    <x:row r="5498" spans="1:14">
      <x:c r="A5498" s="274" t="s">
        <x:v>9541</x:v>
      </x:c>
      <x:c r="B5498" s="274" t="n">
        <x:v>23.33</x:v>
      </x:c>
      <x:c r="C5498" s="274" t="n">
        <x:v>0</x:v>
      </x:c>
      <x:c r="D5498" s="274" t="n">
        <x:v>30</x:v>
      </x:c>
      <x:c r="E5498" s="274" t="n">
        <x:v>28</x:v>
      </x:c>
      <x:c r="F5498" s="274" t="s">
        <x:v>133</x:v>
      </x:c>
      <x:c r="G5498" s="274" t="s">
        <x:v>148</x:v>
      </x:c>
      <x:c r="I5498" s="274" t="n">
        <x:v>2.9</x:v>
      </x:c>
      <x:c r="J5498" s="274" t="n">
        <x:v>990</x:v>
      </x:c>
      <x:c r="K5498" s="274" t="n">
        <x:v>1035</x:v>
      </x:c>
      <x:c r="N5498" s="274" t="s">
        <x:v>299</x:v>
      </x:c>
    </x:row>
    <x:row r="5499" spans="1:14">
      <x:c r="A5499" s="274" t="s">
        <x:v>9542</x:v>
      </x:c>
      <x:c r="B5499" s="274" t="n">
        <x:v>4.21</x:v>
      </x:c>
      <x:c r="C5499" s="274" t="n">
        <x:v>0</x:v>
      </x:c>
      <x:c r="D5499" s="274" t="n">
        <x:v>30</x:v>
      </x:c>
      <x:c r="E5499" s="274" t="n">
        <x:v>40</x:v>
      </x:c>
      <x:c r="F5499" s="274" t="s">
        <x:v>333</x:v>
      </x:c>
      <x:c r="G5499" s="274" t="s">
        <x:v>124</x:v>
      </x:c>
      <x:c r="I5499" s="274" t="n">
        <x:v>1.4</x:v>
      </x:c>
      <x:c r="J5499" s="274" t="n">
        <x:v>930</x:v>
      </x:c>
      <x:c r="K5499" s="274" t="n">
        <x:v>412</x:v>
      </x:c>
    </x:row>
    <x:row r="5500" spans="1:14">
      <x:c r="A5500" s="274" t="s">
        <x:v>9543</x:v>
      </x:c>
      <x:c r="B5500" s="274" t="n">
        <x:v>14.37</x:v>
      </x:c>
      <x:c r="C5500" s="274" t="n">
        <x:v>0</x:v>
      </x:c>
      <x:c r="D5500" s="274" t="n">
        <x:v>30</x:v>
      </x:c>
      <x:c r="E5500" s="274" t="n">
        <x:v>40</x:v>
      </x:c>
      <x:c r="F5500" s="274" t="s">
        <x:v>133</x:v>
      </x:c>
      <x:c r="G5500" s="274" t="s">
        <x:v>134</x:v>
      </x:c>
      <x:c r="I5500" s="274" t="n">
        <x:v>2.9</x:v>
      </x:c>
      <x:c r="J5500" s="274" t="n">
        <x:v>1200</x:v>
      </x:c>
      <x:c r="K5500" s="274" t="n">
        <x:v>526</x:v>
      </x:c>
      <x:c r="N5500" s="274" t="s">
        <x:v>299</x:v>
      </x:c>
    </x:row>
    <x:row r="5501" spans="1:14">
      <x:c r="A5501" s="274" t="s">
        <x:v>9544</x:v>
      </x:c>
      <x:c r="B5501" s="274" t="n">
        <x:v>9.78</x:v>
      </x:c>
      <x:c r="C5501" s="274" t="n">
        <x:v>0</x:v>
      </x:c>
      <x:c r="D5501" s="274" t="n">
        <x:v>30</x:v>
      </x:c>
      <x:c r="E5501" s="274" t="n">
        <x:v>40</x:v>
      </x:c>
      <x:c r="F5501" s="274" t="s">
        <x:v>333</x:v>
      </x:c>
      <x:c r="G5501" s="274" t="s">
        <x:v>153</x:v>
      </x:c>
      <x:c r="I5501" s="274" t="n">
        <x:v>1.4</x:v>
      </x:c>
      <x:c r="J5501" s="274" t="n">
        <x:v>1000</x:v>
      </x:c>
      <x:c r="K5501" s="274" t="n">
        <x:v>890</x:v>
      </x:c>
    </x:row>
    <x:row r="5502" spans="1:14">
      <x:c r="A5502" s="274" t="s">
        <x:v>9545</x:v>
      </x:c>
      <x:c r="B5502" s="274" t="n">
        <x:v>4.58</x:v>
      </x:c>
      <x:c r="C5502" s="274" t="n">
        <x:v>0</x:v>
      </x:c>
      <x:c r="D5502" s="274" t="n">
        <x:v>32</x:v>
      </x:c>
      <x:c r="E5502" s="274" t="n">
        <x:v>40</x:v>
      </x:c>
      <x:c r="F5502" s="274" t="s">
        <x:v>333</x:v>
      </x:c>
      <x:c r="G5502" s="274" t="s">
        <x:v>153</x:v>
      </x:c>
      <x:c r="I5502" s="274" t="n">
        <x:v>1</x:v>
      </x:c>
      <x:c r="J5502" s="274" t="n">
        <x:v>985</x:v>
      </x:c>
      <x:c r="K5502" s="274" t="n">
        <x:v>592</x:v>
      </x:c>
    </x:row>
    <x:row r="5503" spans="1:14">
      <x:c r="A5503" s="274" t="s">
        <x:v>9546</x:v>
      </x:c>
      <x:c r="B5503" s="274" t="n">
        <x:v>5.53</x:v>
      </x:c>
      <x:c r="C5503" s="274" t="n">
        <x:v>0</x:v>
      </x:c>
      <x:c r="D5503" s="274" t="n">
        <x:v>32</x:v>
      </x:c>
      <x:c r="E5503" s="274" t="n">
        <x:v>40</x:v>
      </x:c>
      <x:c r="F5503" s="274" t="s">
        <x:v>333</x:v>
      </x:c>
      <x:c r="G5503" s="274" t="s">
        <x:v>209</x:v>
      </x:c>
      <x:c r="I5503" s="274" t="n">
        <x:v>1.2</x:v>
      </x:c>
      <x:c r="J5503" s="274" t="n">
        <x:v>1170</x:v>
      </x:c>
      <x:c r="K5503" s="274" t="n">
        <x:v>502</x:v>
      </x:c>
      <x:c r="M5503" s="274" t="s">
        <x:v>9547</x:v>
      </x:c>
      <x:c r="N5503" s="274" t="s">
        <x:v>870</x:v>
      </x:c>
    </x:row>
    <x:row r="5504" spans="1:14">
      <x:c r="A5504" s="274" t="s">
        <x:v>9548</x:v>
      </x:c>
      <x:c r="B5504" s="274" t="n">
        <x:v>9.3</x:v>
      </x:c>
      <x:c r="C5504" s="274" t="n">
        <x:v>0</x:v>
      </x:c>
      <x:c r="D5504" s="274" t="n">
        <x:v>30</x:v>
      </x:c>
      <x:c r="E5504" s="274" t="n">
        <x:v>40</x:v>
      </x:c>
      <x:c r="F5504" s="274" t="s">
        <x:v>133</x:v>
      </x:c>
      <x:c r="G5504" s="274" t="s">
        <x:v>148</x:v>
      </x:c>
      <x:c r="I5504" s="274" t="n">
        <x:v>2.3</x:v>
      </x:c>
      <x:c r="J5504" s="274" t="n">
        <x:v>1120</x:v>
      </x:c>
      <x:c r="K5504" s="274" t="n">
        <x:v>460</x:v>
      </x:c>
    </x:row>
    <x:row r="5505" spans="1:14">
      <x:c r="A5505" s="274" t="s">
        <x:v>9549</x:v>
      </x:c>
      <x:c r="B5505" s="274" t="n">
        <x:v>9.3</x:v>
      </x:c>
      <x:c r="C5505" s="274" t="n">
        <x:v>0</x:v>
      </x:c>
      <x:c r="D5505" s="274" t="n">
        <x:v>30</x:v>
      </x:c>
      <x:c r="E5505" s="274" t="n">
        <x:v>40</x:v>
      </x:c>
      <x:c r="F5505" s="274" t="s">
        <x:v>133</x:v>
      </x:c>
      <x:c r="G5505" s="274" t="s">
        <x:v>148</x:v>
      </x:c>
      <x:c r="I5505" s="274" t="n">
        <x:v>2.6</x:v>
      </x:c>
      <x:c r="J5505" s="274" t="n">
        <x:v>1020</x:v>
      </x:c>
      <x:c r="K5505" s="274" t="n">
        <x:v>447</x:v>
      </x:c>
      <x:c r="N5505" s="274" t="s">
        <x:v>4250</x:v>
      </x:c>
    </x:row>
    <x:row r="5506" spans="1:14">
      <x:c r="A5506" s="274" t="s">
        <x:v>9550</x:v>
      </x:c>
      <x:c r="B5506" s="274" t="n">
        <x:v>4.61</x:v>
      </x:c>
      <x:c r="C5506" s="274" t="n">
        <x:v>0</x:v>
      </x:c>
      <x:c r="D5506" s="274" t="n">
        <x:v>0</x:v>
      </x:c>
      <x:c r="E5506" s="274" t="n">
        <x:v>0</x:v>
      </x:c>
      <x:c r="F5506" s="274" t="s">
        <x:v>133</x:v>
      </x:c>
      <x:c r="G5506" s="274" t="s">
        <x:v>144</x:v>
      </x:c>
      <x:c r="H5506" s="274" t="n">
        <x:v>45</x:v>
      </x:c>
      <x:c r="I5506" s="274" t="n">
        <x:v>1.8</x:v>
      </x:c>
      <x:c r="J5506" s="274" t="n">
        <x:v>281</x:v>
      </x:c>
      <x:c r="K5506" s="274" t="n">
        <x:v>1154</x:v>
      </x:c>
      <x:c r="M5506" s="274" t="s">
        <x:v>9486</x:v>
      </x:c>
    </x:row>
    <x:row r="5507" spans="1:14">
      <x:c r="A5507" s="274" t="s">
        <x:v>9551</x:v>
      </x:c>
      <x:c r="B5507" s="274" t="n">
        <x:v>0.57</x:v>
      </x:c>
      <x:c r="C5507" s="274" t="n">
        <x:v>0</x:v>
      </x:c>
      <x:c r="D5507" s="274" t="n">
        <x:v>0</x:v>
      </x:c>
      <x:c r="E5507" s="274" t="n">
        <x:v>0</x:v>
      </x:c>
      <x:c r="F5507" s="274" t="s">
        <x:v>133</x:v>
      </x:c>
      <x:c r="G5507" s="274" t="s">
        <x:v>136</x:v>
      </x:c>
      <x:c r="H5507" s="274" t="n">
        <x:v>45</x:v>
      </x:c>
      <x:c r="I5507" s="274" t="n">
        <x:v>1.6</x:v>
      </x:c>
      <x:c r="J5507" s="274" t="n">
        <x:v>105</x:v>
      </x:c>
      <x:c r="K5507" s="274" t="n">
        <x:v>427</x:v>
      </x:c>
      <x:c r="M5507" s="274" t="s">
        <x:v>9486</x:v>
      </x:c>
      <x:c r="N5507" s="274" t="s">
        <x:v>299</x:v>
      </x:c>
    </x:row>
    <x:row r="5508" spans="1:14">
      <x:c r="A5508" s="274" t="s">
        <x:v>9552</x:v>
      </x:c>
      <x:c r="B5508" s="274" t="n">
        <x:v>0.64</x:v>
      </x:c>
      <x:c r="C5508" s="274" t="n">
        <x:v>0</x:v>
      </x:c>
      <x:c r="D5508" s="274" t="n">
        <x:v>0</x:v>
      </x:c>
      <x:c r="E5508" s="274" t="n">
        <x:v>0</x:v>
      </x:c>
      <x:c r="F5508" s="274" t="s">
        <x:v>333</x:v>
      </x:c>
      <x:c r="G5508" s="274" t="s">
        <x:v>124</x:v>
      </x:c>
      <x:c r="I5508" s="274" t="n">
        <x:v>1</x:v>
      </x:c>
      <x:c r="J5508" s="274" t="n">
        <x:v>190</x:v>
      </x:c>
      <x:c r="K5508" s="274" t="n">
        <x:v>429</x:v>
      </x:c>
      <x:c r="M5508" s="274" t="s">
        <x:v>9486</x:v>
      </x:c>
    </x:row>
    <x:row r="5509" spans="1:14">
      <x:c r="A5509" s="274" t="s">
        <x:v>9553</x:v>
      </x:c>
      <x:c r="B5509" s="274" t="n">
        <x:v>7.91</x:v>
      </x:c>
      <x:c r="C5509" s="274" t="n">
        <x:v>0</x:v>
      </x:c>
      <x:c r="D5509" s="274" t="n">
        <x:v>32</x:v>
      </x:c>
      <x:c r="E5509" s="274" t="n">
        <x:v>40</x:v>
      </x:c>
      <x:c r="F5509" s="274" t="s">
        <x:v>333</x:v>
      </x:c>
      <x:c r="G5509" s="274" t="s">
        <x:v>153</x:v>
      </x:c>
      <x:c r="I5509" s="274" t="n">
        <x:v>1.2</x:v>
      </x:c>
      <x:c r="J5509" s="274" t="n">
        <x:v>1050</x:v>
      </x:c>
      <x:c r="K5509" s="274" t="n">
        <x:v>800</x:v>
      </x:c>
    </x:row>
    <x:row r="5510" spans="1:14">
      <x:c r="A5510" s="274" t="s">
        <x:v>9554</x:v>
      </x:c>
      <x:c r="B5510" s="274" t="n">
        <x:v>4</x:v>
      </x:c>
      <x:c r="C5510" s="274" t="n">
        <x:v>0</x:v>
      </x:c>
      <x:c r="D5510" s="274" t="n">
        <x:v>30</x:v>
      </x:c>
      <x:c r="E5510" s="274" t="n">
        <x:v>40</x:v>
      </x:c>
      <x:c r="F5510" s="274" t="s">
        <x:v>133</x:v>
      </x:c>
      <x:c r="G5510" s="274" t="s">
        <x:v>144</x:v>
      </x:c>
      <x:c r="H5510" s="274" t="n">
        <x:v>45</x:v>
      </x:c>
      <x:c r="I5510" s="274" t="n">
        <x:v>1.4</x:v>
      </x:c>
      <x:c r="J5510" s="274" t="n">
        <x:v>890</x:v>
      </x:c>
      <x:c r="K5510" s="274" t="n">
        <x:v>406</x:v>
      </x:c>
      <x:c r="N5510" s="274" t="s">
        <x:v>155</x:v>
      </x:c>
    </x:row>
    <x:row r="5511" spans="1:14">
      <x:c r="A5511" s="274" t="s">
        <x:v>9555</x:v>
      </x:c>
      <x:c r="B5511" s="274" t="n">
        <x:v>5.77</x:v>
      </x:c>
      <x:c r="C5511" s="274" t="n">
        <x:v>0</x:v>
      </x:c>
      <x:c r="D5511" s="274" t="n">
        <x:v>32</x:v>
      </x:c>
      <x:c r="E5511" s="274" t="n">
        <x:v>40</x:v>
      </x:c>
      <x:c r="F5511" s="274" t="s">
        <x:v>333</x:v>
      </x:c>
      <x:c r="G5511" s="274" t="s">
        <x:v>153</x:v>
      </x:c>
      <x:c r="I5511" s="274" t="n">
        <x:v>1.2</x:v>
      </x:c>
      <x:c r="J5511" s="274" t="n">
        <x:v>1290</x:v>
      </x:c>
      <x:c r="K5511" s="274" t="n">
        <x:v>475</x:v>
      </x:c>
    </x:row>
    <x:row r="5512" spans="1:14">
      <x:c r="A5512" s="274" t="s">
        <x:v>9556</x:v>
      </x:c>
      <x:c r="B5512" s="274" t="n">
        <x:v>16.87</x:v>
      </x:c>
      <x:c r="C5512" s="274" t="n">
        <x:v>0</x:v>
      </x:c>
      <x:c r="D5512" s="274" t="n">
        <x:v>30</x:v>
      </x:c>
      <x:c r="E5512" s="274" t="n">
        <x:v>40</x:v>
      </x:c>
      <x:c r="F5512" s="274" t="s">
        <x:v>133</x:v>
      </x:c>
      <x:c r="G5512" s="274" t="s">
        <x:v>134</x:v>
      </x:c>
      <x:c r="I5512" s="274" t="n">
        <x:v>3.2</x:v>
      </x:c>
      <x:c r="J5512" s="274" t="n">
        <x:v>1085</x:v>
      </x:c>
      <x:c r="K5512" s="274" t="n">
        <x:v>619</x:v>
      </x:c>
      <x:c r="N5512" s="274" t="s">
        <x:v>299</x:v>
      </x:c>
    </x:row>
    <x:row r="5513" spans="1:14">
      <x:c r="A5513" s="274" t="s">
        <x:v>9557</x:v>
      </x:c>
      <x:c r="B5513" s="274" t="n">
        <x:v>7.31</x:v>
      </x:c>
      <x:c r="C5513" s="274" t="n">
        <x:v>0</x:v>
      </x:c>
      <x:c r="D5513" s="274" t="n">
        <x:v>32</x:v>
      </x:c>
      <x:c r="E5513" s="274" t="n">
        <x:v>28</x:v>
      </x:c>
      <x:c r="F5513" s="274" t="s">
        <x:v>333</x:v>
      </x:c>
      <x:c r="G5513" s="274" t="s">
        <x:v>153</x:v>
      </x:c>
      <x:c r="I5513" s="274" t="n">
        <x:v>0.7</x:v>
      </x:c>
      <x:c r="J5513" s="274" t="n">
        <x:v>875</x:v>
      </x:c>
      <x:c r="K5513" s="274" t="n">
        <x:v>1520</x:v>
      </x:c>
      <x:c r="N5513" s="274" t="s">
        <x:v>126</x:v>
      </x:c>
    </x:row>
    <x:row r="5514" spans="1:14">
      <x:c r="A5514" s="274" t="s">
        <x:v>9558</x:v>
      </x:c>
      <x:c r="B5514" s="274" t="n">
        <x:v>4.89</x:v>
      </x:c>
      <x:c r="C5514" s="274" t="n">
        <x:v>0</x:v>
      </x:c>
      <x:c r="D5514" s="274" t="n">
        <x:v>32</x:v>
      </x:c>
      <x:c r="E5514" s="274" t="n">
        <x:v>40</x:v>
      </x:c>
      <x:c r="F5514" s="274" t="s">
        <x:v>333</x:v>
      </x:c>
      <x:c r="G5514" s="274" t="s">
        <x:v>153</x:v>
      </x:c>
      <x:c r="I5514" s="274" t="n">
        <x:v>1.2</x:v>
      </x:c>
      <x:c r="J5514" s="274" t="n">
        <x:v>1290</x:v>
      </x:c>
      <x:c r="K5514" s="274" t="n">
        <x:v>402</x:v>
      </x:c>
      <x:c r="N5514" s="274" t="s">
        <x:v>299</x:v>
      </x:c>
    </x:row>
    <x:row r="5515" spans="1:14">
      <x:c r="A5515" s="274" t="s">
        <x:v>9559</x:v>
      </x:c>
      <x:c r="B5515" s="274" t="n">
        <x:v>5.15</x:v>
      </x:c>
      <x:c r="C5515" s="274" t="n">
        <x:v>0</x:v>
      </x:c>
      <x:c r="D5515" s="274" t="n">
        <x:v>32</x:v>
      </x:c>
      <x:c r="E5515" s="274" t="n">
        <x:v>40</x:v>
      </x:c>
      <x:c r="F5515" s="274" t="s">
        <x:v>133</x:v>
      </x:c>
      <x:c r="G5515" s="274" t="s">
        <x:v>136</x:v>
      </x:c>
      <x:c r="H5515" s="274" t="n">
        <x:v>45</x:v>
      </x:c>
      <x:c r="I5515" s="274" t="n">
        <x:v>1.2</x:v>
      </x:c>
      <x:c r="J5515" s="274" t="n">
        <x:v>1290</x:v>
      </x:c>
      <x:c r="K5515" s="274" t="n">
        <x:v>420</x:v>
      </x:c>
      <x:c r="N5515" s="274" t="s">
        <x:v>155</x:v>
      </x:c>
    </x:row>
    <x:row r="5516" spans="1:14">
      <x:c r="A5516" s="274" t="s">
        <x:v>9560</x:v>
      </x:c>
      <x:c r="B5516" s="274" t="n">
        <x:v>11.05</x:v>
      </x:c>
      <x:c r="C5516" s="274" t="n">
        <x:v>0</x:v>
      </x:c>
      <x:c r="D5516" s="274" t="n">
        <x:v>30</x:v>
      </x:c>
      <x:c r="E5516" s="274" t="n">
        <x:v>40</x:v>
      </x:c>
      <x:c r="F5516" s="274" t="s">
        <x:v>133</x:v>
      </x:c>
      <x:c r="G5516" s="274" t="s">
        <x:v>148</x:v>
      </x:c>
      <x:c r="I5516" s="274" t="n">
        <x:v>3.2</x:v>
      </x:c>
      <x:c r="J5516" s="274" t="n">
        <x:v>975</x:v>
      </x:c>
      <x:c r="K5516" s="274" t="n">
        <x:v>451</x:v>
      </x:c>
      <x:c r="N5516" s="274" t="s">
        <x:v>131</x:v>
      </x:c>
    </x:row>
    <x:row r="5517" spans="1:14">
      <x:c r="A5517" s="274" t="s">
        <x:v>9561</x:v>
      </x:c>
      <x:c r="B5517" s="274" t="n">
        <x:v>15.11</x:v>
      </x:c>
      <x:c r="C5517" s="274" t="n">
        <x:v>0</x:v>
      </x:c>
      <x:c r="D5517" s="274" t="n">
        <x:v>30</x:v>
      </x:c>
      <x:c r="E5517" s="274" t="n">
        <x:v>37</x:v>
      </x:c>
      <x:c r="F5517" s="274" t="s">
        <x:v>133</x:v>
      </x:c>
      <x:c r="G5517" s="274" t="s">
        <x:v>134</x:v>
      </x:c>
      <x:c r="I5517" s="274" t="n">
        <x:v>2.3</x:v>
      </x:c>
      <x:c r="J5517" s="274" t="n">
        <x:v>1185</x:v>
      </x:c>
      <x:c r="K5517" s="274" t="n">
        <x:v>706</x:v>
      </x:c>
    </x:row>
    <x:row r="5518" spans="1:14">
      <x:c r="A5518" s="274" t="s">
        <x:v>9562</x:v>
      </x:c>
      <x:c r="B5518" s="274" t="n">
        <x:v>5.35</x:v>
      </x:c>
      <x:c r="C5518" s="274" t="n">
        <x:v>0</x:v>
      </x:c>
      <x:c r="D5518" s="274" t="n">
        <x:v>32</x:v>
      </x:c>
      <x:c r="E5518" s="274" t="n">
        <x:v>40</x:v>
      </x:c>
      <x:c r="F5518" s="274" t="s">
        <x:v>333</x:v>
      </x:c>
      <x:c r="G5518" s="274" t="s">
        <x:v>153</x:v>
      </x:c>
      <x:c r="I5518" s="274" t="n">
        <x:v>1.2</x:v>
      </x:c>
      <x:c r="J5518" s="274" t="n">
        <x:v>1290</x:v>
      </x:c>
      <x:c r="K5518" s="274" t="n">
        <x:v>440</x:v>
      </x:c>
      <x:c r="M5518" s="274" t="s">
        <x:v>9563</x:v>
      </x:c>
    </x:row>
    <x:row r="5519" spans="1:14">
      <x:c r="A5519" s="274" t="s">
        <x:v>9564</x:v>
      </x:c>
      <x:c r="B5519" s="274" t="n">
        <x:v>10.99</x:v>
      </x:c>
      <x:c r="C5519" s="274" t="n">
        <x:v>0</x:v>
      </x:c>
      <x:c r="D5519" s="274" t="n">
        <x:v>30</x:v>
      </x:c>
      <x:c r="E5519" s="274" t="n">
        <x:v>37</x:v>
      </x:c>
      <x:c r="F5519" s="274" t="s">
        <x:v>133</x:v>
      </x:c>
      <x:c r="G5519" s="274" t="s">
        <x:v>136</x:v>
      </x:c>
      <x:c r="H5519" s="274" t="n">
        <x:v>45</x:v>
      </x:c>
      <x:c r="I5519" s="274" t="n">
        <x:v>1.8</x:v>
      </x:c>
      <x:c r="J5519" s="274" t="n">
        <x:v>1120</x:v>
      </x:c>
      <x:c r="K5519" s="274" t="n">
        <x:v>690</x:v>
      </x:c>
      <x:c r="N5519" s="274" t="s">
        <x:v>126</x:v>
      </x:c>
    </x:row>
    <x:row r="5520" spans="1:14">
      <x:c r="A5520" s="274" t="s">
        <x:v>9565</x:v>
      </x:c>
      <x:c r="B5520" s="274" t="n">
        <x:v>5.89</x:v>
      </x:c>
      <x:c r="C5520" s="274" t="n">
        <x:v>0</x:v>
      </x:c>
      <x:c r="D5520" s="274" t="n">
        <x:v>32</x:v>
      </x:c>
      <x:c r="E5520" s="274" t="n">
        <x:v>40</x:v>
      </x:c>
      <x:c r="F5520" s="274" t="s">
        <x:v>333</x:v>
      </x:c>
      <x:c r="G5520" s="274" t="s">
        <x:v>153</x:v>
      </x:c>
      <x:c r="I5520" s="274" t="n">
        <x:v>0.9</x:v>
      </x:c>
      <x:c r="J5520" s="274" t="n">
        <x:v>990</x:v>
      </x:c>
      <x:c r="K5520" s="274" t="n">
        <x:v>842</x:v>
      </x:c>
      <x:c r="N5520" s="274" t="s">
        <x:v>126</x:v>
      </x:c>
    </x:row>
    <x:row r="5521" spans="1:14">
      <x:c r="A5521" s="274" t="s">
        <x:v>9566</x:v>
      </x:c>
      <x:c r="B5521" s="274" t="n">
        <x:v>4.85</x:v>
      </x:c>
      <x:c r="C5521" s="274" t="n">
        <x:v>0</x:v>
      </x:c>
      <x:c r="D5521" s="274" t="n">
        <x:v>32</x:v>
      </x:c>
      <x:c r="E5521" s="274" t="n">
        <x:v>40</x:v>
      </x:c>
      <x:c r="F5521" s="274" t="s">
        <x:v>333</x:v>
      </x:c>
      <x:c r="G5521" s="274" t="s">
        <x:v>209</x:v>
      </x:c>
      <x:c r="I5521" s="274" t="n">
        <x:v>1.2</x:v>
      </x:c>
      <x:c r="J5521" s="274" t="n">
        <x:v>1170</x:v>
      </x:c>
      <x:c r="K5521" s="274" t="n">
        <x:v>440</x:v>
      </x:c>
    </x:row>
    <x:row r="5522" spans="1:14">
      <x:c r="A5522" s="274" t="s">
        <x:v>9567</x:v>
      </x:c>
      <x:c r="B5522" s="274" t="n">
        <x:v>26.38</x:v>
      </x:c>
      <x:c r="C5522" s="274" t="n">
        <x:v>0</x:v>
      </x:c>
      <x:c r="D5522" s="274" t="n">
        <x:v>30</x:v>
      </x:c>
      <x:c r="E5522" s="274" t="n">
        <x:v>28</x:v>
      </x:c>
      <x:c r="F5522" s="274" t="s">
        <x:v>133</x:v>
      </x:c>
      <x:c r="G5522" s="274" t="s">
        <x:v>148</x:v>
      </x:c>
      <x:c r="I5522" s="274" t="n">
        <x:v>2.9</x:v>
      </x:c>
      <x:c r="J5522" s="274" t="n">
        <x:v>1120</x:v>
      </x:c>
      <x:c r="K5522" s="274" t="n">
        <x:v>1035</x:v>
      </x:c>
    </x:row>
    <x:row r="5523" spans="1:14">
      <x:c r="A5523" s="274" t="s">
        <x:v>9568</x:v>
      </x:c>
      <x:c r="B5523" s="274" t="n">
        <x:v>16.01</x:v>
      </x:c>
      <x:c r="C5523" s="274" t="n">
        <x:v>0</x:v>
      </x:c>
      <x:c r="D5523" s="274" t="n">
        <x:v>30</x:v>
      </x:c>
      <x:c r="E5523" s="274" t="n">
        <x:v>32</x:v>
      </x:c>
      <x:c r="F5523" s="274" t="s">
        <x:v>133</x:v>
      </x:c>
      <x:c r="G5523" s="274" t="s">
        <x:v>134</x:v>
      </x:c>
      <x:c r="I5523" s="274" t="n">
        <x:v>1.6</x:v>
      </x:c>
      <x:c r="J5523" s="274" t="n">
        <x:v>1020</x:v>
      </x:c>
      <x:c r="K5523" s="274" t="n">
        <x:v>1250</x:v>
      </x:c>
    </x:row>
    <x:row r="5524" spans="1:14">
      <x:c r="A5524" s="274" t="s">
        <x:v>9569</x:v>
      </x:c>
      <x:c r="B5524" s="274" t="n">
        <x:v>1.92</x:v>
      </x:c>
      <x:c r="C5524" s="274" t="n">
        <x:v>0</x:v>
      </x:c>
      <x:c r="D5524" s="274" t="n">
        <x:v>0</x:v>
      </x:c>
      <x:c r="E5524" s="274" t="n">
        <x:v>0</x:v>
      </x:c>
      <x:c r="F5524" s="274" t="s">
        <x:v>333</x:v>
      </x:c>
      <x:c r="G5524" s="274" t="s">
        <x:v>124</x:v>
      </x:c>
      <x:c r="I5524" s="274" t="n">
        <x:v>2</x:v>
      </x:c>
      <x:c r="J5524" s="274" t="n">
        <x:v>102</x:v>
      </x:c>
      <x:c r="K5524" s="274" t="n">
        <x:v>1200</x:v>
      </x:c>
      <x:c r="N5524" s="274" t="s">
        <x:v>870</x:v>
      </x:c>
    </x:row>
    <x:row r="5525" spans="1:14">
      <x:c r="A5525" s="274" t="s">
        <x:v>9570</x:v>
      </x:c>
      <x:c r="B5525" s="274" t="n">
        <x:v>11.24</x:v>
      </x:c>
      <x:c r="C5525" s="274" t="n">
        <x:v>0</x:v>
      </x:c>
      <x:c r="D5525" s="274" t="n">
        <x:v>30</x:v>
      </x:c>
      <x:c r="E5525" s="274" t="n">
        <x:v>40</x:v>
      </x:c>
      <x:c r="F5525" s="274" t="s">
        <x:v>133</x:v>
      </x:c>
      <x:c r="G5525" s="274" t="s">
        <x:v>134</x:v>
      </x:c>
      <x:c r="I5525" s="274" t="n">
        <x:v>3.2</x:v>
      </x:c>
      <x:c r="J5525" s="274" t="n">
        <x:v>990</x:v>
      </x:c>
      <x:c r="K5525" s="274" t="n">
        <x:v>452</x:v>
      </x:c>
      <x:c r="N5525" s="274" t="s">
        <x:v>299</x:v>
      </x:c>
    </x:row>
    <x:row r="5526" spans="1:14">
      <x:c r="A5526" s="274" t="s">
        <x:v>9571</x:v>
      </x:c>
      <x:c r="B5526" s="274" t="n">
        <x:v>9.58</x:v>
      </x:c>
      <x:c r="C5526" s="274" t="n">
        <x:v>0</x:v>
      </x:c>
      <x:c r="D5526" s="274" t="n">
        <x:v>30</x:v>
      </x:c>
      <x:c r="E5526" s="274" t="n">
        <x:v>40</x:v>
      </x:c>
      <x:c r="F5526" s="274" t="s">
        <x:v>133</x:v>
      </x:c>
      <x:c r="G5526" s="274" t="s">
        <x:v>148</x:v>
      </x:c>
      <x:c r="I5526" s="274" t="n">
        <x:v>2.6</x:v>
      </x:c>
      <x:c r="J5526" s="274" t="n">
        <x:v>1020</x:v>
      </x:c>
      <x:c r="K5526" s="274" t="n">
        <x:v>460</x:v>
      </x:c>
      <x:c r="N5526" s="274" t="s">
        <x:v>299</x:v>
      </x:c>
    </x:row>
    <x:row r="5527" spans="1:14">
      <x:c r="A5527" s="274" t="s">
        <x:v>9572</x:v>
      </x:c>
      <x:c r="B5527" s="274" t="n">
        <x:v>1.71</x:v>
      </x:c>
      <x:c r="C5527" s="274" t="n">
        <x:v>0</x:v>
      </x:c>
      <x:c r="D5527" s="274" t="n">
        <x:v>0</x:v>
      </x:c>
      <x:c r="E5527" s="274" t="n">
        <x:v>0</x:v>
      </x:c>
      <x:c r="F5527" s="274" t="s">
        <x:v>133</x:v>
      </x:c>
      <x:c r="G5527" s="274" t="s">
        <x:v>136</x:v>
      </x:c>
      <x:c r="H5527" s="274" t="n">
        <x:v>45</x:v>
      </x:c>
      <x:c r="I5527" s="274" t="n">
        <x:v>0.9</x:v>
      </x:c>
      <x:c r="J5527" s="274" t="n">
        <x:v>350</x:v>
      </x:c>
      <x:c r="K5527" s="274" t="n">
        <x:v>682</x:v>
      </x:c>
      <x:c r="M5527" s="274" t="s">
        <x:v>9486</x:v>
      </x:c>
    </x:row>
    <x:row r="5528" spans="1:14">
      <x:c r="A5528" s="274" t="s">
        <x:v>9573</x:v>
      </x:c>
      <x:c r="B5528" s="274" t="n">
        <x:v>4.48</x:v>
      </x:c>
      <x:c r="C5528" s="274" t="n">
        <x:v>0</x:v>
      </x:c>
      <x:c r="D5528" s="274" t="n">
        <x:v>0</x:v>
      </x:c>
      <x:c r="E5528" s="274" t="n">
        <x:v>0</x:v>
      </x:c>
      <x:c r="F5528" s="274" t="s">
        <x:v>333</x:v>
      </x:c>
      <x:c r="G5528" s="274" t="s">
        <x:v>124</x:v>
      </x:c>
      <x:c r="I5528" s="274" t="n">
        <x:v>2</x:v>
      </x:c>
      <x:c r="J5528" s="274" t="n">
        <x:v>238</x:v>
      </x:c>
      <x:c r="K5528" s="274" t="n">
        <x:v>1200</x:v>
      </x:c>
    </x:row>
    <x:row r="5529" spans="1:14">
      <x:c r="A5529" s="274" t="s">
        <x:v>9574</x:v>
      </x:c>
      <x:c r="B5529" s="274" t="n">
        <x:v>5.84</x:v>
      </x:c>
      <x:c r="C5529" s="274" t="n">
        <x:v>0</x:v>
      </x:c>
      <x:c r="D5529" s="274" t="n">
        <x:v>0</x:v>
      </x:c>
      <x:c r="E5529" s="274" t="n">
        <x:v>0</x:v>
      </x:c>
      <x:c r="F5529" s="274" t="s">
        <x:v>133</x:v>
      </x:c>
      <x:c r="G5529" s="274" t="s">
        <x:v>134</x:v>
      </x:c>
      <x:c r="I5529" s="274" t="n">
        <x:v>3.2</x:v>
      </x:c>
      <x:c r="J5529" s="274" t="n">
        <x:v>470</x:v>
      </x:c>
      <x:c r="K5529" s="274" t="n">
        <x:v>495</x:v>
      </x:c>
    </x:row>
    <x:row r="5530" spans="1:14">
      <x:c r="A5530" s="274" t="s">
        <x:v>9575</x:v>
      </x:c>
      <x:c r="B5530" s="274" t="n">
        <x:v>9.94</x:v>
      </x:c>
      <x:c r="C5530" s="274" t="n">
        <x:v>0</x:v>
      </x:c>
      <x:c r="D5530" s="274" t="n">
        <x:v>30</x:v>
      </x:c>
      <x:c r="E5530" s="274" t="n">
        <x:v>40</x:v>
      </x:c>
      <x:c r="F5530" s="274" t="s">
        <x:v>133</x:v>
      </x:c>
      <x:c r="G5530" s="274" t="s">
        <x:v>134</x:v>
      </x:c>
      <x:c r="I5530" s="274" t="n">
        <x:v>2.3</x:v>
      </x:c>
      <x:c r="J5530" s="274" t="n">
        <x:v>1010</x:v>
      </x:c>
      <x:c r="K5530" s="274" t="n">
        <x:v>545</x:v>
      </x:c>
      <x:c r="N5530" s="274" t="s">
        <x:v>155</x:v>
      </x:c>
    </x:row>
    <x:row r="5531" spans="1:14">
      <x:c r="A5531" s="274" t="s">
        <x:v>9576</x:v>
      </x:c>
      <x:c r="B5531" s="274" t="n">
        <x:v>3.48</x:v>
      </x:c>
      <x:c r="C5531" s="274" t="n">
        <x:v>0</x:v>
      </x:c>
      <x:c r="D5531" s="274" t="n">
        <x:v>30</x:v>
      </x:c>
      <x:c r="E5531" s="274" t="n">
        <x:v>40</x:v>
      </x:c>
      <x:c r="F5531" s="274" t="s">
        <x:v>123</x:v>
      </x:c>
      <x:c r="G5531" s="274" t="s">
        <x:v>153</x:v>
      </x:c>
      <x:c r="I5531" s="274" t="n">
        <x:v>1.4</x:v>
      </x:c>
      <x:c r="J5531" s="274" t="n">
        <x:v>750</x:v>
      </x:c>
      <x:c r="K5531" s="274" t="n">
        <x:v>422</x:v>
      </x:c>
      <x:c r="N5531" s="274" t="s">
        <x:v>4250</x:v>
      </x:c>
    </x:row>
    <x:row r="5532" spans="1:14">
      <x:c r="A5532" s="274" t="s">
        <x:v>9577</x:v>
      </x:c>
      <x:c r="B5532" s="274" t="n">
        <x:v>13.73</x:v>
      </x:c>
      <x:c r="C5532" s="274" t="n">
        <x:v>0</x:v>
      </x:c>
      <x:c r="D5532" s="274" t="n">
        <x:v>30</x:v>
      </x:c>
      <x:c r="E5532" s="274" t="n">
        <x:v>40</x:v>
      </x:c>
      <x:c r="F5532" s="274" t="s">
        <x:v>133</x:v>
      </x:c>
      <x:c r="G5532" s="274" t="s">
        <x:v>134</x:v>
      </x:c>
      <x:c r="I5532" s="274" t="n">
        <x:v>2.6</x:v>
      </x:c>
      <x:c r="J5532" s="274" t="n">
        <x:v>975</x:v>
      </x:c>
      <x:c r="K5532" s="274" t="n">
        <x:v>690</x:v>
      </x:c>
      <x:c r="N5532" s="274" t="s">
        <x:v>155</x:v>
      </x:c>
    </x:row>
    <x:row r="5533" spans="1:14">
      <x:c r="A5533" s="274" t="s">
        <x:v>9578</x:v>
      </x:c>
      <x:c r="B5533" s="274" t="n">
        <x:v>6.68</x:v>
      </x:c>
      <x:c r="C5533" s="274" t="n">
        <x:v>0</x:v>
      </x:c>
      <x:c r="D5533" s="274" t="n">
        <x:v>30</x:v>
      </x:c>
      <x:c r="E5533" s="274" t="n">
        <x:v>40</x:v>
      </x:c>
      <x:c r="F5533" s="274" t="s">
        <x:v>333</x:v>
      </x:c>
      <x:c r="G5533" s="274" t="s">
        <x:v>334</x:v>
      </x:c>
      <x:c r="I5533" s="274" t="n">
        <x:v>1.4</x:v>
      </x:c>
      <x:c r="J5533" s="274" t="n">
        <x:v>1204</x:v>
      </x:c>
      <x:c r="K5533" s="274" t="n">
        <x:v>505</x:v>
      </x:c>
      <x:c r="N5533" s="274" t="s">
        <x:v>155</x:v>
      </x:c>
    </x:row>
    <x:row r="5534" spans="1:14">
      <x:c r="A5534" s="274" t="s">
        <x:v>9579</x:v>
      </x:c>
      <x:c r="B5534" s="274" t="n">
        <x:v>7.22</x:v>
      </x:c>
      <x:c r="C5534" s="274" t="n">
        <x:v>0</x:v>
      </x:c>
      <x:c r="D5534" s="274" t="n">
        <x:v>30</x:v>
      </x:c>
      <x:c r="E5534" s="274" t="n">
        <x:v>40</x:v>
      </x:c>
      <x:c r="F5534" s="274" t="s">
        <x:v>133</x:v>
      </x:c>
      <x:c r="G5534" s="274" t="s">
        <x:v>134</x:v>
      </x:c>
      <x:c r="I5534" s="274" t="n">
        <x:v>2</x:v>
      </x:c>
      <x:c r="J5534" s="274" t="n">
        <x:v>1050</x:v>
      </x:c>
      <x:c r="K5534" s="274" t="n">
        <x:v>438</x:v>
      </x:c>
      <x:c r="N5534" s="274" t="s">
        <x:v>299</x:v>
      </x:c>
    </x:row>
    <x:row r="5535" spans="1:14">
      <x:c r="A5535" s="274" t="s">
        <x:v>9580</x:v>
      </x:c>
      <x:c r="B5535" s="274" t="n">
        <x:v>17.41</x:v>
      </x:c>
      <x:c r="C5535" s="274" t="n">
        <x:v>0</x:v>
      </x:c>
      <x:c r="D5535" s="274" t="n">
        <x:v>30</x:v>
      </x:c>
      <x:c r="E5535" s="274" t="n">
        <x:v>32</x:v>
      </x:c>
      <x:c r="F5535" s="274" t="s">
        <x:v>333</x:v>
      </x:c>
      <x:c r="G5535" s="274" t="s">
        <x:v>209</x:v>
      </x:c>
      <x:c r="I5535" s="274" t="n">
        <x:v>1.4</x:v>
      </x:c>
      <x:c r="J5535" s="274" t="n">
        <x:v>1315</x:v>
      </x:c>
      <x:c r="K5535" s="274" t="n">
        <x:v>1205</x:v>
      </x:c>
      <x:c r="N5535" s="274" t="s">
        <x:v>155</x:v>
      </x:c>
    </x:row>
    <x:row r="5536" spans="1:14">
      <x:c r="A5536" s="274" t="s">
        <x:v>9581</x:v>
      </x:c>
      <x:c r="B5536" s="274" t="n">
        <x:v>10.95</x:v>
      </x:c>
      <x:c r="C5536" s="274" t="n">
        <x:v>0</x:v>
      </x:c>
      <x:c r="D5536" s="274" t="n">
        <x:v>30</x:v>
      </x:c>
      <x:c r="E5536" s="274" t="n">
        <x:v>40</x:v>
      </x:c>
      <x:c r="F5536" s="274" t="s">
        <x:v>333</x:v>
      </x:c>
      <x:c r="G5536" s="274" t="s">
        <x:v>209</x:v>
      </x:c>
      <x:c r="I5536" s="274" t="n">
        <x:v>1.4</x:v>
      </x:c>
      <x:c r="J5536" s="274" t="n">
        <x:v>1315</x:v>
      </x:c>
      <x:c r="K5536" s="274" t="n">
        <x:v>758</x:v>
      </x:c>
      <x:c r="N5536" s="274" t="s">
        <x:v>4250</x:v>
      </x:c>
    </x:row>
    <x:row r="5537" spans="1:14">
      <x:c r="A5537" s="274" t="s">
        <x:v>9582</x:v>
      </x:c>
      <x:c r="B5537" s="274" t="n">
        <x:v>7.63</x:v>
      </x:c>
      <x:c r="C5537" s="274" t="n">
        <x:v>0</x:v>
      </x:c>
      <x:c r="D5537" s="274" t="n">
        <x:v>30</x:v>
      </x:c>
      <x:c r="E5537" s="274" t="n">
        <x:v>40</x:v>
      </x:c>
      <x:c r="F5537" s="274" t="s">
        <x:v>333</x:v>
      </x:c>
      <x:c r="G5537" s="274" t="s">
        <x:v>209</x:v>
      </x:c>
      <x:c r="I5537" s="274" t="n">
        <x:v>1.6</x:v>
      </x:c>
      <x:c r="J5537" s="274" t="n">
        <x:v>1225</x:v>
      </x:c>
      <x:c r="K5537" s="274" t="n">
        <x:v>496</x:v>
      </x:c>
      <x:c r="N5537" s="274" t="s">
        <x:v>299</x:v>
      </x:c>
    </x:row>
    <x:row r="5538" spans="1:14">
      <x:c r="A5538" s="274" t="s">
        <x:v>9583</x:v>
      </x:c>
      <x:c r="B5538" s="274" t="n">
        <x:v>4.45</x:v>
      </x:c>
      <x:c r="C5538" s="274" t="n">
        <x:v>0</x:v>
      </x:c>
      <x:c r="D5538" s="274" t="n">
        <x:v>32</x:v>
      </x:c>
      <x:c r="E5538" s="274" t="n">
        <x:v>40</x:v>
      </x:c>
      <x:c r="F5538" s="274" t="s">
        <x:v>333</x:v>
      </x:c>
      <x:c r="G5538" s="274" t="s">
        <x:v>153</x:v>
      </x:c>
      <x:c r="I5538" s="274" t="n">
        <x:v>1.2</x:v>
      </x:c>
      <x:c r="J5538" s="274" t="n">
        <x:v>1050</x:v>
      </x:c>
      <x:c r="K5538" s="274" t="n">
        <x:v>450</x:v>
      </x:c>
      <x:c r="N5538" s="274" t="s">
        <x:v>131</x:v>
      </x:c>
    </x:row>
    <x:row r="5539" spans="1:14">
      <x:c r="A5539" s="274" t="s">
        <x:v>9584</x:v>
      </x:c>
      <x:c r="B5539" s="274" t="n">
        <x:v>12.74</x:v>
      </x:c>
      <x:c r="C5539" s="274" t="n">
        <x:v>0</x:v>
      </x:c>
      <x:c r="D5539" s="274" t="n">
        <x:v>30</x:v>
      </x:c>
      <x:c r="E5539" s="274" t="n">
        <x:v>37</x:v>
      </x:c>
      <x:c r="F5539" s="274" t="s">
        <x:v>333</x:v>
      </x:c>
      <x:c r="G5539" s="274" t="s">
        <x:v>209</x:v>
      </x:c>
      <x:c r="I5539" s="274" t="n">
        <x:v>1.4</x:v>
      </x:c>
      <x:c r="J5539" s="274" t="n">
        <x:v>1065</x:v>
      </x:c>
      <x:c r="K5539" s="274" t="n">
        <x:v>1088</x:v>
      </x:c>
    </x:row>
    <x:row r="5540" spans="1:14">
      <x:c r="A5540" s="274" t="s">
        <x:v>9585</x:v>
      </x:c>
      <x:c r="B5540" s="274" t="n">
        <x:v>4.6</x:v>
      </x:c>
      <x:c r="C5540" s="274" t="n">
        <x:v>0</x:v>
      </x:c>
      <x:c r="D5540" s="274" t="n">
        <x:v>32</x:v>
      </x:c>
      <x:c r="E5540" s="274" t="n">
        <x:v>40</x:v>
      </x:c>
      <x:c r="F5540" s="274" t="s">
        <x:v>333</x:v>
      </x:c>
      <x:c r="G5540" s="274" t="s">
        <x:v>124</x:v>
      </x:c>
      <x:c r="I5540" s="274" t="n">
        <x:v>1.2</x:v>
      </x:c>
      <x:c r="J5540" s="274" t="n">
        <x:v>1220</x:v>
      </x:c>
      <x:c r="K5540" s="274" t="n">
        <x:v>400</x:v>
      </x:c>
      <x:c r="N5540" s="274" t="s">
        <x:v>299</x:v>
      </x:c>
    </x:row>
    <x:row r="5541" spans="1:14">
      <x:c r="A5541" s="274" t="s">
        <x:v>9586</x:v>
      </x:c>
      <x:c r="B5541" s="274" t="n">
        <x:v>6.32</x:v>
      </x:c>
      <x:c r="C5541" s="274" t="n">
        <x:v>0</x:v>
      </x:c>
      <x:c r="D5541" s="274" t="n">
        <x:v>32</x:v>
      </x:c>
      <x:c r="E5541" s="274" t="n">
        <x:v>40</x:v>
      </x:c>
      <x:c r="F5541" s="274" t="s">
        <x:v>333</x:v>
      </x:c>
      <x:c r="G5541" s="274" t="s">
        <x:v>209</x:v>
      </x:c>
      <x:c r="I5541" s="274" t="n">
        <x:v>1.2</x:v>
      </x:c>
      <x:c r="J5541" s="274" t="n">
        <x:v>1250</x:v>
      </x:c>
      <x:c r="K5541" s="274" t="n">
        <x:v>537</x:v>
      </x:c>
      <x:c r="N5541" s="274" t="s">
        <x:v>299</x:v>
      </x:c>
    </x:row>
    <x:row r="5542" spans="1:14">
      <x:c r="A5542" s="274" t="s">
        <x:v>9587</x:v>
      </x:c>
      <x:c r="B5542" s="274" t="n">
        <x:v>2.85</x:v>
      </x:c>
      <x:c r="C5542" s="274" t="n">
        <x:v>0</x:v>
      </x:c>
      <x:c r="D5542" s="274" t="n">
        <x:v>32</x:v>
      </x:c>
      <x:c r="E5542" s="274" t="n">
        <x:v>40</x:v>
      </x:c>
      <x:c r="F5542" s="274" t="s">
        <x:v>333</x:v>
      </x:c>
      <x:c r="G5542" s="274" t="s">
        <x:v>209</x:v>
      </x:c>
      <x:c r="I5542" s="274" t="n">
        <x:v>0.6</x:v>
      </x:c>
      <x:c r="J5542" s="274" t="n">
        <x:v>976</x:v>
      </x:c>
      <x:c r="K5542" s="274" t="n">
        <x:v>619</x:v>
      </x:c>
      <x:c r="N5542" s="274" t="s">
        <x:v>299</x:v>
      </x:c>
    </x:row>
    <x:row r="5543" spans="1:14">
      <x:c r="A5543" s="274" t="s">
        <x:v>9588</x:v>
      </x:c>
      <x:c r="B5543" s="274" t="n">
        <x:v>14.71</x:v>
      </x:c>
      <x:c r="C5543" s="274" t="n">
        <x:v>0</x:v>
      </x:c>
      <x:c r="D5543" s="274" t="n">
        <x:v>32</x:v>
      </x:c>
      <x:c r="E5543" s="274" t="n">
        <x:v>32</x:v>
      </x:c>
      <x:c r="F5543" s="274" t="s">
        <x:v>333</x:v>
      </x:c>
      <x:c r="G5543" s="274" t="s">
        <x:v>209</x:v>
      </x:c>
      <x:c r="I5543" s="274" t="n">
        <x:v>1.2</x:v>
      </x:c>
      <x:c r="J5543" s="274" t="n">
        <x:v>1250</x:v>
      </x:c>
      <x:c r="K5543" s="274" t="n">
        <x:v>1250</x:v>
      </x:c>
      <x:c r="M5543" s="274" t="s">
        <x:v>9589</x:v>
      </x:c>
      <x:c r="N5543" s="274" t="s">
        <x:v>3671</x:v>
      </x:c>
    </x:row>
    <x:row r="5544" spans="1:14">
      <x:c r="A5544" s="274" t="s">
        <x:v>9590</x:v>
      </x:c>
      <x:c r="B5544" s="274" t="n">
        <x:v>10.23</x:v>
      </x:c>
      <x:c r="C5544" s="274" t="n">
        <x:v>0</x:v>
      </x:c>
      <x:c r="D5544" s="274" t="n">
        <x:v>32</x:v>
      </x:c>
      <x:c r="E5544" s="274" t="n">
        <x:v>40</x:v>
      </x:c>
      <x:c r="F5544" s="274" t="s">
        <x:v>133</x:v>
      </x:c>
      <x:c r="G5544" s="274" t="s">
        <x:v>136</x:v>
      </x:c>
      <x:c r="H5544" s="274" t="n">
        <x:v>45</x:v>
      </x:c>
      <x:c r="I5544" s="274" t="n">
        <x:v>1.2</x:v>
      </x:c>
      <x:c r="J5544" s="274" t="n">
        <x:v>1150</x:v>
      </x:c>
      <x:c r="K5544" s="274" t="n">
        <x:v>936</x:v>
      </x:c>
    </x:row>
    <x:row r="5545" spans="1:14">
      <x:c r="A5545" s="274" t="s">
        <x:v>9591</x:v>
      </x:c>
      <x:c r="B5545" s="274" t="n">
        <x:v>15.81</x:v>
      </x:c>
      <x:c r="C5545" s="274" t="n">
        <x:v>0</x:v>
      </x:c>
      <x:c r="D5545" s="274" t="n">
        <x:v>32</x:v>
      </x:c>
      <x:c r="E5545" s="274" t="n">
        <x:v>29</x:v>
      </x:c>
      <x:c r="F5545" s="274" t="s">
        <x:v>133</x:v>
      </x:c>
      <x:c r="G5545" s="274" t="s">
        <x:v>136</x:v>
      </x:c>
      <x:c r="H5545" s="274" t="n">
        <x:v>45</x:v>
      </x:c>
      <x:c r="I5545" s="274" t="n">
        <x:v>1.2</x:v>
      </x:c>
      <x:c r="J5545" s="274" t="n">
        <x:v>1150</x:v>
      </x:c>
      <x:c r="K5545" s="274" t="n">
        <x:v>1445</x:v>
      </x:c>
    </x:row>
    <x:row r="5546" spans="1:14">
      <x:c r="A5546" s="274" t="s">
        <x:v>9592</x:v>
      </x:c>
      <x:c r="B5546" s="274" t="n">
        <x:v>1.63</x:v>
      </x:c>
      <x:c r="C5546" s="274" t="n">
        <x:v>0</x:v>
      </x:c>
      <x:c r="D5546" s="274" t="n">
        <x:v>0</x:v>
      </x:c>
      <x:c r="E5546" s="274" t="n">
        <x:v>0</x:v>
      </x:c>
      <x:c r="F5546" s="274" t="s">
        <x:v>133</x:v>
      </x:c>
      <x:c r="G5546" s="274" t="s">
        <x:v>136</x:v>
      </x:c>
      <x:c r="H5546" s="274" t="n">
        <x:v>45</x:v>
      </x:c>
      <x:c r="I5546" s="274" t="n">
        <x:v>1.6</x:v>
      </x:c>
      <x:c r="J5546" s="274" t="n">
        <x:v>215</x:v>
      </x:c>
      <x:c r="K5546" s="274" t="n">
        <x:v>600</x:v>
      </x:c>
      <x:c r="M5546" s="274" t="s">
        <x:v>9486</x:v>
      </x:c>
    </x:row>
    <x:row r="5547" spans="1:14">
      <x:c r="A5547" s="274" t="s">
        <x:v>9593</x:v>
      </x:c>
      <x:c r="B5547" s="274" t="n">
        <x:v>0.89</x:v>
      </x:c>
      <x:c r="C5547" s="274" t="n">
        <x:v>0</x:v>
      </x:c>
      <x:c r="D5547" s="274" t="n">
        <x:v>0</x:v>
      </x:c>
      <x:c r="E5547" s="274" t="n">
        <x:v>0</x:v>
      </x:c>
      <x:c r="F5547" s="274" t="s">
        <x:v>133</x:v>
      </x:c>
      <x:c r="G5547" s="274" t="s">
        <x:v>144</x:v>
      </x:c>
      <x:c r="H5547" s="274" t="n">
        <x:v>45</x:v>
      </x:c>
      <x:c r="I5547" s="274" t="n">
        <x:v>1</x:v>
      </x:c>
      <x:c r="J5547" s="274" t="n">
        <x:v>204</x:v>
      </x:c>
      <x:c r="K5547" s="274" t="n">
        <x:v>548</x:v>
      </x:c>
      <x:c r="M5547" s="274" t="s">
        <x:v>9486</x:v>
      </x:c>
    </x:row>
    <x:row r="5548" spans="1:14">
      <x:c r="A5548" s="274" t="s">
        <x:v>9594</x:v>
      </x:c>
      <x:c r="B5548" s="274" t="n">
        <x:v>0.37</x:v>
      </x:c>
      <x:c r="C5548" s="274" t="n">
        <x:v>0</x:v>
      </x:c>
      <x:c r="D5548" s="274" t="n">
        <x:v>0</x:v>
      </x:c>
      <x:c r="E5548" s="274" t="n">
        <x:v>0</x:v>
      </x:c>
      <x:c r="F5548" s="274" t="s">
        <x:v>311</x:v>
      </x:c>
      <x:c r="G5548" s="274" t="s">
        <x:v>1728</x:v>
      </x:c>
      <x:c r="H5548" s="274" t="s">
        <x:v>1732</x:v>
      </x:c>
      <x:c r="I5548" s="274" t="n">
        <x:v>0.75</x:v>
      </x:c>
      <x:c r="J5548" s="274" t="n">
        <x:v>205</x:v>
      </x:c>
      <x:c r="K5548" s="274" t="n">
        <x:v>300</x:v>
      </x:c>
      <x:c r="M5548" s="274" t="s">
        <x:v>9595</x:v>
      </x:c>
      <x:c r="N5548" s="274" t="s">
        <x:v>155</x:v>
      </x:c>
    </x:row>
    <x:row r="5549" spans="1:14">
      <x:c r="A5549" s="274" t="s">
        <x:v>9596</x:v>
      </x:c>
      <x:c r="B5549" s="274" t="n">
        <x:v>0.21</x:v>
      </x:c>
      <x:c r="C5549" s="274" t="n">
        <x:v>0</x:v>
      </x:c>
      <x:c r="D5549" s="274" t="n">
        <x:v>0</x:v>
      </x:c>
      <x:c r="E5549" s="274" t="n">
        <x:v>0</x:v>
      </x:c>
      <x:c r="F5549" s="274" t="s">
        <x:v>128</x:v>
      </x:c>
      <x:c r="G5549" s="274" t="s">
        <x:v>136</x:v>
      </x:c>
      <x:c r="H5549" s="274" t="s">
        <x:v>1732</x:v>
      </x:c>
      <x:c r="I5549" s="274" t="n">
        <x:v>0.65</x:v>
      </x:c>
      <x:c r="J5549" s="274" t="n">
        <x:v>130</x:v>
      </x:c>
      <x:c r="K5549" s="274" t="n">
        <x:v>305</x:v>
      </x:c>
      <x:c r="M5549" s="274" t="s">
        <x:v>9595</x:v>
      </x:c>
    </x:row>
    <x:row r="5550" spans="1:14">
      <x:c r="A5550" s="274" t="s">
        <x:v>9597</x:v>
      </x:c>
      <x:c r="B5550" s="274" t="n">
        <x:v>2.49</x:v>
      </x:c>
      <x:c r="C5550" s="274" t="n">
        <x:v>0</x:v>
      </x:c>
      <x:c r="D5550" s="274" t="n">
        <x:v>0</x:v>
      </x:c>
      <x:c r="E5550" s="274" t="n">
        <x:v>0</x:v>
      </x:c>
      <x:c r="F5550" s="274" t="s">
        <x:v>133</x:v>
      </x:c>
      <x:c r="G5550" s="274" t="s">
        <x:v>144</x:v>
      </x:c>
      <x:c r="H5550" s="274" t="n">
        <x:v>45</x:v>
      </x:c>
      <x:c r="I5550" s="274" t="n">
        <x:v>2</x:v>
      </x:c>
      <x:c r="J5550" s="274" t="n">
        <x:v>225</x:v>
      </x:c>
      <x:c r="K5550" s="274" t="n">
        <x:v>702</x:v>
      </x:c>
      <x:c r="M5550" s="274" t="s">
        <x:v>9486</x:v>
      </x:c>
      <x:c r="N5550" s="274" t="s">
        <x:v>870</x:v>
      </x:c>
    </x:row>
    <x:row r="5551" spans="1:14">
      <x:c r="A5551" s="274" t="s">
        <x:v>9598</x:v>
      </x:c>
      <x:c r="B5551" s="274" t="n">
        <x:v>0.69</x:v>
      </x:c>
      <x:c r="C5551" s="274" t="n">
        <x:v>0</x:v>
      </x:c>
      <x:c r="D5551" s="274" t="n">
        <x:v>0</x:v>
      </x:c>
      <x:c r="E5551" s="274" t="n">
        <x:v>0</x:v>
      </x:c>
      <x:c r="F5551" s="274" t="s">
        <x:v>333</x:v>
      </x:c>
      <x:c r="G5551" s="274" t="s">
        <x:v>153</x:v>
      </x:c>
      <x:c r="I5551" s="274" t="n">
        <x:v>1.2</x:v>
      </x:c>
      <x:c r="J5551" s="274" t="n">
        <x:v>150</x:v>
      </x:c>
      <x:c r="K5551" s="274" t="n">
        <x:v>488</x:v>
      </x:c>
      <x:c r="M5551" s="274" t="s">
        <x:v>9486</x:v>
      </x:c>
      <x:c r="N5551" s="274" t="s">
        <x:v>299</x:v>
      </x:c>
    </x:row>
    <x:row r="5552" spans="1:14">
      <x:c r="A5552" s="274" t="s">
        <x:v>9599</x:v>
      </x:c>
      <x:c r="B5552" s="274" t="n">
        <x:v>0.33</x:v>
      </x:c>
      <x:c r="C5552" s="274" t="n">
        <x:v>0</x:v>
      </x:c>
      <x:c r="D5552" s="274" t="n">
        <x:v>0</x:v>
      </x:c>
      <x:c r="E5552" s="274" t="n">
        <x:v>0</x:v>
      </x:c>
      <x:c r="F5552" s="274" t="s">
        <x:v>133</x:v>
      </x:c>
      <x:c r="G5552" s="274" t="s">
        <x:v>153</x:v>
      </x:c>
      <x:c r="I5552" s="274" t="n">
        <x:v>0.6</x:v>
      </x:c>
      <x:c r="J5552" s="274" t="n">
        <x:v>124</x:v>
      </x:c>
      <x:c r="K5552" s="274" t="n">
        <x:v>571</x:v>
      </x:c>
      <x:c r="M5552" s="274" t="s">
        <x:v>9486</x:v>
      </x:c>
    </x:row>
    <x:row r="5553" spans="1:14">
      <x:c r="A5553" s="274" t="s">
        <x:v>9600</x:v>
      </x:c>
      <x:c r="B5553" s="274" t="n">
        <x:v>0.46</x:v>
      </x:c>
      <x:c r="C5553" s="274" t="n">
        <x:v>0</x:v>
      </x:c>
      <x:c r="D5553" s="274" t="n">
        <x:v>0</x:v>
      </x:c>
      <x:c r="E5553" s="274" t="n">
        <x:v>0</x:v>
      </x:c>
      <x:c r="F5553" s="274" t="s">
        <x:v>133</x:v>
      </x:c>
      <x:c r="G5553" s="274" t="s">
        <x:v>136</x:v>
      </x:c>
      <x:c r="H5553" s="274" t="n">
        <x:v>45</x:v>
      </x:c>
      <x:c r="I5553" s="274" t="n">
        <x:v>1.2</x:v>
      </x:c>
      <x:c r="J5553" s="274" t="n">
        <x:v>100</x:v>
      </x:c>
      <x:c r="K5553" s="274" t="n">
        <x:v>482</x:v>
      </x:c>
      <x:c r="M5553" s="274" t="s">
        <x:v>9486</x:v>
      </x:c>
      <x:c r="N5553" s="274" t="s">
        <x:v>155</x:v>
      </x:c>
    </x:row>
    <x:row r="5554" spans="1:14">
      <x:c r="A5554" s="274" t="s">
        <x:v>9601</x:v>
      </x:c>
      <x:c r="B5554" s="274" t="n">
        <x:v>1.42</x:v>
      </x:c>
      <x:c r="C5554" s="274" t="n">
        <x:v>0</x:v>
      </x:c>
      <x:c r="D5554" s="274" t="n">
        <x:v>0</x:v>
      </x:c>
      <x:c r="E5554" s="274" t="n">
        <x:v>0</x:v>
      </x:c>
      <x:c r="F5554" s="274" t="s">
        <x:v>333</x:v>
      </x:c>
      <x:c r="G5554" s="274" t="s">
        <x:v>153</x:v>
      </x:c>
      <x:c r="I5554" s="274" t="n">
        <x:v>1.4</x:v>
      </x:c>
      <x:c r="J5554" s="274" t="n">
        <x:v>110</x:v>
      </x:c>
      <x:c r="K5554" s="274" t="n">
        <x:v>1175</x:v>
      </x:c>
      <x:c r="M5554" s="274" t="s">
        <x:v>9486</x:v>
      </x:c>
      <x:c r="N5554" s="274" t="s">
        <x:v>299</x:v>
      </x:c>
    </x:row>
    <x:row r="5555" spans="1:14">
      <x:c r="A5555" s="274" t="s">
        <x:v>9602</x:v>
      </x:c>
      <x:c r="B5555" s="274" t="n">
        <x:v>0.63</x:v>
      </x:c>
      <x:c r="C5555" s="274" t="n">
        <x:v>0</x:v>
      </x:c>
      <x:c r="D5555" s="274" t="n">
        <x:v>0</x:v>
      </x:c>
      <x:c r="E5555" s="274" t="n">
        <x:v>0</x:v>
      </x:c>
      <x:c r="F5555" s="274" t="s">
        <x:v>133</x:v>
      </x:c>
      <x:c r="G5555" s="274" t="s">
        <x:v>136</x:v>
      </x:c>
      <x:c r="H5555" s="274" t="n">
        <x:v>45</x:v>
      </x:c>
      <x:c r="I5555" s="274" t="n">
        <x:v>0.6</x:v>
      </x:c>
      <x:c r="J5555" s="274" t="n">
        <x:v>257</x:v>
      </x:c>
      <x:c r="K5555" s="274" t="n">
        <x:v>509</x:v>
      </x:c>
      <x:c r="N5555" s="274" t="s">
        <x:v>9603</x:v>
      </x:c>
    </x:row>
    <x:row r="5556" spans="1:14">
      <x:c r="A5556" s="274" t="s">
        <x:v>9604</x:v>
      </x:c>
      <x:c r="B5556" s="274" t="n">
        <x:v>2.49</x:v>
      </x:c>
      <x:c r="C5556" s="274" t="n">
        <x:v>0</x:v>
      </x:c>
      <x:c r="D5556" s="274" t="n">
        <x:v>0</x:v>
      </x:c>
      <x:c r="E5556" s="274" t="n">
        <x:v>0</x:v>
      </x:c>
      <x:c r="F5556" s="274" t="s">
        <x:v>133</x:v>
      </x:c>
      <x:c r="G5556" s="274" t="s">
        <x:v>144</x:v>
      </x:c>
      <x:c r="H5556" s="274" t="n">
        <x:v>45</x:v>
      </x:c>
      <x:c r="I5556" s="274" t="n">
        <x:v>2</x:v>
      </x:c>
      <x:c r="J5556" s="274" t="n">
        <x:v>225</x:v>
      </x:c>
      <x:c r="K5556" s="274" t="n">
        <x:v>702</x:v>
      </x:c>
      <x:c r="M5556" s="274" t="s">
        <x:v>9486</x:v>
      </x:c>
    </x:row>
    <x:row r="5557" spans="1:14">
      <x:c r="A5557" s="274" t="s">
        <x:v>9605</x:v>
      </x:c>
      <x:c r="B5557" s="274" t="n">
        <x:v>1.18</x:v>
      </x:c>
      <x:c r="C5557" s="274" t="n">
        <x:v>0</x:v>
      </x:c>
      <x:c r="D5557" s="274" t="n">
        <x:v>0</x:v>
      </x:c>
      <x:c r="E5557" s="274" t="n">
        <x:v>0</x:v>
      </x:c>
      <x:c r="F5557" s="274" t="s">
        <x:v>133</x:v>
      </x:c>
      <x:c r="G5557" s="274" t="s">
        <x:v>144</x:v>
      </x:c>
      <x:c r="H5557" s="274" t="n">
        <x:v>45</x:v>
      </x:c>
      <x:c r="I5557" s="274" t="n">
        <x:v>1.4</x:v>
      </x:c>
      <x:c r="J5557" s="274" t="n">
        <x:v>187</x:v>
      </x:c>
      <x:c r="K5557" s="274" t="n">
        <x:v>571</x:v>
      </x:c>
      <x:c r="M5557" s="274" t="s">
        <x:v>9486</x:v>
      </x:c>
    </x:row>
    <x:row r="5558" spans="1:14">
      <x:c r="A5558" s="274" t="s">
        <x:v>9606</x:v>
      </x:c>
      <x:c r="B5558" s="274" t="n">
        <x:v>1.13</x:v>
      </x:c>
      <x:c r="C5558" s="274" t="n">
        <x:v>0</x:v>
      </x:c>
      <x:c r="D5558" s="274" t="n">
        <x:v>0</x:v>
      </x:c>
      <x:c r="E5558" s="274" t="n">
        <x:v>40</x:v>
      </x:c>
      <x:c r="F5558" s="274" t="s">
        <x:v>311</x:v>
      </x:c>
      <x:c r="G5558" s="274" t="s">
        <x:v>1728</x:v>
      </x:c>
      <x:c r="H5558" s="274" t="s">
        <x:v>1732</x:v>
      </x:c>
      <x:c r="I5558" s="274" t="n">
        <x:v>0.7</x:v>
      </x:c>
      <x:c r="J5558" s="274" t="n">
        <x:v>420</x:v>
      </x:c>
      <x:c r="K5558" s="274" t="n">
        <x:v>480</x:v>
      </x:c>
      <x:c r="M5558" s="274" t="s">
        <x:v>9607</x:v>
      </x:c>
    </x:row>
    <x:row r="5559" spans="1:14">
      <x:c r="A5559" s="274" t="s">
        <x:v>9608</x:v>
      </x:c>
      <x:c r="B5559" s="274" t="n">
        <x:v>3.35</x:v>
      </x:c>
      <x:c r="C5559" s="274" t="n">
        <x:v>0</x:v>
      </x:c>
      <x:c r="D5559" s="274" t="n">
        <x:v>32</x:v>
      </x:c>
      <x:c r="E5559" s="274" t="n">
        <x:v>40</x:v>
      </x:c>
      <x:c r="F5559" s="274" t="s">
        <x:v>133</x:v>
      </x:c>
      <x:c r="G5559" s="274" t="s">
        <x:v>136</x:v>
      </x:c>
      <x:c r="H5559" s="274" t="n">
        <x:v>45</x:v>
      </x:c>
      <x:c r="I5559" s="274" t="n">
        <x:v>1</x:v>
      </x:c>
      <x:c r="J5559" s="274" t="n">
        <x:v>1040</x:v>
      </x:c>
      <x:c r="K5559" s="274" t="n">
        <x:v>406</x:v>
      </x:c>
      <x:c r="N5559" s="274" t="s">
        <x:v>299</x:v>
      </x:c>
    </x:row>
    <x:row r="5560" spans="1:14">
      <x:c r="A5560" s="274" t="s">
        <x:v>9609</x:v>
      </x:c>
      <x:c r="B5560" s="274" t="n">
        <x:v>12.67</x:v>
      </x:c>
      <x:c r="C5560" s="274" t="n">
        <x:v>0</x:v>
      </x:c>
      <x:c r="D5560" s="274" t="n">
        <x:v>30</x:v>
      </x:c>
      <x:c r="E5560" s="274" t="n">
        <x:v>40</x:v>
      </x:c>
      <x:c r="F5560" s="274" t="s">
        <x:v>133</x:v>
      </x:c>
      <x:c r="G5560" s="274" t="s">
        <x:v>148</x:v>
      </x:c>
      <x:c r="I5560" s="274" t="n">
        <x:v>3.2</x:v>
      </x:c>
      <x:c r="J5560" s="274" t="n">
        <x:v>781</x:v>
      </x:c>
      <x:c r="K5560" s="274" t="n">
        <x:v>646</x:v>
      </x:c>
      <x:c r="M5560" s="274" t="s">
        <x:v>9610</x:v>
      </x:c>
      <x:c r="N5560" s="274" t="s">
        <x:v>155</x:v>
      </x:c>
    </x:row>
    <x:row r="5561" spans="1:14">
      <x:c r="A5561" s="274" t="s">
        <x:v>9611</x:v>
      </x:c>
      <x:c r="B5561" s="274" t="n">
        <x:v>10.23</x:v>
      </x:c>
      <x:c r="C5561" s="274" t="n">
        <x:v>0</x:v>
      </x:c>
      <x:c r="D5561" s="274" t="n">
        <x:v>0</x:v>
      </x:c>
      <x:c r="E5561" s="274" t="n">
        <x:v>0</x:v>
      </x:c>
      <x:c r="F5561" s="274" t="s">
        <x:v>133</x:v>
      </x:c>
      <x:c r="G5561" s="274" t="s">
        <x:v>134</x:v>
      </x:c>
      <x:c r="I5561" s="274" t="n">
        <x:v>3.6</x:v>
      </x:c>
      <x:c r="J5561" s="274" t="n">
        <x:v>1065</x:v>
      </x:c>
      <x:c r="K5561" s="274" t="n">
        <x:v>340</x:v>
      </x:c>
      <x:c r="M5561" s="274" t="s">
        <x:v>9486</x:v>
      </x:c>
    </x:row>
    <x:row r="5562" spans="1:14">
      <x:c r="A5562" s="274" t="s">
        <x:v>9612</x:v>
      </x:c>
      <x:c r="B5562" s="274" t="n">
        <x:v>0</x:v>
      </x:c>
      <x:c r="C5562" s="274" t="n">
        <x:v>0</x:v>
      </x:c>
      <x:c r="D5562" s="274" t="n">
        <x:v>0</x:v>
      </x:c>
      <x:c r="E5562" s="274" t="n">
        <x:v>40</x:v>
      </x:c>
      <x:c r="F5562" s="274" t="s">
        <x:v>311</x:v>
      </x:c>
      <x:c r="G5562" s="274" t="s">
        <x:v>1728</x:v>
      </x:c>
      <x:c r="H5562" s="274" t="s">
        <x:v>1732</x:v>
      </x:c>
      <x:c r="I5562" s="274" t="n">
        <x:v>0.7</x:v>
      </x:c>
      <x:c r="J5562" s="274" t="n">
        <x:v>340</x:v>
      </x:c>
      <x:c r="K5562" s="274" t="n">
        <x:v>570</x:v>
      </x:c>
      <x:c r="M5562" s="274" t="s">
        <x:v>9613</x:v>
      </x:c>
    </x:row>
    <x:row r="5563" spans="1:14">
      <x:c r="A5563" s="274" t="s">
        <x:v>9614</x:v>
      </x:c>
      <x:c r="B5563" s="274" t="n">
        <x:v>0</x:v>
      </x:c>
      <x:c r="C5563" s="274" t="n">
        <x:v>0</x:v>
      </x:c>
      <x:c r="D5563" s="274" t="n">
        <x:v>0</x:v>
      </x:c>
      <x:c r="E5563" s="274" t="n">
        <x:v>40</x:v>
      </x:c>
      <x:c r="F5563" s="274" t="s">
        <x:v>311</x:v>
      </x:c>
      <x:c r="G5563" s="274" t="s">
        <x:v>1728</x:v>
      </x:c>
      <x:c r="H5563" s="274" t="s">
        <x:v>1729</x:v>
      </x:c>
      <x:c r="I5563" s="274" t="n">
        <x:v>0.7</x:v>
      </x:c>
      <x:c r="J5563" s="274" t="n">
        <x:v>340</x:v>
      </x:c>
      <x:c r="K5563" s="274" t="n">
        <x:v>570</x:v>
      </x:c>
      <x:c r="M5563" s="274" t="s">
        <x:v>9613</x:v>
      </x:c>
    </x:row>
    <x:row r="5564" spans="1:14">
      <x:c r="A5564" s="274" t="s">
        <x:v>9615</x:v>
      </x:c>
      <x:c r="B5564" s="274" t="n">
        <x:v>0</x:v>
      </x:c>
      <x:c r="C5564" s="274" t="n">
        <x:v>0</x:v>
      </x:c>
      <x:c r="D5564" s="274" t="n">
        <x:v>0</x:v>
      </x:c>
      <x:c r="E5564" s="274" t="n">
        <x:v>40</x:v>
      </x:c>
      <x:c r="F5564" s="274" t="s">
        <x:v>311</x:v>
      </x:c>
      <x:c r="G5564" s="274" t="s">
        <x:v>1728</x:v>
      </x:c>
      <x:c r="H5564" s="274" t="s">
        <x:v>1729</x:v>
      </x:c>
      <x:c r="I5564" s="274" t="n">
        <x:v>0.7</x:v>
      </x:c>
      <x:c r="J5564" s="274" t="n">
        <x:v>320</x:v>
      </x:c>
      <x:c r="K5564" s="274" t="n">
        <x:v>545</x:v>
      </x:c>
      <x:c r="M5564" s="274" t="s">
        <x:v>9613</x:v>
      </x:c>
    </x:row>
    <x:row r="5565" spans="1:14">
      <x:c r="A5565" s="274" t="s">
        <x:v>9616</x:v>
      </x:c>
      <x:c r="B5565" s="274" t="n">
        <x:v>2.82</x:v>
      </x:c>
      <x:c r="C5565" s="274" t="n">
        <x:v>0</x:v>
      </x:c>
      <x:c r="D5565" s="274" t="n">
        <x:v>32</x:v>
      </x:c>
      <x:c r="E5565" s="274" t="n">
        <x:v>40</x:v>
      </x:c>
      <x:c r="F5565" s="274" t="s">
        <x:v>133</x:v>
      </x:c>
      <x:c r="G5565" s="274" t="s">
        <x:v>136</x:v>
      </x:c>
      <x:c r="H5565" s="274" t="n">
        <x:v>45</x:v>
      </x:c>
      <x:c r="I5565" s="274" t="n">
        <x:v>0.65</x:v>
      </x:c>
      <x:c r="J5565" s="274" t="n">
        <x:v>1085</x:v>
      </x:c>
      <x:c r="K5565" s="274" t="n">
        <x:v>500</x:v>
      </x:c>
      <x:c r="M5565" s="274" t="s">
        <x:v>9617</x:v>
      </x:c>
    </x:row>
    <x:row r="5566" spans="1:14">
      <x:c r="A5566" s="274" t="s">
        <x:v>9618</x:v>
      </x:c>
      <x:c r="B5566" s="274" t="n">
        <x:v>4.24</x:v>
      </x:c>
      <x:c r="C5566" s="274" t="n">
        <x:v>0</x:v>
      </x:c>
      <x:c r="D5566" s="274" t="n">
        <x:v>32</x:v>
      </x:c>
      <x:c r="E5566" s="274" t="n">
        <x:v>40</x:v>
      </x:c>
      <x:c r="F5566" s="274" t="s">
        <x:v>133</x:v>
      </x:c>
      <x:c r="G5566" s="274" t="s">
        <x:v>136</x:v>
      </x:c>
      <x:c r="H5566" s="274" t="n">
        <x:v>45</x:v>
      </x:c>
      <x:c r="I5566" s="274" t="n">
        <x:v>1.2</x:v>
      </x:c>
      <x:c r="J5566" s="274" t="n">
        <x:v>1150</x:v>
      </x:c>
      <x:c r="K5566" s="274" t="n">
        <x:v>388</x:v>
      </x:c>
      <x:c r="M5566" s="274" t="s">
        <x:v>9619</x:v>
      </x:c>
      <x:c r="N5566" s="274" t="s">
        <x:v>299</x:v>
      </x:c>
    </x:row>
    <x:row r="5567" spans="1:14">
      <x:c r="A5567" s="274" t="s">
        <x:v>9620</x:v>
      </x:c>
      <x:c r="B5567" s="274" t="n">
        <x:v>6.81</x:v>
      </x:c>
      <x:c r="C5567" s="274" t="n">
        <x:v>0</x:v>
      </x:c>
      <x:c r="D5567" s="274" t="n">
        <x:v>30</x:v>
      </x:c>
      <x:c r="E5567" s="274" t="n">
        <x:v>40</x:v>
      </x:c>
      <x:c r="F5567" s="274" t="s">
        <x:v>184</x:v>
      </x:c>
      <x:c r="G5567" s="274" t="s">
        <x:v>1718</x:v>
      </x:c>
      <x:c r="H5567" s="274" t="n">
        <x:v>45</x:v>
      </x:c>
      <x:c r="I5567" s="274" t="n">
        <x:v>1.4</x:v>
      </x:c>
      <x:c r="J5567" s="274" t="n">
        <x:v>1325</x:v>
      </x:c>
      <x:c r="K5567" s="274" t="n">
        <x:v>464</x:v>
      </x:c>
    </x:row>
    <x:row r="5568" spans="1:14">
      <x:c r="A5568" s="274" t="s">
        <x:v>9621</x:v>
      </x:c>
      <x:c r="B5568" s="274" t="n">
        <x:v>5.16</x:v>
      </x:c>
      <x:c r="C5568" s="274" t="n">
        <x:v>0</x:v>
      </x:c>
      <x:c r="D5568" s="274" t="n">
        <x:v>30</x:v>
      </x:c>
      <x:c r="E5568" s="274" t="n">
        <x:v>40</x:v>
      </x:c>
      <x:c r="F5568" s="274" t="s">
        <x:v>133</x:v>
      </x:c>
      <x:c r="G5568" s="274" t="s">
        <x:v>134</x:v>
      </x:c>
      <x:c r="I5568" s="274" t="n">
        <x:v>1.6</x:v>
      </x:c>
      <x:c r="J5568" s="274" t="n">
        <x:v>1020</x:v>
      </x:c>
      <x:c r="K5568" s="274" t="n">
        <x:v>403</x:v>
      </x:c>
      <x:c r="N5568" s="274" t="s">
        <x:v>6356</x:v>
      </x:c>
    </x:row>
    <x:row r="5569" spans="1:14">
      <x:c r="A5569" s="274" t="s">
        <x:v>9622</x:v>
      </x:c>
      <x:c r="B5569" s="274" t="n">
        <x:v>12.77</x:v>
      </x:c>
      <x:c r="C5569" s="274" t="n">
        <x:v>0</x:v>
      </x:c>
      <x:c r="D5569" s="274" t="n">
        <x:v>30</x:v>
      </x:c>
      <x:c r="E5569" s="274" t="n">
        <x:v>32</x:v>
      </x:c>
      <x:c r="F5569" s="274" t="s">
        <x:v>333</x:v>
      </x:c>
      <x:c r="G5569" s="274" t="s">
        <x:v>124</x:v>
      </x:c>
      <x:c r="I5569" s="274" t="n">
        <x:v>1.4</x:v>
      </x:c>
      <x:c r="J5569" s="274" t="n">
        <x:v>930</x:v>
      </x:c>
      <x:c r="K5569" s="274" t="n">
        <x:v>1250</x:v>
      </x:c>
      <x:c r="M5569" s="274" t="s">
        <x:v>9623</x:v>
      </x:c>
    </x:row>
    <x:row r="5570" spans="1:14">
      <x:c r="A5570" s="274" t="s">
        <x:v>9624</x:v>
      </x:c>
      <x:c r="B5570" s="274" t="n">
        <x:v>4.7</x:v>
      </x:c>
      <x:c r="C5570" s="274" t="n">
        <x:v>0</x:v>
      </x:c>
      <x:c r="D5570" s="274" t="n">
        <x:v>32</x:v>
      </x:c>
      <x:c r="E5570" s="274" t="n">
        <x:v>40</x:v>
      </x:c>
      <x:c r="F5570" s="274" t="s">
        <x:v>133</x:v>
      </x:c>
      <x:c r="G5570" s="274" t="s">
        <x:v>136</x:v>
      </x:c>
      <x:c r="H5570" s="274" t="n">
        <x:v>45</x:v>
      </x:c>
      <x:c r="I5570" s="274" t="n">
        <x:v>0.65</x:v>
      </x:c>
      <x:c r="J5570" s="274" t="n">
        <x:v>1340</x:v>
      </x:c>
      <x:c r="K5570" s="274" t="n">
        <x:v>675</x:v>
      </x:c>
      <x:c r="M5570" s="274" t="s">
        <x:v>9623</x:v>
      </x:c>
    </x:row>
    <x:row r="5571" spans="1:14">
      <x:c r="A5571" s="274" t="s">
        <x:v>9625</x:v>
      </x:c>
      <x:c r="B5571" s="274" t="n">
        <x:v>6.08</x:v>
      </x:c>
      <x:c r="C5571" s="274" t="n">
        <x:v>0</x:v>
      </x:c>
      <x:c r="D5571" s="274" t="n">
        <x:v>32</x:v>
      </x:c>
      <x:c r="E5571" s="274" t="n">
        <x:v>40</x:v>
      </x:c>
      <x:c r="F5571" s="274" t="s">
        <x:v>333</x:v>
      </x:c>
      <x:c r="G5571" s="274" t="s">
        <x:v>153</x:v>
      </x:c>
      <x:c r="I5571" s="274" t="n">
        <x:v>1</x:v>
      </x:c>
      <x:c r="J5571" s="274" t="n">
        <x:v>985</x:v>
      </x:c>
      <x:c r="K5571" s="274" t="n">
        <x:v>786</x:v>
      </x:c>
      <x:c r="M5571" s="274" t="s">
        <x:v>1783</x:v>
      </x:c>
      <x:c r="N5571" s="274" t="s">
        <x:v>1784</x:v>
      </x:c>
    </x:row>
    <x:row r="5572" spans="1:14">
      <x:c r="A5572" s="274" t="s">
        <x:v>9626</x:v>
      </x:c>
      <x:c r="B5572" s="274" t="n">
        <x:v>5.67</x:v>
      </x:c>
      <x:c r="C5572" s="274" t="n">
        <x:v>0</x:v>
      </x:c>
      <x:c r="D5572" s="274" t="n">
        <x:v>32</x:v>
      </x:c>
      <x:c r="E5572" s="274" t="n">
        <x:v>40</x:v>
      </x:c>
      <x:c r="F5572" s="274" t="s">
        <x:v>133</x:v>
      </x:c>
      <x:c r="G5572" s="274" t="s">
        <x:v>136</x:v>
      </x:c>
      <x:c r="H5572" s="274" t="n">
        <x:v>45</x:v>
      </x:c>
      <x:c r="I5572" s="274" t="n">
        <x:v>1.2</x:v>
      </x:c>
      <x:c r="J5572" s="274" t="n">
        <x:v>990</x:v>
      </x:c>
      <x:c r="K5572" s="274" t="n">
        <x:v>602</x:v>
      </x:c>
      <x:c r="M5572" s="274" t="s">
        <x:v>9623</x:v>
      </x:c>
      <x:c r="N5572" s="274" t="s">
        <x:v>870</x:v>
      </x:c>
    </x:row>
    <x:row r="5573" spans="1:14">
      <x:c r="A5573" s="274" t="s">
        <x:v>9627</x:v>
      </x:c>
      <x:c r="B5573" s="274" t="n">
        <x:v>16.41</x:v>
      </x:c>
      <x:c r="C5573" s="274" t="n">
        <x:v>0</x:v>
      </x:c>
      <x:c r="D5573" s="274" t="n">
        <x:v>30</x:v>
      </x:c>
      <x:c r="E5573" s="274" t="n">
        <x:v>32</x:v>
      </x:c>
      <x:c r="F5573" s="274" t="s">
        <x:v>133</x:v>
      </x:c>
      <x:c r="G5573" s="274" t="s">
        <x:v>136</x:v>
      </x:c>
      <x:c r="H5573" s="274" t="n">
        <x:v>45</x:v>
      </x:c>
      <x:c r="I5573" s="274" t="n">
        <x:v>1.4</x:v>
      </x:c>
      <x:c r="J5573" s="274" t="n">
        <x:v>1185</x:v>
      </x:c>
      <x:c r="K5573" s="274" t="n">
        <x:v>1250</x:v>
      </x:c>
      <x:c r="M5573" s="274" t="s">
        <x:v>9628</x:v>
      </x:c>
    </x:row>
    <x:row r="5574" spans="1:14">
      <x:c r="A5574" s="274" t="s">
        <x:v>9629</x:v>
      </x:c>
      <x:c r="B5574" s="274" t="n">
        <x:v>4.04</x:v>
      </x:c>
      <x:c r="C5574" s="274" t="n">
        <x:v>0</x:v>
      </x:c>
      <x:c r="D5574" s="274" t="n">
        <x:v>32</x:v>
      </x:c>
      <x:c r="E5574" s="274" t="n">
        <x:v>40</x:v>
      </x:c>
      <x:c r="F5574" s="274" t="s">
        <x:v>333</x:v>
      </x:c>
      <x:c r="G5574" s="274" t="s">
        <x:v>153</x:v>
      </x:c>
      <x:c r="I5574" s="274" t="n">
        <x:v>1.2</x:v>
      </x:c>
      <x:c r="J5574" s="274" t="n">
        <x:v>1050</x:v>
      </x:c>
      <x:c r="K5574" s="274" t="n">
        <x:v>408</x:v>
      </x:c>
      <x:c r="M5574" s="274" t="s">
        <x:v>9628</x:v>
      </x:c>
    </x:row>
    <x:row r="5575" spans="1:14">
      <x:c r="A5575" s="274" t="s">
        <x:v>9630</x:v>
      </x:c>
      <x:c r="B5575" s="274" t="n">
        <x:v>9.31</x:v>
      </x:c>
      <x:c r="C5575" s="274" t="n">
        <x:v>0</x:v>
      </x:c>
      <x:c r="D5575" s="274" t="n">
        <x:v>30</x:v>
      </x:c>
      <x:c r="E5575" s="274" t="n">
        <x:v>40</x:v>
      </x:c>
      <x:c r="F5575" s="274" t="s">
        <x:v>184</x:v>
      </x:c>
      <x:c r="G5575" s="274" t="s">
        <x:v>144</x:v>
      </x:c>
      <x:c r="H5575" s="274" t="n">
        <x:v>45</x:v>
      </x:c>
      <x:c r="I5575" s="274" t="n">
        <x:v>2.3</x:v>
      </x:c>
      <x:c r="J5575" s="274" t="n">
        <x:v>1047</x:v>
      </x:c>
      <x:c r="K5575" s="274" t="n">
        <x:v>490</x:v>
      </x:c>
      <x:c r="M5575" s="274" t="s">
        <x:v>9623</x:v>
      </x:c>
      <x:c r="N5575" s="274" t="s">
        <x:v>870</x:v>
      </x:c>
    </x:row>
    <x:row r="5576" spans="1:14">
      <x:c r="A5576" s="274" t="s">
        <x:v>9631</x:v>
      </x:c>
      <x:c r="B5576" s="274" t="n">
        <x:v>10.42</x:v>
      </x:c>
      <x:c r="C5576" s="274" t="n">
        <x:v>0</x:v>
      </x:c>
      <x:c r="D5576" s="274" t="n">
        <x:v>30</x:v>
      </x:c>
      <x:c r="E5576" s="274" t="n">
        <x:v>40</x:v>
      </x:c>
      <x:c r="F5576" s="274" t="s">
        <x:v>133</x:v>
      </x:c>
      <x:c r="G5576" s="274" t="s">
        <x:v>134</x:v>
      </x:c>
      <x:c r="I5576" s="274" t="n">
        <x:v>2.3</x:v>
      </x:c>
      <x:c r="J5576" s="274" t="n">
        <x:v>1185</x:v>
      </x:c>
      <x:c r="K5576" s="274" t="n">
        <x:v>487</x:v>
      </x:c>
      <x:c r="M5576" s="274" t="s">
        <x:v>1814</x:v>
      </x:c>
      <x:c r="N5576" s="274" t="s">
        <x:v>1815</x:v>
      </x:c>
    </x:row>
    <x:row r="5577" spans="1:14">
      <x:c r="A5577" s="274" t="s">
        <x:v>9632</x:v>
      </x:c>
      <x:c r="B5577" s="274" t="n">
        <x:v>3.36</x:v>
      </x:c>
      <x:c r="C5577" s="274" t="n">
        <x:v>0</x:v>
      </x:c>
      <x:c r="D5577" s="274" t="n">
        <x:v>32</x:v>
      </x:c>
      <x:c r="E5577" s="274" t="n">
        <x:v>40</x:v>
      </x:c>
      <x:c r="F5577" s="274" t="s">
        <x:v>333</x:v>
      </x:c>
      <x:c r="G5577" s="274" t="s">
        <x:v>473</x:v>
      </x:c>
      <x:c r="I5577" s="274" t="n">
        <x:v>0.8</x:v>
      </x:c>
      <x:c r="J5577" s="274" t="n">
        <x:v>1185</x:v>
      </x:c>
      <x:c r="K5577" s="274" t="n">
        <x:v>451</x:v>
      </x:c>
      <x:c r="M5577" s="274" t="s">
        <x:v>1817</x:v>
      </x:c>
      <x:c r="N5577" s="274" t="s">
        <x:v>1815</x:v>
      </x:c>
    </x:row>
    <x:row r="5578" spans="1:14">
      <x:c r="A5578" s="274" t="s">
        <x:v>9633</x:v>
      </x:c>
      <x:c r="B5578" s="274" t="n">
        <x:v>14.22</x:v>
      </x:c>
      <x:c r="C5578" s="274" t="n">
        <x:v>0</x:v>
      </x:c>
      <x:c r="D5578" s="274" t="n">
        <x:v>30</x:v>
      </x:c>
      <x:c r="E5578" s="274" t="n">
        <x:v>40</x:v>
      </x:c>
      <x:c r="F5578" s="274" t="s">
        <x:v>123</x:v>
      </x:c>
      <x:c r="G5578" s="274" t="s">
        <x:v>139</x:v>
      </x:c>
      <x:c r="I5578" s="274" t="n">
        <x:v>3.2</x:v>
      </x:c>
      <x:c r="J5578" s="274" t="n">
        <x:v>1225</x:v>
      </x:c>
      <x:c r="K5578" s="274" t="n">
        <x:v>462</x:v>
      </x:c>
      <x:c r="M5578" s="274" t="s">
        <x:v>1819</x:v>
      </x:c>
      <x:c r="N5578" s="274" t="s">
        <x:v>299</x:v>
      </x:c>
    </x:row>
    <x:row r="5579" spans="1:14">
      <x:c r="A5579" s="274" t="s">
        <x:v>9634</x:v>
      </x:c>
      <x:c r="B5579" s="274" t="n">
        <x:v>15.19</x:v>
      </x:c>
      <x:c r="C5579" s="274" t="n">
        <x:v>0</x:v>
      </x:c>
      <x:c r="D5579" s="274" t="n">
        <x:v>30</x:v>
      </x:c>
      <x:c r="E5579" s="274" t="n">
        <x:v>28</x:v>
      </x:c>
      <x:c r="F5579" s="274" t="s">
        <x:v>123</x:v>
      </x:c>
      <x:c r="G5579" s="274" t="s">
        <x:v>148</x:v>
      </x:c>
      <x:c r="I5579" s="274" t="n">
        <x:v>1.8</x:v>
      </x:c>
      <x:c r="J5579" s="274" t="n">
        <x:v>1075</x:v>
      </x:c>
      <x:c r="K5579" s="274" t="n">
        <x:v>1000</x:v>
      </x:c>
      <x:c r="N5579" s="274" t="s">
        <x:v>4250</x:v>
      </x:c>
    </x:row>
    <x:row r="5580" spans="1:14">
      <x:c r="A5580" s="274" t="s">
        <x:v>9635</x:v>
      </x:c>
      <x:c r="B5580" s="274" t="n">
        <x:v>25.12</x:v>
      </x:c>
      <x:c r="C5580" s="274" t="n">
        <x:v>0</x:v>
      </x:c>
      <x:c r="D5580" s="274" t="n">
        <x:v>30</x:v>
      </x:c>
      <x:c r="E5580" s="274" t="n">
        <x:v>28</x:v>
      </x:c>
      <x:c r="F5580" s="274" t="s">
        <x:v>133</x:v>
      </x:c>
      <x:c r="G5580" s="274" t="s">
        <x:v>148</x:v>
      </x:c>
      <x:c r="I5580" s="274" t="n">
        <x:v>3.2</x:v>
      </x:c>
      <x:c r="J5580" s="274" t="n">
        <x:v>1000</x:v>
      </x:c>
      <x:c r="K5580" s="274" t="n">
        <x:v>1000</x:v>
      </x:c>
      <x:c r="M5580" s="274" t="s">
        <x:v>9636</x:v>
      </x:c>
      <x:c r="N5580" s="274" t="s">
        <x:v>870</x:v>
      </x:c>
    </x:row>
    <x:row r="5581" spans="1:14">
      <x:c r="A5581" s="274" t="s">
        <x:v>9637</x:v>
      </x:c>
      <x:c r="B5581" s="274" t="n">
        <x:v>17.03</x:v>
      </x:c>
      <x:c r="C5581" s="274" t="n">
        <x:v>0</x:v>
      </x:c>
      <x:c r="D5581" s="274" t="n">
        <x:v>30</x:v>
      </x:c>
      <x:c r="E5581" s="274" t="n">
        <x:v>28</x:v>
      </x:c>
      <x:c r="F5581" s="274" t="s">
        <x:v>133</x:v>
      </x:c>
      <x:c r="G5581" s="274" t="s">
        <x:v>134</x:v>
      </x:c>
      <x:c r="I5581" s="274" t="n">
        <x:v>2</x:v>
      </x:c>
      <x:c r="J5581" s="274" t="n">
        <x:v>1085</x:v>
      </x:c>
      <x:c r="K5581" s="274" t="n">
        <x:v>1000</x:v>
      </x:c>
      <x:c r="M5581" s="274" t="s">
        <x:v>9638</x:v>
      </x:c>
      <x:c r="N5581" s="274" t="s">
        <x:v>870</x:v>
      </x:c>
    </x:row>
    <x:row r="5582" spans="1:14">
      <x:c r="A5582" s="274" t="s">
        <x:v>9639</x:v>
      </x:c>
      <x:c r="B5582" s="274" t="n">
        <x:v>21.62</x:v>
      </x:c>
      <x:c r="C5582" s="274" t="n">
        <x:v>0</x:v>
      </x:c>
      <x:c r="D5582" s="274" t="n">
        <x:v>30</x:v>
      </x:c>
      <x:c r="E5582" s="274" t="n">
        <x:v>28</x:v>
      </x:c>
      <x:c r="F5582" s="274" t="s">
        <x:v>133</x:v>
      </x:c>
      <x:c r="G5582" s="274" t="s">
        <x:v>148</x:v>
      </x:c>
      <x:c r="I5582" s="274" t="n">
        <x:v>2.9</x:v>
      </x:c>
      <x:c r="J5582" s="274" t="n">
        <x:v>950</x:v>
      </x:c>
      <x:c r="K5582" s="274" t="n">
        <x:v>1000</x:v>
      </x:c>
      <x:c r="M5582" s="274" t="s">
        <x:v>9623</x:v>
      </x:c>
      <x:c r="N5582" s="274" t="s">
        <x:v>870</x:v>
      </x:c>
    </x:row>
    <x:row r="5583" spans="1:14">
      <x:c r="A5583" s="274" t="s">
        <x:v>9640</x:v>
      </x:c>
      <x:c r="B5583" s="274" t="n">
        <x:v>5.88</x:v>
      </x:c>
      <x:c r="C5583" s="274" t="n">
        <x:v>0</x:v>
      </x:c>
      <x:c r="D5583" s="274" t="n">
        <x:v>30</x:v>
      </x:c>
      <x:c r="E5583" s="274" t="n">
        <x:v>40</x:v>
      </x:c>
      <x:c r="F5583" s="274" t="s">
        <x:v>333</x:v>
      </x:c>
      <x:c r="G5583" s="274" t="s">
        <x:v>334</x:v>
      </x:c>
      <x:c r="I5583" s="274" t="n">
        <x:v>2</x:v>
      </x:c>
      <x:c r="J5583" s="274" t="n">
        <x:v>708</x:v>
      </x:c>
      <x:c r="K5583" s="274" t="n">
        <x:v>529</x:v>
      </x:c>
      <x:c r="M5583" s="274" t="s">
        <x:v>9623</x:v>
      </x:c>
      <x:c r="N5583" s="274" t="s">
        <x:v>870</x:v>
      </x:c>
    </x:row>
    <x:row r="5584" spans="1:14">
      <x:c r="A5584" s="274" t="s">
        <x:v>9641</x:v>
      </x:c>
      <x:c r="B5584" s="274" t="n">
        <x:v>2.75</x:v>
      </x:c>
      <x:c r="C5584" s="274" t="n">
        <x:v>0</x:v>
      </x:c>
      <x:c r="D5584" s="274" t="n">
        <x:v>0</x:v>
      </x:c>
      <x:c r="E5584" s="274" t="n">
        <x:v>0</x:v>
      </x:c>
      <x:c r="F5584" s="274" t="s">
        <x:v>333</x:v>
      </x:c>
      <x:c r="G5584" s="274" t="s">
        <x:v>124</x:v>
      </x:c>
      <x:c r="I5584" s="274" t="n">
        <x:v>1.6</x:v>
      </x:c>
      <x:c r="J5584" s="274" t="n">
        <x:v>417</x:v>
      </x:c>
      <x:c r="K5584" s="274" t="n">
        <x:v>525</x:v>
      </x:c>
    </x:row>
    <x:row r="5585" spans="1:14">
      <x:c r="A5585" s="274" t="s">
        <x:v>9642</x:v>
      </x:c>
      <x:c r="B5585" s="274" t="n">
        <x:v>4.86</x:v>
      </x:c>
      <x:c r="C5585" s="274" t="n">
        <x:v>0</x:v>
      </x:c>
      <x:c r="D5585" s="274" t="n">
        <x:v>32</x:v>
      </x:c>
      <x:c r="E5585" s="274" t="n">
        <x:v>40</x:v>
      </x:c>
      <x:c r="F5585" s="274" t="s">
        <x:v>133</x:v>
      </x:c>
      <x:c r="G5585" s="274" t="s">
        <x:v>144</x:v>
      </x:c>
      <x:c r="H5585" s="274" t="n">
        <x:v>45</x:v>
      </x:c>
      <x:c r="I5585" s="274" t="n">
        <x:v>1.2</x:v>
      </x:c>
      <x:c r="J5585" s="274" t="n">
        <x:v>1110</x:v>
      </x:c>
      <x:c r="K5585" s="274" t="n">
        <x:v>460</x:v>
      </x:c>
      <x:c r="M5585" s="274" t="s">
        <x:v>9623</x:v>
      </x:c>
    </x:row>
    <x:row r="5586" spans="1:14">
      <x:c r="A5586" s="274" t="s">
        <x:v>9643</x:v>
      </x:c>
      <x:c r="B5586" s="274" t="n">
        <x:v>5.28</x:v>
      </x:c>
      <x:c r="C5586" s="274" t="n">
        <x:v>0</x:v>
      </x:c>
      <x:c r="D5586" s="274" t="n">
        <x:v>32</x:v>
      </x:c>
      <x:c r="E5586" s="274" t="n">
        <x:v>40</x:v>
      </x:c>
      <x:c r="F5586" s="274" t="s">
        <x:v>133</x:v>
      </x:c>
      <x:c r="G5586" s="274" t="s">
        <x:v>136</x:v>
      </x:c>
      <x:c r="H5586" s="274" t="n">
        <x:v>45</x:v>
      </x:c>
      <x:c r="I5586" s="274" t="n">
        <x:v>1</x:v>
      </x:c>
      <x:c r="J5586" s="274" t="n">
        <x:v>1195</x:v>
      </x:c>
      <x:c r="K5586" s="274" t="n">
        <x:v>556</x:v>
      </x:c>
      <x:c r="M5586" s="274" t="s">
        <x:v>9644</x:v>
      </x:c>
      <x:c r="N5586" s="274" t="s">
        <x:v>1236</x:v>
      </x:c>
    </x:row>
    <x:row r="5587" spans="1:14">
      <x:c r="A5587" s="274" t="s">
        <x:v>9645</x:v>
      </x:c>
      <x:c r="B5587" s="274" t="n">
        <x:v>3.16</x:v>
      </x:c>
      <x:c r="C5587" s="274" t="n">
        <x:v>0</x:v>
      </x:c>
      <x:c r="D5587" s="274" t="n">
        <x:v>32</x:v>
      </x:c>
      <x:c r="E5587" s="274" t="n">
        <x:v>40</x:v>
      </x:c>
      <x:c r="F5587" s="274" t="s">
        <x:v>333</x:v>
      </x:c>
      <x:c r="G5587" s="274" t="s">
        <x:v>153</x:v>
      </x:c>
      <x:c r="I5587" s="274" t="n">
        <x:v>0.6</x:v>
      </x:c>
      <x:c r="J5587" s="274" t="n">
        <x:v>1175</x:v>
      </x:c>
      <x:c r="K5587" s="274" t="n">
        <x:v>571</x:v>
      </x:c>
      <x:c r="N5587" s="274" t="s">
        <x:v>299</x:v>
      </x:c>
    </x:row>
    <x:row r="5588" spans="1:14">
      <x:c r="A5588" s="274" t="s">
        <x:v>9646</x:v>
      </x:c>
      <x:c r="B5588" s="274" t="n">
        <x:v>7.49</x:v>
      </x:c>
      <x:c r="C5588" s="274" t="n">
        <x:v>0</x:v>
      </x:c>
      <x:c r="D5588" s="274" t="n">
        <x:v>32</x:v>
      </x:c>
      <x:c r="E5588" s="274" t="n">
        <x:v>40</x:v>
      </x:c>
      <x:c r="F5588" s="274" t="s">
        <x:v>133</x:v>
      </x:c>
      <x:c r="G5588" s="274" t="s">
        <x:v>136</x:v>
      </x:c>
      <x:c r="H5588" s="274" t="n">
        <x:v>45</x:v>
      </x:c>
      <x:c r="I5588" s="274" t="n">
        <x:v>1.2</x:v>
      </x:c>
      <x:c r="J5588" s="274" t="n">
        <x:v>1150</x:v>
      </x:c>
      <x:c r="K5588" s="274" t="n">
        <x:v>685</x:v>
      </x:c>
      <x:c r="N5588" s="274" t="s">
        <x:v>4250</x:v>
      </x:c>
    </x:row>
    <x:row r="5589" spans="1:14">
      <x:c r="A5589" s="274" t="s">
        <x:v>9647</x:v>
      </x:c>
      <x:c r="B5589" s="274" t="n">
        <x:v>12.47</x:v>
      </x:c>
      <x:c r="C5589" s="274" t="n">
        <x:v>0</x:v>
      </x:c>
      <x:c r="D5589" s="274" t="n">
        <x:v>32</x:v>
      </x:c>
      <x:c r="E5589" s="274" t="n">
        <x:v>35</x:v>
      </x:c>
      <x:c r="F5589" s="274" t="s">
        <x:v>184</x:v>
      </x:c>
      <x:c r="G5589" s="274" t="s">
        <x:v>129</x:v>
      </x:c>
      <x:c r="H5589" s="274" t="n">
        <x:v>45</x:v>
      </x:c>
      <x:c r="I5589" s="274" t="n">
        <x:v>1.2</x:v>
      </x:c>
      <x:c r="J5589" s="274" t="n">
        <x:v>1135</x:v>
      </x:c>
      <x:c r="K5589" s="274" t="n">
        <x:v>1155</x:v>
      </x:c>
    </x:row>
    <x:row r="5590" spans="1:14">
      <x:c r="A5590" s="274" t="s">
        <x:v>9648</x:v>
      </x:c>
      <x:c r="B5590" s="274" t="n">
        <x:v>12.99</x:v>
      </x:c>
      <x:c r="C5590" s="274" t="n">
        <x:v>0</x:v>
      </x:c>
      <x:c r="D5590" s="274" t="n">
        <x:v>32</x:v>
      </x:c>
      <x:c r="E5590" s="274" t="n">
        <x:v>32</x:v>
      </x:c>
      <x:c r="F5590" s="274" t="s">
        <x:v>133</x:v>
      </x:c>
      <x:c r="G5590" s="274" t="s">
        <x:v>209</x:v>
      </x:c>
      <x:c r="I5590" s="274" t="n">
        <x:v>1.2</x:v>
      </x:c>
      <x:c r="J5590" s="274" t="n">
        <x:v>1135</x:v>
      </x:c>
      <x:c r="K5590" s="274" t="n">
        <x:v>1215</x:v>
      </x:c>
    </x:row>
    <x:row r="5591" spans="1:14">
      <x:c r="A5591" s="274" t="s">
        <x:v>9649</x:v>
      </x:c>
      <x:c r="B5591" s="274" t="n">
        <x:v>13.09</x:v>
      </x:c>
      <x:c r="C5591" s="274" t="n">
        <x:v>0</x:v>
      </x:c>
      <x:c r="D5591" s="274" t="n">
        <x:v>32</x:v>
      </x:c>
      <x:c r="E5591" s="274" t="n">
        <x:v>32</x:v>
      </x:c>
      <x:c r="F5591" s="274" t="s">
        <x:v>133</x:v>
      </x:c>
      <x:c r="G5591" s="274" t="s">
        <x:v>209</x:v>
      </x:c>
      <x:c r="I5591" s="274" t="n">
        <x:v>1.2</x:v>
      </x:c>
      <x:c r="J5591" s="274" t="n">
        <x:v>1135</x:v>
      </x:c>
      <x:c r="K5591" s="274" t="n">
        <x:v>1225</x:v>
      </x:c>
    </x:row>
    <x:row r="5592" spans="1:14">
      <x:c r="A5592" s="274" t="s">
        <x:v>9650</x:v>
      </x:c>
      <x:c r="B5592" s="274" t="n">
        <x:v>2.74</x:v>
      </x:c>
      <x:c r="C5592" s="274" t="n">
        <x:v>0</x:v>
      </x:c>
      <x:c r="D5592" s="274" t="n">
        <x:v>32</x:v>
      </x:c>
      <x:c r="E5592" s="274" t="n">
        <x:v>40</x:v>
      </x:c>
      <x:c r="F5592" s="274" t="s">
        <x:v>333</x:v>
      </x:c>
      <x:c r="G5592" s="274" t="s">
        <x:v>153</x:v>
      </x:c>
      <x:c r="I5592" s="274" t="n">
        <x:v>0.6</x:v>
      </x:c>
      <x:c r="J5592" s="274" t="n">
        <x:v>1175</x:v>
      </x:c>
      <x:c r="K5592" s="274" t="n">
        <x:v>496</x:v>
      </x:c>
      <x:c r="N5592" s="274" t="s">
        <x:v>299</x:v>
      </x:c>
    </x:row>
    <x:row r="5593" spans="1:14">
      <x:c r="A5593" s="274" t="s">
        <x:v>9651</x:v>
      </x:c>
      <x:c r="B5593" s="274" t="n">
        <x:v>10.37</x:v>
      </x:c>
      <x:c r="C5593" s="274" t="n">
        <x:v>0</x:v>
      </x:c>
      <x:c r="D5593" s="274" t="n">
        <x:v>30</x:v>
      </x:c>
      <x:c r="E5593" s="274" t="n">
        <x:v>35</x:v>
      </x:c>
      <x:c r="F5593" s="274" t="s">
        <x:v>333</x:v>
      </x:c>
      <x:c r="G5593" s="274" t="s">
        <x:v>153</x:v>
      </x:c>
      <x:c r="I5593" s="274" t="n">
        <x:v>1.4</x:v>
      </x:c>
      <x:c r="J5593" s="274" t="n">
        <x:v>810</x:v>
      </x:c>
      <x:c r="K5593" s="274" t="n">
        <x:v>1165</x:v>
      </x:c>
      <x:c r="M5593" s="274" t="s">
        <x:v>9652</x:v>
      </x:c>
      <x:c r="N5593" s="274" t="s">
        <x:v>299</x:v>
      </x:c>
    </x:row>
    <x:row r="5594" spans="1:14">
      <x:c r="A5594" s="274" t="s">
        <x:v>9653</x:v>
      </x:c>
      <x:c r="B5594" s="274" t="n">
        <x:v>4.83</x:v>
      </x:c>
      <x:c r="C5594" s="274" t="n">
        <x:v>0</x:v>
      </x:c>
      <x:c r="D5594" s="274" t="n">
        <x:v>32</x:v>
      </x:c>
      <x:c r="E5594" s="274" t="n">
        <x:v>40</x:v>
      </x:c>
      <x:c r="F5594" s="274" t="s">
        <x:v>133</x:v>
      </x:c>
      <x:c r="G5594" s="274" t="s">
        <x:v>209</x:v>
      </x:c>
      <x:c r="I5594" s="274" t="n">
        <x:v>0.8</x:v>
      </x:c>
      <x:c r="J5594" s="274" t="n">
        <x:v>1120</x:v>
      </x:c>
      <x:c r="K5594" s="274" t="n">
        <x:v>687</x:v>
      </x:c>
      <x:c r="N5594" s="274" t="s">
        <x:v>9654</x:v>
      </x:c>
    </x:row>
    <x:row r="5595" spans="1:14">
      <x:c r="A5595" s="274" t="s">
        <x:v>9655</x:v>
      </x:c>
      <x:c r="B5595" s="274" t="n">
        <x:v>9.59</x:v>
      </x:c>
      <x:c r="C5595" s="274" t="n">
        <x:v>0</x:v>
      </x:c>
      <x:c r="D5595" s="274" t="n">
        <x:v>30</x:v>
      </x:c>
      <x:c r="E5595" s="274" t="n">
        <x:v>40</x:v>
      </x:c>
      <x:c r="F5595" s="274" t="s">
        <x:v>133</x:v>
      </x:c>
      <x:c r="G5595" s="274" t="s">
        <x:v>134</x:v>
      </x:c>
      <x:c r="I5595" s="274" t="n">
        <x:v>2.6</x:v>
      </x:c>
      <x:c r="J5595" s="274" t="n">
        <x:v>1015</x:v>
      </x:c>
      <x:c r="K5595" s="274" t="n">
        <x:v>463</x:v>
      </x:c>
      <x:c r="N5595" s="274" t="s">
        <x:v>4250</x:v>
      </x:c>
    </x:row>
    <x:row r="5596" spans="1:14">
      <x:c r="A5596" s="274" t="s">
        <x:v>9656</x:v>
      </x:c>
      <x:c r="B5596" s="274" t="n">
        <x:v>10.38</x:v>
      </x:c>
      <x:c r="C5596" s="274" t="n">
        <x:v>0</x:v>
      </x:c>
      <x:c r="D5596" s="274" t="n">
        <x:v>32</x:v>
      </x:c>
      <x:c r="E5596" s="274" t="n">
        <x:v>35</x:v>
      </x:c>
      <x:c r="F5596" s="274" t="s">
        <x:v>123</x:v>
      </x:c>
      <x:c r="G5596" s="274" t="s">
        <x:v>209</x:v>
      </x:c>
      <x:c r="I5596" s="274" t="n">
        <x:v>1</x:v>
      </x:c>
      <x:c r="J5596" s="274" t="n">
        <x:v>1180</x:v>
      </x:c>
      <x:c r="K5596" s="274" t="n">
        <x:v>1120</x:v>
      </x:c>
    </x:row>
    <x:row r="5597" spans="1:14">
      <x:c r="A5597" s="274" t="s">
        <x:v>9657</x:v>
      </x:c>
      <x:c r="B5597" s="274" t="n">
        <x:v>13.03</x:v>
      </x:c>
      <x:c r="C5597" s="274" t="n">
        <x:v>0</x:v>
      </x:c>
      <x:c r="D5597" s="274" t="n">
        <x:v>32</x:v>
      </x:c>
      <x:c r="E5597" s="274" t="n">
        <x:v>32</x:v>
      </x:c>
      <x:c r="F5597" s="274" t="s">
        <x:v>184</x:v>
      </x:c>
      <x:c r="G5597" s="274" t="s">
        <x:v>129</x:v>
      </x:c>
      <x:c r="H5597" s="274" t="n">
        <x:v>45</x:v>
      </x:c>
      <x:c r="I5597" s="274" t="n">
        <x:v>1.2</x:v>
      </x:c>
      <x:c r="J5597" s="274" t="n">
        <x:v>1135</x:v>
      </x:c>
      <x:c r="K5597" s="274" t="n">
        <x:v>1207</x:v>
      </x:c>
      <x:c r="N5597" s="274" t="s">
        <x:v>4250</x:v>
      </x:c>
    </x:row>
    <x:row r="5598" spans="1:14">
      <x:c r="A5598" s="274" t="s">
        <x:v>9658</x:v>
      </x:c>
      <x:c r="B5598" s="274" t="n">
        <x:v>6.13</x:v>
      </x:c>
      <x:c r="C5598" s="274" t="n">
        <x:v>0</x:v>
      </x:c>
      <x:c r="D5598" s="274" t="n">
        <x:v>32</x:v>
      </x:c>
      <x:c r="E5598" s="274" t="n">
        <x:v>40</x:v>
      </x:c>
      <x:c r="F5598" s="274" t="s">
        <x:v>133</x:v>
      </x:c>
      <x:c r="G5598" s="274" t="s">
        <x:v>136</x:v>
      </x:c>
      <x:c r="H5598" s="274" t="n">
        <x:v>45</x:v>
      </x:c>
      <x:c r="I5598" s="274" t="n">
        <x:v>0.8</x:v>
      </x:c>
      <x:c r="J5598" s="274" t="n">
        <x:v>1085</x:v>
      </x:c>
      <x:c r="K5598" s="274" t="n">
        <x:v>887</x:v>
      </x:c>
      <x:c r="N5598" s="274" t="s">
        <x:v>155</x:v>
      </x:c>
    </x:row>
    <x:row r="5599" spans="1:14">
      <x:c r="A5599" s="274" t="s">
        <x:v>9659</x:v>
      </x:c>
      <x:c r="B5599" s="274" t="n">
        <x:v>18.26</x:v>
      </x:c>
      <x:c r="C5599" s="274" t="n">
        <x:v>0</x:v>
      </x:c>
      <x:c r="D5599" s="274" t="n">
        <x:v>30</x:v>
      </x:c>
      <x:c r="E5599" s="274" t="n">
        <x:v>40</x:v>
      </x:c>
      <x:c r="F5599" s="274" t="s">
        <x:v>311</x:v>
      </x:c>
      <x:c r="G5599" s="274" t="s">
        <x:v>134</x:v>
      </x:c>
      <x:c r="I5599" s="274" t="n">
        <x:v>3.4</x:v>
      </x:c>
      <x:c r="J5599" s="274" t="n">
        <x:v>1125</x:v>
      </x:c>
      <x:c r="K5599" s="274" t="n">
        <x:v>608</x:v>
      </x:c>
    </x:row>
    <x:row r="5600" spans="1:14">
      <x:c r="A5600" s="274" t="s">
        <x:v>9660</x:v>
      </x:c>
      <x:c r="B5600" s="274" t="n">
        <x:v>1.32</x:v>
      </x:c>
      <x:c r="C5600" s="274" t="n">
        <x:v>0</x:v>
      </x:c>
      <x:c r="D5600" s="274" t="n">
        <x:v>0</x:v>
      </x:c>
      <x:c r="E5600" s="274" t="n">
        <x:v>0</x:v>
      </x:c>
      <x:c r="F5600" s="274" t="s">
        <x:v>333</x:v>
      </x:c>
      <x:c r="G5600" s="274" t="s">
        <x:v>124</x:v>
      </x:c>
      <x:c r="I5600" s="274" t="n">
        <x:v>1.6</x:v>
      </x:c>
      <x:c r="J5600" s="274" t="n">
        <x:v>214</x:v>
      </x:c>
      <x:c r="K5600" s="274" t="n">
        <x:v>490</x:v>
      </x:c>
    </x:row>
    <x:row r="5601" spans="1:14">
      <x:c r="A5601" s="274" t="s">
        <x:v>9661</x:v>
      </x:c>
      <x:c r="B5601" s="274" t="n">
        <x:v>0.97</x:v>
      </x:c>
      <x:c r="C5601" s="274" t="n">
        <x:v>0</x:v>
      </x:c>
      <x:c r="D5601" s="274" t="n">
        <x:v>0</x:v>
      </x:c>
      <x:c r="E5601" s="274" t="n">
        <x:v>0</x:v>
      </x:c>
      <x:c r="F5601" s="274" t="s">
        <x:v>333</x:v>
      </x:c>
      <x:c r="G5601" s="274" t="s">
        <x:v>124</x:v>
      </x:c>
      <x:c r="I5601" s="274" t="n">
        <x:v>1.6</x:v>
      </x:c>
      <x:c r="J5601" s="274" t="n">
        <x:v>214</x:v>
      </x:c>
      <x:c r="K5601" s="274" t="n">
        <x:v>362</x:v>
      </x:c>
    </x:row>
    <x:row r="5602" spans="1:14">
      <x:c r="A5602" s="274" t="s">
        <x:v>9662</x:v>
      </x:c>
      <x:c r="B5602" s="274" t="n">
        <x:v>1.36</x:v>
      </x:c>
      <x:c r="C5602" s="274" t="n">
        <x:v>0</x:v>
      </x:c>
      <x:c r="D5602" s="274" t="n">
        <x:v>0</x:v>
      </x:c>
      <x:c r="E5602" s="274" t="n">
        <x:v>0</x:v>
      </x:c>
      <x:c r="F5602" s="274" t="s">
        <x:v>333</x:v>
      </x:c>
      <x:c r="G5602" s="274" t="s">
        <x:v>124</x:v>
      </x:c>
      <x:c r="I5602" s="274" t="n">
        <x:v>1.6</x:v>
      </x:c>
      <x:c r="J5602" s="274" t="n">
        <x:v>214</x:v>
      </x:c>
      <x:c r="K5602" s="274" t="n">
        <x:v>505</x:v>
      </x:c>
    </x:row>
    <x:row r="5603" spans="1:14">
      <x:c r="A5603" s="274" t="s">
        <x:v>9663</x:v>
      </x:c>
      <x:c r="B5603" s="274" t="n">
        <x:v>0.61</x:v>
      </x:c>
      <x:c r="C5603" s="274" t="n">
        <x:v>0</x:v>
      </x:c>
      <x:c r="D5603" s="274" t="n">
        <x:v>0</x:v>
      </x:c>
      <x:c r="E5603" s="274" t="n">
        <x:v>0</x:v>
      </x:c>
      <x:c r="F5603" s="274" t="s">
        <x:v>133</x:v>
      </x:c>
      <x:c r="G5603" s="274" t="s">
        <x:v>209</x:v>
      </x:c>
      <x:c r="I5603" s="274" t="n">
        <x:v>1</x:v>
      </x:c>
      <x:c r="J5603" s="274" t="n">
        <x:v>110</x:v>
      </x:c>
      <x:c r="K5603" s="274" t="n">
        <x:v>705</x:v>
      </x:c>
    </x:row>
    <x:row r="5604" spans="1:14">
      <x:c r="A5604" s="274" t="s">
        <x:v>9664</x:v>
      </x:c>
      <x:c r="B5604" s="274" t="n">
        <x:v>0.86</x:v>
      </x:c>
      <x:c r="C5604" s="274" t="n">
        <x:v>0</x:v>
      </x:c>
      <x:c r="D5604" s="274" t="n">
        <x:v>0</x:v>
      </x:c>
      <x:c r="E5604" s="274" t="n">
        <x:v>0</x:v>
      </x:c>
      <x:c r="F5604" s="274" t="s">
        <x:v>333</x:v>
      </x:c>
      <x:c r="G5604" s="274" t="s">
        <x:v>209</x:v>
      </x:c>
      <x:c r="I5604" s="274" t="n">
        <x:v>1.2</x:v>
      </x:c>
      <x:c r="J5604" s="274" t="n">
        <x:v>212</x:v>
      </x:c>
      <x:c r="K5604" s="274" t="n">
        <x:v>430</x:v>
      </x:c>
    </x:row>
    <x:row r="5605" spans="1:14">
      <x:c r="A5605" s="274" t="s">
        <x:v>9665</x:v>
      </x:c>
      <x:c r="B5605" s="274" t="n">
        <x:v>2.64</x:v>
      </x:c>
      <x:c r="C5605" s="274" t="n">
        <x:v>0</x:v>
      </x:c>
      <x:c r="D5605" s="274" t="n">
        <x:v>32</x:v>
      </x:c>
      <x:c r="E5605" s="274" t="n">
        <x:v>40</x:v>
      </x:c>
      <x:c r="F5605" s="274" t="s">
        <x:v>333</x:v>
      </x:c>
      <x:c r="G5605" s="274" t="s">
        <x:v>153</x:v>
      </x:c>
      <x:c r="I5605" s="274" t="n">
        <x:v>1</x:v>
      </x:c>
      <x:c r="J5605" s="274" t="n">
        <x:v>985</x:v>
      </x:c>
      <x:c r="K5605" s="274" t="n">
        <x:v>342</x:v>
      </x:c>
      <x:c r="M5605" s="274" t="s">
        <x:v>9666</x:v>
      </x:c>
    </x:row>
    <x:row r="5606" spans="1:14">
      <x:c r="A5606" s="274" t="s">
        <x:v>9667</x:v>
      </x:c>
      <x:c r="B5606" s="274" t="n">
        <x:v>4.22</x:v>
      </x:c>
      <x:c r="C5606" s="274" t="n">
        <x:v>0</x:v>
      </x:c>
      <x:c r="D5606" s="274" t="n">
        <x:v>32</x:v>
      </x:c>
      <x:c r="E5606" s="274" t="n">
        <x:v>40</x:v>
      </x:c>
      <x:c r="F5606" s="274" t="s">
        <x:v>123</x:v>
      </x:c>
      <x:c r="G5606" s="274" t="s">
        <x:v>129</x:v>
      </x:c>
      <x:c r="H5606" s="274" t="n">
        <x:v>45</x:v>
      </x:c>
      <x:c r="I5606" s="274" t="n">
        <x:v>0.7</x:v>
      </x:c>
      <x:c r="J5606" s="274" t="n">
        <x:v>1110</x:v>
      </x:c>
      <x:c r="K5606" s="274" t="n">
        <x:v>680</x:v>
      </x:c>
      <x:c r="N5606" s="274" t="s">
        <x:v>9668</x:v>
      </x:c>
    </x:row>
    <x:row r="5607" spans="1:14">
      <x:c r="A5607" s="274" t="s">
        <x:v>9669</x:v>
      </x:c>
      <x:c r="B5607" s="274" t="n">
        <x:v>6.29</x:v>
      </x:c>
      <x:c r="C5607" s="274" t="n">
        <x:v>0</x:v>
      </x:c>
      <x:c r="D5607" s="274" t="n">
        <x:v>32</x:v>
      </x:c>
      <x:c r="E5607" s="274" t="n">
        <x:v>40</x:v>
      </x:c>
      <x:c r="F5607" s="274" t="s">
        <x:v>333</x:v>
      </x:c>
      <x:c r="G5607" s="274" t="s">
        <x:v>209</x:v>
      </x:c>
      <x:c r="I5607" s="274" t="n">
        <x:v>0.9</x:v>
      </x:c>
      <x:c r="J5607" s="274" t="n">
        <x:v>1130</x:v>
      </x:c>
      <x:c r="K5607" s="274" t="n">
        <x:v>788</x:v>
      </x:c>
      <x:c r="N5607" s="274" t="s">
        <x:v>9670</x:v>
      </x:c>
    </x:row>
    <x:row r="5608" spans="1:14">
      <x:c r="A5608" s="274" t="s">
        <x:v>9671</x:v>
      </x:c>
      <x:c r="B5608" s="274" t="n">
        <x:v>4.6</x:v>
      </x:c>
      <x:c r="C5608" s="274" t="n">
        <x:v>0</x:v>
      </x:c>
      <x:c r="D5608" s="274" t="n">
        <x:v>32</x:v>
      </x:c>
      <x:c r="E5608" s="274" t="n">
        <x:v>37</x:v>
      </x:c>
      <x:c r="F5608" s="274" t="s">
        <x:v>333</x:v>
      </x:c>
      <x:c r="G5608" s="274" t="s">
        <x:v>209</x:v>
      </x:c>
      <x:c r="I5608" s="274" t="n">
        <x:v>0.6</x:v>
      </x:c>
      <x:c r="J5608" s="274" t="n">
        <x:v>976</x:v>
      </x:c>
      <x:c r="K5608" s="274" t="n">
        <x:v>1000</x:v>
      </x:c>
      <x:c r="M5608" s="274" t="s">
        <x:v>9672</x:v>
      </x:c>
    </x:row>
    <x:row r="5609" spans="1:14">
      <x:c r="A5609" s="274" t="s">
        <x:v>9673</x:v>
      </x:c>
      <x:c r="B5609" s="274" t="n">
        <x:v>6.52</x:v>
      </x:c>
      <x:c r="C5609" s="274" t="n">
        <x:v>0</x:v>
      </x:c>
      <x:c r="D5609" s="274" t="n">
        <x:v>32</x:v>
      </x:c>
      <x:c r="E5609" s="274" t="n">
        <x:v>40</x:v>
      </x:c>
      <x:c r="F5609" s="274" t="s">
        <x:v>184</x:v>
      </x:c>
      <x:c r="G5609" s="274" t="s">
        <x:v>129</x:v>
      </x:c>
      <x:c r="H5609" s="274" t="n">
        <x:v>45</x:v>
      </x:c>
      <x:c r="I5609" s="274" t="n">
        <x:v>1</x:v>
      </x:c>
      <x:c r="J5609" s="274" t="n">
        <x:v>1080</x:v>
      </x:c>
      <x:c r="K5609" s="274" t="n">
        <x:v>760</x:v>
      </x:c>
    </x:row>
    <x:row r="5610" spans="1:14">
      <x:c r="A5610" s="274" t="s">
        <x:v>9674</x:v>
      </x:c>
      <x:c r="B5610" s="274" t="n">
        <x:v>4.69</x:v>
      </x:c>
      <x:c r="C5610" s="274" t="n">
        <x:v>0</x:v>
      </x:c>
      <x:c r="D5610" s="274" t="n">
        <x:v>32</x:v>
      </x:c>
      <x:c r="E5610" s="274" t="n">
        <x:v>40</x:v>
      </x:c>
      <x:c r="F5610" s="274" t="s">
        <x:v>123</x:v>
      </x:c>
      <x:c r="G5610" s="274" t="s">
        <x:v>129</x:v>
      </x:c>
      <x:c r="H5610" s="274" t="n">
        <x:v>45</x:v>
      </x:c>
      <x:c r="I5610" s="274" t="n">
        <x:v>0.6</x:v>
      </x:c>
      <x:c r="J5610" s="274" t="n">
        <x:v>1110</x:v>
      </x:c>
      <x:c r="K5610" s="274" t="n">
        <x:v>880</x:v>
      </x:c>
    </x:row>
    <x:row r="5611" spans="1:14">
      <x:c r="A5611" s="274" t="s">
        <x:v>9675</x:v>
      </x:c>
      <x:c r="B5611" s="274" t="n">
        <x:v>2.66</x:v>
      </x:c>
      <x:c r="C5611" s="274" t="n">
        <x:v>0</x:v>
      </x:c>
      <x:c r="D5611" s="274" t="n">
        <x:v>32</x:v>
      </x:c>
      <x:c r="E5611" s="274" t="n">
        <x:v>40</x:v>
      </x:c>
      <x:c r="F5611" s="274" t="s">
        <x:v>123</x:v>
      </x:c>
      <x:c r="G5611" s="274" t="s">
        <x:v>129</x:v>
      </x:c>
      <x:c r="H5611" s="274" t="n">
        <x:v>45</x:v>
      </x:c>
      <x:c r="I5611" s="274" t="n">
        <x:v>0.6</x:v>
      </x:c>
      <x:c r="J5611" s="274" t="n">
        <x:v>1110</x:v>
      </x:c>
      <x:c r="K5611" s="274" t="n">
        <x:v>500</x:v>
      </x:c>
    </x:row>
    <x:row r="5612" spans="1:14">
      <x:c r="A5612" s="274" t="s">
        <x:v>9676</x:v>
      </x:c>
      <x:c r="B5612" s="274" t="n">
        <x:v>6.66</x:v>
      </x:c>
      <x:c r="C5612" s="274" t="n">
        <x:v>0</x:v>
      </x:c>
      <x:c r="D5612" s="274" t="n">
        <x:v>32</x:v>
      </x:c>
      <x:c r="E5612" s="274" t="n">
        <x:v>32</x:v>
      </x:c>
      <x:c r="F5612" s="274" t="s">
        <x:v>123</x:v>
      </x:c>
      <x:c r="G5612" s="274" t="s">
        <x:v>129</x:v>
      </x:c>
      <x:c r="H5612" s="274" t="n">
        <x:v>45</x:v>
      </x:c>
      <x:c r="I5612" s="274" t="n">
        <x:v>0.6</x:v>
      </x:c>
      <x:c r="J5612" s="274" t="n">
        <x:v>1110</x:v>
      </x:c>
      <x:c r="K5612" s="274" t="n">
        <x:v>1250</x:v>
      </x:c>
      <x:c r="N5612" s="274" t="s">
        <x:v>9668</x:v>
      </x:c>
    </x:row>
    <x:row r="5613" spans="1:14">
      <x:c r="A5613" s="274" t="s">
        <x:v>9677</x:v>
      </x:c>
      <x:c r="B5613" s="274" t="n">
        <x:v>3.25</x:v>
      </x:c>
      <x:c r="C5613" s="274" t="n">
        <x:v>0</x:v>
      </x:c>
      <x:c r="D5613" s="274" t="n">
        <x:v>32</x:v>
      </x:c>
      <x:c r="E5613" s="274" t="n">
        <x:v>40</x:v>
      </x:c>
      <x:c r="F5613" s="274" t="s">
        <x:v>123</x:v>
      </x:c>
      <x:c r="G5613" s="274" t="s">
        <x:v>129</x:v>
      </x:c>
      <x:c r="H5613" s="274" t="n">
        <x:v>45</x:v>
      </x:c>
      <x:c r="I5613" s="274" t="n">
        <x:v>0.6</x:v>
      </x:c>
      <x:c r="J5613" s="274" t="n">
        <x:v>1110</x:v>
      </x:c>
      <x:c r="K5613" s="274" t="n">
        <x:v>610</x:v>
      </x:c>
      <x:c r="N5613" s="274" t="s">
        <x:v>9668</x:v>
      </x:c>
    </x:row>
    <x:row r="5614" spans="1:14">
      <x:c r="A5614" s="274" t="s">
        <x:v>9678</x:v>
      </x:c>
      <x:c r="B5614" s="274" t="n">
        <x:v>5.43</x:v>
      </x:c>
      <x:c r="C5614" s="274" t="n">
        <x:v>0</x:v>
      </x:c>
      <x:c r="D5614" s="274" t="n">
        <x:v>32</x:v>
      </x:c>
      <x:c r="E5614" s="274" t="n">
        <x:v>37</x:v>
      </x:c>
      <x:c r="F5614" s="274" t="s">
        <x:v>123</x:v>
      </x:c>
      <x:c r="G5614" s="274" t="s">
        <x:v>129</x:v>
      </x:c>
      <x:c r="H5614" s="274" t="n">
        <x:v>45</x:v>
      </x:c>
      <x:c r="I5614" s="274" t="n">
        <x:v>0.6</x:v>
      </x:c>
      <x:c r="J5614" s="274" t="n">
        <x:v>1110</x:v>
      </x:c>
      <x:c r="K5614" s="274" t="n">
        <x:v>1020</x:v>
      </x:c>
      <x:c r="N5614" s="274" t="s">
        <x:v>9668</x:v>
      </x:c>
    </x:row>
    <x:row r="5615" spans="1:14">
      <x:c r="A5615" s="274" t="s">
        <x:v>9679</x:v>
      </x:c>
      <x:c r="B5615" s="274" t="n">
        <x:v>5.65</x:v>
      </x:c>
      <x:c r="C5615" s="274" t="n">
        <x:v>0</x:v>
      </x:c>
      <x:c r="D5615" s="274" t="n">
        <x:v>32</x:v>
      </x:c>
      <x:c r="E5615" s="274" t="n">
        <x:v>37</x:v>
      </x:c>
      <x:c r="F5615" s="274" t="s">
        <x:v>123</x:v>
      </x:c>
      <x:c r="G5615" s="274" t="s">
        <x:v>129</x:v>
      </x:c>
      <x:c r="H5615" s="274" t="n">
        <x:v>45</x:v>
      </x:c>
      <x:c r="I5615" s="274" t="n">
        <x:v>0.6</x:v>
      </x:c>
      <x:c r="J5615" s="274" t="n">
        <x:v>1110</x:v>
      </x:c>
      <x:c r="K5615" s="274" t="n">
        <x:v>1060</x:v>
      </x:c>
      <x:c r="N5615" s="274" t="s">
        <x:v>9668</x:v>
      </x:c>
    </x:row>
    <x:row r="5616" spans="1:14">
      <x:c r="A5616" s="274" t="s">
        <x:v>9680</x:v>
      </x:c>
      <x:c r="B5616" s="274" t="n">
        <x:v>2.8</x:v>
      </x:c>
      <x:c r="C5616" s="274" t="n">
        <x:v>0</x:v>
      </x:c>
      <x:c r="D5616" s="274" t="n">
        <x:v>32</x:v>
      </x:c>
      <x:c r="E5616" s="274" t="n">
        <x:v>40</x:v>
      </x:c>
      <x:c r="F5616" s="274" t="s">
        <x:v>123</x:v>
      </x:c>
      <x:c r="G5616" s="274" t="s">
        <x:v>129</x:v>
      </x:c>
      <x:c r="H5616" s="274" t="n">
        <x:v>45</x:v>
      </x:c>
      <x:c r="I5616" s="274" t="n">
        <x:v>0.6</x:v>
      </x:c>
      <x:c r="J5616" s="274" t="n">
        <x:v>1110</x:v>
      </x:c>
      <x:c r="K5616" s="274" t="n">
        <x:v>525</x:v>
      </x:c>
    </x:row>
    <x:row r="5617" spans="1:14">
      <x:c r="A5617" s="274" t="s">
        <x:v>9681</x:v>
      </x:c>
      <x:c r="B5617" s="274" t="n">
        <x:v>3.84</x:v>
      </x:c>
      <x:c r="C5617" s="274" t="n">
        <x:v>0</x:v>
      </x:c>
      <x:c r="D5617" s="274" t="n">
        <x:v>32</x:v>
      </x:c>
      <x:c r="E5617" s="274" t="n">
        <x:v>40</x:v>
      </x:c>
      <x:c r="F5617" s="274" t="s">
        <x:v>123</x:v>
      </x:c>
      <x:c r="G5617" s="274" t="s">
        <x:v>209</x:v>
      </x:c>
      <x:c r="I5617" s="274" t="n">
        <x:v>1</x:v>
      </x:c>
      <x:c r="J5617" s="274" t="n">
        <x:v>1180</x:v>
      </x:c>
      <x:c r="K5617" s="274" t="n">
        <x:v>415</x:v>
      </x:c>
      <x:c r="N5617" s="274" t="s">
        <x:v>162</x:v>
      </x:c>
    </x:row>
    <x:row r="5618" spans="1:14">
      <x:c r="A5618" s="274" t="s">
        <x:v>9682</x:v>
      </x:c>
      <x:c r="B5618" s="274" t="n">
        <x:v>1.4</x:v>
      </x:c>
      <x:c r="C5618" s="274" t="n">
        <x:v>0</x:v>
      </x:c>
      <x:c r="D5618" s="274" t="n">
        <x:v>0</x:v>
      </x:c>
      <x:c r="E5618" s="274" t="n">
        <x:v>0</x:v>
      </x:c>
      <x:c r="F5618" s="274" t="s">
        <x:v>333</x:v>
      </x:c>
      <x:c r="G5618" s="274" t="s">
        <x:v>153</x:v>
      </x:c>
      <x:c r="I5618" s="274" t="n">
        <x:v>1.2</x:v>
      </x:c>
      <x:c r="J5618" s="274" t="n">
        <x:v>205.7</x:v>
      </x:c>
      <x:c r="K5618" s="274" t="n">
        <x:v>723</x:v>
      </x:c>
    </x:row>
    <x:row r="5619" spans="1:14">
      <x:c r="A5619" s="274" t="s">
        <x:v>9683</x:v>
      </x:c>
      <x:c r="B5619" s="274" t="n">
        <x:v>2.57</x:v>
      </x:c>
      <x:c r="C5619" s="274" t="n">
        <x:v>0</x:v>
      </x:c>
      <x:c r="D5619" s="274" t="n">
        <x:v>32</x:v>
      </x:c>
      <x:c r="E5619" s="274" t="n">
        <x:v>40</x:v>
      </x:c>
      <x:c r="F5619" s="274" t="s">
        <x:v>123</x:v>
      </x:c>
      <x:c r="G5619" s="274" t="s">
        <x:v>129</x:v>
      </x:c>
      <x:c r="H5619" s="274" t="n">
        <x:v>45</x:v>
      </x:c>
      <x:c r="I5619" s="274" t="n">
        <x:v>0.7</x:v>
      </x:c>
      <x:c r="J5619" s="274" t="n">
        <x:v>1110</x:v>
      </x:c>
      <x:c r="K5619" s="274" t="n">
        <x:v>415</x:v>
      </x:c>
      <x:c r="M5619" s="274" t="s">
        <x:v>1112</x:v>
      </x:c>
      <x:c r="N5619" s="274" t="s">
        <x:v>299</x:v>
      </x:c>
    </x:row>
    <x:row r="5620" spans="1:14">
      <x:c r="A5620" s="274" t="s">
        <x:v>9684</x:v>
      </x:c>
      <x:c r="B5620" s="274" t="n">
        <x:v>3.88</x:v>
      </x:c>
      <x:c r="C5620" s="274" t="n">
        <x:v>0</x:v>
      </x:c>
      <x:c r="D5620" s="274" t="n">
        <x:v>32</x:v>
      </x:c>
      <x:c r="E5620" s="274" t="n">
        <x:v>40</x:v>
      </x:c>
      <x:c r="F5620" s="274" t="s">
        <x:v>123</x:v>
      </x:c>
      <x:c r="G5620" s="274" t="s">
        <x:v>129</x:v>
      </x:c>
      <x:c r="H5620" s="274" t="n">
        <x:v>45</x:v>
      </x:c>
      <x:c r="I5620" s="274" t="n">
        <x:v>0.7</x:v>
      </x:c>
      <x:c r="J5620" s="274" t="n">
        <x:v>1110</x:v>
      </x:c>
      <x:c r="K5620" s="274" t="n">
        <x:v>626</x:v>
      </x:c>
      <x:c r="N5620" s="274" t="s">
        <x:v>155</x:v>
      </x:c>
    </x:row>
    <x:row r="5621" spans="1:14">
      <x:c r="A5621" s="274" t="s">
        <x:v>9685</x:v>
      </x:c>
      <x:c r="B5621" s="274" t="n">
        <x:v>3.87</x:v>
      </x:c>
      <x:c r="C5621" s="274" t="n">
        <x:v>0</x:v>
      </x:c>
      <x:c r="D5621" s="274" t="n">
        <x:v>32</x:v>
      </x:c>
      <x:c r="E5621" s="274" t="n">
        <x:v>40</x:v>
      </x:c>
      <x:c r="F5621" s="274" t="s">
        <x:v>333</x:v>
      </x:c>
      <x:c r="G5621" s="274" t="s">
        <x:v>124</x:v>
      </x:c>
      <x:c r="I5621" s="274" t="n">
        <x:v>1</x:v>
      </x:c>
      <x:c r="J5621" s="274" t="n">
        <x:v>1192</x:v>
      </x:c>
      <x:c r="K5621" s="274" t="n">
        <x:v>414</x:v>
      </x:c>
      <x:c r="M5621" s="274" t="s">
        <x:v>9446</x:v>
      </x:c>
      <x:c r="N5621" s="274" t="s">
        <x:v>299</x:v>
      </x:c>
    </x:row>
    <x:row r="5622" spans="1:14">
      <x:c r="A5622" s="274" t="s">
        <x:v>9686</x:v>
      </x:c>
      <x:c r="B5622" s="274" t="n">
        <x:v>7.78</x:v>
      </x:c>
      <x:c r="C5622" s="274" t="n">
        <x:v>0</x:v>
      </x:c>
      <x:c r="D5622" s="274" t="n">
        <x:v>32</x:v>
      </x:c>
      <x:c r="E5622" s="274" t="n">
        <x:v>35</x:v>
      </x:c>
      <x:c r="F5622" s="274" t="s">
        <x:v>133</x:v>
      </x:c>
      <x:c r="G5622" s="274" t="s">
        <x:v>136</x:v>
      </x:c>
      <x:c r="H5622" s="274" t="n">
        <x:v>45</x:v>
      </x:c>
      <x:c r="I5622" s="274" t="n">
        <x:v>0.8</x:v>
      </x:c>
      <x:c r="J5622" s="274" t="n">
        <x:v>1085</x:v>
      </x:c>
      <x:c r="K5622" s="274" t="n">
        <x:v>1125</x:v>
      </x:c>
      <x:c r="N5622" s="274" t="s">
        <x:v>229</x:v>
      </x:c>
    </x:row>
    <x:row r="5623" spans="1:14">
      <x:c r="A5623" s="274" t="s">
        <x:v>9687</x:v>
      </x:c>
      <x:c r="B5623" s="274" t="n">
        <x:v>0.43</x:v>
      </x:c>
      <x:c r="C5623" s="274" t="n">
        <x:v>0</x:v>
      </x:c>
      <x:c r="D5623" s="274" t="n">
        <x:v>0</x:v>
      </x:c>
      <x:c r="E5623" s="274" t="n">
        <x:v>0</x:v>
      </x:c>
      <x:c r="F5623" s="274" t="s">
        <x:v>333</x:v>
      </x:c>
      <x:c r="G5623" s="274" t="s">
        <x:v>209</x:v>
      </x:c>
      <x:c r="I5623" s="274" t="n">
        <x:v>1.2</x:v>
      </x:c>
      <x:c r="J5623" s="274" t="n">
        <x:v>212</x:v>
      </x:c>
      <x:c r="K5623" s="274" t="n">
        <x:v>215</x:v>
      </x:c>
      <x:c r="N5623" s="274" t="s">
        <x:v>299</x:v>
      </x:c>
    </x:row>
    <x:row r="5624" spans="1:14">
      <x:c r="A5624" s="274" t="s">
        <x:v>9688</x:v>
      </x:c>
      <x:c r="B5624" s="274" t="n">
        <x:v>0.65</x:v>
      </x:c>
      <x:c r="C5624" s="274" t="n">
        <x:v>0</x:v>
      </x:c>
      <x:c r="D5624" s="274" t="n">
        <x:v>0</x:v>
      </x:c>
      <x:c r="E5624" s="274" t="n">
        <x:v>0</x:v>
      </x:c>
      <x:c r="F5624" s="274" t="s">
        <x:v>333</x:v>
      </x:c>
      <x:c r="G5624" s="274" t="s">
        <x:v>209</x:v>
      </x:c>
      <x:c r="I5624" s="274" t="n">
        <x:v>1.2</x:v>
      </x:c>
      <x:c r="J5624" s="274" t="n">
        <x:v>212</x:v>
      </x:c>
      <x:c r="K5624" s="274" t="n">
        <x:v>327</x:v>
      </x:c>
    </x:row>
    <x:row r="5625" spans="1:14">
      <x:c r="A5625" s="274" t="s">
        <x:v>9689</x:v>
      </x:c>
      <x:c r="B5625" s="274" t="n">
        <x:v>13.17</x:v>
      </x:c>
      <x:c r="C5625" s="274" t="n">
        <x:v>0</x:v>
      </x:c>
      <x:c r="D5625" s="274" t="n">
        <x:v>32</x:v>
      </x:c>
      <x:c r="E5625" s="274" t="n">
        <x:v>35</x:v>
      </x:c>
      <x:c r="F5625" s="274" t="s">
        <x:v>133</x:v>
      </x:c>
      <x:c r="G5625" s="274" t="s">
        <x:v>136</x:v>
      </x:c>
      <x:c r="H5625" s="274" t="n">
        <x:v>45</x:v>
      </x:c>
      <x:c r="I5625" s="274" t="n">
        <x:v>1.2</x:v>
      </x:c>
      <x:c r="J5625" s="274" t="n">
        <x:v>1227</x:v>
      </x:c>
      <x:c r="K5625" s="274" t="n">
        <x:v>1129</x:v>
      </x:c>
      <x:c r="N5625" s="274" t="s">
        <x:v>870</x:v>
      </x:c>
    </x:row>
    <x:row r="5626" spans="1:14">
      <x:c r="A5626" s="274" t="s">
        <x:v>9690</x:v>
      </x:c>
      <x:c r="B5626" s="274" t="n">
        <x:v>0.75</x:v>
      </x:c>
      <x:c r="C5626" s="274" t="n">
        <x:v>0</x:v>
      </x:c>
      <x:c r="D5626" s="274" t="n">
        <x:v>0</x:v>
      </x:c>
      <x:c r="E5626" s="274" t="n">
        <x:v>0</x:v>
      </x:c>
      <x:c r="F5626" s="274" t="s">
        <x:v>133</x:v>
      </x:c>
      <x:c r="G5626" s="274" t="s">
        <x:v>136</x:v>
      </x:c>
      <x:c r="H5626" s="274" t="n">
        <x:v>45</x:v>
      </x:c>
      <x:c r="I5626" s="274" t="n">
        <x:v>1</x:v>
      </x:c>
      <x:c r="J5626" s="274" t="n">
        <x:v>210</x:v>
      </x:c>
      <x:c r="K5626" s="274" t="n">
        <x:v>450</x:v>
      </x:c>
      <x:c r="N5626" s="274" t="s">
        <x:v>131</x:v>
      </x:c>
    </x:row>
    <x:row r="5627" spans="1:14">
      <x:c r="A5627" s="274" t="s">
        <x:v>9691</x:v>
      </x:c>
      <x:c r="B5627" s="274" t="n">
        <x:v>0.24</x:v>
      </x:c>
      <x:c r="C5627" s="274" t="n">
        <x:v>0</x:v>
      </x:c>
      <x:c r="D5627" s="274" t="n">
        <x:v>0</x:v>
      </x:c>
      <x:c r="E5627" s="274" t="n">
        <x:v>0</x:v>
      </x:c>
      <x:c r="F5627" s="274" t="s">
        <x:v>133</x:v>
      </x:c>
      <x:c r="G5627" s="274" t="s">
        <x:v>209</x:v>
      </x:c>
      <x:c r="I5627" s="274" t="n">
        <x:v>0.8</x:v>
      </x:c>
      <x:c r="J5627" s="274" t="n">
        <x:v>400</x:v>
      </x:c>
      <x:c r="K5627" s="274" t="n">
        <x:v>97</x:v>
      </x:c>
    </x:row>
    <x:row r="5628" spans="1:14">
      <x:c r="A5628" s="274" t="s">
        <x:v>9692</x:v>
      </x:c>
      <x:c r="B5628" s="274" t="n">
        <x:v>0.84</x:v>
      </x:c>
      <x:c r="C5628" s="274" t="n">
        <x:v>0</x:v>
      </x:c>
      <x:c r="D5628" s="274" t="n">
        <x:v>0</x:v>
      </x:c>
      <x:c r="E5628" s="274" t="n">
        <x:v>0</x:v>
      </x:c>
      <x:c r="F5628" s="274" t="s">
        <x:v>133</x:v>
      </x:c>
      <x:c r="G5628" s="274" t="s">
        <x:v>209</x:v>
      </x:c>
      <x:c r="I5628" s="274" t="n">
        <x:v>0.8</x:v>
      </x:c>
      <x:c r="J5628" s="274" t="n">
        <x:v>400</x:v>
      </x:c>
      <x:c r="K5628" s="274" t="n">
        <x:v>335</x:v>
      </x:c>
    </x:row>
    <x:row r="5629" spans="1:14">
      <x:c r="A5629" s="274" t="s">
        <x:v>9693</x:v>
      </x:c>
      <x:c r="B5629" s="274" t="n">
        <x:v>2.51</x:v>
      </x:c>
      <x:c r="C5629" s="274" t="n">
        <x:v>0</x:v>
      </x:c>
      <x:c r="D5629" s="274" t="n">
        <x:v>0</x:v>
      </x:c>
      <x:c r="E5629" s="274" t="n">
        <x:v>0</x:v>
      </x:c>
      <x:c r="F5629" s="274" t="s">
        <x:v>133</x:v>
      </x:c>
      <x:c r="G5629" s="274" t="s">
        <x:v>209</x:v>
      </x:c>
      <x:c r="I5629" s="274" t="n">
        <x:v>0.8</x:v>
      </x:c>
      <x:c r="J5629" s="274" t="n">
        <x:v>400</x:v>
      </x:c>
      <x:c r="K5629" s="274" t="n">
        <x:v>1000</x:v>
      </x:c>
    </x:row>
    <x:row r="5630" spans="1:14">
      <x:c r="A5630" s="274" t="s">
        <x:v>9694</x:v>
      </x:c>
      <x:c r="B5630" s="274" t="n">
        <x:v>0.34</x:v>
      </x:c>
      <x:c r="C5630" s="274" t="n">
        <x:v>0</x:v>
      </x:c>
      <x:c r="D5630" s="274" t="n">
        <x:v>0</x:v>
      </x:c>
      <x:c r="E5630" s="274" t="n">
        <x:v>0</x:v>
      </x:c>
      <x:c r="F5630" s="274" t="s">
        <x:v>133</x:v>
      </x:c>
      <x:c r="G5630" s="274" t="s">
        <x:v>209</x:v>
      </x:c>
      <x:c r="I5630" s="274" t="n">
        <x:v>0.8</x:v>
      </x:c>
      <x:c r="J5630" s="274" t="n">
        <x:v>400</x:v>
      </x:c>
      <x:c r="K5630" s="274" t="n">
        <x:v>136</x:v>
      </x:c>
    </x:row>
    <x:row r="5631" spans="1:14">
      <x:c r="A5631" s="274" t="s">
        <x:v>9695</x:v>
      </x:c>
      <x:c r="B5631" s="274" t="n">
        <x:v>1.61</x:v>
      </x:c>
      <x:c r="C5631" s="274" t="n">
        <x:v>0</x:v>
      </x:c>
      <x:c r="D5631" s="274" t="n">
        <x:v>0</x:v>
      </x:c>
      <x:c r="E5631" s="274" t="n">
        <x:v>0</x:v>
      </x:c>
      <x:c r="F5631" s="274" t="s">
        <x:v>133</x:v>
      </x:c>
      <x:c r="G5631" s="274" t="s">
        <x:v>209</x:v>
      </x:c>
      <x:c r="I5631" s="274" t="n">
        <x:v>0.8</x:v>
      </x:c>
      <x:c r="J5631" s="274" t="n">
        <x:v>400</x:v>
      </x:c>
      <x:c r="K5631" s="274" t="n">
        <x:v>642</x:v>
      </x:c>
    </x:row>
    <x:row r="5632" spans="1:14">
      <x:c r="A5632" s="274" t="s">
        <x:v>9696</x:v>
      </x:c>
      <x:c r="B5632" s="274" t="n">
        <x:v>1.73</x:v>
      </x:c>
      <x:c r="C5632" s="274" t="n">
        <x:v>0</x:v>
      </x:c>
      <x:c r="D5632" s="274" t="n">
        <x:v>0</x:v>
      </x:c>
      <x:c r="E5632" s="274" t="n">
        <x:v>0</x:v>
      </x:c>
      <x:c r="F5632" s="274" t="s">
        <x:v>133</x:v>
      </x:c>
      <x:c r="G5632" s="274" t="s">
        <x:v>209</x:v>
      </x:c>
      <x:c r="I5632" s="274" t="n">
        <x:v>0.8</x:v>
      </x:c>
      <x:c r="J5632" s="274" t="n">
        <x:v>400</x:v>
      </x:c>
      <x:c r="K5632" s="274" t="n">
        <x:v>687</x:v>
      </x:c>
    </x:row>
    <x:row r="5633" spans="1:14">
      <x:c r="A5633" s="274" t="s">
        <x:v>9697</x:v>
      </x:c>
      <x:c r="B5633" s="274" t="n">
        <x:v>2.19</x:v>
      </x:c>
      <x:c r="C5633" s="274" t="n">
        <x:v>0</x:v>
      </x:c>
      <x:c r="D5633" s="274" t="n">
        <x:v>0</x:v>
      </x:c>
      <x:c r="E5633" s="274" t="n">
        <x:v>0</x:v>
      </x:c>
      <x:c r="F5633" s="274" t="s">
        <x:v>133</x:v>
      </x:c>
      <x:c r="G5633" s="274" t="s">
        <x:v>134</x:v>
      </x:c>
      <x:c r="I5633" s="274" t="n">
        <x:v>3.2</x:v>
      </x:c>
      <x:c r="J5633" s="274" t="n">
        <x:v>290</x:v>
      </x:c>
      <x:c r="K5633" s="274" t="n">
        <x:v>300</x:v>
      </x:c>
    </x:row>
    <x:row r="5634" spans="1:14">
      <x:c r="A5634" s="274" t="s">
        <x:v>9698</x:v>
      </x:c>
      <x:c r="B5634" s="274" t="n">
        <x:v>2.92</x:v>
      </x:c>
      <x:c r="C5634" s="274" t="n">
        <x:v>0</x:v>
      </x:c>
      <x:c r="D5634" s="274" t="n">
        <x:v>0</x:v>
      </x:c>
      <x:c r="E5634" s="274" t="n">
        <x:v>0</x:v>
      </x:c>
      <x:c r="F5634" s="274" t="s">
        <x:v>133</x:v>
      </x:c>
      <x:c r="G5634" s="274" t="s">
        <x:v>148</x:v>
      </x:c>
      <x:c r="I5634" s="274" t="n">
        <x:v>2.6</x:v>
      </x:c>
      <x:c r="J5634" s="274" t="n">
        <x:v>317</x:v>
      </x:c>
      <x:c r="K5634" s="274" t="n">
        <x:v>451</x:v>
      </x:c>
    </x:row>
    <x:row r="5635" spans="1:14">
      <x:c r="A5635" s="274" t="s">
        <x:v>9699</x:v>
      </x:c>
      <x:c r="B5635" s="274" t="n">
        <x:v>1.32</x:v>
      </x:c>
      <x:c r="C5635" s="274" t="n">
        <x:v>0</x:v>
      </x:c>
      <x:c r="D5635" s="274" t="n">
        <x:v>0</x:v>
      </x:c>
      <x:c r="E5635" s="274" t="n">
        <x:v>0</x:v>
      </x:c>
      <x:c r="F5635" s="274" t="s">
        <x:v>133</x:v>
      </x:c>
      <x:c r="G5635" s="274" t="s">
        <x:v>148</x:v>
      </x:c>
      <x:c r="I5635" s="274" t="n">
        <x:v>2.6</x:v>
      </x:c>
      <x:c r="J5635" s="274" t="n">
        <x:v>145</x:v>
      </x:c>
      <x:c r="K5635" s="274" t="n">
        <x:v>447</x:v>
      </x:c>
    </x:row>
    <x:row r="5636" spans="1:14">
      <x:c r="A5636" s="274" t="s">
        <x:v>9700</x:v>
      </x:c>
      <x:c r="B5636" s="274" t="n">
        <x:v>5.98</x:v>
      </x:c>
      <x:c r="C5636" s="274" t="n">
        <x:v>0</x:v>
      </x:c>
      <x:c r="D5636" s="274" t="n">
        <x:v>32</x:v>
      </x:c>
      <x:c r="E5636" s="274" t="n">
        <x:v>40</x:v>
      </x:c>
      <x:c r="F5636" s="274" t="s">
        <x:v>123</x:v>
      </x:c>
      <x:c r="G5636" s="274" t="s">
        <x:v>129</x:v>
      </x:c>
      <x:c r="H5636" s="274" t="n">
        <x:v>45</x:v>
      </x:c>
      <x:c r="I5636" s="274" t="n">
        <x:v>0.7</x:v>
      </x:c>
      <x:c r="J5636" s="274" t="n">
        <x:v>1110</x:v>
      </x:c>
      <x:c r="K5636" s="274" t="n">
        <x:v>965</x:v>
      </x:c>
      <x:c r="N5636" s="274" t="s">
        <x:v>131</x:v>
      </x:c>
    </x:row>
    <x:row r="5637" spans="1:14">
      <x:c r="A5637" s="274" t="s">
        <x:v>9701</x:v>
      </x:c>
      <x:c r="B5637" s="274" t="n">
        <x:v>14.67</x:v>
      </x:c>
      <x:c r="C5637" s="274" t="n">
        <x:v>0</x:v>
      </x:c>
      <x:c r="D5637" s="274" t="n">
        <x:v>30</x:v>
      </x:c>
      <x:c r="E5637" s="274" t="n">
        <x:v>40</x:v>
      </x:c>
      <x:c r="F5637" s="274" t="s">
        <x:v>133</x:v>
      </x:c>
      <x:c r="G5637" s="274" t="s">
        <x:v>134</x:v>
      </x:c>
      <x:c r="I5637" s="274" t="n">
        <x:v>2.9</x:v>
      </x:c>
      <x:c r="J5637" s="274" t="n">
        <x:v>1100</x:v>
      </x:c>
      <x:c r="K5637" s="274" t="n">
        <x:v>586</x:v>
      </x:c>
      <x:c r="N5637" s="274" t="s">
        <x:v>299</x:v>
      </x:c>
    </x:row>
    <x:row r="5638" spans="1:14">
      <x:c r="A5638" s="274" t="s">
        <x:v>9702</x:v>
      </x:c>
      <x:c r="B5638" s="274" t="n">
        <x:v>9.22</x:v>
      </x:c>
      <x:c r="C5638" s="274" t="n">
        <x:v>0</x:v>
      </x:c>
      <x:c r="D5638" s="274" t="n">
        <x:v>32</x:v>
      </x:c>
      <x:c r="E5638" s="274" t="n">
        <x:v>40</x:v>
      </x:c>
      <x:c r="F5638" s="274" t="s">
        <x:v>333</x:v>
      </x:c>
      <x:c r="G5638" s="274" t="s">
        <x:v>124</x:v>
      </x:c>
      <x:c r="I5638" s="274" t="n">
        <x:v>1</x:v>
      </x:c>
      <x:c r="J5638" s="274" t="n">
        <x:v>1192</x:v>
      </x:c>
      <x:c r="K5638" s="274" t="n">
        <x:v>985</x:v>
      </x:c>
      <x:c r="N5638" s="274" t="s">
        <x:v>372</x:v>
      </x:c>
    </x:row>
    <x:row r="5639" spans="1:14">
      <x:c r="A5639" s="274" t="s">
        <x:v>9703</x:v>
      </x:c>
      <x:c r="B5639" s="274" t="n">
        <x:v>4.88</x:v>
      </x:c>
      <x:c r="C5639" s="274" t="n">
        <x:v>0</x:v>
      </x:c>
      <x:c r="D5639" s="274" t="n">
        <x:v>30</x:v>
      </x:c>
      <x:c r="E5639" s="274" t="n">
        <x:v>40</x:v>
      </x:c>
      <x:c r="F5639" s="274" t="s">
        <x:v>133</x:v>
      </x:c>
      <x:c r="G5639" s="274" t="s">
        <x:v>134</x:v>
      </x:c>
      <x:c r="I5639" s="274" t="n">
        <x:v>2</x:v>
      </x:c>
      <x:c r="J5639" s="274" t="n">
        <x:v>679</x:v>
      </x:c>
      <x:c r="K5639" s="274" t="n">
        <x:v>458</x:v>
      </x:c>
      <x:c r="N5639" s="274" t="s">
        <x:v>155</x:v>
      </x:c>
    </x:row>
    <x:row r="5640" spans="1:14">
      <x:c r="A5640" s="274" t="s">
        <x:v>9704</x:v>
      </x:c>
      <x:c r="B5640" s="274" t="n">
        <x:v>5.45</x:v>
      </x:c>
      <x:c r="C5640" s="274" t="n">
        <x:v>0</x:v>
      </x:c>
      <x:c r="D5640" s="274" t="n">
        <x:v>32</x:v>
      </x:c>
      <x:c r="E5640" s="274" t="n">
        <x:v>40</x:v>
      </x:c>
      <x:c r="F5640" s="274" t="s">
        <x:v>133</x:v>
      </x:c>
      <x:c r="G5640" s="274" t="s">
        <x:v>136</x:v>
      </x:c>
      <x:c r="H5640" s="274" t="n">
        <x:v>45</x:v>
      </x:c>
      <x:c r="I5640" s="274" t="n">
        <x:v>1.2</x:v>
      </x:c>
      <x:c r="J5640" s="274" t="n">
        <x:v>952</x:v>
      </x:c>
      <x:c r="K5640" s="274" t="n">
        <x:v>602</x:v>
      </x:c>
      <x:c r="N5640" s="274" t="s">
        <x:v>870</x:v>
      </x:c>
    </x:row>
    <x:row r="5641" spans="1:14">
      <x:c r="A5641" s="274" t="s">
        <x:v>9705</x:v>
      </x:c>
      <x:c r="B5641" s="274" t="n">
        <x:v>8.7</x:v>
      </x:c>
      <x:c r="C5641" s="274" t="n">
        <x:v>0</x:v>
      </x:c>
      <x:c r="D5641" s="274" t="n">
        <x:v>30</x:v>
      </x:c>
      <x:c r="E5641" s="274" t="n">
        <x:v>40</x:v>
      </x:c>
      <x:c r="F5641" s="274" t="s">
        <x:v>333</x:v>
      </x:c>
      <x:c r="G5641" s="274" t="s">
        <x:v>153</x:v>
      </x:c>
      <x:c r="I5641" s="274" t="n">
        <x:v>1.6</x:v>
      </x:c>
      <x:c r="J5641" s="274" t="n">
        <x:v>1515</x:v>
      </x:c>
      <x:c r="K5641" s="274" t="n">
        <x:v>457</x:v>
      </x:c>
      <x:c r="N5641" s="274" t="s">
        <x:v>299</x:v>
      </x:c>
    </x:row>
    <x:row r="5642" spans="1:14">
      <x:c r="A5642" s="274" t="s">
        <x:v>9706</x:v>
      </x:c>
      <x:c r="B5642" s="274" t="n">
        <x:v>5.53</x:v>
      </x:c>
      <x:c r="C5642" s="274" t="n">
        <x:v>0</x:v>
      </x:c>
      <x:c r="D5642" s="274" t="n">
        <x:v>30</x:v>
      </x:c>
      <x:c r="E5642" s="274" t="n">
        <x:v>40</x:v>
      </x:c>
      <x:c r="F5642" s="274" t="s">
        <x:v>133</x:v>
      </x:c>
      <x:c r="G5642" s="274" t="s">
        <x:v>136</x:v>
      </x:c>
      <x:c r="H5642" s="274" t="n">
        <x:v>45</x:v>
      </x:c>
      <x:c r="I5642" s="274" t="n">
        <x:v>1.6</x:v>
      </x:c>
      <x:c r="J5642" s="274" t="n">
        <x:v>1260</x:v>
      </x:c>
      <x:c r="K5642" s="274" t="n">
        <x:v>347</x:v>
      </x:c>
      <x:c r="N5642" s="274" t="s">
        <x:v>9707</x:v>
      </x:c>
    </x:row>
    <x:row r="5643" spans="1:14">
      <x:c r="A5643" s="274" t="s">
        <x:v>9708</x:v>
      </x:c>
      <x:c r="B5643" s="274" t="n">
        <x:v>8.26</x:v>
      </x:c>
      <x:c r="C5643" s="274" t="n">
        <x:v>0</x:v>
      </x:c>
      <x:c r="D5643" s="274" t="n">
        <x:v>30</x:v>
      </x:c>
      <x:c r="E5643" s="274" t="n">
        <x:v>40</x:v>
      </x:c>
      <x:c r="F5643" s="274" t="s">
        <x:v>133</x:v>
      </x:c>
      <x:c r="G5643" s="274" t="s">
        <x:v>134</x:v>
      </x:c>
      <x:c r="I5643" s="274" t="n">
        <x:v>2.6</x:v>
      </x:c>
      <x:c r="J5643" s="274" t="n">
        <x:v>975</x:v>
      </x:c>
      <x:c r="K5643" s="274" t="n">
        <x:v>415</x:v>
      </x:c>
      <x:c r="N5643" s="274" t="s">
        <x:v>299</x:v>
      </x:c>
    </x:row>
    <x:row r="5644" spans="1:14">
      <x:c r="A5644" s="274" t="s">
        <x:v>9709</x:v>
      </x:c>
      <x:c r="B5644" s="274" t="n">
        <x:v>6.93</x:v>
      </x:c>
      <x:c r="C5644" s="274" t="n">
        <x:v>0</x:v>
      </x:c>
      <x:c r="D5644" s="274" t="n">
        <x:v>30</x:v>
      </x:c>
      <x:c r="E5644" s="274" t="n">
        <x:v>40</x:v>
      </x:c>
      <x:c r="F5644" s="274" t="s">
        <x:v>133</x:v>
      </x:c>
      <x:c r="G5644" s="274" t="s">
        <x:v>136</x:v>
      </x:c>
      <x:c r="H5644" s="274" t="n">
        <x:v>45</x:v>
      </x:c>
      <x:c r="I5644" s="274" t="n">
        <x:v>1.6</x:v>
      </x:c>
      <x:c r="J5644" s="274" t="n">
        <x:v>1055</x:v>
      </x:c>
      <x:c r="K5644" s="274" t="n">
        <x:v>519</x:v>
      </x:c>
      <x:c r="N5644" s="274" t="s">
        <x:v>299</x:v>
      </x:c>
    </x:row>
    <x:row r="5645" spans="1:14">
      <x:c r="A5645" s="274" t="s">
        <x:v>9710</x:v>
      </x:c>
      <x:c r="B5645" s="274" t="n">
        <x:v>8.86</x:v>
      </x:c>
      <x:c r="C5645" s="274" t="n">
        <x:v>0</x:v>
      </x:c>
      <x:c r="D5645" s="274" t="n">
        <x:v>30</x:v>
      </x:c>
      <x:c r="E5645" s="274" t="n">
        <x:v>40</x:v>
      </x:c>
      <x:c r="F5645" s="274" t="s">
        <x:v>133</x:v>
      </x:c>
      <x:c r="G5645" s="274" t="s">
        <x:v>134</x:v>
      </x:c>
      <x:c r="I5645" s="274" t="n">
        <x:v>2.6</x:v>
      </x:c>
      <x:c r="J5645" s="274" t="n">
        <x:v>975</x:v>
      </x:c>
      <x:c r="K5645" s="274" t="n">
        <x:v>445</x:v>
      </x:c>
      <x:c r="M5645" s="274" t="s">
        <x:v>2357</x:v>
      </x:c>
      <x:c r="N5645" s="274" t="s">
        <x:v>131</x:v>
      </x:c>
    </x:row>
    <x:row r="5646" spans="1:14">
      <x:c r="A5646" s="274" t="s">
        <x:v>9711</x:v>
      </x:c>
      <x:c r="B5646" s="274" t="n">
        <x:v>8.56</x:v>
      </x:c>
      <x:c r="C5646" s="274" t="n">
        <x:v>0</x:v>
      </x:c>
      <x:c r="D5646" s="274" t="n">
        <x:v>30</x:v>
      </x:c>
      <x:c r="E5646" s="274" t="n">
        <x:v>40</x:v>
      </x:c>
      <x:c r="F5646" s="274" t="s">
        <x:v>133</x:v>
      </x:c>
      <x:c r="G5646" s="274" t="s">
        <x:v>134</x:v>
      </x:c>
      <x:c r="I5646" s="274" t="n">
        <x:v>2.3</x:v>
      </x:c>
      <x:c r="J5646" s="274" t="n">
        <x:v>1185</x:v>
      </x:c>
      <x:c r="K5646" s="274" t="n">
        <x:v>400</x:v>
      </x:c>
      <x:c r="M5646" s="274" t="s">
        <x:v>2392</x:v>
      </x:c>
      <x:c r="N5646" s="274" t="s">
        <x:v>131</x:v>
      </x:c>
    </x:row>
    <x:row r="5647" spans="1:14">
      <x:c r="A5647" s="274" t="s">
        <x:v>9712</x:v>
      </x:c>
      <x:c r="B5647" s="274" t="n">
        <x:v>1.31</x:v>
      </x:c>
      <x:c r="C5647" s="274" t="n">
        <x:v>0</x:v>
      </x:c>
      <x:c r="D5647" s="274" t="n">
        <x:v>0</x:v>
      </x:c>
      <x:c r="E5647" s="274" t="n">
        <x:v>0</x:v>
      </x:c>
      <x:c r="F5647" s="274" t="s">
        <x:v>133</x:v>
      </x:c>
      <x:c r="G5647" s="274" t="s">
        <x:v>148</x:v>
      </x:c>
      <x:c r="I5647" s="274" t="n">
        <x:v>2.6</x:v>
      </x:c>
      <x:c r="J5647" s="274" t="n">
        <x:v>144</x:v>
      </x:c>
      <x:c r="K5647" s="274" t="n">
        <x:v>447</x:v>
      </x:c>
      <x:c r="N5647" s="274" t="s">
        <x:v>131</x:v>
      </x:c>
    </x:row>
    <x:row r="5648" spans="1:14">
      <x:c r="A5648" s="274" t="s">
        <x:v>9713</x:v>
      </x:c>
      <x:c r="B5648" s="274" t="n">
        <x:v>4.72</x:v>
      </x:c>
      <x:c r="C5648" s="274" t="n">
        <x:v>0</x:v>
      </x:c>
      <x:c r="D5648" s="274" t="n">
        <x:v>32</x:v>
      </x:c>
      <x:c r="E5648" s="274" t="n">
        <x:v>40</x:v>
      </x:c>
      <x:c r="F5648" s="274" t="s">
        <x:v>333</x:v>
      </x:c>
      <x:c r="G5648" s="274" t="s">
        <x:v>209</x:v>
      </x:c>
      <x:c r="I5648" s="274" t="n">
        <x:v>1.2</x:v>
      </x:c>
      <x:c r="J5648" s="274" t="n">
        <x:v>1170</x:v>
      </x:c>
      <x:c r="K5648" s="274" t="n">
        <x:v>428</x:v>
      </x:c>
      <x:c r="N5648" s="274" t="s">
        <x:v>1279</x:v>
      </x:c>
    </x:row>
    <x:row r="5649" spans="1:14">
      <x:c r="A5649" s="274" t="s">
        <x:v>9714</x:v>
      </x:c>
      <x:c r="B5649" s="274" t="n">
        <x:v>4.24</x:v>
      </x:c>
      <x:c r="C5649" s="274" t="n">
        <x:v>0</x:v>
      </x:c>
      <x:c r="D5649" s="274" t="n">
        <x:v>32</x:v>
      </x:c>
      <x:c r="E5649" s="274" t="n">
        <x:v>40</x:v>
      </x:c>
      <x:c r="F5649" s="274" t="s">
        <x:v>333</x:v>
      </x:c>
      <x:c r="G5649" s="274" t="s">
        <x:v>209</x:v>
      </x:c>
      <x:c r="I5649" s="274" t="n">
        <x:v>1</x:v>
      </x:c>
      <x:c r="J5649" s="274" t="n">
        <x:v>1200</x:v>
      </x:c>
      <x:c r="K5649" s="274" t="n">
        <x:v>450</x:v>
      </x:c>
      <x:c r="M5649" s="274" t="s">
        <x:v>9715</x:v>
      </x:c>
      <x:c r="N5649" s="274" t="s">
        <x:v>1279</x:v>
      </x:c>
    </x:row>
    <x:row r="5650" spans="1:14">
      <x:c r="A5650" s="274" t="s">
        <x:v>9716</x:v>
      </x:c>
      <x:c r="B5650" s="274" t="n">
        <x:v>3.82</x:v>
      </x:c>
      <x:c r="C5650" s="274" t="n">
        <x:v>0</x:v>
      </x:c>
      <x:c r="D5650" s="274" t="n">
        <x:v>32</x:v>
      </x:c>
      <x:c r="E5650" s="274" t="n">
        <x:v>40</x:v>
      </x:c>
      <x:c r="F5650" s="274" t="s">
        <x:v>333</x:v>
      </x:c>
      <x:c r="G5650" s="274" t="s">
        <x:v>209</x:v>
      </x:c>
      <x:c r="I5650" s="274" t="n">
        <x:v>1</x:v>
      </x:c>
      <x:c r="J5650" s="274" t="n">
        <x:v>1200</x:v>
      </x:c>
      <x:c r="K5650" s="274" t="n">
        <x:v>406</x:v>
      </x:c>
      <x:c r="N5650" s="274" t="s">
        <x:v>1279</x:v>
      </x:c>
    </x:row>
    <x:row r="5651" spans="1:14">
      <x:c r="A5651" s="274" t="s">
        <x:v>9717</x:v>
      </x:c>
      <x:c r="B5651" s="274" t="n">
        <x:v>5.47</x:v>
      </x:c>
      <x:c r="C5651" s="274" t="n">
        <x:v>0</x:v>
      </x:c>
      <x:c r="D5651" s="274" t="n">
        <x:v>32</x:v>
      </x:c>
      <x:c r="E5651" s="274" t="n">
        <x:v>40</x:v>
      </x:c>
      <x:c r="F5651" s="274" t="s">
        <x:v>333</x:v>
      </x:c>
      <x:c r="G5651" s="274" t="s">
        <x:v>153</x:v>
      </x:c>
      <x:c r="I5651" s="274" t="n">
        <x:v>1.2</x:v>
      </x:c>
      <x:c r="J5651" s="274" t="n">
        <x:v>1290</x:v>
      </x:c>
      <x:c r="K5651" s="274" t="n">
        <x:v>450</x:v>
      </x:c>
      <x:c r="N5651" s="274" t="s">
        <x:v>1279</x:v>
      </x:c>
    </x:row>
    <x:row r="5652" spans="1:14">
      <x:c r="A5652" s="274" t="s">
        <x:v>9718</x:v>
      </x:c>
      <x:c r="B5652" s="274" t="n">
        <x:v>8.31</x:v>
      </x:c>
      <x:c r="C5652" s="274" t="n">
        <x:v>0</x:v>
      </x:c>
      <x:c r="D5652" s="274" t="n">
        <x:v>30</x:v>
      </x:c>
      <x:c r="E5652" s="274" t="n">
        <x:v>40</x:v>
      </x:c>
      <x:c r="F5652" s="274" t="s">
        <x:v>133</x:v>
      </x:c>
      <x:c r="G5652" s="274" t="s">
        <x:v>148</x:v>
      </x:c>
      <x:c r="I5652" s="274" t="n">
        <x:v>2.9</x:v>
      </x:c>
      <x:c r="J5652" s="274" t="n">
        <x:v>990</x:v>
      </x:c>
      <x:c r="K5652" s="274" t="n">
        <x:v>369</x:v>
      </x:c>
      <x:c r="N5652" s="274" t="s">
        <x:v>1279</x:v>
      </x:c>
    </x:row>
    <x:row r="5653" spans="1:14">
      <x:c r="A5653" s="274" t="s">
        <x:v>9719</x:v>
      </x:c>
      <x:c r="B5653" s="274" t="n">
        <x:v>1.98</x:v>
      </x:c>
      <x:c r="C5653" s="274" t="n">
        <x:v>0</x:v>
      </x:c>
      <x:c r="D5653" s="274" t="n">
        <x:v>30</x:v>
      </x:c>
      <x:c r="E5653" s="274" t="n">
        <x:v>40</x:v>
      </x:c>
      <x:c r="F5653" s="274" t="s">
        <x:v>133</x:v>
      </x:c>
      <x:c r="G5653" s="274" t="s">
        <x:v>136</x:v>
      </x:c>
      <x:c r="H5653" s="274" t="n">
        <x:v>45</x:v>
      </x:c>
      <x:c r="I5653" s="274" t="n">
        <x:v>1.4</x:v>
      </x:c>
      <x:c r="J5653" s="274" t="n">
        <x:v>526</x:v>
      </x:c>
      <x:c r="K5653" s="274" t="n">
        <x:v>340</x:v>
      </x:c>
      <x:c r="N5653" s="274" t="s">
        <x:v>162</x:v>
      </x:c>
    </x:row>
    <x:row r="5654" spans="1:14">
      <x:c r="A5654" s="274" t="s">
        <x:v>9720</x:v>
      </x:c>
      <x:c r="B5654" s="274" t="n">
        <x:v>6.82</x:v>
      </x:c>
      <x:c r="C5654" s="274" t="n">
        <x:v>0</x:v>
      </x:c>
      <x:c r="D5654" s="274" t="n">
        <x:v>30</x:v>
      </x:c>
      <x:c r="E5654" s="274" t="n">
        <x:v>35</x:v>
      </x:c>
      <x:c r="F5654" s="274" t="s">
        <x:v>133</x:v>
      </x:c>
      <x:c r="G5654" s="274" t="s">
        <x:v>136</x:v>
      </x:c>
      <x:c r="H5654" s="274" t="n">
        <x:v>45</x:v>
      </x:c>
      <x:c r="I5654" s="274" t="n">
        <x:v>1.4</x:v>
      </x:c>
      <x:c r="J5654" s="274" t="n">
        <x:v>526</x:v>
      </x:c>
      <x:c r="K5654" s="274" t="n">
        <x:v>1170</x:v>
      </x:c>
      <x:c r="N5654" s="274" t="s">
        <x:v>372</x:v>
      </x:c>
    </x:row>
    <x:row r="5655" spans="1:14">
      <x:c r="A5655" s="274" t="s">
        <x:v>9721</x:v>
      </x:c>
      <x:c r="B5655" s="274" t="n">
        <x:v>29.99</x:v>
      </x:c>
      <x:c r="C5655" s="274" t="n">
        <x:v>0</x:v>
      </x:c>
      <x:c r="D5655" s="274" t="n">
        <x:v>30</x:v>
      </x:c>
      <x:c r="E5655" s="274" t="n">
        <x:v>26</x:v>
      </x:c>
      <x:c r="F5655" s="274" t="s">
        <x:v>133</x:v>
      </x:c>
      <x:c r="G5655" s="274" t="s">
        <x:v>148</x:v>
      </x:c>
      <x:c r="I5655" s="274" t="n">
        <x:v>3.2</x:v>
      </x:c>
      <x:c r="J5655" s="274" t="n">
        <x:v>1000</x:v>
      </x:c>
      <x:c r="K5655" s="274" t="n">
        <x:v>1194</x:v>
      </x:c>
      <x:c r="N5655" s="274" t="s">
        <x:v>155</x:v>
      </x:c>
    </x:row>
    <x:row r="5656" spans="1:14">
      <x:c r="A5656" s="274" t="s">
        <x:v>9722</x:v>
      </x:c>
      <x:c r="B5656" s="274" t="n">
        <x:v>6.6</x:v>
      </x:c>
      <x:c r="C5656" s="274" t="n">
        <x:v>0</x:v>
      </x:c>
      <x:c r="D5656" s="274" t="n">
        <x:v>32</x:v>
      </x:c>
      <x:c r="E5656" s="274" t="n">
        <x:v>32</x:v>
      </x:c>
      <x:c r="F5656" s="274" t="s">
        <x:v>123</x:v>
      </x:c>
      <x:c r="G5656" s="274" t="s">
        <x:v>129</x:v>
      </x:c>
      <x:c r="H5656" s="274" t="n">
        <x:v>45</x:v>
      </x:c>
      <x:c r="I5656" s="274" t="n">
        <x:v>0.6</x:v>
      </x:c>
      <x:c r="J5656" s="274" t="n">
        <x:v>1110</x:v>
      </x:c>
      <x:c r="K5656" s="274" t="n">
        <x:v>1240</x:v>
      </x:c>
      <x:c r="N5656" s="274" t="s">
        <x:v>299</x:v>
      </x:c>
    </x:row>
    <x:row r="5657" spans="1:14">
      <x:c r="A5657" s="274" t="s">
        <x:v>9723</x:v>
      </x:c>
      <x:c r="B5657" s="274" t="n">
        <x:v>1.94</x:v>
      </x:c>
      <x:c r="C5657" s="274" t="n">
        <x:v>0</x:v>
      </x:c>
      <x:c r="D5657" s="274" t="n">
        <x:v>32</x:v>
      </x:c>
      <x:c r="E5657" s="274" t="n">
        <x:v>40</x:v>
      </x:c>
      <x:c r="F5657" s="274" t="s">
        <x:v>333</x:v>
      </x:c>
      <x:c r="G5657" s="274" t="s">
        <x:v>209</x:v>
      </x:c>
      <x:c r="I5657" s="274" t="n">
        <x:v>0.6</x:v>
      </x:c>
      <x:c r="J5657" s="274" t="n">
        <x:v>976</x:v>
      </x:c>
      <x:c r="K5657" s="274" t="n">
        <x:v>422</x:v>
      </x:c>
      <x:c r="N5657" s="274" t="s">
        <x:v>155</x:v>
      </x:c>
    </x:row>
    <x:row r="5658" spans="1:14">
      <x:c r="A5658" s="274" t="s">
        <x:v>9724</x:v>
      </x:c>
      <x:c r="B5658" s="274" t="n">
        <x:v>6.64</x:v>
      </x:c>
      <x:c r="C5658" s="274" t="n">
        <x:v>0</x:v>
      </x:c>
      <x:c r="D5658" s="274" t="n">
        <x:v>32</x:v>
      </x:c>
      <x:c r="E5658" s="274" t="n">
        <x:v>40</x:v>
      </x:c>
      <x:c r="F5658" s="274" t="s">
        <x:v>333</x:v>
      </x:c>
      <x:c r="G5658" s="274" t="s">
        <x:v>209</x:v>
      </x:c>
      <x:c r="I5658" s="274" t="n">
        <x:v>1</x:v>
      </x:c>
      <x:c r="J5658" s="274" t="n">
        <x:v>1200</x:v>
      </x:c>
      <x:c r="K5658" s="274" t="n">
        <x:v>705</x:v>
      </x:c>
      <x:c r="N5658" s="274" t="s">
        <x:v>4250</x:v>
      </x:c>
    </x:row>
    <x:row r="5659" spans="1:14">
      <x:c r="A5659" s="274" t="s">
        <x:v>9725</x:v>
      </x:c>
      <x:c r="B5659" s="274" t="n">
        <x:v>4.41</x:v>
      </x:c>
      <x:c r="C5659" s="274" t="n">
        <x:v>0</x:v>
      </x:c>
      <x:c r="D5659" s="274" t="n">
        <x:v>32</x:v>
      </x:c>
      <x:c r="E5659" s="274" t="n">
        <x:v>40</x:v>
      </x:c>
      <x:c r="F5659" s="274" t="s">
        <x:v>333</x:v>
      </x:c>
      <x:c r="G5659" s="274" t="s">
        <x:v>209</x:v>
      </x:c>
      <x:c r="I5659" s="274" t="n">
        <x:v>1</x:v>
      </x:c>
      <x:c r="J5659" s="274" t="n">
        <x:v>1200</x:v>
      </x:c>
      <x:c r="K5659" s="274" t="n">
        <x:v>468</x:v>
      </x:c>
      <x:c r="M5659" s="274" t="s">
        <x:v>9446</x:v>
      </x:c>
      <x:c r="N5659" s="274" t="s">
        <x:v>131</x:v>
      </x:c>
    </x:row>
    <x:row r="5660" spans="1:14">
      <x:c r="A5660" s="274" t="s">
        <x:v>9726</x:v>
      </x:c>
      <x:c r="B5660" s="274" t="n">
        <x:v>4.36</x:v>
      </x:c>
      <x:c r="C5660" s="274" t="n">
        <x:v>0</x:v>
      </x:c>
      <x:c r="D5660" s="274" t="n">
        <x:v>32</x:v>
      </x:c>
      <x:c r="E5660" s="274" t="n">
        <x:v>40</x:v>
      </x:c>
      <x:c r="F5660" s="274" t="s">
        <x:v>333</x:v>
      </x:c>
      <x:c r="G5660" s="274" t="s">
        <x:v>209</x:v>
      </x:c>
      <x:c r="I5660" s="274" t="n">
        <x:v>1</x:v>
      </x:c>
      <x:c r="J5660" s="274" t="n">
        <x:v>1200</x:v>
      </x:c>
      <x:c r="K5660" s="274" t="n">
        <x:v>463</x:v>
      </x:c>
      <x:c r="M5660" s="274" t="s">
        <x:v>1030</x:v>
      </x:c>
      <x:c r="N5660" s="274" t="s">
        <x:v>131</x:v>
      </x:c>
    </x:row>
    <x:row r="5661" spans="1:14">
      <x:c r="A5661" s="274" t="s">
        <x:v>9727</x:v>
      </x:c>
      <x:c r="B5661" s="274" t="n">
        <x:v>3.94</x:v>
      </x:c>
      <x:c r="C5661" s="274" t="n">
        <x:v>0</x:v>
      </x:c>
      <x:c r="D5661" s="274" t="n">
        <x:v>32</x:v>
      </x:c>
      <x:c r="E5661" s="274" t="n">
        <x:v>40</x:v>
      </x:c>
      <x:c r="F5661" s="274" t="s">
        <x:v>333</x:v>
      </x:c>
      <x:c r="G5661" s="274" t="s">
        <x:v>473</x:v>
      </x:c>
      <x:c r="I5661" s="274" t="n">
        <x:v>0.8</x:v>
      </x:c>
      <x:c r="J5661" s="274" t="n">
        <x:v>1185</x:v>
      </x:c>
      <x:c r="K5661" s="274" t="n">
        <x:v>530</x:v>
      </x:c>
      <x:c r="N5661" s="274" t="s">
        <x:v>1815</x:v>
      </x:c>
    </x:row>
    <x:row r="5662" spans="1:14">
      <x:c r="A5662" s="274" t="s">
        <x:v>9728</x:v>
      </x:c>
      <x:c r="B5662" s="274" t="n">
        <x:v>19.94</x:v>
      </x:c>
      <x:c r="C5662" s="274" t="n">
        <x:v>0</x:v>
      </x:c>
      <x:c r="D5662" s="274" t="n">
        <x:v>30</x:v>
      </x:c>
      <x:c r="E5662" s="274" t="n">
        <x:v>26</x:v>
      </x:c>
      <x:c r="F5662" s="274" t="s">
        <x:v>128</x:v>
      </x:c>
      <x:c r="G5662" s="274" t="s">
        <x:v>496</x:v>
      </x:c>
      <x:c r="H5662" s="274" t="n">
        <x:v>45</x:v>
      </x:c>
      <x:c r="I5662" s="274" t="n">
        <x:v>2.3</x:v>
      </x:c>
      <x:c r="J5662" s="274" t="n">
        <x:v>920</x:v>
      </x:c>
      <x:c r="K5662" s="274" t="n">
        <x:v>1195</x:v>
      </x:c>
      <x:c r="N5662" s="274" t="s">
        <x:v>2373</x:v>
      </x:c>
    </x:row>
    <x:row r="5663" spans="1:14">
      <x:c r="A5663" s="274" t="s">
        <x:v>9729</x:v>
      </x:c>
      <x:c r="B5663" s="274" t="n">
        <x:v>17.53</x:v>
      </x:c>
      <x:c r="C5663" s="274" t="n">
        <x:v>0</x:v>
      </x:c>
      <x:c r="D5663" s="274" t="n">
        <x:v>30</x:v>
      </x:c>
      <x:c r="E5663" s="274" t="n">
        <x:v>25</x:v>
      </x:c>
      <x:c r="F5663" s="274" t="s">
        <x:v>128</x:v>
      </x:c>
      <x:c r="G5663" s="274" t="s">
        <x:v>177</x:v>
      </x:c>
      <x:c r="H5663" s="274" t="n">
        <x:v>45</x:v>
      </x:c>
      <x:c r="I5663" s="274" t="n">
        <x:v>2</x:v>
      </x:c>
      <x:c r="J5663" s="274" t="n">
        <x:v>925</x:v>
      </x:c>
      <x:c r="K5663" s="274" t="n">
        <x:v>1200</x:v>
      </x:c>
      <x:c r="M5663" s="274" t="s">
        <x:v>9730</x:v>
      </x:c>
      <x:c r="N5663" s="274" t="s">
        <x:v>299</x:v>
      </x:c>
    </x:row>
    <x:row r="5664" spans="1:14">
      <x:c r="A5664" s="274" t="s">
        <x:v>9731</x:v>
      </x:c>
      <x:c r="B5664" s="274" t="n">
        <x:v>14.6</x:v>
      </x:c>
      <x:c r="C5664" s="274" t="n">
        <x:v>0</x:v>
      </x:c>
      <x:c r="D5664" s="274" t="n">
        <x:v>32</x:v>
      </x:c>
      <x:c r="E5664" s="274" t="n">
        <x:v>32</x:v>
      </x:c>
      <x:c r="F5664" s="274" t="s">
        <x:v>333</x:v>
      </x:c>
      <x:c r="G5664" s="274" t="s">
        <x:v>209</x:v>
      </x:c>
      <x:c r="I5664" s="274" t="n">
        <x:v>1.2</x:v>
      </x:c>
      <x:c r="J5664" s="274" t="n">
        <x:v>1250</x:v>
      </x:c>
      <x:c r="K5664" s="274" t="n">
        <x:v>1240</x:v>
      </x:c>
      <x:c r="M5664" s="274" t="s">
        <x:v>2633</x:v>
      </x:c>
      <x:c r="N5664" s="274" t="s">
        <x:v>155</x:v>
      </x:c>
    </x:row>
    <x:row r="5665" spans="1:14">
      <x:c r="A5665" s="274" t="s">
        <x:v>9732</x:v>
      </x:c>
      <x:c r="B5665" s="274" t="n">
        <x:v>13.49</x:v>
      </x:c>
      <x:c r="C5665" s="274" t="n">
        <x:v>0</x:v>
      </x:c>
      <x:c r="D5665" s="274" t="n">
        <x:v>32</x:v>
      </x:c>
      <x:c r="E5665" s="274" t="n">
        <x:v>32</x:v>
      </x:c>
      <x:c r="F5665" s="274" t="s">
        <x:v>184</x:v>
      </x:c>
      <x:c r="G5665" s="274" t="s">
        <x:v>129</x:v>
      </x:c>
      <x:c r="H5665" s="274" t="n">
        <x:v>45</x:v>
      </x:c>
      <x:c r="I5665" s="274" t="n">
        <x:v>1.2</x:v>
      </x:c>
      <x:c r="J5665" s="274" t="n">
        <x:v>1135</x:v>
      </x:c>
      <x:c r="K5665" s="274" t="n">
        <x:v>1250</x:v>
      </x:c>
      <x:c r="M5665" s="274" t="s">
        <x:v>9733</x:v>
      </x:c>
      <x:c r="N5665" s="274" t="s">
        <x:v>155</x:v>
      </x:c>
    </x:row>
    <x:row r="5666" spans="1:14">
      <x:c r="A5666" s="274" t="s">
        <x:v>9734</x:v>
      </x:c>
      <x:c r="B5666" s="274" t="n">
        <x:v>13.77</x:v>
      </x:c>
      <x:c r="C5666" s="274" t="n">
        <x:v>0</x:v>
      </x:c>
      <x:c r="D5666" s="274" t="n">
        <x:v>32</x:v>
      </x:c>
      <x:c r="E5666" s="274" t="n">
        <x:v>32</x:v>
      </x:c>
      <x:c r="F5666" s="274" t="s">
        <x:v>333</x:v>
      </x:c>
      <x:c r="G5666" s="274" t="s">
        <x:v>209</x:v>
      </x:c>
      <x:c r="I5666" s="274" t="n">
        <x:v>1.2</x:v>
      </x:c>
      <x:c r="J5666" s="274" t="n">
        <x:v>1170</x:v>
      </x:c>
      <x:c r="K5666" s="274" t="n">
        <x:v>1250</x:v>
      </x:c>
      <x:c r="M5666" s="274" t="s">
        <x:v>2635</x:v>
      </x:c>
      <x:c r="N5666" s="274" t="s">
        <x:v>155</x:v>
      </x:c>
    </x:row>
    <x:row r="5667" spans="1:14">
      <x:c r="A5667" s="274" t="s">
        <x:v>9735</x:v>
      </x:c>
      <x:c r="B5667" s="274" t="n">
        <x:v>9.13</x:v>
      </x:c>
      <x:c r="C5667" s="274" t="n">
        <x:v>0</x:v>
      </x:c>
      <x:c r="D5667" s="274" t="n">
        <x:v>30</x:v>
      </x:c>
      <x:c r="E5667" s="274" t="n">
        <x:v>40</x:v>
      </x:c>
      <x:c r="F5667" s="274" t="s">
        <x:v>128</x:v>
      </x:c>
      <x:c r="G5667" s="274" t="s">
        <x:v>496</x:v>
      </x:c>
      <x:c r="H5667" s="274" t="n">
        <x:v>45</x:v>
      </x:c>
      <x:c r="I5667" s="274" t="n">
        <x:v>2.6</x:v>
      </x:c>
      <x:c r="J5667" s="274" t="n">
        <x:v>915</x:v>
      </x:c>
      <x:c r="K5667" s="274" t="n">
        <x:v>487</x:v>
      </x:c>
      <x:c r="N5667" s="274" t="s">
        <x:v>155</x:v>
      </x:c>
    </x:row>
    <x:row r="5668" spans="1:14">
      <x:c r="A5668" s="274" t="s">
        <x:v>9736</x:v>
      </x:c>
      <x:c r="B5668" s="274" t="n">
        <x:v>7.69</x:v>
      </x:c>
      <x:c r="C5668" s="274" t="n">
        <x:v>0</x:v>
      </x:c>
      <x:c r="D5668" s="274" t="n">
        <x:v>32</x:v>
      </x:c>
      <x:c r="E5668" s="274" t="n">
        <x:v>40</x:v>
      </x:c>
      <x:c r="F5668" s="274" t="s">
        <x:v>333</x:v>
      </x:c>
      <x:c r="G5668" s="274" t="s">
        <x:v>153</x:v>
      </x:c>
      <x:c r="I5668" s="274" t="n">
        <x:v>1</x:v>
      </x:c>
      <x:c r="J5668" s="274" t="n">
        <x:v>985</x:v>
      </x:c>
      <x:c r="K5668" s="274" t="n">
        <x:v>994</x:v>
      </x:c>
    </x:row>
    <x:row r="5669" spans="1:14">
      <x:c r="A5669" s="274" t="s">
        <x:v>9737</x:v>
      </x:c>
      <x:c r="B5669" s="274" t="n">
        <x:v>14.31</x:v>
      </x:c>
      <x:c r="C5669" s="274" t="n">
        <x:v>0</x:v>
      </x:c>
      <x:c r="D5669" s="274" t="n">
        <x:v>30</x:v>
      </x:c>
      <x:c r="E5669" s="274" t="n">
        <x:v>40</x:v>
      </x:c>
      <x:c r="F5669" s="274" t="s">
        <x:v>133</x:v>
      </x:c>
      <x:c r="G5669" s="274" t="s">
        <x:v>134</x:v>
      </x:c>
      <x:c r="I5669" s="274" t="n">
        <x:v>3.2</x:v>
      </x:c>
      <x:c r="J5669" s="274" t="n">
        <x:v>1085</x:v>
      </x:c>
      <x:c r="K5669" s="274" t="n">
        <x:v>525</x:v>
      </x:c>
    </x:row>
    <x:row r="5670" spans="1:14">
      <x:c r="A5670" s="274" t="s">
        <x:v>9738</x:v>
      </x:c>
      <x:c r="B5670" s="274" t="n">
        <x:v>9.36</x:v>
      </x:c>
      <x:c r="C5670" s="274" t="n">
        <x:v>0</x:v>
      </x:c>
      <x:c r="D5670" s="274" t="n">
        <x:v>30</x:v>
      </x:c>
      <x:c r="E5670" s="274" t="n">
        <x:v>40</x:v>
      </x:c>
      <x:c r="F5670" s="274" t="s">
        <x:v>133</x:v>
      </x:c>
      <x:c r="G5670" s="274" t="s">
        <x:v>134</x:v>
      </x:c>
      <x:c r="I5670" s="274" t="n">
        <x:v>2.6</x:v>
      </x:c>
      <x:c r="J5670" s="274" t="n">
        <x:v>1130</x:v>
      </x:c>
      <x:c r="K5670" s="274" t="n">
        <x:v>406</x:v>
      </x:c>
      <x:c r="N5670" s="274" t="s">
        <x:v>299</x:v>
      </x:c>
    </x:row>
    <x:row r="5671" spans="1:14">
      <x:c r="A5671" s="274" t="s">
        <x:v>9739</x:v>
      </x:c>
      <x:c r="B5671" s="274" t="n">
        <x:v>11.01</x:v>
      </x:c>
      <x:c r="C5671" s="274" t="n">
        <x:v>0</x:v>
      </x:c>
      <x:c r="D5671" s="274" t="n">
        <x:v>30</x:v>
      </x:c>
      <x:c r="E5671" s="274" t="n">
        <x:v>40</x:v>
      </x:c>
      <x:c r="F5671" s="274" t="s">
        <x:v>133</x:v>
      </x:c>
      <x:c r="G5671" s="274" t="s">
        <x:v>134</x:v>
      </x:c>
      <x:c r="I5671" s="274" t="n">
        <x:v>3.2</x:v>
      </x:c>
      <x:c r="J5671" s="274" t="n">
        <x:v>1085</x:v>
      </x:c>
      <x:c r="K5671" s="274" t="n">
        <x:v>404</x:v>
      </x:c>
      <x:c r="N5671" s="274" t="s">
        <x:v>299</x:v>
      </x:c>
    </x:row>
    <x:row r="5672" spans="1:14">
      <x:c r="A5672" s="274" t="s">
        <x:v>9740</x:v>
      </x:c>
      <x:c r="B5672" s="274" t="n">
        <x:v>14.03</x:v>
      </x:c>
      <x:c r="C5672" s="274" t="n">
        <x:v>0</x:v>
      </x:c>
      <x:c r="D5672" s="274" t="n">
        <x:v>30</x:v>
      </x:c>
      <x:c r="E5672" s="274" t="n">
        <x:v>35</x:v>
      </x:c>
      <x:c r="F5672" s="274" t="s">
        <x:v>333</x:v>
      </x:c>
      <x:c r="G5672" s="274" t="s">
        <x:v>124</x:v>
      </x:c>
      <x:c r="I5672" s="274" t="n">
        <x:v>1.4</x:v>
      </x:c>
      <x:c r="J5672" s="274" t="n">
        <x:v>1135</x:v>
      </x:c>
      <x:c r="K5672" s="274" t="n">
        <x:v>1125</x:v>
      </x:c>
      <x:c r="N5672" s="274" t="s">
        <x:v>299</x:v>
      </x:c>
    </x:row>
    <x:row r="5673" spans="1:14">
      <x:c r="A5673" s="274" t="s">
        <x:v>9741</x:v>
      </x:c>
      <x:c r="B5673" s="274" t="n">
        <x:v>5.98</x:v>
      </x:c>
      <x:c r="C5673" s="274" t="n">
        <x:v>0</x:v>
      </x:c>
      <x:c r="D5673" s="274" t="n">
        <x:v>32</x:v>
      </x:c>
      <x:c r="E5673" s="274" t="n">
        <x:v>40</x:v>
      </x:c>
      <x:c r="F5673" s="274" t="s">
        <x:v>133</x:v>
      </x:c>
      <x:c r="G5673" s="274" t="s">
        <x:v>209</x:v>
      </x:c>
      <x:c r="I5673" s="274" t="n">
        <x:v>1.2</x:v>
      </x:c>
      <x:c r="J5673" s="274" t="n">
        <x:v>1135</x:v>
      </x:c>
      <x:c r="K5673" s="274" t="n">
        <x:v>559</x:v>
      </x:c>
      <x:c r="N5673" s="274" t="s">
        <x:v>9742</x:v>
      </x:c>
    </x:row>
    <x:row r="5674" spans="1:14">
      <x:c r="A5674" s="274" t="s">
        <x:v>9743</x:v>
      </x:c>
      <x:c r="B5674" s="274" t="n">
        <x:v>0</x:v>
      </x:c>
      <x:c r="C5674" s="274" t="n">
        <x:v>0</x:v>
      </x:c>
      <x:c r="D5674" s="274" t="n">
        <x:v>32</x:v>
      </x:c>
      <x:c r="E5674" s="274" t="n">
        <x:v>37</x:v>
      </x:c>
      <x:c r="F5674" s="274" t="s">
        <x:v>311</x:v>
      </x:c>
      <x:c r="G5674" s="274" t="s">
        <x:v>1728</x:v>
      </x:c>
      <x:c r="H5674" s="274" t="s">
        <x:v>1732</x:v>
      </x:c>
      <x:c r="I5674" s="274" t="n">
        <x:v>0.7</x:v>
      </x:c>
      <x:c r="J5674" s="274" t="n">
        <x:v>510</x:v>
      </x:c>
      <x:c r="K5674" s="274" t="n">
        <x:v>1010</x:v>
      </x:c>
      <x:c r="M5674" s="274" t="s">
        <x:v>9744</x:v>
      </x:c>
    </x:row>
    <x:row r="5675" spans="1:14">
      <x:c r="A5675" s="274" t="s">
        <x:v>9745</x:v>
      </x:c>
      <x:c r="B5675" s="274" t="n">
        <x:v>0</x:v>
      </x:c>
      <x:c r="C5675" s="274" t="n">
        <x:v>0</x:v>
      </x:c>
      <x:c r="D5675" s="274" t="n">
        <x:v>32</x:v>
      </x:c>
      <x:c r="E5675" s="274" t="n">
        <x:v>37</x:v>
      </x:c>
      <x:c r="F5675" s="274" t="s">
        <x:v>311</x:v>
      </x:c>
      <x:c r="G5675" s="274" t="s">
        <x:v>1728</x:v>
      </x:c>
      <x:c r="H5675" s="274" t="s">
        <x:v>1729</x:v>
      </x:c>
      <x:c r="I5675" s="274" t="n">
        <x:v>0.7</x:v>
      </x:c>
      <x:c r="J5675" s="274" t="n">
        <x:v>510</x:v>
      </x:c>
      <x:c r="K5675" s="274" t="n">
        <x:v>1010</x:v>
      </x:c>
      <x:c r="M5675" s="274" t="s">
        <x:v>9746</x:v>
      </x:c>
      <x:c r="N5675" s="274" t="s">
        <x:v>299</x:v>
      </x:c>
    </x:row>
    <x:row r="5676" spans="1:14">
      <x:c r="A5676" s="274" t="s">
        <x:v>9747</x:v>
      </x:c>
      <x:c r="B5676" s="274" t="n">
        <x:v>8.77</x:v>
      </x:c>
      <x:c r="C5676" s="274" t="n">
        <x:v>0</x:v>
      </x:c>
      <x:c r="D5676" s="274" t="n">
        <x:v>30</x:v>
      </x:c>
      <x:c r="E5676" s="274" t="n">
        <x:v>40</x:v>
      </x:c>
      <x:c r="F5676" s="274" t="s">
        <x:v>333</x:v>
      </x:c>
      <x:c r="G5676" s="274" t="s">
        <x:v>124</x:v>
      </x:c>
      <x:c r="I5676" s="274" t="n">
        <x:v>1.6</x:v>
      </x:c>
      <x:c r="J5676" s="274" t="n">
        <x:v>1000</x:v>
      </x:c>
      <x:c r="K5676" s="274" t="n">
        <x:v>698</x:v>
      </x:c>
    </x:row>
    <x:row r="5677" spans="1:14">
      <x:c r="A5677" s="274" t="s">
        <x:v>9748</x:v>
      </x:c>
      <x:c r="B5677" s="274" t="n">
        <x:v>10.85</x:v>
      </x:c>
      <x:c r="C5677" s="274" t="n">
        <x:v>0</x:v>
      </x:c>
      <x:c r="D5677" s="274" t="n">
        <x:v>30</x:v>
      </x:c>
      <x:c r="E5677" s="274" t="n">
        <x:v>40</x:v>
      </x:c>
      <x:c r="F5677" s="274" t="s">
        <x:v>133</x:v>
      </x:c>
      <x:c r="G5677" s="274" t="s">
        <x:v>148</x:v>
      </x:c>
      <x:c r="I5677" s="274" t="n">
        <x:v>2.9</x:v>
      </x:c>
      <x:c r="J5677" s="274" t="n">
        <x:v>950</x:v>
      </x:c>
      <x:c r="K5677" s="274" t="n">
        <x:v>502</x:v>
      </x:c>
      <x:c r="N5677" s="274" t="s">
        <x:v>870</x:v>
      </x:c>
    </x:row>
    <x:row r="5678" spans="1:14">
      <x:c r="A5678" s="274" t="s">
        <x:v>9749</x:v>
      </x:c>
      <x:c r="B5678" s="274" t="n">
        <x:v>4.03</x:v>
      </x:c>
      <x:c r="C5678" s="274" t="n">
        <x:v>0</x:v>
      </x:c>
      <x:c r="D5678" s="274" t="n">
        <x:v>32</x:v>
      </x:c>
      <x:c r="E5678" s="274" t="n">
        <x:v>40</x:v>
      </x:c>
      <x:c r="F5678" s="274" t="s">
        <x:v>333</x:v>
      </x:c>
      <x:c r="G5678" s="274" t="s">
        <x:v>209</x:v>
      </x:c>
      <x:c r="I5678" s="274" t="n">
        <x:v>1.2</x:v>
      </x:c>
      <x:c r="J5678" s="274" t="n">
        <x:v>1250</x:v>
      </x:c>
      <x:c r="K5678" s="274" t="n">
        <x:v>342</x:v>
      </x:c>
      <x:c r="N5678" s="274" t="s">
        <x:v>2802</x:v>
      </x:c>
    </x:row>
    <x:row r="5679" spans="1:14">
      <x:c r="A5679" s="274" t="s">
        <x:v>9750</x:v>
      </x:c>
      <x:c r="B5679" s="274" t="n">
        <x:v>4.26</x:v>
      </x:c>
      <x:c r="C5679" s="274" t="n">
        <x:v>0</x:v>
      </x:c>
      <x:c r="D5679" s="274" t="n">
        <x:v>30</x:v>
      </x:c>
      <x:c r="E5679" s="274" t="n">
        <x:v>40</x:v>
      </x:c>
      <x:c r="F5679" s="274" t="s">
        <x:v>333</x:v>
      </x:c>
      <x:c r="G5679" s="274" t="s">
        <x:v>153</x:v>
      </x:c>
      <x:c r="I5679" s="274" t="n">
        <x:v>1.6</x:v>
      </x:c>
      <x:c r="J5679" s="274" t="n">
        <x:v>1100</x:v>
      </x:c>
      <x:c r="K5679" s="274" t="n">
        <x:v>308</x:v>
      </x:c>
    </x:row>
    <x:row r="5680" spans="1:14">
      <x:c r="A5680" s="274" t="s">
        <x:v>9751</x:v>
      </x:c>
      <x:c r="B5680" s="274" t="n">
        <x:v>32.73</x:v>
      </x:c>
      <x:c r="C5680" s="274" t="n">
        <x:v>0</x:v>
      </x:c>
      <x:c r="D5680" s="274" t="n">
        <x:v>30</x:v>
      </x:c>
      <x:c r="E5680" s="274" t="n">
        <x:v>26</x:v>
      </x:c>
      <x:c r="F5680" s="274" t="s">
        <x:v>133</x:v>
      </x:c>
      <x:c r="G5680" s="274" t="s">
        <x:v>148</x:v>
      </x:c>
      <x:c r="I5680" s="274" t="n">
        <x:v>3.2</x:v>
      </x:c>
      <x:c r="J5680" s="274" t="n">
        <x:v>1095</x:v>
      </x:c>
      <x:c r="K5680" s="274" t="n">
        <x:v>1190</x:v>
      </x:c>
      <x:c r="M5680" s="274" t="s">
        <x:v>9752</x:v>
      </x:c>
      <x:c r="N5680" s="274" t="s">
        <x:v>299</x:v>
      </x:c>
    </x:row>
    <x:row r="5681" spans="1:14">
      <x:c r="A5681" s="274" t="s">
        <x:v>9753</x:v>
      </x:c>
      <x:c r="B5681" s="274" t="n">
        <x:v>9.75</x:v>
      </x:c>
      <x:c r="C5681" s="274" t="n">
        <x:v>0</x:v>
      </x:c>
      <x:c r="D5681" s="274" t="n">
        <x:v>30</x:v>
      </x:c>
      <x:c r="E5681" s="274" t="n">
        <x:v>40</x:v>
      </x:c>
      <x:c r="F5681" s="274" t="s">
        <x:v>133</x:v>
      </x:c>
      <x:c r="G5681" s="274" t="s">
        <x:v>134</x:v>
      </x:c>
      <x:c r="I5681" s="274" t="n">
        <x:v>2.9</x:v>
      </x:c>
      <x:c r="J5681" s="274" t="n">
        <x:v>1060</x:v>
      </x:c>
      <x:c r="K5681" s="274" t="n">
        <x:v>404</x:v>
      </x:c>
      <x:c r="M5681" s="274" t="s">
        <x:v>2850</x:v>
      </x:c>
    </x:row>
    <x:row r="5682" spans="1:14">
      <x:c r="A5682" s="274" t="s">
        <x:v>9754</x:v>
      </x:c>
      <x:c r="B5682" s="274" t="n">
        <x:v>3.66</x:v>
      </x:c>
      <x:c r="C5682" s="274" t="n">
        <x:v>0</x:v>
      </x:c>
      <x:c r="D5682" s="274" t="n">
        <x:v>32</x:v>
      </x:c>
      <x:c r="E5682" s="274" t="n">
        <x:v>40</x:v>
      </x:c>
      <x:c r="F5682" s="274" t="s">
        <x:v>123</x:v>
      </x:c>
      <x:c r="G5682" s="274" t="s">
        <x:v>153</x:v>
      </x:c>
      <x:c r="I5682" s="274" t="n">
        <x:v>0.75</x:v>
      </x:c>
      <x:c r="J5682" s="274" t="n">
        <x:v>1035</x:v>
      </x:c>
      <x:c r="K5682" s="274" t="n">
        <x:v>600</x:v>
      </x:c>
      <x:c r="N5682" s="274" t="s">
        <x:v>155</x:v>
      </x:c>
    </x:row>
    <x:row r="5683" spans="1:14">
      <x:c r="A5683" s="274" t="s">
        <x:v>9755</x:v>
      </x:c>
      <x:c r="B5683" s="274" t="n">
        <x:v>9.66</x:v>
      </x:c>
      <x:c r="C5683" s="274" t="n">
        <x:v>0</x:v>
      </x:c>
      <x:c r="D5683" s="274" t="n">
        <x:v>32</x:v>
      </x:c>
      <x:c r="E5683" s="274" t="n">
        <x:v>32</x:v>
      </x:c>
      <x:c r="F5683" s="274" t="s">
        <x:v>333</x:v>
      </x:c>
      <x:c r="G5683" s="274" t="s">
        <x:v>153</x:v>
      </x:c>
      <x:c r="I5683" s="274" t="n">
        <x:v>1</x:v>
      </x:c>
      <x:c r="J5683" s="274" t="n">
        <x:v>985</x:v>
      </x:c>
      <x:c r="K5683" s="274" t="n">
        <x:v>1250</x:v>
      </x:c>
    </x:row>
    <x:row r="5684" spans="1:14">
      <x:c r="A5684" s="274" t="s">
        <x:v>9756</x:v>
      </x:c>
      <x:c r="B5684" s="274" t="n">
        <x:v>7.24</x:v>
      </x:c>
      <x:c r="C5684" s="274" t="n">
        <x:v>0</x:v>
      </x:c>
      <x:c r="D5684" s="274" t="n">
        <x:v>32</x:v>
      </x:c>
      <x:c r="E5684" s="274" t="n">
        <x:v>40</x:v>
      </x:c>
      <x:c r="F5684" s="274" t="s">
        <x:v>123</x:v>
      </x:c>
      <x:c r="G5684" s="274" t="s">
        <x:v>153</x:v>
      </x:c>
      <x:c r="I5684" s="274" t="n">
        <x:v>1.2</x:v>
      </x:c>
      <x:c r="J5684" s="274" t="n">
        <x:v>1005</x:v>
      </x:c>
      <x:c r="K5684" s="274" t="n">
        <x:v>765</x:v>
      </x:c>
    </x:row>
    <x:row r="5685" spans="1:14">
      <x:c r="A5685" s="274" t="s">
        <x:v>9757</x:v>
      </x:c>
      <x:c r="B5685" s="274" t="n">
        <x:v>6.39</x:v>
      </x:c>
      <x:c r="C5685" s="274" t="n">
        <x:v>0</x:v>
      </x:c>
      <x:c r="D5685" s="274" t="n">
        <x:v>32</x:v>
      </x:c>
      <x:c r="E5685" s="274" t="n">
        <x:v>40</x:v>
      </x:c>
      <x:c r="F5685" s="274" t="s">
        <x:v>123</x:v>
      </x:c>
      <x:c r="G5685" s="274" t="s">
        <x:v>153</x:v>
      </x:c>
      <x:c r="I5685" s="274" t="n">
        <x:v>1.2</x:v>
      </x:c>
      <x:c r="J5685" s="274" t="n">
        <x:v>1005</x:v>
      </x:c>
      <x:c r="K5685" s="274" t="n">
        <x:v>675</x:v>
      </x:c>
    </x:row>
    <x:row r="5686" spans="1:14">
      <x:c r="A5686" s="274" t="s">
        <x:v>9758</x:v>
      </x:c>
      <x:c r="B5686" s="274" t="n">
        <x:v>6.37</x:v>
      </x:c>
      <x:c r="C5686" s="274" t="n">
        <x:v>0</x:v>
      </x:c>
      <x:c r="D5686" s="274" t="n">
        <x:v>30</x:v>
      </x:c>
      <x:c r="E5686" s="274" t="n">
        <x:v>40</x:v>
      </x:c>
      <x:c r="F5686" s="274" t="s">
        <x:v>123</x:v>
      </x:c>
      <x:c r="G5686" s="274" t="s">
        <x:v>153</x:v>
      </x:c>
      <x:c r="I5686" s="274" t="n">
        <x:v>1.6</x:v>
      </x:c>
      <x:c r="J5686" s="274" t="n">
        <x:v>1090</x:v>
      </x:c>
      <x:c r="K5686" s="274" t="n">
        <x:v>465</x:v>
      </x:c>
    </x:row>
    <x:row r="5687" spans="1:14">
      <x:c r="A5687" s="274" t="s">
        <x:v>9759</x:v>
      </x:c>
      <x:c r="B5687" s="274" t="n">
        <x:v>5.95</x:v>
      </x:c>
      <x:c r="C5687" s="274" t="n">
        <x:v>0</x:v>
      </x:c>
      <x:c r="D5687" s="274" t="n">
        <x:v>30</x:v>
      </x:c>
      <x:c r="E5687" s="274" t="n">
        <x:v>40</x:v>
      </x:c>
      <x:c r="F5687" s="274" t="s">
        <x:v>133</x:v>
      </x:c>
      <x:c r="G5687" s="274" t="s">
        <x:v>136</x:v>
      </x:c>
      <x:c r="H5687" s="274" t="n">
        <x:v>45</x:v>
      </x:c>
      <x:c r="I5687" s="274" t="n">
        <x:v>1.6</x:v>
      </x:c>
      <x:c r="J5687" s="274" t="n">
        <x:v>1205</x:v>
      </x:c>
      <x:c r="K5687" s="274" t="n">
        <x:v>390</x:v>
      </x:c>
    </x:row>
    <x:row r="5688" spans="1:14">
      <x:c r="A5688" s="274" t="s">
        <x:v>9760</x:v>
      </x:c>
      <x:c r="B5688" s="274" t="n">
        <x:v>4.91</x:v>
      </x:c>
      <x:c r="C5688" s="274" t="n">
        <x:v>0</x:v>
      </x:c>
      <x:c r="D5688" s="274" t="n">
        <x:v>32</x:v>
      </x:c>
      <x:c r="E5688" s="274" t="n">
        <x:v>40</x:v>
      </x:c>
      <x:c r="F5688" s="274" t="s">
        <x:v>123</x:v>
      </x:c>
      <x:c r="G5688" s="274" t="s">
        <x:v>209</x:v>
      </x:c>
      <x:c r="I5688" s="274" t="n">
        <x:v>1.2</x:v>
      </x:c>
      <x:c r="J5688" s="274" t="n">
        <x:v>1200</x:v>
      </x:c>
      <x:c r="K5688" s="274" t="n">
        <x:v>434</x:v>
      </x:c>
      <x:c r="M5688" s="274" t="s">
        <x:v>9761</x:v>
      </x:c>
      <x:c r="N5688" s="274" t="s">
        <x:v>421</x:v>
      </x:c>
    </x:row>
    <x:row r="5689" spans="1:14">
      <x:c r="A5689" s="274" t="s">
        <x:v>9762</x:v>
      </x:c>
      <x:c r="B5689" s="274" t="n">
        <x:v>6.94</x:v>
      </x:c>
      <x:c r="C5689" s="274" t="n">
        <x:v>0</x:v>
      </x:c>
      <x:c r="D5689" s="274" t="n">
        <x:v>30</x:v>
      </x:c>
      <x:c r="E5689" s="274" t="n">
        <x:v>40</x:v>
      </x:c>
      <x:c r="F5689" s="274" t="s">
        <x:v>128</x:v>
      </x:c>
      <x:c r="G5689" s="274" t="s">
        <x:v>496</x:v>
      </x:c>
      <x:c r="H5689" s="274" t="n">
        <x:v>45</x:v>
      </x:c>
      <x:c r="I5689" s="274" t="n">
        <x:v>2.6</x:v>
      </x:c>
      <x:c r="J5689" s="274" t="n">
        <x:v>915</x:v>
      </x:c>
      <x:c r="K5689" s="274" t="n">
        <x:v>370</x:v>
      </x:c>
      <x:c r="M5689" s="274" t="s">
        <x:v>9763</x:v>
      </x:c>
      <x:c r="N5689" s="274" t="s">
        <x:v>162</x:v>
      </x:c>
    </x:row>
    <x:row r="5690" spans="1:14">
      <x:c r="A5690" s="274" t="s">
        <x:v>9764</x:v>
      </x:c>
      <x:c r="B5690" s="274" t="n">
        <x:v>2.98</x:v>
      </x:c>
      <x:c r="C5690" s="274" t="n">
        <x:v>0</x:v>
      </x:c>
      <x:c r="D5690" s="274" t="n">
        <x:v>32</x:v>
      </x:c>
      <x:c r="E5690" s="274" t="n">
        <x:v>40</x:v>
      </x:c>
      <x:c r="F5690" s="274" t="s">
        <x:v>133</x:v>
      </x:c>
      <x:c r="G5690" s="274" t="s">
        <x:v>136</x:v>
      </x:c>
      <x:c r="H5690" s="274" t="n">
        <x:v>45</x:v>
      </x:c>
      <x:c r="I5690" s="274" t="n">
        <x:v>1</x:v>
      </x:c>
      <x:c r="J5690" s="274" t="n">
        <x:v>1195</x:v>
      </x:c>
      <x:c r="K5690" s="274" t="n">
        <x:v>314</x:v>
      </x:c>
      <x:c r="M5690" s="274" t="s">
        <x:v>9765</x:v>
      </x:c>
      <x:c r="N5690" s="274" t="s">
        <x:v>162</x:v>
      </x:c>
    </x:row>
    <x:row r="5691" spans="1:14">
      <x:c r="A5691" s="274" t="s">
        <x:v>9766</x:v>
      </x:c>
      <x:c r="B5691" s="274" t="n">
        <x:v>5.69</x:v>
      </x:c>
      <x:c r="C5691" s="274" t="n">
        <x:v>0</x:v>
      </x:c>
      <x:c r="D5691" s="274" t="n">
        <x:v>32</x:v>
      </x:c>
      <x:c r="E5691" s="274" t="n">
        <x:v>40</x:v>
      </x:c>
      <x:c r="F5691" s="274" t="s">
        <x:v>133</x:v>
      </x:c>
      <x:c r="G5691" s="274" t="s">
        <x:v>136</x:v>
      </x:c>
      <x:c r="H5691" s="274" t="n">
        <x:v>45</x:v>
      </x:c>
      <x:c r="I5691" s="274" t="n">
        <x:v>1</x:v>
      </x:c>
      <x:c r="J5691" s="274" t="n">
        <x:v>1195</x:v>
      </x:c>
      <x:c r="K5691" s="274" t="n">
        <x:v>600</x:v>
      </x:c>
      <x:c r="M5691" s="274" t="s">
        <x:v>9767</x:v>
      </x:c>
      <x:c r="N5691" s="274" t="s">
        <x:v>162</x:v>
      </x:c>
    </x:row>
    <x:row r="5692" spans="1:14">
      <x:c r="A5692" s="274" t="s">
        <x:v>9768</x:v>
      </x:c>
      <x:c r="B5692" s="274" t="n">
        <x:v>3.41</x:v>
      </x:c>
      <x:c r="C5692" s="274" t="n">
        <x:v>0</x:v>
      </x:c>
      <x:c r="D5692" s="274" t="n">
        <x:v>32</x:v>
      </x:c>
      <x:c r="E5692" s="274" t="n">
        <x:v>40</x:v>
      </x:c>
      <x:c r="F5692" s="274" t="s">
        <x:v>123</x:v>
      </x:c>
      <x:c r="G5692" s="274" t="s">
        <x:v>153</x:v>
      </x:c>
      <x:c r="I5692" s="274" t="n">
        <x:v>1</x:v>
      </x:c>
      <x:c r="J5692" s="274" t="n">
        <x:v>1205</x:v>
      </x:c>
      <x:c r="K5692" s="274" t="n">
        <x:v>360</x:v>
      </x:c>
      <x:c r="M5692" s="274" t="s">
        <x:v>9769</x:v>
      </x:c>
      <x:c r="N5692" s="274" t="s">
        <x:v>787</x:v>
      </x:c>
    </x:row>
    <x:row r="5693" spans="1:14">
      <x:c r="A5693" s="274" t="s">
        <x:v>9770</x:v>
      </x:c>
      <x:c r="B5693" s="274" t="n">
        <x:v>4.6</x:v>
      </x:c>
      <x:c r="C5693" s="274" t="n">
        <x:v>0</x:v>
      </x:c>
      <x:c r="D5693" s="274" t="n">
        <x:v>32</x:v>
      </x:c>
      <x:c r="E5693" s="274" t="n">
        <x:v>40</x:v>
      </x:c>
      <x:c r="F5693" s="274" t="s">
        <x:v>123</x:v>
      </x:c>
      <x:c r="G5693" s="274" t="s">
        <x:v>209</x:v>
      </x:c>
      <x:c r="I5693" s="274" t="n">
        <x:v>1</x:v>
      </x:c>
      <x:c r="J5693" s="274" t="n">
        <x:v>1180</x:v>
      </x:c>
      <x:c r="K5693" s="274" t="n">
        <x:v>497</x:v>
      </x:c>
      <x:c r="M5693" s="274" t="s">
        <x:v>9771</x:v>
      </x:c>
      <x:c r="N5693" s="274" t="s">
        <x:v>1233</x:v>
      </x:c>
    </x:row>
    <x:row r="5694" spans="1:14">
      <x:c r="A5694" s="274" t="s">
        <x:v>9772</x:v>
      </x:c>
      <x:c r="B5694" s="274" t="n">
        <x:v>3.48</x:v>
      </x:c>
      <x:c r="C5694" s="274" t="n">
        <x:v>0</x:v>
      </x:c>
      <x:c r="D5694" s="274" t="n">
        <x:v>30</x:v>
      </x:c>
      <x:c r="E5694" s="274" t="n">
        <x:v>40</x:v>
      </x:c>
      <x:c r="F5694" s="274" t="s">
        <x:v>2985</x:v>
      </x:c>
      <x:c r="G5694" s="274" t="s">
        <x:v>153</x:v>
      </x:c>
      <x:c r="I5694" s="274" t="n">
        <x:v>1.4</x:v>
      </x:c>
      <x:c r="J5694" s="274" t="n">
        <x:v>750</x:v>
      </x:c>
      <x:c r="K5694" s="274" t="n">
        <x:v>422</x:v>
      </x:c>
    </x:row>
    <x:row r="5695" spans="1:14">
      <x:c r="A5695" s="274" t="s">
        <x:v>9773</x:v>
      </x:c>
      <x:c r="B5695" s="274" t="n">
        <x:v>16.01</x:v>
      </x:c>
      <x:c r="C5695" s="274" t="n">
        <x:v>0</x:v>
      </x:c>
      <x:c r="D5695" s="274" t="n">
        <x:v>30</x:v>
      </x:c>
      <x:c r="E5695" s="274" t="n">
        <x:v>32</x:v>
      </x:c>
      <x:c r="F5695" s="274" t="s">
        <x:v>133</x:v>
      </x:c>
      <x:c r="G5695" s="274" t="s">
        <x:v>134</x:v>
      </x:c>
      <x:c r="I5695" s="274" t="n">
        <x:v>1.6</x:v>
      </x:c>
      <x:c r="J5695" s="274" t="n">
        <x:v>1020</x:v>
      </x:c>
      <x:c r="K5695" s="274" t="n">
        <x:v>1250</x:v>
      </x:c>
      <x:c r="M5695" s="274" t="s">
        <x:v>9774</x:v>
      </x:c>
      <x:c r="N5695" s="274" t="s">
        <x:v>155</x:v>
      </x:c>
    </x:row>
    <x:row r="5696" spans="1:14">
      <x:c r="A5696" s="274" t="s">
        <x:v>9775</x:v>
      </x:c>
      <x:c r="B5696" s="274" t="n">
        <x:v>243.35</x:v>
      </x:c>
      <x:c r="C5696" s="274" t="n">
        <x:v>0</x:v>
      </x:c>
      <x:c r="D5696" s="274" t="n">
        <x:v>0</x:v>
      </x:c>
      <x:c r="E5696" s="274" t="n">
        <x:v>0</x:v>
      </x:c>
      <x:c r="F5696" s="274" t="s">
        <x:v>133</x:v>
      </x:c>
      <x:c r="G5696" s="274" t="s">
        <x:v>1636</x:v>
      </x:c>
      <x:c r="I5696" s="274" t="n">
        <x:v>10</x:v>
      </x:c>
      <x:c r="J5696" s="274" t="n">
        <x:v>1240</x:v>
      </x:c>
      <x:c r="K5696" s="274" t="n">
        <x:v>2500</x:v>
      </x:c>
    </x:row>
    <x:row r="5697" spans="1:14">
      <x:c r="A5697" s="274" t="s">
        <x:v>9776</x:v>
      </x:c>
      <x:c r="B5697" s="274" t="n">
        <x:v>8.12</x:v>
      </x:c>
      <x:c r="C5697" s="274" t="n">
        <x:v>0</x:v>
      </x:c>
      <x:c r="D5697" s="274" t="n">
        <x:v>30</x:v>
      </x:c>
      <x:c r="E5697" s="274" t="n">
        <x:v>40</x:v>
      </x:c>
      <x:c r="F5697" s="274" t="s">
        <x:v>133</x:v>
      </x:c>
      <x:c r="G5697" s="274" t="s">
        <x:v>134</x:v>
      </x:c>
      <x:c r="I5697" s="274" t="n">
        <x:v>2.6</x:v>
      </x:c>
      <x:c r="J5697" s="274" t="n">
        <x:v>975</x:v>
      </x:c>
      <x:c r="K5697" s="274" t="n">
        <x:v>408</x:v>
      </x:c>
      <x:c r="M5697" s="274" t="s">
        <x:v>9777</x:v>
      </x:c>
      <x:c r="N5697" s="274" t="s">
        <x:v>299</x:v>
      </x:c>
    </x:row>
    <x:row r="5698" spans="1:14">
      <x:c r="A5698" s="274" t="s">
        <x:v>9778</x:v>
      </x:c>
      <x:c r="B5698" s="274" t="n">
        <x:v>4.13</x:v>
      </x:c>
      <x:c r="C5698" s="274" t="n">
        <x:v>0</x:v>
      </x:c>
      <x:c r="D5698" s="274" t="n">
        <x:v>32</x:v>
      </x:c>
      <x:c r="E5698" s="274" t="n">
        <x:v>40</x:v>
      </x:c>
      <x:c r="F5698" s="274" t="s">
        <x:v>133</x:v>
      </x:c>
      <x:c r="G5698" s="274" t="s">
        <x:v>136</x:v>
      </x:c>
      <x:c r="H5698" s="274" t="n">
        <x:v>45</x:v>
      </x:c>
      <x:c r="I5698" s="274" t="n">
        <x:v>1</x:v>
      </x:c>
      <x:c r="J5698" s="274" t="n">
        <x:v>1040</x:v>
      </x:c>
      <x:c r="K5698" s="274" t="n">
        <x:v>500</x:v>
      </x:c>
      <x:c r="N5698" s="274" t="s">
        <x:v>2373</x:v>
      </x:c>
    </x:row>
    <x:row r="5699" spans="1:14">
      <x:c r="A5699" s="274" t="s">
        <x:v>9779</x:v>
      </x:c>
      <x:c r="B5699" s="274" t="n">
        <x:v>6.56</x:v>
      </x:c>
      <x:c r="C5699" s="274" t="n">
        <x:v>0</x:v>
      </x:c>
      <x:c r="D5699" s="274" t="n">
        <x:v>32</x:v>
      </x:c>
      <x:c r="E5699" s="274" t="n">
        <x:v>40</x:v>
      </x:c>
      <x:c r="F5699" s="274" t="s">
        <x:v>133</x:v>
      </x:c>
      <x:c r="G5699" s="274" t="s">
        <x:v>136</x:v>
      </x:c>
      <x:c r="H5699" s="274" t="n">
        <x:v>45</x:v>
      </x:c>
      <x:c r="I5699" s="274" t="n">
        <x:v>1.6</x:v>
      </x:c>
      <x:c r="J5699" s="274" t="n">
        <x:v>1205</x:v>
      </x:c>
      <x:c r="K5699" s="274" t="n">
        <x:v>430</x:v>
      </x:c>
      <x:c r="N5699" s="274" t="s">
        <x:v>2373</x:v>
      </x:c>
    </x:row>
    <x:row r="5700" spans="1:14">
      <x:c r="A5700" s="274" t="s">
        <x:v>9780</x:v>
      </x:c>
      <x:c r="B5700" s="274" t="n">
        <x:v>8.13</x:v>
      </x:c>
      <x:c r="C5700" s="274" t="n">
        <x:v>0</x:v>
      </x:c>
      <x:c r="D5700" s="274" t="n">
        <x:v>30</x:v>
      </x:c>
      <x:c r="E5700" s="274" t="n">
        <x:v>40</x:v>
      </x:c>
      <x:c r="F5700" s="274" t="s">
        <x:v>184</x:v>
      </x:c>
      <x:c r="G5700" s="274" t="s">
        <x:v>129</x:v>
      </x:c>
      <x:c r="H5700" s="274" t="n">
        <x:v>45</x:v>
      </x:c>
      <x:c r="I5700" s="274" t="n">
        <x:v>1</x:v>
      </x:c>
      <x:c r="J5700" s="274" t="n">
        <x:v>1305</x:v>
      </x:c>
      <x:c r="K5700" s="274" t="n">
        <x:v>785</x:v>
      </x:c>
      <x:c r="M5700" s="274" t="s">
        <x:v>9781</x:v>
      </x:c>
      <x:c r="N5700" s="274" t="s">
        <x:v>3227</x:v>
      </x:c>
    </x:row>
    <x:row r="5701" spans="1:14">
      <x:c r="A5701" s="274" t="s">
        <x:v>9782</x:v>
      </x:c>
      <x:c r="B5701" s="274" t="n">
        <x:v>18.11</x:v>
      </x:c>
      <x:c r="C5701" s="274" t="n">
        <x:v>0</x:v>
      </x:c>
      <x:c r="D5701" s="274" t="n">
        <x:v>0</x:v>
      </x:c>
      <x:c r="E5701" s="274" t="n">
        <x:v>25</x:v>
      </x:c>
      <x:c r="F5701" s="274" t="s">
        <x:v>128</x:v>
      </x:c>
      <x:c r="G5701" s="274" t="s">
        <x:v>177</x:v>
      </x:c>
      <x:c r="H5701" s="274" t="n">
        <x:v>45</x:v>
      </x:c>
      <x:c r="I5701" s="274" t="n">
        <x:v>2</x:v>
      </x:c>
      <x:c r="J5701" s="274" t="n">
        <x:v>925</x:v>
      </x:c>
      <x:c r="K5701" s="274" t="n">
        <x:v>1240</x:v>
      </x:c>
      <x:c r="M5701" s="274" t="s">
        <x:v>9783</x:v>
      </x:c>
      <x:c r="N5701" s="274" t="s">
        <x:v>3227</x:v>
      </x:c>
    </x:row>
    <x:row r="5702" spans="1:14">
      <x:c r="A5702" s="274" t="s">
        <x:v>9784</x:v>
      </x:c>
      <x:c r="B5702" s="274" t="n">
        <x:v>13.09</x:v>
      </x:c>
      <x:c r="C5702" s="274" t="n">
        <x:v>0</x:v>
      </x:c>
      <x:c r="D5702" s="274" t="n">
        <x:v>30</x:v>
      </x:c>
      <x:c r="E5702" s="274" t="n">
        <x:v>33</x:v>
      </x:c>
      <x:c r="F5702" s="274" t="s">
        <x:v>123</x:v>
      </x:c>
      <x:c r="G5702" s="274" t="s">
        <x:v>139</x:v>
      </x:c>
      <x:c r="I5702" s="274" t="n">
        <x:v>2.6</x:v>
      </x:c>
      <x:c r="J5702" s="274" t="n">
        <x:v>817</x:v>
      </x:c>
      <x:c r="K5702" s="274" t="n">
        <x:v>785</x:v>
      </x:c>
      <x:c r="M5702" s="274" t="s">
        <x:v>9785</x:v>
      </x:c>
      <x:c r="N5702" s="274" t="s">
        <x:v>3227</x:v>
      </x:c>
    </x:row>
    <x:row r="5703" spans="1:14">
      <x:c r="A5703" s="274" t="s">
        <x:v>9786</x:v>
      </x:c>
      <x:c r="B5703" s="274" t="n">
        <x:v>6.21</x:v>
      </x:c>
      <x:c r="C5703" s="274" t="n">
        <x:v>0</x:v>
      </x:c>
      <x:c r="D5703" s="274" t="n">
        <x:v>40</x:v>
      </x:c>
      <x:c r="E5703" s="274" t="n">
        <x:v>40</x:v>
      </x:c>
      <x:c r="F5703" s="274" t="s">
        <x:v>333</x:v>
      </x:c>
      <x:c r="G5703" s="274" t="s">
        <x:v>209</x:v>
      </x:c>
      <x:c r="I5703" s="274" t="n">
        <x:v>1.4</x:v>
      </x:c>
      <x:c r="J5703" s="274" t="n">
        <x:v>1315</x:v>
      </x:c>
      <x:c r="K5703" s="274" t="n">
        <x:v>430</x:v>
      </x:c>
      <x:c r="M5703" s="274" t="s">
        <x:v>3260</x:v>
      </x:c>
      <x:c r="N5703" s="274" t="s">
        <x:v>299</x:v>
      </x:c>
    </x:row>
    <x:row r="5704" spans="1:14">
      <x:c r="A5704" s="274" t="s">
        <x:v>9787</x:v>
      </x:c>
      <x:c r="B5704" s="274" t="n">
        <x:v>12.32</x:v>
      </x:c>
      <x:c r="C5704" s="274" t="n">
        <x:v>0</x:v>
      </x:c>
      <x:c r="D5704" s="274" t="n">
        <x:v>30</x:v>
      </x:c>
      <x:c r="E5704" s="274" t="n">
        <x:v>40</x:v>
      </x:c>
      <x:c r="F5704" s="274" t="s">
        <x:v>133</x:v>
      </x:c>
      <x:c r="G5704" s="274" t="s">
        <x:v>148</x:v>
      </x:c>
      <x:c r="I5704" s="274" t="n">
        <x:v>3.2</x:v>
      </x:c>
      <x:c r="J5704" s="274" t="n">
        <x:v>1095</x:v>
      </x:c>
      <x:c r="K5704" s="274" t="n">
        <x:v>448</x:v>
      </x:c>
      <x:c r="M5704" s="274" t="s">
        <x:v>3262</x:v>
      </x:c>
      <x:c r="N5704" s="274" t="s">
        <x:v>299</x:v>
      </x:c>
    </x:row>
    <x:row r="5705" spans="1:14">
      <x:c r="A5705" s="274" t="s">
        <x:v>9788</x:v>
      </x:c>
      <x:c r="B5705" s="274" t="n">
        <x:v>14.09</x:v>
      </x:c>
      <x:c r="C5705" s="274" t="n">
        <x:v>0</x:v>
      </x:c>
      <x:c r="D5705" s="274" t="n">
        <x:v>0</x:v>
      </x:c>
      <x:c r="E5705" s="274" t="n">
        <x:v>35</x:v>
      </x:c>
      <x:c r="F5705" s="274" t="s">
        <x:v>133</x:v>
      </x:c>
      <x:c r="G5705" s="274" t="s">
        <x:v>148</x:v>
      </x:c>
      <x:c r="I5705" s="274" t="n">
        <x:v>2</x:v>
      </x:c>
      <x:c r="J5705" s="274" t="n">
        <x:v>816</x:v>
      </x:c>
      <x:c r="K5705" s="274" t="n">
        <x:v>1100</x:v>
      </x:c>
      <x:c r="M5705" s="274" t="s">
        <x:v>9789</x:v>
      </x:c>
      <x:c r="N5705" s="274" t="s">
        <x:v>299</x:v>
      </x:c>
    </x:row>
    <x:row r="5706" spans="1:14">
      <x:c r="A5706" s="274" t="s">
        <x:v>9790</x:v>
      </x:c>
      <x:c r="B5706" s="274" t="n">
        <x:v>16.39</x:v>
      </x:c>
      <x:c r="C5706" s="274" t="n">
        <x:v>0</x:v>
      </x:c>
      <x:c r="D5706" s="274" t="n">
        <x:v>30</x:v>
      </x:c>
      <x:c r="E5706" s="274" t="n">
        <x:v>32</x:v>
      </x:c>
      <x:c r="F5706" s="274" t="s">
        <x:v>133</x:v>
      </x:c>
      <x:c r="G5706" s="274" t="s">
        <x:v>136</x:v>
      </x:c>
      <x:c r="H5706" s="274" t="n">
        <x:v>45</x:v>
      </x:c>
      <x:c r="I5706" s="274" t="n">
        <x:v>1.4</x:v>
      </x:c>
      <x:c r="J5706" s="274" t="n">
        <x:v>1185</x:v>
      </x:c>
      <x:c r="K5706" s="274" t="n">
        <x:v>1248</x:v>
      </x:c>
      <x:c r="M5706" s="274" t="s">
        <x:v>9791</x:v>
      </x:c>
      <x:c r="N5706" s="274" t="s">
        <x:v>131</x:v>
      </x:c>
    </x:row>
    <x:row r="5707" spans="1:14">
      <x:c r="A5707" s="274" t="s">
        <x:v>9792</x:v>
      </x:c>
      <x:c r="B5707" s="274" t="n">
        <x:v>7.3</x:v>
      </x:c>
      <x:c r="C5707" s="274" t="n">
        <x:v>0</x:v>
      </x:c>
      <x:c r="D5707" s="274" t="n">
        <x:v>40</x:v>
      </x:c>
      <x:c r="E5707" s="274" t="n">
        <x:v>40</x:v>
      </x:c>
      <x:c r="F5707" s="274" t="s">
        <x:v>333</x:v>
      </x:c>
      <x:c r="G5707" s="274" t="s">
        <x:v>209</x:v>
      </x:c>
      <x:c r="I5707" s="274" t="n">
        <x:v>1.2</x:v>
      </x:c>
      <x:c r="J5707" s="274" t="n">
        <x:v>1250</x:v>
      </x:c>
      <x:c r="K5707" s="274" t="n">
        <x:v>620</x:v>
      </x:c>
      <x:c r="M5707" s="274" t="s">
        <x:v>9793</x:v>
      </x:c>
      <x:c r="N5707" s="274" t="s">
        <x:v>131</x:v>
      </x:c>
    </x:row>
    <x:row r="5708" spans="1:14">
      <x:c r="A5708" s="274" t="s">
        <x:v>9794</x:v>
      </x:c>
      <x:c r="B5708" s="274" t="n">
        <x:v>17.89</x:v>
      </x:c>
      <x:c r="C5708" s="274" t="n">
        <x:v>0</x:v>
      </x:c>
      <x:c r="D5708" s="274" t="n">
        <x:v>0</x:v>
      </x:c>
      <x:c r="E5708" s="274" t="n">
        <x:v>32</x:v>
      </x:c>
      <x:c r="F5708" s="274" t="s">
        <x:v>128</x:v>
      </x:c>
      <x:c r="G5708" s="274" t="s">
        <x:v>177</x:v>
      </x:c>
      <x:c r="H5708" s="274" t="n">
        <x:v>45</x:v>
      </x:c>
      <x:c r="I5708" s="274" t="n">
        <x:v>2</x:v>
      </x:c>
      <x:c r="J5708" s="274" t="n">
        <x:v>925</x:v>
      </x:c>
      <x:c r="K5708" s="274" t="n">
        <x:v>1225</x:v>
      </x:c>
      <x:c r="M5708" s="274" t="s">
        <x:v>9795</x:v>
      </x:c>
      <x:c r="N5708" s="274" t="s">
        <x:v>299</x:v>
      </x:c>
    </x:row>
    <x:row r="5709" spans="1:14">
      <x:c r="A5709" s="274" t="s">
        <x:v>9796</x:v>
      </x:c>
      <x:c r="B5709" s="274" t="n">
        <x:v>23.27</x:v>
      </x:c>
      <x:c r="C5709" s="274" t="n">
        <x:v>0</x:v>
      </x:c>
      <x:c r="D5709" s="274" t="n">
        <x:v>30</x:v>
      </x:c>
      <x:c r="E5709" s="274" t="n">
        <x:v>32</x:v>
      </x:c>
      <x:c r="F5709" s="274" t="s">
        <x:v>128</x:v>
      </x:c>
      <x:c r="G5709" s="274" t="s">
        <x:v>496</x:v>
      </x:c>
      <x:c r="H5709" s="274" t="n">
        <x:v>45</x:v>
      </x:c>
      <x:c r="I5709" s="274" t="n">
        <x:v>2.6</x:v>
      </x:c>
      <x:c r="J5709" s="274" t="n">
        <x:v>915</x:v>
      </x:c>
      <x:c r="K5709" s="274" t="n">
        <x:v>1240</x:v>
      </x:c>
      <x:c r="M5709" s="274" t="s">
        <x:v>9797</x:v>
      </x:c>
      <x:c r="N5709" s="274" t="s">
        <x:v>131</x:v>
      </x:c>
    </x:row>
    <x:row r="5710" spans="1:14">
      <x:c r="A5710" s="274" t="s">
        <x:v>9798</x:v>
      </x:c>
      <x:c r="B5710" s="274" t="n">
        <x:v>14.74</x:v>
      </x:c>
      <x:c r="C5710" s="274" t="n">
        <x:v>0</x:v>
      </x:c>
      <x:c r="D5710" s="274" t="n">
        <x:v>30</x:v>
      </x:c>
      <x:c r="E5710" s="274" t="n">
        <x:v>40</x:v>
      </x:c>
      <x:c r="F5710" s="274" t="s">
        <x:v>184</x:v>
      </x:c>
      <x:c r="G5710" s="274" t="s">
        <x:v>129</x:v>
      </x:c>
      <x:c r="H5710" s="274" t="n">
        <x:v>45</x:v>
      </x:c>
      <x:c r="I5710" s="274" t="n">
        <x:v>1.2</x:v>
      </x:c>
      <x:c r="J5710" s="274" t="n">
        <x:v>1255</x:v>
      </x:c>
      <x:c r="K5710" s="274" t="n">
        <x:v>1235</x:v>
      </x:c>
      <x:c r="M5710" s="274" t="s">
        <x:v>9795</x:v>
      </x:c>
      <x:c r="N5710" s="274" t="s">
        <x:v>299</x:v>
      </x:c>
    </x:row>
    <x:row r="5711" spans="1:14">
      <x:c r="A5711" s="274" t="s">
        <x:v>9799</x:v>
      </x:c>
      <x:c r="B5711" s="274" t="n">
        <x:v>14.32</x:v>
      </x:c>
      <x:c r="C5711" s="274" t="n">
        <x:v>0</x:v>
      </x:c>
      <x:c r="D5711" s="274" t="n">
        <x:v>30</x:v>
      </x:c>
      <x:c r="E5711" s="274" t="n">
        <x:v>35</x:v>
      </x:c>
      <x:c r="F5711" s="274" t="s">
        <x:v>184</x:v>
      </x:c>
      <x:c r="G5711" s="274" t="s">
        <x:v>129</x:v>
      </x:c>
      <x:c r="H5711" s="274" t="n">
        <x:v>45</x:v>
      </x:c>
      <x:c r="I5711" s="274" t="n">
        <x:v>1.2</x:v>
      </x:c>
      <x:c r="J5711" s="274" t="n">
        <x:v>1255</x:v>
      </x:c>
      <x:c r="K5711" s="274" t="n">
        <x:v>1200</x:v>
      </x:c>
      <x:c r="M5711" s="274" t="s">
        <x:v>9800</x:v>
      </x:c>
      <x:c r="N5711" s="274" t="s">
        <x:v>131</x:v>
      </x:c>
    </x:row>
    <x:row r="5712" spans="1:14">
      <x:c r="A5712" s="274" t="s">
        <x:v>9801</x:v>
      </x:c>
      <x:c r="B5712" s="274" t="n">
        <x:v>14.98</x:v>
      </x:c>
      <x:c r="C5712" s="274" t="n">
        <x:v>0</x:v>
      </x:c>
      <x:c r="D5712" s="274" t="n">
        <x:v>30</x:v>
      </x:c>
      <x:c r="E5712" s="274" t="n">
        <x:v>35</x:v>
      </x:c>
      <x:c r="F5712" s="274" t="s">
        <x:v>133</x:v>
      </x:c>
      <x:c r="G5712" s="274" t="s">
        <x:v>134</x:v>
      </x:c>
      <x:c r="I5712" s="274" t="n">
        <x:v>1.6</x:v>
      </x:c>
      <x:c r="J5712" s="274" t="n">
        <x:v>1020</x:v>
      </x:c>
      <x:c r="K5712" s="274" t="n">
        <x:v>1170</x:v>
      </x:c>
      <x:c r="M5712" s="274" t="s">
        <x:v>9795</x:v>
      </x:c>
      <x:c r="N5712" s="274" t="s">
        <x:v>299</x:v>
      </x:c>
    </x:row>
    <x:row r="5713" spans="1:14">
      <x:c r="A5713" s="274" t="s">
        <x:v>9802</x:v>
      </x:c>
      <x:c r="B5713" s="274" t="n">
        <x:v>29.06</x:v>
      </x:c>
      <x:c r="C5713" s="274" t="n">
        <x:v>0</x:v>
      </x:c>
      <x:c r="D5713" s="274" t="n">
        <x:v>30</x:v>
      </x:c>
      <x:c r="E5713" s="274" t="n">
        <x:v>32</x:v>
      </x:c>
      <x:c r="F5713" s="274" t="s">
        <x:v>133</x:v>
      </x:c>
      <x:c r="G5713" s="274" t="s">
        <x:v>134</x:v>
      </x:c>
      <x:c r="I5713" s="274" t="n">
        <x:v>2.9</x:v>
      </x:c>
      <x:c r="J5713" s="274" t="n">
        <x:v>1060</x:v>
      </x:c>
      <x:c r="K5713" s="274" t="n">
        <x:v>1205</x:v>
      </x:c>
      <x:c r="M5713" s="274" t="s">
        <x:v>9803</x:v>
      </x:c>
      <x:c r="N5713" s="274" t="s">
        <x:v>299</x:v>
      </x:c>
    </x:row>
    <x:row r="5714" spans="1:14">
      <x:c r="A5714" s="274" t="s">
        <x:v>9804</x:v>
      </x:c>
      <x:c r="B5714" s="274" t="n">
        <x:v>29.54</x:v>
      </x:c>
      <x:c r="C5714" s="274" t="n">
        <x:v>0</x:v>
      </x:c>
      <x:c r="D5714" s="274" t="n">
        <x:v>30</x:v>
      </x:c>
      <x:c r="E5714" s="274" t="n">
        <x:v>32</x:v>
      </x:c>
      <x:c r="F5714" s="274" t="s">
        <x:v>133</x:v>
      </x:c>
      <x:c r="G5714" s="274" t="s">
        <x:v>134</x:v>
      </x:c>
      <x:c r="I5714" s="274" t="n">
        <x:v>2.9</x:v>
      </x:c>
      <x:c r="J5714" s="274" t="n">
        <x:v>1060</x:v>
      </x:c>
      <x:c r="K5714" s="274" t="n">
        <x:v>1225</x:v>
      </x:c>
      <x:c r="M5714" s="274" t="s">
        <x:v>9805</x:v>
      </x:c>
      <x:c r="N5714" s="274" t="s">
        <x:v>131</x:v>
      </x:c>
    </x:row>
    <x:row r="5715" spans="1:14">
      <x:c r="A5715" s="274" t="s">
        <x:v>9806</x:v>
      </x:c>
      <x:c r="B5715" s="274" t="n">
        <x:v>6.21</x:v>
      </x:c>
      <x:c r="C5715" s="274" t="n">
        <x:v>0</x:v>
      </x:c>
      <x:c r="D5715" s="274" t="n">
        <x:v>40</x:v>
      </x:c>
      <x:c r="E5715" s="274" t="n">
        <x:v>40</x:v>
      </x:c>
      <x:c r="F5715" s="274" t="s">
        <x:v>123</x:v>
      </x:c>
      <x:c r="G5715" s="274" t="s">
        <x:v>209</x:v>
      </x:c>
      <x:c r="I5715" s="274" t="n">
        <x:v>1.8</x:v>
      </x:c>
      <x:c r="J5715" s="274" t="n">
        <x:v>1105</x:v>
      </x:c>
      <x:c r="K5715" s="274" t="n">
        <x:v>398</x:v>
      </x:c>
      <x:c r="M5715" s="274" t="s">
        <x:v>9807</x:v>
      </x:c>
      <x:c r="N5715" s="274" t="s">
        <x:v>2929</x:v>
      </x:c>
    </x:row>
    <x:row r="5716" spans="1:14">
      <x:c r="A5716" s="274" t="s">
        <x:v>9808</x:v>
      </x:c>
      <x:c r="B5716" s="274" t="n">
        <x:v>6.65</x:v>
      </x:c>
      <x:c r="C5716" s="274" t="n">
        <x:v>0</x:v>
      </x:c>
      <x:c r="D5716" s="274" t="n">
        <x:v>0</x:v>
      </x:c>
      <x:c r="E5716" s="274" t="n">
        <x:v>40</x:v>
      </x:c>
      <x:c r="F5716" s="274" t="s">
        <x:v>128</x:v>
      </x:c>
      <x:c r="G5716" s="274" t="s">
        <x:v>3314</x:v>
      </x:c>
      <x:c r="H5716" s="274" t="n">
        <x:v>45</x:v>
      </x:c>
      <x:c r="I5716" s="274" t="n">
        <x:v>2</x:v>
      </x:c>
      <x:c r="J5716" s="274" t="n">
        <x:v>1190</x:v>
      </x:c>
      <x:c r="K5716" s="274" t="n">
        <x:v>354</x:v>
      </x:c>
      <x:c r="M5716" s="274" t="s">
        <x:v>9809</x:v>
      </x:c>
      <x:c r="N5716" s="274" t="s">
        <x:v>1274</x:v>
      </x:c>
    </x:row>
    <x:row r="5717" spans="1:14">
      <x:c r="A5717" s="274" t="s">
        <x:v>9810</x:v>
      </x:c>
      <x:c r="B5717" s="274" t="n">
        <x:v>12.81</x:v>
      </x:c>
      <x:c r="C5717" s="274" t="n">
        <x:v>0</x:v>
      </x:c>
      <x:c r="D5717" s="274" t="n">
        <x:v>0</x:v>
      </x:c>
      <x:c r="E5717" s="274" t="n">
        <x:v>30</x:v>
      </x:c>
      <x:c r="F5717" s="274" t="s">
        <x:v>333</x:v>
      </x:c>
      <x:c r="G5717" s="274" t="s">
        <x:v>209</x:v>
      </x:c>
      <x:c r="I5717" s="274" t="n">
        <x:v>1</x:v>
      </x:c>
      <x:c r="J5717" s="274" t="n">
        <x:v>1200</x:v>
      </x:c>
      <x:c r="K5717" s="274" t="n">
        <x:v>1360</x:v>
      </x:c>
    </x:row>
    <x:row r="5718" spans="1:14">
      <x:c r="A5718" s="274" t="s">
        <x:v>9811</x:v>
      </x:c>
      <x:c r="B5718" s="274" t="n">
        <x:v>5.43</x:v>
      </x:c>
      <x:c r="C5718" s="274" t="n">
        <x:v>0</x:v>
      </x:c>
      <x:c r="D5718" s="274" t="n">
        <x:v>0</x:v>
      </x:c>
      <x:c r="E5718" s="274" t="n">
        <x:v>40</x:v>
      </x:c>
      <x:c r="F5718" s="274" t="s">
        <x:v>133</x:v>
      </x:c>
      <x:c r="G5718" s="274" t="s">
        <x:v>144</x:v>
      </x:c>
      <x:c r="H5718" s="274" t="n">
        <x:v>45</x:v>
      </x:c>
      <x:c r="I5718" s="274" t="n">
        <x:v>1.2</x:v>
      </x:c>
      <x:c r="J5718" s="274" t="n">
        <x:v>1210</x:v>
      </x:c>
      <x:c r="K5718" s="274" t="n">
        <x:v>472</x:v>
      </x:c>
    </x:row>
    <x:row r="5719" spans="1:14">
      <x:c r="A5719" s="274" t="s">
        <x:v>9812</x:v>
      </x:c>
      <x:c r="B5719" s="274" t="n">
        <x:v>10.42</x:v>
      </x:c>
      <x:c r="C5719" s="274" t="n">
        <x:v>0</x:v>
      </x:c>
      <x:c r="D5719" s="274" t="n">
        <x:v>30</x:v>
      </x:c>
      <x:c r="E5719" s="274" t="n">
        <x:v>40</x:v>
      </x:c>
      <x:c r="F5719" s="274" t="s">
        <x:v>133</x:v>
      </x:c>
      <x:c r="G5719" s="274" t="s">
        <x:v>148</x:v>
      </x:c>
      <x:c r="I5719" s="274" t="n">
        <x:v>2.3</x:v>
      </x:c>
      <x:c r="J5719" s="274" t="n">
        <x:v>1120</x:v>
      </x:c>
      <x:c r="K5719" s="274" t="n">
        <x:v>515</x:v>
      </x:c>
      <x:c r="M5719" s="274" t="s">
        <x:v>9813</x:v>
      </x:c>
      <x:c r="N5719" s="274" t="s">
        <x:v>2531</x:v>
      </x:c>
    </x:row>
    <x:row r="5720" spans="1:14">
      <x:c r="A5720" s="274" t="s">
        <x:v>9814</x:v>
      </x:c>
      <x:c r="B5720" s="274" t="n">
        <x:v>2.93</x:v>
      </x:c>
      <x:c r="C5720" s="274" t="n">
        <x:v>0</x:v>
      </x:c>
      <x:c r="D5720" s="274" t="n">
        <x:v>0</x:v>
      </x:c>
      <x:c r="E5720" s="274" t="n">
        <x:v>40</x:v>
      </x:c>
      <x:c r="F5720" s="274" t="s">
        <x:v>333</x:v>
      </x:c>
      <x:c r="G5720" s="274" t="s">
        <x:v>2157</x:v>
      </x:c>
      <x:c r="I5720" s="274" t="n">
        <x:v>0.6</x:v>
      </x:c>
      <x:c r="J5720" s="274" t="n">
        <x:v>1058</x:v>
      </x:c>
      <x:c r="K5720" s="274" t="n">
        <x:v>574</x:v>
      </x:c>
      <x:c r="N5720" s="274" t="s">
        <x:v>3325</x:v>
      </x:c>
    </x:row>
    <x:row r="5721" spans="1:14">
      <x:c r="A5721" s="274" t="s">
        <x:v>9815</x:v>
      </x:c>
      <x:c r="B5721" s="274" t="n">
        <x:v>11.15</x:v>
      </x:c>
      <x:c r="C5721" s="274" t="n">
        <x:v>0</x:v>
      </x:c>
      <x:c r="D5721" s="274" t="n">
        <x:v>0</x:v>
      </x:c>
      <x:c r="E5721" s="274" t="n">
        <x:v>40</x:v>
      </x:c>
      <x:c r="F5721" s="274" t="s">
        <x:v>123</x:v>
      </x:c>
      <x:c r="G5721" s="274" t="s">
        <x:v>148</x:v>
      </x:c>
      <x:c r="I5721" s="274" t="n">
        <x:v>1.6</x:v>
      </x:c>
      <x:c r="J5721" s="274" t="n">
        <x:v>1110</x:v>
      </x:c>
      <x:c r="K5721" s="274" t="n">
        <x:v>800</x:v>
      </x:c>
      <x:c r="N5721" s="274" t="s">
        <x:v>155</x:v>
      </x:c>
    </x:row>
    <x:row r="5722" spans="1:14">
      <x:c r="A5722" s="274" t="s">
        <x:v>9816</x:v>
      </x:c>
      <x:c r="B5722" s="274" t="n">
        <x:v>87.42</x:v>
      </x:c>
      <x:c r="C5722" s="274" t="n">
        <x:v>0</x:v>
      </x:c>
      <x:c r="D5722" s="274" t="n">
        <x:v>0</x:v>
      </x:c>
      <x:c r="E5722" s="274" t="n">
        <x:v>0</x:v>
      </x:c>
      <x:c r="F5722" s="274" t="s">
        <x:v>133</x:v>
      </x:c>
      <x:c r="G5722" s="274" t="s">
        <x:v>1170</x:v>
      </x:c>
      <x:c r="I5722" s="274" t="n">
        <x:v>8</x:v>
      </x:c>
      <x:c r="J5722" s="274" t="n">
        <x:v>1210</x:v>
      </x:c>
      <x:c r="K5722" s="274" t="n">
        <x:v>1150</x:v>
      </x:c>
    </x:row>
    <x:row r="5723" spans="1:14">
      <x:c r="A5723" s="274" t="s">
        <x:v>9817</x:v>
      </x:c>
      <x:c r="B5723" s="274" t="n">
        <x:v>4.36</x:v>
      </x:c>
      <x:c r="C5723" s="274" t="n">
        <x:v>0</x:v>
      </x:c>
      <x:c r="D5723" s="274" t="n">
        <x:v>0</x:v>
      </x:c>
      <x:c r="E5723" s="274" t="n">
        <x:v>40</x:v>
      </x:c>
      <x:c r="F5723" s="274" t="s">
        <x:v>333</x:v>
      </x:c>
      <x:c r="G5723" s="274" t="s">
        <x:v>209</x:v>
      </x:c>
      <x:c r="I5723" s="274" t="n">
        <x:v>1.2</x:v>
      </x:c>
      <x:c r="J5723" s="274" t="n">
        <x:v>1250</x:v>
      </x:c>
      <x:c r="K5723" s="274" t="n">
        <x:v>370</x:v>
      </x:c>
      <x:c r="M5723" s="274" t="s">
        <x:v>9818</x:v>
      </x:c>
      <x:c r="N5723" s="274" t="s">
        <x:v>299</x:v>
      </x:c>
    </x:row>
    <x:row r="5724" spans="1:14">
      <x:c r="A5724" s="274" t="s">
        <x:v>9819</x:v>
      </x:c>
      <x:c r="B5724" s="274" t="n">
        <x:v>3.67</x:v>
      </x:c>
      <x:c r="C5724" s="274" t="n">
        <x:v>0</x:v>
      </x:c>
      <x:c r="D5724" s="274" t="n">
        <x:v>0</x:v>
      </x:c>
      <x:c r="E5724" s="274" t="n">
        <x:v>40</x:v>
      </x:c>
      <x:c r="F5724" s="274" t="s">
        <x:v>333</x:v>
      </x:c>
      <x:c r="G5724" s="274" t="s">
        <x:v>209</x:v>
      </x:c>
      <x:c r="I5724" s="274" t="n">
        <x:v>1.2</x:v>
      </x:c>
      <x:c r="J5724" s="274" t="n">
        <x:v>1170</x:v>
      </x:c>
      <x:c r="K5724" s="274" t="n">
        <x:v>333</x:v>
      </x:c>
      <x:c r="M5724" s="274" t="s">
        <x:v>9820</x:v>
      </x:c>
      <x:c r="N5724" s="274" t="s">
        <x:v>299</x:v>
      </x:c>
    </x:row>
    <x:row r="5725" spans="1:14">
      <x:c r="A5725" s="274" t="s">
        <x:v>9821</x:v>
      </x:c>
      <x:c r="B5725" s="274" t="n">
        <x:v>10.92</x:v>
      </x:c>
      <x:c r="C5725" s="274" t="n">
        <x:v>0</x:v>
      </x:c>
      <x:c r="D5725" s="274" t="n">
        <x:v>30</x:v>
      </x:c>
      <x:c r="E5725" s="274" t="n">
        <x:v>40</x:v>
      </x:c>
      <x:c r="F5725" s="274" t="s">
        <x:v>133</x:v>
      </x:c>
      <x:c r="G5725" s="274" t="s">
        <x:v>134</x:v>
      </x:c>
      <x:c r="I5725" s="274" t="n">
        <x:v>2.9</x:v>
      </x:c>
      <x:c r="J5725" s="274" t="n">
        <x:v>1200</x:v>
      </x:c>
      <x:c r="K5725" s="274" t="n">
        <x:v>400</x:v>
      </x:c>
      <x:c r="M5725" s="274" t="s">
        <x:v>9822</x:v>
      </x:c>
      <x:c r="N5725" s="274" t="s">
        <x:v>131</x:v>
      </x:c>
    </x:row>
    <x:row r="5726" spans="1:14">
      <x:c r="A5726" s="274" t="s">
        <x:v>9823</x:v>
      </x:c>
      <x:c r="B5726" s="274" t="n">
        <x:v>15.32</x:v>
      </x:c>
      <x:c r="C5726" s="274" t="n">
        <x:v>0</x:v>
      </x:c>
      <x:c r="D5726" s="274" t="n">
        <x:v>30</x:v>
      </x:c>
      <x:c r="E5726" s="274" t="n">
        <x:v>40</x:v>
      </x:c>
      <x:c r="F5726" s="274" t="s">
        <x:v>133</x:v>
      </x:c>
      <x:c r="G5726" s="274" t="s">
        <x:v>148</x:v>
      </x:c>
      <x:c r="I5726" s="274" t="n">
        <x:v>2.9</x:v>
      </x:c>
      <x:c r="J5726" s="274" t="n">
        <x:v>1120</x:v>
      </x:c>
      <x:c r="K5726" s="274" t="n">
        <x:v>601</x:v>
      </x:c>
      <x:c r="M5726" s="274" t="s">
        <x:v>9824</x:v>
      </x:c>
      <x:c r="N5726" s="274" t="s">
        <x:v>2929</x:v>
      </x:c>
    </x:row>
    <x:row r="5727" spans="1:14">
      <x:c r="A5727" s="274" t="s">
        <x:v>9825</x:v>
      </x:c>
      <x:c r="B5727" s="274" t="n">
        <x:v>17.3</x:v>
      </x:c>
      <x:c r="C5727" s="274" t="n">
        <x:v>0</x:v>
      </x:c>
      <x:c r="D5727" s="274" t="n">
        <x:v>30</x:v>
      </x:c>
      <x:c r="E5727" s="274" t="n">
        <x:v>40</x:v>
      </x:c>
      <x:c r="F5727" s="274" t="s">
        <x:v>133</x:v>
      </x:c>
      <x:c r="G5727" s="274" t="s">
        <x:v>134</x:v>
      </x:c>
      <x:c r="I5727" s="274" t="n">
        <x:v>2.6</x:v>
      </x:c>
      <x:c r="J5727" s="274" t="n">
        <x:v>1130</x:v>
      </x:c>
      <x:c r="K5727" s="274" t="n">
        <x:v>750</x:v>
      </x:c>
      <x:c r="M5727" s="274" t="s">
        <x:v>9826</x:v>
      </x:c>
      <x:c r="N5727" s="274" t="s">
        <x:v>9827</x:v>
      </x:c>
    </x:row>
    <x:row r="5728" spans="1:14">
      <x:c r="A5728" s="274" t="s">
        <x:v>9828</x:v>
      </x:c>
      <x:c r="B5728" s="274" t="n">
        <x:v>3.35</x:v>
      </x:c>
      <x:c r="C5728" s="274" t="n">
        <x:v>0</x:v>
      </x:c>
      <x:c r="D5728" s="274" t="n">
        <x:v>30</x:v>
      </x:c>
      <x:c r="E5728" s="274" t="n">
        <x:v>40</x:v>
      </x:c>
      <x:c r="F5728" s="274" t="s">
        <x:v>333</x:v>
      </x:c>
      <x:c r="G5728" s="274" t="s">
        <x:v>209</x:v>
      </x:c>
      <x:c r="I5728" s="274" t="n">
        <x:v>1</x:v>
      </x:c>
      <x:c r="J5728" s="274" t="n">
        <x:v>1200</x:v>
      </x:c>
      <x:c r="K5728" s="274" t="n">
        <x:v>356</x:v>
      </x:c>
    </x:row>
    <x:row r="5729" spans="1:14">
      <x:c r="A5729" s="274" t="s">
        <x:v>9829</x:v>
      </x:c>
      <x:c r="B5729" s="274" t="n">
        <x:v>12.81</x:v>
      </x:c>
      <x:c r="C5729" s="274" t="n">
        <x:v>0</x:v>
      </x:c>
      <x:c r="D5729" s="274" t="n">
        <x:v>0</x:v>
      </x:c>
      <x:c r="E5729" s="274" t="n">
        <x:v>40</x:v>
      </x:c>
      <x:c r="F5729" s="274" t="s">
        <x:v>333</x:v>
      </x:c>
      <x:c r="G5729" s="274" t="s">
        <x:v>334</x:v>
      </x:c>
      <x:c r="I5729" s="274" t="n">
        <x:v>1.4</x:v>
      </x:c>
      <x:c r="J5729" s="274" t="n">
        <x:v>1166</x:v>
      </x:c>
      <x:c r="K5729" s="274" t="n">
        <x:v>1000</x:v>
      </x:c>
      <x:c r="M5729" s="274" t="s">
        <x:v>9830</x:v>
      </x:c>
      <x:c r="N5729" s="274" t="s">
        <x:v>299</x:v>
      </x:c>
    </x:row>
    <x:row r="5730" spans="1:14">
      <x:c r="A5730" s="274" t="s">
        <x:v>9831</x:v>
      </x:c>
      <x:c r="B5730" s="274" t="n">
        <x:v>3.99</x:v>
      </x:c>
      <x:c r="C5730" s="274" t="n">
        <x:v>0</x:v>
      </x:c>
      <x:c r="D5730" s="274" t="n">
        <x:v>0</x:v>
      </x:c>
      <x:c r="E5730" s="274" t="n">
        <x:v>40</x:v>
      </x:c>
      <x:c r="F5730" s="274" t="s">
        <x:v>133</x:v>
      </x:c>
      <x:c r="G5730" s="274" t="s">
        <x:v>136</x:v>
      </x:c>
      <x:c r="H5730" s="274" t="n">
        <x:v>45</x:v>
      </x:c>
      <x:c r="I5730" s="274" t="n">
        <x:v>1.2</x:v>
      </x:c>
      <x:c r="J5730" s="274" t="n">
        <x:v>925</x:v>
      </x:c>
      <x:c r="K5730" s="274" t="n">
        <x:v>454</x:v>
      </x:c>
    </x:row>
    <x:row r="5731" spans="1:14">
      <x:c r="A5731" s="274" t="s">
        <x:v>9832</x:v>
      </x:c>
      <x:c r="B5731" s="274" t="n">
        <x:v>5.75</x:v>
      </x:c>
      <x:c r="C5731" s="274" t="n">
        <x:v>0</x:v>
      </x:c>
      <x:c r="D5731" s="274" t="n">
        <x:v>32</x:v>
      </x:c>
      <x:c r="E5731" s="274" t="n">
        <x:v>32</x:v>
      </x:c>
      <x:c r="F5731" s="274" t="s">
        <x:v>333</x:v>
      </x:c>
      <x:c r="G5731" s="274" t="s">
        <x:v>209</x:v>
      </x:c>
      <x:c r="I5731" s="274" t="n">
        <x:v>0.6</x:v>
      </x:c>
      <x:c r="J5731" s="274" t="n">
        <x:v>976</x:v>
      </x:c>
      <x:c r="K5731" s="274" t="n">
        <x:v>1250</x:v>
      </x:c>
    </x:row>
    <x:row r="5732" spans="1:14">
      <x:c r="A5732" s="274" t="s">
        <x:v>9833</x:v>
      </x:c>
      <x:c r="B5732" s="274" t="n">
        <x:v>3.65</x:v>
      </x:c>
      <x:c r="C5732" s="274" t="n">
        <x:v>0</x:v>
      </x:c>
      <x:c r="D5732" s="274" t="n">
        <x:v>32</x:v>
      </x:c>
      <x:c r="E5732" s="274" t="n">
        <x:v>40</x:v>
      </x:c>
      <x:c r="F5732" s="274" t="s">
        <x:v>133</x:v>
      </x:c>
      <x:c r="G5732" s="274" t="s">
        <x:v>136</x:v>
      </x:c>
      <x:c r="H5732" s="274" t="n">
        <x:v>45</x:v>
      </x:c>
      <x:c r="I5732" s="274" t="n">
        <x:v>0.6</x:v>
      </x:c>
      <x:c r="J5732" s="274" t="n">
        <x:v>1050</x:v>
      </x:c>
      <x:c r="K5732" s="274" t="n">
        <x:v>725</x:v>
      </x:c>
      <x:c r="N5732" s="274" t="s">
        <x:v>421</x:v>
      </x:c>
    </x:row>
    <x:row r="5733" spans="1:14">
      <x:c r="A5733" s="274" t="s">
        <x:v>9834</x:v>
      </x:c>
      <x:c r="B5733" s="274" t="n">
        <x:v>4.73</x:v>
      </x:c>
      <x:c r="C5733" s="274" t="n">
        <x:v>0</x:v>
      </x:c>
      <x:c r="D5733" s="274" t="n">
        <x:v>32</x:v>
      </x:c>
      <x:c r="E5733" s="274" t="n">
        <x:v>40</x:v>
      </x:c>
      <x:c r="F5733" s="274" t="s">
        <x:v>123</x:v>
      </x:c>
      <x:c r="G5733" s="274" t="s">
        <x:v>153</x:v>
      </x:c>
      <x:c r="I5733" s="274" t="n">
        <x:v>1.2</x:v>
      </x:c>
      <x:c r="J5733" s="274" t="n">
        <x:v>1005</x:v>
      </x:c>
      <x:c r="K5733" s="274" t="n">
        <x:v>500</x:v>
      </x:c>
      <x:c r="N5733" s="274" t="s">
        <x:v>372</x:v>
      </x:c>
    </x:row>
    <x:row r="5734" spans="1:14">
      <x:c r="A5734" s="274" t="s">
        <x:v>9835</x:v>
      </x:c>
      <x:c r="B5734" s="274" t="n">
        <x:v>13.82</x:v>
      </x:c>
      <x:c r="C5734" s="274" t="n">
        <x:v>0</x:v>
      </x:c>
      <x:c r="D5734" s="274" t="n">
        <x:v>30</x:v>
      </x:c>
      <x:c r="E5734" s="274" t="n">
        <x:v>37</x:v>
      </x:c>
      <x:c r="F5734" s="274" t="s">
        <x:v>333</x:v>
      </x:c>
      <x:c r="G5734" s="274" t="s">
        <x:v>153</x:v>
      </x:c>
      <x:c r="I5734" s="274" t="n">
        <x:v>1.6</x:v>
      </x:c>
      <x:c r="J5734" s="274" t="n">
        <x:v>1100</x:v>
      </x:c>
      <x:c r="K5734" s="274" t="n">
        <x:v>1000</x:v>
      </x:c>
      <x:c r="N5734" s="274" t="s">
        <x:v>2805</x:v>
      </x:c>
    </x:row>
    <x:row r="5735" spans="1:14">
      <x:c r="A5735" s="274" t="s">
        <x:v>9836</x:v>
      </x:c>
      <x:c r="B5735" s="274" t="n">
        <x:v>11.62</x:v>
      </x:c>
      <x:c r="C5735" s="274" t="n">
        <x:v>0</x:v>
      </x:c>
      <x:c r="D5735" s="274" t="n">
        <x:v>32</x:v>
      </x:c>
      <x:c r="E5735" s="274" t="n">
        <x:v>32</x:v>
      </x:c>
      <x:c r="F5735" s="274" t="s">
        <x:v>333</x:v>
      </x:c>
      <x:c r="G5735" s="274" t="s">
        <x:v>124</x:v>
      </x:c>
      <x:c r="I5735" s="274" t="n">
        <x:v>1.2</x:v>
      </x:c>
      <x:c r="J5735" s="274" t="n">
        <x:v>1020</x:v>
      </x:c>
      <x:c r="K5735" s="274" t="n">
        <x:v>1210</x:v>
      </x:c>
    </x:row>
    <x:row r="5736" spans="1:14">
      <x:c r="A5736" s="274" t="s">
        <x:v>9837</x:v>
      </x:c>
      <x:c r="B5736" s="274" t="n">
        <x:v>12.81</x:v>
      </x:c>
      <x:c r="C5736" s="274" t="n">
        <x:v>0</x:v>
      </x:c>
      <x:c r="D5736" s="274" t="n">
        <x:v>30</x:v>
      </x:c>
      <x:c r="E5736" s="274" t="n">
        <x:v>37</x:v>
      </x:c>
      <x:c r="F5736" s="274" t="s">
        <x:v>133</x:v>
      </x:c>
      <x:c r="G5736" s="274" t="s">
        <x:v>134</x:v>
      </x:c>
      <x:c r="I5736" s="274" t="n">
        <x:v>1.6</x:v>
      </x:c>
      <x:c r="J5736" s="274" t="n">
        <x:v>1020</x:v>
      </x:c>
      <x:c r="K5736" s="274" t="n">
        <x:v>1000</x:v>
      </x:c>
      <x:c r="N5736" s="274" t="s">
        <x:v>2805</x:v>
      </x:c>
    </x:row>
    <x:row r="5737" spans="1:14">
      <x:c r="A5737" s="274" t="s">
        <x:v>9838</x:v>
      </x:c>
      <x:c r="B5737" s="274" t="n">
        <x:v>5.37</x:v>
      </x:c>
      <x:c r="C5737" s="274" t="n">
        <x:v>0</x:v>
      </x:c>
      <x:c r="D5737" s="274" t="n">
        <x:v>0</x:v>
      </x:c>
      <x:c r="E5737" s="274" t="n">
        <x:v>40</x:v>
      </x:c>
      <x:c r="F5737" s="274" t="s">
        <x:v>133</x:v>
      </x:c>
      <x:c r="G5737" s="274" t="s">
        <x:v>136</x:v>
      </x:c>
      <x:c r="H5737" s="274" t="n">
        <x:v>45</x:v>
      </x:c>
      <x:c r="I5737" s="274" t="n">
        <x:v>1.2</x:v>
      </x:c>
      <x:c r="J5737" s="274" t="n">
        <x:v>925</x:v>
      </x:c>
      <x:c r="K5737" s="274" t="n">
        <x:v>610</x:v>
      </x:c>
    </x:row>
    <x:row r="5738" spans="1:14">
      <x:c r="A5738" s="274" t="s">
        <x:v>9839</x:v>
      </x:c>
      <x:c r="B5738" s="274" t="n">
        <x:v>3</x:v>
      </x:c>
      <x:c r="C5738" s="274" t="n">
        <x:v>0</x:v>
      </x:c>
      <x:c r="D5738" s="274" t="n">
        <x:v>32</x:v>
      </x:c>
      <x:c r="E5738" s="274" t="n">
        <x:v>0</x:v>
      </x:c>
      <x:c r="F5738" s="274" t="s">
        <x:v>128</x:v>
      </x:c>
      <x:c r="G5738" s="274" t="s">
        <x:v>136</x:v>
      </x:c>
      <x:c r="H5738" s="274" t="s">
        <x:v>397</x:v>
      </x:c>
      <x:c r="I5738" s="274" t="n">
        <x:v>0.75</x:v>
      </x:c>
      <x:c r="J5738" s="274" t="n">
        <x:v>1675</x:v>
      </x:c>
      <x:c r="K5738" s="274" t="n">
        <x:v>300</x:v>
      </x:c>
      <x:c r="N5738" s="274" t="s">
        <x:v>9840</x:v>
      </x:c>
    </x:row>
    <x:row r="5739" spans="1:14">
      <x:c r="A5739" s="274" t="s">
        <x:v>9841</x:v>
      </x:c>
      <x:c r="B5739" s="274" t="n">
        <x:v>5.3</x:v>
      </x:c>
      <x:c r="C5739" s="274" t="n">
        <x:v>0</x:v>
      </x:c>
      <x:c r="D5739" s="274" t="n">
        <x:v>0</x:v>
      </x:c>
      <x:c r="F5739" s="274" t="s">
        <x:v>333</x:v>
      </x:c>
      <x:c r="G5739" s="274" t="s">
        <x:v>209</x:v>
      </x:c>
      <x:c r="I5739" s="274" t="n">
        <x:v>1.2</x:v>
      </x:c>
      <x:c r="J5739" s="274" t="n">
        <x:v>1250</x:v>
      </x:c>
      <x:c r="K5739" s="274" t="n">
        <x:v>450</x:v>
      </x:c>
      <x:c r="N5739" s="274" t="s">
        <x:v>2114</x:v>
      </x:c>
    </x:row>
    <x:row r="5740" spans="1:14">
      <x:c r="A5740" s="274" t="s">
        <x:v>9842</x:v>
      </x:c>
      <x:c r="B5740" s="274" t="n">
        <x:v>5.07</x:v>
      </x:c>
      <x:c r="C5740" s="274" t="n">
        <x:v>0</x:v>
      </x:c>
      <x:c r="D5740" s="274" t="n">
        <x:v>0</x:v>
      </x:c>
      <x:c r="F5740" s="274" t="s">
        <x:v>333</x:v>
      </x:c>
      <x:c r="G5740" s="274" t="s">
        <x:v>209</x:v>
      </x:c>
      <x:c r="I5740" s="274" t="n">
        <x:v>1.2</x:v>
      </x:c>
      <x:c r="J5740" s="274" t="n">
        <x:v>1170</x:v>
      </x:c>
      <x:c r="K5740" s="274" t="n">
        <x:v>460</x:v>
      </x:c>
      <x:c r="N5740" s="274" t="s">
        <x:v>2114</x:v>
      </x:c>
    </x:row>
    <x:row r="5741" spans="1:14">
      <x:c r="A5741" s="274" t="s">
        <x:v>9843</x:v>
      </x:c>
      <x:c r="B5741" s="274" t="n">
        <x:v>2.2</x:v>
      </x:c>
      <x:c r="C5741" s="274" t="n">
        <x:v>0</x:v>
      </x:c>
      <x:c r="D5741" s="274" t="n">
        <x:v>0</x:v>
      </x:c>
      <x:c r="F5741" s="274" t="s">
        <x:v>333</x:v>
      </x:c>
      <x:c r="G5741" s="274" t="s">
        <x:v>2157</x:v>
      </x:c>
      <x:c r="I5741" s="274" t="n">
        <x:v>0.6</x:v>
      </x:c>
      <x:c r="J5741" s="274" t="n">
        <x:v>1115</x:v>
      </x:c>
      <x:c r="K5741" s="274" t="n">
        <x:v>418</x:v>
      </x:c>
    </x:row>
    <x:row r="5742" spans="1:14">
      <x:c r="A5742" s="274" t="s">
        <x:v>9844</x:v>
      </x:c>
      <x:c r="B5742" s="274" t="n">
        <x:v>2.11</x:v>
      </x:c>
      <x:c r="C5742" s="274" t="n">
        <x:v>0</x:v>
      </x:c>
      <x:c r="D5742" s="274" t="n">
        <x:v>0</x:v>
      </x:c>
      <x:c r="F5742" s="274" t="s">
        <x:v>333</x:v>
      </x:c>
      <x:c r="G5742" s="274" t="s">
        <x:v>2157</x:v>
      </x:c>
      <x:c r="I5742" s="274" t="n">
        <x:v>0.6</x:v>
      </x:c>
      <x:c r="J5742" s="274" t="n">
        <x:v>1115</x:v>
      </x:c>
      <x:c r="K5742" s="274" t="n">
        <x:v>402</x:v>
      </x:c>
    </x:row>
    <x:row r="5743" spans="1:14">
      <x:c r="A5743" s="274" t="s">
        <x:v>9845</x:v>
      </x:c>
      <x:c r="B5743" s="274" t="n">
        <x:v>2.72</x:v>
      </x:c>
      <x:c r="C5743" s="274" t="n">
        <x:v>0</x:v>
      </x:c>
      <x:c r="D5743" s="274" t="n">
        <x:v>0</x:v>
      </x:c>
      <x:c r="E5743" s="274" t="n">
        <x:v>30</x:v>
      </x:c>
      <x:c r="F5743" s="274" t="s">
        <x:v>333</x:v>
      </x:c>
      <x:c r="G5743" s="274" t="s">
        <x:v>153</x:v>
      </x:c>
      <x:c r="I5743" s="274" t="n">
        <x:v>1</x:v>
      </x:c>
      <x:c r="J5743" s="274" t="n">
        <x:v>985</x:v>
      </x:c>
      <x:c r="K5743" s="274" t="n">
        <x:v>352</x:v>
      </x:c>
      <x:c r="N5743" s="274" t="s">
        <x:v>3714</x:v>
      </x:c>
    </x:row>
    <x:row r="5744" spans="1:14">
      <x:c r="A5744" s="274" t="s">
        <x:v>9846</x:v>
      </x:c>
      <x:c r="B5744" s="274" t="n">
        <x:v>8.186</x:v>
      </x:c>
      <x:c r="C5744" s="274" t="n">
        <x:v>0</x:v>
      </x:c>
      <x:c r="D5744" s="274" t="n">
        <x:v>30</x:v>
      </x:c>
      <x:c r="E5744" s="274" t="n">
        <x:v>37</x:v>
      </x:c>
      <x:c r="F5744" s="274" t="s">
        <x:v>333</x:v>
      </x:c>
      <x:c r="G5744" s="274" t="s">
        <x:v>2160</x:v>
      </x:c>
      <x:c r="I5744" s="274" t="n">
        <x:v>1</x:v>
      </x:c>
      <x:c r="J5744" s="274" t="n">
        <x:v>985</x:v>
      </x:c>
      <x:c r="K5744" s="274" t="n">
        <x:v>1055</x:v>
      </x:c>
      <x:c r="N5744" s="274" t="s">
        <x:v>3564</x:v>
      </x:c>
    </x:row>
    <x:row r="5745" spans="1:14">
      <x:c r="A5745" s="274" t="s">
        <x:v>9847</x:v>
      </x:c>
      <x:c r="B5745" s="274" t="n">
        <x:v>13.67</x:v>
      </x:c>
      <x:c r="C5745" s="274" t="n">
        <x:v>0</x:v>
      </x:c>
      <x:c r="D5745" s="274" t="n">
        <x:v>32</x:v>
      </x:c>
      <x:c r="E5745" s="274" t="n">
        <x:v>32</x:v>
      </x:c>
      <x:c r="F5745" s="274" t="s">
        <x:v>333</x:v>
      </x:c>
      <x:c r="G5745" s="274" t="s">
        <x:v>209</x:v>
      </x:c>
      <x:c r="I5745" s="274" t="n">
        <x:v>1.2</x:v>
      </x:c>
      <x:c r="J5745" s="274" t="n">
        <x:v>1170</x:v>
      </x:c>
      <x:c r="K5745" s="274" t="n">
        <x:v>1240</x:v>
      </x:c>
      <x:c r="N5745" s="274" t="s">
        <x:v>299</x:v>
      </x:c>
    </x:row>
    <x:row r="5746" spans="1:14">
      <x:c r="A5746" s="274" t="s">
        <x:v>9848</x:v>
      </x:c>
      <x:c r="B5746" s="274" t="n">
        <x:v>6.26</x:v>
      </x:c>
      <x:c r="C5746" s="274" t="n">
        <x:v>0</x:v>
      </x:c>
      <x:c r="D5746" s="274" t="n">
        <x:v>0</x:v>
      </x:c>
      <x:c r="E5746" s="274" t="n">
        <x:v>40</x:v>
      </x:c>
      <x:c r="F5746" s="274" t="s">
        <x:v>333</x:v>
      </x:c>
      <x:c r="G5746" s="274" t="s">
        <x:v>209</x:v>
      </x:c>
      <x:c r="I5746" s="274" t="n">
        <x:v>1</x:v>
      </x:c>
      <x:c r="J5746" s="274" t="n">
        <x:v>1200</x:v>
      </x:c>
      <x:c r="K5746" s="274" t="n">
        <x:v>665</x:v>
      </x:c>
    </x:row>
    <x:row r="5747" spans="1:14">
      <x:c r="A5747" s="274" t="s">
        <x:v>9849</x:v>
      </x:c>
      <x:c r="B5747" s="274" t="n">
        <x:v>2.15</x:v>
      </x:c>
      <x:c r="C5747" s="274" t="n">
        <x:v>0</x:v>
      </x:c>
      <x:c r="D5747" s="274" t="n">
        <x:v>50</x:v>
      </x:c>
      <x:c r="E5747" s="274" t="n">
        <x:v>40</x:v>
      </x:c>
      <x:c r="F5747" s="274" t="s">
        <x:v>333</x:v>
      </x:c>
      <x:c r="G5747" s="274" t="s">
        <x:v>2157</x:v>
      </x:c>
      <x:c r="I5747" s="274" t="n">
        <x:v>0.6</x:v>
      </x:c>
      <x:c r="J5747" s="274" t="n">
        <x:v>1090</x:v>
      </x:c>
      <x:c r="K5747" s="274" t="n">
        <x:v>418</x:v>
      </x:c>
      <x:c r="N5747" s="274" t="s">
        <x:v>3561</x:v>
      </x:c>
    </x:row>
    <x:row r="5748" spans="1:14">
      <x:c r="A5748" s="274" t="s">
        <x:v>9850</x:v>
      </x:c>
      <x:c r="B5748" s="274" t="n">
        <x:v>1.967</x:v>
      </x:c>
      <x:c r="C5748" s="274" t="n">
        <x:v>0</x:v>
      </x:c>
      <x:c r="D5748" s="274" t="n">
        <x:v>50</x:v>
      </x:c>
      <x:c r="E5748" s="274" t="n">
        <x:v>40</x:v>
      </x:c>
      <x:c r="F5748" s="274" t="s">
        <x:v>333</x:v>
      </x:c>
      <x:c r="G5748" s="274" t="s">
        <x:v>2157</x:v>
      </x:c>
      <x:c r="I5748" s="274" t="n">
        <x:v>0.6</x:v>
      </x:c>
      <x:c r="J5748" s="274" t="n">
        <x:v>1020</x:v>
      </x:c>
      <x:c r="K5748" s="274" t="n">
        <x:v>402</x:v>
      </x:c>
      <x:c r="N5748" s="274" t="s">
        <x:v>3561</x:v>
      </x:c>
    </x:row>
    <x:row r="5749" spans="1:14">
      <x:c r="A5749" s="274" t="s">
        <x:v>9851</x:v>
      </x:c>
      <x:c r="B5749" s="274" t="n">
        <x:v>0</x:v>
      </x:c>
      <x:c r="C5749" s="274" t="n">
        <x:v>0</x:v>
      </x:c>
      <x:c r="D5749" s="274" t="n">
        <x:v>0</x:v>
      </x:c>
      <x:c r="F5749" s="274" t="s">
        <x:v>123</x:v>
      </x:c>
      <x:c r="G5749" s="274" t="s">
        <x:v>1728</x:v>
      </x:c>
      <x:c r="H5749" s="274" t="s">
        <x:v>1729</x:v>
      </x:c>
      <x:c r="I5749" s="274" t="n">
        <x:v>0.7</x:v>
      </x:c>
      <x:c r="J5749" s="274" t="n">
        <x:v>510</x:v>
      </x:c>
      <x:c r="K5749" s="274" t="n">
        <x:v>1010</x:v>
      </x:c>
      <x:c r="M5749" s="274" t="s">
        <x:v>9852</x:v>
      </x:c>
    </x:row>
    <x:row r="5750" spans="1:14">
      <x:c r="A5750" s="274" t="s">
        <x:v>9853</x:v>
      </x:c>
      <x:c r="B5750" s="274" t="n">
        <x:v>0</x:v>
      </x:c>
      <x:c r="C5750" s="274" t="n">
        <x:v>0</x:v>
      </x:c>
      <x:c r="D5750" s="274" t="n">
        <x:v>0</x:v>
      </x:c>
      <x:c r="F5750" s="274" t="s">
        <x:v>123</x:v>
      </x:c>
      <x:c r="G5750" s="274" t="s">
        <x:v>1728</x:v>
      </x:c>
      <x:c r="H5750" s="274" t="s">
        <x:v>1732</x:v>
      </x:c>
      <x:c r="I5750" s="274" t="n">
        <x:v>0.7</x:v>
      </x:c>
      <x:c r="J5750" s="274" t="n">
        <x:v>510</x:v>
      </x:c>
      <x:c r="K5750" s="274" t="n">
        <x:v>1010</x:v>
      </x:c>
      <x:c r="M5750" s="274" t="s">
        <x:v>9854</x:v>
      </x:c>
      <x:c r="N5750" s="274" t="s">
        <x:v>299</x:v>
      </x:c>
    </x:row>
    <x:row r="5751" spans="1:14">
      <x:c r="A5751" s="274" t="s">
        <x:v>9855</x:v>
      </x:c>
      <x:c r="B5751" s="274" t="n">
        <x:v>2.68</x:v>
      </x:c>
      <x:c r="C5751" s="274" t="n">
        <x:v>0</x:v>
      </x:c>
      <x:c r="D5751" s="274" t="n">
        <x:v>0</x:v>
      </x:c>
      <x:c r="E5751" s="274" t="n">
        <x:v>40</x:v>
      </x:c>
      <x:c r="F5751" s="274" t="s">
        <x:v>333</x:v>
      </x:c>
      <x:c r="G5751" s="274" t="s">
        <x:v>2468</x:v>
      </x:c>
      <x:c r="I5751" s="274" t="n">
        <x:v>0.7</x:v>
      </x:c>
      <x:c r="J5751" s="274" t="n">
        <x:v>824</x:v>
      </x:c>
      <x:c r="K5751" s="274" t="n">
        <x:v>592</x:v>
      </x:c>
      <x:c r="N5751" s="274" t="s">
        <x:v>3657</x:v>
      </x:c>
    </x:row>
    <x:row r="5752" spans="1:14">
      <x:c r="A5752" s="274" t="s">
        <x:v>9856</x:v>
      </x:c>
      <x:c r="B5752" s="274" t="n">
        <x:v>1.85</x:v>
      </x:c>
      <x:c r="C5752" s="274" t="n">
        <x:v>0</x:v>
      </x:c>
      <x:c r="D5752" s="274" t="n">
        <x:v>40</x:v>
      </x:c>
      <x:c r="E5752" s="274" t="n">
        <x:v>40</x:v>
      </x:c>
      <x:c r="F5752" s="274" t="s">
        <x:v>333</x:v>
      </x:c>
      <x:c r="G5752" s="274" t="s">
        <x:v>2157</x:v>
      </x:c>
      <x:c r="I5752" s="274" t="n">
        <x:v>0.6</x:v>
      </x:c>
      <x:c r="J5752" s="274" t="n">
        <x:v>1110</x:v>
      </x:c>
      <x:c r="K5752" s="274" t="n">
        <x:v>354</x:v>
      </x:c>
      <x:c r="N5752" s="274" t="s">
        <x:v>3657</x:v>
      </x:c>
    </x:row>
    <x:row r="5753" spans="1:14">
      <x:c r="A5753" s="274" t="s">
        <x:v>9857</x:v>
      </x:c>
      <x:c r="B5753" s="274" t="n">
        <x:v>8.45</x:v>
      </x:c>
      <x:c r="C5753" s="274" t="n">
        <x:v>0</x:v>
      </x:c>
      <x:c r="D5753" s="274" t="n">
        <x:v>37</x:v>
      </x:c>
      <x:c r="E5753" s="274" t="n">
        <x:v>35</x:v>
      </x:c>
      <x:c r="F5753" s="274" t="s">
        <x:v>333</x:v>
      </x:c>
      <x:c r="G5753" s="274" t="s">
        <x:v>2160</x:v>
      </x:c>
      <x:c r="I5753" s="274" t="n">
        <x:v>1</x:v>
      </x:c>
      <x:c r="J5753" s="274" t="n">
        <x:v>985</x:v>
      </x:c>
      <x:c r="K5753" s="274" t="n">
        <x:v>1092</x:v>
      </x:c>
      <x:c r="N5753" s="274" t="s">
        <x:v>3657</x:v>
      </x:c>
    </x:row>
    <x:row r="5754" spans="1:14">
      <x:c r="A5754" s="274" t="s">
        <x:v>9858</x:v>
      </x:c>
      <x:c r="B5754" s="274" t="n">
        <x:v>2.24</x:v>
      </x:c>
      <x:c r="C5754" s="274" t="n">
        <x:v>0</x:v>
      </x:c>
      <x:c r="D5754" s="274" t="n">
        <x:v>0</x:v>
      </x:c>
      <x:c r="E5754" s="274" t="n">
        <x:v>40</x:v>
      </x:c>
      <x:c r="F5754" s="274" t="s">
        <x:v>133</x:v>
      </x:c>
      <x:c r="G5754" s="274" t="s">
        <x:v>209</x:v>
      </x:c>
      <x:c r="I5754" s="274" t="n">
        <x:v>0.8</x:v>
      </x:c>
      <x:c r="J5754" s="274" t="n">
        <x:v>1120</x:v>
      </x:c>
      <x:c r="K5754" s="274" t="n">
        <x:v>319</x:v>
      </x:c>
      <x:c r="N5754" s="274" t="s">
        <x:v>893</x:v>
      </x:c>
    </x:row>
    <x:row r="5755" spans="1:14">
      <x:c r="A5755" s="274" t="s">
        <x:v>9859</x:v>
      </x:c>
      <x:c r="B5755" s="274" t="n">
        <x:v>14.92</x:v>
      </x:c>
      <x:c r="C5755" s="274" t="n">
        <x:v>0</x:v>
      </x:c>
      <x:c r="D5755" s="274" t="n">
        <x:v>0</x:v>
      </x:c>
      <x:c r="E5755" s="274" t="n">
        <x:v>37</x:v>
      </x:c>
      <x:c r="F5755" s="274" t="s">
        <x:v>333</x:v>
      </x:c>
      <x:c r="G5755" s="274" t="s">
        <x:v>153</x:v>
      </x:c>
      <x:c r="I5755" s="274" t="n">
        <x:v>1.6</x:v>
      </x:c>
      <x:c r="J5755" s="274" t="n">
        <x:v>1100</x:v>
      </x:c>
      <x:c r="K5755" s="274" t="n">
        <x:v>1080</x:v>
      </x:c>
      <x:c r="N5755" s="274" t="s">
        <x:v>2802</x:v>
      </x:c>
    </x:row>
    <x:row r="5756" spans="1:14">
      <x:c r="A5756" s="274" t="s">
        <x:v>9860</x:v>
      </x:c>
      <x:c r="B5756" s="274" t="n">
        <x:v>10.88</x:v>
      </x:c>
      <x:c r="C5756" s="274" t="n">
        <x:v>0</x:v>
      </x:c>
      <x:c r="D5756" s="274" t="n">
        <x:v>0</x:v>
      </x:c>
      <x:c r="E5756" s="274" t="n">
        <x:v>40</x:v>
      </x:c>
      <x:c r="F5756" s="274" t="s">
        <x:v>123</x:v>
      </x:c>
      <x:c r="G5756" s="274" t="s">
        <x:v>148</x:v>
      </x:c>
      <x:c r="I5756" s="274" t="n">
        <x:v>1.6</x:v>
      </x:c>
      <x:c r="J5756" s="274" t="n">
        <x:v>1090</x:v>
      </x:c>
      <x:c r="K5756" s="274" t="n">
        <x:v>795</x:v>
      </x:c>
      <x:c r="N5756" s="274" t="s">
        <x:v>155</x:v>
      </x:c>
    </x:row>
    <x:row r="5757" spans="1:14">
      <x:c r="A5757" s="274" t="s">
        <x:v>9861</x:v>
      </x:c>
      <x:c r="B5757" s="274" t="n">
        <x:v>3.26</x:v>
      </x:c>
      <x:c r="C5757" s="274" t="n">
        <x:v>0</x:v>
      </x:c>
      <x:c r="D5757" s="274" t="n">
        <x:v>0</x:v>
      </x:c>
      <x:c r="E5757" s="274" t="n">
        <x:v>40</x:v>
      </x:c>
      <x:c r="F5757" s="274" t="s">
        <x:v>133</x:v>
      </x:c>
      <x:c r="G5757" s="274" t="s">
        <x:v>136</x:v>
      </x:c>
      <x:c r="H5757" s="274" t="n">
        <x:v>45</x:v>
      </x:c>
      <x:c r="I5757" s="274" t="n">
        <x:v>0.65</x:v>
      </x:c>
      <x:c r="J5757" s="274" t="n">
        <x:v>1085</x:v>
      </x:c>
      <x:c r="K5757" s="274" t="n">
        <x:v>578</x:v>
      </x:c>
      <x:c r="M5757" s="274" t="s">
        <x:v>3761</x:v>
      </x:c>
      <x:c r="N5757" s="274" t="s">
        <x:v>4250</x:v>
      </x:c>
    </x:row>
    <x:row r="5758" spans="1:14">
      <x:c r="A5758" s="274" t="s">
        <x:v>9862</x:v>
      </x:c>
      <x:c r="B5758" s="274" t="n">
        <x:v>7.71</x:v>
      </x:c>
      <x:c r="C5758" s="274" t="n">
        <x:v>0</x:v>
      </x:c>
      <x:c r="D5758" s="274" t="n">
        <x:v>0</x:v>
      </x:c>
      <x:c r="E5758" s="274" t="n">
        <x:v>28</x:v>
      </x:c>
      <x:c r="F5758" s="274" t="s">
        <x:v>133</x:v>
      </x:c>
      <x:c r="G5758" s="274" t="s">
        <x:v>136</x:v>
      </x:c>
      <x:c r="H5758" s="274" t="n">
        <x:v>45</x:v>
      </x:c>
      <x:c r="I5758" s="274" t="n">
        <x:v>0.6</x:v>
      </x:c>
      <x:c r="J5758" s="274" t="n">
        <x:v>1050</x:v>
      </x:c>
      <x:c r="K5758" s="274" t="n">
        <x:v>1530</x:v>
      </x:c>
      <x:c r="N5758" s="274" t="s">
        <x:v>3796</x:v>
      </x:c>
    </x:row>
    <x:row r="5759" spans="1:14">
      <x:c r="A5759" s="274" t="s">
        <x:v>9863</x:v>
      </x:c>
      <x:c r="B5759" s="274" t="n">
        <x:v>5.43</x:v>
      </x:c>
      <x:c r="C5759" s="274" t="n">
        <x:v>0</x:v>
      </x:c>
      <x:c r="D5759" s="274" t="n">
        <x:v>0</x:v>
      </x:c>
      <x:c r="E5759" s="274" t="n">
        <x:v>40</x:v>
      </x:c>
      <x:c r="F5759" s="274" t="s">
        <x:v>333</x:v>
      </x:c>
      <x:c r="G5759" s="274" t="s">
        <x:v>153</x:v>
      </x:c>
      <x:c r="I5759" s="274" t="n">
        <x:v>0.6</x:v>
      </x:c>
      <x:c r="J5759" s="274" t="n">
        <x:v>1175</x:v>
      </x:c>
      <x:c r="K5759" s="274" t="n">
        <x:v>980</x:v>
      </x:c>
    </x:row>
    <x:row r="5760" spans="1:14">
      <x:c r="A5760" s="274" t="s">
        <x:v>9864</x:v>
      </x:c>
      <x:c r="B5760" s="274" t="n">
        <x:v>20.6</x:v>
      </x:c>
      <x:c r="C5760" s="274" t="n">
        <x:v>0</x:v>
      </x:c>
      <x:c r="D5760" s="274" t="n">
        <x:v>30</x:v>
      </x:c>
      <x:c r="E5760" s="274" t="n">
        <x:v>25</x:v>
      </x:c>
      <x:c r="F5760" s="274" t="s">
        <x:v>133</x:v>
      </x:c>
      <x:c r="G5760" s="274" t="s">
        <x:v>134</x:v>
      </x:c>
      <x:c r="I5760" s="274" t="n">
        <x:v>2</x:v>
      </x:c>
      <x:c r="J5760" s="274" t="n">
        <x:v>1050</x:v>
      </x:c>
      <x:c r="K5760" s="274" t="n">
        <x:v>1250</x:v>
      </x:c>
      <x:c r="M5760" s="274" t="s">
        <x:v>9865</x:v>
      </x:c>
      <x:c r="N5760" s="274" t="s">
        <x:v>3671</x:v>
      </x:c>
    </x:row>
    <x:row r="5761" spans="1:14">
      <x:c r="A5761" s="274" t="s">
        <x:v>9866</x:v>
      </x:c>
      <x:c r="B5761" s="274" t="n">
        <x:v>1.86</x:v>
      </x:c>
      <x:c r="C5761" s="274" t="n">
        <x:v>0</x:v>
      </x:c>
      <x:c r="D5761" s="274" t="n">
        <x:v>40</x:v>
      </x:c>
      <x:c r="E5761" s="274" t="n">
        <x:v>40</x:v>
      </x:c>
      <x:c r="F5761" s="274" t="s">
        <x:v>333</x:v>
      </x:c>
      <x:c r="G5761" s="274" t="s">
        <x:v>2468</x:v>
      </x:c>
      <x:c r="I5761" s="274" t="n">
        <x:v>0.6</x:v>
      </x:c>
      <x:c r="J5761" s="274" t="n">
        <x:v>1065</x:v>
      </x:c>
      <x:c r="K5761" s="274" t="n">
        <x:v>370</x:v>
      </x:c>
      <x:c r="N5761" s="274" t="s">
        <x:v>3657</x:v>
      </x:c>
    </x:row>
    <x:row r="5762" spans="1:14">
      <x:c r="A5762" s="274" t="s">
        <x:v>9867</x:v>
      </x:c>
      <x:c r="B5762" s="274" t="n">
        <x:v>1.78</x:v>
      </x:c>
      <x:c r="C5762" s="274" t="n">
        <x:v>0</x:v>
      </x:c>
      <x:c r="D5762" s="274" t="n">
        <x:v>40</x:v>
      </x:c>
      <x:c r="E5762" s="274" t="n">
        <x:v>40</x:v>
      </x:c>
      <x:c r="F5762" s="274" t="s">
        <x:v>333</x:v>
      </x:c>
      <x:c r="G5762" s="274" t="s">
        <x:v>2468</x:v>
      </x:c>
      <x:c r="I5762" s="274" t="n">
        <x:v>0.6</x:v>
      </x:c>
      <x:c r="J5762" s="274" t="n">
        <x:v>1065</x:v>
      </x:c>
      <x:c r="K5762" s="274" t="n">
        <x:v>354</x:v>
      </x:c>
      <x:c r="N5762" s="274" t="s">
        <x:v>3657</x:v>
      </x:c>
    </x:row>
    <x:row r="5763" spans="1:14">
      <x:c r="A5763" s="274" t="s">
        <x:v>9868</x:v>
      </x:c>
      <x:c r="B5763" s="274" t="n">
        <x:v>1.568</x:v>
      </x:c>
      <x:c r="C5763" s="274" t="n">
        <x:v>0</x:v>
      </x:c>
      <x:c r="D5763" s="274" t="n">
        <x:v>40</x:v>
      </x:c>
      <x:c r="E5763" s="274" t="n">
        <x:v>40</x:v>
      </x:c>
      <x:c r="F5763" s="274" t="s">
        <x:v>333</x:v>
      </x:c>
      <x:c r="G5763" s="274" t="s">
        <x:v>2157</x:v>
      </x:c>
      <x:c r="I5763" s="274" t="n">
        <x:v>0.6</x:v>
      </x:c>
      <x:c r="J5763" s="274" t="n">
        <x:v>909</x:v>
      </x:c>
      <x:c r="K5763" s="274" t="n">
        <x:v>361</x:v>
      </x:c>
      <x:c r="N5763" s="274" t="s">
        <x:v>3564</x:v>
      </x:c>
    </x:row>
    <x:row r="5764" spans="1:14">
      <x:c r="A5764" s="274" t="s">
        <x:v>9869</x:v>
      </x:c>
      <x:c r="B5764" s="274" t="n">
        <x:v>7.26</x:v>
      </x:c>
      <x:c r="C5764" s="274" t="n">
        <x:v>30</x:v>
      </x:c>
      <x:c r="D5764" s="274" t="n">
        <x:v>35</x:v>
      </x:c>
      <x:c r="F5764" s="274" t="s">
        <x:v>123</x:v>
      </x:c>
      <x:c r="G5764" s="274" t="s">
        <x:v>1728</x:v>
      </x:c>
      <x:c r="H5764" s="274" t="s">
        <x:v>1729</x:v>
      </x:c>
      <x:c r="I5764" s="274" t="n">
        <x:v>0.7</x:v>
      </x:c>
      <x:c r="J5764" s="274" t="n">
        <x:v>1625</x:v>
      </x:c>
      <x:c r="K5764" s="274" t="n">
        <x:v>800</x:v>
      </x:c>
      <x:c r="N5764" s="274" t="s">
        <x:v>299</x:v>
      </x:c>
    </x:row>
    <x:row r="5765" spans="1:14">
      <x:c r="A5765" s="274" t="s">
        <x:v>9870</x:v>
      </x:c>
      <x:c r="B5765" s="274" t="n">
        <x:v>7.26</x:v>
      </x:c>
      <x:c r="C5765" s="274" t="n">
        <x:v>30</x:v>
      </x:c>
      <x:c r="D5765" s="274" t="n">
        <x:v>35</x:v>
      </x:c>
      <x:c r="F5765" s="274" t="s">
        <x:v>123</x:v>
      </x:c>
      <x:c r="G5765" s="274" t="s">
        <x:v>1728</x:v>
      </x:c>
      <x:c r="H5765" s="274" t="s">
        <x:v>1732</x:v>
      </x:c>
      <x:c r="I5765" s="274" t="n">
        <x:v>0.7</x:v>
      </x:c>
      <x:c r="J5765" s="274" t="n">
        <x:v>1625</x:v>
      </x:c>
      <x:c r="K5765" s="274" t="n">
        <x:v>800</x:v>
      </x:c>
      <x:c r="N5765" s="274" t="s">
        <x:v>299</x:v>
      </x:c>
    </x:row>
    <x:row r="5766" spans="1:14">
      <x:c r="A5766" s="274" t="s">
        <x:v>9871</x:v>
      </x:c>
      <x:c r="B5766" s="274" t="n">
        <x:v>7.26</x:v>
      </x:c>
      <x:c r="C5766" s="274" t="n">
        <x:v>30</x:v>
      </x:c>
      <x:c r="D5766" s="274" t="n">
        <x:v>35</x:v>
      </x:c>
      <x:c r="F5766" s="274" t="s">
        <x:v>311</x:v>
      </x:c>
      <x:c r="G5766" s="274" t="s">
        <x:v>1728</x:v>
      </x:c>
      <x:c r="H5766" s="274" t="s">
        <x:v>1729</x:v>
      </x:c>
      <x:c r="I5766" s="274" t="n">
        <x:v>0.7</x:v>
      </x:c>
      <x:c r="J5766" s="274" t="n">
        <x:v>1625</x:v>
      </x:c>
      <x:c r="K5766" s="274" t="n">
        <x:v>800</x:v>
      </x:c>
      <x:c r="N5766" s="274" t="s">
        <x:v>299</x:v>
      </x:c>
    </x:row>
    <x:row r="5767" spans="1:14">
      <x:c r="A5767" s="274" t="s">
        <x:v>9872</x:v>
      </x:c>
      <x:c r="B5767" s="274" t="n">
        <x:v>7.26</x:v>
      </x:c>
      <x:c r="C5767" s="274" t="n">
        <x:v>30</x:v>
      </x:c>
      <x:c r="D5767" s="274" t="n">
        <x:v>35</x:v>
      </x:c>
      <x:c r="F5767" s="274" t="s">
        <x:v>311</x:v>
      </x:c>
      <x:c r="G5767" s="274" t="s">
        <x:v>1728</x:v>
      </x:c>
      <x:c r="H5767" s="274" t="s">
        <x:v>1732</x:v>
      </x:c>
      <x:c r="I5767" s="274" t="n">
        <x:v>0.7</x:v>
      </x:c>
      <x:c r="J5767" s="274" t="n">
        <x:v>1625</x:v>
      </x:c>
      <x:c r="K5767" s="274" t="n">
        <x:v>800</x:v>
      </x:c>
      <x:c r="N5767" s="274" t="s">
        <x:v>299</x:v>
      </x:c>
    </x:row>
    <x:row r="5768" spans="1:14">
      <x:c r="A5768" s="274" t="s">
        <x:v>9873</x:v>
      </x:c>
      <x:c r="B5768" s="274" t="n">
        <x:v>3.651</x:v>
      </x:c>
      <x:c r="C5768" s="274" t="n">
        <x:v>0</x:v>
      </x:c>
      <x:c r="D5768" s="274" t="n">
        <x:v>50</x:v>
      </x:c>
      <x:c r="E5768" s="274" t="n">
        <x:v>40</x:v>
      </x:c>
      <x:c r="F5768" s="274" t="s">
        <x:v>333</x:v>
      </x:c>
      <x:c r="G5768" s="274" t="s">
        <x:v>2711</x:v>
      </x:c>
      <x:c r="I5768" s="274" t="n">
        <x:v>1</x:v>
      </x:c>
      <x:c r="J5768" s="274" t="n">
        <x:v>1050</x:v>
      </x:c>
      <x:c r="K5768" s="274" t="n">
        <x:v>440</x:v>
      </x:c>
      <x:c r="N5768" s="274" t="s">
        <x:v>3561</x:v>
      </x:c>
    </x:row>
    <x:row r="5769" spans="1:14">
      <x:c r="A5769" s="274" t="s">
        <x:v>9874</x:v>
      </x:c>
      <x:c r="B5769" s="274" t="n">
        <x:v>0.86</x:v>
      </x:c>
      <x:c r="C5769" s="274" t="n">
        <x:v>0</x:v>
      </x:c>
      <x:c r="D5769" s="274" t="n">
        <x:v>0</x:v>
      </x:c>
      <x:c r="F5769" s="274" t="s">
        <x:v>123</x:v>
      </x:c>
      <x:c r="G5769" s="274" t="s">
        <x:v>209</x:v>
      </x:c>
      <x:c r="I5769" s="274" t="n">
        <x:v>2</x:v>
      </x:c>
      <x:c r="J5769" s="274" t="n">
        <x:v>329</x:v>
      </x:c>
      <x:c r="K5769" s="274" t="n">
        <x:v>167</x:v>
      </x:c>
      <x:c r="N5769" s="274" t="s">
        <x:v>131</x:v>
      </x:c>
    </x:row>
    <x:row r="5770" spans="1:14">
      <x:c r="A5770" s="274" t="s">
        <x:v>9875</x:v>
      </x:c>
      <x:c r="B5770" s="274" t="n">
        <x:v>30.23</x:v>
      </x:c>
      <x:c r="C5770" s="274" t="n">
        <x:v>0</x:v>
      </x:c>
      <x:c r="D5770" s="274" t="n">
        <x:v>35</x:v>
      </x:c>
      <x:c r="E5770" s="274" t="n">
        <x:v>25</x:v>
      </x:c>
      <x:c r="F5770" s="274" t="s">
        <x:v>133</x:v>
      </x:c>
      <x:c r="G5770" s="274" t="s">
        <x:v>134</x:v>
      </x:c>
      <x:c r="I5770" s="274" t="n">
        <x:v>2.6</x:v>
      </x:c>
      <x:c r="J5770" s="274" t="n">
        <x:v>1185</x:v>
      </x:c>
      <x:c r="K5770" s="274" t="n">
        <x:v>1250</x:v>
      </x:c>
      <x:c r="M5770" s="274" t="s">
        <x:v>6475</x:v>
      </x:c>
      <x:c r="N5770" s="274" t="s">
        <x:v>3671</x:v>
      </x:c>
    </x:row>
    <x:row r="5771" spans="1:14">
      <x:c r="A5771" s="274" t="s">
        <x:v>9876</x:v>
      </x:c>
      <x:c r="B5771" s="274" t="n">
        <x:v>1.98</x:v>
      </x:c>
      <x:c r="C5771" s="274" t="n">
        <x:v>0</x:v>
      </x:c>
      <x:c r="D5771" s="274" t="n">
        <x:v>50</x:v>
      </x:c>
      <x:c r="E5771" s="274" t="n">
        <x:v>40</x:v>
      </x:c>
      <x:c r="F5771" s="274" t="s">
        <x:v>333</x:v>
      </x:c>
      <x:c r="G5771" s="274" t="s">
        <x:v>2468</x:v>
      </x:c>
      <x:c r="I5771" s="274" t="n">
        <x:v>0.7</x:v>
      </x:c>
      <x:c r="J5771" s="274" t="n">
        <x:v>1055</x:v>
      </x:c>
      <x:c r="K5771" s="274" t="n">
        <x:v>341</x:v>
      </x:c>
      <x:c r="N5771" s="274" t="s">
        <x:v>3984</x:v>
      </x:c>
    </x:row>
    <x:row r="5772" spans="1:14">
      <x:c r="A5772" s="274" t="s">
        <x:v>9877</x:v>
      </x:c>
      <x:c r="B5772" s="274" t="n">
        <x:v>4.51</x:v>
      </x:c>
      <x:c r="C5772" s="274" t="n">
        <x:v>0</x:v>
      </x:c>
      <x:c r="D5772" s="274" t="n">
        <x:v>50</x:v>
      </x:c>
      <x:c r="E5772" s="274" t="n">
        <x:v>40</x:v>
      </x:c>
      <x:c r="F5772" s="274" t="s">
        <x:v>333</x:v>
      </x:c>
      <x:c r="G5772" s="274" t="s">
        <x:v>2157</x:v>
      </x:c>
      <x:c r="I5772" s="274" t="n">
        <x:v>1</x:v>
      </x:c>
      <x:c r="J5772" s="274" t="n">
        <x:v>1055</x:v>
      </x:c>
      <x:c r="K5772" s="274" t="n">
        <x:v>544</x:v>
      </x:c>
      <x:c r="N5772" s="274" t="s">
        <x:v>3984</x:v>
      </x:c>
    </x:row>
    <x:row r="5773" spans="1:14">
      <x:c r="A5773" s="274" t="s">
        <x:v>9878</x:v>
      </x:c>
      <x:c r="B5773" s="274" t="n">
        <x:v>2.87</x:v>
      </x:c>
      <x:c r="C5773" s="274" t="n">
        <x:v>0</x:v>
      </x:c>
      <x:c r="D5773" s="274" t="n">
        <x:v>55</x:v>
      </x:c>
      <x:c r="E5773" s="274" t="n">
        <x:v>40</x:v>
      </x:c>
      <x:c r="F5773" s="274" t="s">
        <x:v>333</x:v>
      </x:c>
      <x:c r="G5773" s="274" t="s">
        <x:v>2157</x:v>
      </x:c>
      <x:c r="I5773" s="274" t="n">
        <x:v>1</x:v>
      </x:c>
      <x:c r="J5773" s="274" t="n">
        <x:v>1055</x:v>
      </x:c>
      <x:c r="K5773" s="274" t="n">
        <x:v>346</x:v>
      </x:c>
      <x:c r="N5773" s="274" t="s">
        <x:v>3984</x:v>
      </x:c>
    </x:row>
    <x:row r="5774" spans="1:14">
      <x:c r="A5774" s="274" t="s">
        <x:v>9879</x:v>
      </x:c>
      <x:c r="B5774" s="274" t="n">
        <x:v>10.41</x:v>
      </x:c>
      <x:c r="C5774" s="274" t="n">
        <x:v>0</x:v>
      </x:c>
      <x:c r="D5774" s="274" t="n">
        <x:v>45</x:v>
      </x:c>
      <x:c r="E5774" s="274" t="n">
        <x:v>40</x:v>
      </x:c>
      <x:c r="F5774" s="274" t="s">
        <x:v>333</x:v>
      </x:c>
      <x:c r="G5774" s="274" t="s">
        <x:v>124</x:v>
      </x:c>
      <x:c r="I5774" s="274" t="n">
        <x:v>2</x:v>
      </x:c>
      <x:c r="J5774" s="274" t="n">
        <x:v>1212</x:v>
      </x:c>
      <x:c r="K5774" s="274" t="n">
        <x:v>547</x:v>
      </x:c>
      <x:c r="N5774" s="274" t="s">
        <x:v>3984</x:v>
      </x:c>
    </x:row>
    <x:row r="5775" spans="1:14">
      <x:c r="A5775" s="274" t="s">
        <x:v>9880</x:v>
      </x:c>
      <x:c r="B5775" s="274" t="n">
        <x:v>3.22</x:v>
      </x:c>
      <x:c r="C5775" s="274" t="n">
        <x:v>0</x:v>
      </x:c>
      <x:c r="D5775" s="274" t="n">
        <x:v>55</x:v>
      </x:c>
      <x:c r="E5775" s="274" t="n">
        <x:v>40</x:v>
      </x:c>
      <x:c r="F5775" s="274" t="s">
        <x:v>333</x:v>
      </x:c>
      <x:c r="G5775" s="274" t="s">
        <x:v>124</x:v>
      </x:c>
      <x:c r="I5775" s="274" t="n">
        <x:v>1</x:v>
      </x:c>
      <x:c r="J5775" s="274" t="n">
        <x:v>1090</x:v>
      </x:c>
      <x:c r="K5775" s="274" t="n">
        <x:v>376</x:v>
      </x:c>
      <x:c r="N5775" s="274" t="s">
        <x:v>3984</x:v>
      </x:c>
    </x:row>
    <x:row r="5776" spans="1:14">
      <x:c r="A5776" s="274" t="s">
        <x:v>9881</x:v>
      </x:c>
      <x:c r="B5776" s="274" t="n">
        <x:v>4.51</x:v>
      </x:c>
      <x:c r="C5776" s="274" t="n">
        <x:v>0</x:v>
      </x:c>
      <x:c r="D5776" s="274" t="n">
        <x:v>55</x:v>
      </x:c>
      <x:c r="E5776" s="274" t="n">
        <x:v>40</x:v>
      </x:c>
      <x:c r="F5776" s="274" t="s">
        <x:v>333</x:v>
      </x:c>
      <x:c r="G5776" s="274" t="s">
        <x:v>124</x:v>
      </x:c>
      <x:c r="I5776" s="274" t="n">
        <x:v>1</x:v>
      </x:c>
      <x:c r="J5776" s="274" t="n">
        <x:v>1090</x:v>
      </x:c>
      <x:c r="K5776" s="274" t="n">
        <x:v>527</x:v>
      </x:c>
      <x:c r="N5776" s="274" t="s">
        <x:v>3984</x:v>
      </x:c>
    </x:row>
    <x:row r="5777" spans="1:14">
      <x:c r="A5777" s="274" t="s">
        <x:v>9882</x:v>
      </x:c>
      <x:c r="B5777" s="274" t="n">
        <x:v>1.49</x:v>
      </x:c>
      <x:c r="C5777" s="274" t="n">
        <x:v>0</x:v>
      </x:c>
      <x:c r="D5777" s="274" t="n">
        <x:v>50</x:v>
      </x:c>
      <x:c r="E5777" s="274" t="n">
        <x:v>40</x:v>
      </x:c>
      <x:c r="F5777" s="274" t="s">
        <x:v>133</x:v>
      </x:c>
      <x:c r="G5777" s="274" t="s">
        <x:v>136</x:v>
      </x:c>
      <x:c r="H5777" s="274" t="n">
        <x:v>45</x:v>
      </x:c>
      <x:c r="I5777" s="274" t="n">
        <x:v>0.7</x:v>
      </x:c>
      <x:c r="J5777" s="274" t="n">
        <x:v>760</x:v>
      </x:c>
      <x:c r="K5777" s="274" t="n">
        <x:v>350</x:v>
      </x:c>
    </x:row>
    <x:row r="5778" spans="1:14">
      <x:c r="A5778" s="274" t="s">
        <x:v>9883</x:v>
      </x:c>
      <x:c r="B5778" s="274" t="n">
        <x:v>12.73</x:v>
      </x:c>
      <x:c r="C5778" s="274" t="n">
        <x:v>0</x:v>
      </x:c>
      <x:c r="D5778" s="274" t="n">
        <x:v>45</x:v>
      </x:c>
      <x:c r="E5778" s="274" t="n">
        <x:v>35</x:v>
      </x:c>
      <x:c r="F5778" s="274" t="s">
        <x:v>333</x:v>
      </x:c>
      <x:c r="G5778" s="274" t="s">
        <x:v>209</x:v>
      </x:c>
      <x:c r="I5778" s="274" t="n">
        <x:v>1.2</x:v>
      </x:c>
      <x:c r="J5778" s="274" t="n">
        <x:v>1170</x:v>
      </x:c>
      <x:c r="K5778" s="274" t="n">
        <x:v>1155</x:v>
      </x:c>
      <x:c r="N5778" s="274" t="s">
        <x:v>3671</x:v>
      </x:c>
    </x:row>
    <x:row r="5779" spans="1:14">
      <x:c r="A5779" s="274" t="s">
        <x:v>9884</x:v>
      </x:c>
      <x:c r="B5779" s="274" t="n">
        <x:v>12.02</x:v>
      </x:c>
      <x:c r="C5779" s="274" t="n">
        <x:v>0</x:v>
      </x:c>
      <x:c r="D5779" s="274" t="n">
        <x:v>50</x:v>
      </x:c>
      <x:c r="E5779" s="274" t="n">
        <x:v>40</x:v>
      </x:c>
      <x:c r="F5779" s="274" t="s">
        <x:v>133</x:v>
      </x:c>
      <x:c r="G5779" s="274" t="s">
        <x:v>148</x:v>
      </x:c>
      <x:c r="I5779" s="274" t="n">
        <x:v>2</x:v>
      </x:c>
      <x:c r="J5779" s="274" t="n">
        <x:v>1110</x:v>
      </x:c>
      <x:c r="K5779" s="274" t="n">
        <x:v>690</x:v>
      </x:c>
    </x:row>
    <x:row r="5780" spans="1:14">
      <x:c r="A5780" s="274" t="s">
        <x:v>9885</x:v>
      </x:c>
      <x:c r="B5780" s="274" t="n">
        <x:v>12.37</x:v>
      </x:c>
      <x:c r="C5780" s="274" t="n">
        <x:v>0</x:v>
      </x:c>
      <x:c r="D5780" s="274" t="n">
        <x:v>50</x:v>
      </x:c>
      <x:c r="E5780" s="274" t="n">
        <x:v>40</x:v>
      </x:c>
      <x:c r="F5780" s="274" t="s">
        <x:v>133</x:v>
      </x:c>
      <x:c r="G5780" s="274" t="s">
        <x:v>148</x:v>
      </x:c>
      <x:c r="I5780" s="274" t="n">
        <x:v>2</x:v>
      </x:c>
      <x:c r="J5780" s="274" t="n">
        <x:v>1110</x:v>
      </x:c>
      <x:c r="K5780" s="274" t="n">
        <x:v>710</x:v>
      </x:c>
    </x:row>
    <x:row r="5781" spans="1:14">
      <x:c r="A5781" s="274" t="s">
        <x:v>9886</x:v>
      </x:c>
      <x:c r="B5781" s="274" t="n">
        <x:v>2.42</x:v>
      </x:c>
      <x:c r="C5781" s="274" t="n">
        <x:v>0</x:v>
      </x:c>
      <x:c r="D5781" s="274" t="n">
        <x:v>50</x:v>
      </x:c>
      <x:c r="E5781" s="274" t="n">
        <x:v>40</x:v>
      </x:c>
      <x:c r="F5781" s="274" t="s">
        <x:v>133</x:v>
      </x:c>
      <x:c r="G5781" s="274" t="s">
        <x:v>136</x:v>
      </x:c>
      <x:c r="H5781" s="274" t="n">
        <x:v>45</x:v>
      </x:c>
      <x:c r="I5781" s="274" t="n">
        <x:v>0.8</x:v>
      </x:c>
      <x:c r="J5781" s="274" t="n">
        <x:v>1010</x:v>
      </x:c>
      <x:c r="K5781" s="274" t="n">
        <x:v>376</x:v>
      </x:c>
    </x:row>
    <x:row r="5782" spans="1:14">
      <x:c r="A5782" s="274" t="s">
        <x:v>9887</x:v>
      </x:c>
      <x:c r="B5782" s="274" t="n">
        <x:v>0.38</x:v>
      </x:c>
      <x:c r="C5782" s="274" t="n">
        <x:v>0</x:v>
      </x:c>
      <x:c r="D5782" s="274" t="n">
        <x:v>0</x:v>
      </x:c>
      <x:c r="F5782" s="274" t="s">
        <x:v>133</x:v>
      </x:c>
      <x:c r="G5782" s="274" t="s">
        <x:v>136</x:v>
      </x:c>
      <x:c r="H5782" s="274" t="n">
        <x:v>45</x:v>
      </x:c>
      <x:c r="I5782" s="274" t="n">
        <x:v>0.8</x:v>
      </x:c>
      <x:c r="J5782" s="274" t="n">
        <x:v>160</x:v>
      </x:c>
      <x:c r="K5782" s="274" t="n">
        <x:v>376</x:v>
      </x:c>
      <x:c r="N5782" s="274" t="s">
        <x:v>155</x:v>
      </x:c>
    </x:row>
    <x:row r="5783" spans="1:14">
      <x:c r="A5783" s="274" t="s">
        <x:v>9888</x:v>
      </x:c>
      <x:c r="B5783" s="274" t="n">
        <x:v>6.28</x:v>
      </x:c>
      <x:c r="C5783" s="274" t="n">
        <x:v>0</x:v>
      </x:c>
      <x:c r="D5783" s="274" t="n">
        <x:v>50</x:v>
      </x:c>
      <x:c r="E5783" s="274" t="n">
        <x:v>40</x:v>
      </x:c>
      <x:c r="F5783" s="274" t="s">
        <x:v>133</x:v>
      </x:c>
      <x:c r="G5783" s="274" t="s">
        <x:v>136</x:v>
      </x:c>
      <x:c r="H5783" s="274" t="n">
        <x:v>45</x:v>
      </x:c>
      <x:c r="I5783" s="274" t="n">
        <x:v>1.2</x:v>
      </x:c>
      <x:c r="J5783" s="274" t="n">
        <x:v>952</x:v>
      </x:c>
      <x:c r="K5783" s="274" t="n">
        <x:v>694</x:v>
      </x:c>
      <x:c r="N5783" s="274" t="s">
        <x:v>4082</x:v>
      </x:c>
    </x:row>
    <x:row r="5784" spans="1:14">
      <x:c r="A5784" s="274" t="s">
        <x:v>9889</x:v>
      </x:c>
      <x:c r="B5784" s="274" t="n">
        <x:v>6.11</x:v>
      </x:c>
      <x:c r="C5784" s="274" t="n">
        <x:v>0</x:v>
      </x:c>
      <x:c r="D5784" s="274" t="n">
        <x:v>50</x:v>
      </x:c>
      <x:c r="E5784" s="274" t="n">
        <x:v>40</x:v>
      </x:c>
      <x:c r="F5784" s="274" t="s">
        <x:v>123</x:v>
      </x:c>
      <x:c r="G5784" s="274" t="s">
        <x:v>153</x:v>
      </x:c>
      <x:c r="I5784" s="274" t="n">
        <x:v>2</x:v>
      </x:c>
      <x:c r="J5784" s="274" t="n">
        <x:v>1100</x:v>
      </x:c>
      <x:c r="K5784" s="274" t="n">
        <x:v>354</x:v>
      </x:c>
    </x:row>
    <x:row r="5785" spans="1:14">
      <x:c r="A5785" s="274" t="s">
        <x:v>9890</x:v>
      </x:c>
      <x:c r="B5785" s="274" t="n">
        <x:v>1.29</x:v>
      </x:c>
      <x:c r="C5785" s="274" t="n">
        <x:v>0</x:v>
      </x:c>
      <x:c r="D5785" s="274" t="n">
        <x:v>36</x:v>
      </x:c>
      <x:c r="E5785" s="274" t="n">
        <x:v>33</x:v>
      </x:c>
      <x:c r="F5785" s="274" t="s">
        <x:v>128</x:v>
      </x:c>
      <x:c r="G5785" s="274" t="s">
        <x:v>312</x:v>
      </x:c>
      <x:c r="H5785" s="274" t="n">
        <x:v>45</x:v>
      </x:c>
      <x:c r="I5785" s="274" t="n">
        <x:v>1.2</x:v>
      </x:c>
      <x:c r="J5785" s="274" t="n">
        <x:v>400</x:v>
      </x:c>
      <x:c r="K5785" s="274" t="n">
        <x:v>340</x:v>
      </x:c>
      <x:c r="N5785" s="274" t="s">
        <x:v>3671</x:v>
      </x:c>
    </x:row>
    <x:row r="5786" spans="1:14">
      <x:c r="A5786" s="274" t="s">
        <x:v>9891</x:v>
      </x:c>
      <x:c r="B5786" s="274" t="n">
        <x:v>4.11</x:v>
      </x:c>
      <x:c r="C5786" s="274" t="n">
        <x:v>0</x:v>
      </x:c>
      <x:c r="D5786" s="274" t="n">
        <x:v>30</x:v>
      </x:c>
      <x:c r="E5786" s="274" t="n">
        <x:v>24</x:v>
      </x:c>
      <x:c r="F5786" s="274" t="s">
        <x:v>128</x:v>
      </x:c>
      <x:c r="G5786" s="274" t="s">
        <x:v>312</x:v>
      </x:c>
      <x:c r="H5786" s="274" t="n">
        <x:v>45</x:v>
      </x:c>
      <x:c r="I5786" s="274" t="n">
        <x:v>1.2</x:v>
      </x:c>
      <x:c r="J5786" s="274" t="n">
        <x:v>400</x:v>
      </x:c>
      <x:c r="K5786" s="274" t="n">
        <x:v>1080</x:v>
      </x:c>
    </x:row>
    <x:row r="5787" spans="1:14">
      <x:c r="A5787" s="274" t="s">
        <x:v>9892</x:v>
      </x:c>
      <x:c r="B5787" s="274" t="n">
        <x:v>18.37</x:v>
      </x:c>
      <x:c r="C5787" s="274" t="n">
        <x:v>0</x:v>
      </x:c>
      <x:c r="D5787" s="274" t="n">
        <x:v>40</x:v>
      </x:c>
      <x:c r="E5787" s="274" t="n">
        <x:v>35</x:v>
      </x:c>
      <x:c r="F5787" s="274" t="s">
        <x:v>133</x:v>
      </x:c>
      <x:c r="G5787" s="274" t="s">
        <x:v>136</x:v>
      </x:c>
      <x:c r="H5787" s="274" t="n">
        <x:v>45</x:v>
      </x:c>
      <x:c r="I5787" s="274" t="n">
        <x:v>1.6</x:v>
      </x:c>
      <x:c r="J5787" s="274" t="n">
        <x:v>1205</x:v>
      </x:c>
      <x:c r="K5787" s="274" t="n">
        <x:v>1205</x:v>
      </x:c>
      <x:c r="N5787" s="274" t="s">
        <x:v>155</x:v>
      </x:c>
    </x:row>
    <x:row r="5788" spans="1:14">
      <x:c r="A5788" s="274" t="s">
        <x:v>9893</x:v>
      </x:c>
      <x:c r="B5788" s="274" t="n">
        <x:v>20.91</x:v>
      </x:c>
      <x:c r="C5788" s="274" t="n">
        <x:v>0</x:v>
      </x:c>
      <x:c r="D5788" s="274" t="n">
        <x:v>40</x:v>
      </x:c>
      <x:c r="E5788" s="274" t="n">
        <x:v>35</x:v>
      </x:c>
      <x:c r="F5788" s="274" t="s">
        <x:v>133</x:v>
      </x:c>
      <x:c r="G5788" s="274" t="s">
        <x:v>148</x:v>
      </x:c>
      <x:c r="I5788" s="274" t="n">
        <x:v>2</x:v>
      </x:c>
      <x:c r="J5788" s="274" t="n">
        <x:v>1110</x:v>
      </x:c>
      <x:c r="K5788" s="274" t="n">
        <x:v>1200</x:v>
      </x:c>
    </x:row>
    <x:row r="5789" spans="1:14">
      <x:c r="A5789" s="274" t="s">
        <x:v>9894</x:v>
      </x:c>
      <x:c r="B5789" s="274" t="n">
        <x:v>21.32</x:v>
      </x:c>
      <x:c r="C5789" s="274" t="n">
        <x:v>0</x:v>
      </x:c>
      <x:c r="D5789" s="274" t="n">
        <x:v>40</x:v>
      </x:c>
      <x:c r="E5789" s="274" t="n">
        <x:v>35</x:v>
      </x:c>
      <x:c r="F5789" s="274" t="s">
        <x:v>133</x:v>
      </x:c>
      <x:c r="G5789" s="274" t="s">
        <x:v>144</x:v>
      </x:c>
      <x:c r="H5789" s="274" t="n">
        <x:v>45</x:v>
      </x:c>
      <x:c r="I5789" s="274" t="n">
        <x:v>2</x:v>
      </x:c>
      <x:c r="J5789" s="274" t="n">
        <x:v>1125</x:v>
      </x:c>
      <x:c r="K5789" s="274" t="n">
        <x:v>1200</x:v>
      </x:c>
      <x:c r="M5789" s="274" t="s">
        <x:v>4327</x:v>
      </x:c>
      <x:c r="N5789" s="274" t="s">
        <x:v>3671</x:v>
      </x:c>
    </x:row>
    <x:row r="5790" spans="1:14">
      <x:c r="A5790" s="274" t="s">
        <x:v>9895</x:v>
      </x:c>
      <x:c r="B5790" s="274" t="n">
        <x:v>5.34</x:v>
      </x:c>
      <x:c r="C5790" s="274" t="n">
        <x:v>0</x:v>
      </x:c>
      <x:c r="D5790" s="274" t="n">
        <x:v>40</x:v>
      </x:c>
      <x:c r="E5790" s="274" t="n">
        <x:v>40</x:v>
      </x:c>
      <x:c r="F5790" s="274" t="s">
        <x:v>133</x:v>
      </x:c>
      <x:c r="G5790" s="274" t="s">
        <x:v>134</x:v>
      </x:c>
      <x:c r="I5790" s="274" t="n">
        <x:v>2.6</x:v>
      </x:c>
      <x:c r="J5790" s="274" t="n">
        <x:v>641</x:v>
      </x:c>
      <x:c r="K5790" s="274" t="n">
        <x:v>408</x:v>
      </x:c>
    </x:row>
    <x:row r="5791" spans="1:14">
      <x:c r="A5791" s="274" t="s">
        <x:v>9896</x:v>
      </x:c>
      <x:c r="B5791" s="274" t="n">
        <x:v>12.66</x:v>
      </x:c>
      <x:c r="C5791" s="274" t="n">
        <x:v>0</x:v>
      </x:c>
      <x:c r="D5791" s="274" t="n">
        <x:v>0</x:v>
      </x:c>
      <x:c r="F5791" s="274" t="s">
        <x:v>333</x:v>
      </x:c>
      <x:c r="G5791" s="274" t="s">
        <x:v>124</x:v>
      </x:c>
      <x:c r="I5791" s="274" t="n">
        <x:v>1.6</x:v>
      </x:c>
      <x:c r="J5791" s="274" t="n">
        <x:v>1000</x:v>
      </x:c>
      <x:c r="K5791" s="274" t="n">
        <x:v>1008</x:v>
      </x:c>
    </x:row>
    <x:row r="5792" spans="1:14">
      <x:c r="A5792" s="274" t="s">
        <x:v>9897</x:v>
      </x:c>
      <x:c r="B5792" s="274" t="n">
        <x:v>10.65</x:v>
      </x:c>
      <x:c r="C5792" s="274" t="n">
        <x:v>0</x:v>
      </x:c>
      <x:c r="D5792" s="274" t="n">
        <x:v>40</x:v>
      </x:c>
      <x:c r="E5792" s="274" t="n">
        <x:v>35</x:v>
      </x:c>
      <x:c r="F5792" s="274" t="s">
        <x:v>333</x:v>
      </x:c>
      <x:c r="G5792" s="274" t="s">
        <x:v>153</x:v>
      </x:c>
      <x:c r="I5792" s="274" t="n">
        <x:v>1</x:v>
      </x:c>
      <x:c r="J5792" s="274" t="n">
        <x:v>1145</x:v>
      </x:c>
      <x:c r="K5792" s="274" t="n">
        <x:v>1185</x:v>
      </x:c>
    </x:row>
    <x:row r="5793" spans="1:14">
      <x:c r="A5793" s="274" t="s">
        <x:v>9898</x:v>
      </x:c>
      <x:c r="B5793" s="274" t="n">
        <x:v>3.5</x:v>
      </x:c>
      <x:c r="C5793" s="274" t="n">
        <x:v>0</x:v>
      </x:c>
      <x:c r="D5793" s="274" t="n">
        <x:v>0</x:v>
      </x:c>
      <x:c r="F5793" s="274" t="s">
        <x:v>128</x:v>
      </x:c>
      <x:c r="G5793" s="274" t="s">
        <x:v>9899</x:v>
      </x:c>
      <x:c r="I5793" s="274" t="n">
        <x:v>1.8</x:v>
      </x:c>
      <x:c r="J5793" s="274" t="n">
        <x:v>825</x:v>
      </x:c>
      <x:c r="K5793" s="274" t="n">
        <x:v>300</x:v>
      </x:c>
      <x:c r="N5793" s="274" t="s">
        <x:v>9456</x:v>
      </x:c>
    </x:row>
    <x:row r="5794" spans="1:14">
      <x:c r="A5794" s="274" t="s">
        <x:v>9900</x:v>
      </x:c>
      <x:c r="B5794" s="274" t="n">
        <x:v>6.99</x:v>
      </x:c>
      <x:c r="C5794" s="274" t="n">
        <x:v>0</x:v>
      </x:c>
      <x:c r="D5794" s="274" t="n">
        <x:v>0</x:v>
      </x:c>
      <x:c r="F5794" s="274" t="s">
        <x:v>128</x:v>
      </x:c>
      <x:c r="G5794" s="274" t="s">
        <x:v>9899</x:v>
      </x:c>
      <x:c r="I5794" s="274" t="n">
        <x:v>1.8</x:v>
      </x:c>
      <x:c r="J5794" s="274" t="n">
        <x:v>825</x:v>
      </x:c>
      <x:c r="K5794" s="274" t="n">
        <x:v>600</x:v>
      </x:c>
      <x:c r="N5794" s="274" t="s">
        <x:v>9456</x:v>
      </x:c>
    </x:row>
    <x:row r="5795" spans="1:14">
      <x:c r="A5795" s="274" t="s">
        <x:v>9901</x:v>
      </x:c>
      <x:c r="B5795" s="274" t="n">
        <x:v>13.99</x:v>
      </x:c>
      <x:c r="C5795" s="274" t="n">
        <x:v>0</x:v>
      </x:c>
      <x:c r="D5795" s="274" t="n">
        <x:v>0</x:v>
      </x:c>
      <x:c r="F5795" s="274" t="s">
        <x:v>128</x:v>
      </x:c>
      <x:c r="G5795" s="274" t="s">
        <x:v>9899</x:v>
      </x:c>
      <x:c r="I5795" s="274" t="n">
        <x:v>1.8</x:v>
      </x:c>
      <x:c r="J5795" s="274" t="n">
        <x:v>825</x:v>
      </x:c>
      <x:c r="K5795" s="274" t="n">
        <x:v>1200</x:v>
      </x:c>
      <x:c r="N5795" s="274" t="s">
        <x:v>9456</x:v>
      </x:c>
    </x:row>
    <x:row r="5796" spans="1:14">
      <x:c r="A5796" s="274" t="s">
        <x:v>9902</x:v>
      </x:c>
      <x:c r="B5796" s="274" t="n">
        <x:v>18.65</x:v>
      </x:c>
      <x:c r="C5796" s="274" t="n">
        <x:v>0</x:v>
      </x:c>
      <x:c r="D5796" s="274" t="n">
        <x:v>0</x:v>
      </x:c>
      <x:c r="F5796" s="274" t="s">
        <x:v>128</x:v>
      </x:c>
      <x:c r="G5796" s="274" t="s">
        <x:v>9899</x:v>
      </x:c>
      <x:c r="I5796" s="274" t="n">
        <x:v>1.8</x:v>
      </x:c>
      <x:c r="J5796" s="274" t="n">
        <x:v>825</x:v>
      </x:c>
      <x:c r="K5796" s="274" t="n">
        <x:v>1600</x:v>
      </x:c>
      <x:c r="N5796" s="274" t="s">
        <x:v>9456</x:v>
      </x:c>
    </x:row>
    <x:row r="5797" spans="1:14">
      <x:c r="A5797" s="274" t="s">
        <x:v>9903</x:v>
      </x:c>
      <x:c r="B5797" s="274" t="n">
        <x:v>12.41</x:v>
      </x:c>
      <x:c r="C5797" s="274" t="n">
        <x:v>0</x:v>
      </x:c>
      <x:c r="D5797" s="274" t="n">
        <x:v>45</x:v>
      </x:c>
      <x:c r="E5797" s="274" t="n">
        <x:v>40</x:v>
      </x:c>
      <x:c r="F5797" s="274" t="s">
        <x:v>133</x:v>
      </x:c>
      <x:c r="G5797" s="274" t="s">
        <x:v>148</x:v>
      </x:c>
      <x:c r="I5797" s="274" t="n">
        <x:v>2.6</x:v>
      </x:c>
      <x:c r="J5797" s="274" t="n">
        <x:v>1105</x:v>
      </x:c>
      <x:c r="K5797" s="274" t="n">
        <x:v>550</x:v>
      </x:c>
      <x:c r="N5797" s="274" t="s">
        <x:v>4250</x:v>
      </x:c>
    </x:row>
    <x:row r="5798" spans="1:14">
      <x:c r="A5798" s="274" t="s">
        <x:v>9904</x:v>
      </x:c>
      <x:c r="B5798" s="274" t="n">
        <x:v>4.93</x:v>
      </x:c>
      <x:c r="C5798" s="274" t="n">
        <x:v>0</x:v>
      </x:c>
      <x:c r="D5798" s="274" t="n">
        <x:v>50</x:v>
      </x:c>
      <x:c r="E5798" s="274" t="n">
        <x:v>40</x:v>
      </x:c>
      <x:c r="F5798" s="274" t="s">
        <x:v>333</x:v>
      </x:c>
      <x:c r="G5798" s="274" t="s">
        <x:v>2160</x:v>
      </x:c>
      <x:c r="I5798" s="274" t="n">
        <x:v>1.4</x:v>
      </x:c>
      <x:c r="J5798" s="274" t="n">
        <x:v>1020</x:v>
      </x:c>
      <x:c r="K5798" s="274" t="n">
        <x:v>440</x:v>
      </x:c>
      <x:c r="N5798" s="274" t="s">
        <x:v>3325</x:v>
      </x:c>
    </x:row>
    <x:row r="5799" spans="1:14">
      <x:c r="A5799" s="274" t="s">
        <x:v>9905</x:v>
      </x:c>
      <x:c r="B5799" s="274" t="n">
        <x:v>1.8</x:v>
      </x:c>
      <x:c r="C5799" s="274" t="n">
        <x:v>50</x:v>
      </x:c>
      <x:c r="D5799" s="274" t="n">
        <x:v>40</x:v>
      </x:c>
      <x:c r="E5799" s="274" t="n">
        <x:v>0</x:v>
      </x:c>
      <x:c r="F5799" s="274" t="s">
        <x:v>333</x:v>
      </x:c>
      <x:c r="G5799" s="274" t="s">
        <x:v>2468</x:v>
      </x:c>
      <x:c r="I5799" s="274" t="n">
        <x:v>0.6</x:v>
      </x:c>
      <x:c r="J5799" s="274" t="n">
        <x:v>1065</x:v>
      </x:c>
      <x:c r="K5799" s="274" t="n">
        <x:v>358</x:v>
      </x:c>
      <x:c r="N5799" s="274" t="s">
        <x:v>3984</x:v>
      </x:c>
    </x:row>
    <x:row r="5800" spans="1:14">
      <x:c r="A5800" s="274" t="s">
        <x:v>9906</x:v>
      </x:c>
      <x:c r="B5800" s="274" t="n">
        <x:v>10.25</x:v>
      </x:c>
      <x:c r="C5800" s="274" t="n">
        <x:v>0</x:v>
      </x:c>
      <x:c r="D5800" s="274" t="n">
        <x:v>30</x:v>
      </x:c>
      <x:c r="E5800" s="274" t="n">
        <x:v>40</x:v>
      </x:c>
      <x:c r="F5800" s="274" t="s">
        <x:v>133</x:v>
      </x:c>
      <x:c r="G5800" s="274" t="s">
        <x:v>136</x:v>
      </x:c>
      <x:c r="H5800" s="274" t="n">
        <x:v>45</x:v>
      </x:c>
      <x:c r="I5800" s="274" t="n">
        <x:v>1.6</x:v>
      </x:c>
      <x:c r="J5800" s="274" t="n">
        <x:v>1350</x:v>
      </x:c>
      <x:c r="K5800" s="274" t="n">
        <x:v>600</x:v>
      </x:c>
      <x:c r="N5800" s="274" t="s">
        <x:v>299</x:v>
      </x:c>
    </x:row>
    <x:row r="5801" spans="1:14">
      <x:c r="A5801" s="274" t="s">
        <x:v>9907</x:v>
      </x:c>
      <x:c r="B5801" s="274" t="n">
        <x:v>7.16</x:v>
      </x:c>
      <x:c r="C5801" s="274" t="n">
        <x:v>0</x:v>
      </x:c>
      <x:c r="D5801" s="274" t="n">
        <x:v>45</x:v>
      </x:c>
      <x:c r="E5801" s="274" t="n">
        <x:v>40</x:v>
      </x:c>
      <x:c r="F5801" s="274" t="s">
        <x:v>133</x:v>
      </x:c>
      <x:c r="G5801" s="274" t="s">
        <x:v>144</x:v>
      </x:c>
      <x:c r="H5801" s="274" t="n">
        <x:v>45</x:v>
      </x:c>
      <x:c r="I5801" s="274" t="n">
        <x:v>1.8</x:v>
      </x:c>
      <x:c r="J5801" s="274" t="n">
        <x:v>1160</x:v>
      </x:c>
      <x:c r="K5801" s="274" t="n">
        <x:v>434</x:v>
      </x:c>
      <x:c r="M5801" s="274" t="s">
        <x:v>667</x:v>
      </x:c>
      <x:c r="N5801" s="274" t="s">
        <x:v>299</x:v>
      </x:c>
    </x:row>
    <x:row r="5802" spans="1:14">
      <x:c r="A5802" s="274" t="s">
        <x:v>9908</x:v>
      </x:c>
      <x:c r="B5802" s="274" t="n">
        <x:v>5.41</x:v>
      </x:c>
      <x:c r="C5802" s="274" t="n">
        <x:v>0</x:v>
      </x:c>
      <x:c r="D5802" s="274" t="n">
        <x:v>45</x:v>
      </x:c>
      <x:c r="E5802" s="274" t="n">
        <x:v>40</x:v>
      </x:c>
      <x:c r="F5802" s="274" t="s">
        <x:v>133</x:v>
      </x:c>
      <x:c r="G5802" s="274" t="s">
        <x:v>144</x:v>
      </x:c>
      <x:c r="H5802" s="274" t="n">
        <x:v>45</x:v>
      </x:c>
      <x:c r="I5802" s="274" t="n">
        <x:v>1.8</x:v>
      </x:c>
      <x:c r="J5802" s="274" t="n">
        <x:v>1160</x:v>
      </x:c>
      <x:c r="K5802" s="274" t="n">
        <x:v>328</x:v>
      </x:c>
      <x:c r="M5802" s="274" t="s">
        <x:v>669</x:v>
      </x:c>
      <x:c r="N5802" s="274" t="s">
        <x:v>299</x:v>
      </x:c>
    </x:row>
    <x:row r="5803" spans="1:14">
      <x:c r="A5803" s="274" t="s">
        <x:v>9909</x:v>
      </x:c>
      <x:c r="B5803" s="274" t="n">
        <x:v>10.78</x:v>
      </x:c>
      <x:c r="C5803" s="274" t="n">
        <x:v>0</x:v>
      </x:c>
      <x:c r="D5803" s="274" t="n">
        <x:v>45</x:v>
      </x:c>
      <x:c r="E5803" s="274" t="n">
        <x:v>40</x:v>
      </x:c>
      <x:c r="F5803" s="274" t="s">
        <x:v>133</x:v>
      </x:c>
      <x:c r="G5803" s="274" t="s">
        <x:v>134</x:v>
      </x:c>
      <x:c r="I5803" s="274" t="n">
        <x:v>2.6</x:v>
      </x:c>
      <x:c r="J5803" s="274" t="n">
        <x:v>1295</x:v>
      </x:c>
      <x:c r="K5803" s="274" t="n">
        <x:v>408</x:v>
      </x:c>
      <x:c r="M5803" s="274" t="s">
        <x:v>4282</x:v>
      </x:c>
      <x:c r="N5803" s="274" t="s">
        <x:v>299</x:v>
      </x:c>
    </x:row>
    <x:row r="5804" spans="1:14">
      <x:c r="A5804" s="274" t="s">
        <x:v>9910</x:v>
      </x:c>
      <x:c r="B5804" s="274" t="n">
        <x:v>8.48</x:v>
      </x:c>
      <x:c r="C5804" s="274" t="n">
        <x:v>0</x:v>
      </x:c>
      <x:c r="D5804" s="274" t="n">
        <x:v>35</x:v>
      </x:c>
      <x:c r="E5804" s="274" t="n">
        <x:v>30</x:v>
      </x:c>
      <x:c r="F5804" s="274" t="s">
        <x:v>333</x:v>
      </x:c>
      <x:c r="G5804" s="274" t="s">
        <x:v>4256</x:v>
      </x:c>
      <x:c r="I5804" s="274" t="n">
        <x:v>1.6</x:v>
      </x:c>
      <x:c r="J5804" s="274" t="n">
        <x:v>540</x:v>
      </x:c>
      <x:c r="K5804" s="274" t="n">
        <x:v>1250</x:v>
      </x:c>
      <x:c r="M5804" s="274" t="s">
        <x:v>4303</x:v>
      </x:c>
      <x:c r="N5804" s="274" t="s">
        <x:v>4258</x:v>
      </x:c>
    </x:row>
    <x:row r="5805" spans="1:14">
      <x:c r="A5805" s="274" t="s">
        <x:v>9911</x:v>
      </x:c>
      <x:c r="B5805" s="274" t="n">
        <x:v>9.41</x:v>
      </x:c>
      <x:c r="C5805" s="274" t="n">
        <x:v>0</x:v>
      </x:c>
      <x:c r="D5805" s="274" t="n">
        <x:v>50</x:v>
      </x:c>
      <x:c r="E5805" s="274" t="n">
        <x:v>40</x:v>
      </x:c>
      <x:c r="F5805" s="274" t="s">
        <x:v>133</x:v>
      </x:c>
      <x:c r="G5805" s="274" t="s">
        <x:v>144</x:v>
      </x:c>
      <x:c r="H5805" s="274" t="n">
        <x:v>45</x:v>
      </x:c>
      <x:c r="I5805" s="274" t="n">
        <x:v>2</x:v>
      </x:c>
      <x:c r="J5805" s="274" t="n">
        <x:v>1125</x:v>
      </x:c>
      <x:c r="K5805" s="274" t="n">
        <x:v>530</x:v>
      </x:c>
      <x:c r="N5805" s="274" t="s">
        <x:v>3671</x:v>
      </x:c>
    </x:row>
    <x:row r="5806" spans="1:14">
      <x:c r="A5806" s="274" t="s">
        <x:v>9912</x:v>
      </x:c>
      <x:c r="B5806" s="274" t="n">
        <x:v>3.77</x:v>
      </x:c>
      <x:c r="C5806" s="274" t="n">
        <x:v>0</x:v>
      </x:c>
      <x:c r="D5806" s="274" t="n">
        <x:v>45</x:v>
      </x:c>
      <x:c r="E5806" s="274" t="n">
        <x:v>40</x:v>
      </x:c>
      <x:c r="F5806" s="274" t="s">
        <x:v>133</x:v>
      </x:c>
      <x:c r="G5806" s="274" t="s">
        <x:v>4334</x:v>
      </x:c>
      <x:c r="I5806" s="274" t="n">
        <x:v>0.8</x:v>
      </x:c>
      <x:c r="J5806" s="274" t="n">
        <x:v>1225</x:v>
      </x:c>
      <x:c r="K5806" s="274" t="n">
        <x:v>490</x:v>
      </x:c>
      <x:c r="M5806" s="274" t="s">
        <x:v>3425</x:v>
      </x:c>
      <x:c r="N5806" s="274" t="s">
        <x:v>3392</x:v>
      </x:c>
    </x:row>
    <x:row r="5807" spans="1:14">
      <x:c r="A5807" s="274" t="s">
        <x:v>9913</x:v>
      </x:c>
      <x:c r="B5807" s="274" t="n">
        <x:v>4.56</x:v>
      </x:c>
      <x:c r="C5807" s="274" t="n">
        <x:v>0</x:v>
      </x:c>
      <x:c r="D5807" s="274" t="n">
        <x:v>35</x:v>
      </x:c>
      <x:c r="E5807" s="274" t="n">
        <x:v>30</x:v>
      </x:c>
      <x:c r="F5807" s="274" t="s">
        <x:v>128</x:v>
      </x:c>
      <x:c r="G5807" s="274" t="s">
        <x:v>3314</x:v>
      </x:c>
      <x:c r="H5807" s="274" t="n">
        <x:v>45</x:v>
      </x:c>
      <x:c r="I5807" s="274" t="n">
        <x:v>2.6</x:v>
      </x:c>
      <x:c r="J5807" s="274" t="n">
        <x:v>435</x:v>
      </x:c>
      <x:c r="K5807" s="274" t="n">
        <x:v>511</x:v>
      </x:c>
      <x:c r="N5807" s="274" t="s">
        <x:v>3671</x:v>
      </x:c>
    </x:row>
    <x:row r="5808" spans="1:14">
      <x:c r="A5808" s="274" t="s">
        <x:v>9914</x:v>
      </x:c>
      <x:c r="B5808" s="274" t="n">
        <x:v>3.99</x:v>
      </x:c>
      <x:c r="C5808" s="274" t="n">
        <x:v>0</x:v>
      </x:c>
      <x:c r="D5808" s="274" t="n">
        <x:v>45</x:v>
      </x:c>
      <x:c r="E5808" s="274" t="n">
        <x:v>40</x:v>
      </x:c>
      <x:c r="F5808" s="274" t="s">
        <x:v>333</x:v>
      </x:c>
      <x:c r="G5808" s="274" t="s">
        <x:v>153</x:v>
      </x:c>
      <x:c r="I5808" s="274" t="n">
        <x:v>1</x:v>
      </x:c>
      <x:c r="J5808" s="274" t="n">
        <x:v>985</x:v>
      </x:c>
      <x:c r="K5808" s="274" t="n">
        <x:v>516</x:v>
      </x:c>
      <x:c r="N5808" s="274" t="s">
        <x:v>3671</x:v>
      </x:c>
    </x:row>
    <x:row r="5809" spans="1:14">
      <x:c r="A5809" s="274" t="s">
        <x:v>9915</x:v>
      </x:c>
      <x:c r="B5809" s="274" t="n">
        <x:v>11.28</x:v>
      </x:c>
      <x:c r="C5809" s="274" t="n">
        <x:v>0</x:v>
      </x:c>
      <x:c r="D5809" s="274" t="n">
        <x:v>45</x:v>
      </x:c>
      <x:c r="E5809" s="274" t="n">
        <x:v>40</x:v>
      </x:c>
      <x:c r="F5809" s="274" t="s">
        <x:v>184</x:v>
      </x:c>
      <x:c r="G5809" s="274" t="s">
        <x:v>144</x:v>
      </x:c>
      <x:c r="H5809" s="274" t="n">
        <x:v>45</x:v>
      </x:c>
      <x:c r="I5809" s="274" t="n">
        <x:v>2.3</x:v>
      </x:c>
      <x:c r="J5809" s="274" t="n">
        <x:v>1205</x:v>
      </x:c>
      <x:c r="K5809" s="274" t="n">
        <x:v>516</x:v>
      </x:c>
      <x:c r="M5809" s="274" t="s">
        <x:v>4391</x:v>
      </x:c>
      <x:c r="N5809" s="274" t="s">
        <x:v>3671</x:v>
      </x:c>
    </x:row>
    <x:row r="5810" spans="1:14">
      <x:c r="A5810" s="274" t="s">
        <x:v>9916</x:v>
      </x:c>
      <x:c r="B5810" s="274" t="n">
        <x:v>7.81</x:v>
      </x:c>
      <x:c r="C5810" s="274" t="n">
        <x:v>0</x:v>
      </x:c>
      <x:c r="D5810" s="274" t="n">
        <x:v>45</x:v>
      </x:c>
      <x:c r="E5810" s="274" t="n">
        <x:v>40</x:v>
      </x:c>
      <x:c r="F5810" s="274" t="s">
        <x:v>133</x:v>
      </x:c>
      <x:c r="G5810" s="274" t="s">
        <x:v>148</x:v>
      </x:c>
      <x:c r="I5810" s="274" t="n">
        <x:v>2.6</x:v>
      </x:c>
      <x:c r="J5810" s="274" t="n">
        <x:v>1020</x:v>
      </x:c>
      <x:c r="K5810" s="274" t="n">
        <x:v>375</x:v>
      </x:c>
      <x:c r="M5810" s="274" t="s">
        <x:v>9917</x:v>
      </x:c>
      <x:c r="N5810" s="274" t="s">
        <x:v>3671</x:v>
      </x:c>
    </x:row>
    <x:row r="5811" spans="1:14">
      <x:c r="A5811" s="274" t="s">
        <x:v>9918</x:v>
      </x:c>
      <x:c r="B5811" s="274" t="n">
        <x:v>6.75</x:v>
      </x:c>
      <x:c r="C5811" s="274" t="n">
        <x:v>0</x:v>
      </x:c>
      <x:c r="D5811" s="274" t="n">
        <x:v>45</x:v>
      </x:c>
      <x:c r="E5811" s="274" t="n">
        <x:v>40</x:v>
      </x:c>
      <x:c r="F5811" s="274" t="s">
        <x:v>133</x:v>
      </x:c>
      <x:c r="G5811" s="274" t="s">
        <x:v>148</x:v>
      </x:c>
      <x:c r="I5811" s="274" t="n">
        <x:v>2.6</x:v>
      </x:c>
      <x:c r="J5811" s="274" t="n">
        <x:v>1020</x:v>
      </x:c>
      <x:c r="K5811" s="274" t="n">
        <x:v>324</x:v>
      </x:c>
      <x:c r="M5811" s="274" t="s">
        <x:v>4406</x:v>
      </x:c>
      <x:c r="N5811" s="274" t="s">
        <x:v>3671</x:v>
      </x:c>
    </x:row>
    <x:row r="5812" spans="1:14">
      <x:c r="A5812" s="274" t="s">
        <x:v>9919</x:v>
      </x:c>
      <x:c r="B5812" s="274" t="n">
        <x:v>22.26</x:v>
      </x:c>
      <x:c r="C5812" s="274" t="n">
        <x:v>0</x:v>
      </x:c>
      <x:c r="D5812" s="274" t="n">
        <x:v>37</x:v>
      </x:c>
      <x:c r="E5812" s="274" t="n">
        <x:v>32</x:v>
      </x:c>
      <x:c r="F5812" s="274" t="s">
        <x:v>133</x:v>
      </x:c>
      <x:c r="G5812" s="274" t="s">
        <x:v>136</x:v>
      </x:c>
      <x:c r="H5812" s="274" t="n">
        <x:v>45</x:v>
      </x:c>
      <x:c r="I5812" s="274" t="n">
        <x:v>2</x:v>
      </x:c>
      <x:c r="J5812" s="274" t="n">
        <x:v>1248</x:v>
      </x:c>
      <x:c r="K5812" s="274" t="n">
        <x:v>1130</x:v>
      </x:c>
      <x:c r="M5812" s="274" t="s">
        <x:v>2048</x:v>
      </x:c>
      <x:c r="N5812" s="274" t="s">
        <x:v>299</x:v>
      </x:c>
    </x:row>
    <x:row r="5813" spans="1:14">
      <x:c r="A5813" s="274" t="s">
        <x:v>9920</x:v>
      </x:c>
      <x:c r="B5813" s="274" t="n">
        <x:v>25.62</x:v>
      </x:c>
      <x:c r="C5813" s="274" t="n">
        <x:v>0</x:v>
      </x:c>
      <x:c r="D5813" s="274" t="n">
        <x:v>33</x:v>
      </x:c>
      <x:c r="E5813" s="274" t="n">
        <x:v>28</x:v>
      </x:c>
      <x:c r="F5813" s="274" t="s">
        <x:v>133</x:v>
      </x:c>
      <x:c r="G5813" s="274" t="s">
        <x:v>136</x:v>
      </x:c>
      <x:c r="H5813" s="274" t="n">
        <x:v>45</x:v>
      </x:c>
      <x:c r="I5813" s="274" t="n">
        <x:v>1.6</x:v>
      </x:c>
      <x:c r="J5813" s="274" t="n">
        <x:v>1350</x:v>
      </x:c>
      <x:c r="K5813" s="274" t="n">
        <x:v>1500</x:v>
      </x:c>
      <x:c r="M5813" s="274" t="s">
        <x:v>4478</x:v>
      </x:c>
      <x:c r="N5813" s="274" t="s">
        <x:v>4479</x:v>
      </x:c>
    </x:row>
    <x:row r="5814" spans="1:14">
      <x:c r="A5814" s="274" t="s">
        <x:v>9921</x:v>
      </x:c>
      <x:c r="B5814" s="274" t="n">
        <x:v>4.22</x:v>
      </x:c>
      <x:c r="C5814" s="274" t="n">
        <x:v>0</x:v>
      </x:c>
      <x:c r="D5814" s="274" t="n">
        <x:v>45</x:v>
      </x:c>
      <x:c r="E5814" s="274" t="n">
        <x:v>40</x:v>
      </x:c>
      <x:c r="F5814" s="274" t="s">
        <x:v>133</x:v>
      </x:c>
      <x:c r="G5814" s="274" t="s">
        <x:v>136</x:v>
      </x:c>
      <x:c r="H5814" s="274" t="n">
        <x:v>45</x:v>
      </x:c>
      <x:c r="I5814" s="274" t="n">
        <x:v>0.65</x:v>
      </x:c>
      <x:c r="J5814" s="274" t="n">
        <x:v>1456</x:v>
      </x:c>
      <x:c r="K5814" s="274" t="n">
        <x:v>558</x:v>
      </x:c>
      <x:c r="M5814" s="274" t="s">
        <x:v>9196</x:v>
      </x:c>
      <x:c r="N5814" s="274" t="s">
        <x:v>155</x:v>
      </x:c>
    </x:row>
    <x:row r="5815" spans="1:14">
      <x:c r="A5815" s="274" t="s">
        <x:v>9922</x:v>
      </x:c>
      <x:c r="B5815" s="274" t="n">
        <x:v>9.91</x:v>
      </x:c>
      <x:c r="C5815" s="274" t="n">
        <x:v>0</x:v>
      </x:c>
      <x:c r="D5815" s="274" t="n">
        <x:v>37</x:v>
      </x:c>
      <x:c r="E5815" s="274" t="n">
        <x:v>32</x:v>
      </x:c>
      <x:c r="F5815" s="274" t="s">
        <x:v>133</x:v>
      </x:c>
      <x:c r="G5815" s="274" t="s">
        <x:v>136</x:v>
      </x:c>
      <x:c r="H5815" s="274" t="n">
        <x:v>45</x:v>
      </x:c>
      <x:c r="I5815" s="274" t="n">
        <x:v>1</x:v>
      </x:c>
      <x:c r="J5815" s="274" t="n">
        <x:v>1040</x:v>
      </x:c>
      <x:c r="K5815" s="274" t="n">
        <x:v>1200</x:v>
      </x:c>
      <x:c r="M5815" s="274" t="s">
        <x:v>4166</x:v>
      </x:c>
      <x:c r="N5815" s="274" t="s">
        <x:v>4481</x:v>
      </x:c>
    </x:row>
    <x:row r="5816" spans="1:14">
      <x:c r="A5816" s="274" t="s">
        <x:v>9923</x:v>
      </x:c>
      <x:c r="B5816" s="274" t="n">
        <x:v>14.63</x:v>
      </x:c>
      <x:c r="C5816" s="274" t="n">
        <x:v>0</x:v>
      </x:c>
      <x:c r="D5816" s="274" t="n">
        <x:v>35</x:v>
      </x:c>
      <x:c r="E5816" s="274" t="n">
        <x:v>30</x:v>
      </x:c>
      <x:c r="F5816" s="274" t="s">
        <x:v>333</x:v>
      </x:c>
      <x:c r="G5816" s="274" t="s">
        <x:v>209</x:v>
      </x:c>
      <x:c r="I5816" s="274" t="n">
        <x:v>1.4</x:v>
      </x:c>
      <x:c r="J5816" s="274" t="n">
        <x:v>1065</x:v>
      </x:c>
      <x:c r="K5816" s="274" t="n">
        <x:v>1250</x:v>
      </x:c>
      <x:c r="M5816" s="274" t="s">
        <x:v>4550</x:v>
      </x:c>
      <x:c r="N5816" s="274" t="s">
        <x:v>3671</x:v>
      </x:c>
    </x:row>
    <x:row r="5817" spans="1:14">
      <x:c r="A5817" s="274" t="s">
        <x:v>9924</x:v>
      </x:c>
      <x:c r="B5817" s="274" t="n">
        <x:v>16.01</x:v>
      </x:c>
      <x:c r="C5817" s="274" t="n">
        <x:v>0</x:v>
      </x:c>
      <x:c r="D5817" s="274" t="n">
        <x:v>35</x:v>
      </x:c>
      <x:c r="E5817" s="274" t="n">
        <x:v>30</x:v>
      </x:c>
      <x:c r="F5817" s="274" t="s">
        <x:v>133</x:v>
      </x:c>
      <x:c r="G5817" s="274" t="s">
        <x:v>134</x:v>
      </x:c>
      <x:c r="I5817" s="274" t="n">
        <x:v>1.6</x:v>
      </x:c>
      <x:c r="J5817" s="274" t="n">
        <x:v>1020</x:v>
      </x:c>
      <x:c r="K5817" s="274" t="n">
        <x:v>1250</x:v>
      </x:c>
      <x:c r="M5817" s="274" t="s">
        <x:v>4552</x:v>
      </x:c>
      <x:c r="N5817" s="274" t="s">
        <x:v>3671</x:v>
      </x:c>
    </x:row>
    <x:row r="5818" spans="1:14">
      <x:c r="A5818" s="274" t="s">
        <x:v>9925</x:v>
      </x:c>
      <x:c r="B5818" s="274" t="n">
        <x:v>13.77</x:v>
      </x:c>
      <x:c r="C5818" s="274" t="n">
        <x:v>0</x:v>
      </x:c>
      <x:c r="D5818" s="274" t="n">
        <x:v>35</x:v>
      </x:c>
      <x:c r="E5818" s="274" t="n">
        <x:v>30</x:v>
      </x:c>
      <x:c r="F5818" s="274" t="s">
        <x:v>333</x:v>
      </x:c>
      <x:c r="G5818" s="274" t="s">
        <x:v>209</x:v>
      </x:c>
      <x:c r="I5818" s="274" t="n">
        <x:v>1.2</x:v>
      </x:c>
      <x:c r="J5818" s="274" t="n">
        <x:v>1170</x:v>
      </x:c>
      <x:c r="K5818" s="274" t="n">
        <x:v>1250</x:v>
      </x:c>
      <x:c r="M5818" s="274" t="s">
        <x:v>4556</x:v>
      </x:c>
      <x:c r="N5818" s="274" t="s">
        <x:v>3671</x:v>
      </x:c>
    </x:row>
    <x:row r="5819" spans="1:14">
      <x:c r="A5819" s="274" t="s">
        <x:v>9926</x:v>
      </x:c>
      <x:c r="B5819" s="274" t="n">
        <x:v>11.78</x:v>
      </x:c>
      <x:c r="C5819" s="274" t="n">
        <x:v>0</x:v>
      </x:c>
      <x:c r="D5819" s="274" t="n">
        <x:v>35</x:v>
      </x:c>
      <x:c r="E5819" s="274" t="n">
        <x:v>30</x:v>
      </x:c>
      <x:c r="F5819" s="274" t="s">
        <x:v>333</x:v>
      </x:c>
      <x:c r="G5819" s="274" t="s">
        <x:v>209</x:v>
      </x:c>
      <x:c r="I5819" s="274" t="n">
        <x:v>1</x:v>
      </x:c>
      <x:c r="J5819" s="274" t="n">
        <x:v>1200</x:v>
      </x:c>
      <x:c r="K5819" s="274" t="n">
        <x:v>1250</x:v>
      </x:c>
      <x:c r="M5819" s="274" t="s">
        <x:v>4560</x:v>
      </x:c>
      <x:c r="N5819" s="274" t="s">
        <x:v>3671</x:v>
      </x:c>
    </x:row>
    <x:row r="5820" spans="1:14">
      <x:c r="A5820" s="274" t="s">
        <x:v>9927</x:v>
      </x:c>
      <x:c r="B5820" s="274" t="n">
        <x:v>19.92</x:v>
      </x:c>
      <x:c r="C5820" s="274" t="n">
        <x:v>0</x:v>
      </x:c>
      <x:c r="D5820" s="274" t="n">
        <x:v>28</x:v>
      </x:c>
      <x:c r="E5820" s="274" t="n">
        <x:v>23</x:v>
      </x:c>
      <x:c r="F5820" s="274" t="s">
        <x:v>123</x:v>
      </x:c>
      <x:c r="G5820" s="274" t="s">
        <x:v>209</x:v>
      </x:c>
      <x:c r="I5820" s="274" t="n">
        <x:v>2</x:v>
      </x:c>
      <x:c r="J5820" s="274" t="n">
        <x:v>1015</x:v>
      </x:c>
      <x:c r="K5820" s="274" t="n">
        <x:v>1250</x:v>
      </x:c>
      <x:c r="M5820" s="274" t="s">
        <x:v>4578</x:v>
      </x:c>
      <x:c r="N5820" s="274" t="s">
        <x:v>3671</x:v>
      </x:c>
    </x:row>
    <x:row r="5821" spans="1:14">
      <x:c r="A5821" s="274" t="s">
        <x:v>9928</x:v>
      </x:c>
      <x:c r="B5821" s="274" t="n">
        <x:v>26.52</x:v>
      </x:c>
      <x:c r="C5821" s="274" t="n">
        <x:v>0</x:v>
      </x:c>
      <x:c r="D5821" s="274" t="n">
        <x:v>28</x:v>
      </x:c>
      <x:c r="E5821" s="274" t="n">
        <x:v>23</x:v>
      </x:c>
      <x:c r="F5821" s="274" t="s">
        <x:v>184</x:v>
      </x:c>
      <x:c r="G5821" s="274" t="s">
        <x:v>144</x:v>
      </x:c>
      <x:c r="H5821" s="274" t="n">
        <x:v>45</x:v>
      </x:c>
      <x:c r="I5821" s="274" t="n">
        <x:v>2.3</x:v>
      </x:c>
      <x:c r="J5821" s="274" t="n">
        <x:v>1170</x:v>
      </x:c>
      <x:c r="K5821" s="274" t="n">
        <x:v>1250</x:v>
      </x:c>
      <x:c r="M5821" s="274" t="s">
        <x:v>4582</x:v>
      </x:c>
      <x:c r="N5821" s="274" t="s">
        <x:v>3671</x:v>
      </x:c>
    </x:row>
    <x:row r="5822" spans="1:14">
      <x:c r="A5822" s="274" t="s">
        <x:v>9929</x:v>
      </x:c>
      <x:c r="B5822" s="274" t="n">
        <x:v>6.92</x:v>
      </x:c>
      <x:c r="C5822" s="274" t="n">
        <x:v>0</x:v>
      </x:c>
      <x:c r="D5822" s="274" t="n">
        <x:v>35</x:v>
      </x:c>
      <x:c r="E5822" s="274" t="n">
        <x:v>30</x:v>
      </x:c>
      <x:c r="F5822" s="274" t="s">
        <x:v>333</x:v>
      </x:c>
      <x:c r="G5822" s="274" t="s">
        <x:v>153</x:v>
      </x:c>
      <x:c r="I5822" s="274" t="n">
        <x:v>0.6</x:v>
      </x:c>
      <x:c r="J5822" s="274" t="n">
        <x:v>1175</x:v>
      </x:c>
      <x:c r="K5822" s="274" t="n">
        <x:v>1250</x:v>
      </x:c>
      <x:c r="M5822" s="274" t="s">
        <x:v>4591</x:v>
      </x:c>
      <x:c r="N5822" s="274" t="s">
        <x:v>3671</x:v>
      </x:c>
    </x:row>
    <x:row r="5823" spans="1:14">
      <x:c r="A5823" s="274" t="s">
        <x:v>9930</x:v>
      </x:c>
      <x:c r="B5823" s="274" t="n">
        <x:v>9.31</x:v>
      </x:c>
      <x:c r="C5823" s="274" t="n">
        <x:v>0</x:v>
      </x:c>
      <x:c r="D5823" s="274" t="n">
        <x:v>35</x:v>
      </x:c>
      <x:c r="E5823" s="274" t="n">
        <x:v>30</x:v>
      </x:c>
      <x:c r="F5823" s="274" t="s">
        <x:v>333</x:v>
      </x:c>
      <x:c r="G5823" s="274" t="s">
        <x:v>124</x:v>
      </x:c>
      <x:c r="I5823" s="274" t="n">
        <x:v>1.2</x:v>
      </x:c>
      <x:c r="J5823" s="274" t="n">
        <x:v>791</x:v>
      </x:c>
      <x:c r="K5823" s="274" t="n">
        <x:v>1250</x:v>
      </x:c>
      <x:c r="M5823" s="274" t="s">
        <x:v>4616</x:v>
      </x:c>
      <x:c r="N5823" s="274" t="s">
        <x:v>3671</x:v>
      </x:c>
    </x:row>
    <x:row r="5824" spans="1:14">
      <x:c r="A5824" s="274" t="s">
        <x:v>9931</x:v>
      </x:c>
      <x:c r="B5824" s="274" t="n">
        <x:v>17.43</x:v>
      </x:c>
      <x:c r="C5824" s="274" t="n">
        <x:v>0</x:v>
      </x:c>
      <x:c r="D5824" s="274" t="n">
        <x:v>35</x:v>
      </x:c>
      <x:c r="E5824" s="274" t="n">
        <x:v>30</x:v>
      </x:c>
      <x:c r="F5824" s="274" t="s">
        <x:v>123</x:v>
      </x:c>
      <x:c r="G5824" s="274" t="s">
        <x:v>148</x:v>
      </x:c>
      <x:c r="I5824" s="274" t="n">
        <x:v>1.6</x:v>
      </x:c>
      <x:c r="J5824" s="274" t="n">
        <x:v>1110</x:v>
      </x:c>
      <x:c r="K5824" s="274" t="n">
        <x:v>1250</x:v>
      </x:c>
      <x:c r="M5824" s="274" t="s">
        <x:v>4628</x:v>
      </x:c>
      <x:c r="N5824" s="274" t="s">
        <x:v>3671</x:v>
      </x:c>
    </x:row>
    <x:row r="5825" spans="1:14">
      <x:c r="A5825" s="274" t="s">
        <x:v>9932</x:v>
      </x:c>
      <x:c r="B5825" s="274" t="n">
        <x:v>3.48</x:v>
      </x:c>
      <x:c r="C5825" s="274" t="n">
        <x:v>0</x:v>
      </x:c>
      <x:c r="D5825" s="274" t="n">
        <x:v>45</x:v>
      </x:c>
      <x:c r="E5825" s="274" t="n">
        <x:v>40</x:v>
      </x:c>
      <x:c r="F5825" s="274" t="s">
        <x:v>123</x:v>
      </x:c>
      <x:c r="G5825" s="274" t="s">
        <x:v>4256</x:v>
      </x:c>
      <x:c r="I5825" s="274" t="n">
        <x:v>1</x:v>
      </x:c>
      <x:c r="J5825" s="274" t="n">
        <x:v>1180</x:v>
      </x:c>
      <x:c r="K5825" s="274" t="n">
        <x:v>376</x:v>
      </x:c>
      <x:c r="N5825" s="274" t="s">
        <x:v>4258</x:v>
      </x:c>
    </x:row>
    <x:row r="5826" spans="1:14">
      <x:c r="A5826" s="274" t="s">
        <x:v>9933</x:v>
      </x:c>
      <x:c r="B5826" s="274" t="n">
        <x:v>12.43</x:v>
      </x:c>
      <x:c r="C5826" s="274" t="n">
        <x:v>0</x:v>
      </x:c>
      <x:c r="D5826" s="274" t="n">
        <x:v>40</x:v>
      </x:c>
      <x:c r="E5826" s="274" t="n">
        <x:v>35</x:v>
      </x:c>
      <x:c r="F5826" s="274" t="s">
        <x:v>333</x:v>
      </x:c>
      <x:c r="G5826" s="274" t="s">
        <x:v>4663</x:v>
      </x:c>
      <x:c r="I5826" s="274" t="n">
        <x:v>1.2</x:v>
      </x:c>
      <x:c r="J5826" s="274" t="n">
        <x:v>1100</x:v>
      </x:c>
      <x:c r="K5826" s="274" t="n">
        <x:v>1200</x:v>
      </x:c>
      <x:c r="M5826" s="274" t="s">
        <x:v>9934</x:v>
      </x:c>
      <x:c r="N5826" s="274" t="s">
        <x:v>4258</x:v>
      </x:c>
    </x:row>
    <x:row r="5827" spans="1:14">
      <x:c r="A5827" s="274" t="s">
        <x:v>9935</x:v>
      </x:c>
      <x:c r="B5827" s="274" t="n">
        <x:v>3.94</x:v>
      </x:c>
      <x:c r="C5827" s="274" t="n">
        <x:v>0</x:v>
      </x:c>
      <x:c r="D5827" s="274" t="n">
        <x:v>45</x:v>
      </x:c>
      <x:c r="E5827" s="274" t="n">
        <x:v>40</x:v>
      </x:c>
      <x:c r="F5827" s="274" t="s">
        <x:v>333</x:v>
      </x:c>
      <x:c r="G5827" s="274" t="s">
        <x:v>4663</x:v>
      </x:c>
      <x:c r="I5827" s="274" t="n">
        <x:v>1.2</x:v>
      </x:c>
      <x:c r="J5827" s="274" t="n">
        <x:v>1100</x:v>
      </x:c>
      <x:c r="K5827" s="274" t="n">
        <x:v>380</x:v>
      </x:c>
      <x:c r="M5827" s="274" t="s">
        <x:v>4691</x:v>
      </x:c>
      <x:c r="N5827" s="274" t="s">
        <x:v>4258</x:v>
      </x:c>
    </x:row>
    <x:row r="5828" spans="1:14">
      <x:c r="A5828" s="274" t="s">
        <x:v>9936</x:v>
      </x:c>
      <x:c r="B5828" s="274" t="n">
        <x:v>4.14</x:v>
      </x:c>
      <x:c r="C5828" s="274" t="n">
        <x:v>0</x:v>
      </x:c>
      <x:c r="D5828" s="274" t="n">
        <x:v>45</x:v>
      </x:c>
      <x:c r="E5828" s="274" t="n">
        <x:v>40</x:v>
      </x:c>
      <x:c r="F5828" s="274" t="s">
        <x:v>333</x:v>
      </x:c>
      <x:c r="G5828" s="274" t="s">
        <x:v>4663</x:v>
      </x:c>
      <x:c r="I5828" s="274" t="n">
        <x:v>1.2</x:v>
      </x:c>
      <x:c r="J5828" s="274" t="n">
        <x:v>1100</x:v>
      </x:c>
      <x:c r="K5828" s="274" t="n">
        <x:v>400</x:v>
      </x:c>
      <x:c r="M5828" s="274" t="s">
        <x:v>4717</x:v>
      </x:c>
      <x:c r="N5828" s="274" t="s">
        <x:v>4258</x:v>
      </x:c>
    </x:row>
    <x:row r="5829" spans="1:14">
      <x:c r="A5829" s="274" t="s">
        <x:v>9937</x:v>
      </x:c>
      <x:c r="B5829" s="274" t="n">
        <x:v>3.15</x:v>
      </x:c>
      <x:c r="C5829" s="274" t="n">
        <x:v>0</x:v>
      </x:c>
      <x:c r="D5829" s="274" t="n">
        <x:v>45</x:v>
      </x:c>
      <x:c r="E5829" s="274" t="n">
        <x:v>40</x:v>
      </x:c>
      <x:c r="F5829" s="274" t="s">
        <x:v>333</x:v>
      </x:c>
      <x:c r="G5829" s="274" t="s">
        <x:v>4663</x:v>
      </x:c>
      <x:c r="I5829" s="274" t="n">
        <x:v>0.8</x:v>
      </x:c>
      <x:c r="J5829" s="274" t="n">
        <x:v>1159</x:v>
      </x:c>
      <x:c r="K5829" s="274" t="n">
        <x:v>433</x:v>
      </x:c>
      <x:c r="M5829" s="274" t="s">
        <x:v>4698</x:v>
      </x:c>
      <x:c r="N5829" s="274" t="s">
        <x:v>4258</x:v>
      </x:c>
    </x:row>
    <x:row r="5830" spans="1:14">
      <x:c r="A5830" s="274" t="s">
        <x:v>9938</x:v>
      </x:c>
      <x:c r="B5830" s="274" t="n">
        <x:v>3.3</x:v>
      </x:c>
      <x:c r="C5830" s="274" t="n">
        <x:v>0</x:v>
      </x:c>
      <x:c r="D5830" s="274" t="n">
        <x:v>45</x:v>
      </x:c>
      <x:c r="E5830" s="274" t="n">
        <x:v>40</x:v>
      </x:c>
      <x:c r="F5830" s="274" t="s">
        <x:v>333</x:v>
      </x:c>
      <x:c r="G5830" s="274" t="s">
        <x:v>4663</x:v>
      </x:c>
      <x:c r="I5830" s="274" t="n">
        <x:v>0.8</x:v>
      </x:c>
      <x:c r="J5830" s="274" t="n">
        <x:v>1159</x:v>
      </x:c>
      <x:c r="K5830" s="274" t="n">
        <x:v>454</x:v>
      </x:c>
      <x:c r="M5830" s="274" t="s">
        <x:v>4711</x:v>
      </x:c>
      <x:c r="N5830" s="274" t="s">
        <x:v>4258</x:v>
      </x:c>
    </x:row>
    <x:row r="5831" spans="1:14">
      <x:c r="A5831" s="274" t="s">
        <x:v>9939</x:v>
      </x:c>
      <x:c r="B5831" s="274" t="n">
        <x:v>9.1</x:v>
      </x:c>
      <x:c r="C5831" s="274" t="n">
        <x:v>0</x:v>
      </x:c>
      <x:c r="D5831" s="274" t="n">
        <x:v>37</x:v>
      </x:c>
      <x:c r="E5831" s="274" t="n">
        <x:v>32</x:v>
      </x:c>
      <x:c r="F5831" s="274" t="s">
        <x:v>333</x:v>
      </x:c>
      <x:c r="G5831" s="274" t="s">
        <x:v>4663</x:v>
      </x:c>
      <x:c r="I5831" s="274" t="n">
        <x:v>0.8</x:v>
      </x:c>
      <x:c r="J5831" s="274" t="n">
        <x:v>1159</x:v>
      </x:c>
      <x:c r="K5831" s="274" t="n">
        <x:v>1250</x:v>
      </x:c>
      <x:c r="M5831" s="274" t="s">
        <x:v>9940</x:v>
      </x:c>
      <x:c r="N5831" s="274" t="s">
        <x:v>5047</x:v>
      </x:c>
    </x:row>
    <x:row r="5832" spans="1:14">
      <x:c r="A5832" s="274" t="s">
        <x:v>9941</x:v>
      </x:c>
      <x:c r="B5832" s="274" t="n">
        <x:v>16.55</x:v>
      </x:c>
      <x:c r="C5832" s="274" t="n">
        <x:v>0</x:v>
      </x:c>
      <x:c r="D5832" s="274" t="n">
        <x:v>35</x:v>
      </x:c>
      <x:c r="E5832" s="274" t="n">
        <x:v>30</x:v>
      </x:c>
      <x:c r="F5832" s="274" t="s">
        <x:v>333</x:v>
      </x:c>
      <x:c r="G5832" s="274" t="s">
        <x:v>4663</x:v>
      </x:c>
      <x:c r="I5832" s="274" t="n">
        <x:v>1.4</x:v>
      </x:c>
      <x:c r="J5832" s="274" t="n">
        <x:v>1205</x:v>
      </x:c>
      <x:c r="K5832" s="274" t="n">
        <x:v>1250</x:v>
      </x:c>
      <x:c r="M5832" s="274" t="s">
        <x:v>4817</x:v>
      </x:c>
      <x:c r="N5832" s="274" t="s">
        <x:v>4258</x:v>
      </x:c>
    </x:row>
    <x:row r="5833" spans="1:14">
      <x:c r="A5833" s="274" t="s">
        <x:v>9942</x:v>
      </x:c>
      <x:c r="B5833" s="274" t="n">
        <x:v>10.9</x:v>
      </x:c>
      <x:c r="C5833" s="274" t="n">
        <x:v>0</x:v>
      </x:c>
      <x:c r="D5833" s="274" t="n">
        <x:v>35</x:v>
      </x:c>
      <x:c r="E5833" s="274" t="n">
        <x:v>30</x:v>
      </x:c>
      <x:c r="F5833" s="274" t="s">
        <x:v>333</x:v>
      </x:c>
      <x:c r="G5833" s="274" t="s">
        <x:v>4663</x:v>
      </x:c>
      <x:c r="I5833" s="274" t="n">
        <x:v>1</x:v>
      </x:c>
      <x:c r="J5833" s="274" t="n">
        <x:v>1110</x:v>
      </x:c>
      <x:c r="K5833" s="274" t="n">
        <x:v>1250</x:v>
      </x:c>
      <x:c r="M5833" s="274" t="s">
        <x:v>4792</x:v>
      </x:c>
      <x:c r="N5833" s="274" t="s">
        <x:v>4258</x:v>
      </x:c>
    </x:row>
    <x:row r="5834" spans="1:14">
      <x:c r="A5834" s="274" t="s">
        <x:v>9943</x:v>
      </x:c>
      <x:c r="B5834" s="274" t="n">
        <x:v>13.01</x:v>
      </x:c>
      <x:c r="C5834" s="274" t="n">
        <x:v>0</x:v>
      </x:c>
      <x:c r="D5834" s="274" t="n">
        <x:v>35</x:v>
      </x:c>
      <x:c r="E5834" s="274" t="n">
        <x:v>30</x:v>
      </x:c>
      <x:c r="F5834" s="274" t="s">
        <x:v>184</x:v>
      </x:c>
      <x:c r="G5834" s="274" t="s">
        <x:v>4782</x:v>
      </x:c>
      <x:c r="H5834" s="274" t="s">
        <x:v>4471</x:v>
      </x:c>
      <x:c r="I5834" s="274" t="n">
        <x:v>1.2</x:v>
      </x:c>
      <x:c r="J5834" s="274" t="n">
        <x:v>1105</x:v>
      </x:c>
      <x:c r="K5834" s="274" t="n">
        <x:v>1250</x:v>
      </x:c>
      <x:c r="M5834" s="274" t="s">
        <x:v>4807</x:v>
      </x:c>
      <x:c r="N5834" s="274" t="s">
        <x:v>4258</x:v>
      </x:c>
    </x:row>
    <x:row r="5835" spans="1:14">
      <x:c r="A5835" s="274" t="s">
        <x:v>9944</x:v>
      </x:c>
      <x:c r="B5835" s="274" t="n">
        <x:v>16.41</x:v>
      </x:c>
      <x:c r="C5835" s="274" t="n">
        <x:v>0</x:v>
      </x:c>
      <x:c r="D5835" s="274" t="n">
        <x:v>35</x:v>
      </x:c>
      <x:c r="E5835" s="274" t="n">
        <x:v>30</x:v>
      </x:c>
      <x:c r="F5835" s="274" t="s">
        <x:v>333</x:v>
      </x:c>
      <x:c r="G5835" s="274" t="s">
        <x:v>4663</x:v>
      </x:c>
      <x:c r="I5835" s="274" t="n">
        <x:v>1.2</x:v>
      </x:c>
      <x:c r="J5835" s="274" t="n">
        <x:v>1394</x:v>
      </x:c>
      <x:c r="K5835" s="274" t="n">
        <x:v>1250</x:v>
      </x:c>
      <x:c r="M5835" s="274" t="s">
        <x:v>4811</x:v>
      </x:c>
      <x:c r="N5835" s="274" t="s">
        <x:v>4258</x:v>
      </x:c>
    </x:row>
    <x:row r="5836" spans="1:14">
      <x:c r="A5836" s="274" t="s">
        <x:v>9945</x:v>
      </x:c>
      <x:c r="B5836" s="274" t="n">
        <x:v>5.19</x:v>
      </x:c>
      <x:c r="C5836" s="274" t="n">
        <x:v>0</x:v>
      </x:c>
      <x:c r="D5836" s="274" t="n">
        <x:v>45</x:v>
      </x:c>
      <x:c r="E5836" s="274" t="n">
        <x:v>40</x:v>
      </x:c>
      <x:c r="F5836" s="274" t="s">
        <x:v>333</x:v>
      </x:c>
      <x:c r="G5836" s="274" t="s">
        <x:v>4286</x:v>
      </x:c>
      <x:c r="I5836" s="274" t="n">
        <x:v>0.6</x:v>
      </x:c>
      <x:c r="J5836" s="274" t="n">
        <x:v>1255</x:v>
      </x:c>
      <x:c r="K5836" s="274" t="n">
        <x:v>877</x:v>
      </x:c>
      <x:c r="M5836" s="274" t="s">
        <x:v>4772</x:v>
      </x:c>
      <x:c r="N5836" s="274" t="s">
        <x:v>4258</x:v>
      </x:c>
    </x:row>
    <x:row r="5837" spans="1:14">
      <x:c r="A5837" s="274" t="s">
        <x:v>9946</x:v>
      </x:c>
      <x:c r="B5837" s="274" t="n">
        <x:v>4.71</x:v>
      </x:c>
      <x:c r="C5837" s="274" t="n">
        <x:v>0</x:v>
      </x:c>
      <x:c r="D5837" s="274" t="n">
        <x:v>45</x:v>
      </x:c>
      <x:c r="E5837" s="274" t="n">
        <x:v>40</x:v>
      </x:c>
      <x:c r="F5837" s="274" t="s">
        <x:v>333</x:v>
      </x:c>
      <x:c r="G5837" s="274" t="s">
        <x:v>4286</x:v>
      </x:c>
      <x:c r="I5837" s="274" t="n">
        <x:v>0.6</x:v>
      </x:c>
      <x:c r="J5837" s="274" t="n">
        <x:v>1255</x:v>
      </x:c>
      <x:c r="K5837" s="274" t="n">
        <x:v>796</x:v>
      </x:c>
      <x:c r="M5837" s="274" t="s">
        <x:v>4774</x:v>
      </x:c>
      <x:c r="N5837" s="274" t="s">
        <x:v>4258</x:v>
      </x:c>
    </x:row>
    <x:row r="5838" spans="1:14">
      <x:c r="A5838" s="274" t="s">
        <x:v>9947</x:v>
      </x:c>
      <x:c r="B5838" s="274" t="n">
        <x:v>2.63</x:v>
      </x:c>
      <x:c r="C5838" s="274" t="n">
        <x:v>0</x:v>
      </x:c>
      <x:c r="D5838" s="274" t="n">
        <x:v>45</x:v>
      </x:c>
      <x:c r="E5838" s="274" t="n">
        <x:v>40</x:v>
      </x:c>
      <x:c r="F5838" s="274" t="s">
        <x:v>333</x:v>
      </x:c>
      <x:c r="G5838" s="274" t="s">
        <x:v>4663</x:v>
      </x:c>
      <x:c r="I5838" s="274" t="n">
        <x:v>0.65</x:v>
      </x:c>
      <x:c r="J5838" s="274" t="n">
        <x:v>1100</x:v>
      </x:c>
      <x:c r="K5838" s="274" t="n">
        <x:v>468</x:v>
      </x:c>
      <x:c r="M5838" s="274" t="s">
        <x:v>4776</x:v>
      </x:c>
      <x:c r="N5838" s="274" t="s">
        <x:v>4258</x:v>
      </x:c>
    </x:row>
    <x:row r="5839" spans="1:14">
      <x:c r="A5839" s="274" t="s">
        <x:v>9948</x:v>
      </x:c>
      <x:c r="B5839" s="274" t="n">
        <x:v>10.46</x:v>
      </x:c>
      <x:c r="C5839" s="274" t="n">
        <x:v>0</x:v>
      </x:c>
      <x:c r="D5839" s="274" t="n">
        <x:v>37</x:v>
      </x:c>
      <x:c r="E5839" s="274" t="n">
        <x:v>32</x:v>
      </x:c>
      <x:c r="F5839" s="274" t="s">
        <x:v>333</x:v>
      </x:c>
      <x:c r="G5839" s="274" t="s">
        <x:v>4663</x:v>
      </x:c>
      <x:c r="I5839" s="274" t="n">
        <x:v>1</x:v>
      </x:c>
      <x:c r="J5839" s="274" t="n">
        <x:v>1110</x:v>
      </x:c>
      <x:c r="K5839" s="274" t="n">
        <x:v>1200</x:v>
      </x:c>
      <x:c r="M5839" s="274" t="s">
        <x:v>4770</x:v>
      </x:c>
      <x:c r="N5839" s="274" t="s">
        <x:v>4258</x:v>
      </x:c>
    </x:row>
    <x:row r="5840" spans="1:14">
      <x:c r="A5840" s="274" t="s">
        <x:v>9949</x:v>
      </x:c>
      <x:c r="B5840" s="274" t="n">
        <x:v>4.84</x:v>
      </x:c>
      <x:c r="C5840" s="274" t="n">
        <x:v>0</x:v>
      </x:c>
      <x:c r="D5840" s="274" t="n">
        <x:v>45</x:v>
      </x:c>
      <x:c r="E5840" s="274" t="n">
        <x:v>40</x:v>
      </x:c>
      <x:c r="F5840" s="274" t="s">
        <x:v>333</x:v>
      </x:c>
      <x:c r="G5840" s="274" t="s">
        <x:v>4796</x:v>
      </x:c>
      <x:c r="I5840" s="274" t="n">
        <x:v>1</x:v>
      </x:c>
      <x:c r="J5840" s="274" t="n">
        <x:v>1153</x:v>
      </x:c>
      <x:c r="K5840" s="274" t="n">
        <x:v>535</x:v>
      </x:c>
      <x:c r="M5840" s="274" t="s">
        <x:v>4797</x:v>
      </x:c>
      <x:c r="N5840" s="274" t="s">
        <x:v>4258</x:v>
      </x:c>
    </x:row>
    <x:row r="5841" spans="1:14">
      <x:c r="A5841" s="274" t="s">
        <x:v>9950</x:v>
      </x:c>
      <x:c r="B5841" s="274" t="n">
        <x:v>14.51</x:v>
      </x:c>
      <x:c r="C5841" s="274" t="n">
        <x:v>0</x:v>
      </x:c>
      <x:c r="D5841" s="274" t="n">
        <x:v>35</x:v>
      </x:c>
      <x:c r="E5841" s="274" t="n">
        <x:v>30</x:v>
      </x:c>
      <x:c r="F5841" s="274" t="s">
        <x:v>4735</x:v>
      </x:c>
      <x:c r="G5841" s="274" t="s">
        <x:v>4736</x:v>
      </x:c>
      <x:c r="I5841" s="274" t="n">
        <x:v>1.2</x:v>
      </x:c>
      <x:c r="J5841" s="274" t="n">
        <x:v>1250</x:v>
      </x:c>
      <x:c r="K5841" s="274" t="n">
        <x:v>1240</x:v>
      </x:c>
      <x:c r="M5841" s="274" t="s">
        <x:v>4745</x:v>
      </x:c>
      <x:c r="N5841" s="274" t="s">
        <x:v>3671</x:v>
      </x:c>
    </x:row>
    <x:row r="5842" spans="1:14">
      <x:c r="A5842" s="274" t="s">
        <x:v>9951</x:v>
      </x:c>
      <x:c r="B5842" s="274" t="n">
        <x:v>24.18</x:v>
      </x:c>
      <x:c r="C5842" s="274" t="n">
        <x:v>0</x:v>
      </x:c>
      <x:c r="D5842" s="274" t="n">
        <x:v>35</x:v>
      </x:c>
      <x:c r="E5842" s="274" t="n">
        <x:v>30</x:v>
      </x:c>
      <x:c r="F5842" s="274" t="s">
        <x:v>4735</x:v>
      </x:c>
      <x:c r="G5842" s="274" t="s">
        <x:v>4736</x:v>
      </x:c>
      <x:c r="I5842" s="274" t="n">
        <x:v>2</x:v>
      </x:c>
      <x:c r="J5842" s="274" t="n">
        <x:v>1250</x:v>
      </x:c>
      <x:c r="K5842" s="274" t="n">
        <x:v>1240</x:v>
      </x:c>
      <x:c r="M5842" s="274" t="s">
        <x:v>4747</x:v>
      </x:c>
      <x:c r="N5842" s="274" t="s">
        <x:v>3671</x:v>
      </x:c>
    </x:row>
    <x:row r="5843" spans="1:14">
      <x:c r="A5843" s="274" t="s">
        <x:v>9952</x:v>
      </x:c>
      <x:c r="B5843" s="274" t="n">
        <x:v>14.51</x:v>
      </x:c>
      <x:c r="C5843" s="274" t="n">
        <x:v>0</x:v>
      </x:c>
      <x:c r="D5843" s="274" t="n">
        <x:v>35</x:v>
      </x:c>
      <x:c r="E5843" s="274" t="n">
        <x:v>30</x:v>
      </x:c>
      <x:c r="F5843" s="274" t="s">
        <x:v>4735</x:v>
      </x:c>
      <x:c r="G5843" s="274" t="s">
        <x:v>4749</x:v>
      </x:c>
      <x:c r="I5843" s="274" t="n">
        <x:v>1.2</x:v>
      </x:c>
      <x:c r="J5843" s="274" t="n">
        <x:v>1250</x:v>
      </x:c>
      <x:c r="K5843" s="274" t="n">
        <x:v>1240</x:v>
      </x:c>
      <x:c r="M5843" s="274" t="s">
        <x:v>9953</x:v>
      </x:c>
      <x:c r="N5843" s="274" t="s">
        <x:v>3671</x:v>
      </x:c>
    </x:row>
    <x:row r="5844" spans="1:14">
      <x:c r="A5844" s="274" t="s">
        <x:v>9954</x:v>
      </x:c>
      <x:c r="B5844" s="274" t="n">
        <x:v>2.78</x:v>
      </x:c>
      <x:c r="C5844" s="274" t="n">
        <x:v>0</x:v>
      </x:c>
      <x:c r="D5844" s="274" t="n">
        <x:v>45</x:v>
      </x:c>
      <x:c r="E5844" s="274" t="n">
        <x:v>40</x:v>
      </x:c>
      <x:c r="F5844" s="274" t="s">
        <x:v>123</x:v>
      </x:c>
      <x:c r="G5844" s="274" t="s">
        <x:v>153</x:v>
      </x:c>
      <x:c r="I5844" s="274" t="n">
        <x:v>0.8</x:v>
      </x:c>
      <x:c r="J5844" s="274" t="n">
        <x:v>1150</x:v>
      </x:c>
      <x:c r="K5844" s="274" t="n">
        <x:v>385</x:v>
      </x:c>
      <x:c r="M5844" s="274" t="s">
        <x:v>990</x:v>
      </x:c>
      <x:c r="N5844" s="274" t="s">
        <x:v>1557</x:v>
      </x:c>
    </x:row>
    <x:row r="5845" spans="1:14">
      <x:c r="A5845" s="274" t="s">
        <x:v>9955</x:v>
      </x:c>
      <x:c r="B5845" s="274" t="n">
        <x:v>3.36</x:v>
      </x:c>
      <x:c r="C5845" s="274" t="n">
        <x:v>0</x:v>
      </x:c>
      <x:c r="D5845" s="274" t="n">
        <x:v>45</x:v>
      </x:c>
      <x:c r="E5845" s="274" t="n">
        <x:v>40</x:v>
      </x:c>
      <x:c r="F5845" s="274" t="s">
        <x:v>123</x:v>
      </x:c>
      <x:c r="G5845" s="274" t="s">
        <x:v>153</x:v>
      </x:c>
      <x:c r="I5845" s="274" t="n">
        <x:v>0.8</x:v>
      </x:c>
      <x:c r="J5845" s="274" t="n">
        <x:v>1150</x:v>
      </x:c>
      <x:c r="K5845" s="274" t="n">
        <x:v>465</x:v>
      </x:c>
      <x:c r="M5845" s="274" t="s">
        <x:v>2066</x:v>
      </x:c>
      <x:c r="N5845" s="274" t="s">
        <x:v>1220</x:v>
      </x:c>
    </x:row>
    <x:row r="5846" spans="1:14">
      <x:c r="A5846" s="274" t="s">
        <x:v>9956</x:v>
      </x:c>
      <x:c r="B5846" s="274" t="n">
        <x:v>12.18</x:v>
      </x:c>
      <x:c r="C5846" s="274" t="n">
        <x:v>0</x:v>
      </x:c>
      <x:c r="D5846" s="274" t="n">
        <x:v>40</x:v>
      </x:c>
      <x:c r="E5846" s="274" t="n">
        <x:v>35</x:v>
      </x:c>
      <x:c r="F5846" s="274" t="s">
        <x:v>333</x:v>
      </x:c>
      <x:c r="G5846" s="274" t="s">
        <x:v>209</x:v>
      </x:c>
      <x:c r="I5846" s="274" t="n">
        <x:v>1.4</x:v>
      </x:c>
      <x:c r="J5846" s="274" t="n">
        <x:v>1065</x:v>
      </x:c>
      <x:c r="K5846" s="274" t="n">
        <x:v>1040</x:v>
      </x:c>
      <x:c r="N5846" s="274" t="s">
        <x:v>3671</x:v>
      </x:c>
    </x:row>
    <x:row r="5847" spans="1:14">
      <x:c r="A5847" s="274" t="s">
        <x:v>9957</x:v>
      </x:c>
      <x:c r="B5847" s="274" t="n">
        <x:v>12.49</x:v>
      </x:c>
      <x:c r="C5847" s="274" t="n">
        <x:v>0</x:v>
      </x:c>
      <x:c r="D5847" s="274" t="n">
        <x:v>35</x:v>
      </x:c>
      <x:c r="E5847" s="274" t="n">
        <x:v>32</x:v>
      </x:c>
      <x:c r="F5847" s="274" t="s">
        <x:v>184</x:v>
      </x:c>
      <x:c r="G5847" s="274" t="s">
        <x:v>4782</x:v>
      </x:c>
      <x:c r="H5847" s="274" t="s">
        <x:v>4471</x:v>
      </x:c>
      <x:c r="I5847" s="274" t="n">
        <x:v>1.2</x:v>
      </x:c>
      <x:c r="J5847" s="274" t="n">
        <x:v>1105</x:v>
      </x:c>
      <x:c r="K5847" s="274" t="n">
        <x:v>1200</x:v>
      </x:c>
      <x:c r="M5847" s="274" t="s">
        <x:v>4863</x:v>
      </x:c>
      <x:c r="N5847" s="274" t="s">
        <x:v>4258</x:v>
      </x:c>
    </x:row>
    <x:row r="5848" spans="1:14">
      <x:c r="A5848" s="274" t="s">
        <x:v>9958</x:v>
      </x:c>
      <x:c r="B5848" s="274" t="n">
        <x:v>18.31</x:v>
      </x:c>
      <x:c r="C5848" s="274" t="n">
        <x:v>0</x:v>
      </x:c>
      <x:c r="D5848" s="274" t="n">
        <x:v>30</x:v>
      </x:c>
      <x:c r="E5848" s="274" t="n">
        <x:v>25</x:v>
      </x:c>
      <x:c r="F5848" s="274" t="s">
        <x:v>184</x:v>
      </x:c>
      <x:c r="G5848" s="274" t="s">
        <x:v>4782</x:v>
      </x:c>
      <x:c r="H5848" s="274" t="s">
        <x:v>4471</x:v>
      </x:c>
      <x:c r="I5848" s="274" t="n">
        <x:v>1.8</x:v>
      </x:c>
      <x:c r="J5848" s="274" t="n">
        <x:v>1080</x:v>
      </x:c>
      <x:c r="K5848" s="274" t="n">
        <x:v>1200</x:v>
      </x:c>
      <x:c r="M5848" s="274" t="s">
        <x:v>9959</x:v>
      </x:c>
      <x:c r="N5848" s="274" t="s">
        <x:v>4258</x:v>
      </x:c>
    </x:row>
    <x:row r="5849" spans="1:14">
      <x:c r="A5849" s="274" t="s">
        <x:v>9960</x:v>
      </x:c>
      <x:c r="B5849" s="274" t="n">
        <x:v>10.86</x:v>
      </x:c>
      <x:c r="C5849" s="274" t="n">
        <x:v>0</x:v>
      </x:c>
      <x:c r="D5849" s="274" t="n">
        <x:v>35</x:v>
      </x:c>
      <x:c r="E5849" s="274" t="n">
        <x:v>32</x:v>
      </x:c>
      <x:c r="F5849" s="274" t="s">
        <x:v>333</x:v>
      </x:c>
      <x:c r="G5849" s="274" t="s">
        <x:v>4796</x:v>
      </x:c>
      <x:c r="I5849" s="274" t="n">
        <x:v>1</x:v>
      </x:c>
      <x:c r="J5849" s="274" t="n">
        <x:v>1153</x:v>
      </x:c>
      <x:c r="K5849" s="274" t="n">
        <x:v>1200</x:v>
      </x:c>
      <x:c r="M5849" s="274" t="s">
        <x:v>9961</x:v>
      </x:c>
      <x:c r="N5849" s="274" t="s">
        <x:v>4258</x:v>
      </x:c>
    </x:row>
    <x:row r="5850" spans="1:14">
      <x:c r="A5850" s="274" t="s">
        <x:v>9962</x:v>
      </x:c>
      <x:c r="B5850" s="274" t="n">
        <x:v>4.36</x:v>
      </x:c>
      <x:c r="C5850" s="274" t="n">
        <x:v>0</x:v>
      </x:c>
      <x:c r="D5850" s="274" t="n">
        <x:v>45</x:v>
      </x:c>
      <x:c r="E5850" s="274" t="n">
        <x:v>40</x:v>
      </x:c>
      <x:c r="F5850" s="274" t="s">
        <x:v>333</x:v>
      </x:c>
      <x:c r="G5850" s="274" t="s">
        <x:v>4663</x:v>
      </x:c>
      <x:c r="I5850" s="274" t="n">
        <x:v>1</x:v>
      </x:c>
      <x:c r="J5850" s="274" t="n">
        <x:v>1110</x:v>
      </x:c>
      <x:c r="K5850" s="274" t="n">
        <x:v>500</x:v>
      </x:c>
      <x:c r="M5850" s="274" t="s">
        <x:v>9963</x:v>
      </x:c>
      <x:c r="N5850" s="274" t="s">
        <x:v>4258</x:v>
      </x:c>
    </x:row>
    <x:row r="5851" spans="1:14">
      <x:c r="A5851" s="274" t="s">
        <x:v>9964</x:v>
      </x:c>
      <x:c r="B5851" s="274" t="n">
        <x:v>11.91</x:v>
      </x:c>
      <x:c r="C5851" s="274" t="n">
        <x:v>0</x:v>
      </x:c>
      <x:c r="D5851" s="274" t="n">
        <x:v>45</x:v>
      </x:c>
      <x:c r="E5851" s="274" t="n">
        <x:v>40</x:v>
      </x:c>
      <x:c r="F5851" s="274" t="s">
        <x:v>333</x:v>
      </x:c>
      <x:c r="G5851" s="274" t="s">
        <x:v>4663</x:v>
      </x:c>
      <x:c r="I5851" s="274" t="n">
        <x:v>1.4</x:v>
      </x:c>
      <x:c r="J5851" s="274" t="n">
        <x:v>1205</x:v>
      </x:c>
      <x:c r="K5851" s="274" t="n">
        <x:v>900</x:v>
      </x:c>
      <x:c r="M5851" s="274" t="s">
        <x:v>4873</x:v>
      </x:c>
      <x:c r="N5851" s="274" t="s">
        <x:v>4258</x:v>
      </x:c>
    </x:row>
    <x:row r="5852" spans="1:14">
      <x:c r="A5852" s="274" t="s">
        <x:v>9965</x:v>
      </x:c>
      <x:c r="B5852" s="274" t="n">
        <x:v>6</x:v>
      </x:c>
      <x:c r="C5852" s="274" t="n">
        <x:v>0</x:v>
      </x:c>
      <x:c r="D5852" s="274" t="n">
        <x:v>45</x:v>
      </x:c>
      <x:c r="E5852" s="274" t="n">
        <x:v>40</x:v>
      </x:c>
      <x:c r="F5852" s="274" t="s">
        <x:v>184</x:v>
      </x:c>
      <x:c r="G5852" s="274" t="s">
        <x:v>4782</x:v>
      </x:c>
      <x:c r="H5852" s="274" t="s">
        <x:v>4471</x:v>
      </x:c>
      <x:c r="I5852" s="274" t="n">
        <x:v>1</x:v>
      </x:c>
      <x:c r="J5852" s="274" t="n">
        <x:v>1250</x:v>
      </x:c>
      <x:c r="K5852" s="274" t="n">
        <x:v>611</x:v>
      </x:c>
      <x:c r="M5852" s="274" t="s">
        <x:v>9966</x:v>
      </x:c>
      <x:c r="N5852" s="274" t="s">
        <x:v>4258</x:v>
      </x:c>
    </x:row>
    <x:row r="5853" spans="1:14">
      <x:c r="A5853" s="274" t="s">
        <x:v>9967</x:v>
      </x:c>
      <x:c r="B5853" s="274" t="n">
        <x:v>4.97</x:v>
      </x:c>
      <x:c r="C5853" s="274" t="n">
        <x:v>0</x:v>
      </x:c>
      <x:c r="D5853" s="274" t="n">
        <x:v>45</x:v>
      </x:c>
      <x:c r="E5853" s="274" t="n">
        <x:v>40</x:v>
      </x:c>
      <x:c r="F5853" s="274" t="s">
        <x:v>333</x:v>
      </x:c>
      <x:c r="G5853" s="274" t="s">
        <x:v>4663</x:v>
      </x:c>
      <x:c r="I5853" s="274" t="n">
        <x:v>1</x:v>
      </x:c>
      <x:c r="J5853" s="274" t="n">
        <x:v>1110</x:v>
      </x:c>
      <x:c r="K5853" s="274" t="n">
        <x:v>570</x:v>
      </x:c>
      <x:c r="M5853" s="274" t="s">
        <x:v>9968</x:v>
      </x:c>
      <x:c r="N5853" s="274" t="s">
        <x:v>4258</x:v>
      </x:c>
    </x:row>
    <x:row r="5854" spans="1:14">
      <x:c r="A5854" s="274" t="s">
        <x:v>9969</x:v>
      </x:c>
      <x:c r="B5854" s="274" t="n">
        <x:v>15.98</x:v>
      </x:c>
      <x:c r="C5854" s="274" t="n">
        <x:v>0</x:v>
      </x:c>
      <x:c r="D5854" s="274" t="n">
        <x:v>30</x:v>
      </x:c>
      <x:c r="E5854" s="274" t="n">
        <x:v>28</x:v>
      </x:c>
      <x:c r="F5854" s="274" t="s">
        <x:v>333</x:v>
      </x:c>
      <x:c r="G5854" s="274" t="s">
        <x:v>209</x:v>
      </x:c>
      <x:c r="I5854" s="274" t="n">
        <x:v>1.2</x:v>
      </x:c>
      <x:c r="J5854" s="274" t="n">
        <x:v>1170</x:v>
      </x:c>
      <x:c r="K5854" s="274" t="n">
        <x:v>1450</x:v>
      </x:c>
      <x:c r="N5854" s="274" t="s">
        <x:v>3671</x:v>
      </x:c>
    </x:row>
    <x:row r="5855" spans="1:14">
      <x:c r="A5855" s="274" t="s">
        <x:v>9970</x:v>
      </x:c>
      <x:c r="B5855" s="274" t="n">
        <x:v>6.08</x:v>
      </x:c>
      <x:c r="C5855" s="274" t="n">
        <x:v>0</x:v>
      </x:c>
      <x:c r="D5855" s="274" t="n">
        <x:v>0</x:v>
      </x:c>
      <x:c r="F5855" s="274" t="s">
        <x:v>333</x:v>
      </x:c>
      <x:c r="G5855" s="274" t="s">
        <x:v>4286</x:v>
      </x:c>
      <x:c r="I5855" s="274" t="n">
        <x:v>1</x:v>
      </x:c>
      <x:c r="J5855" s="274" t="n">
        <x:v>1025</x:v>
      </x:c>
      <x:c r="K5855" s="274" t="n">
        <x:v>756</x:v>
      </x:c>
      <x:c r="M5855" s="274" t="s">
        <x:v>4970</x:v>
      </x:c>
    </x:row>
    <x:row r="5856" spans="1:14">
      <x:c r="A5856" s="274" t="s">
        <x:v>9971</x:v>
      </x:c>
      <x:c r="B5856" s="274" t="n">
        <x:v>5.71</x:v>
      </x:c>
      <x:c r="C5856" s="274" t="n">
        <x:v>0</x:v>
      </x:c>
      <x:c r="D5856" s="274" t="n">
        <x:v>0</x:v>
      </x:c>
      <x:c r="F5856" s="274" t="s">
        <x:v>333</x:v>
      </x:c>
      <x:c r="G5856" s="274" t="s">
        <x:v>4286</x:v>
      </x:c>
      <x:c r="I5856" s="274" t="n">
        <x:v>1</x:v>
      </x:c>
      <x:c r="J5856" s="274" t="n">
        <x:v>1025</x:v>
      </x:c>
      <x:c r="K5856" s="274" t="n">
        <x:v>710</x:v>
      </x:c>
      <x:c r="M5856" s="274" t="s">
        <x:v>4972</x:v>
      </x:c>
      <x:c r="N5856" s="274" t="s">
        <x:v>4258</x:v>
      </x:c>
    </x:row>
    <x:row r="5857" spans="1:14">
      <x:c r="A5857" s="274" t="s">
        <x:v>9972</x:v>
      </x:c>
      <x:c r="B5857" s="274" t="n">
        <x:v>4.39</x:v>
      </x:c>
      <x:c r="C5857" s="274" t="n">
        <x:v>0</x:v>
      </x:c>
      <x:c r="D5857" s="274" t="n">
        <x:v>0</x:v>
      </x:c>
      <x:c r="F5857" s="274" t="s">
        <x:v>333</x:v>
      </x:c>
      <x:c r="G5857" s="274" t="s">
        <x:v>4663</x:v>
      </x:c>
      <x:c r="I5857" s="274" t="n">
        <x:v>1</x:v>
      </x:c>
      <x:c r="J5857" s="274" t="n">
        <x:v>1110</x:v>
      </x:c>
      <x:c r="K5857" s="274" t="n">
        <x:v>504</x:v>
      </x:c>
      <x:c r="M5857" s="274" t="s">
        <x:v>4976</x:v>
      </x:c>
      <x:c r="N5857" s="274" t="s">
        <x:v>4258</x:v>
      </x:c>
    </x:row>
    <x:row r="5858" spans="1:14">
      <x:c r="A5858" s="274" t="s">
        <x:v>9973</x:v>
      </x:c>
      <x:c r="B5858" s="274" t="n">
        <x:v>4.1</x:v>
      </x:c>
      <x:c r="C5858" s="274" t="n">
        <x:v>0</x:v>
      </x:c>
      <x:c r="D5858" s="274" t="n">
        <x:v>0</x:v>
      </x:c>
      <x:c r="F5858" s="274" t="s">
        <x:v>184</x:v>
      </x:c>
      <x:c r="G5858" s="274" t="s">
        <x:v>4782</x:v>
      </x:c>
      <x:c r="H5858" s="274" t="s">
        <x:v>4471</x:v>
      </x:c>
      <x:c r="I5858" s="274" t="n">
        <x:v>1</x:v>
      </x:c>
      <x:c r="J5858" s="274" t="n">
        <x:v>1250</x:v>
      </x:c>
      <x:c r="K5858" s="274" t="n">
        <x:v>418</x:v>
      </x:c>
      <x:c r="M5858" s="274" t="s">
        <x:v>4980</x:v>
      </x:c>
    </x:row>
    <x:row r="5859" spans="1:14">
      <x:c r="A5859" s="274" t="s">
        <x:v>9974</x:v>
      </x:c>
      <x:c r="B5859" s="274" t="n">
        <x:v>8.05</x:v>
      </x:c>
      <x:c r="C5859" s="274" t="n">
        <x:v>0</x:v>
      </x:c>
      <x:c r="D5859" s="274" t="n">
        <x:v>0</x:v>
      </x:c>
      <x:c r="F5859" s="274" t="s">
        <x:v>333</x:v>
      </x:c>
      <x:c r="G5859" s="274" t="s">
        <x:v>4663</x:v>
      </x:c>
      <x:c r="I5859" s="274" t="n">
        <x:v>1.4</x:v>
      </x:c>
      <x:c r="J5859" s="274" t="n">
        <x:v>1205</x:v>
      </x:c>
      <x:c r="K5859" s="274" t="n">
        <x:v>608</x:v>
      </x:c>
      <x:c r="M5859" s="274" t="s">
        <x:v>4983</x:v>
      </x:c>
      <x:c r="N5859" s="274" t="s">
        <x:v>4258</x:v>
      </x:c>
    </x:row>
    <x:row r="5860" spans="1:14">
      <x:c r="A5860" s="274" t="s">
        <x:v>9975</x:v>
      </x:c>
      <x:c r="B5860" s="274" t="n">
        <x:v>3.91</x:v>
      </x:c>
      <x:c r="C5860" s="274" t="n">
        <x:v>0</x:v>
      </x:c>
      <x:c r="D5860" s="274" t="n">
        <x:v>0</x:v>
      </x:c>
      <x:c r="F5860" s="274" t="s">
        <x:v>184</x:v>
      </x:c>
      <x:c r="G5860" s="274" t="s">
        <x:v>4782</x:v>
      </x:c>
      <x:c r="H5860" s="274" t="s">
        <x:v>4471</x:v>
      </x:c>
      <x:c r="I5860" s="274" t="n">
        <x:v>1.2</x:v>
      </x:c>
      <x:c r="J5860" s="274" t="n">
        <x:v>1105</x:v>
      </x:c>
      <x:c r="K5860" s="274" t="n">
        <x:v>376</x:v>
      </x:c>
      <x:c r="M5860" s="274" t="s">
        <x:v>4989</x:v>
      </x:c>
      <x:c r="N5860" s="274" t="s">
        <x:v>4258</x:v>
      </x:c>
    </x:row>
    <x:row r="5861" spans="1:14">
      <x:c r="A5861" s="274" t="s">
        <x:v>9976</x:v>
      </x:c>
      <x:c r="B5861" s="274" t="n">
        <x:v>13.82</x:v>
      </x:c>
      <x:c r="C5861" s="274" t="n">
        <x:v>0</x:v>
      </x:c>
      <x:c r="D5861" s="274" t="n">
        <x:v>40</x:v>
      </x:c>
      <x:c r="E5861" s="274" t="n">
        <x:v>35</x:v>
      </x:c>
      <x:c r="F5861" s="274" t="s">
        <x:v>333</x:v>
      </x:c>
      <x:c r="G5861" s="274" t="s">
        <x:v>334</x:v>
      </x:c>
      <x:c r="I5861" s="274" t="n">
        <x:v>1.6</x:v>
      </x:c>
      <x:c r="J5861" s="274" t="n">
        <x:v>1000</x:v>
      </x:c>
      <x:c r="K5861" s="274" t="n">
        <x:v>1100</x:v>
      </x:c>
      <x:c r="M5861" s="274" t="s">
        <x:v>7888</x:v>
      </x:c>
      <x:c r="N5861" s="274" t="s">
        <x:v>6437</x:v>
      </x:c>
    </x:row>
    <x:row r="5862" spans="1:14">
      <x:c r="A5862" s="274" t="s">
        <x:v>9977</x:v>
      </x:c>
      <x:c r="B5862" s="274" t="n">
        <x:v>6.04</x:v>
      </x:c>
      <x:c r="C5862" s="274" t="n">
        <x:v>0</x:v>
      </x:c>
      <x:c r="D5862" s="274" t="n">
        <x:v>0</x:v>
      </x:c>
      <x:c r="F5862" s="274" t="s">
        <x:v>333</x:v>
      </x:c>
      <x:c r="G5862" s="274" t="s">
        <x:v>4663</x:v>
      </x:c>
      <x:c r="I5862" s="274" t="n">
        <x:v>1.6</x:v>
      </x:c>
      <x:c r="J5862" s="274" t="n">
        <x:v>1300</x:v>
      </x:c>
      <x:c r="K5862" s="274" t="n">
        <x:v>370</x:v>
      </x:c>
      <x:c r="M5862" s="274" t="s">
        <x:v>4999</x:v>
      </x:c>
      <x:c r="N5862" s="274" t="s">
        <x:v>4258</x:v>
      </x:c>
    </x:row>
    <x:row r="5863" spans="1:14">
      <x:c r="A5863" s="274" t="s">
        <x:v>9978</x:v>
      </x:c>
      <x:c r="B5863" s="274" t="n">
        <x:v>15.76</x:v>
      </x:c>
      <x:c r="C5863" s="274" t="n">
        <x:v>0</x:v>
      </x:c>
      <x:c r="D5863" s="274" t="n">
        <x:v>35</x:v>
      </x:c>
      <x:c r="E5863" s="274" t="n">
        <x:v>32</x:v>
      </x:c>
      <x:c r="F5863" s="274" t="s">
        <x:v>184</x:v>
      </x:c>
      <x:c r="G5863" s="274" t="s">
        <x:v>4782</x:v>
      </x:c>
      <x:c r="H5863" s="274" t="s">
        <x:v>4471</x:v>
      </x:c>
      <x:c r="I5863" s="274" t="n">
        <x:v>1.4</x:v>
      </x:c>
      <x:c r="J5863" s="274" t="n">
        <x:v>1195</x:v>
      </x:c>
      <x:c r="K5863" s="274" t="n">
        <x:v>1200</x:v>
      </x:c>
      <x:c r="M5863" s="274" t="s">
        <x:v>9979</x:v>
      </x:c>
      <x:c r="N5863" s="274" t="s">
        <x:v>4258</x:v>
      </x:c>
    </x:row>
    <x:row r="5864" spans="1:14">
      <x:c r="A5864" s="274" t="s">
        <x:v>9980</x:v>
      </x:c>
      <x:c r="B5864" s="274" t="n">
        <x:v>4.82</x:v>
      </x:c>
      <x:c r="C5864" s="274" t="n">
        <x:v>0</x:v>
      </x:c>
      <x:c r="D5864" s="274" t="n">
        <x:v>45</x:v>
      </x:c>
      <x:c r="E5864" s="274" t="n">
        <x:v>40</x:v>
      </x:c>
      <x:c r="F5864" s="274" t="s">
        <x:v>184</x:v>
      </x:c>
      <x:c r="G5864" s="274" t="s">
        <x:v>4782</x:v>
      </x:c>
      <x:c r="H5864" s="274" t="s">
        <x:v>4471</x:v>
      </x:c>
      <x:c r="I5864" s="274" t="n">
        <x:v>1.4</x:v>
      </x:c>
      <x:c r="J5864" s="274" t="n">
        <x:v>1195</x:v>
      </x:c>
      <x:c r="K5864" s="274" t="n">
        <x:v>367</x:v>
      </x:c>
      <x:c r="M5864" s="274" t="s">
        <x:v>9981</x:v>
      </x:c>
      <x:c r="N5864" s="274" t="s">
        <x:v>4258</x:v>
      </x:c>
    </x:row>
    <x:row r="5865" spans="1:14">
      <x:c r="A5865" s="274" t="s">
        <x:v>9982</x:v>
      </x:c>
      <x:c r="B5865" s="274" t="n">
        <x:v>9.66</x:v>
      </x:c>
      <x:c r="C5865" s="274" t="n">
        <x:v>0</x:v>
      </x:c>
      <x:c r="D5865" s="274" t="n">
        <x:v>40</x:v>
      </x:c>
      <x:c r="E5865" s="274" t="n">
        <x:v>37</x:v>
      </x:c>
      <x:c r="F5865" s="274" t="s">
        <x:v>333</x:v>
      </x:c>
      <x:c r="G5865" s="274" t="s">
        <x:v>4796</x:v>
      </x:c>
      <x:c r="I5865" s="274" t="n">
        <x:v>1.2</x:v>
      </x:c>
      <x:c r="J5865" s="274" t="n">
        <x:v>1025</x:v>
      </x:c>
      <x:c r="K5865" s="274" t="n">
        <x:v>1000</x:v>
      </x:c>
      <x:c r="M5865" s="274" t="s">
        <x:v>9983</x:v>
      </x:c>
      <x:c r="N5865" s="274" t="s">
        <x:v>4258</x:v>
      </x:c>
    </x:row>
    <x:row r="5866" spans="1:14">
      <x:c r="A5866" s="274" t="s">
        <x:v>9984</x:v>
      </x:c>
      <x:c r="B5866" s="274" t="n">
        <x:v>3.51</x:v>
      </x:c>
      <x:c r="C5866" s="274" t="n">
        <x:v>0</x:v>
      </x:c>
      <x:c r="D5866" s="274" t="n">
        <x:v>0</x:v>
      </x:c>
      <x:c r="F5866" s="274" t="s">
        <x:v>184</x:v>
      </x:c>
      <x:c r="G5866" s="274" t="s">
        <x:v>4782</x:v>
      </x:c>
      <x:c r="H5866" s="274" t="s">
        <x:v>4471</x:v>
      </x:c>
      <x:c r="I5866" s="274" t="n">
        <x:v>1</x:v>
      </x:c>
      <x:c r="J5866" s="274" t="n">
        <x:v>1250</x:v>
      </x:c>
      <x:c r="K5866" s="274" t="n">
        <x:v>358</x:v>
      </x:c>
      <x:c r="M5866" s="274" t="s">
        <x:v>5024</x:v>
      </x:c>
      <x:c r="N5866" s="274" t="s">
        <x:v>4258</x:v>
      </x:c>
    </x:row>
    <x:row r="5867" spans="1:14">
      <x:c r="A5867" s="274" t="s">
        <x:v>9985</x:v>
      </x:c>
      <x:c r="B5867" s="274" t="n">
        <x:v>4.98</x:v>
      </x:c>
      <x:c r="C5867" s="274" t="n">
        <x:v>0</x:v>
      </x:c>
      <x:c r="D5867" s="274" t="n">
        <x:v>45</x:v>
      </x:c>
      <x:c r="E5867" s="274" t="n">
        <x:v>40</x:v>
      </x:c>
      <x:c r="F5867" s="274" t="s">
        <x:v>333</x:v>
      </x:c>
      <x:c r="G5867" s="274" t="s">
        <x:v>4286</x:v>
      </x:c>
      <x:c r="I5867" s="274" t="n">
        <x:v>1</x:v>
      </x:c>
      <x:c r="J5867" s="274" t="n">
        <x:v>1025</x:v>
      </x:c>
      <x:c r="K5867" s="274" t="n">
        <x:v>619</x:v>
      </x:c>
      <x:c r="M5867" s="274" t="s">
        <x:v>9986</x:v>
      </x:c>
      <x:c r="N5867" s="274" t="s">
        <x:v>4258</x:v>
      </x:c>
    </x:row>
    <x:row r="5868" spans="1:14">
      <x:c r="A5868" s="274" t="s">
        <x:v>9987</x:v>
      </x:c>
      <x:c r="B5868" s="274" t="n">
        <x:v>7.63</x:v>
      </x:c>
      <x:c r="C5868" s="274" t="n">
        <x:v>0</x:v>
      </x:c>
      <x:c r="D5868" s="274" t="n">
        <x:v>0</x:v>
      </x:c>
      <x:c r="F5868" s="274" t="s">
        <x:v>123</x:v>
      </x:c>
      <x:c r="G5868" s="274" t="s">
        <x:v>4256</x:v>
      </x:c>
      <x:c r="I5868" s="274" t="n">
        <x:v>1.2</x:v>
      </x:c>
      <x:c r="J5868" s="274" t="n">
        <x:v>1350</x:v>
      </x:c>
      <x:c r="K5868" s="274" t="n">
        <x:v>600</x:v>
      </x:c>
      <x:c r="M5868" s="274" t="s">
        <x:v>5028</x:v>
      </x:c>
      <x:c r="N5868" s="274" t="s">
        <x:v>4258</x:v>
      </x:c>
    </x:row>
    <x:row r="5869" spans="1:14">
      <x:c r="A5869" s="274" t="s">
        <x:v>9988</x:v>
      </x:c>
      <x:c r="B5869" s="274" t="n">
        <x:v>5.49</x:v>
      </x:c>
      <x:c r="C5869" s="274" t="n">
        <x:v>0</x:v>
      </x:c>
      <x:c r="D5869" s="274" t="n">
        <x:v>45</x:v>
      </x:c>
      <x:c r="E5869" s="274" t="n">
        <x:v>40</x:v>
      </x:c>
      <x:c r="F5869" s="274" t="s">
        <x:v>123</x:v>
      </x:c>
      <x:c r="G5869" s="274" t="s">
        <x:v>4256</x:v>
      </x:c>
      <x:c r="I5869" s="274" t="n">
        <x:v>1.2</x:v>
      </x:c>
      <x:c r="J5869" s="274" t="n">
        <x:v>1350</x:v>
      </x:c>
      <x:c r="K5869" s="274" t="n">
        <x:v>432</x:v>
      </x:c>
      <x:c r="M5869" s="274" t="s">
        <x:v>9989</x:v>
      </x:c>
      <x:c r="N5869" s="274" t="s">
        <x:v>4258</x:v>
      </x:c>
    </x:row>
    <x:row r="5870" spans="1:14">
      <x:c r="A5870" s="274" t="s">
        <x:v>9990</x:v>
      </x:c>
      <x:c r="B5870" s="274" t="n">
        <x:v>7.97</x:v>
      </x:c>
      <x:c r="C5870" s="274" t="n">
        <x:v>0</x:v>
      </x:c>
      <x:c r="D5870" s="274" t="n">
        <x:v>45</x:v>
      </x:c>
      <x:c r="E5870" s="274" t="n">
        <x:v>40</x:v>
      </x:c>
      <x:c r="F5870" s="274" t="s">
        <x:v>184</x:v>
      </x:c>
      <x:c r="G5870" s="274" t="s">
        <x:v>4782</x:v>
      </x:c>
      <x:c r="H5870" s="274" t="s">
        <x:v>4471</x:v>
      </x:c>
      <x:c r="I5870" s="274" t="n">
        <x:v>2</x:v>
      </x:c>
      <x:c r="J5870" s="274" t="n">
        <x:v>1278</x:v>
      </x:c>
      <x:c r="K5870" s="274" t="n">
        <x:v>397</x:v>
      </x:c>
      <x:c r="M5870" s="274" t="s">
        <x:v>9991</x:v>
      </x:c>
      <x:c r="N5870" s="274" t="s">
        <x:v>4258</x:v>
      </x:c>
    </x:row>
    <x:row r="5871" spans="1:14">
      <x:c r="A5871" s="274" t="s">
        <x:v>9992</x:v>
      </x:c>
      <x:c r="B5871" s="274" t="n">
        <x:v>16.58</x:v>
      </x:c>
      <x:c r="C5871" s="274" t="n">
        <x:v>0</x:v>
      </x:c>
      <x:c r="D5871" s="274" t="n">
        <x:v>30</x:v>
      </x:c>
      <x:c r="E5871" s="274" t="n">
        <x:v>33</x:v>
      </x:c>
      <x:c r="F5871" s="274" t="s">
        <x:v>184</x:v>
      </x:c>
      <x:c r="G5871" s="274" t="s">
        <x:v>4782</x:v>
      </x:c>
      <x:c r="H5871" s="274" t="s">
        <x:v>4471</x:v>
      </x:c>
      <x:c r="I5871" s="274" t="n">
        <x:v>1.6</x:v>
      </x:c>
      <x:c r="J5871" s="274" t="n">
        <x:v>1100</x:v>
      </x:c>
      <x:c r="K5871" s="274" t="n">
        <x:v>1200</x:v>
      </x:c>
      <x:c r="M5871" s="274" t="s">
        <x:v>9993</x:v>
      </x:c>
      <x:c r="N5871" s="274" t="s">
        <x:v>5047</x:v>
      </x:c>
    </x:row>
    <x:row r="5872" spans="1:14">
      <x:c r="A5872" s="274" t="s">
        <x:v>9994</x:v>
      </x:c>
      <x:c r="B5872" s="274" t="n">
        <x:v>11.64</x:v>
      </x:c>
      <x:c r="C5872" s="274" t="n">
        <x:v>0</x:v>
      </x:c>
      <x:c r="D5872" s="274" t="n">
        <x:v>45</x:v>
      </x:c>
      <x:c r="E5872" s="274" t="n">
        <x:v>40</x:v>
      </x:c>
      <x:c r="F5872" s="274" t="s">
        <x:v>184</x:v>
      </x:c>
      <x:c r="G5872" s="274" t="s">
        <x:v>4782</x:v>
      </x:c>
      <x:c r="H5872" s="274" t="s">
        <x:v>4471</x:v>
      </x:c>
      <x:c r="I5872" s="274" t="n">
        <x:v>2</x:v>
      </x:c>
      <x:c r="J5872" s="274" t="n">
        <x:v>1278</x:v>
      </x:c>
      <x:c r="K5872" s="274" t="n">
        <x:v>580</x:v>
      </x:c>
      <x:c r="M5872" s="274" t="s">
        <x:v>9995</x:v>
      </x:c>
      <x:c r="N5872" s="274" t="s">
        <x:v>4258</x:v>
      </x:c>
    </x:row>
    <x:row r="5873" spans="1:14">
      <x:c r="A5873" s="274" t="s">
        <x:v>9996</x:v>
      </x:c>
      <x:c r="B5873" s="274" t="n">
        <x:v>1.71</x:v>
      </x:c>
      <x:c r="C5873" s="274" t="n">
        <x:v>0</x:v>
      </x:c>
      <x:c r="D5873" s="274" t="n">
        <x:v>45</x:v>
      </x:c>
      <x:c r="E5873" s="274" t="n">
        <x:v>40</x:v>
      </x:c>
      <x:c r="F5873" s="274" t="s">
        <x:v>333</x:v>
      </x:c>
      <x:c r="G5873" s="274" t="s">
        <x:v>2468</x:v>
      </x:c>
      <x:c r="I5873" s="274" t="n">
        <x:v>0.6</x:v>
      </x:c>
      <x:c r="J5873" s="274" t="n">
        <x:v>1065</x:v>
      </x:c>
      <x:c r="K5873" s="274" t="n">
        <x:v>340</x:v>
      </x:c>
      <x:c r="M5873" s="274" t="s">
        <x:v>3997</x:v>
      </x:c>
      <x:c r="N5873" s="274" t="s">
        <x:v>3984</x:v>
      </x:c>
    </x:row>
    <x:row r="5874" spans="1:14">
      <x:c r="A5874" s="274" t="s">
        <x:v>9997</x:v>
      </x:c>
      <x:c r="B5874" s="274" t="n">
        <x:v>6.51</x:v>
      </x:c>
      <x:c r="C5874" s="274" t="n">
        <x:v>0</x:v>
      </x:c>
      <x:c r="D5874" s="274" t="n">
        <x:v>45</x:v>
      </x:c>
      <x:c r="E5874" s="274" t="n">
        <x:v>40</x:v>
      </x:c>
      <x:c r="F5874" s="274" t="s">
        <x:v>333</x:v>
      </x:c>
      <x:c r="G5874" s="274" t="s">
        <x:v>124</x:v>
      </x:c>
      <x:c r="I5874" s="274" t="n">
        <x:v>2</x:v>
      </x:c>
      <x:c r="J5874" s="274" t="n">
        <x:v>1212</x:v>
      </x:c>
      <x:c r="K5874" s="274" t="n">
        <x:v>342</x:v>
      </x:c>
      <x:c r="M5874" s="274" t="s">
        <x:v>4009</x:v>
      </x:c>
      <x:c r="N5874" s="274" t="s">
        <x:v>3984</x:v>
      </x:c>
    </x:row>
    <x:row r="5875" spans="1:14">
      <x:c r="A5875" s="274" t="s">
        <x:v>9998</x:v>
      </x:c>
      <x:c r="B5875" s="274" t="n">
        <x:v>3.94</x:v>
      </x:c>
      <x:c r="C5875" s="274" t="n">
        <x:v>0</x:v>
      </x:c>
      <x:c r="D5875" s="274" t="n">
        <x:v>45</x:v>
      </x:c>
      <x:c r="E5875" s="274" t="n">
        <x:v>40</x:v>
      </x:c>
      <x:c r="F5875" s="274" t="s">
        <x:v>333</x:v>
      </x:c>
      <x:c r="G5875" s="274" t="s">
        <x:v>124</x:v>
      </x:c>
      <x:c r="I5875" s="274" t="n">
        <x:v>1.2</x:v>
      </x:c>
      <x:c r="J5875" s="274" t="n">
        <x:v>1020</x:v>
      </x:c>
      <x:c r="K5875" s="274" t="n">
        <x:v>410</x:v>
      </x:c>
      <x:c r="M5875" s="274" t="s">
        <x:v>4011</x:v>
      </x:c>
      <x:c r="N5875" s="274" t="s">
        <x:v>3984</x:v>
      </x:c>
    </x:row>
    <x:row r="5876" spans="1:14">
      <x:c r="A5876" s="274" t="s">
        <x:v>9999</x:v>
      </x:c>
      <x:c r="B5876" s="274" t="n">
        <x:v>7.69</x:v>
      </x:c>
      <x:c r="C5876" s="274" t="n">
        <x:v>0</x:v>
      </x:c>
      <x:c r="D5876" s="274" t="n">
        <x:v>45</x:v>
      </x:c>
      <x:c r="E5876" s="274" t="n">
        <x:v>40</x:v>
      </x:c>
      <x:c r="F5876" s="274" t="s">
        <x:v>333</x:v>
      </x:c>
      <x:c r="G5876" s="274" t="s">
        <x:v>153</x:v>
      </x:c>
      <x:c r="I5876" s="274" t="n">
        <x:v>1.4</x:v>
      </x:c>
      <x:c r="J5876" s="274" t="n">
        <x:v>1000</x:v>
      </x:c>
      <x:c r="K5876" s="274" t="n">
        <x:v>700</x:v>
      </x:c>
      <x:c r="N5876" s="274" t="s">
        <x:v>3671</x:v>
      </x:c>
    </x:row>
    <x:row r="5877" spans="1:14">
      <x:c r="A5877" s="274" t="s">
        <x:v>10000</x:v>
      </x:c>
      <x:c r="B5877" s="274" t="n">
        <x:v>7.89</x:v>
      </x:c>
      <x:c r="C5877" s="274" t="n">
        <x:v>0</x:v>
      </x:c>
      <x:c r="D5877" s="274" t="n">
        <x:v>45</x:v>
      </x:c>
      <x:c r="E5877" s="274" t="n">
        <x:v>40</x:v>
      </x:c>
      <x:c r="F5877" s="274" t="s">
        <x:v>133</x:v>
      </x:c>
      <x:c r="G5877" s="274" t="s">
        <x:v>136</x:v>
      </x:c>
      <x:c r="H5877" s="274" t="n">
        <x:v>45</x:v>
      </x:c>
      <x:c r="I5877" s="274" t="n">
        <x:v>1.4</x:v>
      </x:c>
      <x:c r="J5877" s="274" t="n">
        <x:v>1425</x:v>
      </x:c>
      <x:c r="K5877" s="274" t="n">
        <x:v>500</x:v>
      </x:c>
      <x:c r="N5877" s="274" t="s">
        <x:v>3671</x:v>
      </x:c>
    </x:row>
    <x:row r="5878" spans="1:14">
      <x:c r="A5878" s="274" t="s">
        <x:v>10001</x:v>
      </x:c>
      <x:c r="B5878" s="274" t="n">
        <x:v>5.93</x:v>
      </x:c>
      <x:c r="C5878" s="274" t="n">
        <x:v>0</x:v>
      </x:c>
      <x:c r="D5878" s="274" t="n">
        <x:v>45</x:v>
      </x:c>
      <x:c r="E5878" s="274" t="n">
        <x:v>40</x:v>
      </x:c>
      <x:c r="F5878" s="274" t="s">
        <x:v>333</x:v>
      </x:c>
      <x:c r="G5878" s="274" t="s">
        <x:v>4663</x:v>
      </x:c>
      <x:c r="I5878" s="274" t="n">
        <x:v>1.4</x:v>
      </x:c>
      <x:c r="J5878" s="274" t="n">
        <x:v>1205</x:v>
      </x:c>
      <x:c r="K5878" s="274" t="n">
        <x:v>448</x:v>
      </x:c>
      <x:c r="M5878" s="274" t="s">
        <x:v>5171</x:v>
      </x:c>
      <x:c r="N5878" s="274" t="s">
        <x:v>4258</x:v>
      </x:c>
    </x:row>
    <x:row r="5879" spans="1:14">
      <x:c r="A5879" s="274" t="s">
        <x:v>10002</x:v>
      </x:c>
      <x:c r="B5879" s="274" t="n">
        <x:v>15.89</x:v>
      </x:c>
      <x:c r="C5879" s="274" t="n">
        <x:v>0</x:v>
      </x:c>
      <x:c r="D5879" s="274" t="n">
        <x:v>35</x:v>
      </x:c>
      <x:c r="E5879" s="274" t="n">
        <x:v>30</x:v>
      </x:c>
      <x:c r="F5879" s="274" t="s">
        <x:v>333</x:v>
      </x:c>
      <x:c r="G5879" s="274" t="s">
        <x:v>4663</x:v>
      </x:c>
      <x:c r="I5879" s="274" t="n">
        <x:v>1.4</x:v>
      </x:c>
      <x:c r="J5879" s="274" t="n">
        <x:v>1205</x:v>
      </x:c>
      <x:c r="K5879" s="274" t="n">
        <x:v>1200</x:v>
      </x:c>
      <x:c r="M5879" s="274" t="s">
        <x:v>5179</x:v>
      </x:c>
      <x:c r="N5879" s="274" t="s">
        <x:v>4258</x:v>
      </x:c>
    </x:row>
    <x:row r="5880" spans="1:14">
      <x:c r="A5880" s="274" t="s">
        <x:v>10003</x:v>
      </x:c>
      <x:c r="B5880" s="274" t="n">
        <x:v>6.4</x:v>
      </x:c>
      <x:c r="C5880" s="274" t="n">
        <x:v>0</x:v>
      </x:c>
      <x:c r="D5880" s="274" t="n">
        <x:v>45</x:v>
      </x:c>
      <x:c r="E5880" s="274" t="n">
        <x:v>40</x:v>
      </x:c>
      <x:c r="F5880" s="274" t="s">
        <x:v>333</x:v>
      </x:c>
      <x:c r="G5880" s="274" t="s">
        <x:v>4663</x:v>
      </x:c>
      <x:c r="I5880" s="274" t="n">
        <x:v>1.4</x:v>
      </x:c>
      <x:c r="J5880" s="274" t="n">
        <x:v>1205</x:v>
      </x:c>
      <x:c r="K5880" s="274" t="n">
        <x:v>483</x:v>
      </x:c>
      <x:c r="M5880" s="274" t="s">
        <x:v>5183</x:v>
      </x:c>
      <x:c r="N5880" s="274" t="s">
        <x:v>4258</x:v>
      </x:c>
    </x:row>
    <x:row r="5881" spans="1:14">
      <x:c r="A5881" s="274" t="s">
        <x:v>10004</x:v>
      </x:c>
      <x:c r="B5881" s="274" t="n">
        <x:v>6.56</x:v>
      </x:c>
      <x:c r="C5881" s="274" t="n">
        <x:v>0</x:v>
      </x:c>
      <x:c r="D5881" s="274" t="n">
        <x:v>45</x:v>
      </x:c>
      <x:c r="E5881" s="274" t="n">
        <x:v>40</x:v>
      </x:c>
      <x:c r="F5881" s="274" t="s">
        <x:v>333</x:v>
      </x:c>
      <x:c r="G5881" s="274" t="s">
        <x:v>4663</x:v>
      </x:c>
      <x:c r="I5881" s="274" t="n">
        <x:v>1.4</x:v>
      </x:c>
      <x:c r="J5881" s="274" t="n">
        <x:v>1205</x:v>
      </x:c>
      <x:c r="K5881" s="274" t="n">
        <x:v>495</x:v>
      </x:c>
      <x:c r="M5881" s="274" t="s">
        <x:v>5185</x:v>
      </x:c>
      <x:c r="N5881" s="274" t="s">
        <x:v>4258</x:v>
      </x:c>
    </x:row>
    <x:row r="5882" spans="1:14">
      <x:c r="A5882" s="274" t="s">
        <x:v>10005</x:v>
      </x:c>
      <x:c r="B5882" s="274" t="n">
        <x:v>7.32</x:v>
      </x:c>
      <x:c r="C5882" s="274" t="n">
        <x:v>0</x:v>
      </x:c>
      <x:c r="D5882" s="274" t="n">
        <x:v>45</x:v>
      </x:c>
      <x:c r="E5882" s="274" t="n">
        <x:v>40</x:v>
      </x:c>
      <x:c r="F5882" s="274" t="s">
        <x:v>184</x:v>
      </x:c>
      <x:c r="G5882" s="274" t="s">
        <x:v>881</x:v>
      </x:c>
      <x:c r="H5882" s="274" t="n">
        <x:v>45</x:v>
      </x:c>
      <x:c r="I5882" s="274" t="n">
        <x:v>1.6</x:v>
      </x:c>
      <x:c r="J5882" s="274" t="n">
        <x:v>835</x:v>
      </x:c>
      <x:c r="K5882" s="274" t="n">
        <x:v>693</x:v>
      </x:c>
      <x:c r="N5882" s="274" t="s">
        <x:v>3671</x:v>
      </x:c>
    </x:row>
    <x:row r="5883" spans="1:14">
      <x:c r="A5883" s="274" t="s">
        <x:v>10006</x:v>
      </x:c>
      <x:c r="B5883" s="274" t="n">
        <x:v>12.26</x:v>
      </x:c>
      <x:c r="C5883" s="274" t="n">
        <x:v>0</x:v>
      </x:c>
      <x:c r="D5883" s="274" t="n">
        <x:v>35</x:v>
      </x:c>
      <x:c r="E5883" s="274" t="n">
        <x:v>32</x:v>
      </x:c>
      <x:c r="F5883" s="274" t="s">
        <x:v>184</x:v>
      </x:c>
      <x:c r="G5883" s="274" t="s">
        <x:v>4782</x:v>
      </x:c>
      <x:c r="H5883" s="274" t="s">
        <x:v>4471</x:v>
      </x:c>
      <x:c r="I5883" s="274" t="n">
        <x:v>1</x:v>
      </x:c>
      <x:c r="J5883" s="274" t="n">
        <x:v>1250</x:v>
      </x:c>
      <x:c r="K5883" s="274" t="n">
        <x:v>1250</x:v>
      </x:c>
      <x:c r="N5883" s="274" t="s">
        <x:v>4258</x:v>
      </x:c>
    </x:row>
    <x:row r="5884" spans="1:14">
      <x:c r="A5884" s="274" t="s">
        <x:v>10007</x:v>
      </x:c>
      <x:c r="B5884" s="274" t="n">
        <x:v>6.62</x:v>
      </x:c>
      <x:c r="C5884" s="274" t="n">
        <x:v>0</x:v>
      </x:c>
      <x:c r="D5884" s="274" t="n">
        <x:v>45</x:v>
      </x:c>
      <x:c r="E5884" s="274" t="n">
        <x:v>40</x:v>
      </x:c>
      <x:c r="F5884" s="274" t="s">
        <x:v>333</x:v>
      </x:c>
      <x:c r="G5884" s="274" t="s">
        <x:v>4663</x:v>
      </x:c>
      <x:c r="I5884" s="274" t="n">
        <x:v>1.4</x:v>
      </x:c>
      <x:c r="J5884" s="274" t="n">
        <x:v>1205</x:v>
      </x:c>
      <x:c r="K5884" s="274" t="n">
        <x:v>500</x:v>
      </x:c>
      <x:c r="M5884" s="274" t="s">
        <x:v>5189</x:v>
      </x:c>
      <x:c r="N5884" s="274" t="s">
        <x:v>4258</x:v>
      </x:c>
    </x:row>
    <x:row r="5885" spans="1:14">
      <x:c r="A5885" s="274" t="s">
        <x:v>10008</x:v>
      </x:c>
      <x:c r="B5885" s="274" t="n">
        <x:v>5.56</x:v>
      </x:c>
      <x:c r="C5885" s="274" t="n">
        <x:v>0</x:v>
      </x:c>
      <x:c r="D5885" s="274" t="n">
        <x:v>45</x:v>
      </x:c>
      <x:c r="E5885" s="274" t="n">
        <x:v>40</x:v>
      </x:c>
      <x:c r="F5885" s="274" t="s">
        <x:v>333</x:v>
      </x:c>
      <x:c r="G5885" s="274" t="s">
        <x:v>4663</x:v>
      </x:c>
      <x:c r="I5885" s="274" t="n">
        <x:v>1.4</x:v>
      </x:c>
      <x:c r="J5885" s="274" t="n">
        <x:v>1205</x:v>
      </x:c>
      <x:c r="K5885" s="274" t="n">
        <x:v>420</x:v>
      </x:c>
      <x:c r="M5885" s="274" t="s">
        <x:v>5193</x:v>
      </x:c>
      <x:c r="N5885" s="274" t="s">
        <x:v>4258</x:v>
      </x:c>
    </x:row>
    <x:row r="5886" spans="1:14">
      <x:c r="A5886" s="274" t="s">
        <x:v>10009</x:v>
      </x:c>
      <x:c r="B5886" s="274" t="n">
        <x:v>12.95</x:v>
      </x:c>
      <x:c r="C5886" s="274" t="n">
        <x:v>0</x:v>
      </x:c>
      <x:c r="D5886" s="274" t="n">
        <x:v>35</x:v>
      </x:c>
      <x:c r="E5886" s="274" t="n">
        <x:v>32</x:v>
      </x:c>
      <x:c r="F5886" s="274" t="s">
        <x:v>333</x:v>
      </x:c>
      <x:c r="G5886" s="274" t="s">
        <x:v>4663</x:v>
      </x:c>
      <x:c r="I5886" s="274" t="n">
        <x:v>1.2</x:v>
      </x:c>
      <x:c r="J5886" s="274" t="n">
        <x:v>1100</x:v>
      </x:c>
      <x:c r="K5886" s="274" t="n">
        <x:v>1250</x:v>
      </x:c>
      <x:c r="N5886" s="274" t="s">
        <x:v>4258</x:v>
      </x:c>
    </x:row>
    <x:row r="5887" spans="1:14">
      <x:c r="A5887" s="274" t="s">
        <x:v>10010</x:v>
      </x:c>
      <x:c r="B5887" s="274" t="n">
        <x:v>19.59</x:v>
      </x:c>
      <x:c r="C5887" s="274" t="n">
        <x:v>0</x:v>
      </x:c>
      <x:c r="D5887" s="274" t="n">
        <x:v>37</x:v>
      </x:c>
      <x:c r="E5887" s="274" t="n">
        <x:v>32</x:v>
      </x:c>
      <x:c r="F5887" s="274" t="s">
        <x:v>333</x:v>
      </x:c>
      <x:c r="G5887" s="274" t="s">
        <x:v>4663</x:v>
      </x:c>
      <x:c r="I5887" s="274" t="n">
        <x:v>1.6</x:v>
      </x:c>
      <x:c r="J5887" s="274" t="n">
        <x:v>1300</x:v>
      </x:c>
      <x:c r="K5887" s="274" t="n">
        <x:v>1200</x:v>
      </x:c>
      <x:c r="M5887" s="274" t="s">
        <x:v>5199</x:v>
      </x:c>
      <x:c r="N5887" s="274" t="s">
        <x:v>4258</x:v>
      </x:c>
    </x:row>
    <x:row r="5888" spans="1:14">
      <x:c r="A5888" s="274" t="s">
        <x:v>10011</x:v>
      </x:c>
      <x:c r="B5888" s="274" t="n">
        <x:v>7.8</x:v>
      </x:c>
      <x:c r="C5888" s="274" t="n">
        <x:v>0</x:v>
      </x:c>
      <x:c r="D5888" s="274" t="n">
        <x:v>45</x:v>
      </x:c>
      <x:c r="E5888" s="274" t="n">
        <x:v>40</x:v>
      </x:c>
      <x:c r="F5888" s="274" t="s">
        <x:v>333</x:v>
      </x:c>
      <x:c r="G5888" s="274" t="s">
        <x:v>153</x:v>
      </x:c>
      <x:c r="I5888" s="274" t="n">
        <x:v>1.8</x:v>
      </x:c>
      <x:c r="J5888" s="274" t="n">
        <x:v>1100</x:v>
      </x:c>
      <x:c r="K5888" s="274" t="n">
        <x:v>502</x:v>
      </x:c>
      <x:c r="N5888" s="274" t="s">
        <x:v>1178</x:v>
      </x:c>
    </x:row>
    <x:row r="5889" spans="1:14">
      <x:c r="A5889" s="274" t="s">
        <x:v>10012</x:v>
      </x:c>
      <x:c r="B5889" s="274" t="n">
        <x:v>19.7</x:v>
      </x:c>
      <x:c r="C5889" s="274" t="n">
        <x:v>0</x:v>
      </x:c>
      <x:c r="D5889" s="274" t="n">
        <x:v>28</x:v>
      </x:c>
      <x:c r="E5889" s="274" t="n">
        <x:v>23</x:v>
      </x:c>
      <x:c r="F5889" s="274" t="s">
        <x:v>133</x:v>
      </x:c>
      <x:c r="G5889" s="274" t="s">
        <x:v>134</x:v>
      </x:c>
      <x:c r="I5889" s="274" t="n">
        <x:v>1.8</x:v>
      </x:c>
      <x:c r="J5889" s="274" t="n">
        <x:v>1115</x:v>
      </x:c>
      <x:c r="K5889" s="274" t="n">
        <x:v>1250</x:v>
      </x:c>
      <x:c r="M5889" s="274" t="s">
        <x:v>10013</x:v>
      </x:c>
      <x:c r="N5889" s="274" t="s">
        <x:v>3671</x:v>
      </x:c>
    </x:row>
    <x:row r="5890" spans="1:14">
      <x:c r="A5890" s="274" t="s">
        <x:v>10014</x:v>
      </x:c>
      <x:c r="B5890" s="274" t="n">
        <x:v>13.5</x:v>
      </x:c>
      <x:c r="C5890" s="274" t="n">
        <x:v>0</x:v>
      </x:c>
      <x:c r="D5890" s="274" t="n">
        <x:v>35</x:v>
      </x:c>
      <x:c r="E5890" s="274" t="n">
        <x:v>32</x:v>
      </x:c>
      <x:c r="F5890" s="274" t="s">
        <x:v>333</x:v>
      </x:c>
      <x:c r="G5890" s="274" t="s">
        <x:v>209</x:v>
      </x:c>
      <x:c r="I5890" s="274" t="n">
        <x:v>1.2</x:v>
      </x:c>
      <x:c r="J5890" s="274" t="n">
        <x:v>1170</x:v>
      </x:c>
      <x:c r="K5890" s="274" t="n">
        <x:v>1225</x:v>
      </x:c>
      <x:c r="M5890" s="274" t="s">
        <x:v>10015</x:v>
      </x:c>
      <x:c r="N5890" s="274" t="s">
        <x:v>4258</x:v>
      </x:c>
    </x:row>
    <x:row r="5891" spans="1:14">
      <x:c r="A5891" s="274" t="s">
        <x:v>10016</x:v>
      </x:c>
      <x:c r="B5891" s="274" t="n">
        <x:v>13.77</x:v>
      </x:c>
      <x:c r="C5891" s="274" t="n">
        <x:v>0</x:v>
      </x:c>
      <x:c r="D5891" s="274" t="n">
        <x:v>35</x:v>
      </x:c>
      <x:c r="E5891" s="274" t="n">
        <x:v>32</x:v>
      </x:c>
      <x:c r="F5891" s="274" t="s">
        <x:v>333</x:v>
      </x:c>
      <x:c r="G5891" s="274" t="s">
        <x:v>209</x:v>
      </x:c>
      <x:c r="I5891" s="274" t="n">
        <x:v>1.2</x:v>
      </x:c>
      <x:c r="J5891" s="274" t="n">
        <x:v>1170</x:v>
      </x:c>
      <x:c r="K5891" s="274" t="n">
        <x:v>1250</x:v>
      </x:c>
      <x:c r="M5891" s="274" t="s">
        <x:v>10017</x:v>
      </x:c>
      <x:c r="N5891" s="274" t="s">
        <x:v>3671</x:v>
      </x:c>
    </x:row>
    <x:row r="5892" spans="1:14">
      <x:c r="A5892" s="274" t="s">
        <x:v>10018</x:v>
      </x:c>
      <x:c r="B5892" s="274" t="n">
        <x:v>10.69</x:v>
      </x:c>
      <x:c r="C5892" s="274" t="n">
        <x:v>0</x:v>
      </x:c>
      <x:c r="D5892" s="274" t="n">
        <x:v>35</x:v>
      </x:c>
      <x:c r="E5892" s="274" t="n">
        <x:v>30</x:v>
      </x:c>
      <x:c r="F5892" s="274" t="s">
        <x:v>333</x:v>
      </x:c>
      <x:c r="G5892" s="274" t="s">
        <x:v>124</x:v>
      </x:c>
      <x:c r="I5892" s="274" t="n">
        <x:v>1</x:v>
      </x:c>
      <x:c r="J5892" s="274" t="n">
        <x:v>1090</x:v>
      </x:c>
      <x:c r="K5892" s="274" t="n">
        <x:v>1250</x:v>
      </x:c>
      <x:c r="M5892" s="274" t="s">
        <x:v>10019</x:v>
      </x:c>
      <x:c r="N5892" s="274" t="s">
        <x:v>3671</x:v>
      </x:c>
    </x:row>
    <x:row r="5893" spans="1:14">
      <x:c r="A5893" s="274" t="s">
        <x:v>10020</x:v>
      </x:c>
      <x:c r="B5893" s="274" t="n">
        <x:v>11.78</x:v>
      </x:c>
      <x:c r="C5893" s="274" t="n">
        <x:v>0</x:v>
      </x:c>
      <x:c r="D5893" s="274" t="n">
        <x:v>35</x:v>
      </x:c>
      <x:c r="E5893" s="274" t="n">
        <x:v>30</x:v>
      </x:c>
      <x:c r="F5893" s="274" t="s">
        <x:v>333</x:v>
      </x:c>
      <x:c r="G5893" s="274" t="s">
        <x:v>209</x:v>
      </x:c>
      <x:c r="I5893" s="274" t="n">
        <x:v>1</x:v>
      </x:c>
      <x:c r="J5893" s="274" t="n">
        <x:v>1200</x:v>
      </x:c>
      <x:c r="K5893" s="274" t="n">
        <x:v>1250</x:v>
      </x:c>
      <x:c r="M5893" s="274" t="s">
        <x:v>10021</x:v>
      </x:c>
      <x:c r="N5893" s="274" t="s">
        <x:v>3671</x:v>
      </x:c>
    </x:row>
    <x:row r="5894" spans="1:14">
      <x:c r="A5894" s="274" t="s">
        <x:v>10022</x:v>
      </x:c>
      <x:c r="B5894" s="274" t="n">
        <x:v>18.24</x:v>
      </x:c>
      <x:c r="C5894" s="274" t="n">
        <x:v>0</x:v>
      </x:c>
      <x:c r="D5894" s="274" t="n">
        <x:v>28</x:v>
      </x:c>
      <x:c r="E5894" s="274" t="n">
        <x:v>23</x:v>
      </x:c>
      <x:c r="F5894" s="274" t="s">
        <x:v>123</x:v>
      </x:c>
      <x:c r="G5894" s="274" t="s">
        <x:v>139</x:v>
      </x:c>
      <x:c r="I5894" s="274" t="n">
        <x:v>2</x:v>
      </x:c>
      <x:c r="J5894" s="274" t="n">
        <x:v>930</x:v>
      </x:c>
      <x:c r="K5894" s="274" t="n">
        <x:v>1250</x:v>
      </x:c>
      <x:c r="M5894" s="274" t="s">
        <x:v>10023</x:v>
      </x:c>
      <x:c r="N5894" s="274" t="s">
        <x:v>3671</x:v>
      </x:c>
    </x:row>
    <x:row r="5895" spans="1:14">
      <x:c r="A5895" s="274" t="s">
        <x:v>10024</x:v>
      </x:c>
      <x:c r="B5895" s="274" t="n">
        <x:v>19.03</x:v>
      </x:c>
      <x:c r="C5895" s="274" t="n">
        <x:v>0</x:v>
      </x:c>
      <x:c r="D5895" s="274" t="n">
        <x:v>35</x:v>
      </x:c>
      <x:c r="E5895" s="274" t="n">
        <x:v>30</x:v>
      </x:c>
      <x:c r="F5895" s="274" t="s">
        <x:v>133</x:v>
      </x:c>
      <x:c r="G5895" s="274" t="s">
        <x:v>148</x:v>
      </x:c>
      <x:c r="I5895" s="274" t="n">
        <x:v>2</x:v>
      </x:c>
      <x:c r="J5895" s="274" t="n">
        <x:v>970</x:v>
      </x:c>
      <x:c r="K5895" s="274" t="n">
        <x:v>1250</x:v>
      </x:c>
      <x:c r="M5895" s="274" t="s">
        <x:v>10025</x:v>
      </x:c>
      <x:c r="N5895" s="274" t="s">
        <x:v>3671</x:v>
      </x:c>
    </x:row>
    <x:row r="5896" spans="1:14">
      <x:c r="A5896" s="274" t="s">
        <x:v>10026</x:v>
      </x:c>
      <x:c r="B5896" s="274" t="n">
        <x:v>26.02</x:v>
      </x:c>
      <x:c r="C5896" s="274" t="n">
        <x:v>0</x:v>
      </x:c>
      <x:c r="D5896" s="274" t="n">
        <x:v>28</x:v>
      </x:c>
      <x:c r="E5896" s="274" t="n">
        <x:v>23</x:v>
      </x:c>
      <x:c r="F5896" s="274" t="s">
        <x:v>133</x:v>
      </x:c>
      <x:c r="G5896" s="274" t="s">
        <x:v>148</x:v>
      </x:c>
      <x:c r="I5896" s="274" t="n">
        <x:v>2.6</x:v>
      </x:c>
      <x:c r="J5896" s="274" t="n">
        <x:v>1020</x:v>
      </x:c>
      <x:c r="K5896" s="274" t="n">
        <x:v>1250</x:v>
      </x:c>
      <x:c r="M5896" s="274" t="s">
        <x:v>10027</x:v>
      </x:c>
      <x:c r="N5896" s="274" t="s">
        <x:v>3671</x:v>
      </x:c>
    </x:row>
    <x:row r="5897" spans="1:14">
      <x:c r="A5897" s="274" t="s">
        <x:v>10028</x:v>
      </x:c>
      <x:c r="B5897" s="274" t="n">
        <x:v>15.59</x:v>
      </x:c>
      <x:c r="C5897" s="274" t="n">
        <x:v>0</x:v>
      </x:c>
      <x:c r="D5897" s="274" t="n">
        <x:v>35</x:v>
      </x:c>
      <x:c r="E5897" s="274" t="n">
        <x:v>30</x:v>
      </x:c>
      <x:c r="F5897" s="274" t="s">
        <x:v>333</x:v>
      </x:c>
      <x:c r="G5897" s="274" t="s">
        <x:v>124</x:v>
      </x:c>
      <x:c r="I5897" s="274" t="n">
        <x:v>1.4</x:v>
      </x:c>
      <x:c r="J5897" s="274" t="n">
        <x:v>1135</x:v>
      </x:c>
      <x:c r="K5897" s="274" t="n">
        <x:v>1250</x:v>
      </x:c>
      <x:c r="M5897" s="274" t="s">
        <x:v>10029</x:v>
      </x:c>
      <x:c r="N5897" s="274" t="s">
        <x:v>3671</x:v>
      </x:c>
    </x:row>
    <x:row r="5898" spans="1:14">
      <x:c r="A5898" s="274" t="s">
        <x:v>10030</x:v>
      </x:c>
      <x:c r="B5898" s="274" t="n">
        <x:v>18.99</x:v>
      </x:c>
      <x:c r="C5898" s="274" t="n">
        <x:v>0</x:v>
      </x:c>
      <x:c r="D5898" s="274" t="n">
        <x:v>28</x:v>
      </x:c>
      <x:c r="E5898" s="274" t="n">
        <x:v>23</x:v>
      </x:c>
      <x:c r="F5898" s="274" t="s">
        <x:v>123</x:v>
      </x:c>
      <x:c r="G5898" s="274" t="s">
        <x:v>148</x:v>
      </x:c>
      <x:c r="I5898" s="274" t="n">
        <x:v>1.8</x:v>
      </x:c>
      <x:c r="J5898" s="274" t="n">
        <x:v>1075</x:v>
      </x:c>
      <x:c r="K5898" s="274" t="n">
        <x:v>1250</x:v>
      </x:c>
      <x:c r="M5898" s="274" t="s">
        <x:v>10031</x:v>
      </x:c>
      <x:c r="N5898" s="274" t="s">
        <x:v>3671</x:v>
      </x:c>
    </x:row>
    <x:row r="5899" spans="1:14">
      <x:c r="A5899" s="274" t="s">
        <x:v>10032</x:v>
      </x:c>
      <x:c r="B5899" s="274" t="n">
        <x:v>6.18</x:v>
      </x:c>
      <x:c r="C5899" s="274" t="n">
        <x:v>0</x:v>
      </x:c>
      <x:c r="D5899" s="274" t="n">
        <x:v>45</x:v>
      </x:c>
      <x:c r="E5899" s="274" t="n">
        <x:v>40</x:v>
      </x:c>
      <x:c r="F5899" s="274" t="s">
        <x:v>123</x:v>
      </x:c>
      <x:c r="G5899" s="274" t="s">
        <x:v>153</x:v>
      </x:c>
      <x:c r="I5899" s="274" t="n">
        <x:v>2.6</x:v>
      </x:c>
      <x:c r="J5899" s="274" t="n">
        <x:v>940</x:v>
      </x:c>
      <x:c r="K5899" s="274" t="n">
        <x:v>322</x:v>
      </x:c>
      <x:c r="M5899" s="274" t="s">
        <x:v>5314</x:v>
      </x:c>
      <x:c r="N5899" s="274" t="s">
        <x:v>155</x:v>
      </x:c>
    </x:row>
    <x:row r="5900" spans="1:14">
      <x:c r="A5900" s="274" t="s">
        <x:v>10033</x:v>
      </x:c>
      <x:c r="B5900" s="274" t="n">
        <x:v>4.78</x:v>
      </x:c>
      <x:c r="C5900" s="274" t="n">
        <x:v>0</x:v>
      </x:c>
      <x:c r="D5900" s="274" t="n">
        <x:v>45</x:v>
      </x:c>
      <x:c r="E5900" s="274" t="n">
        <x:v>40</x:v>
      </x:c>
      <x:c r="F5900" s="274" t="s">
        <x:v>333</x:v>
      </x:c>
      <x:c r="G5900" s="274" t="s">
        <x:v>153</x:v>
      </x:c>
      <x:c r="I5900" s="274" t="n">
        <x:v>1.4</x:v>
      </x:c>
      <x:c r="J5900" s="274" t="n">
        <x:v>1000</x:v>
      </x:c>
      <x:c r="K5900" s="274" t="n">
        <x:v>435</x:v>
      </x:c>
      <x:c r="M5900" s="274" t="s">
        <x:v>5328</x:v>
      </x:c>
      <x:c r="N5900" s="274" t="s">
        <x:v>3671</x:v>
      </x:c>
    </x:row>
    <x:row r="5901" spans="1:14">
      <x:c r="A5901" s="274" t="s">
        <x:v>10034</x:v>
      </x:c>
      <x:c r="B5901" s="274" t="n">
        <x:v>3.91</x:v>
      </x:c>
      <x:c r="C5901" s="274" t="n">
        <x:v>0</x:v>
      </x:c>
      <x:c r="D5901" s="274" t="n">
        <x:v>45</x:v>
      </x:c>
      <x:c r="E5901" s="274" t="n">
        <x:v>40</x:v>
      </x:c>
      <x:c r="F5901" s="274" t="s">
        <x:v>333</x:v>
      </x:c>
      <x:c r="G5901" s="274" t="s">
        <x:v>153</x:v>
      </x:c>
      <x:c r="I5901" s="274" t="n">
        <x:v>1.4</x:v>
      </x:c>
      <x:c r="J5901" s="274" t="n">
        <x:v>1000</x:v>
      </x:c>
      <x:c r="K5901" s="274" t="n">
        <x:v>356</x:v>
      </x:c>
      <x:c r="M5901" s="274" t="s">
        <x:v>5330</x:v>
      </x:c>
      <x:c r="N5901" s="274" t="s">
        <x:v>3671</x:v>
      </x:c>
    </x:row>
    <x:row r="5902" spans="1:14">
      <x:c r="A5902" s="274" t="s">
        <x:v>10035</x:v>
      </x:c>
      <x:c r="B5902" s="274" t="n">
        <x:v>13.64</x:v>
      </x:c>
      <x:c r="C5902" s="274" t="n">
        <x:v>0</x:v>
      </x:c>
      <x:c r="D5902" s="274" t="n">
        <x:v>37</x:v>
      </x:c>
      <x:c r="E5902" s="274" t="n">
        <x:v>32</x:v>
      </x:c>
      <x:c r="F5902" s="274" t="s">
        <x:v>333</x:v>
      </x:c>
      <x:c r="G5902" s="274" t="s">
        <x:v>124</x:v>
      </x:c>
      <x:c r="I5902" s="274" t="n">
        <x:v>1.6</x:v>
      </x:c>
      <x:c r="J5902" s="274" t="n">
        <x:v>905</x:v>
      </x:c>
      <x:c r="K5902" s="274" t="n">
        <x:v>1200</x:v>
      </x:c>
      <x:c r="M5902" s="274" t="s">
        <x:v>5332</x:v>
      </x:c>
      <x:c r="N5902" s="274" t="s">
        <x:v>3671</x:v>
      </x:c>
    </x:row>
    <x:row r="5903" spans="1:14">
      <x:c r="A5903" s="274" t="s">
        <x:v>10036</x:v>
      </x:c>
      <x:c r="B5903" s="274" t="n">
        <x:v>5.86</x:v>
      </x:c>
      <x:c r="C5903" s="274" t="n">
        <x:v>0</x:v>
      </x:c>
      <x:c r="D5903" s="274" t="n">
        <x:v>45</x:v>
      </x:c>
      <x:c r="E5903" s="274" t="n">
        <x:v>40</x:v>
      </x:c>
      <x:c r="F5903" s="274" t="s">
        <x:v>333</x:v>
      </x:c>
      <x:c r="G5903" s="274" t="s">
        <x:v>153</x:v>
      </x:c>
      <x:c r="I5903" s="274" t="n">
        <x:v>1.6</x:v>
      </x:c>
      <x:c r="J5903" s="274" t="n">
        <x:v>1100</x:v>
      </x:c>
      <x:c r="K5903" s="274" t="n">
        <x:v>424</x:v>
      </x:c>
      <x:c r="M5903" s="274" t="s">
        <x:v>5334</x:v>
      </x:c>
      <x:c r="N5903" s="274" t="s">
        <x:v>3671</x:v>
      </x:c>
    </x:row>
    <x:row r="5904" spans="1:14">
      <x:c r="A5904" s="274" t="s">
        <x:v>10037</x:v>
      </x:c>
      <x:c r="B5904" s="274" t="n">
        <x:v>15.59</x:v>
      </x:c>
      <x:c r="C5904" s="274" t="n">
        <x:v>0</x:v>
      </x:c>
      <x:c r="D5904" s="274" t="n">
        <x:v>35</x:v>
      </x:c>
      <x:c r="E5904" s="274" t="n">
        <x:v>30</x:v>
      </x:c>
      <x:c r="F5904" s="274" t="s">
        <x:v>333</x:v>
      </x:c>
      <x:c r="G5904" s="274" t="s">
        <x:v>124</x:v>
      </x:c>
      <x:c r="I5904" s="274" t="n">
        <x:v>1.4</x:v>
      </x:c>
      <x:c r="J5904" s="274" t="n">
        <x:v>1135</x:v>
      </x:c>
      <x:c r="K5904" s="274" t="n">
        <x:v>1250</x:v>
      </x:c>
      <x:c r="M5904" s="274" t="s">
        <x:v>5348</x:v>
      </x:c>
      <x:c r="N5904" s="274" t="s">
        <x:v>3671</x:v>
      </x:c>
    </x:row>
    <x:row r="5905" spans="1:14">
      <x:c r="A5905" s="274" t="s">
        <x:v>10038</x:v>
      </x:c>
      <x:c r="B5905" s="274" t="n">
        <x:v>25.18</x:v>
      </x:c>
      <x:c r="C5905" s="274" t="n">
        <x:v>0</x:v>
      </x:c>
      <x:c r="D5905" s="274" t="n">
        <x:v>35</x:v>
      </x:c>
      <x:c r="E5905" s="274" t="n">
        <x:v>30</x:v>
      </x:c>
      <x:c r="F5905" s="274" t="s">
        <x:v>123</x:v>
      </x:c>
      <x:c r="G5905" s="274" t="s">
        <x:v>209</x:v>
      </x:c>
      <x:c r="I5905" s="274" t="n">
        <x:v>2.3</x:v>
      </x:c>
      <x:c r="J5905" s="274" t="n">
        <x:v>1115</x:v>
      </x:c>
      <x:c r="K5905" s="274" t="n">
        <x:v>1250</x:v>
      </x:c>
      <x:c r="M5905" s="274" t="s">
        <x:v>5364</x:v>
      </x:c>
      <x:c r="N5905" s="274" t="s">
        <x:v>3671</x:v>
      </x:c>
    </x:row>
    <x:row r="5906" spans="1:14">
      <x:c r="A5906" s="274" t="s">
        <x:v>10039</x:v>
      </x:c>
      <x:c r="B5906" s="274" t="n">
        <x:v>14.91</x:v>
      </x:c>
      <x:c r="C5906" s="274" t="n">
        <x:v>0</x:v>
      </x:c>
      <x:c r="D5906" s="274" t="n">
        <x:v>38</x:v>
      </x:c>
      <x:c r="E5906" s="274" t="n">
        <x:v>33</x:v>
      </x:c>
      <x:c r="F5906" s="274" t="s">
        <x:v>184</x:v>
      </x:c>
      <x:c r="G5906" s="274" t="s">
        <x:v>4782</x:v>
      </x:c>
      <x:c r="H5906" s="274" t="s">
        <x:v>4471</x:v>
      </x:c>
      <x:c r="I5906" s="274" t="n">
        <x:v>2</x:v>
      </x:c>
      <x:c r="J5906" s="274" t="n">
        <x:v>1278</x:v>
      </x:c>
      <x:c r="K5906" s="274" t="n">
        <x:v>743</x:v>
      </x:c>
      <x:c r="M5906" s="274" t="s">
        <x:v>5338</x:v>
      </x:c>
      <x:c r="N5906" s="274" t="s">
        <x:v>4258</x:v>
      </x:c>
    </x:row>
    <x:row r="5907" spans="1:14">
      <x:c r="A5907" s="274" t="s">
        <x:v>10040</x:v>
      </x:c>
      <x:c r="B5907" s="274" t="n">
        <x:v>8.42</x:v>
      </x:c>
      <x:c r="C5907" s="274" t="n">
        <x:v>0</x:v>
      </x:c>
      <x:c r="D5907" s="274" t="n">
        <x:v>45</x:v>
      </x:c>
      <x:c r="E5907" s="274" t="n">
        <x:v>40</x:v>
      </x:c>
      <x:c r="F5907" s="274" t="s">
        <x:v>3412</x:v>
      </x:c>
      <x:c r="G5907" s="274" t="s">
        <x:v>5370</x:v>
      </x:c>
      <x:c r="H5907" s="274" t="s">
        <x:v>4471</x:v>
      </x:c>
      <x:c r="I5907" s="274" t="n">
        <x:v>2</x:v>
      </x:c>
      <x:c r="J5907" s="274" t="n">
        <x:v>715</x:v>
      </x:c>
      <x:c r="K5907" s="274" t="n">
        <x:v>750</x:v>
      </x:c>
      <x:c r="M5907" s="274" t="s">
        <x:v>5371</x:v>
      </x:c>
      <x:c r="N5907" s="274" t="s">
        <x:v>4258</x:v>
      </x:c>
    </x:row>
    <x:row r="5908" spans="1:14">
      <x:c r="A5908" s="274" t="s">
        <x:v>10041</x:v>
      </x:c>
      <x:c r="B5908" s="274" t="n">
        <x:v>10.66</x:v>
      </x:c>
      <x:c r="C5908" s="274" t="n">
        <x:v>0</x:v>
      </x:c>
      <x:c r="D5908" s="274" t="n">
        <x:v>40</x:v>
      </x:c>
      <x:c r="E5908" s="274" t="n">
        <x:v>37</x:v>
      </x:c>
      <x:c r="F5908" s="274" t="s">
        <x:v>3412</x:v>
      </x:c>
      <x:c r="G5908" s="274" t="s">
        <x:v>5370</x:v>
      </x:c>
      <x:c r="H5908" s="274" t="s">
        <x:v>4471</x:v>
      </x:c>
      <x:c r="I5908" s="274" t="n">
        <x:v>2</x:v>
      </x:c>
      <x:c r="J5908" s="274" t="n">
        <x:v>715</x:v>
      </x:c>
      <x:c r="K5908" s="274" t="n">
        <x:v>950</x:v>
      </x:c>
      <x:c r="M5908" s="274" t="s">
        <x:v>5373</x:v>
      </x:c>
      <x:c r="N5908" s="274" t="s">
        <x:v>4258</x:v>
      </x:c>
    </x:row>
    <x:row r="5909" spans="1:14">
      <x:c r="A5909" s="274" t="s">
        <x:v>10042</x:v>
      </x:c>
      <x:c r="B5909" s="274" t="n">
        <x:v>25.09</x:v>
      </x:c>
      <x:c r="C5909" s="274" t="n">
        <x:v>0</x:v>
      </x:c>
      <x:c r="D5909" s="274" t="n">
        <x:v>30</x:v>
      </x:c>
      <x:c r="E5909" s="274" t="n">
        <x:v>25</x:v>
      </x:c>
      <x:c r="F5909" s="274" t="s">
        <x:v>184</x:v>
      </x:c>
      <x:c r="G5909" s="274" t="s">
        <x:v>4782</x:v>
      </x:c>
      <x:c r="H5909" s="274" t="s">
        <x:v>4471</x:v>
      </x:c>
      <x:c r="I5909" s="274" t="n">
        <x:v>2</x:v>
      </x:c>
      <x:c r="J5909" s="274" t="n">
        <x:v>1278</x:v>
      </x:c>
      <x:c r="K5909" s="274" t="n">
        <x:v>1250</x:v>
      </x:c>
      <x:c r="N5909" s="274" t="s">
        <x:v>4258</x:v>
      </x:c>
    </x:row>
    <x:row r="5910" spans="1:14">
      <x:c r="A5910" s="274" t="s">
        <x:v>10043</x:v>
      </x:c>
      <x:c r="B5910" s="274" t="n">
        <x:v>12.26</x:v>
      </x:c>
      <x:c r="C5910" s="274" t="n">
        <x:v>0</x:v>
      </x:c>
      <x:c r="D5910" s="274" t="n">
        <x:v>35</x:v>
      </x:c>
      <x:c r="E5910" s="274" t="n">
        <x:v>32</x:v>
      </x:c>
      <x:c r="F5910" s="274" t="s">
        <x:v>184</x:v>
      </x:c>
      <x:c r="G5910" s="274" t="s">
        <x:v>4782</x:v>
      </x:c>
      <x:c r="H5910" s="274" t="s">
        <x:v>4471</x:v>
      </x:c>
      <x:c r="I5910" s="274" t="n">
        <x:v>1</x:v>
      </x:c>
      <x:c r="J5910" s="274" t="n">
        <x:v>1250</x:v>
      </x:c>
      <x:c r="K5910" s="274" t="n">
        <x:v>1250</x:v>
      </x:c>
      <x:c r="M5910" s="274" t="s">
        <x:v>10044</x:v>
      </x:c>
      <x:c r="N5910" s="274" t="s">
        <x:v>4258</x:v>
      </x:c>
    </x:row>
    <x:row r="5911" spans="1:14">
      <x:c r="A5911" s="274" t="s">
        <x:v>10045</x:v>
      </x:c>
      <x:c r="B5911" s="274" t="n">
        <x:v>4.38</x:v>
      </x:c>
      <x:c r="C5911" s="274" t="n">
        <x:v>0</x:v>
      </x:c>
      <x:c r="D5911" s="274" t="n">
        <x:v>45</x:v>
      </x:c>
      <x:c r="E5911" s="274" t="n">
        <x:v>40</x:v>
      </x:c>
      <x:c r="F5911" s="274" t="s">
        <x:v>333</x:v>
      </x:c>
      <x:c r="G5911" s="274" t="s">
        <x:v>153</x:v>
      </x:c>
      <x:c r="I5911" s="274" t="n">
        <x:v>0.65</x:v>
      </x:c>
      <x:c r="J5911" s="274" t="n">
        <x:v>1430</x:v>
      </x:c>
      <x:c r="K5911" s="274" t="n">
        <x:v>600</x:v>
      </x:c>
      <x:c r="M5911" s="274" t="s">
        <x:v>1230</x:v>
      </x:c>
      <x:c r="N5911" s="274" t="s">
        <x:v>421</x:v>
      </x:c>
    </x:row>
    <x:row r="5912" spans="1:14">
      <x:c r="A5912" s="274" t="s">
        <x:v>10046</x:v>
      </x:c>
      <x:c r="B5912" s="274" t="n">
        <x:v>7.02</x:v>
      </x:c>
      <x:c r="C5912" s="274" t="n">
        <x:v>0</x:v>
      </x:c>
      <x:c r="D5912" s="274" t="n">
        <x:v>35</x:v>
      </x:c>
      <x:c r="E5912" s="274" t="n">
        <x:v>32</x:v>
      </x:c>
      <x:c r="F5912" s="274" t="s">
        <x:v>333</x:v>
      </x:c>
      <x:c r="G5912" s="274" t="s">
        <x:v>4663</x:v>
      </x:c>
      <x:c r="I5912" s="274" t="n">
        <x:v>0.65</x:v>
      </x:c>
      <x:c r="J5912" s="274" t="n">
        <x:v>1100</x:v>
      </x:c>
      <x:c r="K5912" s="274" t="n">
        <x:v>1250</x:v>
      </x:c>
      <x:c r="M5912" s="274" t="s">
        <x:v>5439</x:v>
      </x:c>
      <x:c r="N5912" s="274" t="s">
        <x:v>4258</x:v>
      </x:c>
    </x:row>
    <x:row r="5913" spans="1:14">
      <x:c r="A5913" s="274" t="s">
        <x:v>10047</x:v>
      </x:c>
      <x:c r="B5913" s="274" t="n">
        <x:v>12.09</x:v>
      </x:c>
      <x:c r="C5913" s="274" t="n">
        <x:v>0</x:v>
      </x:c>
      <x:c r="D5913" s="274" t="n">
        <x:v>37</x:v>
      </x:c>
      <x:c r="E5913" s="274" t="n">
        <x:v>32</x:v>
      </x:c>
      <x:c r="F5913" s="274" t="s">
        <x:v>4735</x:v>
      </x:c>
      <x:c r="G5913" s="274" t="s">
        <x:v>4736</x:v>
      </x:c>
      <x:c r="I5913" s="274" t="n">
        <x:v>1</x:v>
      </x:c>
      <x:c r="J5913" s="274" t="n">
        <x:v>1250</x:v>
      </x:c>
      <x:c r="K5913" s="274" t="n">
        <x:v>1240</x:v>
      </x:c>
      <x:c r="M5913" s="274" t="s">
        <x:v>5576</x:v>
      </x:c>
      <x:c r="N5913" s="274" t="s">
        <x:v>3671</x:v>
      </x:c>
    </x:row>
    <x:row r="5914" spans="1:14">
      <x:c r="A5914" s="274" t="s">
        <x:v>10048</x:v>
      </x:c>
      <x:c r="B5914" s="274" t="n">
        <x:v>10.9</x:v>
      </x:c>
      <x:c r="C5914" s="274" t="n">
        <x:v>0</x:v>
      </x:c>
      <x:c r="D5914" s="274" t="n">
        <x:v>35</x:v>
      </x:c>
      <x:c r="E5914" s="274" t="n">
        <x:v>32</x:v>
      </x:c>
      <x:c r="F5914" s="274" t="s">
        <x:v>333</x:v>
      </x:c>
      <x:c r="G5914" s="274" t="s">
        <x:v>4663</x:v>
      </x:c>
      <x:c r="I5914" s="274" t="n">
        <x:v>1</x:v>
      </x:c>
      <x:c r="J5914" s="274" t="n">
        <x:v>1110</x:v>
      </x:c>
      <x:c r="K5914" s="274" t="n">
        <x:v>1250</x:v>
      </x:c>
      <x:c r="M5914" s="274" t="s">
        <x:v>10049</x:v>
      </x:c>
      <x:c r="N5914" s="274" t="s">
        <x:v>4258</x:v>
      </x:c>
    </x:row>
    <x:row r="5915" spans="1:14">
      <x:c r="A5915" s="274" t="s">
        <x:v>10050</x:v>
      </x:c>
      <x:c r="B5915" s="274" t="n">
        <x:v>12.9</x:v>
      </x:c>
      <x:c r="C5915" s="274" t="n">
        <x:v>0</x:v>
      </x:c>
      <x:c r="D5915" s="274" t="n">
        <x:v>35</x:v>
      </x:c>
      <x:c r="E5915" s="274" t="n">
        <x:v>30</x:v>
      </x:c>
      <x:c r="F5915" s="274" t="s">
        <x:v>333</x:v>
      </x:c>
      <x:c r="G5915" s="274" t="s">
        <x:v>4796</x:v>
      </x:c>
      <x:c r="I5915" s="274" t="n">
        <x:v>1.2</x:v>
      </x:c>
      <x:c r="J5915" s="274" t="n">
        <x:v>1095</x:v>
      </x:c>
      <x:c r="K5915" s="274" t="n">
        <x:v>1250</x:v>
      </x:c>
      <x:c r="M5915" s="274" t="s">
        <x:v>5505</x:v>
      </x:c>
      <x:c r="N5915" s="274" t="s">
        <x:v>4258</x:v>
      </x:c>
    </x:row>
    <x:row r="5916" spans="1:14">
      <x:c r="A5916" s="274" t="s">
        <x:v>10051</x:v>
      </x:c>
      <x:c r="B5916" s="274" t="n">
        <x:v>4.53</x:v>
      </x:c>
      <x:c r="C5916" s="274" t="n">
        <x:v>0</x:v>
      </x:c>
      <x:c r="D5916" s="274" t="n">
        <x:v>45</x:v>
      </x:c>
      <x:c r="E5916" s="274" t="n">
        <x:v>40</x:v>
      </x:c>
      <x:c r="F5916" s="274" t="s">
        <x:v>333</x:v>
      </x:c>
      <x:c r="G5916" s="274" t="s">
        <x:v>4663</x:v>
      </x:c>
      <x:c r="I5916" s="274" t="n">
        <x:v>1</x:v>
      </x:c>
      <x:c r="J5916" s="274" t="n">
        <x:v>1110</x:v>
      </x:c>
      <x:c r="K5916" s="274" t="n">
        <x:v>520</x:v>
      </x:c>
      <x:c r="M5916" s="274" t="s">
        <x:v>10052</x:v>
      </x:c>
      <x:c r="N5916" s="274" t="s">
        <x:v>4258</x:v>
      </x:c>
    </x:row>
    <x:row r="5917" spans="1:14">
      <x:c r="A5917" s="274" t="s">
        <x:v>10053</x:v>
      </x:c>
      <x:c r="B5917" s="274" t="n">
        <x:v>30.77</x:v>
      </x:c>
      <x:c r="C5917" s="274" t="n">
        <x:v>0</x:v>
      </x:c>
      <x:c r="D5917" s="274" t="n">
        <x:v>25</x:v>
      </x:c>
      <x:c r="E5917" s="274" t="n">
        <x:v>23</x:v>
      </x:c>
      <x:c r="F5917" s="274" t="s">
        <x:v>123</x:v>
      </x:c>
      <x:c r="G5917" s="274" t="s">
        <x:v>136</x:v>
      </x:c>
      <x:c r="H5917" s="274" t="n">
        <x:v>45</x:v>
      </x:c>
      <x:c r="I5917" s="274" t="n">
        <x:v>2.3</x:v>
      </x:c>
      <x:c r="J5917" s="274" t="n">
        <x:v>1285</x:v>
      </x:c>
      <x:c r="K5917" s="274" t="n">
        <x:v>1320</x:v>
      </x:c>
      <x:c r="M5917" s="274" t="s">
        <x:v>7783</x:v>
      </x:c>
      <x:c r="N5917" s="274" t="s">
        <x:v>3671</x:v>
      </x:c>
    </x:row>
    <x:row r="5918" spans="1:14">
      <x:c r="A5918" s="274" t="s">
        <x:v>10054</x:v>
      </x:c>
      <x:c r="B5918" s="274" t="n">
        <x:v>6.64</x:v>
      </x:c>
      <x:c r="C5918" s="274" t="n">
        <x:v>0</x:v>
      </x:c>
      <x:c r="D5918" s="274" t="n">
        <x:v>40</x:v>
      </x:c>
      <x:c r="E5918" s="274" t="n">
        <x:v>38</x:v>
      </x:c>
      <x:c r="F5918" s="274" t="s">
        <x:v>123</x:v>
      </x:c>
      <x:c r="G5918" s="274" t="s">
        <x:v>129</x:v>
      </x:c>
      <x:c r="H5918" s="274" t="n">
        <x:v>45</x:v>
      </x:c>
      <x:c r="I5918" s="274" t="n">
        <x:v>0.8</x:v>
      </x:c>
      <x:c r="J5918" s="274" t="n">
        <x:v>1140</x:v>
      </x:c>
      <x:c r="K5918" s="274" t="n">
        <x:v>915</x:v>
      </x:c>
      <x:c r="M5918" s="274" t="s">
        <x:v>5569</x:v>
      </x:c>
      <x:c r="N5918" s="274" t="s">
        <x:v>3671</x:v>
      </x:c>
    </x:row>
    <x:row r="5919" spans="1:14">
      <x:c r="A5919" s="274" t="s">
        <x:v>10055</x:v>
      </x:c>
      <x:c r="B5919" s="274" t="n">
        <x:v>14.03</x:v>
      </x:c>
      <x:c r="C5919" s="274" t="n">
        <x:v>0</x:v>
      </x:c>
      <x:c r="D5919" s="274" t="n">
        <x:v>32</x:v>
      </x:c>
      <x:c r="E5919" s="274" t="n">
        <x:v>29</x:v>
      </x:c>
      <x:c r="F5919" s="274" t="s">
        <x:v>333</x:v>
      </x:c>
      <x:c r="G5919" s="274" t="s">
        <x:v>4796</x:v>
      </x:c>
      <x:c r="I5919" s="274" t="n">
        <x:v>1.2</x:v>
      </x:c>
      <x:c r="J5919" s="274" t="n">
        <x:v>1095</x:v>
      </x:c>
      <x:c r="K5919" s="274" t="n">
        <x:v>1360</x:v>
      </x:c>
      <x:c r="M5919" s="274" t="s">
        <x:v>5693</x:v>
      </x:c>
      <x:c r="N5919" s="274" t="s">
        <x:v>4258</x:v>
      </x:c>
    </x:row>
    <x:row r="5920" spans="1:14">
      <x:c r="A5920" s="274" t="s">
        <x:v>10056</x:v>
      </x:c>
      <x:c r="B5920" s="274" t="n">
        <x:v>3.88</x:v>
      </x:c>
      <x:c r="C5920" s="274" t="n">
        <x:v>0</x:v>
      </x:c>
      <x:c r="D5920" s="274" t="n">
        <x:v>45</x:v>
      </x:c>
      <x:c r="E5920" s="274" t="n">
        <x:v>40</x:v>
      </x:c>
      <x:c r="F5920" s="274" t="s">
        <x:v>333</x:v>
      </x:c>
      <x:c r="G5920" s="274" t="s">
        <x:v>4663</x:v>
      </x:c>
      <x:c r="I5920" s="274" t="n">
        <x:v>1</x:v>
      </x:c>
      <x:c r="J5920" s="274" t="n">
        <x:v>1110</x:v>
      </x:c>
      <x:c r="K5920" s="274" t="n">
        <x:v>445</x:v>
      </x:c>
      <x:c r="M5920" s="274" t="s">
        <x:v>5608</x:v>
      </x:c>
      <x:c r="N5920" s="274" t="s">
        <x:v>4258</x:v>
      </x:c>
    </x:row>
    <x:row r="5921" spans="1:14">
      <x:c r="A5921" s="274" t="s">
        <x:v>10057</x:v>
      </x:c>
      <x:c r="B5921" s="274" t="n">
        <x:v>5.16</x:v>
      </x:c>
      <x:c r="C5921" s="274" t="n">
        <x:v>0</x:v>
      </x:c>
      <x:c r="D5921" s="274" t="n">
        <x:v>45</x:v>
      </x:c>
      <x:c r="E5921" s="274" t="n">
        <x:v>40</x:v>
      </x:c>
      <x:c r="F5921" s="274" t="s">
        <x:v>128</x:v>
      </x:c>
      <x:c r="G5921" s="274" t="s">
        <x:v>177</x:v>
      </x:c>
      <x:c r="H5921" s="274" t="n">
        <x:v>45</x:v>
      </x:c>
      <x:c r="I5921" s="274" t="n">
        <x:v>2</x:v>
      </x:c>
      <x:c r="J5921" s="274" t="n">
        <x:v>925</x:v>
      </x:c>
      <x:c r="K5921" s="274" t="n">
        <x:v>353</x:v>
      </x:c>
      <x:c r="M5921" s="274" t="s">
        <x:v>5627</x:v>
      </x:c>
      <x:c r="N5921" s="274" t="s">
        <x:v>4258</x:v>
      </x:c>
    </x:row>
    <x:row r="5922" spans="1:14">
      <x:c r="A5922" s="274" t="s">
        <x:v>10058</x:v>
      </x:c>
      <x:c r="B5922" s="274" t="n">
        <x:v>13.83</x:v>
      </x:c>
      <x:c r="C5922" s="274" t="n">
        <x:v>0</x:v>
      </x:c>
      <x:c r="D5922" s="274" t="n">
        <x:v>28</x:v>
      </x:c>
      <x:c r="E5922" s="274" t="n">
        <x:v>23</x:v>
      </x:c>
      <x:c r="F5922" s="274" t="s">
        <x:v>128</x:v>
      </x:c>
      <x:c r="G5922" s="274" t="s">
        <x:v>3314</x:v>
      </x:c>
      <x:c r="H5922" s="274" t="n">
        <x:v>45</x:v>
      </x:c>
      <x:c r="I5922" s="274" t="n">
        <x:v>2.6</x:v>
      </x:c>
      <x:c r="J5922" s="274" t="n">
        <x:v>1320</x:v>
      </x:c>
      <x:c r="K5922" s="274" t="n">
        <x:v>511</x:v>
      </x:c>
      <x:c r="M5922" s="274" t="s">
        <x:v>4337</x:v>
      </x:c>
      <x:c r="N5922" s="274" t="s">
        <x:v>3671</x:v>
      </x:c>
    </x:row>
    <x:row r="5923" spans="1:14">
      <x:c r="A5923" s="274" t="s">
        <x:v>10059</x:v>
      </x:c>
      <x:c r="B5923" s="274" t="n">
        <x:v>11.19</x:v>
      </x:c>
      <x:c r="C5923" s="274" t="n">
        <x:v>0</x:v>
      </x:c>
      <x:c r="D5923" s="274" t="n">
        <x:v>33</x:v>
      </x:c>
      <x:c r="E5923" s="274" t="n">
        <x:v>29</x:v>
      </x:c>
      <x:c r="F5923" s="274" t="s">
        <x:v>333</x:v>
      </x:c>
      <x:c r="G5923" s="274" t="s">
        <x:v>4796</x:v>
      </x:c>
      <x:c r="I5923" s="274" t="n">
        <x:v>1</x:v>
      </x:c>
      <x:c r="J5923" s="274" t="n">
        <x:v>1060</x:v>
      </x:c>
      <x:c r="K5923" s="274" t="n">
        <x:v>1344</x:v>
      </x:c>
      <x:c r="M5923" s="274" t="s">
        <x:v>5663</x:v>
      </x:c>
      <x:c r="N5923" s="274" t="s">
        <x:v>4258</x:v>
      </x:c>
    </x:row>
    <x:row r="5924" spans="1:14">
      <x:c r="A5924" s="274" t="s">
        <x:v>10060</x:v>
      </x:c>
      <x:c r="B5924" s="274" t="n">
        <x:v>6.56</x:v>
      </x:c>
      <x:c r="C5924" s="274" t="n">
        <x:v>0</x:v>
      </x:c>
      <x:c r="D5924" s="274" t="n">
        <x:v>45</x:v>
      </x:c>
      <x:c r="E5924" s="274" t="n">
        <x:v>40</x:v>
      </x:c>
      <x:c r="F5924" s="274" t="s">
        <x:v>333</x:v>
      </x:c>
      <x:c r="G5924" s="274" t="s">
        <x:v>4796</x:v>
      </x:c>
      <x:c r="I5924" s="274" t="n">
        <x:v>1.6</x:v>
      </x:c>
      <x:c r="J5924" s="274" t="n">
        <x:v>1305</x:v>
      </x:c>
      <x:c r="K5924" s="274" t="n">
        <x:v>400</x:v>
      </x:c>
      <x:c r="M5924" s="274" t="s">
        <x:v>5665</x:v>
      </x:c>
      <x:c r="N5924" s="274" t="s">
        <x:v>4258</x:v>
      </x:c>
    </x:row>
    <x:row r="5925" spans="1:14">
      <x:c r="A5925" s="274" t="s">
        <x:v>10061</x:v>
      </x:c>
      <x:c r="B5925" s="274" t="n">
        <x:v>6.5</x:v>
      </x:c>
      <x:c r="C5925" s="274" t="n">
        <x:v>0</x:v>
      </x:c>
      <x:c r="D5925" s="274" t="n">
        <x:v>45</x:v>
      </x:c>
      <x:c r="E5925" s="274" t="n">
        <x:v>40</x:v>
      </x:c>
      <x:c r="F5925" s="274" t="s">
        <x:v>333</x:v>
      </x:c>
      <x:c r="G5925" s="274" t="s">
        <x:v>5164</x:v>
      </x:c>
      <x:c r="I5925" s="274" t="n">
        <x:v>1.2</x:v>
      </x:c>
      <x:c r="J5925" s="274" t="n">
        <x:v>1150</x:v>
      </x:c>
      <x:c r="K5925" s="274" t="n">
        <x:v>600</x:v>
      </x:c>
      <x:c r="M5925" s="274" t="s">
        <x:v>5667</x:v>
      </x:c>
      <x:c r="N5925" s="274" t="s">
        <x:v>4258</x:v>
      </x:c>
    </x:row>
    <x:row r="5926" spans="1:14">
      <x:c r="A5926" s="274" t="s">
        <x:v>10062</x:v>
      </x:c>
      <x:c r="B5926" s="274" t="n">
        <x:v>7.24</x:v>
      </x:c>
      <x:c r="C5926" s="274" t="n">
        <x:v>0</x:v>
      </x:c>
      <x:c r="D5926" s="274" t="n">
        <x:v>35</x:v>
      </x:c>
      <x:c r="E5926" s="274" t="n">
        <x:v>30</x:v>
      </x:c>
      <x:c r="F5926" s="274" t="s">
        <x:v>333</x:v>
      </x:c>
      <x:c r="G5926" s="274" t="s">
        <x:v>5307</x:v>
      </x:c>
      <x:c r="I5926" s="274" t="n">
        <x:v>1.2</x:v>
      </x:c>
      <x:c r="J5926" s="274" t="n">
        <x:v>615</x:v>
      </x:c>
      <x:c r="K5926" s="274" t="n">
        <x:v>1250</x:v>
      </x:c>
      <x:c r="M5926" s="274" t="s">
        <x:v>10063</x:v>
      </x:c>
      <x:c r="N5926" s="274" t="s">
        <x:v>3671</x:v>
      </x:c>
    </x:row>
    <x:row r="5927" spans="1:14">
      <x:c r="A5927" s="274" t="s">
        <x:v>10064</x:v>
      </x:c>
      <x:c r="B5927" s="274" t="n">
        <x:v>18.56</x:v>
      </x:c>
      <x:c r="C5927" s="274" t="n">
        <x:v>0</x:v>
      </x:c>
      <x:c r="D5927" s="274" t="n">
        <x:v>33</x:v>
      </x:c>
      <x:c r="E5927" s="274" t="n">
        <x:v>28</x:v>
      </x:c>
      <x:c r="F5927" s="274" t="s">
        <x:v>133</x:v>
      </x:c>
      <x:c r="G5927" s="274" t="s">
        <x:v>4470</x:v>
      </x:c>
      <x:c r="H5927" s="274" t="s">
        <x:v>4471</x:v>
      </x:c>
      <x:c r="I5927" s="274" t="n">
        <x:v>1.4</x:v>
      </x:c>
      <x:c r="J5927" s="274" t="n">
        <x:v>1181</x:v>
      </x:c>
      <x:c r="K5927" s="274" t="n">
        <x:v>1430</x:v>
      </x:c>
      <x:c r="M5927" s="274" t="s">
        <x:v>4936</x:v>
      </x:c>
      <x:c r="N5927" s="274" t="s">
        <x:v>4258</x:v>
      </x:c>
    </x:row>
    <x:row r="5928" spans="1:14">
      <x:c r="A5928" s="274" t="s">
        <x:v>10065</x:v>
      </x:c>
      <x:c r="B5928" s="274" t="n">
        <x:v>6.12</x:v>
      </x:c>
      <x:c r="C5928" s="274" t="n">
        <x:v>0</x:v>
      </x:c>
      <x:c r="D5928" s="274" t="n">
        <x:v>40</x:v>
      </x:c>
      <x:c r="E5928" s="274" t="n">
        <x:v>35</x:v>
      </x:c>
      <x:c r="F5928" s="274" t="s">
        <x:v>184</x:v>
      </x:c>
      <x:c r="G5928" s="274" t="s">
        <x:v>4782</x:v>
      </x:c>
      <x:c r="H5928" s="274" t="s">
        <x:v>4471</x:v>
      </x:c>
      <x:c r="I5928" s="274" t="n">
        <x:v>0.7</x:v>
      </x:c>
      <x:c r="J5928" s="274" t="n">
        <x:v>1040</x:v>
      </x:c>
      <x:c r="K5928" s="274" t="n">
        <x:v>1070</x:v>
      </x:c>
      <x:c r="M5928" s="274" t="s">
        <x:v>5700</x:v>
      </x:c>
      <x:c r="N5928" s="274" t="s">
        <x:v>4258</x:v>
      </x:c>
    </x:row>
    <x:row r="5929" spans="1:14">
      <x:c r="A5929" s="274" t="s">
        <x:v>10066</x:v>
      </x:c>
      <x:c r="B5929" s="274" t="n">
        <x:v>3.8</x:v>
      </x:c>
      <x:c r="C5929" s="274" t="n">
        <x:v>0</x:v>
      </x:c>
      <x:c r="D5929" s="274" t="n">
        <x:v>45</x:v>
      </x:c>
      <x:c r="E5929" s="274" t="n">
        <x:v>40</x:v>
      </x:c>
      <x:c r="F5929" s="274" t="s">
        <x:v>133</x:v>
      </x:c>
      <x:c r="G5929" s="274" t="s">
        <x:v>144</x:v>
      </x:c>
      <x:c r="H5929" s="274" t="n">
        <x:v>45</x:v>
      </x:c>
      <x:c r="I5929" s="274" t="n">
        <x:v>1.2</x:v>
      </x:c>
      <x:c r="J5929" s="274" t="n">
        <x:v>1110</x:v>
      </x:c>
      <x:c r="K5929" s="274" t="n">
        <x:v>360</x:v>
      </x:c>
      <x:c r="M5929" s="274" t="s">
        <x:v>5715</x:v>
      </x:c>
      <x:c r="N5929" s="274" t="s">
        <x:v>3671</x:v>
      </x:c>
    </x:row>
    <x:row r="5930" spans="1:14">
      <x:c r="A5930" s="274" t="s">
        <x:v>10067</x:v>
      </x:c>
      <x:c r="B5930" s="274" t="n">
        <x:v>5.57</x:v>
      </x:c>
      <x:c r="C5930" s="274" t="n">
        <x:v>0</x:v>
      </x:c>
      <x:c r="D5930" s="274" t="n">
        <x:v>45</x:v>
      </x:c>
      <x:c r="E5930" s="274" t="n">
        <x:v>40</x:v>
      </x:c>
      <x:c r="F5930" s="274" t="s">
        <x:v>123</x:v>
      </x:c>
      <x:c r="G5930" s="274" t="s">
        <x:v>881</x:v>
      </x:c>
      <x:c r="H5930" s="274" t="n">
        <x:v>45</x:v>
      </x:c>
      <x:c r="I5930" s="274" t="n">
        <x:v>1</x:v>
      </x:c>
      <x:c r="J5930" s="274" t="n">
        <x:v>1170</x:v>
      </x:c>
      <x:c r="K5930" s="274" t="n">
        <x:v>600</x:v>
      </x:c>
      <x:c r="M5930" s="274" t="s">
        <x:v>5717</x:v>
      </x:c>
      <x:c r="N5930" s="274" t="s">
        <x:v>3671</x:v>
      </x:c>
    </x:row>
    <x:row r="5931" spans="1:14">
      <x:c r="A5931" s="274" t="s">
        <x:v>10068</x:v>
      </x:c>
      <x:c r="B5931" s="274" t="n">
        <x:v>11.07</x:v>
      </x:c>
      <x:c r="C5931" s="274" t="n">
        <x:v>0</x:v>
      </x:c>
      <x:c r="D5931" s="274" t="n">
        <x:v>45</x:v>
      </x:c>
      <x:c r="E5931" s="274" t="n">
        <x:v>40</x:v>
      </x:c>
      <x:c r="F5931" s="274" t="s">
        <x:v>184</x:v>
      </x:c>
      <x:c r="G5931" s="274" t="s">
        <x:v>3413</x:v>
      </x:c>
      <x:c r="H5931" s="274" t="n">
        <x:v>45</x:v>
      </x:c>
      <x:c r="I5931" s="274" t="n">
        <x:v>1.4</x:v>
      </x:c>
      <x:c r="J5931" s="274" t="n">
        <x:v>1110</x:v>
      </x:c>
      <x:c r="K5931" s="274" t="n">
        <x:v>900</x:v>
      </x:c>
      <x:c r="M5931" s="274" t="s">
        <x:v>5719</x:v>
      </x:c>
      <x:c r="N5931" s="274" t="s">
        <x:v>3671</x:v>
      </x:c>
    </x:row>
    <x:row r="5932" spans="1:14">
      <x:c r="A5932" s="274" t="s">
        <x:v>10069</x:v>
      </x:c>
      <x:c r="B5932" s="274" t="n">
        <x:v>2.73</x:v>
      </x:c>
      <x:c r="C5932" s="274" t="n">
        <x:v>0</x:v>
      </x:c>
      <x:c r="D5932" s="274" t="n">
        <x:v>45</x:v>
      </x:c>
      <x:c r="E5932" s="274" t="n">
        <x:v>40</x:v>
      </x:c>
      <x:c r="F5932" s="274" t="s">
        <x:v>123</x:v>
      </x:c>
      <x:c r="G5932" s="274" t="s">
        <x:v>136</x:v>
      </x:c>
      <x:c r="H5932" s="274" t="n">
        <x:v>45</x:v>
      </x:c>
      <x:c r="I5932" s="274" t="n">
        <x:v>0.55</x:v>
      </x:c>
      <x:c r="J5932" s="274" t="n">
        <x:v>1465</x:v>
      </x:c>
      <x:c r="K5932" s="274" t="n">
        <x:v>422</x:v>
      </x:c>
      <x:c r="M5932" s="274" t="s">
        <x:v>5725</x:v>
      </x:c>
      <x:c r="N5932" s="274" t="s">
        <x:v>3671</x:v>
      </x:c>
    </x:row>
    <x:row r="5933" spans="1:14">
      <x:c r="A5933" s="274" t="s">
        <x:v>10070</x:v>
      </x:c>
      <x:c r="B5933" s="274" t="n">
        <x:v>1.53</x:v>
      </x:c>
      <x:c r="C5933" s="274" t="n">
        <x:v>0</x:v>
      </x:c>
      <x:c r="D5933" s="274" t="n">
        <x:v>45</x:v>
      </x:c>
      <x:c r="E5933" s="274" t="n">
        <x:v>40</x:v>
      </x:c>
      <x:c r="F5933" s="274" t="s">
        <x:v>333</x:v>
      </x:c>
      <x:c r="G5933" s="274" t="s">
        <x:v>153</x:v>
      </x:c>
      <x:c r="I5933" s="274" t="n">
        <x:v>0.7</x:v>
      </x:c>
      <x:c r="J5933" s="274" t="n">
        <x:v>875</x:v>
      </x:c>
      <x:c r="K5933" s="274" t="n">
        <x:v>318</x:v>
      </x:c>
      <x:c r="M5933" s="274" t="s">
        <x:v>5733</x:v>
      </x:c>
      <x:c r="N5933" s="274" t="s">
        <x:v>3671</x:v>
      </x:c>
    </x:row>
    <x:row r="5934" spans="1:14">
      <x:c r="A5934" s="274" t="s">
        <x:v>10071</x:v>
      </x:c>
      <x:c r="B5934" s="274" t="n">
        <x:v>25.56</x:v>
      </x:c>
      <x:c r="C5934" s="274" t="n">
        <x:v>0</x:v>
      </x:c>
      <x:c r="D5934" s="274" t="n">
        <x:v>30</x:v>
      </x:c>
      <x:c r="E5934" s="274" t="n">
        <x:v>25</x:v>
      </x:c>
      <x:c r="F5934" s="274" t="s">
        <x:v>123</x:v>
      </x:c>
      <x:c r="G5934" s="274" t="s">
        <x:v>129</x:v>
      </x:c>
      <x:c r="H5934" s="274" t="n">
        <x:v>45</x:v>
      </x:c>
      <x:c r="I5934" s="274" t="n">
        <x:v>2</x:v>
      </x:c>
      <x:c r="J5934" s="274" t="n">
        <x:v>1295</x:v>
      </x:c>
      <x:c r="K5934" s="274" t="n">
        <x:v>1250</x:v>
      </x:c>
      <x:c r="M5934" s="274" t="s">
        <x:v>5740</x:v>
      </x:c>
      <x:c r="N5934" s="274" t="s">
        <x:v>3671</x:v>
      </x:c>
    </x:row>
    <x:row r="5935" spans="1:14">
      <x:c r="A5935" s="274" t="s">
        <x:v>10072</x:v>
      </x:c>
      <x:c r="B5935" s="274" t="n">
        <x:v>12.36</x:v>
      </x:c>
      <x:c r="C5935" s="274" t="n">
        <x:v>0</x:v>
      </x:c>
      <x:c r="D5935" s="274" t="n">
        <x:v>35</x:v>
      </x:c>
      <x:c r="E5935" s="274" t="n">
        <x:v>32</x:v>
      </x:c>
      <x:c r="F5935" s="274" t="s">
        <x:v>123</x:v>
      </x:c>
      <x:c r="G5935" s="274" t="s">
        <x:v>129</x:v>
      </x:c>
      <x:c r="H5935" s="274" t="n">
        <x:v>45</x:v>
      </x:c>
      <x:c r="I5935" s="274" t="n">
        <x:v>1.2</x:v>
      </x:c>
      <x:c r="J5935" s="274" t="n">
        <x:v>1040</x:v>
      </x:c>
      <x:c r="K5935" s="274" t="n">
        <x:v>1250</x:v>
      </x:c>
      <x:c r="M5935" s="274" t="s">
        <x:v>5742</x:v>
      </x:c>
      <x:c r="N5935" s="274" t="s">
        <x:v>3671</x:v>
      </x:c>
    </x:row>
    <x:row r="5936" spans="1:14">
      <x:c r="A5936" s="274" t="s">
        <x:v>10073</x:v>
      </x:c>
      <x:c r="B5936" s="274" t="n">
        <x:v>14.4</x:v>
      </x:c>
      <x:c r="C5936" s="274" t="n">
        <x:v>0</x:v>
      </x:c>
      <x:c r="D5936" s="274" t="n">
        <x:v>35</x:v>
      </x:c>
      <x:c r="E5936" s="274" t="n">
        <x:v>32</x:v>
      </x:c>
      <x:c r="F5936" s="274" t="s">
        <x:v>123</x:v>
      </x:c>
      <x:c r="G5936" s="274" t="s">
        <x:v>129</x:v>
      </x:c>
      <x:c r="H5936" s="274" t="n">
        <x:v>45</x:v>
      </x:c>
      <x:c r="I5936" s="274" t="n">
        <x:v>1.4</x:v>
      </x:c>
      <x:c r="J5936" s="274" t="n">
        <x:v>1040</x:v>
      </x:c>
      <x:c r="K5936" s="274" t="n">
        <x:v>1250</x:v>
      </x:c>
      <x:c r="M5936" s="274" t="s">
        <x:v>4602</x:v>
      </x:c>
      <x:c r="N5936" s="274" t="s">
        <x:v>3671</x:v>
      </x:c>
    </x:row>
    <x:row r="5937" spans="1:14">
      <x:c r="A5937" s="274" t="s">
        <x:v>10074</x:v>
      </x:c>
      <x:c r="B5937" s="274" t="n">
        <x:v>5.24</x:v>
      </x:c>
      <x:c r="C5937" s="274" t="n">
        <x:v>0</x:v>
      </x:c>
      <x:c r="D5937" s="274" t="n">
        <x:v>45</x:v>
      </x:c>
      <x:c r="E5937" s="274" t="n">
        <x:v>40</x:v>
      </x:c>
      <x:c r="F5937" s="274" t="s">
        <x:v>123</x:v>
      </x:c>
      <x:c r="G5937" s="274" t="s">
        <x:v>129</x:v>
      </x:c>
      <x:c r="H5937" s="274" t="n">
        <x:v>45</x:v>
      </x:c>
      <x:c r="I5937" s="274" t="n">
        <x:v>1.2</x:v>
      </x:c>
      <x:c r="J5937" s="274" t="n">
        <x:v>1040</x:v>
      </x:c>
      <x:c r="K5937" s="274" t="n">
        <x:v>530</x:v>
      </x:c>
      <x:c r="M5937" s="274" t="s">
        <x:v>5760</x:v>
      </x:c>
      <x:c r="N5937" s="274" t="s">
        <x:v>3671</x:v>
      </x:c>
    </x:row>
    <x:row r="5938" spans="1:14">
      <x:c r="A5938" s="274" t="s">
        <x:v>10075</x:v>
      </x:c>
      <x:c r="B5938" s="274" t="n">
        <x:v>5.06</x:v>
      </x:c>
      <x:c r="C5938" s="274" t="n">
        <x:v>0</x:v>
      </x:c>
      <x:c r="D5938" s="274" t="n">
        <x:v>0</x:v>
      </x:c>
      <x:c r="F5938" s="274" t="s">
        <x:v>123</x:v>
      </x:c>
      <x:c r="G5938" s="274" t="s">
        <x:v>129</x:v>
      </x:c>
      <x:c r="H5938" s="274" t="n">
        <x:v>45</x:v>
      </x:c>
      <x:c r="I5938" s="274" t="n">
        <x:v>1</x:v>
      </x:c>
      <x:c r="J5938" s="274" t="n">
        <x:v>1115</x:v>
      </x:c>
      <x:c r="K5938" s="274" t="n">
        <x:v>572</x:v>
      </x:c>
      <x:c r="M5938" s="274" t="s">
        <x:v>5762</x:v>
      </x:c>
      <x:c r="N5938" s="274" t="s">
        <x:v>3671</x:v>
      </x:c>
    </x:row>
    <x:row r="5939" spans="1:14">
      <x:c r="A5939" s="274" t="s">
        <x:v>10076</x:v>
      </x:c>
      <x:c r="B5939" s="274" t="n">
        <x:v>5.33</x:v>
      </x:c>
      <x:c r="C5939" s="274" t="n">
        <x:v>0</x:v>
      </x:c>
      <x:c r="D5939" s="274" t="n">
        <x:v>45</x:v>
      </x:c>
      <x:c r="E5939" s="274" t="n">
        <x:v>40</x:v>
      </x:c>
      <x:c r="F5939" s="274" t="s">
        <x:v>123</x:v>
      </x:c>
      <x:c r="G5939" s="274" t="s">
        <x:v>129</x:v>
      </x:c>
      <x:c r="H5939" s="274" t="n">
        <x:v>45</x:v>
      </x:c>
      <x:c r="I5939" s="274" t="n">
        <x:v>1</x:v>
      </x:c>
      <x:c r="J5939" s="274" t="n">
        <x:v>1115</x:v>
      </x:c>
      <x:c r="K5939" s="274" t="n">
        <x:v>602</x:v>
      </x:c>
      <x:c r="M5939" s="274" t="s">
        <x:v>6288</x:v>
      </x:c>
      <x:c r="N5939" s="274" t="s">
        <x:v>3671</x:v>
      </x:c>
    </x:row>
    <x:row r="5940" spans="1:14">
      <x:c r="A5940" s="274" t="s">
        <x:v>10077</x:v>
      </x:c>
      <x:c r="B5940" s="274" t="n">
        <x:v>3.72</x:v>
      </x:c>
      <x:c r="C5940" s="274" t="n">
        <x:v>0</x:v>
      </x:c>
      <x:c r="D5940" s="274" t="n">
        <x:v>45</x:v>
      </x:c>
      <x:c r="E5940" s="274" t="n">
        <x:v>40</x:v>
      </x:c>
      <x:c r="F5940" s="274" t="s">
        <x:v>123</x:v>
      </x:c>
      <x:c r="G5940" s="274" t="s">
        <x:v>881</x:v>
      </x:c>
      <x:c r="H5940" s="274" t="n">
        <x:v>45</x:v>
      </x:c>
      <x:c r="I5940" s="274" t="n">
        <x:v>1</x:v>
      </x:c>
      <x:c r="J5940" s="274" t="n">
        <x:v>1170</x:v>
      </x:c>
      <x:c r="K5940" s="274" t="n">
        <x:v>400</x:v>
      </x:c>
      <x:c r="M5940" s="274" t="s">
        <x:v>5770</x:v>
      </x:c>
      <x:c r="N5940" s="274" t="s">
        <x:v>3671</x:v>
      </x:c>
    </x:row>
    <x:row r="5941" spans="1:14">
      <x:c r="A5941" s="274" t="s">
        <x:v>10078</x:v>
      </x:c>
      <x:c r="B5941" s="274" t="n">
        <x:v>7.11</x:v>
      </x:c>
      <x:c r="C5941" s="274" t="n">
        <x:v>0</x:v>
      </x:c>
      <x:c r="D5941" s="274" t="n">
        <x:v>45</x:v>
      </x:c>
      <x:c r="E5941" s="274" t="n">
        <x:v>40</x:v>
      </x:c>
      <x:c r="F5941" s="274" t="s">
        <x:v>123</x:v>
      </x:c>
      <x:c r="G5941" s="274" t="s">
        <x:v>881</x:v>
      </x:c>
      <x:c r="H5941" s="274" t="n">
        <x:v>45</x:v>
      </x:c>
      <x:c r="I5941" s="274" t="n">
        <x:v>1</x:v>
      </x:c>
      <x:c r="J5941" s="274" t="n">
        <x:v>1170</x:v>
      </x:c>
      <x:c r="K5941" s="274" t="n">
        <x:v>765</x:v>
      </x:c>
      <x:c r="M5941" s="274" t="s">
        <x:v>6290</x:v>
      </x:c>
      <x:c r="N5941" s="274" t="s">
        <x:v>3671</x:v>
      </x:c>
    </x:row>
    <x:row r="5942" spans="1:14">
      <x:c r="A5942" s="274" t="s">
        <x:v>10079</x:v>
      </x:c>
      <x:c r="B5942" s="274" t="n">
        <x:v>3.9</x:v>
      </x:c>
      <x:c r="C5942" s="274" t="n">
        <x:v>0</x:v>
      </x:c>
      <x:c r="D5942" s="274" t="n">
        <x:v>43</x:v>
      </x:c>
      <x:c r="E5942" s="274" t="n">
        <x:v>40</x:v>
      </x:c>
      <x:c r="F5942" s="274" t="s">
        <x:v>123</x:v>
      </x:c>
      <x:c r="G5942" s="274" t="s">
        <x:v>129</x:v>
      </x:c>
      <x:c r="H5942" s="274" t="n">
        <x:v>45</x:v>
      </x:c>
      <x:c r="I5942" s="274" t="n">
        <x:v>0.9</x:v>
      </x:c>
      <x:c r="J5942" s="274" t="n">
        <x:v>1050</x:v>
      </x:c>
      <x:c r="K5942" s="274" t="n">
        <x:v>519</x:v>
      </x:c>
      <x:c r="M5942" s="274" t="s">
        <x:v>10080</x:v>
      </x:c>
      <x:c r="N5942" s="274" t="s">
        <x:v>3671</x:v>
      </x:c>
    </x:row>
    <x:row r="5943" spans="1:14">
      <x:c r="A5943" s="274" t="s">
        <x:v>10081</x:v>
      </x:c>
      <x:c r="B5943" s="274" t="n">
        <x:v>2.59</x:v>
      </x:c>
      <x:c r="C5943" s="274" t="n">
        <x:v>0</x:v>
      </x:c>
      <x:c r="D5943" s="274" t="n">
        <x:v>43</x:v>
      </x:c>
      <x:c r="E5943" s="274" t="n">
        <x:v>45</x:v>
      </x:c>
      <x:c r="F5943" s="274" t="s">
        <x:v>133</x:v>
      </x:c>
      <x:c r="G5943" s="274" t="s">
        <x:v>144</x:v>
      </x:c>
      <x:c r="H5943" s="274" t="n">
        <x:v>45</x:v>
      </x:c>
      <x:c r="I5943" s="274" t="n">
        <x:v>0.9</x:v>
      </x:c>
      <x:c r="J5943" s="274" t="n">
        <x:v>1000</x:v>
      </x:c>
      <x:c r="K5943" s="274" t="n">
        <x:v>362</x:v>
      </x:c>
      <x:c r="M5943" s="274" t="s">
        <x:v>10082</x:v>
      </x:c>
      <x:c r="N5943" s="274" t="s">
        <x:v>3671</x:v>
      </x:c>
    </x:row>
    <x:row r="5944" spans="1:14">
      <x:c r="A5944" s="274" t="s">
        <x:v>10083</x:v>
      </x:c>
      <x:c r="B5944" s="274" t="n">
        <x:v>9.58</x:v>
      </x:c>
      <x:c r="C5944" s="274" t="n">
        <x:v>0</x:v>
      </x:c>
      <x:c r="D5944" s="274" t="n">
        <x:v>35</x:v>
      </x:c>
      <x:c r="E5944" s="274" t="n">
        <x:v>32</x:v>
      </x:c>
      <x:c r="F5944" s="274" t="s">
        <x:v>333</x:v>
      </x:c>
      <x:c r="G5944" s="274" t="s">
        <x:v>209</x:v>
      </x:c>
      <x:c r="I5944" s="274" t="n">
        <x:v>0.9</x:v>
      </x:c>
      <x:c r="J5944" s="274" t="n">
        <x:v>1130</x:v>
      </x:c>
      <x:c r="K5944" s="274" t="n">
        <x:v>1200</x:v>
      </x:c>
      <x:c r="M5944" s="274" t="s">
        <x:v>10084</x:v>
      </x:c>
      <x:c r="N5944" s="274" t="s">
        <x:v>10085</x:v>
      </x:c>
    </x:row>
    <x:row r="5945" spans="1:14">
      <x:c r="A5945" s="274" t="s">
        <x:v>10086</x:v>
      </x:c>
      <x:c r="B5945" s="274" t="n">
        <x:v>3.94</x:v>
      </x:c>
      <x:c r="C5945" s="274" t="n">
        <x:v>0</x:v>
      </x:c>
      <x:c r="D5945" s="274" t="n">
        <x:v>43</x:v>
      </x:c>
      <x:c r="E5945" s="274" t="n">
        <x:v>40</x:v>
      </x:c>
      <x:c r="F5945" s="274" t="s">
        <x:v>333</x:v>
      </x:c>
      <x:c r="G5945" s="274" t="s">
        <x:v>153</x:v>
      </x:c>
      <x:c r="I5945" s="274" t="n">
        <x:v>1</x:v>
      </x:c>
      <x:c r="J5945" s="274" t="n">
        <x:v>985</x:v>
      </x:c>
      <x:c r="K5945" s="274" t="n">
        <x:v>509</x:v>
      </x:c>
      <x:c r="M5945" s="274" t="s">
        <x:v>4349</x:v>
      </x:c>
      <x:c r="N5945" s="274" t="s">
        <x:v>3671</x:v>
      </x:c>
    </x:row>
    <x:row r="5946" spans="1:14">
      <x:c r="A5946" s="274" t="s">
        <x:v>10087</x:v>
      </x:c>
      <x:c r="B5946" s="274" t="n">
        <x:v>3.82</x:v>
      </x:c>
      <x:c r="C5946" s="274" t="n">
        <x:v>0</x:v>
      </x:c>
      <x:c r="D5946" s="274" t="n">
        <x:v>43</x:v>
      </x:c>
      <x:c r="E5946" s="274" t="n">
        <x:v>40</x:v>
      </x:c>
      <x:c r="F5946" s="274" t="s">
        <x:v>123</x:v>
      </x:c>
      <x:c r="G5946" s="274" t="s">
        <x:v>129</x:v>
      </x:c>
      <x:c r="H5946" s="274" t="n">
        <x:v>45</x:v>
      </x:c>
      <x:c r="I5946" s="274" t="n">
        <x:v>1</x:v>
      </x:c>
      <x:c r="J5946" s="274" t="n">
        <x:v>1115</x:v>
      </x:c>
      <x:c r="K5946" s="274" t="n">
        <x:v>432</x:v>
      </x:c>
      <x:c r="M5946" s="274" t="s">
        <x:v>10088</x:v>
      </x:c>
      <x:c r="N5946" s="274" t="s">
        <x:v>3671</x:v>
      </x:c>
    </x:row>
    <x:row r="5947" spans="1:14">
      <x:c r="A5947" s="274" t="s">
        <x:v>10089</x:v>
      </x:c>
      <x:c r="B5947" s="274" t="n">
        <x:v>6.21</x:v>
      </x:c>
      <x:c r="C5947" s="274" t="n">
        <x:v>0</x:v>
      </x:c>
      <x:c r="D5947" s="274" t="n">
        <x:v>43</x:v>
      </x:c>
      <x:c r="E5947" s="274" t="n">
        <x:v>40</x:v>
      </x:c>
      <x:c r="F5947" s="274" t="s">
        <x:v>123</x:v>
      </x:c>
      <x:c r="G5947" s="274" t="s">
        <x:v>881</x:v>
      </x:c>
      <x:c r="H5947" s="274" t="n">
        <x:v>45</x:v>
      </x:c>
      <x:c r="I5947" s="274" t="n">
        <x:v>1.4</x:v>
      </x:c>
      <x:c r="J5947" s="274" t="n">
        <x:v>1140</x:v>
      </x:c>
      <x:c r="K5947" s="274" t="n">
        <x:v>492</x:v>
      </x:c>
      <x:c r="M5947" s="274" t="s">
        <x:v>10090</x:v>
      </x:c>
      <x:c r="N5947" s="274" t="s">
        <x:v>3671</x:v>
      </x:c>
    </x:row>
    <x:row r="5948" spans="1:14">
      <x:c r="A5948" s="274" t="s">
        <x:v>10091</x:v>
      </x:c>
      <x:c r="B5948" s="274" t="n">
        <x:v>6.27</x:v>
      </x:c>
      <x:c r="C5948" s="274" t="n">
        <x:v>0</x:v>
      </x:c>
      <x:c r="D5948" s="274" t="n">
        <x:v>43</x:v>
      </x:c>
      <x:c r="E5948" s="274" t="n">
        <x:v>40</x:v>
      </x:c>
      <x:c r="F5948" s="274" t="s">
        <x:v>333</x:v>
      </x:c>
      <x:c r="G5948" s="274" t="s">
        <x:v>153</x:v>
      </x:c>
      <x:c r="I5948" s="274" t="n">
        <x:v>1.6</x:v>
      </x:c>
      <x:c r="J5948" s="274" t="n">
        <x:v>1100</x:v>
      </x:c>
      <x:c r="K5948" s="274" t="n">
        <x:v>454</x:v>
      </x:c>
      <x:c r="M5948" s="274" t="s">
        <x:v>10092</x:v>
      </x:c>
      <x:c r="N5948" s="274" t="s">
        <x:v>3671</x:v>
      </x:c>
    </x:row>
    <x:row r="5949" spans="1:14">
      <x:c r="A5949" s="274" t="s">
        <x:v>10093</x:v>
      </x:c>
      <x:c r="B5949" s="274" t="n">
        <x:v>9.67</x:v>
      </x:c>
      <x:c r="C5949" s="274" t="n">
        <x:v>0</x:v>
      </x:c>
      <x:c r="D5949" s="274" t="n">
        <x:v>43</x:v>
      </x:c>
      <x:c r="E5949" s="274" t="n">
        <x:v>40</x:v>
      </x:c>
      <x:c r="F5949" s="274" t="s">
        <x:v>333</x:v>
      </x:c>
      <x:c r="G5949" s="274" t="s">
        <x:v>153</x:v>
      </x:c>
      <x:c r="I5949" s="274" t="n">
        <x:v>1.6</x:v>
      </x:c>
      <x:c r="J5949" s="274" t="n">
        <x:v>1100</x:v>
      </x:c>
      <x:c r="K5949" s="274" t="n">
        <x:v>700</x:v>
      </x:c>
      <x:c r="M5949" s="274" t="s">
        <x:v>10094</x:v>
      </x:c>
      <x:c r="N5949" s="274" t="s">
        <x:v>3671</x:v>
      </x:c>
    </x:row>
    <x:row r="5950" spans="1:14">
      <x:c r="A5950" s="274" t="s">
        <x:v>10095</x:v>
      </x:c>
      <x:c r="B5950" s="274" t="n">
        <x:v>6.37</x:v>
      </x:c>
      <x:c r="C5950" s="274" t="n">
        <x:v>0</x:v>
      </x:c>
      <x:c r="D5950" s="274" t="n">
        <x:v>43</x:v>
      </x:c>
      <x:c r="E5950" s="274" t="n">
        <x:v>40</x:v>
      </x:c>
      <x:c r="F5950" s="274" t="s">
        <x:v>333</x:v>
      </x:c>
      <x:c r="G5950" s="274" t="s">
        <x:v>153</x:v>
      </x:c>
      <x:c r="I5950" s="274" t="n">
        <x:v>1.6</x:v>
      </x:c>
      <x:c r="J5950" s="274" t="n">
        <x:v>1100</x:v>
      </x:c>
      <x:c r="K5950" s="274" t="n">
        <x:v>461</x:v>
      </x:c>
      <x:c r="M5950" s="274" t="s">
        <x:v>10096</x:v>
      </x:c>
      <x:c r="N5950" s="274" t="s">
        <x:v>3671</x:v>
      </x:c>
    </x:row>
    <x:row r="5951" spans="1:14">
      <x:c r="A5951" s="274" t="s">
        <x:v>10097</x:v>
      </x:c>
      <x:c r="B5951" s="274" t="n">
        <x:v>6.67</x:v>
      </x:c>
      <x:c r="C5951" s="274" t="n">
        <x:v>0</x:v>
      </x:c>
      <x:c r="D5951" s="274" t="n">
        <x:v>43</x:v>
      </x:c>
      <x:c r="E5951" s="274" t="n">
        <x:v>40</x:v>
      </x:c>
      <x:c r="F5951" s="274" t="s">
        <x:v>333</x:v>
      </x:c>
      <x:c r="G5951" s="274" t="s">
        <x:v>153</x:v>
      </x:c>
      <x:c r="I5951" s="274" t="n">
        <x:v>1.8</x:v>
      </x:c>
      <x:c r="J5951" s="274" t="n">
        <x:v>1100</x:v>
      </x:c>
      <x:c r="K5951" s="274" t="n">
        <x:v>429</x:v>
      </x:c>
      <x:c r="M5951" s="274" t="s">
        <x:v>10098</x:v>
      </x:c>
      <x:c r="N5951" s="274" t="s">
        <x:v>3671</x:v>
      </x:c>
    </x:row>
    <x:row r="5952" spans="1:14">
      <x:c r="A5952" s="274" t="s">
        <x:v>10099</x:v>
      </x:c>
      <x:c r="B5952" s="274" t="n">
        <x:v>9.31</x:v>
      </x:c>
      <x:c r="C5952" s="274" t="n">
        <x:v>0</x:v>
      </x:c>
      <x:c r="D5952" s="274" t="n">
        <x:v>32</x:v>
      </x:c>
      <x:c r="E5952" s="274" t="n">
        <x:v>30</x:v>
      </x:c>
      <x:c r="F5952" s="274" t="s">
        <x:v>333</x:v>
      </x:c>
      <x:c r="G5952" s="274" t="s">
        <x:v>124</x:v>
      </x:c>
      <x:c r="I5952" s="274" t="n">
        <x:v>1.2</x:v>
      </x:c>
      <x:c r="J5952" s="274" t="n">
        <x:v>791</x:v>
      </x:c>
      <x:c r="K5952" s="274" t="n">
        <x:v>1250</x:v>
      </x:c>
      <x:c r="M5952" s="274" t="s">
        <x:v>10100</x:v>
      </x:c>
      <x:c r="N5952" s="274" t="s">
        <x:v>3671</x:v>
      </x:c>
    </x:row>
    <x:row r="5953" spans="1:14">
      <x:c r="A5953" s="274" t="s">
        <x:v>10101</x:v>
      </x:c>
      <x:c r="B5953" s="274" t="n">
        <x:v>14.63</x:v>
      </x:c>
      <x:c r="C5953" s="274" t="n">
        <x:v>0</x:v>
      </x:c>
      <x:c r="D5953" s="274" t="n">
        <x:v>32</x:v>
      </x:c>
      <x:c r="E5953" s="274" t="n">
        <x:v>30</x:v>
      </x:c>
      <x:c r="F5953" s="274" t="s">
        <x:v>333</x:v>
      </x:c>
      <x:c r="G5953" s="274" t="s">
        <x:v>209</x:v>
      </x:c>
      <x:c r="I5953" s="274" t="n">
        <x:v>1.4</x:v>
      </x:c>
      <x:c r="J5953" s="274" t="n">
        <x:v>1065</x:v>
      </x:c>
      <x:c r="K5953" s="274" t="n">
        <x:v>1250</x:v>
      </x:c>
      <x:c r="M5953" s="274" t="s">
        <x:v>10102</x:v>
      </x:c>
      <x:c r="N5953" s="274" t="s">
        <x:v>3671</x:v>
      </x:c>
    </x:row>
    <x:row r="5954" spans="1:14">
      <x:c r="A5954" s="274" t="s">
        <x:v>10103</x:v>
      </x:c>
      <x:c r="B5954" s="274" t="n">
        <x:v>16.02</x:v>
      </x:c>
      <x:c r="C5954" s="274" t="n">
        <x:v>0</x:v>
      </x:c>
      <x:c r="D5954" s="274" t="n">
        <x:v>30</x:v>
      </x:c>
      <x:c r="E5954" s="274" t="n">
        <x:v>28</x:v>
      </x:c>
      <x:c r="F5954" s="274" t="s">
        <x:v>133</x:v>
      </x:c>
      <x:c r="G5954" s="274" t="s">
        <x:v>136</x:v>
      </x:c>
      <x:c r="H5954" s="274" t="n">
        <x:v>45</x:v>
      </x:c>
      <x:c r="I5954" s="274" t="n">
        <x:v>1</x:v>
      </x:c>
      <x:c r="J5954" s="274" t="n">
        <x:v>1345</x:v>
      </x:c>
      <x:c r="K5954" s="274" t="n">
        <x:v>1500</x:v>
      </x:c>
      <x:c r="M5954" s="274" t="s">
        <x:v>10104</x:v>
      </x:c>
      <x:c r="N5954" s="274" t="s">
        <x:v>3671</x:v>
      </x:c>
    </x:row>
    <x:row r="5955" spans="1:14">
      <x:c r="A5955" s="274" t="s">
        <x:v>10105</x:v>
      </x:c>
      <x:c r="B5955" s="274" t="n">
        <x:v>10.86</x:v>
      </x:c>
      <x:c r="C5955" s="274" t="n">
        <x:v>0</x:v>
      </x:c>
      <x:c r="D5955" s="274" t="n">
        <x:v>35</x:v>
      </x:c>
      <x:c r="E5955" s="274" t="n">
        <x:v>32</x:v>
      </x:c>
      <x:c r="F5955" s="274" t="s">
        <x:v>133</x:v>
      </x:c>
      <x:c r="G5955" s="274" t="s">
        <x:v>136</x:v>
      </x:c>
      <x:c r="H5955" s="274" t="n">
        <x:v>45</x:v>
      </x:c>
      <x:c r="I5955" s="274" t="n">
        <x:v>1.2</x:v>
      </x:c>
      <x:c r="J5955" s="274" t="n">
        <x:v>952</x:v>
      </x:c>
      <x:c r="K5955" s="274" t="n">
        <x:v>1200</x:v>
      </x:c>
      <x:c r="M5955" s="274" t="s">
        <x:v>5923</x:v>
      </x:c>
      <x:c r="N5955" s="274" t="s">
        <x:v>3671</x:v>
      </x:c>
    </x:row>
    <x:row r="5956" spans="1:14">
      <x:c r="A5956" s="274" t="s">
        <x:v>10106</x:v>
      </x:c>
      <x:c r="B5956" s="274" t="n">
        <x:v>23.69</x:v>
      </x:c>
      <x:c r="C5956" s="274" t="n">
        <x:v>0</x:v>
      </x:c>
      <x:c r="D5956" s="274" t="n">
        <x:v>30</x:v>
      </x:c>
      <x:c r="E5956" s="274" t="n">
        <x:v>28</x:v>
      </x:c>
      <x:c r="F5956" s="274" t="s">
        <x:v>133</x:v>
      </x:c>
      <x:c r="G5956" s="274" t="s">
        <x:v>136</x:v>
      </x:c>
      <x:c r="H5956" s="274" t="n">
        <x:v>45</x:v>
      </x:c>
      <x:c r="I5956" s="274" t="n">
        <x:v>1.4</x:v>
      </x:c>
      <x:c r="J5956" s="274" t="n">
        <x:v>1425</x:v>
      </x:c>
      <x:c r="K5956" s="274" t="n">
        <x:v>1500</x:v>
      </x:c>
      <x:c r="M5956" s="274" t="s">
        <x:v>5925</x:v>
      </x:c>
      <x:c r="N5956" s="274" t="s">
        <x:v>3671</x:v>
      </x:c>
    </x:row>
    <x:row r="5957" spans="1:14">
      <x:c r="A5957" s="274" t="s">
        <x:v>10107</x:v>
      </x:c>
      <x:c r="B5957" s="274" t="n">
        <x:v>28.19</x:v>
      </x:c>
      <x:c r="C5957" s="274" t="n">
        <x:v>0</x:v>
      </x:c>
      <x:c r="D5957" s="274" t="n">
        <x:v>30</x:v>
      </x:c>
      <x:c r="E5957" s="274" t="n">
        <x:v>28</x:v>
      </x:c>
      <x:c r="F5957" s="274" t="s">
        <x:v>133</x:v>
      </x:c>
      <x:c r="G5957" s="274" t="s">
        <x:v>136</x:v>
      </x:c>
      <x:c r="H5957" s="274" t="n">
        <x:v>45</x:v>
      </x:c>
      <x:c r="I5957" s="274" t="n">
        <x:v>2</x:v>
      </x:c>
      <x:c r="J5957" s="274" t="n">
        <x:v>1190</x:v>
      </x:c>
      <x:c r="K5957" s="274" t="n">
        <x:v>1500</x:v>
      </x:c>
      <x:c r="M5957" s="274" t="s">
        <x:v>5927</x:v>
      </x:c>
      <x:c r="N5957" s="274" t="s">
        <x:v>3671</x:v>
      </x:c>
    </x:row>
    <x:row r="5958" spans="1:14">
      <x:c r="A5958" s="274" t="s">
        <x:v>10108</x:v>
      </x:c>
      <x:c r="B5958" s="274" t="n">
        <x:v>31.1</x:v>
      </x:c>
      <x:c r="C5958" s="274" t="n">
        <x:v>0</x:v>
      </x:c>
      <x:c r="D5958" s="274" t="n">
        <x:v>28</x:v>
      </x:c>
      <x:c r="E5958" s="274" t="n">
        <x:v>23</x:v>
      </x:c>
      <x:c r="F5958" s="274" t="s">
        <x:v>133</x:v>
      </x:c>
      <x:c r="G5958" s="274" t="s">
        <x:v>134</x:v>
      </x:c>
      <x:c r="I5958" s="274" t="n">
        <x:v>3.2</x:v>
      </x:c>
      <x:c r="J5958" s="274" t="n">
        <x:v>990</x:v>
      </x:c>
      <x:c r="K5958" s="274" t="n">
        <x:v>1250</x:v>
      </x:c>
      <x:c r="M5958" s="274" t="s">
        <x:v>5931</x:v>
      </x:c>
      <x:c r="N5958" s="274" t="s">
        <x:v>3671</x:v>
      </x:c>
    </x:row>
    <x:row r="5959" spans="1:14">
      <x:c r="A5959" s="274" t="s">
        <x:v>10109</x:v>
      </x:c>
      <x:c r="B5959" s="274" t="n">
        <x:v>18.32</x:v>
      </x:c>
      <x:c r="C5959" s="274" t="n">
        <x:v>0</x:v>
      </x:c>
      <x:c r="D5959" s="274" t="n">
        <x:v>45</x:v>
      </x:c>
      <x:c r="E5959" s="274" t="n">
        <x:v>40</x:v>
      </x:c>
      <x:c r="F5959" s="274" t="s">
        <x:v>128</x:v>
      </x:c>
      <x:c r="G5959" s="274" t="s">
        <x:v>136</x:v>
      </x:c>
      <x:c r="H5959" s="274" t="n">
        <x:v>45</x:v>
      </x:c>
      <x:c r="I5959" s="274" t="n">
        <x:v>2.6</x:v>
      </x:c>
      <x:c r="J5959" s="274" t="n">
        <x:v>951</x:v>
      </x:c>
      <x:c r="K5959" s="274" t="n">
        <x:v>940</x:v>
      </x:c>
      <x:c r="M5959" s="274" t="s">
        <x:v>5390</x:v>
      </x:c>
      <x:c r="N5959" s="274" t="s">
        <x:v>3671</x:v>
      </x:c>
    </x:row>
    <x:row r="5960" spans="1:14">
      <x:c r="A5960" s="274" t="s">
        <x:v>10110</x:v>
      </x:c>
      <x:c r="B5960" s="274" t="n">
        <x:v>17</x:v>
      </x:c>
      <x:c r="C5960" s="274" t="n">
        <x:v>0</x:v>
      </x:c>
      <x:c r="D5960" s="274" t="n">
        <x:v>45</x:v>
      </x:c>
      <x:c r="E5960" s="274" t="n">
        <x:v>40</x:v>
      </x:c>
      <x:c r="F5960" s="274" t="s">
        <x:v>128</x:v>
      </x:c>
      <x:c r="G5960" s="274" t="s">
        <x:v>136</x:v>
      </x:c>
      <x:c r="H5960" s="274" t="n">
        <x:v>45</x:v>
      </x:c>
      <x:c r="I5960" s="274" t="n">
        <x:v>2.6</x:v>
      </x:c>
      <x:c r="J5960" s="274" t="n">
        <x:v>951</x:v>
      </x:c>
      <x:c r="K5960" s="274" t="n">
        <x:v>872</x:v>
      </x:c>
      <x:c r="M5960" s="274" t="s">
        <x:v>5392</x:v>
      </x:c>
      <x:c r="N5960" s="274" t="s">
        <x:v>3671</x:v>
      </x:c>
    </x:row>
    <x:row r="5961" spans="1:14">
      <x:c r="A5961" s="274" t="s">
        <x:v>10111</x:v>
      </x:c>
      <x:c r="B5961" s="274" t="n">
        <x:v>11.34</x:v>
      </x:c>
      <x:c r="C5961" s="274" t="n">
        <x:v>0</x:v>
      </x:c>
      <x:c r="D5961" s="274" t="n">
        <x:v>0</x:v>
      </x:c>
      <x:c r="F5961" s="274" t="s">
        <x:v>123</x:v>
      </x:c>
      <x:c r="G5961" s="274" t="s">
        <x:v>437</x:v>
      </x:c>
      <x:c r="I5961" s="274" t="n">
        <x:v>3.2</x:v>
      </x:c>
      <x:c r="J5961" s="274" t="n">
        <x:v>1080</x:v>
      </x:c>
      <x:c r="K5961" s="274" t="n">
        <x:v>418</x:v>
      </x:c>
      <x:c r="M5961" s="274" t="s">
        <x:v>5950</x:v>
      </x:c>
      <x:c r="N5961" s="274" t="s">
        <x:v>3671</x:v>
      </x:c>
    </x:row>
    <x:row r="5962" spans="1:14">
      <x:c r="A5962" s="274" t="s">
        <x:v>10112</x:v>
      </x:c>
      <x:c r="B5962" s="274" t="n">
        <x:v>4.36</x:v>
      </x:c>
      <x:c r="C5962" s="274" t="n">
        <x:v>0</x:v>
      </x:c>
      <x:c r="D5962" s="274" t="n">
        <x:v>45</x:v>
      </x:c>
      <x:c r="E5962" s="274" t="n">
        <x:v>40</x:v>
      </x:c>
      <x:c r="F5962" s="274" t="s">
        <x:v>123</x:v>
      </x:c>
      <x:c r="G5962" s="274" t="s">
        <x:v>129</x:v>
      </x:c>
      <x:c r="H5962" s="274" t="n">
        <x:v>45</x:v>
      </x:c>
      <x:c r="I5962" s="274" t="n">
        <x:v>1.4</x:v>
      </x:c>
      <x:c r="J5962" s="274" t="n">
        <x:v>1040</x:v>
      </x:c>
      <x:c r="K5962" s="274" t="n">
        <x:v>378</x:v>
      </x:c>
      <x:c r="M5962" s="274" t="s">
        <x:v>5952</x:v>
      </x:c>
      <x:c r="N5962" s="274" t="s">
        <x:v>3671</x:v>
      </x:c>
    </x:row>
    <x:row r="5963" spans="1:14">
      <x:c r="A5963" s="274" t="s">
        <x:v>10113</x:v>
      </x:c>
      <x:c r="B5963" s="274" t="n">
        <x:v>13.45</x:v>
      </x:c>
      <x:c r="C5963" s="274" t="n">
        <x:v>0</x:v>
      </x:c>
      <x:c r="D5963" s="274" t="n">
        <x:v>40</x:v>
      </x:c>
      <x:c r="E5963" s="274" t="n">
        <x:v>35</x:v>
      </x:c>
      <x:c r="F5963" s="274" t="s">
        <x:v>123</x:v>
      </x:c>
      <x:c r="G5963" s="274" t="s">
        <x:v>3410</x:v>
      </x:c>
      <x:c r="I5963" s="274" t="n">
        <x:v>1.6</x:v>
      </x:c>
      <x:c r="J5963" s="274" t="n">
        <x:v>1010</x:v>
      </x:c>
      <x:c r="K5963" s="274" t="n">
        <x:v>1060</x:v>
      </x:c>
      <x:c r="M5963" s="274" t="s">
        <x:v>5988</x:v>
      </x:c>
      <x:c r="N5963" s="274" t="s">
        <x:v>3671</x:v>
      </x:c>
    </x:row>
    <x:row r="5964" spans="1:14">
      <x:c r="A5964" s="274" t="s">
        <x:v>10114</x:v>
      </x:c>
      <x:c r="B5964" s="274" t="n">
        <x:v>10.52</x:v>
      </x:c>
      <x:c r="C5964" s="274" t="n">
        <x:v>0</x:v>
      </x:c>
      <x:c r="D5964" s="274" t="n">
        <x:v>45</x:v>
      </x:c>
      <x:c r="E5964" s="274" t="n">
        <x:v>40</x:v>
      </x:c>
      <x:c r="F5964" s="274" t="s">
        <x:v>133</x:v>
      </x:c>
      <x:c r="G5964" s="274" t="s">
        <x:v>136</x:v>
      </x:c>
      <x:c r="H5964" s="274" t="n">
        <x:v>45</x:v>
      </x:c>
      <x:c r="I5964" s="274" t="n">
        <x:v>1.6</x:v>
      </x:c>
      <x:c r="J5964" s="274" t="n">
        <x:v>1485</x:v>
      </x:c>
      <x:c r="K5964" s="274" t="n">
        <x:v>560</x:v>
      </x:c>
      <x:c r="M5964" s="274" t="s">
        <x:v>6004</x:v>
      </x:c>
      <x:c r="N5964" s="274" t="s">
        <x:v>3671</x:v>
      </x:c>
    </x:row>
    <x:row r="5965" spans="1:14">
      <x:c r="A5965" s="274" t="s">
        <x:v>10115</x:v>
      </x:c>
      <x:c r="B5965" s="274" t="n">
        <x:v>7.46</x:v>
      </x:c>
      <x:c r="C5965" s="274" t="n">
        <x:v>0</x:v>
      </x:c>
      <x:c r="D5965" s="274" t="n">
        <x:v>45</x:v>
      </x:c>
      <x:c r="E5965" s="274" t="n">
        <x:v>40</x:v>
      </x:c>
      <x:c r="F5965" s="274" t="s">
        <x:v>133</x:v>
      </x:c>
      <x:c r="G5965" s="274" t="s">
        <x:v>136</x:v>
      </x:c>
      <x:c r="H5965" s="274" t="n">
        <x:v>45</x:v>
      </x:c>
      <x:c r="I5965" s="274" t="n">
        <x:v>1.6</x:v>
      </x:c>
      <x:c r="J5965" s="274" t="n">
        <x:v>1485</x:v>
      </x:c>
      <x:c r="K5965" s="274" t="n">
        <x:v>397</x:v>
      </x:c>
      <x:c r="M5965" s="274" t="s">
        <x:v>6006</x:v>
      </x:c>
      <x:c r="N5965" s="274" t="s">
        <x:v>3671</x:v>
      </x:c>
    </x:row>
    <x:row r="5966" spans="1:14">
      <x:c r="A5966" s="274" t="s">
        <x:v>10116</x:v>
      </x:c>
      <x:c r="B5966" s="274" t="n">
        <x:v>2.01</x:v>
      </x:c>
      <x:c r="C5966" s="274" t="n">
        <x:v>0</x:v>
      </x:c>
      <x:c r="D5966" s="274" t="n">
        <x:v>45</x:v>
      </x:c>
      <x:c r="E5966" s="274" t="n">
        <x:v>40</x:v>
      </x:c>
      <x:c r="F5966" s="274" t="s">
        <x:v>123</x:v>
      </x:c>
      <x:c r="G5966" s="274" t="s">
        <x:v>209</x:v>
      </x:c>
      <x:c r="I5966" s="274" t="n">
        <x:v>0.6</x:v>
      </x:c>
      <x:c r="J5966" s="274" t="n">
        <x:v>1180</x:v>
      </x:c>
      <x:c r="K5966" s="274" t="n">
        <x:v>362</x:v>
      </x:c>
      <x:c r="M5966" s="274" t="s">
        <x:v>6024</x:v>
      </x:c>
      <x:c r="N5966" s="274" t="s">
        <x:v>299</x:v>
      </x:c>
    </x:row>
    <x:row r="5967" spans="1:14">
      <x:c r="A5967" s="274" t="s">
        <x:v>10117</x:v>
      </x:c>
      <x:c r="B5967" s="274" t="n">
        <x:v>1.77</x:v>
      </x:c>
      <x:c r="C5967" s="274" t="n">
        <x:v>0</x:v>
      </x:c>
      <x:c r="D5967" s="274" t="n">
        <x:v>45</x:v>
      </x:c>
      <x:c r="E5967" s="274" t="n">
        <x:v>40</x:v>
      </x:c>
      <x:c r="F5967" s="274" t="s">
        <x:v>123</x:v>
      </x:c>
      <x:c r="G5967" s="274" t="s">
        <x:v>209</x:v>
      </x:c>
      <x:c r="I5967" s="274" t="n">
        <x:v>0.6</x:v>
      </x:c>
      <x:c r="J5967" s="274" t="n">
        <x:v>1180</x:v>
      </x:c>
      <x:c r="K5967" s="274" t="n">
        <x:v>318</x:v>
      </x:c>
      <x:c r="M5967" s="274" t="s">
        <x:v>6026</x:v>
      </x:c>
      <x:c r="N5967" s="274" t="s">
        <x:v>4250</x:v>
      </x:c>
    </x:row>
    <x:row r="5968" spans="1:14">
      <x:c r="A5968" s="274" t="s">
        <x:v>10118</x:v>
      </x:c>
      <x:c r="B5968" s="274" t="n">
        <x:v>1.83</x:v>
      </x:c>
      <x:c r="C5968" s="274" t="n">
        <x:v>0</x:v>
      </x:c>
      <x:c r="D5968" s="274" t="n">
        <x:v>45</x:v>
      </x:c>
      <x:c r="E5968" s="274" t="n">
        <x:v>40</x:v>
      </x:c>
      <x:c r="F5968" s="274" t="s">
        <x:v>133</x:v>
      </x:c>
      <x:c r="G5968" s="274" t="s">
        <x:v>136</x:v>
      </x:c>
      <x:c r="H5968" s="274" t="n">
        <x:v>45</x:v>
      </x:c>
      <x:c r="I5968" s="274" t="n">
        <x:v>0.7</x:v>
      </x:c>
      <x:c r="J5968" s="274" t="n">
        <x:v>1045</x:v>
      </x:c>
      <x:c r="K5968" s="274" t="n">
        <x:v>314</x:v>
      </x:c>
      <x:c r="M5968" s="274" t="s">
        <x:v>6028</x:v>
      </x:c>
      <x:c r="N5968" s="274" t="s">
        <x:v>299</x:v>
      </x:c>
    </x:row>
    <x:row r="5969" spans="1:14">
      <x:c r="A5969" s="274" t="s">
        <x:v>10119</x:v>
      </x:c>
      <x:c r="B5969" s="274" t="n">
        <x:v>2.29</x:v>
      </x:c>
      <x:c r="C5969" s="274" t="n">
        <x:v>0</x:v>
      </x:c>
      <x:c r="D5969" s="274" t="n">
        <x:v>45</x:v>
      </x:c>
      <x:c r="E5969" s="274" t="n">
        <x:v>40</x:v>
      </x:c>
      <x:c r="F5969" s="274" t="s">
        <x:v>128</x:v>
      </x:c>
      <x:c r="G5969" s="274" t="s">
        <x:v>129</x:v>
      </x:c>
      <x:c r="H5969" s="274" t="n">
        <x:v>45</x:v>
      </x:c>
      <x:c r="I5969" s="274" t="n">
        <x:v>0.8</x:v>
      </x:c>
      <x:c r="J5969" s="274" t="n">
        <x:v>970</x:v>
      </x:c>
      <x:c r="K5969" s="274" t="n">
        <x:v>370</x:v>
      </x:c>
      <x:c r="M5969" s="274" t="s">
        <x:v>6030</x:v>
      </x:c>
      <x:c r="N5969" s="274" t="s">
        <x:v>299</x:v>
      </x:c>
    </x:row>
    <x:row r="5970" spans="1:14">
      <x:c r="A5970" s="274" t="s">
        <x:v>10120</x:v>
      </x:c>
      <x:c r="B5970" s="274" t="n">
        <x:v>2.74</x:v>
      </x:c>
      <x:c r="C5970" s="274" t="n">
        <x:v>0</x:v>
      </x:c>
      <x:c r="D5970" s="274" t="n">
        <x:v>45</x:v>
      </x:c>
      <x:c r="E5970" s="274" t="n">
        <x:v>40</x:v>
      </x:c>
      <x:c r="F5970" s="274" t="s">
        <x:v>133</x:v>
      </x:c>
      <x:c r="G5970" s="274" t="s">
        <x:v>209</x:v>
      </x:c>
      <x:c r="I5970" s="274" t="n">
        <x:v>0.8</x:v>
      </x:c>
      <x:c r="J5970" s="274" t="n">
        <x:v>1120</x:v>
      </x:c>
      <x:c r="K5970" s="274" t="n">
        <x:v>390</x:v>
      </x:c>
      <x:c r="M5970" s="274" t="s">
        <x:v>6032</x:v>
      </x:c>
      <x:c r="N5970" s="274" t="s">
        <x:v>299</x:v>
      </x:c>
    </x:row>
    <x:row r="5971" spans="1:14">
      <x:c r="A5971" s="274" t="s">
        <x:v>10121</x:v>
      </x:c>
      <x:c r="B5971" s="274" t="n">
        <x:v>3.63</x:v>
      </x:c>
      <x:c r="C5971" s="274" t="n">
        <x:v>0</x:v>
      </x:c>
      <x:c r="D5971" s="274" t="n">
        <x:v>45</x:v>
      </x:c>
      <x:c r="E5971" s="274" t="n">
        <x:v>40</x:v>
      </x:c>
      <x:c r="F5971" s="274" t="s">
        <x:v>333</x:v>
      </x:c>
      <x:c r="G5971" s="274" t="s">
        <x:v>209</x:v>
      </x:c>
      <x:c r="I5971" s="274" t="n">
        <x:v>1</x:v>
      </x:c>
      <x:c r="J5971" s="274" t="n">
        <x:v>1200</x:v>
      </x:c>
      <x:c r="K5971" s="274" t="n">
        <x:v>385</x:v>
      </x:c>
      <x:c r="M5971" s="274" t="s">
        <x:v>1071</x:v>
      </x:c>
      <x:c r="N5971" s="274" t="s">
        <x:v>299</x:v>
      </x:c>
    </x:row>
    <x:row r="5972" spans="1:14">
      <x:c r="A5972" s="274" t="s">
        <x:v>10122</x:v>
      </x:c>
      <x:c r="B5972" s="274" t="n">
        <x:v>4.14</x:v>
      </x:c>
      <x:c r="C5972" s="274" t="n">
        <x:v>0</x:v>
      </x:c>
      <x:c r="D5972" s="274" t="n">
        <x:v>45</x:v>
      </x:c>
      <x:c r="E5972" s="274" t="n">
        <x:v>40</x:v>
      </x:c>
      <x:c r="F5972" s="274" t="s">
        <x:v>333</x:v>
      </x:c>
      <x:c r="G5972" s="274" t="s">
        <x:v>209</x:v>
      </x:c>
      <x:c r="I5972" s="274" t="n">
        <x:v>1.2</x:v>
      </x:c>
      <x:c r="J5972" s="274" t="n">
        <x:v>1170</x:v>
      </x:c>
      <x:c r="K5972" s="274" t="n">
        <x:v>376</x:v>
      </x:c>
      <x:c r="M5972" s="274" t="s">
        <x:v>6035</x:v>
      </x:c>
      <x:c r="N5972" s="274" t="s">
        <x:v>299</x:v>
      </x:c>
    </x:row>
    <x:row r="5973" spans="1:14">
      <x:c r="A5973" s="274" t="s">
        <x:v>10123</x:v>
      </x:c>
      <x:c r="B5973" s="274" t="n">
        <x:v>4.34</x:v>
      </x:c>
      <x:c r="C5973" s="274" t="n">
        <x:v>0</x:v>
      </x:c>
      <x:c r="D5973" s="274" t="n">
        <x:v>45</x:v>
      </x:c>
      <x:c r="E5973" s="274" t="n">
        <x:v>40</x:v>
      </x:c>
      <x:c r="F5973" s="274" t="s">
        <x:v>333</x:v>
      </x:c>
      <x:c r="G5973" s="274" t="s">
        <x:v>209</x:v>
      </x:c>
      <x:c r="I5973" s="274" t="n">
        <x:v>1.2</x:v>
      </x:c>
      <x:c r="J5973" s="274" t="n">
        <x:v>1170</x:v>
      </x:c>
      <x:c r="K5973" s="274" t="n">
        <x:v>394</x:v>
      </x:c>
      <x:c r="M5973" s="274" t="s">
        <x:v>6037</x:v>
      </x:c>
      <x:c r="N5973" s="274" t="s">
        <x:v>299</x:v>
      </x:c>
    </x:row>
    <x:row r="5974" spans="1:14">
      <x:c r="A5974" s="274" t="s">
        <x:v>10124</x:v>
      </x:c>
      <x:c r="B5974" s="274" t="n">
        <x:v>4.78</x:v>
      </x:c>
      <x:c r="C5974" s="274" t="n">
        <x:v>0</x:v>
      </x:c>
      <x:c r="D5974" s="274" t="n">
        <x:v>45</x:v>
      </x:c>
      <x:c r="E5974" s="274" t="n">
        <x:v>40</x:v>
      </x:c>
      <x:c r="F5974" s="274" t="s">
        <x:v>333</x:v>
      </x:c>
      <x:c r="G5974" s="274" t="s">
        <x:v>334</x:v>
      </x:c>
      <x:c r="I5974" s="274" t="n">
        <x:v>1.8</x:v>
      </x:c>
      <x:c r="J5974" s="274" t="n">
        <x:v>922</x:v>
      </x:c>
      <x:c r="K5974" s="274" t="n">
        <x:v>367</x:v>
      </x:c>
      <x:c r="M5974" s="274" t="s">
        <x:v>6039</x:v>
      </x:c>
      <x:c r="N5974" s="274" t="s">
        <x:v>299</x:v>
      </x:c>
    </x:row>
    <x:row r="5975" spans="1:14">
      <x:c r="A5975" s="274" t="s">
        <x:v>10125</x:v>
      </x:c>
      <x:c r="B5975" s="274" t="n">
        <x:v>17.8</x:v>
      </x:c>
      <x:c r="C5975" s="274" t="n">
        <x:v>0</x:v>
      </x:c>
      <x:c r="D5975" s="274" t="n">
        <x:v>45</x:v>
      </x:c>
      <x:c r="E5975" s="274" t="n">
        <x:v>40</x:v>
      </x:c>
      <x:c r="F5975" s="274" t="s">
        <x:v>133</x:v>
      </x:c>
      <x:c r="G5975" s="274" t="s">
        <x:v>134</x:v>
      </x:c>
      <x:c r="I5975" s="274" t="n">
        <x:v>2</x:v>
      </x:c>
      <x:c r="J5975" s="274" t="n">
        <x:v>1050</x:v>
      </x:c>
      <x:c r="K5975" s="274" t="n">
        <x:v>1080</x:v>
      </x:c>
      <x:c r="M5975" s="274" t="s">
        <x:v>1535</x:v>
      </x:c>
      <x:c r="N5975" s="274" t="s">
        <x:v>299</x:v>
      </x:c>
    </x:row>
    <x:row r="5976" spans="1:14">
      <x:c r="A5976" s="274" t="s">
        <x:v>10126</x:v>
      </x:c>
      <x:c r="B5976" s="274" t="n">
        <x:v>20.98</x:v>
      </x:c>
      <x:c r="C5976" s="274" t="n">
        <x:v>0</x:v>
      </x:c>
      <x:c r="D5976" s="274" t="n">
        <x:v>45</x:v>
      </x:c>
      <x:c r="E5976" s="274" t="n">
        <x:v>40</x:v>
      </x:c>
      <x:c r="F5976" s="274" t="s">
        <x:v>133</x:v>
      </x:c>
      <x:c r="G5976" s="274" t="s">
        <x:v>134</x:v>
      </x:c>
      <x:c r="I5976" s="274" t="n">
        <x:v>2.6</x:v>
      </x:c>
      <x:c r="J5976" s="274" t="n">
        <x:v>975</x:v>
      </x:c>
      <x:c r="K5976" s="274" t="n">
        <x:v>1054</x:v>
      </x:c>
      <x:c r="M5976" s="274" t="s">
        <x:v>2357</x:v>
      </x:c>
      <x:c r="N5976" s="274" t="s">
        <x:v>4250</x:v>
      </x:c>
    </x:row>
    <x:row r="5977" spans="1:14">
      <x:c r="A5977" s="274" t="s">
        <x:v>10127</x:v>
      </x:c>
      <x:c r="B5977" s="274" t="n">
        <x:v>7.5</x:v>
      </x:c>
      <x:c r="C5977" s="274" t="n">
        <x:v>0</x:v>
      </x:c>
      <x:c r="D5977" s="274" t="n">
        <x:v>45</x:v>
      </x:c>
      <x:c r="E5977" s="274" t="n">
        <x:v>40</x:v>
      </x:c>
      <x:c r="F5977" s="274" t="s">
        <x:v>133</x:v>
      </x:c>
      <x:c r="G5977" s="274" t="s">
        <x:v>134</x:v>
      </x:c>
      <x:c r="I5977" s="274" t="n">
        <x:v>2.6</x:v>
      </x:c>
      <x:c r="J5977" s="274" t="n">
        <x:v>1015</x:v>
      </x:c>
      <x:c r="K5977" s="274" t="n">
        <x:v>362</x:v>
      </x:c>
      <x:c r="M5977" s="274" t="s">
        <x:v>2036</x:v>
      </x:c>
      <x:c r="N5977" s="274" t="s">
        <x:v>4250</x:v>
      </x:c>
    </x:row>
    <x:row r="5978" spans="1:14">
      <x:c r="A5978" s="274" t="s">
        <x:v>10128</x:v>
      </x:c>
      <x:c r="B5978" s="274" t="n">
        <x:v>26.23</x:v>
      </x:c>
      <x:c r="C5978" s="274" t="n">
        <x:v>0</x:v>
      </x:c>
      <x:c r="D5978" s="274" t="n">
        <x:v>28</x:v>
      </x:c>
      <x:c r="E5978" s="274" t="n">
        <x:v>23</x:v>
      </x:c>
      <x:c r="F5978" s="274" t="s">
        <x:v>133</x:v>
      </x:c>
      <x:c r="G5978" s="274" t="s">
        <x:v>148</x:v>
      </x:c>
      <x:c r="I5978" s="274" t="n">
        <x:v>2.6</x:v>
      </x:c>
      <x:c r="J5978" s="274" t="n">
        <x:v>1020</x:v>
      </x:c>
      <x:c r="K5978" s="274" t="n">
        <x:v>1260</x:v>
      </x:c>
      <x:c r="M5978" s="274" t="s">
        <x:v>1454</x:v>
      </x:c>
      <x:c r="N5978" s="274" t="s">
        <x:v>4250</x:v>
      </x:c>
    </x:row>
    <x:row r="5979" spans="1:14">
      <x:c r="A5979" s="274" t="s">
        <x:v>10129</x:v>
      </x:c>
      <x:c r="B5979" s="274" t="n">
        <x:v>5.18</x:v>
      </x:c>
      <x:c r="C5979" s="274" t="n">
        <x:v>0</x:v>
      </x:c>
      <x:c r="D5979" s="274" t="n">
        <x:v>45</x:v>
      </x:c>
      <x:c r="E5979" s="274" t="n">
        <x:v>40</x:v>
      </x:c>
      <x:c r="F5979" s="274" t="s">
        <x:v>123</x:v>
      </x:c>
      <x:c r="G5979" s="274" t="s">
        <x:v>881</x:v>
      </x:c>
      <x:c r="H5979" s="274" t="n">
        <x:v>45</x:v>
      </x:c>
      <x:c r="I5979" s="274" t="n">
        <x:v>1.2</x:v>
      </x:c>
      <x:c r="J5979" s="274" t="n">
        <x:v>1100</x:v>
      </x:c>
      <x:c r="K5979" s="274" t="n">
        <x:v>495</x:v>
      </x:c>
      <x:c r="M5979" s="274" t="s">
        <x:v>6060</x:v>
      </x:c>
      <x:c r="N5979" s="274" t="s">
        <x:v>3671</x:v>
      </x:c>
    </x:row>
    <x:row r="5980" spans="1:14">
      <x:c r="A5980" s="274" t="s">
        <x:v>10130</x:v>
      </x:c>
      <x:c r="B5980" s="274" t="n">
        <x:v>6.73</x:v>
      </x:c>
      <x:c r="C5980" s="274" t="n">
        <x:v>0</x:v>
      </x:c>
      <x:c r="D5980" s="274" t="n">
        <x:v>45</x:v>
      </x:c>
      <x:c r="E5980" s="274" t="n">
        <x:v>40</x:v>
      </x:c>
      <x:c r="F5980" s="274" t="s">
        <x:v>128</x:v>
      </x:c>
      <x:c r="G5980" s="274" t="s">
        <x:v>177</x:v>
      </x:c>
      <x:c r="H5980" s="274" t="n">
        <x:v>45</x:v>
      </x:c>
      <x:c r="I5980" s="274" t="n">
        <x:v>2.6</x:v>
      </x:c>
      <x:c r="J5980" s="274" t="n">
        <x:v>825</x:v>
      </x:c>
      <x:c r="K5980" s="274" t="n">
        <x:v>398</x:v>
      </x:c>
      <x:c r="M5980" s="274" t="s">
        <x:v>6067</x:v>
      </x:c>
      <x:c r="N5980" s="274" t="s">
        <x:v>3671</x:v>
      </x:c>
    </x:row>
    <x:row r="5981" spans="1:14">
      <x:c r="A5981" s="274" t="s">
        <x:v>10131</x:v>
      </x:c>
      <x:c r="B5981" s="274" t="n">
        <x:v>6.66</x:v>
      </x:c>
      <x:c r="C5981" s="274" t="n">
        <x:v>0</x:v>
      </x:c>
      <x:c r="D5981" s="274" t="n">
        <x:v>45</x:v>
      </x:c>
      <x:c r="E5981" s="274" t="n">
        <x:v>40</x:v>
      </x:c>
      <x:c r="F5981" s="274" t="s">
        <x:v>128</x:v>
      </x:c>
      <x:c r="G5981" s="274" t="s">
        <x:v>177</x:v>
      </x:c>
      <x:c r="H5981" s="274" t="n">
        <x:v>45</x:v>
      </x:c>
      <x:c r="I5981" s="274" t="n">
        <x:v>2.6</x:v>
      </x:c>
      <x:c r="J5981" s="274" t="n">
        <x:v>825</x:v>
      </x:c>
      <x:c r="K5981" s="274" t="n">
        <x:v>394</x:v>
      </x:c>
      <x:c r="M5981" s="274" t="s">
        <x:v>6069</x:v>
      </x:c>
      <x:c r="N5981" s="274" t="s">
        <x:v>3671</x:v>
      </x:c>
    </x:row>
    <x:row r="5982" spans="1:14">
      <x:c r="A5982" s="274" t="s">
        <x:v>10132</x:v>
      </x:c>
      <x:c r="B5982" s="274" t="n">
        <x:v>13.08</x:v>
      </x:c>
      <x:c r="C5982" s="274" t="n">
        <x:v>0</x:v>
      </x:c>
      <x:c r="D5982" s="274" t="n">
        <x:v>35</x:v>
      </x:c>
      <x:c r="E5982" s="274" t="n">
        <x:v>30</x:v>
      </x:c>
      <x:c r="F5982" s="274" t="s">
        <x:v>123</x:v>
      </x:c>
      <x:c r="G5982" s="274" t="s">
        <x:v>881</x:v>
      </x:c>
      <x:c r="H5982" s="274" t="n">
        <x:v>45</x:v>
      </x:c>
      <x:c r="I5982" s="274" t="n">
        <x:v>1.2</x:v>
      </x:c>
      <x:c r="J5982" s="274" t="n">
        <x:v>1100</x:v>
      </x:c>
      <x:c r="K5982" s="274" t="n">
        <x:v>1250</x:v>
      </x:c>
      <x:c r="M5982" s="274" t="s">
        <x:v>6071</x:v>
      </x:c>
      <x:c r="N5982" s="274" t="s">
        <x:v>3671</x:v>
      </x:c>
    </x:row>
    <x:row r="5983" spans="1:14">
      <x:c r="A5983" s="274" t="s">
        <x:v>10133</x:v>
      </x:c>
      <x:c r="B5983" s="274" t="n">
        <x:v>14.47</x:v>
      </x:c>
      <x:c r="C5983" s="274" t="n">
        <x:v>0</x:v>
      </x:c>
      <x:c r="D5983" s="274" t="n">
        <x:v>35</x:v>
      </x:c>
      <x:c r="E5983" s="274" t="n">
        <x:v>30</x:v>
      </x:c>
      <x:c r="F5983" s="274" t="s">
        <x:v>128</x:v>
      </x:c>
      <x:c r="G5983" s="274" t="s">
        <x:v>3314</x:v>
      </x:c>
      <x:c r="H5983" s="274" t="n">
        <x:v>45</x:v>
      </x:c>
      <x:c r="I5983" s="274" t="n">
        <x:v>1.6</x:v>
      </x:c>
      <x:c r="J5983" s="274" t="n">
        <x:v>915</x:v>
      </x:c>
      <x:c r="K5983" s="274" t="n">
        <x:v>1250</x:v>
      </x:c>
      <x:c r="M5983" s="274" t="s">
        <x:v>6073</x:v>
      </x:c>
      <x:c r="N5983" s="274" t="s">
        <x:v>3671</x:v>
      </x:c>
    </x:row>
    <x:row r="5984" spans="1:14">
      <x:c r="A5984" s="274" t="s">
        <x:v>10134</x:v>
      </x:c>
      <x:c r="B5984" s="274" t="n">
        <x:v>22.78</x:v>
      </x:c>
      <x:c r="C5984" s="274" t="n">
        <x:v>0</x:v>
      </x:c>
      <x:c r="D5984" s="274" t="n">
        <x:v>28</x:v>
      </x:c>
      <x:c r="E5984" s="274" t="n">
        <x:v>23</x:v>
      </x:c>
      <x:c r="F5984" s="274" t="s">
        <x:v>128</x:v>
      </x:c>
      <x:c r="G5984" s="274" t="s">
        <x:v>177</x:v>
      </x:c>
      <x:c r="H5984" s="274" t="n">
        <x:v>45</x:v>
      </x:c>
      <x:c r="I5984" s="274" t="n">
        <x:v>2.3</x:v>
      </x:c>
      <x:c r="J5984" s="274" t="n">
        <x:v>1005</x:v>
      </x:c>
      <x:c r="K5984" s="274" t="n">
        <x:v>1250</x:v>
      </x:c>
      <x:c r="M5984" s="274" t="s">
        <x:v>6077</x:v>
      </x:c>
      <x:c r="N5984" s="274" t="s">
        <x:v>3671</x:v>
      </x:c>
    </x:row>
    <x:row r="5985" spans="1:14">
      <x:c r="A5985" s="274" t="s">
        <x:v>10135</x:v>
      </x:c>
      <x:c r="B5985" s="274" t="n">
        <x:v>14.71</x:v>
      </x:c>
      <x:c r="C5985" s="274" t="n">
        <x:v>0</x:v>
      </x:c>
      <x:c r="D5985" s="274" t="n">
        <x:v>0</x:v>
      </x:c>
      <x:c r="F5985" s="274" t="s">
        <x:v>333</x:v>
      </x:c>
      <x:c r="G5985" s="274" t="s">
        <x:v>209</x:v>
      </x:c>
      <x:c r="I5985" s="274" t="n">
        <x:v>1.2</x:v>
      </x:c>
      <x:c r="J5985" s="274" t="n">
        <x:v>1250</x:v>
      </x:c>
      <x:c r="K5985" s="274" t="n">
        <x:v>1250</x:v>
      </x:c>
      <x:c r="M5985" s="274" t="s">
        <x:v>3965</x:v>
      </x:c>
      <x:c r="N5985" s="274" t="s">
        <x:v>10136</x:v>
      </x:c>
    </x:row>
    <x:row r="5986" spans="1:14">
      <x:c r="A5986" s="274" t="s">
        <x:v>10137</x:v>
      </x:c>
      <x:c r="B5986" s="274" t="n">
        <x:v>5.84</x:v>
      </x:c>
      <x:c r="C5986" s="274" t="n">
        <x:v>0</x:v>
      </x:c>
      <x:c r="D5986" s="274" t="n">
        <x:v>33</x:v>
      </x:c>
      <x:c r="E5986" s="274" t="n">
        <x:v>28</x:v>
      </x:c>
      <x:c r="F5986" s="274" t="s">
        <x:v>184</x:v>
      </x:c>
      <x:c r="G5986" s="274" t="s">
        <x:v>4782</x:v>
      </x:c>
      <x:c r="H5986" s="274" t="s">
        <x:v>4471</x:v>
      </x:c>
      <x:c r="I5986" s="274" t="n">
        <x:v>0.5</x:v>
      </x:c>
      <x:c r="J5986" s="274" t="n">
        <x:v>1047</x:v>
      </x:c>
      <x:c r="K5986" s="274" t="n">
        <x:v>1420</x:v>
      </x:c>
      <x:c r="M5986" s="274" t="s">
        <x:v>6095</x:v>
      </x:c>
      <x:c r="N5986" s="274" t="s">
        <x:v>4258</x:v>
      </x:c>
    </x:row>
    <x:row r="5987" spans="1:14">
      <x:c r="A5987" s="274" t="s">
        <x:v>10138</x:v>
      </x:c>
      <x:c r="B5987" s="274" t="n">
        <x:v>2.92</x:v>
      </x:c>
      <x:c r="C5987" s="274" t="n">
        <x:v>0</x:v>
      </x:c>
      <x:c r="D5987" s="274" t="n">
        <x:v>45</x:v>
      </x:c>
      <x:c r="E5987" s="274" t="n">
        <x:v>40</x:v>
      </x:c>
      <x:c r="F5987" s="274" t="s">
        <x:v>184</x:v>
      </x:c>
      <x:c r="G5987" s="274" t="s">
        <x:v>4782</x:v>
      </x:c>
      <x:c r="H5987" s="274" t="s">
        <x:v>4471</x:v>
      </x:c>
      <x:c r="I5987" s="274" t="n">
        <x:v>0.5</x:v>
      </x:c>
      <x:c r="J5987" s="274" t="n">
        <x:v>1047</x:v>
      </x:c>
      <x:c r="K5987" s="274" t="n">
        <x:v>710</x:v>
      </x:c>
      <x:c r="M5987" s="274" t="s">
        <x:v>6101</x:v>
      </x:c>
      <x:c r="N5987" s="274" t="s">
        <x:v>4258</x:v>
      </x:c>
    </x:row>
    <x:row r="5988" spans="1:14">
      <x:c r="A5988" s="274" t="s">
        <x:v>10139</x:v>
      </x:c>
      <x:c r="B5988" s="274" t="n">
        <x:v>4.8</x:v>
      </x:c>
      <x:c r="C5988" s="274" t="n">
        <x:v>0</x:v>
      </x:c>
      <x:c r="D5988" s="274" t="n">
        <x:v>45</x:v>
      </x:c>
      <x:c r="E5988" s="274" t="n">
        <x:v>40</x:v>
      </x:c>
      <x:c r="F5988" s="274" t="s">
        <x:v>133</x:v>
      </x:c>
      <x:c r="G5988" s="274" t="s">
        <x:v>144</x:v>
      </x:c>
      <x:c r="H5988" s="274" t="n">
        <x:v>45</x:v>
      </x:c>
      <x:c r="I5988" s="274" t="n">
        <x:v>1.2</x:v>
      </x:c>
      <x:c r="J5988" s="274" t="n">
        <x:v>1110</x:v>
      </x:c>
      <x:c r="K5988" s="274" t="n">
        <x:v>455</x:v>
      </x:c>
      <x:c r="M5988" s="274" t="s">
        <x:v>6103</x:v>
      </x:c>
      <x:c r="N5988" s="274" t="s">
        <x:v>3671</x:v>
      </x:c>
    </x:row>
    <x:row r="5989" spans="1:14">
      <x:c r="A5989" s="274" t="s">
        <x:v>10140</x:v>
      </x:c>
      <x:c r="B5989" s="274" t="n">
        <x:v>4.01</x:v>
      </x:c>
      <x:c r="C5989" s="274" t="n">
        <x:v>0</x:v>
      </x:c>
      <x:c r="D5989" s="274" t="n">
        <x:v>45</x:v>
      </x:c>
      <x:c r="E5989" s="274" t="n">
        <x:v>40</x:v>
      </x:c>
      <x:c r="F5989" s="274" t="s">
        <x:v>133</x:v>
      </x:c>
      <x:c r="G5989" s="274" t="s">
        <x:v>144</x:v>
      </x:c>
      <x:c r="H5989" s="274" t="n">
        <x:v>45</x:v>
      </x:c>
      <x:c r="I5989" s="274" t="n">
        <x:v>1.2</x:v>
      </x:c>
      <x:c r="J5989" s="274" t="n">
        <x:v>1110</x:v>
      </x:c>
      <x:c r="K5989" s="274" t="n">
        <x:v>380</x:v>
      </x:c>
      <x:c r="M5989" s="274" t="s">
        <x:v>6105</x:v>
      </x:c>
      <x:c r="N5989" s="274" t="s">
        <x:v>3671</x:v>
      </x:c>
    </x:row>
    <x:row r="5990" spans="1:14">
      <x:c r="A5990" s="274" t="s">
        <x:v>10141</x:v>
      </x:c>
      <x:c r="B5990" s="274" t="n">
        <x:v>13.2</x:v>
      </x:c>
      <x:c r="C5990" s="274" t="n">
        <x:v>0</x:v>
      </x:c>
      <x:c r="D5990" s="274" t="n">
        <x:v>35</x:v>
      </x:c>
      <x:c r="E5990" s="274" t="n">
        <x:v>30</x:v>
      </x:c>
      <x:c r="F5990" s="274" t="s">
        <x:v>133</x:v>
      </x:c>
      <x:c r="G5990" s="274" t="s">
        <x:v>144</x:v>
      </x:c>
      <x:c r="H5990" s="274" t="n">
        <x:v>45</x:v>
      </x:c>
      <x:c r="I5990" s="274" t="n">
        <x:v>1.2</x:v>
      </x:c>
      <x:c r="J5990" s="274" t="n">
        <x:v>1110</x:v>
      </x:c>
      <x:c r="K5990" s="274" t="n">
        <x:v>1250</x:v>
      </x:c>
      <x:c r="M5990" s="274" t="s">
        <x:v>6107</x:v>
      </x:c>
      <x:c r="N5990" s="274" t="s">
        <x:v>3671</x:v>
      </x:c>
    </x:row>
    <x:row r="5991" spans="1:14">
      <x:c r="A5991" s="274" t="s">
        <x:v>10142</x:v>
      </x:c>
      <x:c r="B5991" s="274" t="n">
        <x:v>9.58</x:v>
      </x:c>
      <x:c r="C5991" s="274" t="n">
        <x:v>0</x:v>
      </x:c>
      <x:c r="D5991" s="274" t="n">
        <x:v>45</x:v>
      </x:c>
      <x:c r="E5991" s="274" t="n">
        <x:v>40</x:v>
      </x:c>
      <x:c r="F5991" s="274" t="s">
        <x:v>133</x:v>
      </x:c>
      <x:c r="G5991" s="274" t="s">
        <x:v>136</x:v>
      </x:c>
      <x:c r="H5991" s="274" t="n">
        <x:v>45</x:v>
      </x:c>
      <x:c r="I5991" s="274" t="n">
        <x:v>1.6</x:v>
      </x:c>
      <x:c r="J5991" s="274" t="n">
        <x:v>1485</x:v>
      </x:c>
      <x:c r="K5991" s="274" t="n">
        <x:v>510</x:v>
      </x:c>
      <x:c r="M5991" s="274" t="s">
        <x:v>6109</x:v>
      </x:c>
      <x:c r="N5991" s="274" t="s">
        <x:v>3671</x:v>
      </x:c>
    </x:row>
    <x:row r="5992" spans="1:14">
      <x:c r="A5992" s="274" t="s">
        <x:v>10143</x:v>
      </x:c>
      <x:c r="B5992" s="274" t="n">
        <x:v>2.78</x:v>
      </x:c>
      <x:c r="C5992" s="274" t="n">
        <x:v>0</x:v>
      </x:c>
      <x:c r="D5992" s="274" t="n">
        <x:v>45</x:v>
      </x:c>
      <x:c r="E5992" s="274" t="n">
        <x:v>40</x:v>
      </x:c>
      <x:c r="F5992" s="274" t="s">
        <x:v>123</x:v>
      </x:c>
      <x:c r="G5992" s="274" t="s">
        <x:v>136</x:v>
      </x:c>
      <x:c r="H5992" s="274" t="n">
        <x:v>45</x:v>
      </x:c>
      <x:c r="I5992" s="274" t="n">
        <x:v>0.55</x:v>
      </x:c>
      <x:c r="J5992" s="274" t="n">
        <x:v>1465</x:v>
      </x:c>
      <x:c r="K5992" s="274" t="n">
        <x:v>430</x:v>
      </x:c>
      <x:c r="M5992" s="274" t="s">
        <x:v>7849</x:v>
      </x:c>
      <x:c r="N5992" s="274" t="s">
        <x:v>3671</x:v>
      </x:c>
    </x:row>
    <x:row r="5993" spans="1:14">
      <x:c r="A5993" s="274" t="s">
        <x:v>10144</x:v>
      </x:c>
      <x:c r="B5993" s="274" t="n">
        <x:v>7.07</x:v>
      </x:c>
      <x:c r="C5993" s="274" t="n">
        <x:v>0</x:v>
      </x:c>
      <x:c r="D5993" s="274" t="n">
        <x:v>45</x:v>
      </x:c>
      <x:c r="E5993" s="274" t="n">
        <x:v>40</x:v>
      </x:c>
      <x:c r="F5993" s="274" t="s">
        <x:v>123</x:v>
      </x:c>
      <x:c r="G5993" s="274" t="s">
        <x:v>129</x:v>
      </x:c>
      <x:c r="H5993" s="274" t="n">
        <x:v>45</x:v>
      </x:c>
      <x:c r="I5993" s="274" t="n">
        <x:v>0.65</x:v>
      </x:c>
      <x:c r="J5993" s="274" t="n">
        <x:v>1496</x:v>
      </x:c>
      <x:c r="K5993" s="274" t="n">
        <x:v>910</x:v>
      </x:c>
      <x:c r="M5993" s="274" t="s">
        <x:v>8088</x:v>
      </x:c>
      <x:c r="N5993" s="274" t="s">
        <x:v>3671</x:v>
      </x:c>
    </x:row>
    <x:row r="5994" spans="1:14">
      <x:c r="A5994" s="274" t="s">
        <x:v>10145</x:v>
      </x:c>
      <x:c r="B5994" s="274" t="n">
        <x:v>4.09</x:v>
      </x:c>
      <x:c r="C5994" s="274" t="n">
        <x:v>0</x:v>
      </x:c>
      <x:c r="D5994" s="274" t="n">
        <x:v>45</x:v>
      </x:c>
      <x:c r="E5994" s="274" t="n">
        <x:v>40</x:v>
      </x:c>
      <x:c r="F5994" s="274" t="s">
        <x:v>133</x:v>
      </x:c>
      <x:c r="G5994" s="274" t="s">
        <x:v>136</x:v>
      </x:c>
      <x:c r="H5994" s="274" t="n">
        <x:v>45</x:v>
      </x:c>
      <x:c r="I5994" s="274" t="n">
        <x:v>0.7</x:v>
      </x:c>
      <x:c r="J5994" s="274" t="n">
        <x:v>1045</x:v>
      </x:c>
      <x:c r="K5994" s="274" t="n">
        <x:v>700</x:v>
      </x:c>
      <x:c r="M5994" s="274" t="s">
        <x:v>6116</x:v>
      </x:c>
      <x:c r="N5994" s="274" t="s">
        <x:v>3671</x:v>
      </x:c>
    </x:row>
    <x:row r="5995" spans="1:14">
      <x:c r="A5995" s="274" t="s">
        <x:v>10146</x:v>
      </x:c>
      <x:c r="B5995" s="274" t="n">
        <x:v>2.77</x:v>
      </x:c>
      <x:c r="C5995" s="274" t="n">
        <x:v>0</x:v>
      </x:c>
      <x:c r="D5995" s="274" t="n">
        <x:v>45</x:v>
      </x:c>
      <x:c r="E5995" s="274" t="n">
        <x:v>40</x:v>
      </x:c>
      <x:c r="F5995" s="274" t="s">
        <x:v>123</x:v>
      </x:c>
      <x:c r="G5995" s="274" t="s">
        <x:v>129</x:v>
      </x:c>
      <x:c r="H5995" s="274" t="n">
        <x:v>45</x:v>
      </x:c>
      <x:c r="I5995" s="274" t="n">
        <x:v>0.8</x:v>
      </x:c>
      <x:c r="J5995" s="274" t="n">
        <x:v>1140</x:v>
      </x:c>
      <x:c r="K5995" s="274" t="n">
        <x:v>382</x:v>
      </x:c>
      <x:c r="M5995" s="274" t="s">
        <x:v>6118</x:v>
      </x:c>
      <x:c r="N5995" s="274" t="s">
        <x:v>3671</x:v>
      </x:c>
    </x:row>
    <x:row r="5996" spans="1:14">
      <x:c r="A5996" s="274" t="s">
        <x:v>10147</x:v>
      </x:c>
      <x:c r="B5996" s="274" t="n">
        <x:v>10.32</x:v>
      </x:c>
      <x:c r="C5996" s="274" t="n">
        <x:v>0</x:v>
      </x:c>
      <x:c r="D5996" s="274" t="n">
        <x:v>35</x:v>
      </x:c>
      <x:c r="E5996" s="274" t="n">
        <x:v>30</x:v>
      </x:c>
      <x:c r="F5996" s="274" t="s">
        <x:v>133</x:v>
      </x:c>
      <x:c r="G5996" s="274" t="s">
        <x:v>136</x:v>
      </x:c>
      <x:c r="H5996" s="274" t="n">
        <x:v>45</x:v>
      </x:c>
      <x:c r="I5996" s="274" t="n">
        <x:v>1</x:v>
      </x:c>
      <x:c r="J5996" s="274" t="n">
        <x:v>1040</x:v>
      </x:c>
      <x:c r="K5996" s="274" t="n">
        <x:v>1250</x:v>
      </x:c>
      <x:c r="M5996" s="274" t="s">
        <x:v>6120</x:v>
      </x:c>
      <x:c r="N5996" s="274" t="s">
        <x:v>3671</x:v>
      </x:c>
    </x:row>
    <x:row r="5997" spans="1:14">
      <x:c r="A5997" s="274" t="s">
        <x:v>10148</x:v>
      </x:c>
      <x:c r="B5997" s="274" t="n">
        <x:v>10.89</x:v>
      </x:c>
      <x:c r="C5997" s="274" t="n">
        <x:v>0</x:v>
      </x:c>
      <x:c r="D5997" s="274" t="n">
        <x:v>35</x:v>
      </x:c>
      <x:c r="E5997" s="274" t="n">
        <x:v>30</x:v>
      </x:c>
      <x:c r="F5997" s="274" t="s">
        <x:v>123</x:v>
      </x:c>
      <x:c r="G5997" s="274" t="s">
        <x:v>129</x:v>
      </x:c>
      <x:c r="H5997" s="274" t="n">
        <x:v>45</x:v>
      </x:c>
      <x:c r="I5997" s="274" t="n">
        <x:v>1</x:v>
      </x:c>
      <x:c r="J5997" s="274" t="n">
        <x:v>1115</x:v>
      </x:c>
      <x:c r="K5997" s="274" t="n">
        <x:v>1230</x:v>
      </x:c>
      <x:c r="M5997" s="274" t="s">
        <x:v>6122</x:v>
      </x:c>
      <x:c r="N5997" s="274" t="s">
        <x:v>3671</x:v>
      </x:c>
    </x:row>
    <x:row r="5998" spans="1:14">
      <x:c r="A5998" s="274" t="s">
        <x:v>10149</x:v>
      </x:c>
      <x:c r="B5998" s="274" t="n">
        <x:v>11.95</x:v>
      </x:c>
      <x:c r="C5998" s="274" t="n">
        <x:v>0</x:v>
      </x:c>
      <x:c r="D5998" s="274" t="n">
        <x:v>35</x:v>
      </x:c>
      <x:c r="E5998" s="274" t="n">
        <x:v>30</x:v>
      </x:c>
      <x:c r="F5998" s="274" t="s">
        <x:v>123</x:v>
      </x:c>
      <x:c r="G5998" s="274" t="s">
        <x:v>129</x:v>
      </x:c>
      <x:c r="H5998" s="274" t="n">
        <x:v>45</x:v>
      </x:c>
      <x:c r="I5998" s="274" t="n">
        <x:v>1</x:v>
      </x:c>
      <x:c r="J5998" s="274" t="n">
        <x:v>1115</x:v>
      </x:c>
      <x:c r="K5998" s="274" t="n">
        <x:v>1350</x:v>
      </x:c>
      <x:c r="M5998" s="274" t="s">
        <x:v>6124</x:v>
      </x:c>
      <x:c r="N5998" s="274" t="s">
        <x:v>3671</x:v>
      </x:c>
    </x:row>
    <x:row r="5999" spans="1:14">
      <x:c r="A5999" s="274" t="s">
        <x:v>10150</x:v>
      </x:c>
      <x:c r="B5999" s="274" t="n">
        <x:v>3.51</x:v>
      </x:c>
      <x:c r="C5999" s="274" t="n">
        <x:v>0</x:v>
      </x:c>
      <x:c r="D5999" s="274" t="n">
        <x:v>45</x:v>
      </x:c>
      <x:c r="E5999" s="274" t="n">
        <x:v>40</x:v>
      </x:c>
      <x:c r="F5999" s="274" t="s">
        <x:v>123</x:v>
      </x:c>
      <x:c r="G5999" s="274" t="s">
        <x:v>129</x:v>
      </x:c>
      <x:c r="H5999" s="274" t="n">
        <x:v>45</x:v>
      </x:c>
      <x:c r="I5999" s="274" t="n">
        <x:v>1</x:v>
      </x:c>
      <x:c r="J5999" s="274" t="n">
        <x:v>1115</x:v>
      </x:c>
      <x:c r="K5999" s="274" t="n">
        <x:v>396</x:v>
      </x:c>
      <x:c r="M5999" s="274" t="s">
        <x:v>6126</x:v>
      </x:c>
      <x:c r="N5999" s="274" t="s">
        <x:v>3671</x:v>
      </x:c>
    </x:row>
    <x:row r="6000" spans="1:14">
      <x:c r="A6000" s="274" t="s">
        <x:v>10151</x:v>
      </x:c>
      <x:c r="B6000" s="274" t="n">
        <x:v>3.19</x:v>
      </x:c>
      <x:c r="C6000" s="274" t="n">
        <x:v>0</x:v>
      </x:c>
      <x:c r="D6000" s="274" t="n">
        <x:v>45</x:v>
      </x:c>
      <x:c r="E6000" s="274" t="n">
        <x:v>40</x:v>
      </x:c>
      <x:c r="F6000" s="274" t="s">
        <x:v>123</x:v>
      </x:c>
      <x:c r="G6000" s="274" t="s">
        <x:v>129</x:v>
      </x:c>
      <x:c r="H6000" s="274" t="n">
        <x:v>45</x:v>
      </x:c>
      <x:c r="I6000" s="274" t="n">
        <x:v>1</x:v>
      </x:c>
      <x:c r="J6000" s="274" t="n">
        <x:v>1115</x:v>
      </x:c>
      <x:c r="K6000" s="274" t="n">
        <x:v>360</x:v>
      </x:c>
      <x:c r="M6000" s="274" t="s">
        <x:v>6128</x:v>
      </x:c>
      <x:c r="N6000" s="274" t="s">
        <x:v>3671</x:v>
      </x:c>
    </x:row>
    <x:row r="6001" spans="1:14">
      <x:c r="A6001" s="274" t="s">
        <x:v>10152</x:v>
      </x:c>
      <x:c r="B6001" s="274" t="n">
        <x:v>11.34</x:v>
      </x:c>
      <x:c r="C6001" s="274" t="n">
        <x:v>0</x:v>
      </x:c>
      <x:c r="D6001" s="274" t="n">
        <x:v>35</x:v>
      </x:c>
      <x:c r="E6001" s="274" t="n">
        <x:v>30</x:v>
      </x:c>
      <x:c r="F6001" s="274" t="s">
        <x:v>123</x:v>
      </x:c>
      <x:c r="G6001" s="274" t="s">
        <x:v>881</x:v>
      </x:c>
      <x:c r="H6001" s="274" t="n">
        <x:v>45</x:v>
      </x:c>
      <x:c r="I6001" s="274" t="n">
        <x:v>1</x:v>
      </x:c>
      <x:c r="J6001" s="274" t="n">
        <x:v>1170</x:v>
      </x:c>
      <x:c r="K6001" s="274" t="n">
        <x:v>1221</x:v>
      </x:c>
      <x:c r="M6001" s="274" t="s">
        <x:v>6130</x:v>
      </x:c>
      <x:c r="N6001" s="274" t="s">
        <x:v>3671</x:v>
      </x:c>
    </x:row>
    <x:row r="6002" spans="1:14">
      <x:c r="A6002" s="274" t="s">
        <x:v>10153</x:v>
      </x:c>
      <x:c r="B6002" s="274" t="n">
        <x:v>10.09</x:v>
      </x:c>
      <x:c r="C6002" s="274" t="n">
        <x:v>0</x:v>
      </x:c>
      <x:c r="D6002" s="274" t="n">
        <x:v>38</x:v>
      </x:c>
      <x:c r="E6002" s="274" t="n">
        <x:v>33</x:v>
      </x:c>
      <x:c r="F6002" s="274" t="s">
        <x:v>123</x:v>
      </x:c>
      <x:c r="G6002" s="274" t="s">
        <x:v>129</x:v>
      </x:c>
      <x:c r="H6002" s="274" t="n">
        <x:v>45</x:v>
      </x:c>
      <x:c r="I6002" s="274" t="n">
        <x:v>1.2</x:v>
      </x:c>
      <x:c r="J6002" s="274" t="n">
        <x:v>1040</x:v>
      </x:c>
      <x:c r="K6002" s="274" t="n">
        <x:v>1020</x:v>
      </x:c>
      <x:c r="M6002" s="274" t="s">
        <x:v>6134</x:v>
      </x:c>
      <x:c r="N6002" s="274" t="s">
        <x:v>3671</x:v>
      </x:c>
    </x:row>
    <x:row r="6003" spans="1:14">
      <x:c r="A6003" s="274" t="s">
        <x:v>10154</x:v>
      </x:c>
      <x:c r="B6003" s="274" t="n">
        <x:v>12.36</x:v>
      </x:c>
      <x:c r="C6003" s="274" t="n">
        <x:v>0</x:v>
      </x:c>
      <x:c r="D6003" s="274" t="n">
        <x:v>35</x:v>
      </x:c>
      <x:c r="E6003" s="274" t="n">
        <x:v>30</x:v>
      </x:c>
      <x:c r="F6003" s="274" t="s">
        <x:v>123</x:v>
      </x:c>
      <x:c r="G6003" s="274" t="s">
        <x:v>129</x:v>
      </x:c>
      <x:c r="H6003" s="274" t="n">
        <x:v>45</x:v>
      </x:c>
      <x:c r="I6003" s="274" t="n">
        <x:v>1.2</x:v>
      </x:c>
      <x:c r="J6003" s="274" t="n">
        <x:v>1040</x:v>
      </x:c>
      <x:c r="K6003" s="274" t="n">
        <x:v>1250</x:v>
      </x:c>
      <x:c r="M6003" s="274" t="s">
        <x:v>6136</x:v>
      </x:c>
      <x:c r="N6003" s="274" t="s">
        <x:v>3671</x:v>
      </x:c>
    </x:row>
    <x:row r="6004" spans="1:14">
      <x:c r="A6004" s="274" t="s">
        <x:v>10155</x:v>
      </x:c>
      <x:c r="B6004" s="274" t="n">
        <x:v>11.33</x:v>
      </x:c>
      <x:c r="C6004" s="274" t="n">
        <x:v>0</x:v>
      </x:c>
      <x:c r="D6004" s="274" t="n">
        <x:v>35</x:v>
      </x:c>
      <x:c r="E6004" s="274" t="n">
        <x:v>30</x:v>
      </x:c>
      <x:c r="F6004" s="274" t="s">
        <x:v>123</x:v>
      </x:c>
      <x:c r="G6004" s="274" t="s">
        <x:v>129</x:v>
      </x:c>
      <x:c r="H6004" s="274" t="n">
        <x:v>45</x:v>
      </x:c>
      <x:c r="I6004" s="274" t="n">
        <x:v>1.2</x:v>
      </x:c>
      <x:c r="J6004" s="274" t="n">
        <x:v>1040</x:v>
      </x:c>
      <x:c r="K6004" s="274" t="n">
        <x:v>1145</x:v>
      </x:c>
      <x:c r="M6004" s="274" t="s">
        <x:v>6140</x:v>
      </x:c>
      <x:c r="N6004" s="274" t="s">
        <x:v>3671</x:v>
      </x:c>
    </x:row>
    <x:row r="6005" spans="1:14">
      <x:c r="A6005" s="274" t="s">
        <x:v>10156</x:v>
      </x:c>
      <x:c r="B6005" s="274" t="n">
        <x:v>5.75</x:v>
      </x:c>
      <x:c r="C6005" s="274" t="n">
        <x:v>0</x:v>
      </x:c>
      <x:c r="D6005" s="274" t="n">
        <x:v>32</x:v>
      </x:c>
      <x:c r="E6005" s="274" t="n">
        <x:v>32</x:v>
      </x:c>
      <x:c r="F6005" s="274" t="s">
        <x:v>333</x:v>
      </x:c>
      <x:c r="G6005" s="274" t="s">
        <x:v>209</x:v>
      </x:c>
      <x:c r="I6005" s="274" t="n">
        <x:v>0.6</x:v>
      </x:c>
      <x:c r="J6005" s="274" t="n">
        <x:v>976</x:v>
      </x:c>
      <x:c r="K6005" s="274" t="n">
        <x:v>1250</x:v>
      </x:c>
      <x:c r="M6005" s="274" t="s">
        <x:v>10157</x:v>
      </x:c>
    </x:row>
    <x:row r="6006" spans="1:14">
      <x:c r="A6006" s="274" t="s">
        <x:v>10158</x:v>
      </x:c>
      <x:c r="B6006" s="274" t="n">
        <x:v>13.68</x:v>
      </x:c>
      <x:c r="C6006" s="274" t="n">
        <x:v>0</x:v>
      </x:c>
      <x:c r="D6006" s="274" t="n">
        <x:v>35</x:v>
      </x:c>
      <x:c r="E6006" s="274" t="n">
        <x:v>30</x:v>
      </x:c>
      <x:c r="F6006" s="274" t="s">
        <x:v>133</x:v>
      </x:c>
      <x:c r="G6006" s="274" t="s">
        <x:v>136</x:v>
      </x:c>
      <x:c r="H6006" s="274" t="n">
        <x:v>45</x:v>
      </x:c>
      <x:c r="I6006" s="274" t="n">
        <x:v>1.2</x:v>
      </x:c>
      <x:c r="J6006" s="274" t="n">
        <x:v>1150</x:v>
      </x:c>
      <x:c r="K6006" s="274" t="n">
        <x:v>1250</x:v>
      </x:c>
      <x:c r="M6006" s="274" t="s">
        <x:v>6142</x:v>
      </x:c>
      <x:c r="N6006" s="274" t="s">
        <x:v>3671</x:v>
      </x:c>
    </x:row>
    <x:row r="6007" spans="1:14">
      <x:c r="A6007" s="274" t="s">
        <x:v>10159</x:v>
      </x:c>
      <x:c r="B6007" s="274" t="n">
        <x:v>5.91</x:v>
      </x:c>
      <x:c r="C6007" s="274" t="n">
        <x:v>0</x:v>
      </x:c>
      <x:c r="D6007" s="274" t="n">
        <x:v>45</x:v>
      </x:c>
      <x:c r="E6007" s="274" t="n">
        <x:v>40</x:v>
      </x:c>
      <x:c r="F6007" s="274" t="s">
        <x:v>133</x:v>
      </x:c>
      <x:c r="G6007" s="274" t="s">
        <x:v>136</x:v>
      </x:c>
      <x:c r="H6007" s="274" t="n">
        <x:v>45</x:v>
      </x:c>
      <x:c r="I6007" s="274" t="n">
        <x:v>1.2</x:v>
      </x:c>
      <x:c r="J6007" s="274" t="n">
        <x:v>1150</x:v>
      </x:c>
      <x:c r="K6007" s="274" t="n">
        <x:v>540</x:v>
      </x:c>
      <x:c r="M6007" s="274" t="s">
        <x:v>6146</x:v>
      </x:c>
      <x:c r="N6007" s="274" t="s">
        <x:v>3671</x:v>
      </x:c>
    </x:row>
    <x:row r="6008" spans="1:14">
      <x:c r="A6008" s="274" t="s">
        <x:v>10160</x:v>
      </x:c>
      <x:c r="B6008" s="274" t="n">
        <x:v>5.14</x:v>
      </x:c>
      <x:c r="C6008" s="274" t="n">
        <x:v>0</x:v>
      </x:c>
      <x:c r="D6008" s="274" t="n">
        <x:v>45</x:v>
      </x:c>
      <x:c r="E6008" s="274" t="n">
        <x:v>40</x:v>
      </x:c>
      <x:c r="F6008" s="274" t="s">
        <x:v>133</x:v>
      </x:c>
      <x:c r="G6008" s="274" t="s">
        <x:v>136</x:v>
      </x:c>
      <x:c r="H6008" s="274" t="n">
        <x:v>45</x:v>
      </x:c>
      <x:c r="I6008" s="274" t="n">
        <x:v>1.2</x:v>
      </x:c>
      <x:c r="J6008" s="274" t="n">
        <x:v>1150</x:v>
      </x:c>
      <x:c r="K6008" s="274" t="n">
        <x:v>470</x:v>
      </x:c>
      <x:c r="M6008" s="274" t="s">
        <x:v>6152</x:v>
      </x:c>
      <x:c r="N6008" s="274" t="s">
        <x:v>3671</x:v>
      </x:c>
    </x:row>
    <x:row r="6009" spans="1:14">
      <x:c r="A6009" s="274" t="s">
        <x:v>10161</x:v>
      </x:c>
      <x:c r="B6009" s="274" t="n">
        <x:v>4.8</x:v>
      </x:c>
      <x:c r="C6009" s="274" t="n">
        <x:v>0</x:v>
      </x:c>
      <x:c r="D6009" s="274" t="n">
        <x:v>45</x:v>
      </x:c>
      <x:c r="E6009" s="274" t="n">
        <x:v>40</x:v>
      </x:c>
      <x:c r="F6009" s="274" t="s">
        <x:v>333</x:v>
      </x:c>
      <x:c r="G6009" s="274" t="s">
        <x:v>153</x:v>
      </x:c>
      <x:c r="I6009" s="274" t="n">
        <x:v>1.2</x:v>
      </x:c>
      <x:c r="J6009" s="274" t="n">
        <x:v>1290</x:v>
      </x:c>
      <x:c r="K6009" s="274" t="n">
        <x:v>395</x:v>
      </x:c>
      <x:c r="M6009" s="274" t="s">
        <x:v>6154</x:v>
      </x:c>
      <x:c r="N6009" s="274" t="s">
        <x:v>3671</x:v>
      </x:c>
    </x:row>
    <x:row r="6010" spans="1:14">
      <x:c r="A6010" s="274" t="s">
        <x:v>10162</x:v>
      </x:c>
      <x:c r="B6010" s="274" t="n">
        <x:v>14.1</x:v>
      </x:c>
      <x:c r="C6010" s="274" t="n">
        <x:v>0</x:v>
      </x:c>
      <x:c r="D6010" s="274" t="n">
        <x:v>35</x:v>
      </x:c>
      <x:c r="E6010" s="274" t="n">
        <x:v>30</x:v>
      </x:c>
      <x:c r="F6010" s="274" t="s">
        <x:v>123</x:v>
      </x:c>
      <x:c r="G6010" s="274" t="s">
        <x:v>881</x:v>
      </x:c>
      <x:c r="H6010" s="274" t="n">
        <x:v>45</x:v>
      </x:c>
      <x:c r="I6010" s="274" t="n">
        <x:v>1.4</x:v>
      </x:c>
      <x:c r="J6010" s="274" t="n">
        <x:v>1140</x:v>
      </x:c>
      <x:c r="K6010" s="274" t="n">
        <x:v>1117</x:v>
      </x:c>
      <x:c r="M6010" s="274" t="s">
        <x:v>6158</x:v>
      </x:c>
      <x:c r="N6010" s="274" t="s">
        <x:v>3671</x:v>
      </x:c>
    </x:row>
    <x:row r="6011" spans="1:14">
      <x:c r="A6011" s="274" t="s">
        <x:v>10163</x:v>
      </x:c>
      <x:c r="B6011" s="274" t="n">
        <x:v>15.79</x:v>
      </x:c>
      <x:c r="C6011" s="274" t="n">
        <x:v>0</x:v>
      </x:c>
      <x:c r="D6011" s="274" t="n">
        <x:v>35</x:v>
      </x:c>
      <x:c r="E6011" s="274" t="n">
        <x:v>30</x:v>
      </x:c>
      <x:c r="F6011" s="274" t="s">
        <x:v>123</x:v>
      </x:c>
      <x:c r="G6011" s="274" t="s">
        <x:v>881</x:v>
      </x:c>
      <x:c r="H6011" s="274" t="n">
        <x:v>45</x:v>
      </x:c>
      <x:c r="I6011" s="274" t="n">
        <x:v>1.4</x:v>
      </x:c>
      <x:c r="J6011" s="274" t="n">
        <x:v>1140</x:v>
      </x:c>
      <x:c r="K6011" s="274" t="n">
        <x:v>1250</x:v>
      </x:c>
      <x:c r="M6011" s="274" t="s">
        <x:v>6160</x:v>
      </x:c>
      <x:c r="N6011" s="274" t="s">
        <x:v>3671</x:v>
      </x:c>
    </x:row>
    <x:row r="6012" spans="1:14">
      <x:c r="A6012" s="274" t="s">
        <x:v>10164</x:v>
      </x:c>
      <x:c r="B6012" s="274" t="n">
        <x:v>14.2</x:v>
      </x:c>
      <x:c r="C6012" s="274" t="n">
        <x:v>0</x:v>
      </x:c>
      <x:c r="D6012" s="274" t="n">
        <x:v>35</x:v>
      </x:c>
      <x:c r="E6012" s="274" t="n">
        <x:v>30</x:v>
      </x:c>
      <x:c r="F6012" s="274" t="s">
        <x:v>123</x:v>
      </x:c>
      <x:c r="G6012" s="274" t="s">
        <x:v>881</x:v>
      </x:c>
      <x:c r="H6012" s="274" t="n">
        <x:v>45</x:v>
      </x:c>
      <x:c r="I6012" s="274" t="n">
        <x:v>1.4</x:v>
      </x:c>
      <x:c r="J6012" s="274" t="n">
        <x:v>1140</x:v>
      </x:c>
      <x:c r="K6012" s="274" t="n">
        <x:v>1125</x:v>
      </x:c>
      <x:c r="M6012" s="274" t="s">
        <x:v>6162</x:v>
      </x:c>
      <x:c r="N6012" s="274" t="s">
        <x:v>3671</x:v>
      </x:c>
    </x:row>
    <x:row r="6013" spans="1:14">
      <x:c r="A6013" s="274" t="s">
        <x:v>10165</x:v>
      </x:c>
      <x:c r="B6013" s="274" t="n">
        <x:v>18.73</x:v>
      </x:c>
      <x:c r="C6013" s="274" t="n">
        <x:v>0</x:v>
      </x:c>
      <x:c r="D6013" s="274" t="n">
        <x:v>35</x:v>
      </x:c>
      <x:c r="E6013" s="274" t="n">
        <x:v>30</x:v>
      </x:c>
      <x:c r="F6013" s="274" t="s">
        <x:v>133</x:v>
      </x:c>
      <x:c r="G6013" s="274" t="s">
        <x:v>136</x:v>
      </x:c>
      <x:c r="H6013" s="274" t="n">
        <x:v>45</x:v>
      </x:c>
      <x:c r="I6013" s="274" t="n">
        <x:v>1.4</x:v>
      </x:c>
      <x:c r="J6013" s="274" t="n">
        <x:v>1408</x:v>
      </x:c>
      <x:c r="K6013" s="274" t="n">
        <x:v>1200</x:v>
      </x:c>
      <x:c r="M6013" s="274" t="s">
        <x:v>6168</x:v>
      </x:c>
      <x:c r="N6013" s="274" t="s">
        <x:v>3671</x:v>
      </x:c>
    </x:row>
    <x:row r="6014" spans="1:14">
      <x:c r="A6014" s="274" t="s">
        <x:v>10166</x:v>
      </x:c>
      <x:c r="B6014" s="274" t="n">
        <x:v>17.71</x:v>
      </x:c>
      <x:c r="C6014" s="274" t="n">
        <x:v>0</x:v>
      </x:c>
      <x:c r="D6014" s="274" t="n">
        <x:v>37</x:v>
      </x:c>
      <x:c r="E6014" s="274" t="n">
        <x:v>32</x:v>
      </x:c>
      <x:c r="F6014" s="274" t="s">
        <x:v>133</x:v>
      </x:c>
      <x:c r="G6014" s="274" t="s">
        <x:v>136</x:v>
      </x:c>
      <x:c r="H6014" s="274" t="n">
        <x:v>45</x:v>
      </x:c>
      <x:c r="I6014" s="274" t="n">
        <x:v>1.4</x:v>
      </x:c>
      <x:c r="J6014" s="274" t="n">
        <x:v>1408</x:v>
      </x:c>
      <x:c r="K6014" s="274" t="n">
        <x:v>1135</x:v>
      </x:c>
      <x:c r="M6014" s="274" t="s">
        <x:v>6170</x:v>
      </x:c>
      <x:c r="N6014" s="274" t="s">
        <x:v>3671</x:v>
      </x:c>
    </x:row>
    <x:row r="6015" spans="1:14">
      <x:c r="A6015" s="274" t="s">
        <x:v>10167</x:v>
      </x:c>
      <x:c r="B6015" s="274" t="n">
        <x:v>5.81</x:v>
      </x:c>
      <x:c r="C6015" s="274" t="n">
        <x:v>0</x:v>
      </x:c>
      <x:c r="D6015" s="274" t="n">
        <x:v>45</x:v>
      </x:c>
      <x:c r="E6015" s="274" t="n">
        <x:v>40</x:v>
      </x:c>
      <x:c r="F6015" s="274" t="s">
        <x:v>133</x:v>
      </x:c>
      <x:c r="G6015" s="274" t="s">
        <x:v>136</x:v>
      </x:c>
      <x:c r="H6015" s="274" t="n">
        <x:v>45</x:v>
      </x:c>
      <x:c r="I6015" s="274" t="n">
        <x:v>1.6</x:v>
      </x:c>
      <x:c r="J6015" s="274" t="n">
        <x:v>1055</x:v>
      </x:c>
      <x:c r="K6015" s="274" t="n">
        <x:v>435</x:v>
      </x:c>
      <x:c r="M6015" s="274" t="s">
        <x:v>6172</x:v>
      </x:c>
      <x:c r="N6015" s="274" t="s">
        <x:v>3671</x:v>
      </x:c>
    </x:row>
    <x:row r="6016" spans="1:14">
      <x:c r="A6016" s="274" t="s">
        <x:v>10168</x:v>
      </x:c>
      <x:c r="B6016" s="274" t="n">
        <x:v>15.77</x:v>
      </x:c>
      <x:c r="C6016" s="274" t="n">
        <x:v>0</x:v>
      </x:c>
      <x:c r="D6016" s="274" t="n">
        <x:v>42</x:v>
      </x:c>
      <x:c r="E6016" s="274" t="n">
        <x:v>37</x:v>
      </x:c>
      <x:c r="F6016" s="274" t="s">
        <x:v>123</x:v>
      </x:c>
      <x:c r="G6016" s="274" t="s">
        <x:v>129</x:v>
      </x:c>
      <x:c r="H6016" s="274" t="n">
        <x:v>45</x:v>
      </x:c>
      <x:c r="I6016" s="274" t="n">
        <x:v>1.6</x:v>
      </x:c>
      <x:c r="J6016" s="274" t="n">
        <x:v>1260</x:v>
      </x:c>
      <x:c r="K6016" s="274" t="n">
        <x:v>990</x:v>
      </x:c>
      <x:c r="M6016" s="274" t="s">
        <x:v>6174</x:v>
      </x:c>
      <x:c r="N6016" s="274" t="s">
        <x:v>3671</x:v>
      </x:c>
    </x:row>
    <x:row r="6017" spans="1:14">
      <x:c r="A6017" s="274" t="s">
        <x:v>10169</x:v>
      </x:c>
      <x:c r="B6017" s="274" t="n">
        <x:v>14.66</x:v>
      </x:c>
      <x:c r="C6017" s="274" t="n">
        <x:v>0</x:v>
      </x:c>
      <x:c r="D6017" s="274" t="n">
        <x:v>42</x:v>
      </x:c>
      <x:c r="E6017" s="274" t="n">
        <x:v>37</x:v>
      </x:c>
      <x:c r="F6017" s="274" t="s">
        <x:v>123</x:v>
      </x:c>
      <x:c r="G6017" s="274" t="s">
        <x:v>129</x:v>
      </x:c>
      <x:c r="H6017" s="274" t="n">
        <x:v>45</x:v>
      </x:c>
      <x:c r="I6017" s="274" t="n">
        <x:v>1.6</x:v>
      </x:c>
      <x:c r="J6017" s="274" t="n">
        <x:v>1260</x:v>
      </x:c>
      <x:c r="K6017" s="274" t="n">
        <x:v>920</x:v>
      </x:c>
      <x:c r="M6017" s="274" t="s">
        <x:v>6176</x:v>
      </x:c>
      <x:c r="N6017" s="274" t="s">
        <x:v>3671</x:v>
      </x:c>
    </x:row>
    <x:row r="6018" spans="1:14">
      <x:c r="A6018" s="274" t="s">
        <x:v>10170</x:v>
      </x:c>
      <x:c r="B6018" s="274" t="n">
        <x:v>19.76</x:v>
      </x:c>
      <x:c r="C6018" s="274" t="n">
        <x:v>0</x:v>
      </x:c>
      <x:c r="D6018" s="274" t="n">
        <x:v>35</x:v>
      </x:c>
      <x:c r="E6018" s="274" t="n">
        <x:v>30</x:v>
      </x:c>
      <x:c r="F6018" s="274" t="s">
        <x:v>123</x:v>
      </x:c>
      <x:c r="G6018" s="274" t="s">
        <x:v>129</x:v>
      </x:c>
      <x:c r="H6018" s="274" t="n">
        <x:v>45</x:v>
      </x:c>
      <x:c r="I6018" s="274" t="n">
        <x:v>1.6</x:v>
      </x:c>
      <x:c r="J6018" s="274" t="n">
        <x:v>1260</x:v>
      </x:c>
      <x:c r="K6018" s="274" t="n">
        <x:v>1240</x:v>
      </x:c>
      <x:c r="M6018" s="274" t="s">
        <x:v>6178</x:v>
      </x:c>
      <x:c r="N6018" s="274" t="s">
        <x:v>3671</x:v>
      </x:c>
    </x:row>
    <x:row r="6019" spans="1:14">
      <x:c r="A6019" s="274" t="s">
        <x:v>10171</x:v>
      </x:c>
      <x:c r="B6019" s="274" t="n">
        <x:v>6.75</x:v>
      </x:c>
      <x:c r="C6019" s="274" t="n">
        <x:v>0</x:v>
      </x:c>
      <x:c r="D6019" s="274" t="n">
        <x:v>35</x:v>
      </x:c>
      <x:c r="E6019" s="274" t="n">
        <x:v>30</x:v>
      </x:c>
      <x:c r="F6019" s="274" t="s">
        <x:v>333</x:v>
      </x:c>
      <x:c r="G6019" s="274" t="s">
        <x:v>153</x:v>
      </x:c>
      <x:c r="I6019" s="274" t="n">
        <x:v>2</x:v>
      </x:c>
      <x:c r="J6019" s="274" t="n">
        <x:v>860</x:v>
      </x:c>
      <x:c r="K6019" s="274" t="n">
        <x:v>500</x:v>
      </x:c>
      <x:c r="M6019" s="274" t="s">
        <x:v>5901</x:v>
      </x:c>
      <x:c r="N6019" s="274" t="s">
        <x:v>3671</x:v>
      </x:c>
    </x:row>
    <x:row r="6020" spans="1:14">
      <x:c r="A6020" s="274" t="s">
        <x:v>10172</x:v>
      </x:c>
      <x:c r="B6020" s="274" t="n">
        <x:v>20.56</x:v>
      </x:c>
      <x:c r="C6020" s="274" t="n">
        <x:v>0</x:v>
      </x:c>
      <x:c r="D6020" s="274" t="n">
        <x:v>35</x:v>
      </x:c>
      <x:c r="E6020" s="274" t="n">
        <x:v>30</x:v>
      </x:c>
      <x:c r="F6020" s="274" t="s">
        <x:v>123</x:v>
      </x:c>
      <x:c r="G6020" s="274" t="s">
        <x:v>881</x:v>
      </x:c>
      <x:c r="H6020" s="274" t="n">
        <x:v>45</x:v>
      </x:c>
      <x:c r="I6020" s="274" t="n">
        <x:v>2</x:v>
      </x:c>
      <x:c r="J6020" s="274" t="n">
        <x:v>1050</x:v>
      </x:c>
      <x:c r="K6020" s="274" t="n">
        <x:v>1240</x:v>
      </x:c>
      <x:c r="M6020" s="274" t="s">
        <x:v>6184</x:v>
      </x:c>
      <x:c r="N6020" s="274" t="s">
        <x:v>3671</x:v>
      </x:c>
    </x:row>
    <x:row r="6021" spans="1:14">
      <x:c r="A6021" s="274" t="s">
        <x:v>10173</x:v>
      </x:c>
      <x:c r="B6021" s="274" t="n">
        <x:v>22.2</x:v>
      </x:c>
      <x:c r="C6021" s="274" t="n">
        <x:v>0</x:v>
      </x:c>
      <x:c r="D6021" s="274" t="n">
        <x:v>35</x:v>
      </x:c>
      <x:c r="E6021" s="274" t="n">
        <x:v>30</x:v>
      </x:c>
      <x:c r="F6021" s="274" t="s">
        <x:v>133</x:v>
      </x:c>
      <x:c r="G6021" s="274" t="s">
        <x:v>144</x:v>
      </x:c>
      <x:c r="H6021" s="274" t="n">
        <x:v>45</x:v>
      </x:c>
      <x:c r="I6021" s="274" t="n">
        <x:v>2</x:v>
      </x:c>
      <x:c r="J6021" s="274" t="n">
        <x:v>1125</x:v>
      </x:c>
      <x:c r="K6021" s="274" t="n">
        <x:v>1250</x:v>
      </x:c>
      <x:c r="M6021" s="274" t="s">
        <x:v>6186</x:v>
      </x:c>
      <x:c r="N6021" s="274" t="s">
        <x:v>3671</x:v>
      </x:c>
    </x:row>
    <x:row r="6022" spans="1:14">
      <x:c r="A6022" s="274" t="s">
        <x:v>10174</x:v>
      </x:c>
      <x:c r="B6022" s="274" t="n">
        <x:v>22.21</x:v>
      </x:c>
      <x:c r="C6022" s="274" t="n">
        <x:v>0</x:v>
      </x:c>
      <x:c r="D6022" s="274" t="n">
        <x:v>35</x:v>
      </x:c>
      <x:c r="E6022" s="274" t="n">
        <x:v>30</x:v>
      </x:c>
      <x:c r="F6022" s="274" t="s">
        <x:v>133</x:v>
      </x:c>
      <x:c r="G6022" s="274" t="s">
        <x:v>134</x:v>
      </x:c>
      <x:c r="I6022" s="274" t="n">
        <x:v>2.3</x:v>
      </x:c>
      <x:c r="J6022" s="274" t="n">
        <x:v>1010</x:v>
      </x:c>
      <x:c r="K6022" s="274" t="n">
        <x:v>1218</x:v>
      </x:c>
      <x:c r="M6022" s="274" t="s">
        <x:v>6188</x:v>
      </x:c>
      <x:c r="N6022" s="274" t="s">
        <x:v>3671</x:v>
      </x:c>
    </x:row>
    <x:row r="6023" spans="1:14">
      <x:c r="A6023" s="274" t="s">
        <x:v>10175</x:v>
      </x:c>
      <x:c r="B6023" s="274" t="n">
        <x:v>25.4</x:v>
      </x:c>
      <x:c r="C6023" s="274" t="n">
        <x:v>0</x:v>
      </x:c>
      <x:c r="D6023" s="274" t="n">
        <x:v>30</x:v>
      </x:c>
      <x:c r="E6023" s="274" t="n">
        <x:v>25</x:v>
      </x:c>
      <x:c r="F6023" s="274" t="s">
        <x:v>184</x:v>
      </x:c>
      <x:c r="G6023" s="274" t="s">
        <x:v>881</x:v>
      </x:c>
      <x:c r="H6023" s="274" t="n">
        <x:v>45</x:v>
      </x:c>
      <x:c r="I6023" s="274" t="n">
        <x:v>2.3</x:v>
      </x:c>
      <x:c r="J6023" s="274" t="n">
        <x:v>1120</x:v>
      </x:c>
      <x:c r="K6023" s="274" t="n">
        <x:v>1250</x:v>
      </x:c>
      <x:c r="M6023" s="274" t="s">
        <x:v>10176</x:v>
      </x:c>
      <x:c r="N6023" s="274" t="s">
        <x:v>3671</x:v>
      </x:c>
    </x:row>
    <x:row r="6024" spans="1:14">
      <x:c r="A6024" s="274" t="s">
        <x:v>10177</x:v>
      </x:c>
      <x:c r="B6024" s="274" t="n">
        <x:v>22.84</x:v>
      </x:c>
      <x:c r="C6024" s="274" t="n">
        <x:v>0</x:v>
      </x:c>
      <x:c r="D6024" s="274" t="n">
        <x:v>31</x:v>
      </x:c>
      <x:c r="E6024" s="274" t="n">
        <x:v>26</x:v>
      </x:c>
      <x:c r="F6024" s="274" t="s">
        <x:v>128</x:v>
      </x:c>
      <x:c r="G6024" s="274" t="s">
        <x:v>177</x:v>
      </x:c>
      <x:c r="H6024" s="274" t="n">
        <x:v>45</x:v>
      </x:c>
      <x:c r="I6024" s="274" t="n">
        <x:v>2.8</x:v>
      </x:c>
      <x:c r="J6024" s="274" t="n">
        <x:v>900</x:v>
      </x:c>
      <x:c r="K6024" s="274" t="n">
        <x:v>1150</x:v>
      </x:c>
      <x:c r="M6024" s="274" t="s">
        <x:v>6192</x:v>
      </x:c>
      <x:c r="N6024" s="274" t="s">
        <x:v>3671</x:v>
      </x:c>
    </x:row>
    <x:row r="6025" spans="1:14">
      <x:c r="A6025" s="274" t="s">
        <x:v>10178</x:v>
      </x:c>
      <x:c r="B6025" s="274" t="n">
        <x:v>12.24</x:v>
      </x:c>
      <x:c r="C6025" s="274" t="n">
        <x:v>0</x:v>
      </x:c>
      <x:c r="D6025" s="274" t="n">
        <x:v>45</x:v>
      </x:c>
      <x:c r="E6025" s="274" t="n">
        <x:v>40</x:v>
      </x:c>
      <x:c r="F6025" s="274" t="s">
        <x:v>123</x:v>
      </x:c>
      <x:c r="G6025" s="274" t="s">
        <x:v>437</x:v>
      </x:c>
      <x:c r="I6025" s="274" t="n">
        <x:v>3.2</x:v>
      </x:c>
      <x:c r="J6025" s="274" t="n">
        <x:v>1080</x:v>
      </x:c>
      <x:c r="K6025" s="274" t="n">
        <x:v>451</x:v>
      </x:c>
      <x:c r="M6025" s="274" t="s">
        <x:v>10179</x:v>
      </x:c>
      <x:c r="N6025" s="274" t="s">
        <x:v>3671</x:v>
      </x:c>
    </x:row>
    <x:row r="6026" spans="1:14">
      <x:c r="A6026" s="274" t="s">
        <x:v>10180</x:v>
      </x:c>
      <x:c r="B6026" s="274" t="n">
        <x:v>18.18</x:v>
      </x:c>
      <x:c r="C6026" s="274" t="n">
        <x:v>0</x:v>
      </x:c>
      <x:c r="D6026" s="274" t="n">
        <x:v>38</x:v>
      </x:c>
      <x:c r="E6026" s="274" t="n">
        <x:v>33</x:v>
      </x:c>
      <x:c r="F6026" s="274" t="s">
        <x:v>123</x:v>
      </x:c>
      <x:c r="G6026" s="274" t="s">
        <x:v>6196</x:v>
      </x:c>
      <x:c r="I6026" s="274" t="n">
        <x:v>2</x:v>
      </x:c>
      <x:c r="J6026" s="274" t="n">
        <x:v>1060</x:v>
      </x:c>
      <x:c r="K6026" s="274" t="n">
        <x:v>1092</x:v>
      </x:c>
      <x:c r="M6026" s="274" t="s">
        <x:v>10181</x:v>
      </x:c>
      <x:c r="N6026" s="274" t="s">
        <x:v>3671</x:v>
      </x:c>
    </x:row>
    <x:row r="6027" spans="1:14">
      <x:c r="A6027" s="274" t="s">
        <x:v>10182</x:v>
      </x:c>
      <x:c r="B6027" s="274" t="n">
        <x:v>19.92</x:v>
      </x:c>
      <x:c r="C6027" s="274" t="n">
        <x:v>0</x:v>
      </x:c>
      <x:c r="D6027" s="274" t="n">
        <x:v>35</x:v>
      </x:c>
      <x:c r="E6027" s="274" t="n">
        <x:v>30</x:v>
      </x:c>
      <x:c r="F6027" s="274" t="s">
        <x:v>123</x:v>
      </x:c>
      <x:c r="G6027" s="274" t="s">
        <x:v>129</x:v>
      </x:c>
      <x:c r="H6027" s="274" t="n">
        <x:v>45</x:v>
      </x:c>
      <x:c r="I6027" s="274" t="n">
        <x:v>1.6</x:v>
      </x:c>
      <x:c r="J6027" s="274" t="n">
        <x:v>1260</x:v>
      </x:c>
      <x:c r="K6027" s="274" t="n">
        <x:v>1250</x:v>
      </x:c>
      <x:c r="M6027" s="274" t="s">
        <x:v>6199</x:v>
      </x:c>
      <x:c r="N6027" s="274" t="s">
        <x:v>3671</x:v>
      </x:c>
    </x:row>
    <x:row r="6028" spans="1:14">
      <x:c r="A6028" s="274" t="s">
        <x:v>10183</x:v>
      </x:c>
      <x:c r="B6028" s="274" t="n">
        <x:v>23.48</x:v>
      </x:c>
      <x:c r="C6028" s="274" t="n">
        <x:v>0</x:v>
      </x:c>
      <x:c r="D6028" s="274" t="n">
        <x:v>35</x:v>
      </x:c>
      <x:c r="E6028" s="274" t="n">
        <x:v>30</x:v>
      </x:c>
      <x:c r="F6028" s="274" t="s">
        <x:v>133</x:v>
      </x:c>
      <x:c r="G6028" s="274" t="s">
        <x:v>136</x:v>
      </x:c>
      <x:c r="H6028" s="274" t="n">
        <x:v>45</x:v>
      </x:c>
      <x:c r="I6028" s="274" t="n">
        <x:v>1.6</x:v>
      </x:c>
      <x:c r="J6028" s="274" t="n">
        <x:v>1485</x:v>
      </x:c>
      <x:c r="K6028" s="274" t="n">
        <x:v>1250</x:v>
      </x:c>
      <x:c r="M6028" s="274" t="s">
        <x:v>6201</x:v>
      </x:c>
      <x:c r="N6028" s="274" t="s">
        <x:v>3671</x:v>
      </x:c>
    </x:row>
    <x:row r="6029" spans="1:14">
      <x:c r="A6029" s="274" t="s">
        <x:v>10184</x:v>
      </x:c>
      <x:c r="B6029" s="274" t="n">
        <x:v>20.41</x:v>
      </x:c>
      <x:c r="C6029" s="274" t="n">
        <x:v>0</x:v>
      </x:c>
      <x:c r="D6029" s="274" t="n">
        <x:v>35</x:v>
      </x:c>
      <x:c r="E6029" s="274" t="n">
        <x:v>32</x:v>
      </x:c>
      <x:c r="F6029" s="274" t="s">
        <x:v>333</x:v>
      </x:c>
      <x:c r="G6029" s="274" t="s">
        <x:v>4663</x:v>
      </x:c>
      <x:c r="I6029" s="274" t="n">
        <x:v>1.6</x:v>
      </x:c>
      <x:c r="J6029" s="274" t="n">
        <x:v>1300</x:v>
      </x:c>
      <x:c r="K6029" s="274" t="n">
        <x:v>1250</x:v>
      </x:c>
      <x:c r="M6029" s="274" t="s">
        <x:v>10185</x:v>
      </x:c>
      <x:c r="N6029" s="274" t="s">
        <x:v>4258</x:v>
      </x:c>
    </x:row>
    <x:row r="6030" spans="1:14">
      <x:c r="A6030" s="274" t="s">
        <x:v>10186</x:v>
      </x:c>
      <x:c r="B6030" s="274" t="n">
        <x:v>9.1</x:v>
      </x:c>
      <x:c r="C6030" s="274" t="n">
        <x:v>0</x:v>
      </x:c>
      <x:c r="D6030" s="274" t="n">
        <x:v>35</x:v>
      </x:c>
      <x:c r="E6030" s="274" t="n">
        <x:v>32</x:v>
      </x:c>
      <x:c r="F6030" s="274" t="s">
        <x:v>333</x:v>
      </x:c>
      <x:c r="G6030" s="274" t="s">
        <x:v>4663</x:v>
      </x:c>
      <x:c r="I6030" s="274" t="n">
        <x:v>0.8</x:v>
      </x:c>
      <x:c r="J6030" s="274" t="n">
        <x:v>1159</x:v>
      </x:c>
      <x:c r="K6030" s="274" t="n">
        <x:v>1250</x:v>
      </x:c>
      <x:c r="M6030" s="274" t="s">
        <x:v>10187</x:v>
      </x:c>
      <x:c r="N6030" s="274" t="s">
        <x:v>4258</x:v>
      </x:c>
    </x:row>
    <x:row r="6031" spans="1:14">
      <x:c r="A6031" s="274" t="s">
        <x:v>10188</x:v>
      </x:c>
      <x:c r="B6031" s="274" t="n">
        <x:v>16.55</x:v>
      </x:c>
      <x:c r="C6031" s="274" t="n">
        <x:v>0</x:v>
      </x:c>
      <x:c r="D6031" s="274" t="n">
        <x:v>35</x:v>
      </x:c>
      <x:c r="E6031" s="274" t="n">
        <x:v>32</x:v>
      </x:c>
      <x:c r="F6031" s="274" t="s">
        <x:v>333</x:v>
      </x:c>
      <x:c r="G6031" s="274" t="s">
        <x:v>4663</x:v>
      </x:c>
      <x:c r="I6031" s="274" t="n">
        <x:v>1.4</x:v>
      </x:c>
      <x:c r="J6031" s="274" t="n">
        <x:v>1205</x:v>
      </x:c>
      <x:c r="K6031" s="274" t="n">
        <x:v>1250</x:v>
      </x:c>
      <x:c r="M6031" s="274" t="s">
        <x:v>6226</x:v>
      </x:c>
      <x:c r="N6031" s="274" t="s">
        <x:v>4258</x:v>
      </x:c>
    </x:row>
    <x:row r="6032" spans="1:14">
      <x:c r="A6032" s="274" t="s">
        <x:v>10189</x:v>
      </x:c>
      <x:c r="B6032" s="274" t="n">
        <x:v>2.18</x:v>
      </x:c>
      <x:c r="C6032" s="274" t="n">
        <x:v>0</x:v>
      </x:c>
      <x:c r="D6032" s="274" t="n">
        <x:v>42</x:v>
      </x:c>
      <x:c r="E6032" s="274" t="n">
        <x:v>40</x:v>
      </x:c>
      <x:c r="F6032" s="274" t="s">
        <x:v>123</x:v>
      </x:c>
      <x:c r="G6032" s="274" t="s">
        <x:v>136</x:v>
      </x:c>
      <x:c r="H6032" s="274" t="n">
        <x:v>45</x:v>
      </x:c>
      <x:c r="I6032" s="274" t="n">
        <x:v>0.55</x:v>
      </x:c>
      <x:c r="J6032" s="274" t="n">
        <x:v>1465</x:v>
      </x:c>
      <x:c r="K6032" s="274" t="n">
        <x:v>338</x:v>
      </x:c>
      <x:c r="M6032" s="274" t="s">
        <x:v>10190</x:v>
      </x:c>
      <x:c r="N6032" s="274" t="s">
        <x:v>3671</x:v>
      </x:c>
    </x:row>
    <x:row r="6033" spans="1:14">
      <x:c r="A6033" s="274" t="s">
        <x:v>10191</x:v>
      </x:c>
      <x:c r="B6033" s="274" t="n">
        <x:v>5.17</x:v>
      </x:c>
      <x:c r="C6033" s="274" t="n">
        <x:v>0</x:v>
      </x:c>
      <x:c r="D6033" s="274" t="n">
        <x:v>42</x:v>
      </x:c>
      <x:c r="E6033" s="274" t="n">
        <x:v>40</x:v>
      </x:c>
      <x:c r="F6033" s="274" t="s">
        <x:v>123</x:v>
      </x:c>
      <x:c r="G6033" s="274" t="s">
        <x:v>136</x:v>
      </x:c>
      <x:c r="H6033" s="274" t="n">
        <x:v>45</x:v>
      </x:c>
      <x:c r="I6033" s="274" t="n">
        <x:v>0.55</x:v>
      </x:c>
      <x:c r="J6033" s="274" t="n">
        <x:v>1465</x:v>
      </x:c>
      <x:c r="K6033" s="274" t="n">
        <x:v>800</x:v>
      </x:c>
      <x:c r="M6033" s="274" t="s">
        <x:v>10192</x:v>
      </x:c>
      <x:c r="N6033" s="274" t="s">
        <x:v>3671</x:v>
      </x:c>
    </x:row>
    <x:row r="6034" spans="1:14">
      <x:c r="A6034" s="274" t="s">
        <x:v>10193</x:v>
      </x:c>
      <x:c r="B6034" s="274" t="n">
        <x:v>4.71</x:v>
      </x:c>
      <x:c r="C6034" s="274" t="n">
        <x:v>0</x:v>
      </x:c>
      <x:c r="D6034" s="274" t="n">
        <x:v>42</x:v>
      </x:c>
      <x:c r="E6034" s="274" t="n">
        <x:v>40</x:v>
      </x:c>
      <x:c r="F6034" s="274" t="s">
        <x:v>333</x:v>
      </x:c>
      <x:c r="G6034" s="274" t="s">
        <x:v>153</x:v>
      </x:c>
      <x:c r="I6034" s="274" t="n">
        <x:v>0.65</x:v>
      </x:c>
      <x:c r="J6034" s="274" t="n">
        <x:v>1430</x:v>
      </x:c>
      <x:c r="K6034" s="274" t="n">
        <x:v>646</x:v>
      </x:c>
      <x:c r="M6034" s="274" t="s">
        <x:v>10194</x:v>
      </x:c>
      <x:c r="N6034" s="274" t="s">
        <x:v>3671</x:v>
      </x:c>
    </x:row>
    <x:row r="6035" spans="1:14">
      <x:c r="A6035" s="274" t="s">
        <x:v>10195</x:v>
      </x:c>
      <x:c r="B6035" s="274" t="n">
        <x:v>2.68</x:v>
      </x:c>
      <x:c r="C6035" s="274" t="n">
        <x:v>0</x:v>
      </x:c>
      <x:c r="D6035" s="274" t="n">
        <x:v>42</x:v>
      </x:c>
      <x:c r="E6035" s="274" t="n">
        <x:v>40</x:v>
      </x:c>
      <x:c r="F6035" s="274" t="s">
        <x:v>333</x:v>
      </x:c>
      <x:c r="G6035" s="274" t="s">
        <x:v>153</x:v>
      </x:c>
      <x:c r="I6035" s="274" t="n">
        <x:v>0.7</x:v>
      </x:c>
      <x:c r="J6035" s="274" t="n">
        <x:v>1200</x:v>
      </x:c>
      <x:c r="K6035" s="274" t="n">
        <x:v>406</x:v>
      </x:c>
      <x:c r="M6035" s="274" t="s">
        <x:v>6083</x:v>
      </x:c>
      <x:c r="N6035" s="274" t="s">
        <x:v>3671</x:v>
      </x:c>
    </x:row>
    <x:row r="6036" spans="1:14">
      <x:c r="A6036" s="274" t="s">
        <x:v>10196</x:v>
      </x:c>
      <x:c r="B6036" s="274" t="n">
        <x:v>2.52</x:v>
      </x:c>
      <x:c r="C6036" s="274" t="n">
        <x:v>0</x:v>
      </x:c>
      <x:c r="D6036" s="274" t="n">
        <x:v>42</x:v>
      </x:c>
      <x:c r="E6036" s="274" t="n">
        <x:v>40</x:v>
      </x:c>
      <x:c r="F6036" s="274" t="s">
        <x:v>333</x:v>
      </x:c>
      <x:c r="G6036" s="274" t="s">
        <x:v>153</x:v>
      </x:c>
      <x:c r="I6036" s="274" t="n">
        <x:v>0.7</x:v>
      </x:c>
      <x:c r="J6036" s="274" t="n">
        <x:v>1200</x:v>
      </x:c>
      <x:c r="K6036" s="274" t="n">
        <x:v>382</x:v>
      </x:c>
      <x:c r="M6036" s="274" t="s">
        <x:v>5735</x:v>
      </x:c>
      <x:c r="N6036" s="274" t="s">
        <x:v>3671</x:v>
      </x:c>
    </x:row>
    <x:row r="6037" spans="1:14">
      <x:c r="A6037" s="274" t="s">
        <x:v>10197</x:v>
      </x:c>
      <x:c r="B6037" s="274" t="n">
        <x:v>2.94</x:v>
      </x:c>
      <x:c r="C6037" s="274" t="n">
        <x:v>0</x:v>
      </x:c>
      <x:c r="D6037" s="274" t="n">
        <x:v>42</x:v>
      </x:c>
      <x:c r="E6037" s="274" t="n">
        <x:v>40</x:v>
      </x:c>
      <x:c r="F6037" s="274" t="s">
        <x:v>333</x:v>
      </x:c>
      <x:c r="G6037" s="274" t="s">
        <x:v>153</x:v>
      </x:c>
      <x:c r="I6037" s="274" t="n">
        <x:v>0.7</x:v>
      </x:c>
      <x:c r="J6037" s="274" t="n">
        <x:v>1200</x:v>
      </x:c>
      <x:c r="K6037" s="274" t="n">
        <x:v>446</x:v>
      </x:c>
      <x:c r="M6037" s="274" t="s">
        <x:v>6081</x:v>
      </x:c>
      <x:c r="N6037" s="274" t="s">
        <x:v>3671</x:v>
      </x:c>
    </x:row>
    <x:row r="6038" spans="1:14">
      <x:c r="A6038" s="274" t="s">
        <x:v>10198</x:v>
      </x:c>
      <x:c r="B6038" s="274" t="n">
        <x:v>2.87</x:v>
      </x:c>
      <x:c r="C6038" s="274" t="n">
        <x:v>0</x:v>
      </x:c>
      <x:c r="D6038" s="274" t="n">
        <x:v>42</x:v>
      </x:c>
      <x:c r="E6038" s="274" t="n">
        <x:v>40</x:v>
      </x:c>
      <x:c r="F6038" s="274" t="s">
        <x:v>333</x:v>
      </x:c>
      <x:c r="G6038" s="274" t="s">
        <x:v>153</x:v>
      </x:c>
      <x:c r="I6038" s="274" t="n">
        <x:v>0.7</x:v>
      </x:c>
      <x:c r="J6038" s="274" t="n">
        <x:v>1200</x:v>
      </x:c>
      <x:c r="K6038" s="274" t="n">
        <x:v>436</x:v>
      </x:c>
      <x:c r="M6038" s="274" t="s">
        <x:v>10199</x:v>
      </x:c>
      <x:c r="N6038" s="274" t="s">
        <x:v>3671</x:v>
      </x:c>
    </x:row>
    <x:row r="6039" spans="1:14">
      <x:c r="A6039" s="274" t="s">
        <x:v>10200</x:v>
      </x:c>
      <x:c r="B6039" s="274" t="n">
        <x:v>2.04</x:v>
      </x:c>
      <x:c r="C6039" s="274" t="n">
        <x:v>0</x:v>
      </x:c>
      <x:c r="D6039" s="274" t="n">
        <x:v>42</x:v>
      </x:c>
      <x:c r="E6039" s="274" t="n">
        <x:v>40</x:v>
      </x:c>
      <x:c r="F6039" s="274" t="s">
        <x:v>333</x:v>
      </x:c>
      <x:c r="G6039" s="274" t="s">
        <x:v>209</x:v>
      </x:c>
      <x:c r="I6039" s="274" t="n">
        <x:v>0.75</x:v>
      </x:c>
      <x:c r="J6039" s="274" t="n">
        <x:v>910</x:v>
      </x:c>
      <x:c r="K6039" s="274" t="n">
        <x:v>380</x:v>
      </x:c>
      <x:c r="M6039" s="274" t="s">
        <x:v>10201</x:v>
      </x:c>
      <x:c r="N6039" s="274" t="s">
        <x:v>3671</x:v>
      </x:c>
    </x:row>
    <x:row r="6040" spans="1:14">
      <x:c r="A6040" s="274" t="s">
        <x:v>10202</x:v>
      </x:c>
      <x:c r="B6040" s="274" t="n">
        <x:v>2.06</x:v>
      </x:c>
      <x:c r="C6040" s="274" t="n">
        <x:v>0</x:v>
      </x:c>
      <x:c r="D6040" s="274" t="n">
        <x:v>0</x:v>
      </x:c>
      <x:c r="F6040" s="274" t="s">
        <x:v>333</x:v>
      </x:c>
      <x:c r="G6040" s="274" t="s">
        <x:v>124</x:v>
      </x:c>
      <x:c r="I6040" s="274" t="n">
        <x:v>0.75</x:v>
      </x:c>
      <x:c r="J6040" s="274" t="n">
        <x:v>1000</x:v>
      </x:c>
      <x:c r="K6040" s="274" t="n">
        <x:v>350</x:v>
      </x:c>
      <x:c r="M6040" s="274" t="s">
        <x:v>6054</x:v>
      </x:c>
      <x:c r="N6040" s="274" t="s">
        <x:v>3671</x:v>
      </x:c>
    </x:row>
    <x:row r="6041" spans="1:14">
      <x:c r="A6041" s="274" t="s">
        <x:v>10203</x:v>
      </x:c>
      <x:c r="B6041" s="274" t="n">
        <x:v>2.25</x:v>
      </x:c>
      <x:c r="C6041" s="274" t="n">
        <x:v>0</x:v>
      </x:c>
      <x:c r="D6041" s="274" t="n">
        <x:v>42</x:v>
      </x:c>
      <x:c r="E6041" s="274" t="n">
        <x:v>40</x:v>
      </x:c>
      <x:c r="F6041" s="274" t="s">
        <x:v>133</x:v>
      </x:c>
      <x:c r="G6041" s="274" t="s">
        <x:v>136</x:v>
      </x:c>
      <x:c r="H6041" s="274" t="n">
        <x:v>45</x:v>
      </x:c>
      <x:c r="I6041" s="274" t="n">
        <x:v>0.8</x:v>
      </x:c>
      <x:c r="J6041" s="274" t="n">
        <x:v>1010</x:v>
      </x:c>
      <x:c r="K6041" s="274" t="n">
        <x:v>349</x:v>
      </x:c>
      <x:c r="M6041" s="274" t="s">
        <x:v>10204</x:v>
      </x:c>
      <x:c r="N6041" s="274" t="s">
        <x:v>3671</x:v>
      </x:c>
    </x:row>
    <x:row r="6042" spans="1:14">
      <x:c r="A6042" s="274" t="s">
        <x:v>10205</x:v>
      </x:c>
      <x:c r="B6042" s="274" t="n">
        <x:v>2.93</x:v>
      </x:c>
      <x:c r="C6042" s="274" t="n">
        <x:v>0</x:v>
      </x:c>
      <x:c r="D6042" s="274" t="n">
        <x:v>42</x:v>
      </x:c>
      <x:c r="E6042" s="274" t="n">
        <x:v>40</x:v>
      </x:c>
      <x:c r="F6042" s="274" t="s">
        <x:v>133</x:v>
      </x:c>
      <x:c r="G6042" s="274" t="s">
        <x:v>144</x:v>
      </x:c>
      <x:c r="H6042" s="274" t="n">
        <x:v>45</x:v>
      </x:c>
      <x:c r="I6042" s="274" t="n">
        <x:v>0.8</x:v>
      </x:c>
      <x:c r="J6042" s="274" t="n">
        <x:v>1150</x:v>
      </x:c>
      <x:c r="K6042" s="274" t="n">
        <x:v>400</x:v>
      </x:c>
      <x:c r="M6042" s="274" t="s">
        <x:v>10206</x:v>
      </x:c>
      <x:c r="N6042" s="274" t="s">
        <x:v>3671</x:v>
      </x:c>
    </x:row>
    <x:row r="6043" spans="1:14">
      <x:c r="A6043" s="274" t="s">
        <x:v>10207</x:v>
      </x:c>
      <x:c r="B6043" s="274" t="n">
        <x:v>3.24</x:v>
      </x:c>
      <x:c r="C6043" s="274" t="n">
        <x:v>0</x:v>
      </x:c>
      <x:c r="D6043" s="274" t="n">
        <x:v>42</x:v>
      </x:c>
      <x:c r="E6043" s="274" t="n">
        <x:v>40</x:v>
      </x:c>
      <x:c r="F6043" s="274" t="s">
        <x:v>133</x:v>
      </x:c>
      <x:c r="G6043" s="274" t="s">
        <x:v>144</x:v>
      </x:c>
      <x:c r="H6043" s="274" t="n">
        <x:v>45</x:v>
      </x:c>
      <x:c r="I6043" s="274" t="n">
        <x:v>0.8</x:v>
      </x:c>
      <x:c r="J6043" s="274" t="n">
        <x:v>1150</x:v>
      </x:c>
      <x:c r="K6043" s="274" t="n">
        <x:v>442</x:v>
      </x:c>
      <x:c r="M6043" s="274" t="s">
        <x:v>10208</x:v>
      </x:c>
      <x:c r="N6043" s="274" t="s">
        <x:v>3671</x:v>
      </x:c>
    </x:row>
    <x:row r="6044" spans="1:14">
      <x:c r="A6044" s="274" t="s">
        <x:v>10209</x:v>
      </x:c>
      <x:c r="B6044" s="274" t="n">
        <x:v>3.18</x:v>
      </x:c>
      <x:c r="C6044" s="274" t="n">
        <x:v>0</x:v>
      </x:c>
      <x:c r="D6044" s="274" t="n">
        <x:v>42</x:v>
      </x:c>
      <x:c r="E6044" s="274" t="n">
        <x:v>40</x:v>
      </x:c>
      <x:c r="F6044" s="274" t="s">
        <x:v>333</x:v>
      </x:c>
      <x:c r="G6044" s="274" t="s">
        <x:v>124</x:v>
      </x:c>
      <x:c r="I6044" s="274" t="n">
        <x:v>0.8</x:v>
      </x:c>
      <x:c r="J6044" s="274" t="n">
        <x:v>1275</x:v>
      </x:c>
      <x:c r="K6044" s="274" t="n">
        <x:v>397</x:v>
      </x:c>
      <x:c r="M6044" s="274" t="s">
        <x:v>10210</x:v>
      </x:c>
      <x:c r="N6044" s="274" t="s">
        <x:v>3671</x:v>
      </x:c>
    </x:row>
    <x:row r="6045" spans="1:14">
      <x:c r="A6045" s="274" t="s">
        <x:v>10211</x:v>
      </x:c>
      <x:c r="B6045" s="274" t="n">
        <x:v>4.81</x:v>
      </x:c>
      <x:c r="C6045" s="274" t="n">
        <x:v>0</x:v>
      </x:c>
      <x:c r="D6045" s="274" t="n">
        <x:v>42</x:v>
      </x:c>
      <x:c r="E6045" s="274" t="n">
        <x:v>40</x:v>
      </x:c>
      <x:c r="F6045" s="274" t="s">
        <x:v>133</x:v>
      </x:c>
      <x:c r="G6045" s="274" t="s">
        <x:v>136</x:v>
      </x:c>
      <x:c r="H6045" s="274" t="n">
        <x:v>45</x:v>
      </x:c>
      <x:c r="I6045" s="274" t="n">
        <x:v>0.9</x:v>
      </x:c>
      <x:c r="J6045" s="274" t="n">
        <x:v>1210</x:v>
      </x:c>
      <x:c r="K6045" s="274" t="n">
        <x:v>556</x:v>
      </x:c>
      <x:c r="M6045" s="274" t="s">
        <x:v>10212</x:v>
      </x:c>
      <x:c r="N6045" s="274" t="s">
        <x:v>3671</x:v>
      </x:c>
    </x:row>
    <x:row r="6046" spans="1:14">
      <x:c r="A6046" s="274" t="s">
        <x:v>10213</x:v>
      </x:c>
      <x:c r="B6046" s="274" t="n">
        <x:v>6.96</x:v>
      </x:c>
      <x:c r="C6046" s="274" t="n">
        <x:v>0</x:v>
      </x:c>
      <x:c r="D6046" s="274" t="n">
        <x:v>39</x:v>
      </x:c>
      <x:c r="E6046" s="274" t="n">
        <x:v>37</x:v>
      </x:c>
      <x:c r="F6046" s="274" t="s">
        <x:v>333</x:v>
      </x:c>
      <x:c r="G6046" s="274" t="s">
        <x:v>124</x:v>
      </x:c>
      <x:c r="I6046" s="274" t="n">
        <x:v>1</x:v>
      </x:c>
      <x:c r="J6046" s="274" t="n">
        <x:v>975</x:v>
      </x:c>
      <x:c r="K6046" s="274" t="n">
        <x:v>910</x:v>
      </x:c>
      <x:c r="M6046" s="274" t="s">
        <x:v>6278</x:v>
      </x:c>
      <x:c r="N6046" s="274" t="s">
        <x:v>3671</x:v>
      </x:c>
    </x:row>
    <x:row r="6047" spans="1:14">
      <x:c r="A6047" s="274" t="s">
        <x:v>10214</x:v>
      </x:c>
      <x:c r="B6047" s="274" t="n">
        <x:v>5.23</x:v>
      </x:c>
      <x:c r="C6047" s="274" t="n">
        <x:v>0</x:v>
      </x:c>
      <x:c r="D6047" s="274" t="n">
        <x:v>42</x:v>
      </x:c>
      <x:c r="E6047" s="274" t="n">
        <x:v>40</x:v>
      </x:c>
      <x:c r="F6047" s="274" t="s">
        <x:v>333</x:v>
      </x:c>
      <x:c r="G6047" s="274" t="s">
        <x:v>153</x:v>
      </x:c>
      <x:c r="I6047" s="274" t="n">
        <x:v>1</x:v>
      </x:c>
      <x:c r="J6047" s="274" t="n">
        <x:v>985</x:v>
      </x:c>
      <x:c r="K6047" s="274" t="n">
        <x:v>676</x:v>
      </x:c>
      <x:c r="M6047" s="274" t="s">
        <x:v>5814</x:v>
      </x:c>
      <x:c r="N6047" s="274" t="s">
        <x:v>3671</x:v>
      </x:c>
    </x:row>
    <x:row r="6048" spans="1:14">
      <x:c r="A6048" s="274" t="s">
        <x:v>10215</x:v>
      </x:c>
      <x:c r="B6048" s="274" t="n">
        <x:v>3.72</x:v>
      </x:c>
      <x:c r="C6048" s="274" t="n">
        <x:v>0</x:v>
      </x:c>
      <x:c r="D6048" s="274" t="n">
        <x:v>42</x:v>
      </x:c>
      <x:c r="E6048" s="274" t="n">
        <x:v>40</x:v>
      </x:c>
      <x:c r="F6048" s="274" t="s">
        <x:v>133</x:v>
      </x:c>
      <x:c r="G6048" s="274" t="s">
        <x:v>136</x:v>
      </x:c>
      <x:c r="H6048" s="274" t="n">
        <x:v>45</x:v>
      </x:c>
      <x:c r="I6048" s="274" t="n">
        <x:v>1</x:v>
      </x:c>
      <x:c r="J6048" s="274" t="n">
        <x:v>1040</x:v>
      </x:c>
      <x:c r="K6048" s="274" t="n">
        <x:v>451</x:v>
      </x:c>
      <x:c r="M6048" s="274" t="s">
        <x:v>10216</x:v>
      </x:c>
      <x:c r="N6048" s="274" t="s">
        <x:v>3671</x:v>
      </x:c>
    </x:row>
    <x:row r="6049" spans="1:14">
      <x:c r="A6049" s="274" t="s">
        <x:v>10217</x:v>
      </x:c>
      <x:c r="B6049" s="274" t="n">
        <x:v>11.61</x:v>
      </x:c>
      <x:c r="C6049" s="274" t="n">
        <x:v>0</x:v>
      </x:c>
      <x:c r="D6049" s="274" t="n">
        <x:v>37</x:v>
      </x:c>
      <x:c r="E6049" s="274" t="n">
        <x:v>35</x:v>
      </x:c>
      <x:c r="F6049" s="274" t="s">
        <x:v>123</x:v>
      </x:c>
      <x:c r="G6049" s="274" t="s">
        <x:v>881</x:v>
      </x:c>
      <x:c r="H6049" s="274" t="n">
        <x:v>45</x:v>
      </x:c>
      <x:c r="I6049" s="274" t="n">
        <x:v>1</x:v>
      </x:c>
      <x:c r="J6049" s="274" t="n">
        <x:v>1170</x:v>
      </x:c>
      <x:c r="K6049" s="274" t="n">
        <x:v>1250</x:v>
      </x:c>
      <x:c r="M6049" s="274" t="s">
        <x:v>6132</x:v>
      </x:c>
      <x:c r="N6049" s="274" t="s">
        <x:v>3671</x:v>
      </x:c>
    </x:row>
    <x:row r="6050" spans="1:14">
      <x:c r="A6050" s="274" t="s">
        <x:v>10218</x:v>
      </x:c>
      <x:c r="B6050" s="274" t="n">
        <x:v>3.72</x:v>
      </x:c>
      <x:c r="C6050" s="274" t="n">
        <x:v>0</x:v>
      </x:c>
      <x:c r="D6050" s="274" t="n">
        <x:v>42</x:v>
      </x:c>
      <x:c r="E6050" s="274" t="n">
        <x:v>40</x:v>
      </x:c>
      <x:c r="F6050" s="274" t="s">
        <x:v>123</x:v>
      </x:c>
      <x:c r="G6050" s="274" t="s">
        <x:v>881</x:v>
      </x:c>
      <x:c r="H6050" s="274" t="n">
        <x:v>45</x:v>
      </x:c>
      <x:c r="I6050" s="274" t="n">
        <x:v>1</x:v>
      </x:c>
      <x:c r="J6050" s="274" t="n">
        <x:v>1170</x:v>
      </x:c>
      <x:c r="K6050" s="274" t="n">
        <x:v>400</x:v>
      </x:c>
      <x:c r="M6050" s="274" t="s">
        <x:v>10219</x:v>
      </x:c>
      <x:c r="N6050" s="274" t="s">
        <x:v>3671</x:v>
      </x:c>
    </x:row>
    <x:row r="6051" spans="1:14">
      <x:c r="A6051" s="274" t="s">
        <x:v>10220</x:v>
      </x:c>
      <x:c r="B6051" s="274" t="n">
        <x:v>3.82</x:v>
      </x:c>
      <x:c r="C6051" s="274" t="n">
        <x:v>0</x:v>
      </x:c>
      <x:c r="D6051" s="274" t="n">
        <x:v>42</x:v>
      </x:c>
      <x:c r="E6051" s="274" t="n">
        <x:v>40</x:v>
      </x:c>
      <x:c r="F6051" s="274" t="s">
        <x:v>333</x:v>
      </x:c>
      <x:c r="G6051" s="274" t="s">
        <x:v>124</x:v>
      </x:c>
      <x:c r="I6051" s="274" t="n">
        <x:v>1</x:v>
      </x:c>
      <x:c r="J6051" s="274" t="n">
        <x:v>1192</x:v>
      </x:c>
      <x:c r="K6051" s="274" t="n">
        <x:v>408</x:v>
      </x:c>
      <x:c r="M6051" s="274" t="s">
        <x:v>10221</x:v>
      </x:c>
      <x:c r="N6051" s="274" t="s">
        <x:v>3671</x:v>
      </x:c>
    </x:row>
    <x:row r="6052" spans="1:14">
      <x:c r="A6052" s="274" t="s">
        <x:v>10222</x:v>
      </x:c>
      <x:c r="B6052" s="274" t="n">
        <x:v>16.88</x:v>
      </x:c>
      <x:c r="C6052" s="274" t="n">
        <x:v>0</x:v>
      </x:c>
      <x:c r="D6052" s="274" t="n">
        <x:v>0</x:v>
      </x:c>
      <x:c r="F6052" s="274" t="s">
        <x:v>123</x:v>
      </x:c>
      <x:c r="G6052" s="274" t="s">
        <x:v>4787</x:v>
      </x:c>
      <x:c r="H6052" s="274" t="s">
        <x:v>4471</x:v>
      </x:c>
      <x:c r="I6052" s="274" t="n">
        <x:v>1.4</x:v>
      </x:c>
      <x:c r="J6052" s="274" t="n">
        <x:v>1280</x:v>
      </x:c>
      <x:c r="K6052" s="274" t="n">
        <x:v>1200</x:v>
      </x:c>
      <x:c r="M6052" s="274" t="s">
        <x:v>6307</x:v>
      </x:c>
      <x:c r="N6052" s="274" t="s">
        <x:v>4258</x:v>
      </x:c>
    </x:row>
    <x:row r="6053" spans="1:14">
      <x:c r="A6053" s="274" t="s">
        <x:v>10223</x:v>
      </x:c>
      <x:c r="B6053" s="274" t="n">
        <x:v>11.07</x:v>
      </x:c>
      <x:c r="C6053" s="274" t="n">
        <x:v>0</x:v>
      </x:c>
      <x:c r="D6053" s="274" t="n">
        <x:v>45</x:v>
      </x:c>
      <x:c r="E6053" s="274" t="n">
        <x:v>40</x:v>
      </x:c>
      <x:c r="F6053" s="274" t="s">
        <x:v>184</x:v>
      </x:c>
      <x:c r="G6053" s="274" t="s">
        <x:v>3413</x:v>
      </x:c>
      <x:c r="H6053" s="274" t="n">
        <x:v>45</x:v>
      </x:c>
      <x:c r="I6053" s="274" t="n">
        <x:v>1.4</x:v>
      </x:c>
      <x:c r="J6053" s="274" t="n">
        <x:v>1110</x:v>
      </x:c>
      <x:c r="K6053" s="274" t="n">
        <x:v>900</x:v>
      </x:c>
      <x:c r="M6053" s="274" t="s">
        <x:v>5719</x:v>
      </x:c>
      <x:c r="N6053" s="274" t="s">
        <x:v>3671</x:v>
      </x:c>
    </x:row>
    <x:row r="6054" spans="1:14">
      <x:c r="A6054" s="274" t="s">
        <x:v>10224</x:v>
      </x:c>
      <x:c r="B6054" s="274" t="n">
        <x:v>9.22</x:v>
      </x:c>
      <x:c r="C6054" s="274" t="n">
        <x:v>0</x:v>
      </x:c>
      <x:c r="D6054" s="274" t="n">
        <x:v>45</x:v>
      </x:c>
      <x:c r="E6054" s="274" t="n">
        <x:v>40</x:v>
      </x:c>
      <x:c r="F6054" s="274" t="s">
        <x:v>184</x:v>
      </x:c>
      <x:c r="G6054" s="274" t="s">
        <x:v>3413</x:v>
      </x:c>
      <x:c r="H6054" s="274" t="n">
        <x:v>45</x:v>
      </x:c>
      <x:c r="I6054" s="274" t="n">
        <x:v>1.4</x:v>
      </x:c>
      <x:c r="J6054" s="274" t="n">
        <x:v>1110</x:v>
      </x:c>
      <x:c r="K6054" s="274" t="n">
        <x:v>750</x:v>
      </x:c>
      <x:c r="M6054" s="274" t="s">
        <x:v>6156</x:v>
      </x:c>
      <x:c r="N6054" s="274" t="s">
        <x:v>3671</x:v>
      </x:c>
    </x:row>
    <x:row r="6055" spans="1:14">
      <x:c r="A6055" s="274" t="s">
        <x:v>10225</x:v>
      </x:c>
      <x:c r="B6055" s="274" t="n">
        <x:v>6.75</x:v>
      </x:c>
      <x:c r="C6055" s="274" t="n">
        <x:v>0</x:v>
      </x:c>
      <x:c r="D6055" s="274" t="n">
        <x:v>45</x:v>
      </x:c>
      <x:c r="E6055" s="274" t="n">
        <x:v>40</x:v>
      </x:c>
      <x:c r="F6055" s="274" t="s">
        <x:v>184</x:v>
      </x:c>
      <x:c r="G6055" s="274" t="s">
        <x:v>3413</x:v>
      </x:c>
      <x:c r="H6055" s="274" t="n">
        <x:v>45</x:v>
      </x:c>
      <x:c r="I6055" s="274" t="n">
        <x:v>1.4</x:v>
      </x:c>
      <x:c r="J6055" s="274" t="n">
        <x:v>1110</x:v>
      </x:c>
      <x:c r="K6055" s="274" t="n">
        <x:v>549</x:v>
      </x:c>
      <x:c r="M6055" s="274" t="s">
        <x:v>6320</x:v>
      </x:c>
      <x:c r="N6055" s="274" t="s">
        <x:v>3671</x:v>
      </x:c>
    </x:row>
    <x:row r="6056" spans="1:14">
      <x:c r="A6056" s="274" t="s">
        <x:v>10226</x:v>
      </x:c>
      <x:c r="B6056" s="274" t="n">
        <x:v>11.52</x:v>
      </x:c>
      <x:c r="C6056" s="274" t="n">
        <x:v>0</x:v>
      </x:c>
      <x:c r="D6056" s="274" t="n">
        <x:v>32</x:v>
      </x:c>
      <x:c r="E6056" s="274" t="n">
        <x:v>27</x:v>
      </x:c>
      <x:c r="F6056" s="274" t="s">
        <x:v>123</x:v>
      </x:c>
      <x:c r="G6056" s="274" t="s">
        <x:v>153</x:v>
      </x:c>
      <x:c r="I6056" s="274" t="n">
        <x:v>0.8</x:v>
      </x:c>
      <x:c r="J6056" s="274" t="n">
        <x:v>1150</x:v>
      </x:c>
      <x:c r="K6056" s="274" t="n">
        <x:v>1595</x:v>
      </x:c>
      <x:c r="M6056" s="274" t="s">
        <x:v>6328</x:v>
      </x:c>
      <x:c r="N6056" s="274" t="s">
        <x:v>5222</x:v>
      </x:c>
    </x:row>
    <x:row r="6057" spans="1:14">
      <x:c r="A6057" s="274" t="s">
        <x:v>10227</x:v>
      </x:c>
      <x:c r="B6057" s="274" t="n">
        <x:v>9.9</x:v>
      </x:c>
      <x:c r="C6057" s="274" t="n">
        <x:v>0</x:v>
      </x:c>
      <x:c r="D6057" s="274" t="n">
        <x:v>45</x:v>
      </x:c>
      <x:c r="E6057" s="274" t="n">
        <x:v>40</x:v>
      </x:c>
      <x:c r="F6057" s="274" t="s">
        <x:v>184</x:v>
      </x:c>
      <x:c r="G6057" s="274" t="s">
        <x:v>881</x:v>
      </x:c>
      <x:c r="H6057" s="274" t="n">
        <x:v>45</x:v>
      </x:c>
      <x:c r="I6057" s="274" t="n">
        <x:v>1.2</x:v>
      </x:c>
      <x:c r="J6057" s="274" t="n">
        <x:v>1157</x:v>
      </x:c>
      <x:c r="K6057" s="274" t="n">
        <x:v>900</x:v>
      </x:c>
      <x:c r="M6057" s="274" t="s">
        <x:v>5768</x:v>
      </x:c>
      <x:c r="N6057" s="274" t="s">
        <x:v>3671</x:v>
      </x:c>
    </x:row>
    <x:row r="6058" spans="1:14">
      <x:c r="A6058" s="274" t="s">
        <x:v>10228</x:v>
      </x:c>
      <x:c r="B6058" s="274" t="n">
        <x:v>5.05</x:v>
      </x:c>
      <x:c r="C6058" s="274" t="n">
        <x:v>0</x:v>
      </x:c>
      <x:c r="D6058" s="274" t="n">
        <x:v>45</x:v>
      </x:c>
      <x:c r="E6058" s="274" t="n">
        <x:v>40</x:v>
      </x:c>
      <x:c r="F6058" s="274" t="s">
        <x:v>184</x:v>
      </x:c>
      <x:c r="G6058" s="274" t="s">
        <x:v>881</x:v>
      </x:c>
      <x:c r="H6058" s="274" t="n">
        <x:v>45</x:v>
      </x:c>
      <x:c r="I6058" s="274" t="n">
        <x:v>1.2</x:v>
      </x:c>
      <x:c r="J6058" s="274" t="n">
        <x:v>1157</x:v>
      </x:c>
      <x:c r="K6058" s="274" t="n">
        <x:v>459</x:v>
      </x:c>
      <x:c r="M6058" s="274" t="s">
        <x:v>6292</x:v>
      </x:c>
      <x:c r="N6058" s="274" t="s">
        <x:v>3671</x:v>
      </x:c>
    </x:row>
    <x:row r="6059" spans="1:14">
      <x:c r="A6059" s="274" t="s">
        <x:v>10229</x:v>
      </x:c>
      <x:c r="B6059" s="274" t="n">
        <x:v>3.09</x:v>
      </x:c>
      <x:c r="C6059" s="274" t="n">
        <x:v>0</x:v>
      </x:c>
      <x:c r="D6059" s="274" t="n">
        <x:v>45</x:v>
      </x:c>
      <x:c r="E6059" s="274" t="n">
        <x:v>40</x:v>
      </x:c>
      <x:c r="F6059" s="274" t="s">
        <x:v>333</x:v>
      </x:c>
      <x:c r="G6059" s="274" t="s">
        <x:v>2160</x:v>
      </x:c>
      <x:c r="I6059" s="274" t="n">
        <x:v>1</x:v>
      </x:c>
      <x:c r="J6059" s="274" t="n">
        <x:v>985</x:v>
      </x:c>
      <x:c r="K6059" s="274" t="n">
        <x:v>400</x:v>
      </x:c>
      <x:c r="M6059" s="274" t="s">
        <x:v>5770</x:v>
      </x:c>
      <x:c r="N6059" s="274" t="s">
        <x:v>3671</x:v>
      </x:c>
    </x:row>
    <x:row r="6060" spans="1:14">
      <x:c r="A6060" s="274" t="s">
        <x:v>10230</x:v>
      </x:c>
      <x:c r="B6060" s="274" t="n">
        <x:v>4.64</x:v>
      </x:c>
      <x:c r="C6060" s="274" t="n">
        <x:v>0</x:v>
      </x:c>
      <x:c r="D6060" s="274" t="n">
        <x:v>45</x:v>
      </x:c>
      <x:c r="E6060" s="274" t="n">
        <x:v>40</x:v>
      </x:c>
      <x:c r="F6060" s="274" t="s">
        <x:v>333</x:v>
      </x:c>
      <x:c r="G6060" s="274" t="s">
        <x:v>2160</x:v>
      </x:c>
      <x:c r="I6060" s="274" t="n">
        <x:v>1</x:v>
      </x:c>
      <x:c r="J6060" s="274" t="n">
        <x:v>985</x:v>
      </x:c>
      <x:c r="K6060" s="274" t="n">
        <x:v>600</x:v>
      </x:c>
      <x:c r="M6060" s="274" t="s">
        <x:v>5717</x:v>
      </x:c>
      <x:c r="N6060" s="274" t="s">
        <x:v>3671</x:v>
      </x:c>
    </x:row>
    <x:row r="6061" spans="1:14">
      <x:c r="A6061" s="274" t="s">
        <x:v>10231</x:v>
      </x:c>
      <x:c r="B6061" s="274" t="n">
        <x:v>5.91</x:v>
      </x:c>
      <x:c r="C6061" s="274" t="n">
        <x:v>0</x:v>
      </x:c>
      <x:c r="D6061" s="274" t="n">
        <x:v>45</x:v>
      </x:c>
      <x:c r="E6061" s="274" t="n">
        <x:v>40</x:v>
      </x:c>
      <x:c r="F6061" s="274" t="s">
        <x:v>333</x:v>
      </x:c>
      <x:c r="G6061" s="274" t="s">
        <x:v>2160</x:v>
      </x:c>
      <x:c r="I6061" s="274" t="n">
        <x:v>1</x:v>
      </x:c>
      <x:c r="J6061" s="274" t="n">
        <x:v>985</x:v>
      </x:c>
      <x:c r="K6061" s="274" t="n">
        <x:v>765</x:v>
      </x:c>
      <x:c r="M6061" s="274" t="s">
        <x:v>6290</x:v>
      </x:c>
      <x:c r="N6061" s="274" t="s">
        <x:v>3671</x:v>
      </x:c>
    </x:row>
    <x:row r="6062" spans="1:14">
      <x:c r="A6062" s="274" t="s">
        <x:v>10232</x:v>
      </x:c>
      <x:c r="B6062" s="274" t="n">
        <x:v>3.64</x:v>
      </x:c>
      <x:c r="C6062" s="274" t="n">
        <x:v>0</x:v>
      </x:c>
      <x:c r="D6062" s="274" t="n">
        <x:v>0</x:v>
      </x:c>
      <x:c r="F6062" s="274" t="s">
        <x:v>133</x:v>
      </x:c>
      <x:c r="G6062" s="274" t="s">
        <x:v>136</x:v>
      </x:c>
      <x:c r="H6062" s="274" t="n">
        <x:v>45</x:v>
      </x:c>
      <x:c r="I6062" s="274" t="n">
        <x:v>1</x:v>
      </x:c>
      <x:c r="J6062" s="274" t="n">
        <x:v>1195</x:v>
      </x:c>
      <x:c r="K6062" s="274" t="n">
        <x:v>384</x:v>
      </x:c>
      <x:c r="M6062" s="274" t="s">
        <x:v>5826</x:v>
      </x:c>
      <x:c r="N6062" s="274" t="s">
        <x:v>3671</x:v>
      </x:c>
    </x:row>
    <x:row r="6063" spans="1:14">
      <x:c r="A6063" s="274" t="s">
        <x:v>10233</x:v>
      </x:c>
      <x:c r="B6063" s="274" t="n">
        <x:v>5.28</x:v>
      </x:c>
      <x:c r="C6063" s="274" t="n">
        <x:v>0</x:v>
      </x:c>
      <x:c r="D6063" s="274" t="n">
        <x:v>0</x:v>
      </x:c>
      <x:c r="F6063" s="274" t="s">
        <x:v>133</x:v>
      </x:c>
      <x:c r="G6063" s="274" t="s">
        <x:v>136</x:v>
      </x:c>
      <x:c r="H6063" s="274" t="n">
        <x:v>45</x:v>
      </x:c>
      <x:c r="I6063" s="274" t="n">
        <x:v>1</x:v>
      </x:c>
      <x:c r="J6063" s="274" t="n">
        <x:v>1195</x:v>
      </x:c>
      <x:c r="K6063" s="274" t="n">
        <x:v>556</x:v>
      </x:c>
      <x:c r="M6063" s="274" t="s">
        <x:v>5824</x:v>
      </x:c>
      <x:c r="N6063" s="274" t="s">
        <x:v>3671</x:v>
      </x:c>
    </x:row>
    <x:row r="6064" spans="1:14">
      <x:c r="A6064" s="274" t="s">
        <x:v>10234</x:v>
      </x:c>
      <x:c r="B6064" s="274" t="n">
        <x:v>6.78</x:v>
      </x:c>
      <x:c r="C6064" s="274" t="n">
        <x:v>0</x:v>
      </x:c>
      <x:c r="D6064" s="274" t="n">
        <x:v>0</x:v>
      </x:c>
      <x:c r="F6064" s="274" t="s">
        <x:v>333</x:v>
      </x:c>
      <x:c r="G6064" s="274" t="s">
        <x:v>209</x:v>
      </x:c>
      <x:c r="I6064" s="274" t="n">
        <x:v>1</x:v>
      </x:c>
      <x:c r="J6064" s="274" t="n">
        <x:v>1200</x:v>
      </x:c>
      <x:c r="K6064" s="274" t="n">
        <x:v>720</x:v>
      </x:c>
      <x:c r="M6064" s="274" t="s">
        <x:v>5828</x:v>
      </x:c>
      <x:c r="N6064" s="274" t="s">
        <x:v>3671</x:v>
      </x:c>
    </x:row>
    <x:row r="6065" spans="1:14">
      <x:c r="A6065" s="274" t="s">
        <x:v>10235</x:v>
      </x:c>
      <x:c r="B6065" s="274" t="n">
        <x:v>3.58</x:v>
      </x:c>
      <x:c r="C6065" s="274" t="n">
        <x:v>0</x:v>
      </x:c>
      <x:c r="D6065" s="274" t="n">
        <x:v>0</x:v>
      </x:c>
      <x:c r="F6065" s="274" t="s">
        <x:v>333</x:v>
      </x:c>
      <x:c r="G6065" s="274" t="s">
        <x:v>209</x:v>
      </x:c>
      <x:c r="I6065" s="274" t="n">
        <x:v>1</x:v>
      </x:c>
      <x:c r="J6065" s="274" t="n">
        <x:v>1200</x:v>
      </x:c>
      <x:c r="K6065" s="274" t="n">
        <x:v>380</x:v>
      </x:c>
      <x:c r="M6065" s="274" t="s">
        <x:v>5832</x:v>
      </x:c>
      <x:c r="N6065" s="274" t="s">
        <x:v>3671</x:v>
      </x:c>
    </x:row>
    <x:row r="6066" spans="1:14">
      <x:c r="A6066" s="274" t="s">
        <x:v>10236</x:v>
      </x:c>
      <x:c r="B6066" s="274" t="n">
        <x:v>3.43</x:v>
      </x:c>
      <x:c r="C6066" s="274" t="n">
        <x:v>0</x:v>
      </x:c>
      <x:c r="D6066" s="274" t="n">
        <x:v>0</x:v>
      </x:c>
      <x:c r="F6066" s="274" t="s">
        <x:v>333</x:v>
      </x:c>
      <x:c r="G6066" s="274" t="s">
        <x:v>209</x:v>
      </x:c>
      <x:c r="I6066" s="274" t="n">
        <x:v>1</x:v>
      </x:c>
      <x:c r="J6066" s="274" t="n">
        <x:v>1200</x:v>
      </x:c>
      <x:c r="K6066" s="274" t="n">
        <x:v>364</x:v>
      </x:c>
      <x:c r="M6066" s="274" t="s">
        <x:v>5836</x:v>
      </x:c>
      <x:c r="N6066" s="274" t="s">
        <x:v>3671</x:v>
      </x:c>
    </x:row>
    <x:row r="6067" spans="1:14">
      <x:c r="A6067" s="274" t="s">
        <x:v>10237</x:v>
      </x:c>
      <x:c r="B6067" s="274" t="n">
        <x:v>8.22</x:v>
      </x:c>
      <x:c r="C6067" s="274" t="n">
        <x:v>0</x:v>
      </x:c>
      <x:c r="D6067" s="274" t="n">
        <x:v>45</x:v>
      </x:c>
      <x:c r="E6067" s="274" t="n">
        <x:v>40</x:v>
      </x:c>
      <x:c r="F6067" s="274" t="s">
        <x:v>123</x:v>
      </x:c>
      <x:c r="G6067" s="274" t="s">
        <x:v>153</x:v>
      </x:c>
      <x:c r="I6067" s="274" t="n">
        <x:v>2.6</x:v>
      </x:c>
      <x:c r="J6067" s="274" t="n">
        <x:v>1250</x:v>
      </x:c>
      <x:c r="K6067" s="274" t="n">
        <x:v>322</x:v>
      </x:c>
      <x:c r="M6067" s="274" t="s">
        <x:v>6343</x:v>
      </x:c>
      <x:c r="N6067" s="274" t="s">
        <x:v>155</x:v>
      </x:c>
    </x:row>
    <x:row r="6068" spans="1:14">
      <x:c r="A6068" s="274" t="s">
        <x:v>10238</x:v>
      </x:c>
      <x:c r="B6068" s="274" t="n">
        <x:v>9.98</x:v>
      </x:c>
      <x:c r="C6068" s="274" t="n">
        <x:v>0</x:v>
      </x:c>
      <x:c r="D6068" s="274" t="n">
        <x:v>45</x:v>
      </x:c>
      <x:c r="E6068" s="274" t="n">
        <x:v>40</x:v>
      </x:c>
      <x:c r="F6068" s="274" t="s">
        <x:v>123</x:v>
      </x:c>
      <x:c r="G6068" s="274" t="s">
        <x:v>153</x:v>
      </x:c>
      <x:c r="I6068" s="274" t="n">
        <x:v>2.6</x:v>
      </x:c>
      <x:c r="J6068" s="274" t="n">
        <x:v>1250</x:v>
      </x:c>
      <x:c r="K6068" s="274" t="n">
        <x:v>391</x:v>
      </x:c>
      <x:c r="M6068" s="274" t="s">
        <x:v>6044</x:v>
      </x:c>
      <x:c r="N6068" s="274" t="s">
        <x:v>299</x:v>
      </x:c>
    </x:row>
    <x:row r="6069" spans="1:14">
      <x:c r="A6069" s="274" t="s">
        <x:v>10239</x:v>
      </x:c>
      <x:c r="B6069" s="274" t="n">
        <x:v>2.81</x:v>
      </x:c>
      <x:c r="C6069" s="274" t="n">
        <x:v>0</x:v>
      </x:c>
      <x:c r="D6069" s="274" t="n">
        <x:v>45</x:v>
      </x:c>
      <x:c r="E6069" s="274" t="n">
        <x:v>40</x:v>
      </x:c>
      <x:c r="F6069" s="274" t="s">
        <x:v>123</x:v>
      </x:c>
      <x:c r="G6069" s="274" t="s">
        <x:v>1285</x:v>
      </x:c>
      <x:c r="H6069" s="274" t="n">
        <x:v>45</x:v>
      </x:c>
      <x:c r="I6069" s="274" t="n">
        <x:v>0.6</x:v>
      </x:c>
      <x:c r="J6069" s="274" t="n">
        <x:v>1115</x:v>
      </x:c>
      <x:c r="K6069" s="274" t="n">
        <x:v>525</x:v>
      </x:c>
      <x:c r="M6069" s="274" t="s">
        <x:v>6346</x:v>
      </x:c>
      <x:c r="N6069" s="274" t="s">
        <x:v>299</x:v>
      </x:c>
    </x:row>
    <x:row r="6070" spans="1:14">
      <x:c r="A6070" s="274" t="s">
        <x:v>10240</x:v>
      </x:c>
      <x:c r="B6070" s="274" t="n">
        <x:v>5.67</x:v>
      </x:c>
      <x:c r="C6070" s="274" t="n">
        <x:v>0</x:v>
      </x:c>
      <x:c r="D6070" s="274" t="n">
        <x:v>40</x:v>
      </x:c>
      <x:c r="E6070" s="274" t="n">
        <x:v>35</x:v>
      </x:c>
      <x:c r="F6070" s="274" t="s">
        <x:v>123</x:v>
      </x:c>
      <x:c r="G6070" s="274" t="s">
        <x:v>1285</x:v>
      </x:c>
      <x:c r="H6070" s="274" t="n">
        <x:v>45</x:v>
      </x:c>
      <x:c r="I6070" s="274" t="n">
        <x:v>0.6</x:v>
      </x:c>
      <x:c r="J6070" s="274" t="n">
        <x:v>1115</x:v>
      </x:c>
      <x:c r="K6070" s="274" t="n">
        <x:v>1060</x:v>
      </x:c>
      <x:c r="M6070" s="274" t="s">
        <x:v>6348</x:v>
      </x:c>
      <x:c r="N6070" s="274" t="s">
        <x:v>299</x:v>
      </x:c>
    </x:row>
    <x:row r="6071" spans="1:14">
      <x:c r="A6071" s="274" t="s">
        <x:v>10241</x:v>
      </x:c>
      <x:c r="B6071" s="274" t="n">
        <x:v>5.46</x:v>
      </x:c>
      <x:c r="C6071" s="274" t="n">
        <x:v>0</x:v>
      </x:c>
      <x:c r="D6071" s="274" t="n">
        <x:v>40</x:v>
      </x:c>
      <x:c r="E6071" s="274" t="n">
        <x:v>35</x:v>
      </x:c>
      <x:c r="F6071" s="274" t="s">
        <x:v>123</x:v>
      </x:c>
      <x:c r="G6071" s="274" t="s">
        <x:v>1285</x:v>
      </x:c>
      <x:c r="H6071" s="274" t="n">
        <x:v>45</x:v>
      </x:c>
      <x:c r="I6071" s="274" t="n">
        <x:v>0.6</x:v>
      </x:c>
      <x:c r="J6071" s="274" t="n">
        <x:v>1115</x:v>
      </x:c>
      <x:c r="K6071" s="274" t="n">
        <x:v>1020</x:v>
      </x:c>
      <x:c r="M6071" s="274" t="s">
        <x:v>2122</x:v>
      </x:c>
      <x:c r="N6071" s="274" t="s">
        <x:v>299</x:v>
      </x:c>
    </x:row>
    <x:row r="6072" spans="1:14">
      <x:c r="A6072" s="274" t="s">
        <x:v>10242</x:v>
      </x:c>
      <x:c r="B6072" s="274" t="n">
        <x:v>4.71</x:v>
      </x:c>
      <x:c r="C6072" s="274" t="n">
        <x:v>0</x:v>
      </x:c>
      <x:c r="D6072" s="274" t="n">
        <x:v>45</x:v>
      </x:c>
      <x:c r="E6072" s="274" t="n">
        <x:v>40</x:v>
      </x:c>
      <x:c r="F6072" s="274" t="s">
        <x:v>123</x:v>
      </x:c>
      <x:c r="G6072" s="274" t="s">
        <x:v>1285</x:v>
      </x:c>
      <x:c r="H6072" s="274" t="n">
        <x:v>45</x:v>
      </x:c>
      <x:c r="I6072" s="274" t="n">
        <x:v>0.6</x:v>
      </x:c>
      <x:c r="J6072" s="274" t="n">
        <x:v>1115</x:v>
      </x:c>
      <x:c r="K6072" s="274" t="n">
        <x:v>880</x:v>
      </x:c>
      <x:c r="M6072" s="274" t="s">
        <x:v>309</x:v>
      </x:c>
      <x:c r="N6072" s="274" t="s">
        <x:v>299</x:v>
      </x:c>
    </x:row>
    <x:row r="6073" spans="1:14">
      <x:c r="A6073" s="274" t="s">
        <x:v>10243</x:v>
      </x:c>
      <x:c r="B6073" s="274" t="n">
        <x:v>6.64</x:v>
      </x:c>
      <x:c r="C6073" s="274" t="n">
        <x:v>0</x:v>
      </x:c>
      <x:c r="D6073" s="274" t="n">
        <x:v>33</x:v>
      </x:c>
      <x:c r="E6073" s="274" t="n">
        <x:v>28</x:v>
      </x:c>
      <x:c r="F6073" s="274" t="s">
        <x:v>123</x:v>
      </x:c>
      <x:c r="G6073" s="274" t="s">
        <x:v>1285</x:v>
      </x:c>
      <x:c r="H6073" s="274" t="n">
        <x:v>45</x:v>
      </x:c>
      <x:c r="I6073" s="274" t="n">
        <x:v>0.6</x:v>
      </x:c>
      <x:c r="J6073" s="274" t="n">
        <x:v>1115</x:v>
      </x:c>
      <x:c r="K6073" s="274" t="n">
        <x:v>1240</x:v>
      </x:c>
      <x:c r="M6073" s="274" t="s">
        <x:v>2526</x:v>
      </x:c>
      <x:c r="N6073" s="274" t="s">
        <x:v>299</x:v>
      </x:c>
    </x:row>
    <x:row r="6074" spans="1:14">
      <x:c r="A6074" s="274" t="s">
        <x:v>10244</x:v>
      </x:c>
      <x:c r="B6074" s="274" t="n">
        <x:v>6.69</x:v>
      </x:c>
      <x:c r="C6074" s="274" t="n">
        <x:v>0</x:v>
      </x:c>
      <x:c r="D6074" s="274" t="n">
        <x:v>33</x:v>
      </x:c>
      <x:c r="E6074" s="274" t="n">
        <x:v>28</x:v>
      </x:c>
      <x:c r="F6074" s="274" t="s">
        <x:v>123</x:v>
      </x:c>
      <x:c r="G6074" s="274" t="s">
        <x:v>1285</x:v>
      </x:c>
      <x:c r="H6074" s="274" t="n">
        <x:v>45</x:v>
      </x:c>
      <x:c r="I6074" s="274" t="n">
        <x:v>0.6</x:v>
      </x:c>
      <x:c r="J6074" s="274" t="n">
        <x:v>1115</x:v>
      </x:c>
      <x:c r="K6074" s="274" t="n">
        <x:v>1250</x:v>
      </x:c>
      <x:c r="M6074" s="274" t="s">
        <x:v>2118</x:v>
      </x:c>
      <x:c r="N6074" s="274" t="s">
        <x:v>299</x:v>
      </x:c>
    </x:row>
    <x:row r="6075" spans="1:14">
      <x:c r="A6075" s="274" t="s">
        <x:v>10245</x:v>
      </x:c>
      <x:c r="B6075" s="274" t="n">
        <x:v>3.26</x:v>
      </x:c>
      <x:c r="C6075" s="274" t="n">
        <x:v>0</x:v>
      </x:c>
      <x:c r="D6075" s="274" t="n">
        <x:v>45</x:v>
      </x:c>
      <x:c r="E6075" s="274" t="n">
        <x:v>40</x:v>
      </x:c>
      <x:c r="F6075" s="274" t="s">
        <x:v>123</x:v>
      </x:c>
      <x:c r="G6075" s="274" t="s">
        <x:v>1285</x:v>
      </x:c>
      <x:c r="H6075" s="274" t="n">
        <x:v>45</x:v>
      </x:c>
      <x:c r="I6075" s="274" t="n">
        <x:v>0.6</x:v>
      </x:c>
      <x:c r="J6075" s="274" t="n">
        <x:v>1115</x:v>
      </x:c>
      <x:c r="K6075" s="274" t="n">
        <x:v>610</x:v>
      </x:c>
      <x:c r="M6075" s="274" t="s">
        <x:v>2120</x:v>
      </x:c>
      <x:c r="N6075" s="274" t="s">
        <x:v>299</x:v>
      </x:c>
    </x:row>
    <x:row r="6076" spans="1:14">
      <x:c r="A6076" s="274" t="s">
        <x:v>10246</x:v>
      </x:c>
      <x:c r="B6076" s="274" t="n">
        <x:v>2.68</x:v>
      </x:c>
      <x:c r="C6076" s="274" t="n">
        <x:v>0</x:v>
      </x:c>
      <x:c r="D6076" s="274" t="n">
        <x:v>45</x:v>
      </x:c>
      <x:c r="E6076" s="274" t="n">
        <x:v>40</x:v>
      </x:c>
      <x:c r="F6076" s="274" t="s">
        <x:v>123</x:v>
      </x:c>
      <x:c r="G6076" s="274" t="s">
        <x:v>1285</x:v>
      </x:c>
      <x:c r="H6076" s="274" t="n">
        <x:v>45</x:v>
      </x:c>
      <x:c r="I6076" s="274" t="n">
        <x:v>0.6</x:v>
      </x:c>
      <x:c r="J6076" s="274" t="n">
        <x:v>1115</x:v>
      </x:c>
      <x:c r="K6076" s="274" t="n">
        <x:v>500</x:v>
      </x:c>
      <x:c r="M6076" s="274" t="s">
        <x:v>6355</x:v>
      </x:c>
      <x:c r="N6076" s="274" t="s">
        <x:v>6356</x:v>
      </x:c>
    </x:row>
    <x:row r="6077" spans="1:14">
      <x:c r="A6077" s="274" t="s">
        <x:v>10247</x:v>
      </x:c>
      <x:c r="B6077" s="274" t="n">
        <x:v>14.7</x:v>
      </x:c>
      <x:c r="C6077" s="274" t="n">
        <x:v>0</x:v>
      </x:c>
      <x:c r="D6077" s="274" t="n">
        <x:v>35</x:v>
      </x:c>
      <x:c r="E6077" s="274" t="n">
        <x:v>30</x:v>
      </x:c>
      <x:c r="F6077" s="274" t="s">
        <x:v>333</x:v>
      </x:c>
      <x:c r="G6077" s="274" t="s">
        <x:v>4958</x:v>
      </x:c>
      <x:c r="I6077" s="274" t="n">
        <x:v>1.4</x:v>
      </x:c>
      <x:c r="J6077" s="274" t="n">
        <x:v>1070</x:v>
      </x:c>
      <x:c r="K6077" s="274" t="n">
        <x:v>1250</x:v>
      </x:c>
      <x:c r="M6077" s="274" t="s">
        <x:v>6359</x:v>
      </x:c>
      <x:c r="N6077" s="274" t="s">
        <x:v>4258</x:v>
      </x:c>
    </x:row>
    <x:row r="6078" spans="1:14">
      <x:c r="A6078" s="274" t="s">
        <x:v>10248</x:v>
      </x:c>
      <x:c r="B6078" s="274" t="n">
        <x:v>10.44</x:v>
      </x:c>
      <x:c r="C6078" s="274" t="n">
        <x:v>0</x:v>
      </x:c>
      <x:c r="D6078" s="274" t="n">
        <x:v>45</x:v>
      </x:c>
      <x:c r="E6078" s="274" t="n">
        <x:v>40</x:v>
      </x:c>
      <x:c r="F6078" s="274" t="s">
        <x:v>123</x:v>
      </x:c>
      <x:c r="G6078" s="274" t="s">
        <x:v>4256</x:v>
      </x:c>
      <x:c r="I6078" s="274" t="n">
        <x:v>2</x:v>
      </x:c>
      <x:c r="J6078" s="274" t="n">
        <x:v>1314</x:v>
      </x:c>
      <x:c r="K6078" s="274" t="n">
        <x:v>506</x:v>
      </x:c>
      <x:c r="M6078" s="274" t="s">
        <x:v>6365</x:v>
      </x:c>
      <x:c r="N6078" s="274" t="s">
        <x:v>4258</x:v>
      </x:c>
    </x:row>
    <x:row r="6079" spans="1:14">
      <x:c r="A6079" s="274" t="s">
        <x:v>10249</x:v>
      </x:c>
      <x:c r="B6079" s="274" t="n">
        <x:v>9.16</x:v>
      </x:c>
      <x:c r="C6079" s="274" t="n">
        <x:v>0</x:v>
      </x:c>
      <x:c r="D6079" s="274" t="n">
        <x:v>45</x:v>
      </x:c>
      <x:c r="E6079" s="274" t="n">
        <x:v>40</x:v>
      </x:c>
      <x:c r="F6079" s="274" t="s">
        <x:v>123</x:v>
      </x:c>
      <x:c r="G6079" s="274" t="s">
        <x:v>4256</x:v>
      </x:c>
      <x:c r="I6079" s="274" t="n">
        <x:v>2.3</x:v>
      </x:c>
      <x:c r="J6079" s="274" t="n">
        <x:v>1135</x:v>
      </x:c>
      <x:c r="K6079" s="274" t="n">
        <x:v>447</x:v>
      </x:c>
      <x:c r="M6079" s="274" t="s">
        <x:v>4920</x:v>
      </x:c>
      <x:c r="N6079" s="274" t="s">
        <x:v>4258</x:v>
      </x:c>
    </x:row>
    <x:row r="6080" spans="1:14">
      <x:c r="A6080" s="274" t="s">
        <x:v>10250</x:v>
      </x:c>
      <x:c r="B6080" s="274" t="n">
        <x:v>9.92</x:v>
      </x:c>
      <x:c r="C6080" s="274" t="n">
        <x:v>0</x:v>
      </x:c>
      <x:c r="D6080" s="274" t="n">
        <x:v>45</x:v>
      </x:c>
      <x:c r="E6080" s="274" t="n">
        <x:v>40</x:v>
      </x:c>
      <x:c r="F6080" s="274" t="s">
        <x:v>123</x:v>
      </x:c>
      <x:c r="G6080" s="274" t="s">
        <x:v>4256</x:v>
      </x:c>
      <x:c r="I6080" s="274" t="n">
        <x:v>2.3</x:v>
      </x:c>
      <x:c r="J6080" s="274" t="n">
        <x:v>1135</x:v>
      </x:c>
      <x:c r="K6080" s="274" t="n">
        <x:v>484</x:v>
      </x:c>
      <x:c r="M6080" s="274" t="s">
        <x:v>5698</x:v>
      </x:c>
      <x:c r="N6080" s="274" t="s">
        <x:v>4258</x:v>
      </x:c>
    </x:row>
    <x:row r="6081" spans="1:14">
      <x:c r="A6081" s="274" t="s">
        <x:v>10251</x:v>
      </x:c>
      <x:c r="B6081" s="274" t="n">
        <x:v>7.07</x:v>
      </x:c>
      <x:c r="C6081" s="274" t="n">
        <x:v>0</x:v>
      </x:c>
      <x:c r="D6081" s="274" t="n">
        <x:v>35</x:v>
      </x:c>
      <x:c r="E6081" s="274" t="n">
        <x:v>30</x:v>
      </x:c>
      <x:c r="F6081" s="274" t="s">
        <x:v>184</x:v>
      </x:c>
      <x:c r="G6081" s="274" t="s">
        <x:v>4782</x:v>
      </x:c>
      <x:c r="H6081" s="274" t="s">
        <x:v>4471</x:v>
      </x:c>
      <x:c r="I6081" s="274" t="n">
        <x:v>0.55</x:v>
      </x:c>
      <x:c r="J6081" s="274" t="n">
        <x:v>1310</x:v>
      </x:c>
      <x:c r="K6081" s="274" t="n">
        <x:v>1250</x:v>
      </x:c>
      <x:c r="M6081" s="274" t="s">
        <x:v>6369</x:v>
      </x:c>
      <x:c r="N6081" s="274" t="s">
        <x:v>4258</x:v>
      </x:c>
    </x:row>
    <x:row r="6082" spans="1:14">
      <x:c r="A6082" s="274" t="s">
        <x:v>10252</x:v>
      </x:c>
      <x:c r="B6082" s="274" t="n">
        <x:v>4.48</x:v>
      </x:c>
      <x:c r="C6082" s="274" t="n">
        <x:v>0</x:v>
      </x:c>
      <x:c r="D6082" s="274" t="n">
        <x:v>45</x:v>
      </x:c>
      <x:c r="E6082" s="274" t="n">
        <x:v>40</x:v>
      </x:c>
      <x:c r="F6082" s="274" t="s">
        <x:v>123</x:v>
      </x:c>
      <x:c r="G6082" s="274" t="s">
        <x:v>153</x:v>
      </x:c>
      <x:c r="I6082" s="274" t="n">
        <x:v>0.8</x:v>
      </x:c>
      <x:c r="J6082" s="274" t="n">
        <x:v>1150</x:v>
      </x:c>
      <x:c r="K6082" s="274" t="n">
        <x:v>620</x:v>
      </x:c>
      <x:c r="M6082" s="274" t="s">
        <x:v>6376</x:v>
      </x:c>
      <x:c r="N6082" s="274" t="s">
        <x:v>5222</x:v>
      </x:c>
    </x:row>
    <x:row r="6083" spans="1:14">
      <x:c r="A6083" s="274" t="s">
        <x:v>10253</x:v>
      </x:c>
      <x:c r="B6083" s="274" t="n">
        <x:v>4.55</x:v>
      </x:c>
      <x:c r="C6083" s="274" t="n">
        <x:v>0</x:v>
      </x:c>
      <x:c r="D6083" s="274" t="n">
        <x:v>45</x:v>
      </x:c>
      <x:c r="E6083" s="274" t="n">
        <x:v>40</x:v>
      </x:c>
      <x:c r="F6083" s="274" t="s">
        <x:v>123</x:v>
      </x:c>
      <x:c r="G6083" s="274" t="s">
        <x:v>153</x:v>
      </x:c>
      <x:c r="I6083" s="274" t="n">
        <x:v>0.8</x:v>
      </x:c>
      <x:c r="J6083" s="274" t="n">
        <x:v>1150</x:v>
      </x:c>
      <x:c r="K6083" s="274" t="n">
        <x:v>630</x:v>
      </x:c>
      <x:c r="M6083" s="274" t="s">
        <x:v>6378</x:v>
      </x:c>
      <x:c r="N6083" s="274" t="s">
        <x:v>5222</x:v>
      </x:c>
    </x:row>
    <x:row r="6084" spans="1:14">
      <x:c r="A6084" s="274" t="s">
        <x:v>10254</x:v>
      </x:c>
      <x:c r="B6084" s="274" t="n">
        <x:v>5.57</x:v>
      </x:c>
      <x:c r="C6084" s="274" t="n">
        <x:v>0</x:v>
      </x:c>
      <x:c r="D6084" s="274" t="n">
        <x:v>40</x:v>
      </x:c>
      <x:c r="E6084" s="274" t="n">
        <x:v>35</x:v>
      </x:c>
      <x:c r="F6084" s="274" t="s">
        <x:v>333</x:v>
      </x:c>
      <x:c r="G6084" s="274" t="s">
        <x:v>2468</x:v>
      </x:c>
      <x:c r="I6084" s="274" t="n">
        <x:v>0.6</x:v>
      </x:c>
      <x:c r="J6084" s="274" t="n">
        <x:v>1065</x:v>
      </x:c>
      <x:c r="K6084" s="274" t="n">
        <x:v>1110</x:v>
      </x:c>
      <x:c r="M6084" s="274" t="s">
        <x:v>3993</x:v>
      </x:c>
      <x:c r="N6084" s="274" t="s">
        <x:v>6386</x:v>
      </x:c>
    </x:row>
    <x:row r="6085" spans="1:14">
      <x:c r="A6085" s="274" t="s">
        <x:v>10255</x:v>
      </x:c>
      <x:c r="B6085" s="274" t="n">
        <x:v>13.82</x:v>
      </x:c>
      <x:c r="C6085" s="274" t="n">
        <x:v>0</x:v>
      </x:c>
      <x:c r="D6085" s="274" t="n">
        <x:v>45</x:v>
      </x:c>
      <x:c r="E6085" s="274" t="n">
        <x:v>40</x:v>
      </x:c>
      <x:c r="F6085" s="274" t="s">
        <x:v>333</x:v>
      </x:c>
      <x:c r="G6085" s="274" t="s">
        <x:v>153</x:v>
      </x:c>
      <x:c r="I6085" s="274" t="n">
        <x:v>1.6</x:v>
      </x:c>
      <x:c r="J6085" s="274" t="n">
        <x:v>1100</x:v>
      </x:c>
      <x:c r="K6085" s="274" t="n">
        <x:v>1000</x:v>
      </x:c>
      <x:c r="M6085" s="274" t="s">
        <x:v>6390</x:v>
      </x:c>
      <x:c r="N6085" s="274" t="s">
        <x:v>6391</x:v>
      </x:c>
    </x:row>
    <x:row r="6086" spans="1:14">
      <x:c r="A6086" s="274" t="s">
        <x:v>10256</x:v>
      </x:c>
      <x:c r="B6086" s="274" t="n">
        <x:v>34.06</x:v>
      </x:c>
      <x:c r="C6086" s="274" t="n">
        <x:v>0</x:v>
      </x:c>
      <x:c r="D6086" s="274" t="n">
        <x:v>28</x:v>
      </x:c>
      <x:c r="E6086" s="274" t="n">
        <x:v>23</x:v>
      </x:c>
      <x:c r="F6086" s="274" t="s">
        <x:v>133</x:v>
      </x:c>
      <x:c r="G6086" s="274" t="s">
        <x:v>134</x:v>
      </x:c>
      <x:c r="I6086" s="274" t="n">
        <x:v>3.2</x:v>
      </x:c>
      <x:c r="J6086" s="274" t="n">
        <x:v>1085</x:v>
      </x:c>
      <x:c r="K6086" s="274" t="n">
        <x:v>1250</x:v>
      </x:c>
      <x:c r="M6086" s="274" t="s">
        <x:v>6395</x:v>
      </x:c>
      <x:c r="N6086" s="274" t="s">
        <x:v>6391</x:v>
      </x:c>
    </x:row>
    <x:row r="6087" spans="1:14">
      <x:c r="A6087" s="274" t="s">
        <x:v>10257</x:v>
      </x:c>
      <x:c r="B6087" s="274" t="n">
        <x:v>24.86</x:v>
      </x:c>
      <x:c r="C6087" s="274" t="n">
        <x:v>0</x:v>
      </x:c>
      <x:c r="D6087" s="274" t="n">
        <x:v>30</x:v>
      </x:c>
      <x:c r="E6087" s="274" t="n">
        <x:v>25</x:v>
      </x:c>
      <x:c r="F6087" s="274" t="s">
        <x:v>133</x:v>
      </x:c>
      <x:c r="G6087" s="274" t="s">
        <x:v>134</x:v>
      </x:c>
      <x:c r="I6087" s="274" t="n">
        <x:v>2.6</x:v>
      </x:c>
      <x:c r="J6087" s="274" t="n">
        <x:v>1015</x:v>
      </x:c>
      <x:c r="K6087" s="274" t="n">
        <x:v>1200</x:v>
      </x:c>
      <x:c r="M6087" s="274" t="s">
        <x:v>4039</x:v>
      </x:c>
      <x:c r="N6087" s="274" t="s">
        <x:v>4082</x:v>
      </x:c>
    </x:row>
    <x:row r="6088" spans="1:14">
      <x:c r="A6088" s="274" t="s">
        <x:v>10258</x:v>
      </x:c>
      <x:c r="B6088" s="274" t="n">
        <x:v>20.44</x:v>
      </x:c>
      <x:c r="C6088" s="274" t="n">
        <x:v>0</x:v>
      </x:c>
      <x:c r="D6088" s="274" t="n">
        <x:v>25</x:v>
      </x:c>
      <x:c r="E6088" s="274" t="n">
        <x:v>30</x:v>
      </x:c>
      <x:c r="F6088" s="274" t="s">
        <x:v>133</x:v>
      </x:c>
      <x:c r="G6088" s="274" t="s">
        <x:v>134</x:v>
      </x:c>
      <x:c r="I6088" s="274" t="n">
        <x:v>2</x:v>
      </x:c>
      <x:c r="J6088" s="274" t="n">
        <x:v>1050</x:v>
      </x:c>
      <x:c r="K6088" s="274" t="n">
        <x:v>1240</x:v>
      </x:c>
      <x:c r="M6088" s="274" t="s">
        <x:v>4036</x:v>
      </x:c>
      <x:c r="N6088" s="274" t="s">
        <x:v>4082</x:v>
      </x:c>
    </x:row>
    <x:row r="6089" spans="1:14">
      <x:c r="A6089" s="274" t="s">
        <x:v>10259</x:v>
      </x:c>
      <x:c r="B6089" s="274" t="n">
        <x:v>17.27</x:v>
      </x:c>
      <x:c r="C6089" s="274" t="n">
        <x:v>0</x:v>
      </x:c>
      <x:c r="D6089" s="274" t="n">
        <x:v>45</x:v>
      </x:c>
      <x:c r="E6089" s="274" t="n">
        <x:v>40</x:v>
      </x:c>
      <x:c r="F6089" s="274" t="s">
        <x:v>123</x:v>
      </x:c>
      <x:c r="G6089" s="274" t="s">
        <x:v>153</x:v>
      </x:c>
      <x:c r="I6089" s="274" t="n">
        <x:v>2</x:v>
      </x:c>
      <x:c r="J6089" s="274" t="n">
        <x:v>1100</x:v>
      </x:c>
      <x:c r="K6089" s="274" t="n">
        <x:v>1000</x:v>
      </x:c>
      <x:c r="M6089" s="274" t="s">
        <x:v>6409</x:v>
      </x:c>
      <x:c r="N6089" s="274" t="s">
        <x:v>421</x:v>
      </x:c>
    </x:row>
    <x:row r="6090" spans="1:14">
      <x:c r="A6090" s="274" t="s">
        <x:v>10260</x:v>
      </x:c>
      <x:c r="B6090" s="274" t="n">
        <x:v>5.93</x:v>
      </x:c>
      <x:c r="C6090" s="274" t="n">
        <x:v>0</x:v>
      </x:c>
      <x:c r="D6090" s="274" t="n">
        <x:v>45</x:v>
      </x:c>
      <x:c r="E6090" s="274" t="n">
        <x:v>40</x:v>
      </x:c>
      <x:c r="F6090" s="274" t="s">
        <x:v>133</x:v>
      </x:c>
      <x:c r="G6090" s="274" t="s">
        <x:v>4470</x:v>
      </x:c>
      <x:c r="H6090" s="274" t="s">
        <x:v>4471</x:v>
      </x:c>
      <x:c r="I6090" s="274" t="n">
        <x:v>1.4</x:v>
      </x:c>
      <x:c r="J6090" s="274" t="n">
        <x:v>1240</x:v>
      </x:c>
      <x:c r="K6090" s="274" t="n">
        <x:v>435</x:v>
      </x:c>
      <x:c r="M6090" s="274" t="s">
        <x:v>6419</x:v>
      </x:c>
      <x:c r="N6090" s="274" t="s">
        <x:v>4258</x:v>
      </x:c>
    </x:row>
    <x:row r="6091" spans="1:14">
      <x:c r="A6091" s="274" t="s">
        <x:v>10261</x:v>
      </x:c>
      <x:c r="B6091" s="274" t="n">
        <x:v>3.12</x:v>
      </x:c>
      <x:c r="C6091" s="274" t="n">
        <x:v>0</x:v>
      </x:c>
      <x:c r="D6091" s="274" t="n">
        <x:v>45</x:v>
      </x:c>
      <x:c r="E6091" s="274" t="n">
        <x:v>40</x:v>
      </x:c>
      <x:c r="F6091" s="274" t="s">
        <x:v>123</x:v>
      </x:c>
      <x:c r="G6091" s="274" t="s">
        <x:v>129</x:v>
      </x:c>
      <x:c r="H6091" s="274" t="n">
        <x:v>45</x:v>
      </x:c>
      <x:c r="I6091" s="274" t="n">
        <x:v>1.2</x:v>
      </x:c>
      <x:c r="J6091" s="274" t="n">
        <x:v>1040</x:v>
      </x:c>
      <x:c r="K6091" s="274" t="n">
        <x:v>316</x:v>
      </x:c>
      <x:c r="M6091" s="274" t="s">
        <x:v>6428</x:v>
      </x:c>
      <x:c r="N6091" s="274" t="s">
        <x:v>3671</x:v>
      </x:c>
    </x:row>
    <x:row r="6092" spans="1:14">
      <x:c r="A6092" s="274" t="s">
        <x:v>10262</x:v>
      </x:c>
      <x:c r="B6092" s="274" t="n">
        <x:v>13.88</x:v>
      </x:c>
      <x:c r="C6092" s="274" t="n">
        <x:v>0</x:v>
      </x:c>
      <x:c r="D6092" s="274" t="n">
        <x:v>45</x:v>
      </x:c>
      <x:c r="E6092" s="274" t="n">
        <x:v>40</x:v>
      </x:c>
      <x:c r="F6092" s="274" t="s">
        <x:v>133</x:v>
      </x:c>
      <x:c r="G6092" s="274" t="s">
        <x:v>134</x:v>
      </x:c>
      <x:c r="I6092" s="274" t="n">
        <x:v>2.6</x:v>
      </x:c>
      <x:c r="J6092" s="274" t="n">
        <x:v>1015</x:v>
      </x:c>
      <x:c r="K6092" s="274" t="n">
        <x:v>670</x:v>
      </x:c>
      <x:c r="M6092" s="274" t="s">
        <x:v>6446</x:v>
      </x:c>
      <x:c r="N6092" s="274" t="s">
        <x:v>465</x:v>
      </x:c>
    </x:row>
    <x:row r="6093" spans="1:14">
      <x:c r="A6093" s="274" t="s">
        <x:v>10263</x:v>
      </x:c>
      <x:c r="B6093" s="274" t="n">
        <x:v>15.26</x:v>
      </x:c>
      <x:c r="C6093" s="274" t="n">
        <x:v>0</x:v>
      </x:c>
      <x:c r="D6093" s="274" t="n">
        <x:v>30</x:v>
      </x:c>
      <x:c r="E6093" s="274" t="n">
        <x:v>25</x:v>
      </x:c>
      <x:c r="F6093" s="274" t="s">
        <x:v>1964</x:v>
      </x:c>
      <x:c r="G6093" s="274" t="s">
        <x:v>3413</x:v>
      </x:c>
      <x:c r="H6093" s="274" t="n">
        <x:v>45</x:v>
      </x:c>
      <x:c r="I6093" s="274" t="n">
        <x:v>1.8</x:v>
      </x:c>
      <x:c r="J6093" s="274" t="n">
        <x:v>925</x:v>
      </x:c>
      <x:c r="K6093" s="274" t="n">
        <x:v>1160</x:v>
      </x:c>
      <x:c r="M6093" s="274" t="s">
        <x:v>6301</x:v>
      </x:c>
      <x:c r="N6093" s="274" t="s">
        <x:v>6437</x:v>
      </x:c>
    </x:row>
    <x:row r="6094" spans="1:14">
      <x:c r="A6094" s="274" t="s">
        <x:v>10264</x:v>
      </x:c>
      <x:c r="B6094" s="274" t="n">
        <x:v>4.48</x:v>
      </x:c>
      <x:c r="C6094" s="274" t="n">
        <x:v>0</x:v>
      </x:c>
      <x:c r="D6094" s="274" t="n">
        <x:v>45</x:v>
      </x:c>
      <x:c r="E6094" s="274" t="n">
        <x:v>40</x:v>
      </x:c>
      <x:c r="F6094" s="274" t="s">
        <x:v>1964</x:v>
      </x:c>
      <x:c r="G6094" s="274" t="s">
        <x:v>3413</x:v>
      </x:c>
      <x:c r="H6094" s="274" t="n">
        <x:v>45</x:v>
      </x:c>
      <x:c r="I6094" s="274" t="n">
        <x:v>1.2</x:v>
      </x:c>
      <x:c r="J6094" s="274" t="n">
        <x:v>1065</x:v>
      </x:c>
      <x:c r="K6094" s="274" t="n">
        <x:v>442</x:v>
      </x:c>
      <x:c r="M6094" s="274" t="s">
        <x:v>6303</x:v>
      </x:c>
      <x:c r="N6094" s="274" t="s">
        <x:v>6437</x:v>
      </x:c>
    </x:row>
    <x:row r="6095" spans="1:14">
      <x:c r="A6095" s="274" t="s">
        <x:v>10265</x:v>
      </x:c>
      <x:c r="B6095" s="274" t="n">
        <x:v>3.28</x:v>
      </x:c>
      <x:c r="C6095" s="274" t="n">
        <x:v>0</x:v>
      </x:c>
      <x:c r="D6095" s="274" t="n">
        <x:v>45</x:v>
      </x:c>
      <x:c r="E6095" s="274" t="n">
        <x:v>40</x:v>
      </x:c>
      <x:c r="F6095" s="274" t="s">
        <x:v>333</x:v>
      </x:c>
      <x:c r="G6095" s="274" t="s">
        <x:v>2157</x:v>
      </x:c>
      <x:c r="I6095" s="274" t="n">
        <x:v>0.8</x:v>
      </x:c>
      <x:c r="J6095" s="274" t="n">
        <x:v>1275</x:v>
      </x:c>
      <x:c r="K6095" s="274" t="n">
        <x:v>410</x:v>
      </x:c>
      <x:c r="M6095" s="274" t="s">
        <x:v>10266</x:v>
      </x:c>
      <x:c r="N6095" s="274" t="s">
        <x:v>3984</x:v>
      </x:c>
    </x:row>
    <x:row r="6096" spans="1:14">
      <x:c r="A6096" s="274" t="s">
        <x:v>10267</x:v>
      </x:c>
      <x:c r="B6096" s="274" t="n">
        <x:v>9.28</x:v>
      </x:c>
      <x:c r="C6096" s="274" t="n">
        <x:v>0</x:v>
      </x:c>
      <x:c r="D6096" s="274" t="n">
        <x:v>37</x:v>
      </x:c>
      <x:c r="E6096" s="274" t="n">
        <x:v>32</x:v>
      </x:c>
      <x:c r="F6096" s="274" t="s">
        <x:v>333</x:v>
      </x:c>
      <x:c r="G6096" s="274" t="s">
        <x:v>2160</x:v>
      </x:c>
      <x:c r="I6096" s="274" t="n">
        <x:v>1</x:v>
      </x:c>
      <x:c r="J6096" s="274" t="n">
        <x:v>985</x:v>
      </x:c>
      <x:c r="K6096" s="274" t="n">
        <x:v>1200</x:v>
      </x:c>
      <x:c r="M6096" s="274" t="s">
        <x:v>4034</x:v>
      </x:c>
      <x:c r="N6096" s="274" t="s">
        <x:v>3984</x:v>
      </x:c>
    </x:row>
    <x:row r="6097" spans="1:14">
      <x:c r="A6097" s="274" t="s">
        <x:v>10268</x:v>
      </x:c>
      <x:c r="B6097" s="274" t="n">
        <x:v>15.39</x:v>
      </x:c>
      <x:c r="C6097" s="274" t="n">
        <x:v>0</x:v>
      </x:c>
      <x:c r="D6097" s="274" t="n">
        <x:v>35</x:v>
      </x:c>
      <x:c r="E6097" s="274" t="n">
        <x:v>30</x:v>
      </x:c>
      <x:c r="F6097" s="274" t="s">
        <x:v>128</x:v>
      </x:c>
      <x:c r="G6097" s="274" t="s">
        <x:v>139</x:v>
      </x:c>
      <x:c r="I6097" s="274" t="n">
        <x:v>1.6</x:v>
      </x:c>
      <x:c r="J6097" s="274" t="n">
        <x:v>980</x:v>
      </x:c>
      <x:c r="K6097" s="274" t="n">
        <x:v>1250</x:v>
      </x:c>
      <x:c r="M6097" s="274" t="s">
        <x:v>6458</x:v>
      </x:c>
      <x:c r="N6097" s="274" t="s">
        <x:v>3671</x:v>
      </x:c>
    </x:row>
    <x:row r="6098" spans="1:14">
      <x:c r="A6098" s="274" t="s">
        <x:v>10269</x:v>
      </x:c>
      <x:c r="B6098" s="274" t="n">
        <x:v>1.93</x:v>
      </x:c>
      <x:c r="C6098" s="274" t="n">
        <x:v>0</x:v>
      </x:c>
      <x:c r="D6098" s="274" t="n">
        <x:v>45</x:v>
      </x:c>
      <x:c r="E6098" s="274" t="n">
        <x:v>40</x:v>
      </x:c>
      <x:c r="F6098" s="274" t="s">
        <x:v>184</x:v>
      </x:c>
      <x:c r="G6098" s="274" t="s">
        <x:v>4642</x:v>
      </x:c>
      <x:c r="H6098" s="274" t="s">
        <x:v>4471</x:v>
      </x:c>
      <x:c r="I6098" s="274" t="n">
        <x:v>0.6</x:v>
      </x:c>
      <x:c r="J6098" s="274" t="n">
        <x:v>1260</x:v>
      </x:c>
      <x:c r="K6098" s="274" t="n">
        <x:v>326</x:v>
      </x:c>
      <x:c r="M6098" s="274" t="s">
        <x:v>6462</x:v>
      </x:c>
      <x:c r="N6098" s="274" t="s">
        <x:v>4258</x:v>
      </x:c>
    </x:row>
    <x:row r="6099" spans="1:14">
      <x:c r="A6099" s="274" t="s">
        <x:v>10270</x:v>
      </x:c>
      <x:c r="B6099" s="274" t="n">
        <x:v>6.03</x:v>
      </x:c>
      <x:c r="C6099" s="274" t="n">
        <x:v>0</x:v>
      </x:c>
      <x:c r="D6099" s="274" t="n">
        <x:v>45</x:v>
      </x:c>
      <x:c r="E6099" s="274" t="n">
        <x:v>40</x:v>
      </x:c>
      <x:c r="F6099" s="274" t="s">
        <x:v>333</x:v>
      </x:c>
      <x:c r="G6099" s="274" t="s">
        <x:v>153</x:v>
      </x:c>
      <x:c r="I6099" s="274" t="n">
        <x:v>1.2</x:v>
      </x:c>
      <x:c r="J6099" s="274" t="n">
        <x:v>1290</x:v>
      </x:c>
      <x:c r="K6099" s="274" t="n">
        <x:v>496</x:v>
      </x:c>
      <x:c r="M6099" s="274" t="s">
        <x:v>5816</x:v>
      </x:c>
      <x:c r="N6099" s="274" t="s">
        <x:v>3671</x:v>
      </x:c>
    </x:row>
    <x:row r="6100" spans="1:14">
      <x:c r="A6100" s="274" t="s">
        <x:v>10271</x:v>
      </x:c>
      <x:c r="B6100" s="274" t="n">
        <x:v>7.06</x:v>
      </x:c>
      <x:c r="C6100" s="274" t="n">
        <x:v>0</x:v>
      </x:c>
      <x:c r="D6100" s="274" t="n">
        <x:v>0</x:v>
      </x:c>
      <x:c r="F6100" s="274" t="s">
        <x:v>123</x:v>
      </x:c>
      <x:c r="G6100" s="274" t="s">
        <x:v>129</x:v>
      </x:c>
      <x:c r="H6100" s="274" t="n">
        <x:v>45</x:v>
      </x:c>
      <x:c r="I6100" s="274" t="n">
        <x:v>1.6</x:v>
      </x:c>
      <x:c r="J6100" s="274" t="n">
        <x:v>1260</x:v>
      </x:c>
      <x:c r="K6100" s="274" t="n">
        <x:v>443</x:v>
      </x:c>
      <x:c r="M6100" s="274" t="s">
        <x:v>5898</x:v>
      </x:c>
    </x:row>
    <x:row r="6101" spans="1:14">
      <x:c r="A6101" s="274" t="s">
        <x:v>10272</x:v>
      </x:c>
      <x:c r="B6101" s="274" t="n">
        <x:v>3.54</x:v>
      </x:c>
      <x:c r="C6101" s="274" t="n">
        <x:v>0</x:v>
      </x:c>
      <x:c r="D6101" s="274" t="n">
        <x:v>0</x:v>
      </x:c>
      <x:c r="F6101" s="274" t="s">
        <x:v>133</x:v>
      </x:c>
      <x:c r="G6101" s="274" t="s">
        <x:v>136</x:v>
      </x:c>
      <x:c r="H6101" s="274" t="n">
        <x:v>45</x:v>
      </x:c>
      <x:c r="I6101" s="274" t="n">
        <x:v>1.2</x:v>
      </x:c>
      <x:c r="J6101" s="274" t="n">
        <x:v>990</x:v>
      </x:c>
      <x:c r="K6101" s="274" t="n">
        <x:v>376</x:v>
      </x:c>
      <x:c r="M6101" s="274" t="s">
        <x:v>5840</x:v>
      </x:c>
      <x:c r="N6101" s="274" t="s">
        <x:v>3671</x:v>
      </x:c>
    </x:row>
    <x:row r="6102" spans="1:14">
      <x:c r="A6102" s="274" t="s">
        <x:v>10273</x:v>
      </x:c>
      <x:c r="B6102" s="274" t="n">
        <x:v>3.77</x:v>
      </x:c>
      <x:c r="C6102" s="274" t="n">
        <x:v>0</x:v>
      </x:c>
      <x:c r="D6102" s="274" t="n">
        <x:v>0</x:v>
      </x:c>
      <x:c r="F6102" s="274" t="s">
        <x:v>133</x:v>
      </x:c>
      <x:c r="G6102" s="274" t="s">
        <x:v>136</x:v>
      </x:c>
      <x:c r="H6102" s="274" t="n">
        <x:v>45</x:v>
      </x:c>
      <x:c r="I6102" s="274" t="n">
        <x:v>1.2</x:v>
      </x:c>
      <x:c r="J6102" s="274" t="n">
        <x:v>990</x:v>
      </x:c>
      <x:c r="K6102" s="274" t="n">
        <x:v>400</x:v>
      </x:c>
      <x:c r="M6102" s="274" t="s">
        <x:v>5842</x:v>
      </x:c>
      <x:c r="N6102" s="274" t="s">
        <x:v>3671</x:v>
      </x:c>
    </x:row>
    <x:row r="6103" spans="1:14">
      <x:c r="A6103" s="274" t="s">
        <x:v>10274</x:v>
      </x:c>
      <x:c r="B6103" s="274" t="n">
        <x:v>14.21</x:v>
      </x:c>
      <x:c r="C6103" s="274" t="n">
        <x:v>0</x:v>
      </x:c>
      <x:c r="D6103" s="274" t="n">
        <x:v>0</x:v>
      </x:c>
      <x:c r="F6103" s="274" t="s">
        <x:v>333</x:v>
      </x:c>
      <x:c r="G6103" s="274" t="s">
        <x:v>124</x:v>
      </x:c>
      <x:c r="I6103" s="274" t="n">
        <x:v>1.6</x:v>
      </x:c>
      <x:c r="J6103" s="274" t="n">
        <x:v>905</x:v>
      </x:c>
      <x:c r="K6103" s="274" t="n">
        <x:v>1250</x:v>
      </x:c>
      <x:c r="M6103" s="274" t="s">
        <x:v>6471</x:v>
      </x:c>
    </x:row>
    <x:row r="6104" spans="1:14">
      <x:c r="A6104" s="274" t="s">
        <x:v>10275</x:v>
      </x:c>
      <x:c r="B6104" s="274" t="n">
        <x:v>6.68</x:v>
      </x:c>
      <x:c r="C6104" s="274" t="n">
        <x:v>0</x:v>
      </x:c>
      <x:c r="D6104" s="274" t="n">
        <x:v>0</x:v>
      </x:c>
      <x:c r="F6104" s="274" t="s">
        <x:v>333</x:v>
      </x:c>
      <x:c r="G6104" s="274" t="s">
        <x:v>124</x:v>
      </x:c>
      <x:c r="I6104" s="274" t="n">
        <x:v>1.6</x:v>
      </x:c>
      <x:c r="J6104" s="274" t="n">
        <x:v>905</x:v>
      </x:c>
      <x:c r="K6104" s="274" t="n">
        <x:v>588</x:v>
      </x:c>
      <x:c r="M6104" s="274" t="s">
        <x:v>5889</x:v>
      </x:c>
    </x:row>
    <x:row r="6105" spans="1:14">
      <x:c r="A6105" s="274" t="s">
        <x:v>10276</x:v>
      </x:c>
      <x:c r="B6105" s="274" t="n">
        <x:v>6.42</x:v>
      </x:c>
      <x:c r="C6105" s="274" t="n">
        <x:v>0</x:v>
      </x:c>
      <x:c r="D6105" s="274" t="n">
        <x:v>45</x:v>
      </x:c>
      <x:c r="E6105" s="274" t="n">
        <x:v>40</x:v>
      </x:c>
      <x:c r="F6105" s="274" t="s">
        <x:v>333</x:v>
      </x:c>
      <x:c r="G6105" s="274" t="s">
        <x:v>4663</x:v>
      </x:c>
      <x:c r="I6105" s="274" t="n">
        <x:v>1.2</x:v>
      </x:c>
      <x:c r="J6105" s="274" t="n">
        <x:v>1100</x:v>
      </x:c>
      <x:c r="K6105" s="274" t="n">
        <x:v>620</x:v>
      </x:c>
      <x:c r="M6105" s="274" t="s">
        <x:v>4928</x:v>
      </x:c>
      <x:c r="N6105" s="274" t="s">
        <x:v>4258</x:v>
      </x:c>
    </x:row>
    <x:row r="6106" spans="1:14">
      <x:c r="A6106" s="274" t="s">
        <x:v>10277</x:v>
      </x:c>
      <x:c r="B6106" s="274" t="n">
        <x:v>19.23</x:v>
      </x:c>
      <x:c r="C6106" s="274" t="n">
        <x:v>0</x:v>
      </x:c>
      <x:c r="D6106" s="274" t="n">
        <x:v>37</x:v>
      </x:c>
      <x:c r="E6106" s="274" t="n">
        <x:v>32</x:v>
      </x:c>
      <x:c r="F6106" s="274" t="s">
        <x:v>333</x:v>
      </x:c>
      <x:c r="G6106" s="274" t="s">
        <x:v>209</x:v>
      </x:c>
      <x:c r="I6106" s="274" t="n">
        <x:v>1.6</x:v>
      </x:c>
      <x:c r="J6106" s="274" t="n">
        <x:v>1225</x:v>
      </x:c>
      <x:c r="K6106" s="274" t="n">
        <x:v>1250</x:v>
      </x:c>
      <x:c r="M6106" s="274" t="s">
        <x:v>6475</x:v>
      </x:c>
      <x:c r="N6106" s="274" t="s">
        <x:v>3671</x:v>
      </x:c>
    </x:row>
    <x:row r="6107" spans="1:14">
      <x:c r="A6107" s="274" t="s">
        <x:v>10278</x:v>
      </x:c>
      <x:c r="B6107" s="274" t="n">
        <x:v>6.52</x:v>
      </x:c>
      <x:c r="C6107" s="274" t="n">
        <x:v>0</x:v>
      </x:c>
      <x:c r="D6107" s="274" t="n">
        <x:v>45</x:v>
      </x:c>
      <x:c r="E6107" s="274" t="n">
        <x:v>40</x:v>
      </x:c>
      <x:c r="F6107" s="274" t="s">
        <x:v>333</x:v>
      </x:c>
      <x:c r="G6107" s="274" t="s">
        <x:v>209</x:v>
      </x:c>
      <x:c r="I6107" s="274" t="n">
        <x:v>1.6</x:v>
      </x:c>
      <x:c r="J6107" s="274" t="n">
        <x:v>1225</x:v>
      </x:c>
      <x:c r="K6107" s="274" t="n">
        <x:v>424</x:v>
      </x:c>
      <x:c r="M6107" s="274" t="s">
        <x:v>5896</x:v>
      </x:c>
      <x:c r="N6107" s="274" t="s">
        <x:v>3671</x:v>
      </x:c>
    </x:row>
    <x:row r="6108" spans="1:14">
      <x:c r="A6108" s="274" t="s">
        <x:v>10279</x:v>
      </x:c>
      <x:c r="B6108" s="274" t="n">
        <x:v>7.51</x:v>
      </x:c>
      <x:c r="C6108" s="274" t="n">
        <x:v>0</x:v>
      </x:c>
      <x:c r="D6108" s="274" t="n">
        <x:v>45</x:v>
      </x:c>
      <x:c r="E6108" s="274" t="n">
        <x:v>40</x:v>
      </x:c>
      <x:c r="F6108" s="274" t="s">
        <x:v>133</x:v>
      </x:c>
      <x:c r="G6108" s="274" t="s">
        <x:v>136</x:v>
      </x:c>
      <x:c r="H6108" s="274" t="n">
        <x:v>45</x:v>
      </x:c>
      <x:c r="I6108" s="274" t="n">
        <x:v>1.2</x:v>
      </x:c>
      <x:c r="J6108" s="274" t="n">
        <x:v>952</x:v>
      </x:c>
      <x:c r="K6108" s="274" t="n">
        <x:v>830</x:v>
      </x:c>
      <x:c r="M6108" s="274" t="s">
        <x:v>5850</x:v>
      </x:c>
      <x:c r="N6108" s="274" t="s">
        <x:v>3671</x:v>
      </x:c>
    </x:row>
    <x:row r="6109" spans="1:14">
      <x:c r="A6109" s="274" t="s">
        <x:v>10280</x:v>
      </x:c>
      <x:c r="B6109" s="274" t="n">
        <x:v>4.27</x:v>
      </x:c>
      <x:c r="C6109" s="274" t="n">
        <x:v>0</x:v>
      </x:c>
      <x:c r="D6109" s="274" t="n">
        <x:v>45</x:v>
      </x:c>
      <x:c r="E6109" s="274" t="n">
        <x:v>40</x:v>
      </x:c>
      <x:c r="F6109" s="274" t="s">
        <x:v>333</x:v>
      </x:c>
      <x:c r="G6109" s="274" t="s">
        <x:v>124</x:v>
      </x:c>
      <x:c r="I6109" s="274" t="n">
        <x:v>1.2</x:v>
      </x:c>
      <x:c r="J6109" s="274" t="n">
        <x:v>1020</x:v>
      </x:c>
      <x:c r="K6109" s="274" t="n">
        <x:v>444</x:v>
      </x:c>
      <x:c r="M6109" s="274" t="s">
        <x:v>5844</x:v>
      </x:c>
      <x:c r="N6109" s="274" t="s">
        <x:v>3671</x:v>
      </x:c>
    </x:row>
    <x:row r="6110" spans="1:14">
      <x:c r="A6110" s="274" t="s">
        <x:v>10281</x:v>
      </x:c>
      <x:c r="B6110" s="274" t="n">
        <x:v>8.97</x:v>
      </x:c>
      <x:c r="C6110" s="274" t="n">
        <x:v>0</x:v>
      </x:c>
      <x:c r="D6110" s="274" t="n">
        <x:v>45</x:v>
      </x:c>
      <x:c r="E6110" s="274" t="n">
        <x:v>40</x:v>
      </x:c>
      <x:c r="F6110" s="274" t="s">
        <x:v>133</x:v>
      </x:c>
      <x:c r="G6110" s="274" t="s">
        <x:v>136</x:v>
      </x:c>
      <x:c r="H6110" s="274" t="n">
        <x:v>45</x:v>
      </x:c>
      <x:c r="I6110" s="274" t="n">
        <x:v>1.2</x:v>
      </x:c>
      <x:c r="J6110" s="274" t="n">
        <x:v>1150</x:v>
      </x:c>
      <x:c r="K6110" s="274" t="n">
        <x:v>820</x:v>
      </x:c>
      <x:c r="M6110" s="274" t="s">
        <x:v>6481</x:v>
      </x:c>
      <x:c r="N6110" s="274" t="s">
        <x:v>3671</x:v>
      </x:c>
    </x:row>
    <x:row r="6111" spans="1:14">
      <x:c r="A6111" s="274" t="s">
        <x:v>10282</x:v>
      </x:c>
      <x:c r="B6111" s="274" t="n">
        <x:v>8.46</x:v>
      </x:c>
      <x:c r="C6111" s="274" t="n">
        <x:v>0</x:v>
      </x:c>
      <x:c r="D6111" s="274" t="n">
        <x:v>45</x:v>
      </x:c>
      <x:c r="E6111" s="274" t="n">
        <x:v>40</x:v>
      </x:c>
      <x:c r="F6111" s="274" t="s">
        <x:v>133</x:v>
      </x:c>
      <x:c r="G6111" s="274" t="s">
        <x:v>136</x:v>
      </x:c>
      <x:c r="H6111" s="274" t="n">
        <x:v>45</x:v>
      </x:c>
      <x:c r="I6111" s="274" t="n">
        <x:v>1.2</x:v>
      </x:c>
      <x:c r="J6111" s="274" t="n">
        <x:v>1150</x:v>
      </x:c>
      <x:c r="K6111" s="274" t="n">
        <x:v>774</x:v>
      </x:c>
      <x:c r="M6111" s="274" t="s">
        <x:v>6483</x:v>
      </x:c>
      <x:c r="N6111" s="274" t="s">
        <x:v>3671</x:v>
      </x:c>
    </x:row>
    <x:row r="6112" spans="1:14">
      <x:c r="A6112" s="274" t="s">
        <x:v>10283</x:v>
      </x:c>
      <x:c r="B6112" s="274" t="n">
        <x:v>6.24</x:v>
      </x:c>
      <x:c r="C6112" s="274" t="n">
        <x:v>0</x:v>
      </x:c>
      <x:c r="D6112" s="274" t="n">
        <x:v>45</x:v>
      </x:c>
      <x:c r="E6112" s="274" t="n">
        <x:v>40</x:v>
      </x:c>
      <x:c r="F6112" s="274" t="s">
        <x:v>333</x:v>
      </x:c>
      <x:c r="G6112" s="274" t="s">
        <x:v>124</x:v>
      </x:c>
      <x:c r="I6112" s="274" t="n">
        <x:v>1.4</x:v>
      </x:c>
      <x:c r="J6112" s="274" t="n">
        <x:v>1135</x:v>
      </x:c>
      <x:c r="K6112" s="274" t="n">
        <x:v>500</x:v>
      </x:c>
      <x:c r="M6112" s="274" t="s">
        <x:v>5883</x:v>
      </x:c>
      <x:c r="N6112" s="274" t="s">
        <x:v>3671</x:v>
      </x:c>
    </x:row>
    <x:row r="6113" spans="1:14">
      <x:c r="A6113" s="274" t="s">
        <x:v>10284</x:v>
      </x:c>
      <x:c r="B6113" s="274" t="n">
        <x:v>14.97</x:v>
      </x:c>
      <x:c r="C6113" s="274" t="n">
        <x:v>0</x:v>
      </x:c>
      <x:c r="D6113" s="274" t="n">
        <x:v>45</x:v>
      </x:c>
      <x:c r="E6113" s="274" t="n">
        <x:v>40</x:v>
      </x:c>
      <x:c r="F6113" s="274" t="s">
        <x:v>333</x:v>
      </x:c>
      <x:c r="G6113" s="274" t="s">
        <x:v>124</x:v>
      </x:c>
      <x:c r="I6113" s="274" t="n">
        <x:v>1.4</x:v>
      </x:c>
      <x:c r="J6113" s="274" t="n">
        <x:v>1135</x:v>
      </x:c>
      <x:c r="K6113" s="274" t="n">
        <x:v>1200</x:v>
      </x:c>
      <x:c r="M6113" s="274" t="s">
        <x:v>6486</x:v>
      </x:c>
      <x:c r="N6113" s="274" t="s">
        <x:v>3671</x:v>
      </x:c>
    </x:row>
    <x:row r="6114" spans="1:14">
      <x:c r="A6114" s="274" t="s">
        <x:v>10285</x:v>
      </x:c>
      <x:c r="B6114" s="274" t="n">
        <x:v>7.1</x:v>
      </x:c>
      <x:c r="C6114" s="274" t="n">
        <x:v>0</x:v>
      </x:c>
      <x:c r="D6114" s="274" t="n">
        <x:v>45</x:v>
      </x:c>
      <x:c r="E6114" s="274" t="n">
        <x:v>40</x:v>
      </x:c>
      <x:c r="F6114" s="274" t="s">
        <x:v>133</x:v>
      </x:c>
      <x:c r="G6114" s="274" t="s">
        <x:v>136</x:v>
      </x:c>
      <x:c r="H6114" s="274" t="n">
        <x:v>45</x:v>
      </x:c>
      <x:c r="I6114" s="274" t="n">
        <x:v>1.4</x:v>
      </x:c>
      <x:c r="J6114" s="274" t="n">
        <x:v>1425</x:v>
      </x:c>
      <x:c r="K6114" s="274" t="n">
        <x:v>450</x:v>
      </x:c>
      <x:c r="M6114" s="274" t="s">
        <x:v>5887</x:v>
      </x:c>
      <x:c r="N6114" s="274" t="s">
        <x:v>3671</x:v>
      </x:c>
    </x:row>
    <x:row r="6115" spans="1:14">
      <x:c r="A6115" s="274" t="s">
        <x:v>10286</x:v>
      </x:c>
      <x:c r="B6115" s="274" t="n">
        <x:v>7.13</x:v>
      </x:c>
      <x:c r="C6115" s="274" t="n">
        <x:v>0</x:v>
      </x:c>
      <x:c r="D6115" s="274" t="n">
        <x:v>45</x:v>
      </x:c>
      <x:c r="E6115" s="274" t="n">
        <x:v>40</x:v>
      </x:c>
      <x:c r="F6115" s="274" t="s">
        <x:v>333</x:v>
      </x:c>
      <x:c r="G6115" s="274" t="s">
        <x:v>334</x:v>
      </x:c>
      <x:c r="I6115" s="274" t="n">
        <x:v>1.6</x:v>
      </x:c>
      <x:c r="J6115" s="274" t="n">
        <x:v>1000</x:v>
      </x:c>
      <x:c r="K6115" s="274" t="n">
        <x:v>568</x:v>
      </x:c>
      <x:c r="M6115" s="274" t="s">
        <x:v>5891</x:v>
      </x:c>
      <x:c r="N6115" s="274" t="s">
        <x:v>3671</x:v>
      </x:c>
    </x:row>
    <x:row r="6116" spans="1:14">
      <x:c r="A6116" s="274" t="s">
        <x:v>10287</x:v>
      </x:c>
      <x:c r="B6116" s="274" t="n">
        <x:v>38.94</x:v>
      </x:c>
      <x:c r="C6116" s="274" t="n">
        <x:v>0</x:v>
      </x:c>
      <x:c r="D6116" s="274" t="n">
        <x:v>28</x:v>
      </x:c>
      <x:c r="E6116" s="274" t="n">
        <x:v>23</x:v>
      </x:c>
      <x:c r="F6116" s="274" t="s">
        <x:v>123</x:v>
      </x:c>
      <x:c r="G6116" s="274" t="s">
        <x:v>139</x:v>
      </x:c>
      <x:c r="I6116" s="274" t="n">
        <x:v>3.2</x:v>
      </x:c>
      <x:c r="J6116" s="274" t="n">
        <x:v>1240</x:v>
      </x:c>
      <x:c r="K6116" s="274" t="n">
        <x:v>1250</x:v>
      </x:c>
      <x:c r="M6116" s="274" t="s">
        <x:v>6496</x:v>
      </x:c>
      <x:c r="N6116" s="274" t="s">
        <x:v>3671</x:v>
      </x:c>
    </x:row>
    <x:row r="6117" spans="1:14">
      <x:c r="A6117" s="274" t="s">
        <x:v>10288</x:v>
      </x:c>
      <x:c r="B6117" s="274" t="n">
        <x:v>5.85</x:v>
      </x:c>
      <x:c r="C6117" s="274" t="n">
        <x:v>0</x:v>
      </x:c>
      <x:c r="D6117" s="274" t="n">
        <x:v>45</x:v>
      </x:c>
      <x:c r="E6117" s="274" t="n">
        <x:v>40</x:v>
      </x:c>
      <x:c r="F6117" s="274" t="s">
        <x:v>333</x:v>
      </x:c>
      <x:c r="G6117" s="274" t="s">
        <x:v>124</x:v>
      </x:c>
      <x:c r="I6117" s="274" t="n">
        <x:v>0.8</x:v>
      </x:c>
      <x:c r="J6117" s="274" t="n">
        <x:v>1275</x:v>
      </x:c>
      <x:c r="K6117" s="274" t="n">
        <x:v>730</x:v>
      </x:c>
      <x:c r="M6117" s="274" t="s">
        <x:v>6056</x:v>
      </x:c>
      <x:c r="N6117" s="274" t="s">
        <x:v>3671</x:v>
      </x:c>
    </x:row>
    <x:row r="6118" spans="1:14">
      <x:c r="A6118" s="274" t="s">
        <x:v>10289</x:v>
      </x:c>
      <x:c r="B6118" s="274" t="n">
        <x:v>8.45</x:v>
      </x:c>
      <x:c r="C6118" s="274" t="n">
        <x:v>0</x:v>
      </x:c>
      <x:c r="D6118" s="274" t="n">
        <x:v>33</x:v>
      </x:c>
      <x:c r="E6118" s="274" t="n">
        <x:v>28</x:v>
      </x:c>
      <x:c r="F6118" s="274" t="s">
        <x:v>333</x:v>
      </x:c>
      <x:c r="G6118" s="274" t="s">
        <x:v>124</x:v>
      </x:c>
      <x:c r="I6118" s="274" t="n">
        <x:v>2.3</x:v>
      </x:c>
      <x:c r="J6118" s="274" t="n">
        <x:v>975</x:v>
      </x:c>
      <x:c r="K6118" s="274" t="n">
        <x:v>480</x:v>
      </x:c>
      <x:c r="M6118" s="274" t="s">
        <x:v>6505</x:v>
      </x:c>
      <x:c r="N6118" s="274" t="s">
        <x:v>3671</x:v>
      </x:c>
    </x:row>
    <x:row r="6119" spans="1:14">
      <x:c r="A6119" s="274" t="s">
        <x:v>10290</x:v>
      </x:c>
      <x:c r="B6119" s="274" t="n">
        <x:v>6.75</x:v>
      </x:c>
      <x:c r="C6119" s="274" t="n">
        <x:v>0</x:v>
      </x:c>
      <x:c r="D6119" s="274" t="n">
        <x:v>45</x:v>
      </x:c>
      <x:c r="E6119" s="274" t="n">
        <x:v>40</x:v>
      </x:c>
      <x:c r="F6119" s="274" t="s">
        <x:v>333</x:v>
      </x:c>
      <x:c r="G6119" s="274" t="s">
        <x:v>153</x:v>
      </x:c>
      <x:c r="I6119" s="274" t="n">
        <x:v>2</x:v>
      </x:c>
      <x:c r="J6119" s="274" t="n">
        <x:v>860</x:v>
      </x:c>
      <x:c r="K6119" s="274" t="n">
        <x:v>500</x:v>
      </x:c>
      <x:c r="M6119" s="274" t="s">
        <x:v>5901</x:v>
      </x:c>
      <x:c r="N6119" s="274" t="s">
        <x:v>3671</x:v>
      </x:c>
    </x:row>
    <x:row r="6120" spans="1:14">
      <x:c r="A6120" s="274" t="s">
        <x:v>10291</x:v>
      </x:c>
      <x:c r="B6120" s="274" t="n">
        <x:v>2.17</x:v>
      </x:c>
      <x:c r="C6120" s="274" t="n">
        <x:v>0</x:v>
      </x:c>
      <x:c r="D6120" s="274" t="n">
        <x:v>45</x:v>
      </x:c>
      <x:c r="E6120" s="274" t="n">
        <x:v>40</x:v>
      </x:c>
      <x:c r="F6120" s="274" t="s">
        <x:v>333</x:v>
      </x:c>
      <x:c r="G6120" s="274" t="s">
        <x:v>153</x:v>
      </x:c>
      <x:c r="I6120" s="274" t="n">
        <x:v>0.9</x:v>
      </x:c>
      <x:c r="J6120" s="274" t="n">
        <x:v>990</x:v>
      </x:c>
      <x:c r="K6120" s="274" t="n">
        <x:v>310</x:v>
      </x:c>
      <x:c r="M6120" s="274" t="s">
        <x:v>5786</x:v>
      </x:c>
      <x:c r="N6120" s="274" t="s">
        <x:v>3671</x:v>
      </x:c>
    </x:row>
    <x:row r="6121" spans="1:14">
      <x:c r="A6121" s="274" t="s">
        <x:v>10292</x:v>
      </x:c>
      <x:c r="B6121" s="274" t="n">
        <x:v>13.12</x:v>
      </x:c>
      <x:c r="C6121" s="274" t="n">
        <x:v>0</x:v>
      </x:c>
      <x:c r="D6121" s="274" t="n">
        <x:v>42</x:v>
      </x:c>
      <x:c r="E6121" s="274" t="n">
        <x:v>37</x:v>
      </x:c>
      <x:c r="F6121" s="274" t="s">
        <x:v>133</x:v>
      </x:c>
      <x:c r="G6121" s="274" t="s">
        <x:v>136</x:v>
      </x:c>
      <x:c r="H6121" s="274" t="n">
        <x:v>45</x:v>
      </x:c>
      <x:c r="I6121" s="274" t="n">
        <x:v>2</x:v>
      </x:c>
      <x:c r="J6121" s="274" t="n">
        <x:v>1190</x:v>
      </x:c>
      <x:c r="K6121" s="274" t="n">
        <x:v>698</x:v>
      </x:c>
      <x:c r="M6121" s="274" t="s">
        <x:v>6512</x:v>
      </x:c>
      <x:c r="N6121" s="274" t="s">
        <x:v>4250</x:v>
      </x:c>
    </x:row>
    <x:row r="6122" spans="1:14">
      <x:c r="A6122" s="274" t="s">
        <x:v>10293</x:v>
      </x:c>
      <x:c r="B6122" s="274" t="n">
        <x:v>21.24</x:v>
      </x:c>
      <x:c r="C6122" s="274" t="n">
        <x:v>0</x:v>
      </x:c>
      <x:c r="D6122" s="274" t="n">
        <x:v>30</x:v>
      </x:c>
      <x:c r="E6122" s="274" t="n">
        <x:v>25</x:v>
      </x:c>
      <x:c r="F6122" s="274" t="s">
        <x:v>133</x:v>
      </x:c>
      <x:c r="G6122" s="274" t="s">
        <x:v>136</x:v>
      </x:c>
      <x:c r="H6122" s="274" t="n">
        <x:v>45</x:v>
      </x:c>
      <x:c r="I6122" s="274" t="n">
        <x:v>2</x:v>
      </x:c>
      <x:c r="J6122" s="274" t="n">
        <x:v>1190</x:v>
      </x:c>
      <x:c r="K6122" s="274" t="n">
        <x:v>1130</x:v>
      </x:c>
      <x:c r="M6122" s="274" t="s">
        <x:v>2048</x:v>
      </x:c>
      <x:c r="N6122" s="274" t="s">
        <x:v>299</x:v>
      </x:c>
    </x:row>
    <x:row r="6123" spans="1:14">
      <x:c r="A6123" s="274" t="s">
        <x:v>10294</x:v>
      </x:c>
      <x:c r="B6123" s="274" t="n">
        <x:v>10.1</x:v>
      </x:c>
      <x:c r="C6123" s="274" t="n">
        <x:v>0</x:v>
      </x:c>
      <x:c r="D6123" s="274" t="n">
        <x:v>45</x:v>
      </x:c>
      <x:c r="E6123" s="274" t="n">
        <x:v>40</x:v>
      </x:c>
      <x:c r="F6123" s="274" t="s">
        <x:v>123</x:v>
      </x:c>
      <x:c r="G6123" s="274" t="s">
        <x:v>209</x:v>
      </x:c>
      <x:c r="I6123" s="274" t="n">
        <x:v>1.6</x:v>
      </x:c>
      <x:c r="J6123" s="274" t="n">
        <x:v>1005</x:v>
      </x:c>
      <x:c r="K6123" s="274" t="n">
        <x:v>800</x:v>
      </x:c>
      <x:c r="M6123" s="274" t="s">
        <x:v>1192</x:v>
      </x:c>
      <x:c r="N6123" s="274" t="s">
        <x:v>465</x:v>
      </x:c>
    </x:row>
    <x:row r="6124" spans="1:14">
      <x:c r="A6124" s="274" t="s">
        <x:v>10295</x:v>
      </x:c>
      <x:c r="B6124" s="274" t="n">
        <x:v>3.5</x:v>
      </x:c>
      <x:c r="C6124" s="274" t="n">
        <x:v>0</x:v>
      </x:c>
      <x:c r="D6124" s="274" t="n">
        <x:v>45</x:v>
      </x:c>
      <x:c r="E6124" s="274" t="n">
        <x:v>40</x:v>
      </x:c>
      <x:c r="F6124" s="274" t="s">
        <x:v>184</x:v>
      </x:c>
      <x:c r="G6124" s="274" t="s">
        <x:v>136</x:v>
      </x:c>
      <x:c r="H6124" s="274" t="n">
        <x:v>45</x:v>
      </x:c>
      <x:c r="I6124" s="274" t="n">
        <x:v>0.65</x:v>
      </x:c>
      <x:c r="J6124" s="274" t="n">
        <x:v>1456</x:v>
      </x:c>
      <x:c r="K6124" s="274" t="n">
        <x:v>463</x:v>
      </x:c>
      <x:c r="M6124" s="274" t="s">
        <x:v>6520</x:v>
      </x:c>
      <x:c r="N6124" s="274" t="s">
        <x:v>131</x:v>
      </x:c>
    </x:row>
    <x:row r="6125" spans="1:14">
      <x:c r="A6125" s="274" t="s">
        <x:v>10296</x:v>
      </x:c>
      <x:c r="B6125" s="274" t="n">
        <x:v>8.52</x:v>
      </x:c>
      <x:c r="C6125" s="274" t="n">
        <x:v>0</x:v>
      </x:c>
      <x:c r="D6125" s="274" t="n">
        <x:v>35</x:v>
      </x:c>
      <x:c r="E6125" s="274" t="n">
        <x:v>30</x:v>
      </x:c>
      <x:c r="F6125" s="274" t="s">
        <x:v>184</x:v>
      </x:c>
      <x:c r="G6125" s="274" t="s">
        <x:v>4782</x:v>
      </x:c>
      <x:c r="H6125" s="274" t="s">
        <x:v>4471</x:v>
      </x:c>
      <x:c r="I6125" s="274" t="n">
        <x:v>0.8</x:v>
      </x:c>
      <x:c r="J6125" s="274" t="n">
        <x:v>1085</x:v>
      </x:c>
      <x:c r="K6125" s="274" t="n">
        <x:v>1250</x:v>
      </x:c>
      <x:c r="M6125" s="274" t="s">
        <x:v>4725</x:v>
      </x:c>
      <x:c r="N6125" s="274" t="s">
        <x:v>5047</x:v>
      </x:c>
    </x:row>
    <x:row r="6126" spans="1:14">
      <x:c r="A6126" s="274" t="s">
        <x:v>10297</x:v>
      </x:c>
      <x:c r="B6126" s="274" t="n">
        <x:v>2.69</x:v>
      </x:c>
      <x:c r="C6126" s="274" t="n">
        <x:v>0</x:v>
      </x:c>
      <x:c r="D6126" s="274" t="n">
        <x:v>45</x:v>
      </x:c>
      <x:c r="E6126" s="274" t="n">
        <x:v>40</x:v>
      </x:c>
      <x:c r="F6126" s="274" t="s">
        <x:v>333</x:v>
      </x:c>
      <x:c r="G6126" s="274" t="s">
        <x:v>2468</x:v>
      </x:c>
      <x:c r="I6126" s="274" t="n">
        <x:v>0.6</x:v>
      </x:c>
      <x:c r="J6126" s="274" t="n">
        <x:v>1065</x:v>
      </x:c>
      <x:c r="K6126" s="274" t="n">
        <x:v>536</x:v>
      </x:c>
      <x:c r="M6126" s="274" t="s">
        <x:v>4518</x:v>
      </x:c>
      <x:c r="N6126" s="274" t="s">
        <x:v>3984</x:v>
      </x:c>
    </x:row>
    <x:row r="6127" spans="1:14">
      <x:c r="A6127" s="274" t="s">
        <x:v>10298</x:v>
      </x:c>
      <x:c r="B6127" s="274" t="n">
        <x:v>7.74</x:v>
      </x:c>
      <x:c r="C6127" s="274" t="n">
        <x:v>0</x:v>
      </x:c>
      <x:c r="D6127" s="274" t="n">
        <x:v>40</x:v>
      </x:c>
      <x:c r="E6127" s="274" t="n">
        <x:v>35</x:v>
      </x:c>
      <x:c r="F6127" s="274" t="s">
        <x:v>333</x:v>
      </x:c>
      <x:c r="G6127" s="274" t="s">
        <x:v>153</x:v>
      </x:c>
      <x:c r="I6127" s="274" t="n">
        <x:v>0.9</x:v>
      </x:c>
      <x:c r="J6127" s="274" t="n">
        <x:v>990</x:v>
      </x:c>
      <x:c r="K6127" s="274" t="n">
        <x:v>1107</x:v>
      </x:c>
      <x:c r="M6127" s="274" t="s">
        <x:v>6537</x:v>
      </x:c>
      <x:c r="N6127" s="274" t="s">
        <x:v>3671</x:v>
      </x:c>
    </x:row>
    <x:row r="6128" spans="1:14">
      <x:c r="A6128" s="274" t="s">
        <x:v>10299</x:v>
      </x:c>
      <x:c r="B6128" s="274" t="n">
        <x:v>7.39</x:v>
      </x:c>
      <x:c r="C6128" s="274" t="n">
        <x:v>0</x:v>
      </x:c>
      <x:c r="D6128" s="274" t="n">
        <x:v>45</x:v>
      </x:c>
      <x:c r="E6128" s="274" t="n">
        <x:v>40</x:v>
      </x:c>
      <x:c r="F6128" s="274" t="s">
        <x:v>333</x:v>
      </x:c>
      <x:c r="G6128" s="274" t="s">
        <x:v>153</x:v>
      </x:c>
      <x:c r="I6128" s="274" t="n">
        <x:v>1.6</x:v>
      </x:c>
      <x:c r="J6128" s="274" t="n">
        <x:v>1100</x:v>
      </x:c>
      <x:c r="K6128" s="274" t="n">
        <x:v>535</x:v>
      </x:c>
      <x:c r="M6128" s="274" t="s">
        <x:v>6539</x:v>
      </x:c>
      <x:c r="N6128" s="274" t="s">
        <x:v>5222</x:v>
      </x:c>
    </x:row>
    <x:row r="6129" spans="1:14">
      <x:c r="A6129" s="274" t="s">
        <x:v>10300</x:v>
      </x:c>
      <x:c r="B6129" s="274" t="n">
        <x:v>18.82</x:v>
      </x:c>
      <x:c r="C6129" s="274" t="n">
        <x:v>0</x:v>
      </x:c>
      <x:c r="D6129" s="274" t="n">
        <x:v>35</x:v>
      </x:c>
      <x:c r="E6129" s="274" t="n">
        <x:v>30</x:v>
      </x:c>
      <x:c r="F6129" s="274" t="s">
        <x:v>128</x:v>
      </x:c>
      <x:c r="G6129" s="274" t="s">
        <x:v>496</x:v>
      </x:c>
      <x:c r="H6129" s="274" t="n">
        <x:v>45</x:v>
      </x:c>
      <x:c r="I6129" s="274" t="n">
        <x:v>1.6</x:v>
      </x:c>
      <x:c r="J6129" s="274" t="n">
        <x:v>1190</x:v>
      </x:c>
      <x:c r="K6129" s="274" t="n">
        <x:v>1250</x:v>
      </x:c>
      <x:c r="M6129" s="274" t="s">
        <x:v>6541</x:v>
      </x:c>
      <x:c r="N6129" s="274" t="s">
        <x:v>3671</x:v>
      </x:c>
    </x:row>
    <x:row r="6130" spans="1:14">
      <x:c r="A6130" s="274" t="s">
        <x:v>10301</x:v>
      </x:c>
      <x:c r="B6130" s="274" t="n">
        <x:v>5.31</x:v>
      </x:c>
      <x:c r="C6130" s="274" t="n">
        <x:v>0</x:v>
      </x:c>
      <x:c r="D6130" s="274" t="n">
        <x:v>45</x:v>
      </x:c>
      <x:c r="E6130" s="274" t="n">
        <x:v>40</x:v>
      </x:c>
      <x:c r="F6130" s="274" t="s">
        <x:v>123</x:v>
      </x:c>
      <x:c r="G6130" s="274" t="s">
        <x:v>881</x:v>
      </x:c>
      <x:c r="H6130" s="274" t="n">
        <x:v>45</x:v>
      </x:c>
      <x:c r="I6130" s="274" t="n">
        <x:v>0.9</x:v>
      </x:c>
      <x:c r="J6130" s="274" t="n">
        <x:v>1075</x:v>
      </x:c>
      <x:c r="K6130" s="274" t="n">
        <x:v>690</x:v>
      </x:c>
      <x:c r="M6130" s="274" t="s">
        <x:v>6545</x:v>
      </x:c>
      <x:c r="N6130" s="274" t="s">
        <x:v>6437</x:v>
      </x:c>
    </x:row>
    <x:row r="6131" spans="1:14">
      <x:c r="A6131" s="274" t="s">
        <x:v>10302</x:v>
      </x:c>
      <x:c r="B6131" s="274" t="n">
        <x:v>6.38</x:v>
      </x:c>
      <x:c r="C6131" s="274" t="n">
        <x:v>0</x:v>
      </x:c>
      <x:c r="D6131" s="274" t="n">
        <x:v>40</x:v>
      </x:c>
      <x:c r="E6131" s="274" t="n">
        <x:v>35</x:v>
      </x:c>
      <x:c r="F6131" s="274" t="s">
        <x:v>333</x:v>
      </x:c>
      <x:c r="G6131" s="274" t="s">
        <x:v>153</x:v>
      </x:c>
      <x:c r="I6131" s="274" t="n">
        <x:v>1.2</x:v>
      </x:c>
      <x:c r="J6131" s="274" t="n">
        <x:v>1290</x:v>
      </x:c>
      <x:c r="K6131" s="274" t="n">
        <x:v>525</x:v>
      </x:c>
      <x:c r="M6131" s="274" t="s">
        <x:v>6466</x:v>
      </x:c>
      <x:c r="N6131" s="274" t="s">
        <x:v>6437</x:v>
      </x:c>
    </x:row>
    <x:row r="6132" spans="1:14">
      <x:c r="A6132" s="274" t="s">
        <x:v>10303</x:v>
      </x:c>
      <x:c r="B6132" s="274" t="n">
        <x:v>1.96</x:v>
      </x:c>
      <x:c r="C6132" s="274" t="n">
        <x:v>0</x:v>
      </x:c>
      <x:c r="D6132" s="274" t="n">
        <x:v>45</x:v>
      </x:c>
      <x:c r="E6132" s="274" t="n">
        <x:v>40</x:v>
      </x:c>
      <x:c r="F6132" s="274" t="s">
        <x:v>123</x:v>
      </x:c>
      <x:c r="G6132" s="274" t="s">
        <x:v>129</x:v>
      </x:c>
      <x:c r="H6132" s="274" t="n">
        <x:v>45</x:v>
      </x:c>
      <x:c r="I6132" s="274" t="n">
        <x:v>0.7</x:v>
      </x:c>
      <x:c r="J6132" s="274" t="n">
        <x:v>1110</x:v>
      </x:c>
      <x:c r="K6132" s="274" t="n">
        <x:v>316</x:v>
      </x:c>
      <x:c r="M6132" s="274" t="s">
        <x:v>6339</x:v>
      </x:c>
      <x:c r="N6132" s="274" t="s">
        <x:v>6437</x:v>
      </x:c>
    </x:row>
    <x:row r="6133" spans="1:14">
      <x:c r="A6133" s="274" t="s">
        <x:v>10304</x:v>
      </x:c>
      <x:c r="B6133" s="274" t="n">
        <x:v>27.68</x:v>
      </x:c>
      <x:c r="C6133" s="274" t="n">
        <x:v>0</x:v>
      </x:c>
      <x:c r="D6133" s="274" t="n">
        <x:v>28</x:v>
      </x:c>
      <x:c r="E6133" s="274" t="n">
        <x:v>23</x:v>
      </x:c>
      <x:c r="F6133" s="274" t="s">
        <x:v>133</x:v>
      </x:c>
      <x:c r="G6133" s="274" t="s">
        <x:v>134</x:v>
      </x:c>
      <x:c r="I6133" s="274" t="n">
        <x:v>2.6</x:v>
      </x:c>
      <x:c r="J6133" s="274" t="n">
        <x:v>1130</x:v>
      </x:c>
      <x:c r="K6133" s="274" t="n">
        <x:v>1200</x:v>
      </x:c>
      <x:c r="M6133" s="274" t="s">
        <x:v>4452</x:v>
      </x:c>
      <x:c r="N6133" s="274" t="s">
        <x:v>6437</x:v>
      </x:c>
    </x:row>
    <x:row r="6134" spans="1:14">
      <x:c r="A6134" s="274" t="s">
        <x:v>10305</x:v>
      </x:c>
      <x:c r="B6134" s="274" t="n">
        <x:v>12.36</x:v>
      </x:c>
      <x:c r="C6134" s="274" t="n">
        <x:v>0</x:v>
      </x:c>
      <x:c r="D6134" s="274" t="n">
        <x:v>35</x:v>
      </x:c>
      <x:c r="E6134" s="274" t="n">
        <x:v>30</x:v>
      </x:c>
      <x:c r="F6134" s="274" t="s">
        <x:v>333</x:v>
      </x:c>
      <x:c r="G6134" s="274" t="s">
        <x:v>153</x:v>
      </x:c>
      <x:c r="I6134" s="274" t="n">
        <x:v>1.2</x:v>
      </x:c>
      <x:c r="J6134" s="274" t="n">
        <x:v>1050</x:v>
      </x:c>
      <x:c r="K6134" s="274" t="n">
        <x:v>1250</x:v>
      </x:c>
      <x:c r="M6134" s="274" t="s">
        <x:v>6565</x:v>
      </x:c>
      <x:c r="N6134" s="274" t="s">
        <x:v>3671</x:v>
      </x:c>
    </x:row>
    <x:row r="6135" spans="1:14">
      <x:c r="A6135" s="274" t="s">
        <x:v>10306</x:v>
      </x:c>
      <x:c r="B6135" s="274" t="n">
        <x:v>20.8</x:v>
      </x:c>
      <x:c r="C6135" s="274" t="n">
        <x:v>0</x:v>
      </x:c>
      <x:c r="D6135" s="274" t="n">
        <x:v>28</x:v>
      </x:c>
      <x:c r="E6135" s="274" t="n">
        <x:v>23</x:v>
      </x:c>
      <x:c r="F6135" s="274" t="s">
        <x:v>123</x:v>
      </x:c>
      <x:c r="G6135" s="274" t="s">
        <x:v>6196</x:v>
      </x:c>
      <x:c r="I6135" s="274" t="n">
        <x:v>2</x:v>
      </x:c>
      <x:c r="J6135" s="274" t="n">
        <x:v>1060</x:v>
      </x:c>
      <x:c r="K6135" s="274" t="n">
        <x:v>1250</x:v>
      </x:c>
      <x:c r="M6135" s="274" t="s">
        <x:v>6565</x:v>
      </x:c>
      <x:c r="N6135" s="274" t="s">
        <x:v>3671</x:v>
      </x:c>
    </x:row>
    <x:row r="6136" spans="1:14">
      <x:c r="A6136" s="274" t="s">
        <x:v>10307</x:v>
      </x:c>
      <x:c r="B6136" s="274" t="n">
        <x:v>25.27</x:v>
      </x:c>
      <x:c r="C6136" s="274" t="n">
        <x:v>0</x:v>
      </x:c>
      <x:c r="D6136" s="274" t="n">
        <x:v>30</x:v>
      </x:c>
      <x:c r="E6136" s="274" t="n">
        <x:v>25</x:v>
      </x:c>
      <x:c r="F6136" s="274" t="s">
        <x:v>133</x:v>
      </x:c>
      <x:c r="G6136" s="274" t="s">
        <x:v>148</x:v>
      </x:c>
      <x:c r="I6136" s="274" t="n">
        <x:v>2.6</x:v>
      </x:c>
      <x:c r="J6136" s="274" t="n">
        <x:v>1105</x:v>
      </x:c>
      <x:c r="K6136" s="274" t="n">
        <x:v>1120</x:v>
      </x:c>
      <x:c r="M6136" s="274" t="s">
        <x:v>6558</x:v>
      </x:c>
      <x:c r="N6136" s="274" t="s">
        <x:v>5222</x:v>
      </x:c>
    </x:row>
    <x:row r="6137" spans="1:14">
      <x:c r="A6137" s="274" t="s">
        <x:v>10308</x:v>
      </x:c>
      <x:c r="B6137" s="274" t="n">
        <x:v>22.94</x:v>
      </x:c>
      <x:c r="C6137" s="274" t="n">
        <x:v>0</x:v>
      </x:c>
      <x:c r="D6137" s="274" t="n">
        <x:v>31</x:v>
      </x:c>
      <x:c r="E6137" s="274" t="n">
        <x:v>26</x:v>
      </x:c>
      <x:c r="F6137" s="274" t="s">
        <x:v>133</x:v>
      </x:c>
      <x:c r="G6137" s="274" t="s">
        <x:v>148</x:v>
      </x:c>
      <x:c r="I6137" s="274" t="n">
        <x:v>2.6</x:v>
      </x:c>
      <x:c r="J6137" s="274" t="n">
        <x:v>1105</x:v>
      </x:c>
      <x:c r="K6137" s="274" t="n">
        <x:v>1017</x:v>
      </x:c>
      <x:c r="M6137" s="274" t="s">
        <x:v>2195</x:v>
      </x:c>
      <x:c r="N6137" s="274" t="s">
        <x:v>5222</x:v>
      </x:c>
    </x:row>
    <x:row r="6138" spans="1:14">
      <x:c r="A6138" s="274" t="s">
        <x:v>10309</x:v>
      </x:c>
      <x:c r="B6138" s="274" t="n">
        <x:v>21.29</x:v>
      </x:c>
      <x:c r="C6138" s="274" t="n">
        <x:v>0</x:v>
      </x:c>
      <x:c r="D6138" s="274" t="n">
        <x:v>35</x:v>
      </x:c>
      <x:c r="E6138" s="274" t="n">
        <x:v>30</x:v>
      </x:c>
      <x:c r="F6138" s="274" t="s">
        <x:v>133</x:v>
      </x:c>
      <x:c r="G6138" s="274" t="s">
        <x:v>134</x:v>
      </x:c>
      <x:c r="I6138" s="274" t="n">
        <x:v>2</x:v>
      </x:c>
      <x:c r="J6138" s="274" t="n">
        <x:v>1085</x:v>
      </x:c>
      <x:c r="K6138" s="274" t="n">
        <x:v>1250</x:v>
      </x:c>
      <x:c r="M6138" s="274" t="s">
        <x:v>4606</x:v>
      </x:c>
      <x:c r="N6138" s="274" t="s">
        <x:v>3671</x:v>
      </x:c>
    </x:row>
    <x:row r="6139" spans="1:14">
      <x:c r="A6139" s="274" t="s">
        <x:v>10310</x:v>
      </x:c>
      <x:c r="B6139" s="274" t="n">
        <x:v>13.35</x:v>
      </x:c>
      <x:c r="C6139" s="274" t="n">
        <x:v>0</x:v>
      </x:c>
      <x:c r="D6139" s="274" t="n">
        <x:v>35</x:v>
      </x:c>
      <x:c r="E6139" s="274" t="n">
        <x:v>30</x:v>
      </x:c>
      <x:c r="F6139" s="274" t="s">
        <x:v>133</x:v>
      </x:c>
      <x:c r="G6139" s="274" t="s">
        <x:v>136</x:v>
      </x:c>
      <x:c r="H6139" s="274" t="n">
        <x:v>45</x:v>
      </x:c>
      <x:c r="I6139" s="274" t="n">
        <x:v>1</x:v>
      </x:c>
      <x:c r="J6139" s="274" t="n">
        <x:v>1345</x:v>
      </x:c>
      <x:c r="K6139" s="274" t="n">
        <x:v>1250</x:v>
      </x:c>
      <x:c r="M6139" s="274" t="s">
        <x:v>6580</x:v>
      </x:c>
      <x:c r="N6139" s="274" t="s">
        <x:v>3671</x:v>
      </x:c>
    </x:row>
    <x:row r="6140" spans="1:14">
      <x:c r="A6140" s="274" t="s">
        <x:v>10311</x:v>
      </x:c>
      <x:c r="B6140" s="274" t="n">
        <x:v>18.82</x:v>
      </x:c>
      <x:c r="C6140" s="274" t="n">
        <x:v>0</x:v>
      </x:c>
      <x:c r="D6140" s="274" t="n">
        <x:v>35</x:v>
      </x:c>
      <x:c r="E6140" s="274" t="n">
        <x:v>30</x:v>
      </x:c>
      <x:c r="F6140" s="274" t="s">
        <x:v>128</x:v>
      </x:c>
      <x:c r="G6140" s="274" t="s">
        <x:v>496</x:v>
      </x:c>
      <x:c r="H6140" s="274" t="n">
        <x:v>45</x:v>
      </x:c>
      <x:c r="I6140" s="274" t="n">
        <x:v>1.6</x:v>
      </x:c>
      <x:c r="J6140" s="274" t="n">
        <x:v>1190</x:v>
      </x:c>
      <x:c r="K6140" s="274" t="n">
        <x:v>1250</x:v>
      </x:c>
      <x:c r="M6140" s="274" t="s">
        <x:v>6584</x:v>
      </x:c>
      <x:c r="N6140" s="274" t="s">
        <x:v>3671</x:v>
      </x:c>
    </x:row>
    <x:row r="6141" spans="1:14">
      <x:c r="A6141" s="274" t="s">
        <x:v>10312</x:v>
      </x:c>
      <x:c r="B6141" s="274" t="n">
        <x:v>3.39</x:v>
      </x:c>
      <x:c r="C6141" s="274" t="n">
        <x:v>0</x:v>
      </x:c>
      <x:c r="D6141" s="274" t="n">
        <x:v>45</x:v>
      </x:c>
      <x:c r="E6141" s="274" t="n">
        <x:v>40</x:v>
      </x:c>
      <x:c r="F6141" s="274" t="s">
        <x:v>333</x:v>
      </x:c>
      <x:c r="G6141" s="274" t="s">
        <x:v>209</x:v>
      </x:c>
      <x:c r="I6141" s="274" t="n">
        <x:v>1</x:v>
      </x:c>
      <x:c r="J6141" s="274" t="n">
        <x:v>1200</x:v>
      </x:c>
      <x:c r="K6141" s="274" t="n">
        <x:v>360</x:v>
      </x:c>
      <x:c r="M6141" s="274" t="s">
        <x:v>6594</x:v>
      </x:c>
      <x:c r="N6141" s="274" t="s">
        <x:v>3671</x:v>
      </x:c>
    </x:row>
    <x:row r="6142" spans="1:14">
      <x:c r="A6142" s="274" t="s">
        <x:v>10313</x:v>
      </x:c>
      <x:c r="B6142" s="274" t="n">
        <x:v>2.92</x:v>
      </x:c>
      <x:c r="C6142" s="274" t="n">
        <x:v>0</x:v>
      </x:c>
      <x:c r="D6142" s="274" t="n">
        <x:v>45</x:v>
      </x:c>
      <x:c r="E6142" s="274" t="n">
        <x:v>40</x:v>
      </x:c>
      <x:c r="F6142" s="274" t="s">
        <x:v>133</x:v>
      </x:c>
      <x:c r="G6142" s="274" t="s">
        <x:v>136</x:v>
      </x:c>
      <x:c r="H6142" s="274" t="n">
        <x:v>45</x:v>
      </x:c>
      <x:c r="I6142" s="274" t="n">
        <x:v>0.6</x:v>
      </x:c>
      <x:c r="J6142" s="274" t="n">
        <x:v>1050</x:v>
      </x:c>
      <x:c r="K6142" s="274" t="n">
        <x:v>580</x:v>
      </x:c>
      <x:c r="M6142" s="274" t="s">
        <x:v>573</x:v>
      </x:c>
      <x:c r="N6142" s="274" t="s">
        <x:v>299</x:v>
      </x:c>
    </x:row>
    <x:row r="6143" spans="1:14">
      <x:c r="A6143" s="274" t="s">
        <x:v>10314</x:v>
      </x:c>
      <x:c r="B6143" s="274" t="n">
        <x:v>12.32</x:v>
      </x:c>
      <x:c r="C6143" s="274" t="n">
        <x:v>0</x:v>
      </x:c>
      <x:c r="D6143" s="274" t="n">
        <x:v>35</x:v>
      </x:c>
      <x:c r="E6143" s="274" t="n">
        <x:v>30</x:v>
      </x:c>
      <x:c r="F6143" s="274" t="s">
        <x:v>184</x:v>
      </x:c>
      <x:c r="G6143" s="274" t="s">
        <x:v>4782</x:v>
      </x:c>
      <x:c r="H6143" s="274" t="s">
        <x:v>4471</x:v>
      </x:c>
      <x:c r="I6143" s="274" t="n">
        <x:v>1</x:v>
      </x:c>
      <x:c r="J6143" s="274" t="n">
        <x:v>1250</x:v>
      </x:c>
      <x:c r="K6143" s="274" t="n">
        <x:v>1255</x:v>
      </x:c>
      <x:c r="M6143" s="274" t="s">
        <x:v>6610</x:v>
      </x:c>
      <x:c r="N6143" s="274" t="s">
        <x:v>5073</x:v>
      </x:c>
    </x:row>
    <x:row r="6144" spans="1:14">
      <x:c r="A6144" s="274" t="s">
        <x:v>10315</x:v>
      </x:c>
      <x:c r="B6144" s="274" t="n">
        <x:v>12.95</x:v>
      </x:c>
      <x:c r="C6144" s="274" t="n">
        <x:v>0</x:v>
      </x:c>
      <x:c r="D6144" s="274" t="n">
        <x:v>35</x:v>
      </x:c>
      <x:c r="E6144" s="274" t="n">
        <x:v>30</x:v>
      </x:c>
      <x:c r="F6144" s="274" t="s">
        <x:v>333</x:v>
      </x:c>
      <x:c r="G6144" s="274" t="s">
        <x:v>4663</x:v>
      </x:c>
      <x:c r="I6144" s="274" t="n">
        <x:v>1.2</x:v>
      </x:c>
      <x:c r="J6144" s="274" t="n">
        <x:v>1100</x:v>
      </x:c>
      <x:c r="K6144" s="274" t="n">
        <x:v>1250</x:v>
      </x:c>
      <x:c r="M6144" s="274" t="s">
        <x:v>10316</x:v>
      </x:c>
      <x:c r="N6144" s="274" t="s">
        <x:v>5073</x:v>
      </x:c>
    </x:row>
    <x:row r="6145" spans="1:14">
      <x:c r="A6145" s="274" t="s">
        <x:v>10317</x:v>
      </x:c>
      <x:c r="B6145" s="274" t="n">
        <x:v>14.22</x:v>
      </x:c>
      <x:c r="C6145" s="274" t="n">
        <x:v>0</x:v>
      </x:c>
      <x:c r="D6145" s="274" t="n">
        <x:v>35</x:v>
      </x:c>
      <x:c r="E6145" s="274" t="n">
        <x:v>30</x:v>
      </x:c>
      <x:c r="F6145" s="274" t="s">
        <x:v>184</x:v>
      </x:c>
      <x:c r="G6145" s="274" t="s">
        <x:v>4782</x:v>
      </x:c>
      <x:c r="H6145" s="274" t="s">
        <x:v>4471</x:v>
      </x:c>
      <x:c r="I6145" s="274" t="n">
        <x:v>1.2</x:v>
      </x:c>
      <x:c r="J6145" s="274" t="n">
        <x:v>1208</x:v>
      </x:c>
      <x:c r="K6145" s="274" t="n">
        <x:v>1250</x:v>
      </x:c>
      <x:c r="M6145" s="274" t="s">
        <x:v>6773</x:v>
      </x:c>
      <x:c r="N6145" s="274" t="s">
        <x:v>5073</x:v>
      </x:c>
    </x:row>
    <x:row r="6146" spans="1:14">
      <x:c r="A6146" s="274" t="s">
        <x:v>10318</x:v>
      </x:c>
      <x:c r="B6146" s="274" t="n">
        <x:v>17.11</x:v>
      </x:c>
      <x:c r="C6146" s="274" t="n">
        <x:v>0</x:v>
      </x:c>
      <x:c r="D6146" s="274" t="n">
        <x:v>35</x:v>
      </x:c>
      <x:c r="E6146" s="274" t="n">
        <x:v>30</x:v>
      </x:c>
      <x:c r="F6146" s="274" t="s">
        <x:v>123</x:v>
      </x:c>
      <x:c r="G6146" s="274" t="s">
        <x:v>4299</x:v>
      </x:c>
      <x:c r="I6146" s="274" t="n">
        <x:v>1.6</x:v>
      </x:c>
      <x:c r="J6146" s="274" t="n">
        <x:v>1090</x:v>
      </x:c>
      <x:c r="K6146" s="274" t="n">
        <x:v>1250</x:v>
      </x:c>
      <x:c r="M6146" s="274" t="s">
        <x:v>8024</x:v>
      </x:c>
      <x:c r="N6146" s="274" t="s">
        <x:v>4258</x:v>
      </x:c>
    </x:row>
    <x:row r="6147" spans="1:14">
      <x:c r="A6147" s="274" t="s">
        <x:v>10319</x:v>
      </x:c>
      <x:c r="B6147" s="274" t="n">
        <x:v>17.27</x:v>
      </x:c>
      <x:c r="C6147" s="274" t="n">
        <x:v>0</x:v>
      </x:c>
      <x:c r="D6147" s="274" t="n">
        <x:v>35</x:v>
      </x:c>
      <x:c r="E6147" s="274" t="n">
        <x:v>30</x:v>
      </x:c>
      <x:c r="F6147" s="274" t="s">
        <x:v>184</x:v>
      </x:c>
      <x:c r="G6147" s="274" t="s">
        <x:v>4782</x:v>
      </x:c>
      <x:c r="H6147" s="274" t="s">
        <x:v>4471</x:v>
      </x:c>
      <x:c r="I6147" s="274" t="n">
        <x:v>1.6</x:v>
      </x:c>
      <x:c r="J6147" s="274" t="n">
        <x:v>1100</x:v>
      </x:c>
      <x:c r="K6147" s="274" t="n">
        <x:v>1250</x:v>
      </x:c>
      <x:c r="M6147" s="274" t="s">
        <x:v>6635</x:v>
      </x:c>
      <x:c r="N6147" s="274" t="s">
        <x:v>5073</x:v>
      </x:c>
    </x:row>
    <x:row r="6148" spans="1:14">
      <x:c r="A6148" s="274" t="s">
        <x:v>10320</x:v>
      </x:c>
      <x:c r="B6148" s="274" t="n">
        <x:v>5.22</x:v>
      </x:c>
      <x:c r="C6148" s="274" t="n">
        <x:v>0</x:v>
      </x:c>
      <x:c r="D6148" s="274" t="n">
        <x:v>45</x:v>
      </x:c>
      <x:c r="E6148" s="274" t="n">
        <x:v>40</x:v>
      </x:c>
      <x:c r="F6148" s="274" t="s">
        <x:v>333</x:v>
      </x:c>
      <x:c r="G6148" s="274" t="s">
        <x:v>4663</x:v>
      </x:c>
      <x:c r="I6148" s="274" t="n">
        <x:v>1.6</x:v>
      </x:c>
      <x:c r="J6148" s="274" t="n">
        <x:v>1300</x:v>
      </x:c>
      <x:c r="K6148" s="274" t="n">
        <x:v>320</x:v>
      </x:c>
      <x:c r="M6148" s="274" t="s">
        <x:v>6835</x:v>
      </x:c>
      <x:c r="N6148" s="274" t="s">
        <x:v>5073</x:v>
      </x:c>
    </x:row>
    <x:row r="6149" spans="1:14">
      <x:c r="A6149" s="274" t="s">
        <x:v>10321</x:v>
      </x:c>
      <x:c r="B6149" s="274" t="n">
        <x:v>1.96</x:v>
      </x:c>
      <x:c r="C6149" s="274" t="n">
        <x:v>0</x:v>
      </x:c>
      <x:c r="D6149" s="274" t="n">
        <x:v>45</x:v>
      </x:c>
      <x:c r="E6149" s="274" t="n">
        <x:v>40</x:v>
      </x:c>
      <x:c r="F6149" s="274" t="s">
        <x:v>333</x:v>
      </x:c>
      <x:c r="G6149" s="274" t="s">
        <x:v>209</x:v>
      </x:c>
      <x:c r="I6149" s="274" t="n">
        <x:v>0.65</x:v>
      </x:c>
      <x:c r="J6149" s="274" t="n">
        <x:v>935</x:v>
      </x:c>
      <x:c r="K6149" s="274" t="n">
        <x:v>410</x:v>
      </x:c>
      <x:c r="M6149" s="274" t="s">
        <x:v>6648</x:v>
      </x:c>
      <x:c r="N6149" s="274" t="s">
        <x:v>3671</x:v>
      </x:c>
    </x:row>
    <x:row r="6150" spans="1:14">
      <x:c r="A6150" s="274" t="s">
        <x:v>10322</x:v>
      </x:c>
      <x:c r="B6150" s="274" t="n">
        <x:v>7</x:v>
      </x:c>
      <x:c r="C6150" s="274" t="n">
        <x:v>0</x:v>
      </x:c>
      <x:c r="D6150" s="274" t="n">
        <x:v>37</x:v>
      </x:c>
      <x:c r="E6150" s="274" t="n">
        <x:v>32</x:v>
      </x:c>
      <x:c r="F6150" s="274" t="s">
        <x:v>133</x:v>
      </x:c>
      <x:c r="G6150" s="274" t="s">
        <x:v>136</x:v>
      </x:c>
      <x:c r="H6150" s="274" t="n">
        <x:v>45</x:v>
      </x:c>
      <x:c r="I6150" s="274" t="n">
        <x:v>0.7</x:v>
      </x:c>
      <x:c r="J6150" s="274" t="n">
        <x:v>1045</x:v>
      </x:c>
      <x:c r="K6150" s="274" t="n">
        <x:v>1200</x:v>
      </x:c>
      <x:c r="M6150" s="274" t="s">
        <x:v>5492</x:v>
      </x:c>
      <x:c r="N6150" s="274" t="s">
        <x:v>3671</x:v>
      </x:c>
    </x:row>
    <x:row r="6151" spans="1:14">
      <x:c r="A6151" s="274" t="s">
        <x:v>10323</x:v>
      </x:c>
      <x:c r="B6151" s="274" t="n">
        <x:v>4.97</x:v>
      </x:c>
      <x:c r="C6151" s="274" t="n">
        <x:v>0</x:v>
      </x:c>
      <x:c r="D6151" s="274" t="n">
        <x:v>45</x:v>
      </x:c>
      <x:c r="E6151" s="274" t="n">
        <x:v>40</x:v>
      </x:c>
      <x:c r="F6151" s="274" t="s">
        <x:v>333</x:v>
      </x:c>
      <x:c r="G6151" s="274" t="s">
        <x:v>209</x:v>
      </x:c>
      <x:c r="I6151" s="274" t="n">
        <x:v>0.7</x:v>
      </x:c>
      <x:c r="J6151" s="274" t="n">
        <x:v>1160</x:v>
      </x:c>
      <x:c r="K6151" s="274" t="n">
        <x:v>780</x:v>
      </x:c>
      <x:c r="N6151" s="274" t="s">
        <x:v>3671</x:v>
      </x:c>
    </x:row>
    <x:row r="6152" spans="1:14">
      <x:c r="A6152" s="274" t="s">
        <x:v>10324</x:v>
      </x:c>
      <x:c r="B6152" s="274" t="n">
        <x:v>2.56</x:v>
      </x:c>
      <x:c r="C6152" s="274" t="n">
        <x:v>0</x:v>
      </x:c>
      <x:c r="D6152" s="274" t="n">
        <x:v>45</x:v>
      </x:c>
      <x:c r="E6152" s="274" t="n">
        <x:v>40</x:v>
      </x:c>
      <x:c r="F6152" s="274" t="s">
        <x:v>133</x:v>
      </x:c>
      <x:c r="G6152" s="274" t="s">
        <x:v>136</x:v>
      </x:c>
      <x:c r="H6152" s="274" t="n">
        <x:v>45</x:v>
      </x:c>
      <x:c r="I6152" s="274" t="n">
        <x:v>0.75</x:v>
      </x:c>
      <x:c r="J6152" s="274" t="n">
        <x:v>1040</x:v>
      </x:c>
      <x:c r="K6152" s="274" t="n">
        <x:v>412</x:v>
      </x:c>
      <x:c r="M6152" s="274" t="s">
        <x:v>5517</x:v>
      </x:c>
      <x:c r="N6152" s="274" t="s">
        <x:v>3671</x:v>
      </x:c>
    </x:row>
    <x:row r="6153" spans="1:14">
      <x:c r="A6153" s="274" t="s">
        <x:v>10325</x:v>
      </x:c>
      <x:c r="B6153" s="274" t="n">
        <x:v>4.64</x:v>
      </x:c>
      <x:c r="C6153" s="274" t="n">
        <x:v>0</x:v>
      </x:c>
      <x:c r="D6153" s="274" t="n">
        <x:v>45</x:v>
      </x:c>
      <x:c r="E6153" s="274" t="n">
        <x:v>40</x:v>
      </x:c>
      <x:c r="F6153" s="274" t="s">
        <x:v>333</x:v>
      </x:c>
      <x:c r="G6153" s="274" t="s">
        <x:v>153</x:v>
      </x:c>
      <x:c r="I6153" s="274" t="n">
        <x:v>1</x:v>
      </x:c>
      <x:c r="J6153" s="274" t="n">
        <x:v>985</x:v>
      </x:c>
      <x:c r="K6153" s="274" t="n">
        <x:v>600</x:v>
      </x:c>
      <x:c r="M6153" s="274" t="s">
        <x:v>6653</x:v>
      </x:c>
      <x:c r="N6153" s="274" t="s">
        <x:v>3671</x:v>
      </x:c>
    </x:row>
    <x:row r="6154" spans="1:14">
      <x:c r="A6154" s="274" t="s">
        <x:v>10326</x:v>
      </x:c>
      <x:c r="B6154" s="274" t="n">
        <x:v>3.72</x:v>
      </x:c>
      <x:c r="C6154" s="274" t="n">
        <x:v>0</x:v>
      </x:c>
      <x:c r="D6154" s="274" t="n">
        <x:v>45</x:v>
      </x:c>
      <x:c r="E6154" s="274" t="n">
        <x:v>40</x:v>
      </x:c>
      <x:c r="F6154" s="274" t="s">
        <x:v>133</x:v>
      </x:c>
      <x:c r="G6154" s="274" t="s">
        <x:v>136</x:v>
      </x:c>
      <x:c r="H6154" s="274" t="n">
        <x:v>45</x:v>
      </x:c>
      <x:c r="I6154" s="274" t="n">
        <x:v>1</x:v>
      </x:c>
      <x:c r="J6154" s="274" t="n">
        <x:v>1040</x:v>
      </x:c>
      <x:c r="K6154" s="274" t="n">
        <x:v>450</x:v>
      </x:c>
      <x:c r="M6154" s="274" t="s">
        <x:v>5596</x:v>
      </x:c>
      <x:c r="N6154" s="274" t="s">
        <x:v>3671</x:v>
      </x:c>
    </x:row>
    <x:row r="6155" spans="1:14">
      <x:c r="A6155" s="274" t="s">
        <x:v>10327</x:v>
      </x:c>
      <x:c r="B6155" s="274" t="n">
        <x:v>5.06</x:v>
      </x:c>
      <x:c r="C6155" s="274" t="n">
        <x:v>0</x:v>
      </x:c>
      <x:c r="D6155" s="274" t="n">
        <x:v>45</x:v>
      </x:c>
      <x:c r="E6155" s="274" t="n">
        <x:v>40</x:v>
      </x:c>
      <x:c r="F6155" s="274" t="s">
        <x:v>123</x:v>
      </x:c>
      <x:c r="G6155" s="274" t="s">
        <x:v>129</x:v>
      </x:c>
      <x:c r="H6155" s="274" t="n">
        <x:v>45</x:v>
      </x:c>
      <x:c r="I6155" s="274" t="n">
        <x:v>1</x:v>
      </x:c>
      <x:c r="J6155" s="274" t="n">
        <x:v>1115</x:v>
      </x:c>
      <x:c r="K6155" s="274" t="n">
        <x:v>572</x:v>
      </x:c>
      <x:c r="M6155" s="274" t="s">
        <x:v>5857</x:v>
      </x:c>
      <x:c r="N6155" s="274" t="s">
        <x:v>3671</x:v>
      </x:c>
    </x:row>
    <x:row r="6156" spans="1:14">
      <x:c r="A6156" s="274" t="s">
        <x:v>10328</x:v>
      </x:c>
      <x:c r="B6156" s="274" t="n">
        <x:v>6.06</x:v>
      </x:c>
      <x:c r="C6156" s="274" t="n">
        <x:v>0</x:v>
      </x:c>
      <x:c r="D6156" s="274" t="n">
        <x:v>45</x:v>
      </x:c>
      <x:c r="E6156" s="274" t="n">
        <x:v>40</x:v>
      </x:c>
      <x:c r="F6156" s="274" t="s">
        <x:v>123</x:v>
      </x:c>
      <x:c r="G6156" s="274" t="s">
        <x:v>129</x:v>
      </x:c>
      <x:c r="H6156" s="274" t="n">
        <x:v>45</x:v>
      </x:c>
      <x:c r="I6156" s="274" t="n">
        <x:v>1</x:v>
      </x:c>
      <x:c r="J6156" s="274" t="n">
        <x:v>1115</x:v>
      </x:c>
      <x:c r="K6156" s="274" t="n">
        <x:v>685</x:v>
      </x:c>
      <x:c r="M6156" s="274" t="s">
        <x:v>5859</x:v>
      </x:c>
      <x:c r="N6156" s="274" t="s">
        <x:v>3671</x:v>
      </x:c>
    </x:row>
    <x:row r="6157" spans="1:14">
      <x:c r="A6157" s="274" t="s">
        <x:v>10329</x:v>
      </x:c>
      <x:c r="B6157" s="274" t="n">
        <x:v>3.77</x:v>
      </x:c>
      <x:c r="C6157" s="274" t="n">
        <x:v>0</x:v>
      </x:c>
      <x:c r="D6157" s="274" t="n">
        <x:v>45</x:v>
      </x:c>
      <x:c r="E6157" s="274" t="n">
        <x:v>40</x:v>
      </x:c>
      <x:c r="F6157" s="274" t="s">
        <x:v>133</x:v>
      </x:c>
      <x:c r="G6157" s="274" t="s">
        <x:v>136</x:v>
      </x:c>
      <x:c r="H6157" s="274" t="n">
        <x:v>45</x:v>
      </x:c>
      <x:c r="I6157" s="274" t="n">
        <x:v>1</x:v>
      </x:c>
      <x:c r="J6157" s="274" t="n">
        <x:v>1195</x:v>
      </x:c>
      <x:c r="K6157" s="274" t="n">
        <x:v>397</x:v>
      </x:c>
      <x:c r="M6157" s="274" t="s">
        <x:v>6658</x:v>
      </x:c>
      <x:c r="N6157" s="274" t="s">
        <x:v>3671</x:v>
      </x:c>
    </x:row>
    <x:row r="6158" spans="1:14">
      <x:c r="A6158" s="274" t="s">
        <x:v>10330</x:v>
      </x:c>
      <x:c r="B6158" s="274" t="n">
        <x:v>3.31</x:v>
      </x:c>
      <x:c r="C6158" s="274" t="n">
        <x:v>0</x:v>
      </x:c>
      <x:c r="D6158" s="274" t="n">
        <x:v>45</x:v>
      </x:c>
      <x:c r="E6158" s="274" t="n">
        <x:v>40</x:v>
      </x:c>
      <x:c r="F6158" s="274" t="s">
        <x:v>333</x:v>
      </x:c>
      <x:c r="G6158" s="274" t="s">
        <x:v>124</x:v>
      </x:c>
      <x:c r="I6158" s="274" t="n">
        <x:v>1.2</x:v>
      </x:c>
      <x:c r="J6158" s="274" t="n">
        <x:v>1020</x:v>
      </x:c>
      <x:c r="K6158" s="274" t="n">
        <x:v>344</x:v>
      </x:c>
      <x:c r="M6158" s="274" t="s">
        <x:v>6662</x:v>
      </x:c>
      <x:c r="N6158" s="274" t="s">
        <x:v>3671</x:v>
      </x:c>
    </x:row>
    <x:row r="6159" spans="1:14">
      <x:c r="A6159" s="274" t="s">
        <x:v>10331</x:v>
      </x:c>
      <x:c r="B6159" s="274" t="n">
        <x:v>3.24</x:v>
      </x:c>
      <x:c r="C6159" s="274" t="n">
        <x:v>0</x:v>
      </x:c>
      <x:c r="D6159" s="274" t="n">
        <x:v>45</x:v>
      </x:c>
      <x:c r="E6159" s="274" t="n">
        <x:v>40</x:v>
      </x:c>
      <x:c r="F6159" s="274" t="s">
        <x:v>333</x:v>
      </x:c>
      <x:c r="G6159" s="274" t="s">
        <x:v>124</x:v>
      </x:c>
      <x:c r="I6159" s="274" t="n">
        <x:v>1.2</x:v>
      </x:c>
      <x:c r="J6159" s="274" t="n">
        <x:v>1020</x:v>
      </x:c>
      <x:c r="K6159" s="274" t="n">
        <x:v>337</x:v>
      </x:c>
      <x:c r="M6159" s="274" t="s">
        <x:v>6662</x:v>
      </x:c>
      <x:c r="N6159" s="274" t="s">
        <x:v>3671</x:v>
      </x:c>
    </x:row>
    <x:row r="6160" spans="1:14">
      <x:c r="A6160" s="274" t="s">
        <x:v>10332</x:v>
      </x:c>
      <x:c r="B6160" s="274" t="n">
        <x:v>5.99</x:v>
      </x:c>
      <x:c r="C6160" s="274" t="n">
        <x:v>0</x:v>
      </x:c>
      <x:c r="D6160" s="274" t="n">
        <x:v>45</x:v>
      </x:c>
      <x:c r="E6160" s="274" t="n">
        <x:v>40</x:v>
      </x:c>
      <x:c r="F6160" s="274" t="s">
        <x:v>123</x:v>
      </x:c>
      <x:c r="G6160" s="274" t="s">
        <x:v>129</x:v>
      </x:c>
      <x:c r="H6160" s="274" t="n">
        <x:v>45</x:v>
      </x:c>
      <x:c r="I6160" s="274" t="n">
        <x:v>1.4</x:v>
      </x:c>
      <x:c r="J6160" s="274" t="n">
        <x:v>1040</x:v>
      </x:c>
      <x:c r="K6160" s="274" t="n">
        <x:v>520</x:v>
      </x:c>
      <x:c r="M6160" s="274" t="s">
        <x:v>5964</x:v>
      </x:c>
      <x:c r="N6160" s="274" t="s">
        <x:v>3671</x:v>
      </x:c>
    </x:row>
    <x:row r="6161" spans="1:14">
      <x:c r="A6161" s="274" t="s">
        <x:v>10333</x:v>
      </x:c>
      <x:c r="B6161" s="274" t="n">
        <x:v>4.37</x:v>
      </x:c>
      <x:c r="C6161" s="274" t="n">
        <x:v>0</x:v>
      </x:c>
      <x:c r="D6161" s="274" t="n">
        <x:v>45</x:v>
      </x:c>
      <x:c r="E6161" s="274" t="n">
        <x:v>40</x:v>
      </x:c>
      <x:c r="F6161" s="274" t="s">
        <x:v>333</x:v>
      </x:c>
      <x:c r="G6161" s="274" t="s">
        <x:v>124</x:v>
      </x:c>
      <x:c r="I6161" s="274" t="n">
        <x:v>1.4</x:v>
      </x:c>
      <x:c r="J6161" s="274" t="n">
        <x:v>1135</x:v>
      </x:c>
      <x:c r="K6161" s="274" t="n">
        <x:v>350</x:v>
      </x:c>
      <x:c r="M6161" s="274" t="s">
        <x:v>6665</x:v>
      </x:c>
      <x:c r="N6161" s="274" t="s">
        <x:v>3671</x:v>
      </x:c>
    </x:row>
    <x:row r="6162" spans="1:14">
      <x:c r="A6162" s="274" t="s">
        <x:v>10334</x:v>
      </x:c>
      <x:c r="B6162" s="274" t="n">
        <x:v>6.71</x:v>
      </x:c>
      <x:c r="C6162" s="274" t="n">
        <x:v>0</x:v>
      </x:c>
      <x:c r="D6162" s="274" t="n">
        <x:v>45</x:v>
      </x:c>
      <x:c r="E6162" s="274" t="n">
        <x:v>40</x:v>
      </x:c>
      <x:c r="F6162" s="274" t="s">
        <x:v>133</x:v>
      </x:c>
      <x:c r="G6162" s="274" t="s">
        <x:v>136</x:v>
      </x:c>
      <x:c r="H6162" s="274" t="n">
        <x:v>45</x:v>
      </x:c>
      <x:c r="I6162" s="274" t="n">
        <x:v>1.4</x:v>
      </x:c>
      <x:c r="J6162" s="274" t="n">
        <x:v>1425</x:v>
      </x:c>
      <x:c r="K6162" s="274" t="n">
        <x:v>425</x:v>
      </x:c>
      <x:c r="M6162" s="274" t="s">
        <x:v>6668</x:v>
      </x:c>
      <x:c r="N6162" s="274" t="s">
        <x:v>3671</x:v>
      </x:c>
    </x:row>
    <x:row r="6163" spans="1:14">
      <x:c r="A6163" s="274" t="s">
        <x:v>10335</x:v>
      </x:c>
      <x:c r="B6163" s="274" t="n">
        <x:v>6.32</x:v>
      </x:c>
      <x:c r="C6163" s="274" t="n">
        <x:v>0</x:v>
      </x:c>
      <x:c r="D6163" s="274" t="n">
        <x:v>45</x:v>
      </x:c>
      <x:c r="E6163" s="274" t="n">
        <x:v>40</x:v>
      </x:c>
      <x:c r="F6163" s="274" t="s">
        <x:v>133</x:v>
      </x:c>
      <x:c r="G6163" s="274" t="s">
        <x:v>136</x:v>
      </x:c>
      <x:c r="H6163" s="274" t="n">
        <x:v>45</x:v>
      </x:c>
      <x:c r="I6163" s="274" t="n">
        <x:v>1.4</x:v>
      </x:c>
      <x:c r="J6163" s="274" t="n">
        <x:v>1425</x:v>
      </x:c>
      <x:c r="K6163" s="274" t="n">
        <x:v>400</x:v>
      </x:c>
      <x:c r="M6163" s="274" t="s">
        <x:v>6670</x:v>
      </x:c>
      <x:c r="N6163" s="274" t="s">
        <x:v>3671</x:v>
      </x:c>
    </x:row>
    <x:row r="6164" spans="1:14">
      <x:c r="A6164" s="274" t="s">
        <x:v>10336</x:v>
      </x:c>
      <x:c r="B6164" s="274" t="n">
        <x:v>7.12</x:v>
      </x:c>
      <x:c r="C6164" s="274" t="n">
        <x:v>0</x:v>
      </x:c>
      <x:c r="D6164" s="274" t="n">
        <x:v>45</x:v>
      </x:c>
      <x:c r="E6164" s="274" t="n">
        <x:v>40</x:v>
      </x:c>
      <x:c r="F6164" s="274" t="s">
        <x:v>133</x:v>
      </x:c>
      <x:c r="G6164" s="274" t="s">
        <x:v>136</x:v>
      </x:c>
      <x:c r="H6164" s="274" t="n">
        <x:v>45</x:v>
      </x:c>
      <x:c r="I6164" s="274" t="n">
        <x:v>1.4</x:v>
      </x:c>
      <x:c r="J6164" s="274" t="n">
        <x:v>1425</x:v>
      </x:c>
      <x:c r="K6164" s="274" t="n">
        <x:v>451</x:v>
      </x:c>
      <x:c r="M6164" s="274" t="s">
        <x:v>5618</x:v>
      </x:c>
      <x:c r="N6164" s="274" t="s">
        <x:v>3671</x:v>
      </x:c>
    </x:row>
    <x:row r="6165" spans="1:14">
      <x:c r="A6165" s="274" t="s">
        <x:v>10337</x:v>
      </x:c>
      <x:c r="B6165" s="274" t="n">
        <x:v>5.71</x:v>
      </x:c>
      <x:c r="C6165" s="274" t="n">
        <x:v>0</x:v>
      </x:c>
      <x:c r="D6165" s="274" t="n">
        <x:v>45</x:v>
      </x:c>
      <x:c r="E6165" s="274" t="n">
        <x:v>40</x:v>
      </x:c>
      <x:c r="F6165" s="274" t="s">
        <x:v>333</x:v>
      </x:c>
      <x:c r="G6165" s="274" t="s">
        <x:v>334</x:v>
      </x:c>
      <x:c r="I6165" s="274" t="n">
        <x:v>1.6</x:v>
      </x:c>
      <x:c r="J6165" s="274" t="n">
        <x:v>910</x:v>
      </x:c>
      <x:c r="K6165" s="274" t="n">
        <x:v>500</x:v>
      </x:c>
      <x:c r="M6165" s="274" t="s">
        <x:v>6673</x:v>
      </x:c>
      <x:c r="N6165" s="274" t="s">
        <x:v>3671</x:v>
      </x:c>
    </x:row>
    <x:row r="6166" spans="1:14">
      <x:c r="A6166" s="274" t="s">
        <x:v>10338</x:v>
      </x:c>
      <x:c r="B6166" s="274" t="n">
        <x:v>7.93</x:v>
      </x:c>
      <x:c r="C6166" s="274" t="n">
        <x:v>0</x:v>
      </x:c>
      <x:c r="D6166" s="274" t="n">
        <x:v>45</x:v>
      </x:c>
      <x:c r="E6166" s="274" t="n">
        <x:v>40</x:v>
      </x:c>
      <x:c r="F6166" s="274" t="s">
        <x:v>123</x:v>
      </x:c>
      <x:c r="G6166" s="274" t="s">
        <x:v>881</x:v>
      </x:c>
      <x:c r="H6166" s="274" t="n">
        <x:v>45</x:v>
      </x:c>
      <x:c r="I6166" s="274" t="n">
        <x:v>1.6</x:v>
      </x:c>
      <x:c r="J6166" s="274" t="n">
        <x:v>1085</x:v>
      </x:c>
      <x:c r="K6166" s="274" t="n">
        <x:v>578</x:v>
      </x:c>
      <x:c r="M6166" s="274" t="s">
        <x:v>6675</x:v>
      </x:c>
      <x:c r="N6166" s="274" t="s">
        <x:v>3671</x:v>
      </x:c>
    </x:row>
    <x:row r="6167" spans="1:14">
      <x:c r="A6167" s="274" t="s">
        <x:v>10339</x:v>
      </x:c>
      <x:c r="B6167" s="274" t="n">
        <x:v>19.13</x:v>
      </x:c>
      <x:c r="C6167" s="274" t="n">
        <x:v>0</x:v>
      </x:c>
      <x:c r="D6167" s="274" t="n">
        <x:v>37</x:v>
      </x:c>
      <x:c r="E6167" s="274" t="n">
        <x:v>32</x:v>
      </x:c>
      <x:c r="F6167" s="274" t="s">
        <x:v>123</x:v>
      </x:c>
      <x:c r="G6167" s="274" t="s">
        <x:v>129</x:v>
      </x:c>
      <x:c r="H6167" s="274" t="n">
        <x:v>45</x:v>
      </x:c>
      <x:c r="I6167" s="274" t="n">
        <x:v>1.6</x:v>
      </x:c>
      <x:c r="J6167" s="274" t="n">
        <x:v>1260</x:v>
      </x:c>
      <x:c r="K6167" s="274" t="n">
        <x:v>1200</x:v>
      </x:c>
      <x:c r="M6167" s="274" t="s">
        <x:v>6677</x:v>
      </x:c>
      <x:c r="N6167" s="274" t="s">
        <x:v>3671</x:v>
      </x:c>
    </x:row>
    <x:row r="6168" spans="1:14">
      <x:c r="A6168" s="274" t="s">
        <x:v>10340</x:v>
      </x:c>
      <x:c r="B6168" s="274" t="n">
        <x:v>6.06</x:v>
      </x:c>
      <x:c r="C6168" s="274" t="n">
        <x:v>0</x:v>
      </x:c>
      <x:c r="D6168" s="274" t="n">
        <x:v>45</x:v>
      </x:c>
      <x:c r="E6168" s="274" t="n">
        <x:v>40</x:v>
      </x:c>
      <x:c r="F6168" s="274" t="s">
        <x:v>123</x:v>
      </x:c>
      <x:c r="G6168" s="274" t="s">
        <x:v>129</x:v>
      </x:c>
      <x:c r="H6168" s="274" t="n">
        <x:v>45</x:v>
      </x:c>
      <x:c r="I6168" s="274" t="n">
        <x:v>1.6</x:v>
      </x:c>
      <x:c r="J6168" s="274" t="n">
        <x:v>1260</x:v>
      </x:c>
      <x:c r="K6168" s="274" t="n">
        <x:v>380</x:v>
      </x:c>
      <x:c r="M6168" s="274" t="s">
        <x:v>8573</x:v>
      </x:c>
      <x:c r="N6168" s="274" t="s">
        <x:v>3671</x:v>
      </x:c>
    </x:row>
    <x:row r="6169" spans="1:14">
      <x:c r="A6169" s="274" t="s">
        <x:v>10341</x:v>
      </x:c>
      <x:c r="B6169" s="274" t="n">
        <x:v>5</x:v>
      </x:c>
      <x:c r="C6169" s="274" t="n">
        <x:v>35</x:v>
      </x:c>
      <x:c r="D6169" s="274" t="n">
        <x:v>45</x:v>
      </x:c>
      <x:c r="E6169" s="274" t="n">
        <x:v>40</x:v>
      </x:c>
      <x:c r="F6169" s="274" t="s">
        <x:v>123</x:v>
      </x:c>
      <x:c r="G6169" s="274" t="s">
        <x:v>129</x:v>
      </x:c>
      <x:c r="H6169" s="274" t="n">
        <x:v>45</x:v>
      </x:c>
      <x:c r="I6169" s="274" t="n">
        <x:v>1.6</x:v>
      </x:c>
      <x:c r="J6169" s="274" t="n">
        <x:v>1260</x:v>
      </x:c>
      <x:c r="K6169" s="274" t="n">
        <x:v>314</x:v>
      </x:c>
      <x:c r="M6169" s="274" t="s">
        <x:v>5998</x:v>
      </x:c>
      <x:c r="N6169" s="274" t="s">
        <x:v>3671</x:v>
      </x:c>
    </x:row>
    <x:row r="6170" spans="1:14">
      <x:c r="A6170" s="274" t="s">
        <x:v>10342</x:v>
      </x:c>
      <x:c r="B6170" s="274" t="n">
        <x:v>5.76</x:v>
      </x:c>
      <x:c r="C6170" s="274" t="n">
        <x:v>0</x:v>
      </x:c>
      <x:c r="D6170" s="274" t="n">
        <x:v>45</x:v>
      </x:c>
      <x:c r="E6170" s="274" t="n">
        <x:v>40</x:v>
      </x:c>
      <x:c r="F6170" s="274" t="s">
        <x:v>333</x:v>
      </x:c>
      <x:c r="G6170" s="274" t="s">
        <x:v>153</x:v>
      </x:c>
      <x:c r="I6170" s="274" t="n">
        <x:v>1.6</x:v>
      </x:c>
      <x:c r="J6170" s="274" t="n">
        <x:v>1310</x:v>
      </x:c>
      <x:c r="K6170" s="274" t="n">
        <x:v>350</x:v>
      </x:c>
      <x:c r="M6170" s="274" t="s">
        <x:v>6680</x:v>
      </x:c>
      <x:c r="N6170" s="274" t="s">
        <x:v>3671</x:v>
      </x:c>
    </x:row>
    <x:row r="6171" spans="1:14">
      <x:c r="A6171" s="274" t="s">
        <x:v>10343</x:v>
      </x:c>
      <x:c r="B6171" s="274" t="n">
        <x:v>8.18</x:v>
      </x:c>
      <x:c r="C6171" s="274" t="n">
        <x:v>0</x:v>
      </x:c>
      <x:c r="D6171" s="274" t="n">
        <x:v>45</x:v>
      </x:c>
      <x:c r="E6171" s="274" t="n">
        <x:v>40</x:v>
      </x:c>
      <x:c r="F6171" s="274" t="s">
        <x:v>123</x:v>
      </x:c>
      <x:c r="G6171" s="274" t="s">
        <x:v>129</x:v>
      </x:c>
      <x:c r="H6171" s="274" t="n">
        <x:v>45</x:v>
      </x:c>
      <x:c r="I6171" s="274" t="n">
        <x:v>1.8</x:v>
      </x:c>
      <x:c r="J6171" s="274" t="n">
        <x:v>1075</x:v>
      </x:c>
      <x:c r="K6171" s="274" t="n">
        <x:v>535</x:v>
      </x:c>
      <x:c r="M6171" s="274" t="s">
        <x:v>6682</x:v>
      </x:c>
      <x:c r="N6171" s="274" t="s">
        <x:v>3671</x:v>
      </x:c>
    </x:row>
    <x:row r="6172" spans="1:14">
      <x:c r="A6172" s="274" t="s">
        <x:v>10344</x:v>
      </x:c>
      <x:c r="B6172" s="274" t="n">
        <x:v>8.84</x:v>
      </x:c>
      <x:c r="C6172" s="274" t="n">
        <x:v>35</x:v>
      </x:c>
      <x:c r="D6172" s="274" t="n">
        <x:v>45</x:v>
      </x:c>
      <x:c r="E6172" s="274" t="n">
        <x:v>40</x:v>
      </x:c>
      <x:c r="F6172" s="274" t="s">
        <x:v>128</x:v>
      </x:c>
      <x:c r="G6172" s="274" t="s">
        <x:v>3314</x:v>
      </x:c>
      <x:c r="H6172" s="274" t="n">
        <x:v>45</x:v>
      </x:c>
      <x:c r="I6172" s="274" t="n">
        <x:v>2</x:v>
      </x:c>
      <x:c r="J6172" s="274" t="n">
        <x:v>1000</x:v>
      </x:c>
      <x:c r="K6172" s="274" t="n">
        <x:v>560</x:v>
      </x:c>
      <x:c r="M6172" s="274" t="s">
        <x:v>6014</x:v>
      </x:c>
      <x:c r="N6172" s="274" t="s">
        <x:v>3671</x:v>
      </x:c>
    </x:row>
    <x:row r="6173" spans="1:14">
      <x:c r="A6173" s="274" t="s">
        <x:v>10345</x:v>
      </x:c>
      <x:c r="B6173" s="274" t="n">
        <x:v>9.28</x:v>
      </x:c>
      <x:c r="C6173" s="274" t="n">
        <x:v>0</x:v>
      </x:c>
      <x:c r="D6173" s="274" t="n">
        <x:v>45</x:v>
      </x:c>
      <x:c r="E6173" s="274" t="n">
        <x:v>40</x:v>
      </x:c>
      <x:c r="F6173" s="274" t="s">
        <x:v>123</x:v>
      </x:c>
      <x:c r="G6173" s="274" t="s">
        <x:v>881</x:v>
      </x:c>
      <x:c r="H6173" s="274" t="n">
        <x:v>45</x:v>
      </x:c>
      <x:c r="I6173" s="274" t="n">
        <x:v>2</x:v>
      </x:c>
      <x:c r="J6173" s="274" t="n">
        <x:v>1050</x:v>
      </x:c>
      <x:c r="K6173" s="274" t="n">
        <x:v>560</x:v>
      </x:c>
      <x:c r="M6173" s="274" t="s">
        <x:v>6020</x:v>
      </x:c>
      <x:c r="N6173" s="274" t="s">
        <x:v>3671</x:v>
      </x:c>
    </x:row>
    <x:row r="6174" spans="1:14">
      <x:c r="A6174" s="274" t="s">
        <x:v>10346</x:v>
      </x:c>
      <x:c r="B6174" s="274" t="n">
        <x:v>8.81</x:v>
      </x:c>
      <x:c r="C6174" s="274" t="n">
        <x:v>0</x:v>
      </x:c>
      <x:c r="D6174" s="274" t="n">
        <x:v>45</x:v>
      </x:c>
      <x:c r="E6174" s="274" t="n">
        <x:v>40</x:v>
      </x:c>
      <x:c r="F6174" s="274" t="s">
        <x:v>133</x:v>
      </x:c>
      <x:c r="G6174" s="274" t="s">
        <x:v>144</x:v>
      </x:c>
      <x:c r="H6174" s="274" t="n">
        <x:v>45</x:v>
      </x:c>
      <x:c r="I6174" s="274" t="n">
        <x:v>2</x:v>
      </x:c>
      <x:c r="J6174" s="274" t="n">
        <x:v>1125</x:v>
      </x:c>
      <x:c r="K6174" s="274" t="n">
        <x:v>496</x:v>
      </x:c>
      <x:c r="M6174" s="274" t="s">
        <x:v>8019</x:v>
      </x:c>
      <x:c r="N6174" s="274" t="s">
        <x:v>3671</x:v>
      </x:c>
    </x:row>
    <x:row r="6175" spans="1:14">
      <x:c r="A6175" s="274" t="s">
        <x:v>10347</x:v>
      </x:c>
      <x:c r="B6175" s="274" t="n">
        <x:v>18.07</x:v>
      </x:c>
      <x:c r="C6175" s="274" t="n">
        <x:v>35</x:v>
      </x:c>
      <x:c r="D6175" s="274" t="n">
        <x:v>45</x:v>
      </x:c>
      <x:c r="E6175" s="274" t="n">
        <x:v>40</x:v>
      </x:c>
      <x:c r="F6175" s="274" t="s">
        <x:v>123</x:v>
      </x:c>
      <x:c r="G6175" s="274" t="s">
        <x:v>136</x:v>
      </x:c>
      <x:c r="H6175" s="274" t="n">
        <x:v>45</x:v>
      </x:c>
      <x:c r="I6175" s="274" t="n">
        <x:v>2.3</x:v>
      </x:c>
      <x:c r="J6175" s="274" t="n">
        <x:v>1285</x:v>
      </x:c>
      <x:c r="K6175" s="274" t="n">
        <x:v>775</x:v>
      </x:c>
      <x:c r="M6175" s="274" t="s">
        <x:v>6022</x:v>
      </x:c>
      <x:c r="N6175" s="274" t="s">
        <x:v>3671</x:v>
      </x:c>
    </x:row>
    <x:row r="6176" spans="1:14">
      <x:c r="A6176" s="274" t="s">
        <x:v>10348</x:v>
      </x:c>
      <x:c r="B6176" s="274" t="n">
        <x:v>2.28</x:v>
      </x:c>
      <x:c r="C6176" s="274" t="n">
        <x:v>0</x:v>
      </x:c>
      <x:c r="D6176" s="274" t="n">
        <x:v>45</x:v>
      </x:c>
      <x:c r="E6176" s="274" t="n">
        <x:v>40</x:v>
      </x:c>
      <x:c r="F6176" s="274" t="s">
        <x:v>133</x:v>
      </x:c>
      <x:c r="G6176" s="274" t="s">
        <x:v>136</x:v>
      </x:c>
      <x:c r="H6176" s="274" t="n">
        <x:v>45</x:v>
      </x:c>
      <x:c r="I6176" s="274" t="n">
        <x:v>0.75</x:v>
      </x:c>
      <x:c r="J6176" s="274" t="n">
        <x:v>1040</x:v>
      </x:c>
      <x:c r="K6176" s="274" t="n">
        <x:v>366</x:v>
      </x:c>
      <x:c r="M6176" s="274" t="s">
        <x:v>6690</x:v>
      </x:c>
      <x:c r="N6176" s="274" t="s">
        <x:v>3671</x:v>
      </x:c>
    </x:row>
    <x:row r="6177" spans="1:14">
      <x:c r="A6177" s="274" t="s">
        <x:v>10349</x:v>
      </x:c>
      <x:c r="B6177" s="274" t="n">
        <x:v>2.95</x:v>
      </x:c>
      <x:c r="C6177" s="274" t="n">
        <x:v>0</x:v>
      </x:c>
      <x:c r="D6177" s="274" t="n">
        <x:v>45</x:v>
      </x:c>
      <x:c r="E6177" s="274" t="n">
        <x:v>40</x:v>
      </x:c>
      <x:c r="F6177" s="274" t="s">
        <x:v>133</x:v>
      </x:c>
      <x:c r="G6177" s="274" t="s">
        <x:v>136</x:v>
      </x:c>
      <x:c r="H6177" s="274" t="n">
        <x:v>45</x:v>
      </x:c>
      <x:c r="I6177" s="274" t="n">
        <x:v>0.75</x:v>
      </x:c>
      <x:c r="J6177" s="274" t="n">
        <x:v>1040</x:v>
      </x:c>
      <x:c r="K6177" s="274" t="n">
        <x:v>474</x:v>
      </x:c>
      <x:c r="M6177" s="274" t="s">
        <x:v>5511</x:v>
      </x:c>
      <x:c r="N6177" s="274" t="s">
        <x:v>3671</x:v>
      </x:c>
    </x:row>
    <x:row r="6178" spans="1:14">
      <x:c r="A6178" s="274" t="s">
        <x:v>10350</x:v>
      </x:c>
      <x:c r="B6178" s="274" t="n">
        <x:v>3.34</x:v>
      </x:c>
      <x:c r="C6178" s="274" t="n">
        <x:v>0</x:v>
      </x:c>
      <x:c r="D6178" s="274" t="n">
        <x:v>45</x:v>
      </x:c>
      <x:c r="E6178" s="274" t="n">
        <x:v>40</x:v>
      </x:c>
      <x:c r="F6178" s="274" t="s">
        <x:v>133</x:v>
      </x:c>
      <x:c r="G6178" s="274" t="s">
        <x:v>136</x:v>
      </x:c>
      <x:c r="H6178" s="274" t="n">
        <x:v>45</x:v>
      </x:c>
      <x:c r="I6178" s="274" t="n">
        <x:v>0.75</x:v>
      </x:c>
      <x:c r="J6178" s="274" t="n">
        <x:v>1040</x:v>
      </x:c>
      <x:c r="K6178" s="274" t="n">
        <x:v>538</x:v>
      </x:c>
      <x:c r="M6178" s="274" t="s">
        <x:v>5513</x:v>
      </x:c>
      <x:c r="N6178" s="274" t="s">
        <x:v>3671</x:v>
      </x:c>
    </x:row>
    <x:row r="6179" spans="1:14">
      <x:c r="A6179" s="274" t="s">
        <x:v>10351</x:v>
      </x:c>
      <x:c r="B6179" s="274" t="n">
        <x:v>11.07</x:v>
      </x:c>
      <x:c r="C6179" s="274" t="n">
        <x:v>0</x:v>
      </x:c>
      <x:c r="D6179" s="274" t="n">
        <x:v>35</x:v>
      </x:c>
      <x:c r="E6179" s="274" t="n">
        <x:v>30</x:v>
      </x:c>
      <x:c r="F6179" s="274" t="s">
        <x:v>123</x:v>
      </x:c>
      <x:c r="G6179" s="274" t="s">
        <x:v>129</x:v>
      </x:c>
      <x:c r="H6179" s="274" t="n">
        <x:v>45</x:v>
      </x:c>
      <x:c r="I6179" s="274" t="n">
        <x:v>1</x:v>
      </x:c>
      <x:c r="J6179" s="274" t="n">
        <x:v>1115</x:v>
      </x:c>
      <x:c r="K6179" s="274" t="n">
        <x:v>1250</x:v>
      </x:c>
      <x:c r="M6179" s="274" t="s">
        <x:v>5855</x:v>
      </x:c>
      <x:c r="N6179" s="274" t="s">
        <x:v>3671</x:v>
      </x:c>
    </x:row>
    <x:row r="6180" spans="1:14">
      <x:c r="A6180" s="274" t="s">
        <x:v>10352</x:v>
      </x:c>
      <x:c r="B6180" s="274" t="n">
        <x:v>6.18</x:v>
      </x:c>
      <x:c r="C6180" s="274" t="n">
        <x:v>0</x:v>
      </x:c>
      <x:c r="D6180" s="274" t="n">
        <x:v>45</x:v>
      </x:c>
      <x:c r="E6180" s="274" t="n">
        <x:v>40</x:v>
      </x:c>
      <x:c r="F6180" s="274" t="s">
        <x:v>123</x:v>
      </x:c>
      <x:c r="G6180" s="274" t="s">
        <x:v>129</x:v>
      </x:c>
      <x:c r="H6180" s="274" t="n">
        <x:v>45</x:v>
      </x:c>
      <x:c r="I6180" s="274" t="n">
        <x:v>1</x:v>
      </x:c>
      <x:c r="J6180" s="274" t="n">
        <x:v>1115</x:v>
      </x:c>
      <x:c r="K6180" s="274" t="n">
        <x:v>698</x:v>
      </x:c>
      <x:c r="M6180" s="274" t="s">
        <x:v>5863</x:v>
      </x:c>
      <x:c r="N6180" s="274" t="s">
        <x:v>3671</x:v>
      </x:c>
    </x:row>
    <x:row r="6181" spans="1:14">
      <x:c r="A6181" s="274" t="s">
        <x:v>10353</x:v>
      </x:c>
      <x:c r="B6181" s="274" t="n">
        <x:v>2.87</x:v>
      </x:c>
      <x:c r="C6181" s="274" t="n">
        <x:v>0</x:v>
      </x:c>
      <x:c r="D6181" s="274" t="n">
        <x:v>45</x:v>
      </x:c>
      <x:c r="E6181" s="274" t="n">
        <x:v>40</x:v>
      </x:c>
      <x:c r="F6181" s="274" t="s">
        <x:v>123</x:v>
      </x:c>
      <x:c r="G6181" s="274" t="s">
        <x:v>129</x:v>
      </x:c>
      <x:c r="H6181" s="274" t="n">
        <x:v>45</x:v>
      </x:c>
      <x:c r="I6181" s="274" t="n">
        <x:v>1</x:v>
      </x:c>
      <x:c r="J6181" s="274" t="n">
        <x:v>1115</x:v>
      </x:c>
      <x:c r="K6181" s="274" t="n">
        <x:v>324</x:v>
      </x:c>
      <x:c r="M6181" s="274" t="s">
        <x:v>5865</x:v>
      </x:c>
      <x:c r="N6181" s="274" t="s">
        <x:v>3671</x:v>
      </x:c>
    </x:row>
    <x:row r="6182" spans="1:14">
      <x:c r="A6182" s="274" t="s">
        <x:v>10354</x:v>
      </x:c>
      <x:c r="B6182" s="274" t="n">
        <x:v>3.46</x:v>
      </x:c>
      <x:c r="C6182" s="274" t="n">
        <x:v>0</x:v>
      </x:c>
      <x:c r="D6182" s="274" t="n">
        <x:v>45</x:v>
      </x:c>
      <x:c r="E6182" s="274" t="n">
        <x:v>40</x:v>
      </x:c>
      <x:c r="F6182" s="274" t="s">
        <x:v>133</x:v>
      </x:c>
      <x:c r="G6182" s="274" t="s">
        <x:v>136</x:v>
      </x:c>
      <x:c r="H6182" s="274" t="n">
        <x:v>45</x:v>
      </x:c>
      <x:c r="I6182" s="274" t="n">
        <x:v>1</x:v>
      </x:c>
      <x:c r="J6182" s="274" t="n">
        <x:v>1195</x:v>
      </x:c>
      <x:c r="K6182" s="274" t="n">
        <x:v>365</x:v>
      </x:c>
      <x:c r="M6182" s="274" t="s">
        <x:v>6700</x:v>
      </x:c>
      <x:c r="N6182" s="274" t="s">
        <x:v>3671</x:v>
      </x:c>
    </x:row>
    <x:row r="6183" spans="1:14">
      <x:c r="A6183" s="274" t="s">
        <x:v>10355</x:v>
      </x:c>
      <x:c r="B6183" s="274" t="n">
        <x:v>4.84</x:v>
      </x:c>
      <x:c r="C6183" s="274" t="n">
        <x:v>0</x:v>
      </x:c>
      <x:c r="D6183" s="274" t="n">
        <x:v>45</x:v>
      </x:c>
      <x:c r="E6183" s="274" t="n">
        <x:v>40</x:v>
      </x:c>
      <x:c r="F6183" s="274" t="s">
        <x:v>133</x:v>
      </x:c>
      <x:c r="G6183" s="274" t="s">
        <x:v>136</x:v>
      </x:c>
      <x:c r="H6183" s="274" t="n">
        <x:v>45</x:v>
      </x:c>
      <x:c r="I6183" s="274" t="n">
        <x:v>1</x:v>
      </x:c>
      <x:c r="J6183" s="274" t="n">
        <x:v>1195</x:v>
      </x:c>
      <x:c r="K6183" s="274" t="n">
        <x:v>510</x:v>
      </x:c>
      <x:c r="M6183" s="274" t="s">
        <x:v>5602</x:v>
      </x:c>
      <x:c r="N6183" s="274" t="s">
        <x:v>3671</x:v>
      </x:c>
    </x:row>
    <x:row r="6184" spans="1:14">
      <x:c r="A6184" s="274" t="s">
        <x:v>10356</x:v>
      </x:c>
      <x:c r="B6184" s="274" t="n">
        <x:v>4.04</x:v>
      </x:c>
      <x:c r="C6184" s="274" t="n">
        <x:v>0</x:v>
      </x:c>
      <x:c r="D6184" s="274" t="n">
        <x:v>45</x:v>
      </x:c>
      <x:c r="E6184" s="274" t="n">
        <x:v>40</x:v>
      </x:c>
      <x:c r="F6184" s="274" t="s">
        <x:v>333</x:v>
      </x:c>
      <x:c r="G6184" s="274" t="s">
        <x:v>124</x:v>
      </x:c>
      <x:c r="I6184" s="274" t="n">
        <x:v>1.2</x:v>
      </x:c>
      <x:c r="J6184" s="274" t="n">
        <x:v>1020</x:v>
      </x:c>
      <x:c r="K6184" s="274" t="n">
        <x:v>420</x:v>
      </x:c>
      <x:c r="M6184" s="274" t="s">
        <x:v>4839</x:v>
      </x:c>
      <x:c r="N6184" s="274" t="s">
        <x:v>3671</x:v>
      </x:c>
    </x:row>
    <x:row r="6185" spans="1:14">
      <x:c r="A6185" s="274" t="s">
        <x:v>10357</x:v>
      </x:c>
      <x:c r="B6185" s="274" t="n">
        <x:v>5.09</x:v>
      </x:c>
      <x:c r="C6185" s="274" t="n">
        <x:v>0</x:v>
      </x:c>
      <x:c r="D6185" s="274" t="n">
        <x:v>45</x:v>
      </x:c>
      <x:c r="E6185" s="274" t="n">
        <x:v>40</x:v>
      </x:c>
      <x:c r="F6185" s="274" t="s">
        <x:v>333</x:v>
      </x:c>
      <x:c r="G6185" s="274" t="s">
        <x:v>124</x:v>
      </x:c>
      <x:c r="I6185" s="274" t="n">
        <x:v>1.2</x:v>
      </x:c>
      <x:c r="J6185" s="274" t="n">
        <x:v>1020</x:v>
      </x:c>
      <x:c r="K6185" s="274" t="n">
        <x:v>530</x:v>
      </x:c>
      <x:c r="M6185" s="274" t="s">
        <x:v>4843</x:v>
      </x:c>
      <x:c r="N6185" s="274" t="s">
        <x:v>3671</x:v>
      </x:c>
    </x:row>
    <x:row r="6186" spans="1:14">
      <x:c r="A6186" s="274" t="s">
        <x:v>10358</x:v>
      </x:c>
      <x:c r="B6186" s="274" t="n">
        <x:v>5.75</x:v>
      </x:c>
      <x:c r="C6186" s="274" t="n">
        <x:v>0</x:v>
      </x:c>
      <x:c r="D6186" s="274" t="n">
        <x:v>45</x:v>
      </x:c>
      <x:c r="E6186" s="274" t="n">
        <x:v>40</x:v>
      </x:c>
      <x:c r="F6186" s="274" t="s">
        <x:v>333</x:v>
      </x:c>
      <x:c r="G6186" s="274" t="s">
        <x:v>124</x:v>
      </x:c>
      <x:c r="I6186" s="274" t="n">
        <x:v>1.2</x:v>
      </x:c>
      <x:c r="J6186" s="274" t="n">
        <x:v>1020</x:v>
      </x:c>
      <x:c r="K6186" s="274" t="n">
        <x:v>598</x:v>
      </x:c>
      <x:c r="M6186" s="274" t="s">
        <x:v>6705</x:v>
      </x:c>
      <x:c r="N6186" s="274" t="s">
        <x:v>3671</x:v>
      </x:c>
    </x:row>
    <x:row r="6187" spans="1:14">
      <x:c r="A6187" s="274" t="s">
        <x:v>10359</x:v>
      </x:c>
      <x:c r="B6187" s="274" t="n">
        <x:v>5.43</x:v>
      </x:c>
      <x:c r="C6187" s="274" t="n">
        <x:v>0</x:v>
      </x:c>
      <x:c r="D6187" s="274" t="n">
        <x:v>45</x:v>
      </x:c>
      <x:c r="E6187" s="274" t="n">
        <x:v>40</x:v>
      </x:c>
      <x:c r="F6187" s="274" t="s">
        <x:v>333</x:v>
      </x:c>
      <x:c r="G6187" s="274" t="s">
        <x:v>124</x:v>
      </x:c>
      <x:c r="I6187" s="274" t="n">
        <x:v>1.2</x:v>
      </x:c>
      <x:c r="J6187" s="274" t="n">
        <x:v>1020</x:v>
      </x:c>
      <x:c r="K6187" s="274" t="n">
        <x:v>565</x:v>
      </x:c>
      <x:c r="M6187" s="274" t="s">
        <x:v>6707</x:v>
      </x:c>
      <x:c r="N6187" s="274" t="s">
        <x:v>3671</x:v>
      </x:c>
    </x:row>
    <x:row r="6188" spans="1:14">
      <x:c r="A6188" s="274" t="s">
        <x:v>10360</x:v>
      </x:c>
      <x:c r="B6188" s="274" t="n">
        <x:v>5.53</x:v>
      </x:c>
      <x:c r="C6188" s="274" t="n">
        <x:v>0</x:v>
      </x:c>
      <x:c r="D6188" s="274" t="n">
        <x:v>45</x:v>
      </x:c>
      <x:c r="E6188" s="274" t="n">
        <x:v>40</x:v>
      </x:c>
      <x:c r="F6188" s="274" t="s">
        <x:v>123</x:v>
      </x:c>
      <x:c r="G6188" s="274" t="s">
        <x:v>129</x:v>
      </x:c>
      <x:c r="H6188" s="274" t="n">
        <x:v>45</x:v>
      </x:c>
      <x:c r="I6188" s="274" t="n">
        <x:v>1.4</x:v>
      </x:c>
      <x:c r="J6188" s="274" t="n">
        <x:v>1040</x:v>
      </x:c>
      <x:c r="K6188" s="274" t="n">
        <x:v>480</x:v>
      </x:c>
      <x:c r="M6188" s="274" t="s">
        <x:v>5958</x:v>
      </x:c>
      <x:c r="N6188" s="274" t="s">
        <x:v>3671</x:v>
      </x:c>
    </x:row>
    <x:row r="6189" spans="1:14">
      <x:c r="A6189" s="274" t="s">
        <x:v>10361</x:v>
      </x:c>
      <x:c r="B6189" s="274" t="n">
        <x:v>3.92</x:v>
      </x:c>
      <x:c r="C6189" s="274" t="n">
        <x:v>0</x:v>
      </x:c>
      <x:c r="D6189" s="274" t="n">
        <x:v>45</x:v>
      </x:c>
      <x:c r="E6189" s="274" t="n">
        <x:v>40</x:v>
      </x:c>
      <x:c r="F6189" s="274" t="s">
        <x:v>123</x:v>
      </x:c>
      <x:c r="G6189" s="274" t="s">
        <x:v>129</x:v>
      </x:c>
      <x:c r="H6189" s="274" t="n">
        <x:v>45</x:v>
      </x:c>
      <x:c r="I6189" s="274" t="n">
        <x:v>1.4</x:v>
      </x:c>
      <x:c r="J6189" s="274" t="n">
        <x:v>1040</x:v>
      </x:c>
      <x:c r="K6189" s="274" t="n">
        <x:v>340</x:v>
      </x:c>
      <x:c r="M6189" s="274" t="s">
        <x:v>5960</x:v>
      </x:c>
      <x:c r="N6189" s="274" t="s">
        <x:v>3671</x:v>
      </x:c>
    </x:row>
    <x:row r="6190" spans="1:14">
      <x:c r="A6190" s="274" t="s">
        <x:v>10362</x:v>
      </x:c>
      <x:c r="B6190" s="274" t="n">
        <x:v>5.74</x:v>
      </x:c>
      <x:c r="C6190" s="274" t="n">
        <x:v>0</x:v>
      </x:c>
      <x:c r="D6190" s="274" t="n">
        <x:v>45</x:v>
      </x:c>
      <x:c r="E6190" s="274" t="n">
        <x:v>40</x:v>
      </x:c>
      <x:c r="F6190" s="274" t="s">
        <x:v>123</x:v>
      </x:c>
      <x:c r="G6190" s="274" t="s">
        <x:v>129</x:v>
      </x:c>
      <x:c r="H6190" s="274" t="n">
        <x:v>45</x:v>
      </x:c>
      <x:c r="I6190" s="274" t="n">
        <x:v>1.4</x:v>
      </x:c>
      <x:c r="J6190" s="274" t="n">
        <x:v>1040</x:v>
      </x:c>
      <x:c r="K6190" s="274" t="n">
        <x:v>498</x:v>
      </x:c>
      <x:c r="M6190" s="274" t="s">
        <x:v>5962</x:v>
      </x:c>
      <x:c r="N6190" s="274" t="s">
        <x:v>3671</x:v>
      </x:c>
    </x:row>
    <x:row r="6191" spans="1:14">
      <x:c r="A6191" s="274" t="s">
        <x:v>10363</x:v>
      </x:c>
      <x:c r="B6191" s="274" t="n">
        <x:v>6.8</x:v>
      </x:c>
      <x:c r="C6191" s="274" t="n">
        <x:v>0</x:v>
      </x:c>
      <x:c r="D6191" s="274" t="n">
        <x:v>45</x:v>
      </x:c>
      <x:c r="E6191" s="274" t="n">
        <x:v>40</x:v>
      </x:c>
      <x:c r="F6191" s="274" t="s">
        <x:v>123</x:v>
      </x:c>
      <x:c r="G6191" s="274" t="s">
        <x:v>129</x:v>
      </x:c>
      <x:c r="H6191" s="274" t="n">
        <x:v>45</x:v>
      </x:c>
      <x:c r="I6191" s="274" t="n">
        <x:v>1.4</x:v>
      </x:c>
      <x:c r="J6191" s="274" t="n">
        <x:v>1040</x:v>
      </x:c>
      <x:c r="K6191" s="274" t="n">
        <x:v>590</x:v>
      </x:c>
      <x:c r="M6191" s="274" t="s">
        <x:v>5966</x:v>
      </x:c>
      <x:c r="N6191" s="274" t="s">
        <x:v>3671</x:v>
      </x:c>
    </x:row>
    <x:row r="6192" spans="1:14">
      <x:c r="A6192" s="274" t="s">
        <x:v>10364</x:v>
      </x:c>
      <x:c r="B6192" s="274" t="n">
        <x:v>6.51</x:v>
      </x:c>
      <x:c r="C6192" s="274" t="n">
        <x:v>0</x:v>
      </x:c>
      <x:c r="D6192" s="274" t="n">
        <x:v>45</x:v>
      </x:c>
      <x:c r="E6192" s="274" t="n">
        <x:v>40</x:v>
      </x:c>
      <x:c r="F6192" s="274" t="s">
        <x:v>123</x:v>
      </x:c>
      <x:c r="G6192" s="274" t="s">
        <x:v>129</x:v>
      </x:c>
      <x:c r="H6192" s="274" t="n">
        <x:v>45</x:v>
      </x:c>
      <x:c r="I6192" s="274" t="n">
        <x:v>1.4</x:v>
      </x:c>
      <x:c r="J6192" s="274" t="n">
        <x:v>1040</x:v>
      </x:c>
      <x:c r="K6192" s="274" t="n">
        <x:v>565</x:v>
      </x:c>
      <x:c r="M6192" s="274" t="s">
        <x:v>5968</x:v>
      </x:c>
      <x:c r="N6192" s="274" t="s">
        <x:v>3671</x:v>
      </x:c>
    </x:row>
    <x:row r="6193" spans="1:14">
      <x:c r="A6193" s="274" t="s">
        <x:v>10365</x:v>
      </x:c>
      <x:c r="B6193" s="274" t="n">
        <x:v>5.34</x:v>
      </x:c>
      <x:c r="C6193" s="274" t="n">
        <x:v>0</x:v>
      </x:c>
      <x:c r="D6193" s="274" t="n">
        <x:v>45</x:v>
      </x:c>
      <x:c r="E6193" s="274" t="n">
        <x:v>40</x:v>
      </x:c>
      <x:c r="F6193" s="274" t="s">
        <x:v>123</x:v>
      </x:c>
      <x:c r="G6193" s="274" t="s">
        <x:v>129</x:v>
      </x:c>
      <x:c r="H6193" s="274" t="n">
        <x:v>45</x:v>
      </x:c>
      <x:c r="I6193" s="274" t="n">
        <x:v>1.4</x:v>
      </x:c>
      <x:c r="J6193" s="274" t="n">
        <x:v>1040</x:v>
      </x:c>
      <x:c r="K6193" s="274" t="n">
        <x:v>463</x:v>
      </x:c>
      <x:c r="M6193" s="274" t="s">
        <x:v>6715</x:v>
      </x:c>
      <x:c r="N6193" s="274" t="s">
        <x:v>3671</x:v>
      </x:c>
    </x:row>
    <x:row r="6194" spans="1:14">
      <x:c r="A6194" s="274" t="s">
        <x:v>10366</x:v>
      </x:c>
      <x:c r="B6194" s="274" t="n">
        <x:v>4.96</x:v>
      </x:c>
      <x:c r="C6194" s="274" t="n">
        <x:v>0</x:v>
      </x:c>
      <x:c r="D6194" s="274" t="n">
        <x:v>45</x:v>
      </x:c>
      <x:c r="E6194" s="274" t="n">
        <x:v>40</x:v>
      </x:c>
      <x:c r="F6194" s="274" t="s">
        <x:v>133</x:v>
      </x:c>
      <x:c r="G6194" s="274" t="s">
        <x:v>136</x:v>
      </x:c>
      <x:c r="H6194" s="274" t="n">
        <x:v>45</x:v>
      </x:c>
      <x:c r="I6194" s="274" t="n">
        <x:v>1.4</x:v>
      </x:c>
      <x:c r="J6194" s="274" t="n">
        <x:v>1425</x:v>
      </x:c>
      <x:c r="K6194" s="274" t="n">
        <x:v>314</x:v>
      </x:c>
      <x:c r="M6194" s="274" t="s">
        <x:v>5398</x:v>
      </x:c>
      <x:c r="N6194" s="274" t="s">
        <x:v>3671</x:v>
      </x:c>
    </x:row>
    <x:row r="6195" spans="1:14">
      <x:c r="A6195" s="274" t="s">
        <x:v>10367</x:v>
      </x:c>
      <x:c r="B6195" s="274" t="n">
        <x:v>6.81</x:v>
      </x:c>
      <x:c r="C6195" s="274" t="n">
        <x:v>0</x:v>
      </x:c>
      <x:c r="D6195" s="274" t="n">
        <x:v>45</x:v>
      </x:c>
      <x:c r="E6195" s="274" t="n">
        <x:v>40</x:v>
      </x:c>
      <x:c r="F6195" s="274" t="s">
        <x:v>123</x:v>
      </x:c>
      <x:c r="G6195" s="274" t="s">
        <x:v>129</x:v>
      </x:c>
      <x:c r="H6195" s="274" t="n">
        <x:v>45</x:v>
      </x:c>
      <x:c r="I6195" s="274" t="n">
        <x:v>1.6</x:v>
      </x:c>
      <x:c r="J6195" s="274" t="n">
        <x:v>1260</x:v>
      </x:c>
      <x:c r="K6195" s="274" t="n">
        <x:v>427</x:v>
      </x:c>
      <x:c r="M6195" s="274" t="s">
        <x:v>5986</x:v>
      </x:c>
      <x:c r="N6195" s="274" t="s">
        <x:v>3671</x:v>
      </x:c>
    </x:row>
    <x:row r="6196" spans="1:14">
      <x:c r="A6196" s="274" t="s">
        <x:v>10368</x:v>
      </x:c>
      <x:c r="B6196" s="274" t="n">
        <x:v>6.23</x:v>
      </x:c>
      <x:c r="C6196" s="274" t="n">
        <x:v>0</x:v>
      </x:c>
      <x:c r="D6196" s="274" t="n">
        <x:v>45</x:v>
      </x:c>
      <x:c r="E6196" s="274" t="n">
        <x:v>40</x:v>
      </x:c>
      <x:c r="F6196" s="274" t="s">
        <x:v>123</x:v>
      </x:c>
      <x:c r="G6196" s="274" t="s">
        <x:v>129</x:v>
      </x:c>
      <x:c r="H6196" s="274" t="n">
        <x:v>45</x:v>
      </x:c>
      <x:c r="I6196" s="274" t="n">
        <x:v>1.6</x:v>
      </x:c>
      <x:c r="J6196" s="274" t="n">
        <x:v>1260</x:v>
      </x:c>
      <x:c r="K6196" s="274" t="n">
        <x:v>391</x:v>
      </x:c>
      <x:c r="M6196" s="274" t="s">
        <x:v>6000</x:v>
      </x:c>
      <x:c r="N6196" s="274" t="s">
        <x:v>3671</x:v>
      </x:c>
    </x:row>
    <x:row r="6197" spans="1:14">
      <x:c r="A6197" s="274" t="s">
        <x:v>10369</x:v>
      </x:c>
      <x:c r="B6197" s="274" t="n">
        <x:v>7.8</x:v>
      </x:c>
      <x:c r="C6197" s="274" t="n">
        <x:v>35</x:v>
      </x:c>
      <x:c r="D6197" s="274" t="n">
        <x:v>45</x:v>
      </x:c>
      <x:c r="E6197" s="274" t="n">
        <x:v>40</x:v>
      </x:c>
      <x:c r="F6197" s="274" t="s">
        <x:v>123</x:v>
      </x:c>
      <x:c r="G6197" s="274" t="s">
        <x:v>129</x:v>
      </x:c>
      <x:c r="H6197" s="274" t="n">
        <x:v>45</x:v>
      </x:c>
      <x:c r="I6197" s="274" t="n">
        <x:v>1.8</x:v>
      </x:c>
      <x:c r="J6197" s="274" t="n">
        <x:v>1075</x:v>
      </x:c>
      <x:c r="K6197" s="274" t="n">
        <x:v>510</x:v>
      </x:c>
      <x:c r="M6197" s="274" t="s">
        <x:v>6010</x:v>
      </x:c>
      <x:c r="N6197" s="274" t="s">
        <x:v>3671</x:v>
      </x:c>
    </x:row>
    <x:row r="6198" spans="1:14">
      <x:c r="A6198" s="274" t="s">
        <x:v>10370</x:v>
      </x:c>
      <x:c r="B6198" s="274" t="n">
        <x:v>6.03</x:v>
      </x:c>
      <x:c r="C6198" s="274" t="n">
        <x:v>35</x:v>
      </x:c>
      <x:c r="D6198" s="274" t="n">
        <x:v>45</x:v>
      </x:c>
      <x:c r="E6198" s="274" t="n">
        <x:v>40</x:v>
      </x:c>
      <x:c r="F6198" s="274" t="s">
        <x:v>123</x:v>
      </x:c>
      <x:c r="G6198" s="274" t="s">
        <x:v>881</x:v>
      </x:c>
      <x:c r="H6198" s="274" t="n">
        <x:v>45</x:v>
      </x:c>
      <x:c r="I6198" s="274" t="n">
        <x:v>2</x:v>
      </x:c>
      <x:c r="J6198" s="274" t="n">
        <x:v>1050</x:v>
      </x:c>
      <x:c r="K6198" s="274" t="n">
        <x:v>364</x:v>
      </x:c>
      <x:c r="M6198" s="274" t="s">
        <x:v>6016</x:v>
      </x:c>
      <x:c r="N6198" s="274" t="s">
        <x:v>3671</x:v>
      </x:c>
    </x:row>
    <x:row r="6199" spans="1:14">
      <x:c r="A6199" s="274" t="s">
        <x:v>10371</x:v>
      </x:c>
      <x:c r="B6199" s="274" t="n">
        <x:v>7.39</x:v>
      </x:c>
      <x:c r="C6199" s="274" t="n">
        <x:v>0</x:v>
      </x:c>
      <x:c r="D6199" s="274" t="n">
        <x:v>45</x:v>
      </x:c>
      <x:c r="E6199" s="274" t="n">
        <x:v>40</x:v>
      </x:c>
      <x:c r="F6199" s="274" t="s">
        <x:v>123</x:v>
      </x:c>
      <x:c r="G6199" s="274" t="s">
        <x:v>881</x:v>
      </x:c>
      <x:c r="H6199" s="274" t="n">
        <x:v>45</x:v>
      </x:c>
      <x:c r="I6199" s="274" t="n">
        <x:v>2</x:v>
      </x:c>
      <x:c r="J6199" s="274" t="n">
        <x:v>1050</x:v>
      </x:c>
      <x:c r="K6199" s="274" t="n">
        <x:v>446</x:v>
      </x:c>
      <x:c r="M6199" s="274" t="s">
        <x:v>6018</x:v>
      </x:c>
      <x:c r="N6199" s="274" t="s">
        <x:v>3671</x:v>
      </x:c>
    </x:row>
    <x:row r="6200" spans="1:14">
      <x:c r="A6200" s="274" t="s">
        <x:v>10372</x:v>
      </x:c>
      <x:c r="B6200" s="274" t="n">
        <x:v>5.72</x:v>
      </x:c>
      <x:c r="C6200" s="274" t="n">
        <x:v>0</x:v>
      </x:c>
      <x:c r="D6200" s="274" t="n">
        <x:v>45</x:v>
      </x:c>
      <x:c r="E6200" s="274" t="n">
        <x:v>40</x:v>
      </x:c>
      <x:c r="F6200" s="274" t="s">
        <x:v>133</x:v>
      </x:c>
      <x:c r="G6200" s="274" t="s">
        <x:v>144</x:v>
      </x:c>
      <x:c r="H6200" s="274" t="n">
        <x:v>45</x:v>
      </x:c>
      <x:c r="I6200" s="274" t="n">
        <x:v>2</x:v>
      </x:c>
      <x:c r="J6200" s="274" t="n">
        <x:v>1125</x:v>
      </x:c>
      <x:c r="K6200" s="274" t="n">
        <x:v>322</x:v>
      </x:c>
      <x:c r="M6200" s="274" t="s">
        <x:v>6723</x:v>
      </x:c>
      <x:c r="N6200" s="274" t="s">
        <x:v>3671</x:v>
      </x:c>
    </x:row>
    <x:row r="6201" spans="1:14">
      <x:c r="A6201" s="274" t="s">
        <x:v>10373</x:v>
      </x:c>
      <x:c r="B6201" s="274" t="n">
        <x:v>6.11</x:v>
      </x:c>
      <x:c r="C6201" s="274" t="n">
        <x:v>0</x:v>
      </x:c>
      <x:c r="D6201" s="274" t="n">
        <x:v>45</x:v>
      </x:c>
      <x:c r="E6201" s="274" t="n">
        <x:v>40</x:v>
      </x:c>
      <x:c r="F6201" s="274" t="s">
        <x:v>133</x:v>
      </x:c>
      <x:c r="G6201" s="274" t="s">
        <x:v>144</x:v>
      </x:c>
      <x:c r="H6201" s="274" t="n">
        <x:v>45</x:v>
      </x:c>
      <x:c r="I6201" s="274" t="n">
        <x:v>2</x:v>
      </x:c>
      <x:c r="J6201" s="274" t="n">
        <x:v>1125</x:v>
      </x:c>
      <x:c r="K6201" s="274" t="n">
        <x:v>344</x:v>
      </x:c>
      <x:c r="M6201" s="274" t="s">
        <x:v>6725</x:v>
      </x:c>
      <x:c r="N6201" s="274" t="s">
        <x:v>3671</x:v>
      </x:c>
    </x:row>
    <x:row r="6202" spans="1:14">
      <x:c r="A6202" s="274" t="s">
        <x:v>10374</x:v>
      </x:c>
      <x:c r="B6202" s="274" t="n">
        <x:v>6.39</x:v>
      </x:c>
      <x:c r="C6202" s="274" t="n">
        <x:v>0</x:v>
      </x:c>
      <x:c r="D6202" s="274" t="n">
        <x:v>45</x:v>
      </x:c>
      <x:c r="E6202" s="274" t="n">
        <x:v>40</x:v>
      </x:c>
      <x:c r="F6202" s="274" t="s">
        <x:v>133</x:v>
      </x:c>
      <x:c r="G6202" s="274" t="s">
        <x:v>144</x:v>
      </x:c>
      <x:c r="H6202" s="274" t="n">
        <x:v>45</x:v>
      </x:c>
      <x:c r="I6202" s="274" t="n">
        <x:v>2</x:v>
      </x:c>
      <x:c r="J6202" s="274" t="n">
        <x:v>1125</x:v>
      </x:c>
      <x:c r="K6202" s="274" t="n">
        <x:v>360</x:v>
      </x:c>
      <x:c r="M6202" s="274" t="s">
        <x:v>10375</x:v>
      </x:c>
      <x:c r="N6202" s="274" t="s">
        <x:v>3671</x:v>
      </x:c>
    </x:row>
    <x:row r="6203" spans="1:14">
      <x:c r="A6203" s="274" t="s">
        <x:v>10376</x:v>
      </x:c>
      <x:c r="B6203" s="274" t="n">
        <x:v>6.31</x:v>
      </x:c>
      <x:c r="C6203" s="274" t="n">
        <x:v>0</x:v>
      </x:c>
      <x:c r="D6203" s="274" t="n">
        <x:v>45</x:v>
      </x:c>
      <x:c r="E6203" s="274" t="n">
        <x:v>40</x:v>
      </x:c>
      <x:c r="F6203" s="274" t="s">
        <x:v>133</x:v>
      </x:c>
      <x:c r="G6203" s="274" t="s">
        <x:v>144</x:v>
      </x:c>
      <x:c r="H6203" s="274" t="n">
        <x:v>45</x:v>
      </x:c>
      <x:c r="I6203" s="274" t="n">
        <x:v>2</x:v>
      </x:c>
      <x:c r="J6203" s="274" t="n">
        <x:v>1125</x:v>
      </x:c>
      <x:c r="K6203" s="274" t="n">
        <x:v>355</x:v>
      </x:c>
      <x:c r="M6203" s="274" t="s">
        <x:v>6727</x:v>
      </x:c>
      <x:c r="N6203" s="274" t="s">
        <x:v>3671</x:v>
      </x:c>
    </x:row>
    <x:row r="6204" spans="1:14">
      <x:c r="A6204" s="274" t="s">
        <x:v>10377</x:v>
      </x:c>
      <x:c r="B6204" s="274" t="n">
        <x:v>6.89</x:v>
      </x:c>
      <x:c r="C6204" s="274" t="n">
        <x:v>0</x:v>
      </x:c>
      <x:c r="D6204" s="274" t="n">
        <x:v>45</x:v>
      </x:c>
      <x:c r="E6204" s="274" t="n">
        <x:v>40</x:v>
      </x:c>
      <x:c r="F6204" s="274" t="s">
        <x:v>133</x:v>
      </x:c>
      <x:c r="G6204" s="274" t="s">
        <x:v>144</x:v>
      </x:c>
      <x:c r="H6204" s="274" t="n">
        <x:v>45</x:v>
      </x:c>
      <x:c r="I6204" s="274" t="n">
        <x:v>2</x:v>
      </x:c>
      <x:c r="J6204" s="274" t="n">
        <x:v>1125</x:v>
      </x:c>
      <x:c r="K6204" s="274" t="n">
        <x:v>388</x:v>
      </x:c>
      <x:c r="M6204" s="274" t="s">
        <x:v>6729</x:v>
      </x:c>
      <x:c r="N6204" s="274" t="s">
        <x:v>3671</x:v>
      </x:c>
    </x:row>
    <x:row r="6205" spans="1:14">
      <x:c r="A6205" s="274" t="s">
        <x:v>10378</x:v>
      </x:c>
      <x:c r="B6205" s="274" t="n">
        <x:v>33.04</x:v>
      </x:c>
      <x:c r="C6205" s="274" t="n">
        <x:v>0</x:v>
      </x:c>
      <x:c r="D6205" s="274" t="n">
        <x:v>30</x:v>
      </x:c>
      <x:c r="E6205" s="274" t="n">
        <x:v>25</x:v>
      </x:c>
      <x:c r="F6205" s="274" t="s">
        <x:v>133</x:v>
      </x:c>
      <x:c r="G6205" s="274" t="s">
        <x:v>134</x:v>
      </x:c>
      <x:c r="I6205" s="274" t="n">
        <x:v>2.6</x:v>
      </x:c>
      <x:c r="J6205" s="274" t="n">
        <x:v>1295</x:v>
      </x:c>
      <x:c r="K6205" s="274" t="n">
        <x:v>1250</x:v>
      </x:c>
      <x:c r="M6205" s="274" t="s">
        <x:v>6475</x:v>
      </x:c>
      <x:c r="N6205" s="274" t="s">
        <x:v>3671</x:v>
      </x:c>
    </x:row>
    <x:row r="6206" spans="1:14">
      <x:c r="A6206" s="274" t="s">
        <x:v>10379</x:v>
      </x:c>
      <x:c r="B6206" s="274" t="n">
        <x:v>20.32</x:v>
      </x:c>
      <x:c r="C6206" s="274" t="n">
        <x:v>0</x:v>
      </x:c>
      <x:c r="D6206" s="274" t="n">
        <x:v>37</x:v>
      </x:c>
      <x:c r="E6206" s="274" t="n">
        <x:v>32</x:v>
      </x:c>
      <x:c r="F6206" s="274" t="s">
        <x:v>133</x:v>
      </x:c>
      <x:c r="G6206" s="274" t="s">
        <x:v>4329</x:v>
      </x:c>
      <x:c r="I6206" s="274" t="n">
        <x:v>2</x:v>
      </x:c>
      <x:c r="J6206" s="274" t="n">
        <x:v>1035</x:v>
      </x:c>
      <x:c r="K6206" s="274" t="n">
        <x:v>1250</x:v>
      </x:c>
      <x:c r="M6206" s="274" t="s">
        <x:v>6837</x:v>
      </x:c>
      <x:c r="N6206" s="274" t="s">
        <x:v>5073</x:v>
      </x:c>
    </x:row>
    <x:row r="6207" spans="1:14">
      <x:c r="A6207" s="274" t="s">
        <x:v>10380</x:v>
      </x:c>
      <x:c r="B6207" s="274" t="n">
        <x:v>11.19</x:v>
      </x:c>
      <x:c r="C6207" s="274" t="n">
        <x:v>0</x:v>
      </x:c>
      <x:c r="D6207" s="274" t="n">
        <x:v>45</x:v>
      </x:c>
      <x:c r="E6207" s="274" t="n">
        <x:v>40</x:v>
      </x:c>
      <x:c r="F6207" s="274" t="s">
        <x:v>333</x:v>
      </x:c>
      <x:c r="G6207" s="274" t="s">
        <x:v>124</x:v>
      </x:c>
      <x:c r="I6207" s="274" t="n">
        <x:v>1.4</x:v>
      </x:c>
      <x:c r="J6207" s="274" t="n">
        <x:v>1135</x:v>
      </x:c>
      <x:c r="K6207" s="274" t="n">
        <x:v>897</x:v>
      </x:c>
      <x:c r="M6207" s="274" t="s">
        <x:v>6735</x:v>
      </x:c>
      <x:c r="N6207" s="274" t="s">
        <x:v>3671</x:v>
      </x:c>
    </x:row>
    <x:row r="6208" spans="1:14">
      <x:c r="A6208" s="274" t="s">
        <x:v>10381</x:v>
      </x:c>
      <x:c r="B6208" s="274" t="n">
        <x:v>13.81</x:v>
      </x:c>
      <x:c r="C6208" s="274" t="n">
        <x:v>0</x:v>
      </x:c>
      <x:c r="D6208" s="274" t="n">
        <x:v>34</x:v>
      </x:c>
      <x:c r="E6208" s="274" t="n">
        <x:v>32</x:v>
      </x:c>
      <x:c r="F6208" s="274" t="s">
        <x:v>133</x:v>
      </x:c>
      <x:c r="G6208" s="274" t="s">
        <x:v>144</x:v>
      </x:c>
      <x:c r="H6208" s="274" t="n">
        <x:v>45</x:v>
      </x:c>
      <x:c r="I6208" s="274" t="n">
        <x:v>1.2</x:v>
      </x:c>
      <x:c r="J6208" s="274" t="n">
        <x:v>1210</x:v>
      </x:c>
      <x:c r="K6208" s="274" t="n">
        <x:v>1200</x:v>
      </x:c>
      <x:c r="M6208" s="274" t="s">
        <x:v>10382</x:v>
      </x:c>
      <x:c r="N6208" s="274" t="s">
        <x:v>3671</x:v>
      </x:c>
    </x:row>
    <x:row r="6209" spans="1:14">
      <x:c r="A6209" s="274" t="s">
        <x:v>10383</x:v>
      </x:c>
      <x:c r="B6209" s="274" t="n">
        <x:v>5.82</x:v>
      </x:c>
      <x:c r="C6209" s="274" t="n">
        <x:v>0</x:v>
      </x:c>
      <x:c r="D6209" s="274" t="n">
        <x:v>42</x:v>
      </x:c>
      <x:c r="E6209" s="274" t="n">
        <x:v>40</x:v>
      </x:c>
      <x:c r="F6209" s="274" t="s">
        <x:v>133</x:v>
      </x:c>
      <x:c r="G6209" s="274" t="s">
        <x:v>144</x:v>
      </x:c>
      <x:c r="H6209" s="274" t="n">
        <x:v>45</x:v>
      </x:c>
      <x:c r="I6209" s="274" t="n">
        <x:v>1.2</x:v>
      </x:c>
      <x:c r="J6209" s="274" t="n">
        <x:v>1210</x:v>
      </x:c>
      <x:c r="K6209" s="274" t="n">
        <x:v>506</x:v>
      </x:c>
      <x:c r="M6209" s="274" t="s">
        <x:v>10384</x:v>
      </x:c>
      <x:c r="N6209" s="274" t="s">
        <x:v>3671</x:v>
      </x:c>
    </x:row>
    <x:row r="6210" spans="1:14">
      <x:c r="A6210" s="274" t="s">
        <x:v>10385</x:v>
      </x:c>
      <x:c r="B6210" s="274" t="n">
        <x:v>6.33</x:v>
      </x:c>
      <x:c r="C6210" s="274" t="n">
        <x:v>0</x:v>
      </x:c>
      <x:c r="D6210" s="274" t="n">
        <x:v>42</x:v>
      </x:c>
      <x:c r="E6210" s="274" t="n">
        <x:v>40</x:v>
      </x:c>
      <x:c r="F6210" s="274" t="s">
        <x:v>133</x:v>
      </x:c>
      <x:c r="G6210" s="274" t="s">
        <x:v>144</x:v>
      </x:c>
      <x:c r="H6210" s="274" t="n">
        <x:v>45</x:v>
      </x:c>
      <x:c r="I6210" s="274" t="n">
        <x:v>1.2</x:v>
      </x:c>
      <x:c r="J6210" s="274" t="n">
        <x:v>1210</x:v>
      </x:c>
      <x:c r="K6210" s="274" t="n">
        <x:v>550</x:v>
      </x:c>
      <x:c r="M6210" s="274" t="s">
        <x:v>10386</x:v>
      </x:c>
      <x:c r="N6210" s="274" t="s">
        <x:v>3671</x:v>
      </x:c>
    </x:row>
    <x:row r="6211" spans="1:14">
      <x:c r="A6211" s="274" t="s">
        <x:v>10387</x:v>
      </x:c>
      <x:c r="B6211" s="274" t="n">
        <x:v>4.33</x:v>
      </x:c>
      <x:c r="C6211" s="274" t="n">
        <x:v>0</x:v>
      </x:c>
      <x:c r="D6211" s="274" t="n">
        <x:v>42</x:v>
      </x:c>
      <x:c r="E6211" s="274" t="n">
        <x:v>40</x:v>
      </x:c>
      <x:c r="F6211" s="274" t="s">
        <x:v>133</x:v>
      </x:c>
      <x:c r="G6211" s="274" t="s">
        <x:v>144</x:v>
      </x:c>
      <x:c r="H6211" s="274" t="n">
        <x:v>45</x:v>
      </x:c>
      <x:c r="I6211" s="274" t="n">
        <x:v>1.2</x:v>
      </x:c>
      <x:c r="J6211" s="274" t="n">
        <x:v>1210</x:v>
      </x:c>
      <x:c r="K6211" s="274" t="n">
        <x:v>376</x:v>
      </x:c>
      <x:c r="M6211" s="274" t="s">
        <x:v>10388</x:v>
      </x:c>
      <x:c r="N6211" s="274" t="s">
        <x:v>3671</x:v>
      </x:c>
    </x:row>
    <x:row r="6212" spans="1:14">
      <x:c r="A6212" s="274" t="s">
        <x:v>10389</x:v>
      </x:c>
      <x:c r="B6212" s="274" t="n">
        <x:v>4</x:v>
      </x:c>
      <x:c r="C6212" s="274" t="n">
        <x:v>0</x:v>
      </x:c>
      <x:c r="D6212" s="274" t="n">
        <x:v>42</x:v>
      </x:c>
      <x:c r="E6212" s="274" t="n">
        <x:v>40</x:v>
      </x:c>
      <x:c r="F6212" s="274" t="s">
        <x:v>333</x:v>
      </x:c>
      <x:c r="G6212" s="274" t="s">
        <x:v>209</x:v>
      </x:c>
      <x:c r="I6212" s="274" t="n">
        <x:v>1.2</x:v>
      </x:c>
      <x:c r="J6212" s="274" t="n">
        <x:v>1250</x:v>
      </x:c>
      <x:c r="K6212" s="274" t="n">
        <x:v>340</x:v>
      </x:c>
      <x:c r="M6212" s="274" t="s">
        <x:v>10390</x:v>
      </x:c>
      <x:c r="N6212" s="274" t="s">
        <x:v>3671</x:v>
      </x:c>
    </x:row>
    <x:row r="6213" spans="1:14">
      <x:c r="A6213" s="274" t="s">
        <x:v>10391</x:v>
      </x:c>
      <x:c r="B6213" s="274" t="n">
        <x:v>3.09</x:v>
      </x:c>
      <x:c r="C6213" s="274" t="n">
        <x:v>0</x:v>
      </x:c>
      <x:c r="D6213" s="274" t="n">
        <x:v>45</x:v>
      </x:c>
      <x:c r="E6213" s="274" t="n">
        <x:v>40</x:v>
      </x:c>
      <x:c r="F6213" s="274" t="s">
        <x:v>333</x:v>
      </x:c>
      <x:c r="G6213" s="274" t="s">
        <x:v>334</x:v>
      </x:c>
      <x:c r="I6213" s="274" t="n">
        <x:v>1.4</x:v>
      </x:c>
      <x:c r="J6213" s="274" t="n">
        <x:v>864</x:v>
      </x:c>
      <x:c r="K6213" s="274" t="n">
        <x:v>325</x:v>
      </x:c>
      <x:c r="M6213" s="274" t="s">
        <x:v>9258</x:v>
      </x:c>
      <x:c r="N6213" s="274" t="s">
        <x:v>3671</x:v>
      </x:c>
    </x:row>
    <x:row r="6214" spans="1:14">
      <x:c r="A6214" s="274" t="s">
        <x:v>10392</x:v>
      </x:c>
      <x:c r="B6214" s="274" t="n">
        <x:v>7.68</x:v>
      </x:c>
      <x:c r="C6214" s="274" t="n">
        <x:v>0</x:v>
      </x:c>
      <x:c r="D6214" s="274" t="n">
        <x:v>42</x:v>
      </x:c>
      <x:c r="E6214" s="274" t="n">
        <x:v>40</x:v>
      </x:c>
      <x:c r="F6214" s="274" t="s">
        <x:v>123</x:v>
      </x:c>
      <x:c r="G6214" s="274" t="s">
        <x:v>881</x:v>
      </x:c>
      <x:c r="H6214" s="274" t="n">
        <x:v>45</x:v>
      </x:c>
      <x:c r="I6214" s="274" t="n">
        <x:v>1.4</x:v>
      </x:c>
      <x:c r="J6214" s="274" t="n">
        <x:v>1140</x:v>
      </x:c>
      <x:c r="K6214" s="274" t="n">
        <x:v>608</x:v>
      </x:c>
      <x:c r="M6214" s="274" t="s">
        <x:v>10393</x:v>
      </x:c>
      <x:c r="N6214" s="274" t="s">
        <x:v>3671</x:v>
      </x:c>
    </x:row>
    <x:row r="6215" spans="1:14">
      <x:c r="A6215" s="274" t="s">
        <x:v>10394</x:v>
      </x:c>
      <x:c r="B6215" s="274" t="n">
        <x:v>11.18</x:v>
      </x:c>
      <x:c r="C6215" s="274" t="n">
        <x:v>0</x:v>
      </x:c>
      <x:c r="D6215" s="274" t="n">
        <x:v>42</x:v>
      </x:c>
      <x:c r="E6215" s="274" t="n">
        <x:v>40</x:v>
      </x:c>
      <x:c r="F6215" s="274" t="s">
        <x:v>123</x:v>
      </x:c>
      <x:c r="G6215" s="274" t="s">
        <x:v>881</x:v>
      </x:c>
      <x:c r="H6215" s="274" t="n">
        <x:v>45</x:v>
      </x:c>
      <x:c r="I6215" s="274" t="n">
        <x:v>1.4</x:v>
      </x:c>
      <x:c r="J6215" s="274" t="n">
        <x:v>1140</x:v>
      </x:c>
      <x:c r="K6215" s="274" t="n">
        <x:v>885</x:v>
      </x:c>
      <x:c r="M6215" s="274" t="s">
        <x:v>10395</x:v>
      </x:c>
      <x:c r="N6215" s="274" t="s">
        <x:v>3671</x:v>
      </x:c>
    </x:row>
    <x:row r="6216" spans="1:14">
      <x:c r="A6216" s="274" t="s">
        <x:v>10396</x:v>
      </x:c>
      <x:c r="B6216" s="274" t="n">
        <x:v>3.92</x:v>
      </x:c>
      <x:c r="C6216" s="274" t="n">
        <x:v>0</x:v>
      </x:c>
      <x:c r="D6216" s="274" t="n">
        <x:v>42</x:v>
      </x:c>
      <x:c r="E6216" s="274" t="n">
        <x:v>40</x:v>
      </x:c>
      <x:c r="F6216" s="274" t="s">
        <x:v>123</x:v>
      </x:c>
      <x:c r="G6216" s="274" t="s">
        <x:v>881</x:v>
      </x:c>
      <x:c r="H6216" s="274" t="n">
        <x:v>45</x:v>
      </x:c>
      <x:c r="I6216" s="274" t="n">
        <x:v>1.4</x:v>
      </x:c>
      <x:c r="J6216" s="274" t="n">
        <x:v>1140</x:v>
      </x:c>
      <x:c r="K6216" s="274" t="n">
        <x:v>310</x:v>
      </x:c>
      <x:c r="M6216" s="274" t="s">
        <x:v>10397</x:v>
      </x:c>
      <x:c r="N6216" s="274" t="s">
        <x:v>3671</x:v>
      </x:c>
    </x:row>
    <x:row r="6217" spans="1:14">
      <x:c r="A6217" s="274" t="s">
        <x:v>10398</x:v>
      </x:c>
      <x:c r="B6217" s="274" t="n">
        <x:v>15.16</x:v>
      </x:c>
      <x:c r="C6217" s="274" t="n">
        <x:v>0</x:v>
      </x:c>
      <x:c r="D6217" s="274" t="n">
        <x:v>30</x:v>
      </x:c>
      <x:c r="E6217" s="274" t="n">
        <x:v>32</x:v>
      </x:c>
      <x:c r="F6217" s="274" t="s">
        <x:v>123</x:v>
      </x:c>
      <x:c r="G6217" s="274" t="s">
        <x:v>881</x:v>
      </x:c>
      <x:c r="H6217" s="274" t="n">
        <x:v>45</x:v>
      </x:c>
      <x:c r="I6217" s="274" t="n">
        <x:v>1.4</x:v>
      </x:c>
      <x:c r="J6217" s="274" t="n">
        <x:v>1140</x:v>
      </x:c>
      <x:c r="K6217" s="274" t="n">
        <x:v>1200</x:v>
      </x:c>
      <x:c r="M6217" s="274" t="s">
        <x:v>10399</x:v>
      </x:c>
      <x:c r="N6217" s="274" t="s">
        <x:v>3671</x:v>
      </x:c>
    </x:row>
    <x:row r="6218" spans="1:14">
      <x:c r="A6218" s="274" t="s">
        <x:v>10400</x:v>
      </x:c>
      <x:c r="B6218" s="274" t="n">
        <x:v>4.66</x:v>
      </x:c>
      <x:c r="C6218" s="274" t="n">
        <x:v>0</x:v>
      </x:c>
      <x:c r="D6218" s="274" t="n">
        <x:v>45</x:v>
      </x:c>
      <x:c r="E6218" s="274" t="n">
        <x:v>40</x:v>
      </x:c>
      <x:c r="F6218" s="274" t="s">
        <x:v>133</x:v>
      </x:c>
      <x:c r="G6218" s="274" t="s">
        <x:v>144</x:v>
      </x:c>
      <x:c r="H6218" s="274" t="n">
        <x:v>45</x:v>
      </x:c>
      <x:c r="I6218" s="274" t="n">
        <x:v>1.6</x:v>
      </x:c>
      <x:c r="J6218" s="274" t="n">
        <x:v>920</x:v>
      </x:c>
      <x:c r="K6218" s="274" t="n">
        <x:v>400</x:v>
      </x:c>
      <x:c r="M6218" s="274" t="s">
        <x:v>9258</x:v>
      </x:c>
      <x:c r="N6218" s="274" t="s">
        <x:v>3671</x:v>
      </x:c>
    </x:row>
    <x:row r="6219" spans="1:14">
      <x:c r="A6219" s="274" t="s">
        <x:v>10401</x:v>
      </x:c>
      <x:c r="B6219" s="274" t="n">
        <x:v>4.93</x:v>
      </x:c>
      <x:c r="C6219" s="274" t="n">
        <x:v>0</x:v>
      </x:c>
      <x:c r="D6219" s="274" t="n">
        <x:v>42</x:v>
      </x:c>
      <x:c r="E6219" s="274" t="n">
        <x:v>40</x:v>
      </x:c>
      <x:c r="F6219" s="274" t="s">
        <x:v>133</x:v>
      </x:c>
      <x:c r="G6219" s="274" t="s">
        <x:v>144</x:v>
      </x:c>
      <x:c r="H6219" s="274" t="n">
        <x:v>45</x:v>
      </x:c>
      <x:c r="I6219" s="274" t="n">
        <x:v>1.6</x:v>
      </x:c>
      <x:c r="J6219" s="274" t="n">
        <x:v>920</x:v>
      </x:c>
      <x:c r="K6219" s="274" t="n">
        <x:v>424</x:v>
      </x:c>
      <x:c r="M6219" s="274" t="s">
        <x:v>10402</x:v>
      </x:c>
      <x:c r="N6219" s="274" t="s">
        <x:v>3671</x:v>
      </x:c>
    </x:row>
    <x:row r="6220" spans="1:14">
      <x:c r="A6220" s="274" t="s">
        <x:v>10403</x:v>
      </x:c>
      <x:c r="B6220" s="274" t="n">
        <x:v>6.13</x:v>
      </x:c>
      <x:c r="C6220" s="274" t="n">
        <x:v>0</x:v>
      </x:c>
      <x:c r="D6220" s="274" t="n">
        <x:v>42</x:v>
      </x:c>
      <x:c r="E6220" s="274" t="n">
        <x:v>40</x:v>
      </x:c>
      <x:c r="F6220" s="274" t="s">
        <x:v>133</x:v>
      </x:c>
      <x:c r="G6220" s="274" t="s">
        <x:v>144</x:v>
      </x:c>
      <x:c r="H6220" s="274" t="n">
        <x:v>45</x:v>
      </x:c>
      <x:c r="I6220" s="274" t="n">
        <x:v>1.6</x:v>
      </x:c>
      <x:c r="J6220" s="274" t="n">
        <x:v>920</x:v>
      </x:c>
      <x:c r="K6220" s="274" t="n">
        <x:v>527</x:v>
      </x:c>
      <x:c r="M6220" s="274" t="s">
        <x:v>10404</x:v>
      </x:c>
      <x:c r="N6220" s="274" t="s">
        <x:v>3671</x:v>
      </x:c>
    </x:row>
    <x:row r="6221" spans="1:14">
      <x:c r="A6221" s="274" t="s">
        <x:v>10405</x:v>
      </x:c>
      <x:c r="B6221" s="274" t="n">
        <x:v>7.33</x:v>
      </x:c>
      <x:c r="C6221" s="274" t="n">
        <x:v>0</x:v>
      </x:c>
      <x:c r="D6221" s="274" t="n">
        <x:v>42</x:v>
      </x:c>
      <x:c r="E6221" s="274" t="n">
        <x:v>40</x:v>
      </x:c>
      <x:c r="F6221" s="274" t="s">
        <x:v>133</x:v>
      </x:c>
      <x:c r="G6221" s="274" t="s">
        <x:v>136</x:v>
      </x:c>
      <x:c r="H6221" s="274" t="n">
        <x:v>45</x:v>
      </x:c>
      <x:c r="I6221" s="274" t="n">
        <x:v>1.6</x:v>
      </x:c>
      <x:c r="J6221" s="274" t="n">
        <x:v>1485</x:v>
      </x:c>
      <x:c r="K6221" s="274" t="n">
        <x:v>390</x:v>
      </x:c>
      <x:c r="M6221" s="274" t="s">
        <x:v>10406</x:v>
      </x:c>
      <x:c r="N6221" s="274" t="s">
        <x:v>3671</x:v>
      </x:c>
    </x:row>
    <x:row r="6222" spans="1:14">
      <x:c r="A6222" s="274" t="s">
        <x:v>10407</x:v>
      </x:c>
      <x:c r="B6222" s="274" t="n">
        <x:v>9.17</x:v>
      </x:c>
      <x:c r="C6222" s="274" t="n">
        <x:v>0</x:v>
      </x:c>
      <x:c r="D6222" s="274" t="n">
        <x:v>42</x:v>
      </x:c>
      <x:c r="E6222" s="274" t="n">
        <x:v>40</x:v>
      </x:c>
      <x:c r="F6222" s="274" t="s">
        <x:v>133</x:v>
      </x:c>
      <x:c r="G6222" s="274" t="s">
        <x:v>136</x:v>
      </x:c>
      <x:c r="H6222" s="274" t="n">
        <x:v>45</x:v>
      </x:c>
      <x:c r="I6222" s="274" t="n">
        <x:v>1.6</x:v>
      </x:c>
      <x:c r="J6222" s="274" t="n">
        <x:v>1485</x:v>
      </x:c>
      <x:c r="K6222" s="274" t="n">
        <x:v>488</x:v>
      </x:c>
      <x:c r="M6222" s="274" t="s">
        <x:v>10408</x:v>
      </x:c>
      <x:c r="N6222" s="274" t="s">
        <x:v>3671</x:v>
      </x:c>
    </x:row>
    <x:row r="6223" spans="1:14">
      <x:c r="A6223" s="274" t="s">
        <x:v>10409</x:v>
      </x:c>
      <x:c r="B6223" s="274" t="n">
        <x:v>8.02</x:v>
      </x:c>
      <x:c r="C6223" s="274" t="n">
        <x:v>0</x:v>
      </x:c>
      <x:c r="D6223" s="274" t="n">
        <x:v>42</x:v>
      </x:c>
      <x:c r="E6223" s="274" t="n">
        <x:v>40</x:v>
      </x:c>
      <x:c r="F6223" s="274" t="s">
        <x:v>133</x:v>
      </x:c>
      <x:c r="G6223" s="274" t="s">
        <x:v>136</x:v>
      </x:c>
      <x:c r="H6223" s="274" t="n">
        <x:v>45</x:v>
      </x:c>
      <x:c r="I6223" s="274" t="n">
        <x:v>1.6</x:v>
      </x:c>
      <x:c r="J6223" s="274" t="n">
        <x:v>1485</x:v>
      </x:c>
      <x:c r="K6223" s="274" t="n">
        <x:v>427</x:v>
      </x:c>
      <x:c r="M6223" s="274" t="s">
        <x:v>10410</x:v>
      </x:c>
      <x:c r="N6223" s="274" t="s">
        <x:v>3671</x:v>
      </x:c>
    </x:row>
    <x:row r="6224" spans="1:14">
      <x:c r="A6224" s="274" t="s">
        <x:v>10411</x:v>
      </x:c>
      <x:c r="B6224" s="274" t="n">
        <x:v>4.43</x:v>
      </x:c>
      <x:c r="C6224" s="274" t="n">
        <x:v>0</x:v>
      </x:c>
      <x:c r="D6224" s="274" t="n">
        <x:v>42</x:v>
      </x:c>
      <x:c r="E6224" s="274" t="n">
        <x:v>40</x:v>
      </x:c>
      <x:c r="F6224" s="274" t="s">
        <x:v>333</x:v>
      </x:c>
      <x:c r="G6224" s="274" t="s">
        <x:v>334</x:v>
      </x:c>
      <x:c r="I6224" s="274" t="n">
        <x:v>1.8</x:v>
      </x:c>
      <x:c r="J6224" s="274" t="n">
        <x:v>922</x:v>
      </x:c>
      <x:c r="K6224" s="274" t="n">
        <x:v>340</x:v>
      </x:c>
      <x:c r="M6224" s="274" t="s">
        <x:v>10412</x:v>
      </x:c>
      <x:c r="N6224" s="274" t="s">
        <x:v>3671</x:v>
      </x:c>
    </x:row>
    <x:row r="6225" spans="1:14">
      <x:c r="A6225" s="274" t="s">
        <x:v>10413</x:v>
      </x:c>
      <x:c r="B6225" s="274" t="n">
        <x:v>7.42</x:v>
      </x:c>
      <x:c r="C6225" s="274" t="n">
        <x:v>0</x:v>
      </x:c>
      <x:c r="D6225" s="274" t="n">
        <x:v>45</x:v>
      </x:c>
      <x:c r="E6225" s="274" t="n">
        <x:v>40</x:v>
      </x:c>
      <x:c r="F6225" s="274" t="s">
        <x:v>128</x:v>
      </x:c>
      <x:c r="G6225" s="274" t="s">
        <x:v>3314</x:v>
      </x:c>
      <x:c r="H6225" s="274" t="n">
        <x:v>45</x:v>
      </x:c>
      <x:c r="I6225" s="274" t="n">
        <x:v>2</x:v>
      </x:c>
      <x:c r="J6225" s="274" t="n">
        <x:v>1000</x:v>
      </x:c>
      <x:c r="K6225" s="274" t="n">
        <x:v>470</x:v>
      </x:c>
      <x:c r="M6225" s="274" t="s">
        <x:v>10414</x:v>
      </x:c>
      <x:c r="N6225" s="274" t="s">
        <x:v>3671</x:v>
      </x:c>
    </x:row>
    <x:row r="6226" spans="1:14">
      <x:c r="A6226" s="274" t="s">
        <x:v>10415</x:v>
      </x:c>
      <x:c r="B6226" s="274" t="n">
        <x:v>19.12</x:v>
      </x:c>
      <x:c r="C6226" s="274" t="n">
        <x:v>0</x:v>
      </x:c>
      <x:c r="D6226" s="274" t="n">
        <x:v>35</x:v>
      </x:c>
      <x:c r="E6226" s="274" t="n">
        <x:v>30</x:v>
      </x:c>
      <x:c r="F6226" s="274" t="s">
        <x:v>123</x:v>
      </x:c>
      <x:c r="G6226" s="274" t="s">
        <x:v>209</x:v>
      </x:c>
      <x:c r="I6226" s="274" t="n">
        <x:v>2</x:v>
      </x:c>
      <x:c r="J6226" s="274" t="n">
        <x:v>1015</x:v>
      </x:c>
      <x:c r="K6226" s="274" t="n">
        <x:v>1200</x:v>
      </x:c>
      <x:c r="M6226" s="274" t="s">
        <x:v>5653</x:v>
      </x:c>
      <x:c r="N6226" s="274" t="s">
        <x:v>3671</x:v>
      </x:c>
    </x:row>
    <x:row r="6227" spans="1:14">
      <x:c r="A6227" s="274" t="s">
        <x:v>10416</x:v>
      </x:c>
      <x:c r="B6227" s="274" t="n">
        <x:v>6.77</x:v>
      </x:c>
      <x:c r="C6227" s="274" t="n">
        <x:v>35</x:v>
      </x:c>
      <x:c r="D6227" s="274" t="n">
        <x:v>45</x:v>
      </x:c>
      <x:c r="E6227" s="274" t="n">
        <x:v>40</x:v>
      </x:c>
      <x:c r="F6227" s="274" t="s">
        <x:v>184</x:v>
      </x:c>
      <x:c r="G6227" s="274" t="s">
        <x:v>144</x:v>
      </x:c>
      <x:c r="H6227" s="274" t="n">
        <x:v>45</x:v>
      </x:c>
      <x:c r="I6227" s="274" t="n">
        <x:v>2.3</x:v>
      </x:c>
      <x:c r="J6227" s="274" t="n">
        <x:v>1170</x:v>
      </x:c>
      <x:c r="K6227" s="274" t="n">
        <x:v>319</x:v>
      </x:c>
      <x:c r="M6227" s="274" t="s">
        <x:v>5651</x:v>
      </x:c>
      <x:c r="N6227" s="274" t="s">
        <x:v>3671</x:v>
      </x:c>
    </x:row>
    <x:row r="6228" spans="1:14">
      <x:c r="A6228" s="274" t="s">
        <x:v>10417</x:v>
      </x:c>
      <x:c r="B6228" s="274" t="n">
        <x:v>10.62</x:v>
      </x:c>
      <x:c r="C6228" s="274" t="n">
        <x:v>0</x:v>
      </x:c>
      <x:c r="D6228" s="274" t="n">
        <x:v>45</x:v>
      </x:c>
      <x:c r="E6228" s="274" t="n">
        <x:v>40</x:v>
      </x:c>
      <x:c r="F6228" s="274" t="s">
        <x:v>133</x:v>
      </x:c>
      <x:c r="G6228" s="274" t="s">
        <x:v>134</x:v>
      </x:c>
      <x:c r="I6228" s="274" t="n">
        <x:v>2.8</x:v>
      </x:c>
      <x:c r="J6228" s="274" t="n">
        <x:v>1145</x:v>
      </x:c>
      <x:c r="K6228" s="274" t="n">
        <x:v>422</x:v>
      </x:c>
      <x:c r="M6228" s="274" t="s">
        <x:v>6880</x:v>
      </x:c>
      <x:c r="N6228" s="274" t="s">
        <x:v>3671</x:v>
      </x:c>
    </x:row>
    <x:row r="6229" spans="1:14">
      <x:c r="A6229" s="274" t="s">
        <x:v>10418</x:v>
      </x:c>
      <x:c r="B6229" s="274" t="n">
        <x:v>11.41</x:v>
      </x:c>
      <x:c r="C6229" s="274" t="n">
        <x:v>35</x:v>
      </x:c>
      <x:c r="D6229" s="274" t="n">
        <x:v>45</x:v>
      </x:c>
      <x:c r="E6229" s="274" t="n">
        <x:v>40</x:v>
      </x:c>
      <x:c r="F6229" s="274" t="s">
        <x:v>128</x:v>
      </x:c>
      <x:c r="G6229" s="274" t="s">
        <x:v>496</x:v>
      </x:c>
      <x:c r="H6229" s="274" t="n">
        <x:v>45</x:v>
      </x:c>
      <x:c r="I6229" s="274" t="n">
        <x:v>2.8</x:v>
      </x:c>
      <x:c r="J6229" s="274" t="n">
        <x:v>1180</x:v>
      </x:c>
      <x:c r="K6229" s="274" t="n">
        <x:v>438</x:v>
      </x:c>
      <x:c r="M6229" s="274" t="s">
        <x:v>5649</x:v>
      </x:c>
      <x:c r="N6229" s="274" t="s">
        <x:v>3671</x:v>
      </x:c>
    </x:row>
    <x:row r="6230" spans="1:14">
      <x:c r="A6230" s="274" t="s">
        <x:v>10419</x:v>
      </x:c>
      <x:c r="B6230" s="274" t="n">
        <x:v>12.55</x:v>
      </x:c>
      <x:c r="C6230" s="274" t="n">
        <x:v>35</x:v>
      </x:c>
      <x:c r="D6230" s="274" t="n">
        <x:v>45</x:v>
      </x:c>
      <x:c r="E6230" s="274" t="n">
        <x:v>40</x:v>
      </x:c>
      <x:c r="F6230" s="274" t="s">
        <x:v>128</x:v>
      </x:c>
      <x:c r="G6230" s="274" t="s">
        <x:v>496</x:v>
      </x:c>
      <x:c r="H6230" s="274" t="n">
        <x:v>45</x:v>
      </x:c>
      <x:c r="I6230" s="274" t="n">
        <x:v>2.9</x:v>
      </x:c>
      <x:c r="J6230" s="274" t="n">
        <x:v>920</x:v>
      </x:c>
      <x:c r="K6230" s="274" t="n">
        <x:v>597</x:v>
      </x:c>
      <x:c r="M6230" s="274" t="s">
        <x:v>5655</x:v>
      </x:c>
      <x:c r="N6230" s="274" t="s">
        <x:v>3671</x:v>
      </x:c>
    </x:row>
    <x:row r="6231" spans="1:14">
      <x:c r="A6231" s="274" t="s">
        <x:v>10420</x:v>
      </x:c>
      <x:c r="B6231" s="274" t="n">
        <x:v>0.67</x:v>
      </x:c>
      <x:c r="C6231" s="274" t="n">
        <x:v>0</x:v>
      </x:c>
      <x:c r="D6231" s="274" t="n">
        <x:v>35</x:v>
      </x:c>
      <x:c r="E6231" s="274" t="n">
        <x:v>33</x:v>
      </x:c>
      <x:c r="F6231" s="274" t="s">
        <x:v>133</x:v>
      </x:c>
      <x:c r="G6231" s="274" t="s">
        <x:v>144</x:v>
      </x:c>
      <x:c r="H6231" s="274" t="n">
        <x:v>45</x:v>
      </x:c>
      <x:c r="I6231" s="274" t="n">
        <x:v>2</x:v>
      </x:c>
      <x:c r="J6231" s="274" t="n">
        <x:v>254</x:v>
      </x:c>
      <x:c r="K6231" s="274" t="n">
        <x:v>167</x:v>
      </x:c>
      <x:c r="M6231" s="274" t="s">
        <x:v>10421</x:v>
      </x:c>
      <x:c r="N6231" s="274" t="s">
        <x:v>3671</x:v>
      </x:c>
    </x:row>
    <x:row r="6232" spans="1:14">
      <x:c r="A6232" s="274" t="s">
        <x:v>10422</x:v>
      </x:c>
      <x:c r="B6232" s="274" t="n">
        <x:v>0.66</x:v>
      </x:c>
      <x:c r="C6232" s="274" t="n">
        <x:v>0</x:v>
      </x:c>
      <x:c r="D6232" s="274" t="n">
        <x:v>35</x:v>
      </x:c>
      <x:c r="E6232" s="274" t="n">
        <x:v>33</x:v>
      </x:c>
      <x:c r="F6232" s="274" t="s">
        <x:v>133</x:v>
      </x:c>
      <x:c r="G6232" s="274" t="s">
        <x:v>144</x:v>
      </x:c>
      <x:c r="H6232" s="274" t="n">
        <x:v>45</x:v>
      </x:c>
      <x:c r="I6232" s="274" t="n">
        <x:v>2</x:v>
      </x:c>
      <x:c r="J6232" s="274" t="n">
        <x:v>244</x:v>
      </x:c>
      <x:c r="K6232" s="274" t="n">
        <x:v>172</x:v>
      </x:c>
      <x:c r="M6232" s="274" t="s">
        <x:v>6888</x:v>
      </x:c>
      <x:c r="N6232" s="274" t="s">
        <x:v>3671</x:v>
      </x:c>
    </x:row>
    <x:row r="6233" spans="1:14">
      <x:c r="A6233" s="274" t="s">
        <x:v>10423</x:v>
      </x:c>
      <x:c r="B6233" s="274" t="n">
        <x:v>3.83</x:v>
      </x:c>
      <x:c r="C6233" s="274" t="n">
        <x:v>0</x:v>
      </x:c>
      <x:c r="D6233" s="274" t="n">
        <x:v>42</x:v>
      </x:c>
      <x:c r="E6233" s="274" t="n">
        <x:v>40</x:v>
      </x:c>
      <x:c r="F6233" s="274" t="s">
        <x:v>133</x:v>
      </x:c>
      <x:c r="G6233" s="274" t="s">
        <x:v>144</x:v>
      </x:c>
      <x:c r="H6233" s="274" t="n">
        <x:v>45</x:v>
      </x:c>
      <x:c r="I6233" s="274" t="n">
        <x:v>1.4</x:v>
      </x:c>
      <x:c r="J6233" s="274" t="n">
        <x:v>1047</x:v>
      </x:c>
      <x:c r="K6233" s="274" t="n">
        <x:v>330</x:v>
      </x:c>
      <x:c r="M6233" s="274" t="s">
        <x:v>10424</x:v>
      </x:c>
      <x:c r="N6233" s="274" t="s">
        <x:v>3671</x:v>
      </x:c>
    </x:row>
    <x:row r="6234" spans="1:14">
      <x:c r="A6234" s="274" t="s">
        <x:v>10425</x:v>
      </x:c>
      <x:c r="B6234" s="274" t="n">
        <x:v>7.06</x:v>
      </x:c>
      <x:c r="C6234" s="274" t="n">
        <x:v>0</x:v>
      </x:c>
      <x:c r="D6234" s="274" t="n">
        <x:v>42</x:v>
      </x:c>
      <x:c r="E6234" s="274" t="n">
        <x:v>40</x:v>
      </x:c>
      <x:c r="F6234" s="274" t="s">
        <x:v>333</x:v>
      </x:c>
      <x:c r="G6234" s="274" t="s">
        <x:v>124</x:v>
      </x:c>
      <x:c r="I6234" s="274" t="n">
        <x:v>1.6</x:v>
      </x:c>
      <x:c r="J6234" s="274" t="n">
        <x:v>905</x:v>
      </x:c>
      <x:c r="K6234" s="274" t="n">
        <x:v>621</x:v>
      </x:c>
      <x:c r="M6234" s="274" t="s">
        <x:v>10426</x:v>
      </x:c>
      <x:c r="N6234" s="274" t="s">
        <x:v>3671</x:v>
      </x:c>
    </x:row>
    <x:row r="6235" spans="1:14">
      <x:c r="A6235" s="274" t="s">
        <x:v>10427</x:v>
      </x:c>
      <x:c r="B6235" s="274" t="n">
        <x:v>7.12</x:v>
      </x:c>
      <x:c r="C6235" s="274" t="n">
        <x:v>0</x:v>
      </x:c>
      <x:c r="D6235" s="274" t="n">
        <x:v>42</x:v>
      </x:c>
      <x:c r="E6235" s="274" t="n">
        <x:v>40</x:v>
      </x:c>
      <x:c r="F6235" s="274" t="s">
        <x:v>333</x:v>
      </x:c>
      <x:c r="G6235" s="274" t="s">
        <x:v>124</x:v>
      </x:c>
      <x:c r="I6235" s="274" t="n">
        <x:v>1.6</x:v>
      </x:c>
      <x:c r="J6235" s="274" t="n">
        <x:v>1120</x:v>
      </x:c>
      <x:c r="K6235" s="274" t="n">
        <x:v>506</x:v>
      </x:c>
      <x:c r="M6235" s="274" t="s">
        <x:v>10428</x:v>
      </x:c>
      <x:c r="N6235" s="274" t="s">
        <x:v>3671</x:v>
      </x:c>
    </x:row>
    <x:row r="6236" spans="1:14">
      <x:c r="A6236" s="274" t="s">
        <x:v>10429</x:v>
      </x:c>
      <x:c r="B6236" s="274" t="n">
        <x:v>4.85</x:v>
      </x:c>
      <x:c r="C6236" s="274" t="n">
        <x:v>0</x:v>
      </x:c>
      <x:c r="D6236" s="274" t="n">
        <x:v>42</x:v>
      </x:c>
      <x:c r="E6236" s="274" t="n">
        <x:v>40</x:v>
      </x:c>
      <x:c r="F6236" s="274" t="s">
        <x:v>333</x:v>
      </x:c>
      <x:c r="G6236" s="274" t="s">
        <x:v>334</x:v>
      </x:c>
      <x:c r="I6236" s="274" t="n">
        <x:v>1.6</x:v>
      </x:c>
      <x:c r="J6236" s="274" t="n">
        <x:v>1187</x:v>
      </x:c>
      <x:c r="K6236" s="274" t="n">
        <x:v>325</x:v>
      </x:c>
      <x:c r="M6236" s="274" t="s">
        <x:v>10430</x:v>
      </x:c>
      <x:c r="N6236" s="274" t="s">
        <x:v>3671</x:v>
      </x:c>
    </x:row>
    <x:row r="6237" spans="1:14">
      <x:c r="A6237" s="274" t="s">
        <x:v>10431</x:v>
      </x:c>
      <x:c r="B6237" s="274" t="n">
        <x:v>1.95</x:v>
      </x:c>
      <x:c r="C6237" s="274" t="n">
        <x:v>0</x:v>
      </x:c>
      <x:c r="D6237" s="274" t="n">
        <x:v>32</x:v>
      </x:c>
      <x:c r="E6237" s="274" t="n">
        <x:v>40</x:v>
      </x:c>
      <x:c r="F6237" s="274" t="s">
        <x:v>333</x:v>
      </x:c>
      <x:c r="G6237" s="274" t="s">
        <x:v>209</x:v>
      </x:c>
      <x:c r="I6237" s="274" t="n">
        <x:v>0.6</x:v>
      </x:c>
      <x:c r="J6237" s="274" t="n">
        <x:v>976</x:v>
      </x:c>
      <x:c r="K6237" s="274" t="n">
        <x:v>425</x:v>
      </x:c>
      <x:c r="M6237" s="274" t="s">
        <x:v>6907</x:v>
      </x:c>
      <x:c r="N6237" s="274" t="s">
        <x:v>3671</x:v>
      </x:c>
    </x:row>
    <x:row r="6238" spans="1:14">
      <x:c r="A6238" s="274" t="s">
        <x:v>10432</x:v>
      </x:c>
      <x:c r="B6238" s="274" t="n">
        <x:v>2.31</x:v>
      </x:c>
      <x:c r="C6238" s="274" t="n">
        <x:v>0</x:v>
      </x:c>
      <x:c r="D6238" s="274" t="n">
        <x:v>0</x:v>
      </x:c>
      <x:c r="F6238" s="274" t="s">
        <x:v>333</x:v>
      </x:c>
      <x:c r="G6238" s="274" t="s">
        <x:v>153</x:v>
      </x:c>
      <x:c r="I6238" s="274" t="n">
        <x:v>0.6</x:v>
      </x:c>
      <x:c r="J6238" s="274" t="n">
        <x:v>1175</x:v>
      </x:c>
      <x:c r="K6238" s="274" t="n">
        <x:v>418</x:v>
      </x:c>
      <x:c r="M6238" s="274" t="s">
        <x:v>5485</x:v>
      </x:c>
      <x:c r="N6238" s="274" t="s">
        <x:v>3671</x:v>
      </x:c>
    </x:row>
    <x:row r="6239" spans="1:14">
      <x:c r="A6239" s="274" t="s">
        <x:v>10433</x:v>
      </x:c>
      <x:c r="B6239" s="274" t="n">
        <x:v>6.84</x:v>
      </x:c>
      <x:c r="C6239" s="274" t="n">
        <x:v>0</x:v>
      </x:c>
      <x:c r="D6239" s="274" t="n">
        <x:v>0</x:v>
      </x:c>
      <x:c r="F6239" s="274" t="s">
        <x:v>333</x:v>
      </x:c>
      <x:c r="G6239" s="274" t="s">
        <x:v>209</x:v>
      </x:c>
      <x:c r="I6239" s="274" t="n">
        <x:v>0.6</x:v>
      </x:c>
      <x:c r="J6239" s="274" t="n">
        <x:v>1200</x:v>
      </x:c>
      <x:c r="K6239" s="274" t="n">
        <x:v>1210</x:v>
      </x:c>
      <x:c r="M6239" s="274" t="s">
        <x:v>6910</x:v>
      </x:c>
      <x:c r="N6239" s="274" t="s">
        <x:v>3671</x:v>
      </x:c>
    </x:row>
    <x:row r="6240" spans="1:14">
      <x:c r="A6240" s="274" t="s">
        <x:v>10434</x:v>
      </x:c>
      <x:c r="B6240" s="274" t="n">
        <x:v>6.44</x:v>
      </x:c>
      <x:c r="C6240" s="274" t="n">
        <x:v>0</x:v>
      </x:c>
      <x:c r="D6240" s="274" t="n">
        <x:v>0</x:v>
      </x:c>
      <x:c r="F6240" s="274" t="s">
        <x:v>333</x:v>
      </x:c>
      <x:c r="G6240" s="274" t="s">
        <x:v>209</x:v>
      </x:c>
      <x:c r="I6240" s="274" t="n">
        <x:v>0.6</x:v>
      </x:c>
      <x:c r="J6240" s="274" t="n">
        <x:v>1200</x:v>
      </x:c>
      <x:c r="K6240" s="274" t="n">
        <x:v>1140</x:v>
      </x:c>
      <x:c r="M6240" s="274" t="s">
        <x:v>5487</x:v>
      </x:c>
      <x:c r="N6240" s="274" t="s">
        <x:v>3671</x:v>
      </x:c>
    </x:row>
    <x:row r="6241" spans="1:14">
      <x:c r="A6241" s="274" t="s">
        <x:v>10435</x:v>
      </x:c>
      <x:c r="B6241" s="274" t="n">
        <x:v>3.34</x:v>
      </x:c>
      <x:c r="C6241" s="274" t="n">
        <x:v>0</x:v>
      </x:c>
      <x:c r="D6241" s="274" t="n">
        <x:v>0</x:v>
      </x:c>
      <x:c r="F6241" s="274" t="s">
        <x:v>123</x:v>
      </x:c>
      <x:c r="G6241" s="274" t="s">
        <x:v>129</x:v>
      </x:c>
      <x:c r="H6241" s="274" t="n">
        <x:v>45</x:v>
      </x:c>
      <x:c r="I6241" s="274" t="n">
        <x:v>0.65</x:v>
      </x:c>
      <x:c r="J6241" s="274" t="n">
        <x:v>1496</x:v>
      </x:c>
      <x:c r="K6241" s="274" t="n">
        <x:v>430</x:v>
      </x:c>
      <x:c r="M6241" s="274" t="s">
        <x:v>5939</x:v>
      </x:c>
      <x:c r="N6241" s="274" t="s">
        <x:v>3671</x:v>
      </x:c>
    </x:row>
    <x:row r="6242" spans="1:14">
      <x:c r="A6242" s="274" t="s">
        <x:v>10436</x:v>
      </x:c>
      <x:c r="B6242" s="274" t="n">
        <x:v>2.12</x:v>
      </x:c>
      <x:c r="C6242" s="274" t="n">
        <x:v>0</x:v>
      </x:c>
      <x:c r="D6242" s="274" t="n">
        <x:v>0</x:v>
      </x:c>
      <x:c r="F6242" s="274" t="s">
        <x:v>333</x:v>
      </x:c>
      <x:c r="G6242" s="274" t="s">
        <x:v>153</x:v>
      </x:c>
      <x:c r="I6242" s="274" t="n">
        <x:v>0.7</x:v>
      </x:c>
      <x:c r="J6242" s="274" t="n">
        <x:v>875</x:v>
      </x:c>
      <x:c r="K6242" s="274" t="n">
        <x:v>441</x:v>
      </x:c>
      <x:c r="M6242" s="274" t="s">
        <x:v>5494</x:v>
      </x:c>
      <x:c r="N6242" s="274" t="s">
        <x:v>3671</x:v>
      </x:c>
    </x:row>
    <x:row r="6243" spans="1:14">
      <x:c r="A6243" s="274" t="s">
        <x:v>10437</x:v>
      </x:c>
      <x:c r="B6243" s="274" t="n">
        <x:v>2.57</x:v>
      </x:c>
      <x:c r="C6243" s="274" t="n">
        <x:v>0</x:v>
      </x:c>
      <x:c r="D6243" s="274" t="n">
        <x:v>0</x:v>
      </x:c>
      <x:c r="F6243" s="274" t="s">
        <x:v>133</x:v>
      </x:c>
      <x:c r="G6243" s="274" t="s">
        <x:v>136</x:v>
      </x:c>
      <x:c r="H6243" s="274" t="n">
        <x:v>45</x:v>
      </x:c>
      <x:c r="I6243" s="274" t="n">
        <x:v>0.8</x:v>
      </x:c>
      <x:c r="J6243" s="274" t="n">
        <x:v>1010</x:v>
      </x:c>
      <x:c r="K6243" s="274" t="n">
        <x:v>400</x:v>
      </x:c>
      <x:c r="M6243" s="274" t="s">
        <x:v>5582</x:v>
      </x:c>
      <x:c r="N6243" s="274" t="s">
        <x:v>3671</x:v>
      </x:c>
    </x:row>
    <x:row r="6244" spans="1:14">
      <x:c r="A6244" s="274" t="s">
        <x:v>10438</x:v>
      </x:c>
      <x:c r="B6244" s="274" t="n">
        <x:v>1.99</x:v>
      </x:c>
      <x:c r="C6244" s="274" t="n">
        <x:v>0</x:v>
      </x:c>
      <x:c r="D6244" s="274" t="n">
        <x:v>0</x:v>
      </x:c>
      <x:c r="F6244" s="274" t="s">
        <x:v>133</x:v>
      </x:c>
      <x:c r="G6244" s="274" t="s">
        <x:v>136</x:v>
      </x:c>
      <x:c r="H6244" s="274" t="n">
        <x:v>45</x:v>
      </x:c>
      <x:c r="I6244" s="274" t="n">
        <x:v>0.8</x:v>
      </x:c>
      <x:c r="J6244" s="274" t="n">
        <x:v>1010</x:v>
      </x:c>
      <x:c r="K6244" s="274" t="n">
        <x:v>310</x:v>
      </x:c>
      <x:c r="M6244" s="274" t="s">
        <x:v>5584</x:v>
      </x:c>
      <x:c r="N6244" s="274" t="s">
        <x:v>3671</x:v>
      </x:c>
    </x:row>
    <x:row r="6245" spans="1:14">
      <x:c r="A6245" s="274" t="s">
        <x:v>10439</x:v>
      </x:c>
      <x:c r="B6245" s="274" t="n">
        <x:v>4.51</x:v>
      </x:c>
      <x:c r="C6245" s="274" t="n">
        <x:v>0</x:v>
      </x:c>
      <x:c r="D6245" s="274" t="n">
        <x:v>0</x:v>
      </x:c>
      <x:c r="F6245" s="274" t="s">
        <x:v>123</x:v>
      </x:c>
      <x:c r="G6245" s="274" t="s">
        <x:v>129</x:v>
      </x:c>
      <x:c r="H6245" s="274" t="n">
        <x:v>45</x:v>
      </x:c>
      <x:c r="I6245" s="274" t="n">
        <x:v>0.9</x:v>
      </x:c>
      <x:c r="J6245" s="274" t="n">
        <x:v>1050</x:v>
      </x:c>
      <x:c r="K6245" s="274" t="n">
        <x:v>600</x:v>
      </x:c>
      <x:c r="M6245" s="274" t="s">
        <x:v>6917</x:v>
      </x:c>
      <x:c r="N6245" s="274" t="s">
        <x:v>3671</x:v>
      </x:c>
    </x:row>
    <x:row r="6246" spans="1:14">
      <x:c r="A6246" s="274" t="s">
        <x:v>10440</x:v>
      </x:c>
      <x:c r="B6246" s="274" t="n">
        <x:v>2.79</x:v>
      </x:c>
      <x:c r="C6246" s="274" t="n">
        <x:v>0</x:v>
      </x:c>
      <x:c r="D6246" s="274" t="n">
        <x:v>0</x:v>
      </x:c>
      <x:c r="F6246" s="274" t="s">
        <x:v>123</x:v>
      </x:c>
      <x:c r="G6246" s="274" t="s">
        <x:v>129</x:v>
      </x:c>
      <x:c r="H6246" s="274" t="n">
        <x:v>45</x:v>
      </x:c>
      <x:c r="I6246" s="274" t="n">
        <x:v>0.9</x:v>
      </x:c>
      <x:c r="J6246" s="274" t="n">
        <x:v>1050</x:v>
      </x:c>
      <x:c r="K6246" s="274" t="n">
        <x:v>372</x:v>
      </x:c>
      <x:c r="M6246" s="274" t="s">
        <x:v>6919</x:v>
      </x:c>
      <x:c r="N6246" s="274" t="s">
        <x:v>3671</x:v>
      </x:c>
    </x:row>
    <x:row r="6247" spans="1:14">
      <x:c r="A6247" s="274" t="s">
        <x:v>10441</x:v>
      </x:c>
      <x:c r="B6247" s="274" t="n">
        <x:v>5.49</x:v>
      </x:c>
      <x:c r="C6247" s="274" t="n">
        <x:v>0</x:v>
      </x:c>
      <x:c r="D6247" s="274" t="n">
        <x:v>45</x:v>
      </x:c>
      <x:c r="E6247" s="274" t="n">
        <x:v>40</x:v>
      </x:c>
      <x:c r="F6247" s="274" t="s">
        <x:v>1964</x:v>
      </x:c>
      <x:c r="G6247" s="274" t="s">
        <x:v>881</x:v>
      </x:c>
      <x:c r="H6247" s="274" t="n">
        <x:v>45</x:v>
      </x:c>
      <x:c r="I6247" s="274" t="n">
        <x:v>1.2</x:v>
      </x:c>
      <x:c r="J6247" s="274" t="n">
        <x:v>1345</x:v>
      </x:c>
      <x:c r="K6247" s="274" t="n">
        <x:v>429</x:v>
      </x:c>
      <x:c r="M6247" s="274" t="s">
        <x:v>10442</x:v>
      </x:c>
      <x:c r="N6247" s="274" t="s">
        <x:v>4250</x:v>
      </x:c>
    </x:row>
    <x:row r="6248" spans="1:14">
      <x:c r="A6248" s="274" t="s">
        <x:v>10443</x:v>
      </x:c>
      <x:c r="B6248" s="274" t="n">
        <x:v>12.47</x:v>
      </x:c>
      <x:c r="C6248" s="274" t="n">
        <x:v>0</x:v>
      </x:c>
      <x:c r="D6248" s="274" t="n">
        <x:v>37</x:v>
      </x:c>
      <x:c r="E6248" s="274" t="n">
        <x:v>32</x:v>
      </x:c>
      <x:c r="F6248" s="274" t="s">
        <x:v>1964</x:v>
      </x:c>
      <x:c r="G6248" s="274" t="s">
        <x:v>129</x:v>
      </x:c>
      <x:c r="H6248" s="274" t="n">
        <x:v>45</x:v>
      </x:c>
      <x:c r="I6248" s="274" t="n">
        <x:v>1.2</x:v>
      </x:c>
      <x:c r="J6248" s="274" t="n">
        <x:v>1135</x:v>
      </x:c>
      <x:c r="K6248" s="274" t="n">
        <x:v>1155</x:v>
      </x:c>
      <x:c r="M6248" s="274" t="s">
        <x:v>10444</x:v>
      </x:c>
      <x:c r="N6248" s="274" t="s">
        <x:v>4250</x:v>
      </x:c>
    </x:row>
    <x:row r="6249" spans="1:14">
      <x:c r="A6249" s="274" t="s">
        <x:v>10445</x:v>
      </x:c>
      <x:c r="B6249" s="274" t="n">
        <x:v>4.75</x:v>
      </x:c>
      <x:c r="C6249" s="274" t="n">
        <x:v>0</x:v>
      </x:c>
      <x:c r="D6249" s="274" t="n">
        <x:v>45</x:v>
      </x:c>
      <x:c r="E6249" s="274" t="n">
        <x:v>40</x:v>
      </x:c>
      <x:c r="F6249" s="274" t="s">
        <x:v>1964</x:v>
      </x:c>
      <x:c r="G6249" s="274" t="s">
        <x:v>129</x:v>
      </x:c>
      <x:c r="H6249" s="274" t="n">
        <x:v>45</x:v>
      </x:c>
      <x:c r="I6249" s="274" t="n">
        <x:v>1.2</x:v>
      </x:c>
      <x:c r="J6249" s="274" t="n">
        <x:v>1135</x:v>
      </x:c>
      <x:c r="K6249" s="274" t="n">
        <x:v>440</x:v>
      </x:c>
      <x:c r="M6249" s="274" t="s">
        <x:v>6924</x:v>
      </x:c>
      <x:c r="N6249" s="274" t="s">
        <x:v>299</x:v>
      </x:c>
    </x:row>
    <x:row r="6250" spans="1:14">
      <x:c r="A6250" s="274" t="s">
        <x:v>10446</x:v>
      </x:c>
      <x:c r="B6250" s="274" t="n">
        <x:v>10.75</x:v>
      </x:c>
      <x:c r="C6250" s="274" t="n">
        <x:v>0</x:v>
      </x:c>
      <x:c r="D6250" s="274" t="n">
        <x:v>0</x:v>
      </x:c>
      <x:c r="F6250" s="274" t="s">
        <x:v>133</x:v>
      </x:c>
      <x:c r="G6250" s="274" t="s">
        <x:v>144</x:v>
      </x:c>
      <x:c r="H6250" s="274" t="n">
        <x:v>45</x:v>
      </x:c>
      <x:c r="I6250" s="274" t="n">
        <x:v>1</x:v>
      </x:c>
      <x:c r="J6250" s="274" t="n">
        <x:v>1128</x:v>
      </x:c>
      <x:c r="K6250" s="274" t="n">
        <x:v>1200</x:v>
      </x:c>
      <x:c r="M6250" s="274" t="s">
        <x:v>5594</x:v>
      </x:c>
      <x:c r="N6250" s="274" t="s">
        <x:v>3671</x:v>
      </x:c>
    </x:row>
    <x:row r="6251" spans="1:14">
      <x:c r="A6251" s="274" t="s">
        <x:v>10447</x:v>
      </x:c>
      <x:c r="B6251" s="274" t="n">
        <x:v>11.3</x:v>
      </x:c>
      <x:c r="C6251" s="274" t="n">
        <x:v>0</x:v>
      </x:c>
      <x:c r="D6251" s="274" t="n">
        <x:v>0</x:v>
      </x:c>
      <x:c r="F6251" s="274" t="s">
        <x:v>333</x:v>
      </x:c>
      <x:c r="G6251" s="274" t="s">
        <x:v>209</x:v>
      </x:c>
      <x:c r="I6251" s="274" t="n">
        <x:v>1</x:v>
      </x:c>
      <x:c r="J6251" s="274" t="n">
        <x:v>1200</x:v>
      </x:c>
      <x:c r="K6251" s="274" t="n">
        <x:v>1200</x:v>
      </x:c>
      <x:c r="M6251" s="274" t="s">
        <x:v>6931</x:v>
      </x:c>
      <x:c r="N6251" s="274" t="s">
        <x:v>3671</x:v>
      </x:c>
    </x:row>
    <x:row r="6252" spans="1:14">
      <x:c r="A6252" s="274" t="s">
        <x:v>10448</x:v>
      </x:c>
      <x:c r="B6252" s="274" t="n">
        <x:v>4.43</x:v>
      </x:c>
      <x:c r="C6252" s="274" t="n">
        <x:v>0</x:v>
      </x:c>
      <x:c r="D6252" s="274" t="n">
        <x:v>0</x:v>
      </x:c>
      <x:c r="F6252" s="274" t="s">
        <x:v>333</x:v>
      </x:c>
      <x:c r="G6252" s="274" t="s">
        <x:v>209</x:v>
      </x:c>
      <x:c r="I6252" s="274" t="n">
        <x:v>1</x:v>
      </x:c>
      <x:c r="J6252" s="274" t="n">
        <x:v>1200</x:v>
      </x:c>
      <x:c r="K6252" s="274" t="n">
        <x:v>470</x:v>
      </x:c>
      <x:c r="M6252" s="274" t="s">
        <x:v>6933</x:v>
      </x:c>
      <x:c r="N6252" s="274" t="s">
        <x:v>3671</x:v>
      </x:c>
    </x:row>
    <x:row r="6253" spans="1:14">
      <x:c r="A6253" s="274" t="s">
        <x:v>10449</x:v>
      </x:c>
      <x:c r="B6253" s="274" t="n">
        <x:v>4.95</x:v>
      </x:c>
      <x:c r="C6253" s="274" t="n">
        <x:v>0</x:v>
      </x:c>
      <x:c r="D6253" s="274" t="n">
        <x:v>0</x:v>
      </x:c>
      <x:c r="F6253" s="274" t="s">
        <x:v>333</x:v>
      </x:c>
      <x:c r="G6253" s="274" t="s">
        <x:v>209</x:v>
      </x:c>
      <x:c r="I6253" s="274" t="n">
        <x:v>1</x:v>
      </x:c>
      <x:c r="J6253" s="274" t="n">
        <x:v>1200</x:v>
      </x:c>
      <x:c r="K6253" s="274" t="n">
        <x:v>525</x:v>
      </x:c>
      <x:c r="M6253" s="274" t="s">
        <x:v>6935</x:v>
      </x:c>
      <x:c r="N6253" s="274" t="s">
        <x:v>3671</x:v>
      </x:c>
    </x:row>
    <x:row r="6254" spans="1:14">
      <x:c r="A6254" s="274" t="s">
        <x:v>10450</x:v>
      </x:c>
      <x:c r="B6254" s="274" t="n">
        <x:v>14.42</x:v>
      </x:c>
      <x:c r="C6254" s="274" t="n">
        <x:v>0</x:v>
      </x:c>
      <x:c r="D6254" s="274" t="n">
        <x:v>37</x:v>
      </x:c>
      <x:c r="E6254" s="274" t="n">
        <x:v>32</x:v>
      </x:c>
      <x:c r="F6254" s="274" t="s">
        <x:v>333</x:v>
      </x:c>
      <x:c r="G6254" s="274" t="s">
        <x:v>4796</x:v>
      </x:c>
      <x:c r="I6254" s="274" t="n">
        <x:v>1.4</x:v>
      </x:c>
      <x:c r="J6254" s="274" t="n">
        <x:v>1050</x:v>
      </x:c>
      <x:c r="K6254" s="274" t="n">
        <x:v>1250</x:v>
      </x:c>
      <x:c r="M6254" s="274" t="s">
        <x:v>10451</x:v>
      </x:c>
      <x:c r="N6254" s="274" t="s">
        <x:v>4258</x:v>
      </x:c>
    </x:row>
    <x:row r="6255" spans="1:14">
      <x:c r="A6255" s="274" t="s">
        <x:v>10452</x:v>
      </x:c>
      <x:c r="B6255" s="274" t="n">
        <x:v>3.89</x:v>
      </x:c>
      <x:c r="C6255" s="274" t="n">
        <x:v>0</x:v>
      </x:c>
      <x:c r="D6255" s="274" t="n">
        <x:v>0</x:v>
      </x:c>
      <x:c r="F6255" s="274" t="s">
        <x:v>123</x:v>
      </x:c>
      <x:c r="G6255" s="274" t="s">
        <x:v>129</x:v>
      </x:c>
      <x:c r="H6255" s="274" t="n">
        <x:v>45</x:v>
      </x:c>
      <x:c r="I6255" s="274" t="n">
        <x:v>1.2</x:v>
      </x:c>
      <x:c r="J6255" s="274" t="n">
        <x:v>1040</x:v>
      </x:c>
      <x:c r="K6255" s="274" t="n">
        <x:v>393</x:v>
      </x:c>
      <x:c r="M6255" s="274" t="s">
        <x:v>6943</x:v>
      </x:c>
      <x:c r="N6255" s="274" t="s">
        <x:v>3671</x:v>
      </x:c>
    </x:row>
    <x:row r="6256" spans="1:14">
      <x:c r="A6256" s="274" t="s">
        <x:v>10453</x:v>
      </x:c>
      <x:c r="B6256" s="274" t="n">
        <x:v>11.87</x:v>
      </x:c>
      <x:c r="C6256" s="274" t="n">
        <x:v>0</x:v>
      </x:c>
      <x:c r="D6256" s="274" t="n">
        <x:v>0</x:v>
      </x:c>
      <x:c r="F6256" s="274" t="s">
        <x:v>333</x:v>
      </x:c>
      <x:c r="G6256" s="274" t="s">
        <x:v>153</x:v>
      </x:c>
      <x:c r="I6256" s="274" t="n">
        <x:v>1.2</x:v>
      </x:c>
      <x:c r="J6256" s="274" t="n">
        <x:v>1050</x:v>
      </x:c>
      <x:c r="K6256" s="274" t="n">
        <x:v>1200</x:v>
      </x:c>
      <x:c r="M6256" s="274" t="s">
        <x:v>6945</x:v>
      </x:c>
      <x:c r="N6256" s="274" t="s">
        <x:v>3671</x:v>
      </x:c>
    </x:row>
    <x:row r="6257" spans="1:14">
      <x:c r="A6257" s="274" t="s">
        <x:v>10454</x:v>
      </x:c>
      <x:c r="B6257" s="274" t="n">
        <x:v>12.55</x:v>
      </x:c>
      <x:c r="C6257" s="274" t="n">
        <x:v>0</x:v>
      </x:c>
      <x:c r="D6257" s="274" t="n">
        <x:v>0</x:v>
      </x:c>
      <x:c r="F6257" s="274" t="s">
        <x:v>123</x:v>
      </x:c>
      <x:c r="G6257" s="274" t="s">
        <x:v>881</x:v>
      </x:c>
      <x:c r="H6257" s="274" t="n">
        <x:v>45</x:v>
      </x:c>
      <x:c r="I6257" s="274" t="n">
        <x:v>1.2</x:v>
      </x:c>
      <x:c r="J6257" s="274" t="n">
        <x:v>1100</x:v>
      </x:c>
      <x:c r="K6257" s="274" t="n">
        <x:v>1200</x:v>
      </x:c>
      <x:c r="M6257" s="274" t="s">
        <x:v>6947</x:v>
      </x:c>
      <x:c r="N6257" s="274" t="s">
        <x:v>3671</x:v>
      </x:c>
    </x:row>
    <x:row r="6258" spans="1:14">
      <x:c r="A6258" s="274" t="s">
        <x:v>10455</x:v>
      </x:c>
      <x:c r="B6258" s="274" t="n">
        <x:v>6.94</x:v>
      </x:c>
      <x:c r="C6258" s="274" t="n">
        <x:v>0</x:v>
      </x:c>
      <x:c r="D6258" s="274" t="n">
        <x:v>0</x:v>
      </x:c>
      <x:c r="F6258" s="274" t="s">
        <x:v>133</x:v>
      </x:c>
      <x:c r="G6258" s="274" t="s">
        <x:v>136</x:v>
      </x:c>
      <x:c r="H6258" s="274" t="n">
        <x:v>45</x:v>
      </x:c>
      <x:c r="I6258" s="274" t="n">
        <x:v>1.2</x:v>
      </x:c>
      <x:c r="J6258" s="274" t="n">
        <x:v>1150</x:v>
      </x:c>
      <x:c r="K6258" s="274" t="n">
        <x:v>635</x:v>
      </x:c>
      <x:c r="M6258" s="274" t="s">
        <x:v>4847</x:v>
      </x:c>
      <x:c r="N6258" s="274" t="s">
        <x:v>3671</x:v>
      </x:c>
    </x:row>
    <x:row r="6259" spans="1:14">
      <x:c r="A6259" s="274" t="s">
        <x:v>10456</x:v>
      </x:c>
      <x:c r="B6259" s="274" t="n">
        <x:v>5.11</x:v>
      </x:c>
      <x:c r="C6259" s="274" t="n">
        <x:v>0</x:v>
      </x:c>
      <x:c r="D6259" s="274" t="n">
        <x:v>0</x:v>
      </x:c>
      <x:c r="F6259" s="274" t="s">
        <x:v>333</x:v>
      </x:c>
      <x:c r="G6259" s="274" t="s">
        <x:v>209</x:v>
      </x:c>
      <x:c r="I6259" s="274" t="n">
        <x:v>1.2</x:v>
      </x:c>
      <x:c r="J6259" s="274" t="n">
        <x:v>1170</x:v>
      </x:c>
      <x:c r="K6259" s="274" t="n">
        <x:v>464</x:v>
      </x:c>
      <x:c r="M6259" s="274" t="s">
        <x:v>5873</x:v>
      </x:c>
      <x:c r="N6259" s="274" t="s">
        <x:v>3671</x:v>
      </x:c>
    </x:row>
    <x:row r="6260" spans="1:14">
      <x:c r="A6260" s="274" t="s">
        <x:v>10457</x:v>
      </x:c>
      <x:c r="B6260" s="274" t="n">
        <x:v>3.41</x:v>
      </x:c>
      <x:c r="C6260" s="274" t="n">
        <x:v>0</x:v>
      </x:c>
      <x:c r="D6260" s="274" t="n">
        <x:v>0</x:v>
      </x:c>
      <x:c r="F6260" s="274" t="s">
        <x:v>333</x:v>
      </x:c>
      <x:c r="G6260" s="274" t="s">
        <x:v>209</x:v>
      </x:c>
      <x:c r="I6260" s="274" t="n">
        <x:v>1.2</x:v>
      </x:c>
      <x:c r="J6260" s="274" t="n">
        <x:v>1170</x:v>
      </x:c>
      <x:c r="K6260" s="274" t="n">
        <x:v>309</x:v>
      </x:c>
      <x:c r="M6260" s="274" t="s">
        <x:v>6953</x:v>
      </x:c>
      <x:c r="N6260" s="274" t="s">
        <x:v>3671</x:v>
      </x:c>
    </x:row>
    <x:row r="6261" spans="1:14">
      <x:c r="A6261" s="274" t="s">
        <x:v>10458</x:v>
      </x:c>
      <x:c r="B6261" s="274" t="n">
        <x:v>6.02</x:v>
      </x:c>
      <x:c r="C6261" s="274" t="n">
        <x:v>0</x:v>
      </x:c>
      <x:c r="D6261" s="274" t="n">
        <x:v>45</x:v>
      </x:c>
      <x:c r="E6261" s="274" t="n">
        <x:v>40</x:v>
      </x:c>
      <x:c r="F6261" s="274" t="s">
        <x:v>184</x:v>
      </x:c>
      <x:c r="G6261" s="274" t="s">
        <x:v>881</x:v>
      </x:c>
      <x:c r="H6261" s="274" t="n">
        <x:v>45</x:v>
      </x:c>
      <x:c r="I6261" s="274" t="n">
        <x:v>1.2</x:v>
      </x:c>
      <x:c r="J6261" s="274" t="n">
        <x:v>1475</x:v>
      </x:c>
      <x:c r="K6261" s="274" t="n">
        <x:v>429</x:v>
      </x:c>
      <x:c r="M6261" s="274" t="s">
        <x:v>10442</x:v>
      </x:c>
      <x:c r="N6261" s="274" t="s">
        <x:v>4250</x:v>
      </x:c>
    </x:row>
    <x:row r="6262" spans="1:14">
      <x:c r="A6262" s="274" t="s">
        <x:v>10459</x:v>
      </x:c>
      <x:c r="B6262" s="274" t="n">
        <x:v>29.67</x:v>
      </x:c>
      <x:c r="C6262" s="274" t="n">
        <x:v>0</x:v>
      </x:c>
      <x:c r="D6262" s="274" t="n">
        <x:v>31</x:v>
      </x:c>
      <x:c r="E6262" s="274" t="n">
        <x:v>26</x:v>
      </x:c>
      <x:c r="F6262" s="274" t="s">
        <x:v>133</x:v>
      </x:c>
      <x:c r="G6262" s="274" t="s">
        <x:v>148</x:v>
      </x:c>
      <x:c r="I6262" s="274" t="n">
        <x:v>3.2</x:v>
      </x:c>
      <x:c r="J6262" s="274" t="n">
        <x:v>1000</x:v>
      </x:c>
      <x:c r="K6262" s="274" t="n">
        <x:v>1181</x:v>
      </x:c>
      <x:c r="M6262" s="274" t="s">
        <x:v>6966</x:v>
      </x:c>
      <x:c r="N6262" s="274" t="s">
        <x:v>155</x:v>
      </x:c>
    </x:row>
    <x:row r="6263" spans="1:14">
      <x:c r="A6263" s="274" t="s">
        <x:v>10460</x:v>
      </x:c>
      <x:c r="B6263" s="274" t="n">
        <x:v>9.49</x:v>
      </x:c>
      <x:c r="C6263" s="274" t="n">
        <x:v>0</x:v>
      </x:c>
      <x:c r="D6263" s="274" t="n">
        <x:v>45</x:v>
      </x:c>
      <x:c r="E6263" s="274" t="n">
        <x:v>40</x:v>
      </x:c>
      <x:c r="F6263" s="274" t="s">
        <x:v>184</x:v>
      </x:c>
      <x:c r="G6263" s="274" t="s">
        <x:v>129</x:v>
      </x:c>
      <x:c r="H6263" s="274" t="n">
        <x:v>45</x:v>
      </x:c>
      <x:c r="I6263" s="274" t="n">
        <x:v>1.2</x:v>
      </x:c>
      <x:c r="J6263" s="274" t="n">
        <x:v>1135</x:v>
      </x:c>
      <x:c r="K6263" s="274" t="n">
        <x:v>879</x:v>
      </x:c>
      <x:c r="M6263" s="274" t="s">
        <x:v>6968</x:v>
      </x:c>
      <x:c r="N6263" s="274" t="s">
        <x:v>4250</x:v>
      </x:c>
    </x:row>
    <x:row r="6264" spans="1:14">
      <x:c r="A6264" s="274" t="s">
        <x:v>10461</x:v>
      </x:c>
      <x:c r="B6264" s="274" t="n">
        <x:v>10.13</x:v>
      </x:c>
      <x:c r="C6264" s="274" t="n">
        <x:v>0</x:v>
      </x:c>
      <x:c r="D6264" s="274" t="n">
        <x:v>45</x:v>
      </x:c>
      <x:c r="E6264" s="274" t="n">
        <x:v>40</x:v>
      </x:c>
      <x:c r="F6264" s="274" t="s">
        <x:v>184</x:v>
      </x:c>
      <x:c r="G6264" s="274" t="s">
        <x:v>129</x:v>
      </x:c>
      <x:c r="H6264" s="274" t="n">
        <x:v>45</x:v>
      </x:c>
      <x:c r="I6264" s="274" t="n">
        <x:v>1.2</x:v>
      </x:c>
      <x:c r="J6264" s="274" t="n">
        <x:v>1135</x:v>
      </x:c>
      <x:c r="K6264" s="274" t="n">
        <x:v>938</x:v>
      </x:c>
      <x:c r="M6264" s="274" t="s">
        <x:v>6970</x:v>
      </x:c>
      <x:c r="N6264" s="274" t="s">
        <x:v>4250</x:v>
      </x:c>
    </x:row>
    <x:row r="6265" spans="1:14">
      <x:c r="A6265" s="274" t="s">
        <x:v>10462</x:v>
      </x:c>
      <x:c r="B6265" s="274" t="n">
        <x:v>33.17</x:v>
      </x:c>
      <x:c r="C6265" s="274" t="n">
        <x:v>0</x:v>
      </x:c>
      <x:c r="D6265" s="274" t="n">
        <x:v>28</x:v>
      </x:c>
      <x:c r="E6265" s="274" t="n">
        <x:v>23</x:v>
      </x:c>
      <x:c r="F6265" s="274" t="s">
        <x:v>123</x:v>
      </x:c>
      <x:c r="G6265" s="274" t="s">
        <x:v>153</x:v>
      </x:c>
      <x:c r="I6265" s="274" t="n">
        <x:v>2.6</x:v>
      </x:c>
      <x:c r="J6265" s="274" t="n">
        <x:v>1250</x:v>
      </x:c>
      <x:c r="K6265" s="274" t="n">
        <x:v>1300</x:v>
      </x:c>
      <x:c r="M6265" s="274" t="s">
        <x:v>6395</x:v>
      </x:c>
      <x:c r="N6265" s="274" t="s">
        <x:v>6987</x:v>
      </x:c>
    </x:row>
    <x:row r="6266" spans="1:14">
      <x:c r="A6266" s="274" t="s">
        <x:v>10463</x:v>
      </x:c>
      <x:c r="B6266" s="274" t="n">
        <x:v>8.48</x:v>
      </x:c>
      <x:c r="C6266" s="274" t="n">
        <x:v>0</x:v>
      </x:c>
      <x:c r="D6266" s="274" t="n">
        <x:v>35</x:v>
      </x:c>
      <x:c r="E6266" s="274" t="n">
        <x:v>30</x:v>
      </x:c>
      <x:c r="F6266" s="274" t="s">
        <x:v>333</x:v>
      </x:c>
      <x:c r="G6266" s="274" t="s">
        <x:v>4256</x:v>
      </x:c>
      <x:c r="I6266" s="274" t="n">
        <x:v>1.6</x:v>
      </x:c>
      <x:c r="J6266" s="274" t="n">
        <x:v>540</x:v>
      </x:c>
      <x:c r="K6266" s="274" t="n">
        <x:v>1250</x:v>
      </x:c>
      <x:c r="M6266" s="274" t="s">
        <x:v>6993</x:v>
      </x:c>
      <x:c r="N6266" s="274" t="s">
        <x:v>4258</x:v>
      </x:c>
    </x:row>
    <x:row r="6267" spans="1:14">
      <x:c r="A6267" s="274" t="s">
        <x:v>10464</x:v>
      </x:c>
      <x:c r="B6267" s="274" t="n">
        <x:v>18.24</x:v>
      </x:c>
      <x:c r="C6267" s="274" t="n">
        <x:v>0</x:v>
      </x:c>
      <x:c r="D6267" s="274" t="n">
        <x:v>28</x:v>
      </x:c>
      <x:c r="E6267" s="274" t="n">
        <x:v>23</x:v>
      </x:c>
      <x:c r="F6267" s="274" t="s">
        <x:v>123</x:v>
      </x:c>
      <x:c r="G6267" s="274" t="s">
        <x:v>4302</x:v>
      </x:c>
      <x:c r="I6267" s="274" t="n">
        <x:v>2</x:v>
      </x:c>
      <x:c r="J6267" s="274" t="n">
        <x:v>930</x:v>
      </x:c>
      <x:c r="K6267" s="274" t="n">
        <x:v>1250</x:v>
      </x:c>
      <x:c r="M6267" s="274" t="s">
        <x:v>6995</x:v>
      </x:c>
      <x:c r="N6267" s="274" t="s">
        <x:v>4258</x:v>
      </x:c>
    </x:row>
    <x:row r="6268" spans="1:14">
      <x:c r="A6268" s="274" t="s">
        <x:v>10465</x:v>
      </x:c>
      <x:c r="B6268" s="274" t="n">
        <x:v>21.79</x:v>
      </x:c>
      <x:c r="C6268" s="274" t="n">
        <x:v>0</x:v>
      </x:c>
      <x:c r="D6268" s="274" t="n">
        <x:v>28</x:v>
      </x:c>
      <x:c r="E6268" s="274" t="n">
        <x:v>23</x:v>
      </x:c>
      <x:c r="F6268" s="274" t="s">
        <x:v>133</x:v>
      </x:c>
      <x:c r="G6268" s="274" t="s">
        <x:v>4299</x:v>
      </x:c>
      <x:c r="I6268" s="274" t="n">
        <x:v>2</x:v>
      </x:c>
      <x:c r="J6268" s="274" t="n">
        <x:v>1110</x:v>
      </x:c>
      <x:c r="K6268" s="274" t="n">
        <x:v>1250</x:v>
      </x:c>
      <x:c r="M6268" s="274" t="s">
        <x:v>6997</x:v>
      </x:c>
      <x:c r="N6268" s="274" t="s">
        <x:v>4258</x:v>
      </x:c>
    </x:row>
    <x:row r="6269" spans="1:14">
      <x:c r="A6269" s="274" t="s">
        <x:v>10466</x:v>
      </x:c>
      <x:c r="B6269" s="274" t="n">
        <x:v>12.48</x:v>
      </x:c>
      <x:c r="C6269" s="274" t="n">
        <x:v>0</x:v>
      </x:c>
      <x:c r="D6269" s="274" t="n">
        <x:v>0</x:v>
      </x:c>
      <x:c r="F6269" s="274" t="s">
        <x:v>333</x:v>
      </x:c>
      <x:c r="G6269" s="274" t="s">
        <x:v>4256</x:v>
      </x:c>
      <x:c r="I6269" s="274" t="n">
        <x:v>1.2</x:v>
      </x:c>
      <x:c r="J6269" s="274" t="n">
        <x:v>1060</x:v>
      </x:c>
      <x:c r="K6269" s="274" t="n">
        <x:v>1250</x:v>
      </x:c>
      <x:c r="M6269" s="274" t="s">
        <x:v>6999</x:v>
      </x:c>
      <x:c r="N6269" s="274" t="s">
        <x:v>4258</x:v>
      </x:c>
    </x:row>
    <x:row r="6270" spans="1:14">
      <x:c r="A6270" s="274" t="s">
        <x:v>10467</x:v>
      </x:c>
      <x:c r="B6270" s="274" t="n">
        <x:v>14.7</x:v>
      </x:c>
      <x:c r="C6270" s="274" t="n">
        <x:v>0</x:v>
      </x:c>
      <x:c r="D6270" s="274" t="n">
        <x:v>35</x:v>
      </x:c>
      <x:c r="E6270" s="274" t="n">
        <x:v>30</x:v>
      </x:c>
      <x:c r="F6270" s="274" t="s">
        <x:v>333</x:v>
      </x:c>
      <x:c r="G6270" s="274" t="s">
        <x:v>4256</x:v>
      </x:c>
      <x:c r="I6270" s="274" t="n">
        <x:v>1.4</x:v>
      </x:c>
      <x:c r="J6270" s="274" t="n">
        <x:v>1070</x:v>
      </x:c>
      <x:c r="K6270" s="274" t="n">
        <x:v>1250</x:v>
      </x:c>
      <x:c r="M6270" s="274" t="s">
        <x:v>9258</x:v>
      </x:c>
      <x:c r="N6270" s="274" t="s">
        <x:v>4258</x:v>
      </x:c>
    </x:row>
    <x:row r="6271" spans="1:14">
      <x:c r="A6271" s="274" t="s">
        <x:v>10468</x:v>
      </x:c>
      <x:c r="B6271" s="274" t="n">
        <x:v>28.19</x:v>
      </x:c>
      <x:c r="C6271" s="274" t="n">
        <x:v>0</x:v>
      </x:c>
      <x:c r="D6271" s="274" t="n">
        <x:v>0</x:v>
      </x:c>
      <x:c r="F6271" s="274" t="s">
        <x:v>133</x:v>
      </x:c>
      <x:c r="G6271" s="274" t="s">
        <x:v>4299</x:v>
      </x:c>
      <x:c r="I6271" s="274" t="n">
        <x:v>2.6</x:v>
      </x:c>
      <x:c r="J6271" s="274" t="n">
        <x:v>1105</x:v>
      </x:c>
      <x:c r="K6271" s="274" t="n">
        <x:v>1250</x:v>
      </x:c>
      <x:c r="M6271" s="274" t="s">
        <x:v>7021</x:v>
      </x:c>
      <x:c r="N6271" s="274" t="s">
        <x:v>4258</x:v>
      </x:c>
    </x:row>
    <x:row r="6272" spans="1:14">
      <x:c r="A6272" s="274" t="s">
        <x:v>10469</x:v>
      </x:c>
      <x:c r="B6272" s="274" t="n">
        <x:v>6.03</x:v>
      </x:c>
      <x:c r="C6272" s="274" t="n">
        <x:v>0</x:v>
      </x:c>
      <x:c r="D6272" s="274" t="n">
        <x:v>45</x:v>
      </x:c>
      <x:c r="E6272" s="274" t="n">
        <x:v>40</x:v>
      </x:c>
      <x:c r="F6272" s="274" t="s">
        <x:v>133</x:v>
      </x:c>
      <x:c r="G6272" s="274" t="s">
        <x:v>4470</x:v>
      </x:c>
      <x:c r="H6272" s="274" t="s">
        <x:v>4471</x:v>
      </x:c>
      <x:c r="I6272" s="274" t="n">
        <x:v>1.4</x:v>
      </x:c>
      <x:c r="J6272" s="274" t="n">
        <x:v>980</x:v>
      </x:c>
      <x:c r="K6272" s="274" t="n">
        <x:v>560</x:v>
      </x:c>
      <x:c r="M6272" s="274" t="s">
        <x:v>10470</x:v>
      </x:c>
      <x:c r="N6272" s="274" t="s">
        <x:v>4258</x:v>
      </x:c>
    </x:row>
    <x:row r="6273" spans="1:14">
      <x:c r="A6273" s="274" t="s">
        <x:v>10471</x:v>
      </x:c>
      <x:c r="B6273" s="274" t="n">
        <x:v>2.68</x:v>
      </x:c>
      <x:c r="C6273" s="274" t="n">
        <x:v>0</x:v>
      </x:c>
      <x:c r="D6273" s="274" t="n">
        <x:v>45</x:v>
      </x:c>
      <x:c r="E6273" s="274" t="n">
        <x:v>40</x:v>
      </x:c>
      <x:c r="F6273" s="274" t="s">
        <x:v>123</x:v>
      </x:c>
      <x:c r="G6273" s="274" t="s">
        <x:v>4787</x:v>
      </x:c>
      <x:c r="H6273" s="274" t="s">
        <x:v>4471</x:v>
      </x:c>
      <x:c r="I6273" s="274" t="n">
        <x:v>0.8</x:v>
      </x:c>
      <x:c r="J6273" s="274" t="n">
        <x:v>1050</x:v>
      </x:c>
      <x:c r="K6273" s="274" t="n">
        <x:v>406</x:v>
      </x:c>
      <x:c r="M6273" s="274" t="s">
        <x:v>7040</x:v>
      </x:c>
      <x:c r="N6273" s="274" t="s">
        <x:v>4258</x:v>
      </x:c>
    </x:row>
    <x:row r="6274" spans="1:14">
      <x:c r="A6274" s="274" t="s">
        <x:v>10472</x:v>
      </x:c>
      <x:c r="B6274" s="274" t="n">
        <x:v>3.83</x:v>
      </x:c>
      <x:c r="C6274" s="274" t="n">
        <x:v>0</x:v>
      </x:c>
      <x:c r="D6274" s="274" t="n">
        <x:v>45</x:v>
      </x:c>
      <x:c r="E6274" s="274" t="n">
        <x:v>40</x:v>
      </x:c>
      <x:c r="F6274" s="274" t="s">
        <x:v>333</x:v>
      </x:c>
      <x:c r="G6274" s="274" t="s">
        <x:v>4663</x:v>
      </x:c>
      <x:c r="I6274" s="274" t="n">
        <x:v>1.2</x:v>
      </x:c>
      <x:c r="J6274" s="274" t="n">
        <x:v>1100</x:v>
      </x:c>
      <x:c r="K6274" s="274" t="n">
        <x:v>370</x:v>
      </x:c>
      <x:c r="M6274" s="274" t="s">
        <x:v>7042</x:v>
      </x:c>
      <x:c r="N6274" s="274" t="s">
        <x:v>4258</x:v>
      </x:c>
    </x:row>
    <x:row r="6275" spans="1:14">
      <x:c r="A6275" s="274" t="s">
        <x:v>10473</x:v>
      </x:c>
      <x:c r="B6275" s="274" t="n">
        <x:v>4.05</x:v>
      </x:c>
      <x:c r="C6275" s="274" t="n">
        <x:v>0</x:v>
      </x:c>
      <x:c r="D6275" s="274" t="n">
        <x:v>45</x:v>
      </x:c>
      <x:c r="E6275" s="274" t="n">
        <x:v>40</x:v>
      </x:c>
      <x:c r="F6275" s="274" t="s">
        <x:v>133</x:v>
      </x:c>
      <x:c r="G6275" s="274" t="s">
        <x:v>4470</x:v>
      </x:c>
      <x:c r="H6275" s="274" t="s">
        <x:v>4471</x:v>
      </x:c>
      <x:c r="I6275" s="274" t="n">
        <x:v>1.4</x:v>
      </x:c>
      <x:c r="J6275" s="274" t="n">
        <x:v>980</x:v>
      </x:c>
      <x:c r="K6275" s="274" t="n">
        <x:v>376</x:v>
      </x:c>
      <x:c r="M6275" s="274" t="s">
        <x:v>5055</x:v>
      </x:c>
      <x:c r="N6275" s="274" t="s">
        <x:v>4258</x:v>
      </x:c>
    </x:row>
    <x:row r="6276" spans="1:14">
      <x:c r="A6276" s="274" t="s">
        <x:v>10474</x:v>
      </x:c>
      <x:c r="B6276" s="274" t="n">
        <x:v>3.61</x:v>
      </x:c>
      <x:c r="C6276" s="274" t="n">
        <x:v>0</x:v>
      </x:c>
      <x:c r="D6276" s="274" t="n">
        <x:v>45</x:v>
      </x:c>
      <x:c r="E6276" s="274" t="n">
        <x:v>40</x:v>
      </x:c>
      <x:c r="F6276" s="274" t="s">
        <x:v>333</x:v>
      </x:c>
      <x:c r="G6276" s="274" t="s">
        <x:v>334</x:v>
      </x:c>
      <x:c r="I6276" s="274" t="n">
        <x:v>0.8</x:v>
      </x:c>
      <x:c r="J6276" s="274" t="n">
        <x:v>1150</x:v>
      </x:c>
      <x:c r="K6276" s="274" t="n">
        <x:v>500</x:v>
      </x:c>
      <x:c r="M6276" s="274" t="s">
        <x:v>7049</x:v>
      </x:c>
      <x:c r="N6276" s="274" t="s">
        <x:v>3671</x:v>
      </x:c>
    </x:row>
    <x:row r="6277" spans="1:14">
      <x:c r="A6277" s="274" t="s">
        <x:v>10475</x:v>
      </x:c>
      <x:c r="B6277" s="274" t="n">
        <x:v>7.38</x:v>
      </x:c>
      <x:c r="C6277" s="274" t="n">
        <x:v>0</x:v>
      </x:c>
      <x:c r="D6277" s="274" t="n">
        <x:v>45</x:v>
      </x:c>
      <x:c r="E6277" s="274" t="n">
        <x:v>40</x:v>
      </x:c>
      <x:c r="F6277" s="274" t="s">
        <x:v>128</x:v>
      </x:c>
      <x:c r="G6277" s="274" t="s">
        <x:v>153</x:v>
      </x:c>
      <x:c r="I6277" s="274" t="n">
        <x:v>2.6</x:v>
      </x:c>
      <x:c r="J6277" s="274" t="n">
        <x:v>900</x:v>
      </x:c>
      <x:c r="K6277" s="274" t="n">
        <x:v>402</x:v>
      </x:c>
      <x:c r="M6277" s="274" t="s">
        <x:v>7051</x:v>
      </x:c>
      <x:c r="N6277" s="274" t="s">
        <x:v>3671</x:v>
      </x:c>
    </x:row>
    <x:row r="6278" spans="1:14">
      <x:c r="A6278" s="274" t="s">
        <x:v>10476</x:v>
      </x:c>
      <x:c r="B6278" s="274" t="n">
        <x:v>20.32</x:v>
      </x:c>
      <x:c r="C6278" s="274" t="n">
        <x:v>0</x:v>
      </x:c>
      <x:c r="D6278" s="274" t="n">
        <x:v>27</x:v>
      </x:c>
      <x:c r="E6278" s="274" t="n">
        <x:v>22</x:v>
      </x:c>
      <x:c r="F6278" s="274" t="s">
        <x:v>333</x:v>
      </x:c>
      <x:c r="G6278" s="274" t="s">
        <x:v>334</x:v>
      </x:c>
      <x:c r="I6278" s="274" t="n">
        <x:v>1.4</x:v>
      </x:c>
      <x:c r="J6278" s="274" t="n">
        <x:v>1166</x:v>
      </x:c>
      <x:c r="K6278" s="274" t="n">
        <x:v>1586</x:v>
      </x:c>
      <x:c r="M6278" s="274" t="s">
        <x:v>7053</x:v>
      </x:c>
      <x:c r="N6278" s="274" t="s">
        <x:v>3671</x:v>
      </x:c>
    </x:row>
    <x:row r="6279" spans="1:14">
      <x:c r="A6279" s="274" t="s">
        <x:v>10477</x:v>
      </x:c>
      <x:c r="B6279" s="274" t="n">
        <x:v>15.4</x:v>
      </x:c>
      <x:c r="C6279" s="274" t="n">
        <x:v>0</x:v>
      </x:c>
      <x:c r="D6279" s="274" t="n">
        <x:v>33</x:v>
      </x:c>
      <x:c r="E6279" s="274" t="n">
        <x:v>28</x:v>
      </x:c>
      <x:c r="F6279" s="274" t="s">
        <x:v>133</x:v>
      </x:c>
      <x:c r="G6279" s="274" t="s">
        <x:v>4470</x:v>
      </x:c>
      <x:c r="H6279" s="274" t="s">
        <x:v>4471</x:v>
      </x:c>
      <x:c r="I6279" s="274" t="n">
        <x:v>1.4</x:v>
      </x:c>
      <x:c r="J6279" s="274" t="n">
        <x:v>980</x:v>
      </x:c>
      <x:c r="K6279" s="274" t="n">
        <x:v>1430</x:v>
      </x:c>
      <x:c r="M6279" s="274" t="s">
        <x:v>7056</x:v>
      </x:c>
      <x:c r="N6279" s="274" t="s">
        <x:v>4258</x:v>
      </x:c>
    </x:row>
    <x:row r="6280" spans="1:14">
      <x:c r="A6280" s="274" t="s">
        <x:v>10478</x:v>
      </x:c>
      <x:c r="B6280" s="274" t="n">
        <x:v>17.11</x:v>
      </x:c>
      <x:c r="C6280" s="274" t="n">
        <x:v>0</x:v>
      </x:c>
      <x:c r="D6280" s="274" t="n">
        <x:v>45</x:v>
      </x:c>
      <x:c r="E6280" s="274" t="n">
        <x:v>40</x:v>
      </x:c>
      <x:c r="F6280" s="274" t="s">
        <x:v>311</x:v>
      </x:c>
      <x:c r="G6280" s="274" t="s">
        <x:v>134</x:v>
      </x:c>
      <x:c r="I6280" s="274" t="n">
        <x:v>3.4</x:v>
      </x:c>
      <x:c r="J6280" s="274" t="n">
        <x:v>1125</x:v>
      </x:c>
      <x:c r="K6280" s="274" t="n">
        <x:v>570</x:v>
      </x:c>
      <x:c r="M6280" s="274" t="s">
        <x:v>7059</x:v>
      </x:c>
      <x:c r="N6280" s="274" t="s">
        <x:v>155</x:v>
      </x:c>
    </x:row>
    <x:row r="6281" spans="1:14">
      <x:c r="A6281" s="274" t="s">
        <x:v>10479</x:v>
      </x:c>
      <x:c r="B6281" s="274" t="n">
        <x:v>13.13</x:v>
      </x:c>
      <x:c r="C6281" s="274" t="n">
        <x:v>0</x:v>
      </x:c>
      <x:c r="D6281" s="274" t="n">
        <x:v>34</x:v>
      </x:c>
      <x:c r="E6281" s="274" t="n">
        <x:v>29</x:v>
      </x:c>
      <x:c r="F6281" s="274" t="s">
        <x:v>333</x:v>
      </x:c>
      <x:c r="G6281" s="274" t="s">
        <x:v>4796</x:v>
      </x:c>
      <x:c r="I6281" s="274" t="n">
        <x:v>1.2</x:v>
      </x:c>
      <x:c r="J6281" s="274" t="n">
        <x:v>1025</x:v>
      </x:c>
      <x:c r="K6281" s="274" t="n">
        <x:v>1360</x:v>
      </x:c>
      <x:c r="M6281" s="274" t="s">
        <x:v>7068</x:v>
      </x:c>
      <x:c r="N6281" s="274" t="s">
        <x:v>4258</x:v>
      </x:c>
    </x:row>
    <x:row r="6282" spans="1:14">
      <x:c r="A6282" s="274" t="s">
        <x:v>10480</x:v>
      </x:c>
      <x:c r="B6282" s="274" t="n">
        <x:v>8.64</x:v>
      </x:c>
      <x:c r="C6282" s="274" t="n">
        <x:v>0</x:v>
      </x:c>
      <x:c r="D6282" s="274" t="n">
        <x:v>33</x:v>
      </x:c>
      <x:c r="E6282" s="274" t="n">
        <x:v>28</x:v>
      </x:c>
      <x:c r="F6282" s="274" t="s">
        <x:v>133</x:v>
      </x:c>
      <x:c r="G6282" s="274" t="s">
        <x:v>136</x:v>
      </x:c>
      <x:c r="H6282" s="274" t="n">
        <x:v>45</x:v>
      </x:c>
      <x:c r="I6282" s="274" t="n">
        <x:v>0.6</x:v>
      </x:c>
      <x:c r="J6282" s="274" t="n">
        <x:v>1250</x:v>
      </x:c>
      <x:c r="K6282" s="274" t="n">
        <x:v>1440</x:v>
      </x:c>
      <x:c r="M6282" s="274" t="s">
        <x:v>371</x:v>
      </x:c>
      <x:c r="N6282" s="274" t="s">
        <x:v>7070</x:v>
      </x:c>
    </x:row>
    <x:row r="6283" spans="1:14">
      <x:c r="A6283" s="274" t="s">
        <x:v>10481</x:v>
      </x:c>
      <x:c r="B6283" s="274" t="n">
        <x:v>12.52</x:v>
      </x:c>
      <x:c r="C6283" s="274" t="n">
        <x:v>0</x:v>
      </x:c>
      <x:c r="D6283" s="274" t="n">
        <x:v>45</x:v>
      </x:c>
      <x:c r="E6283" s="274" t="n">
        <x:v>40</x:v>
      </x:c>
      <x:c r="F6283" s="274" t="s">
        <x:v>133</x:v>
      </x:c>
      <x:c r="G6283" s="274" t="s">
        <x:v>134</x:v>
      </x:c>
      <x:c r="I6283" s="274" t="n">
        <x:v>2.9</x:v>
      </x:c>
      <x:c r="J6283" s="274" t="n">
        <x:v>1100</x:v>
      </x:c>
      <x:c r="K6283" s="274" t="n">
        <x:v>500</x:v>
      </x:c>
      <x:c r="M6283" s="274" t="s">
        <x:v>7082</x:v>
      </x:c>
      <x:c r="N6283" s="274" t="s">
        <x:v>7083</x:v>
      </x:c>
    </x:row>
    <x:row r="6284" spans="1:14">
      <x:c r="A6284" s="274" t="s">
        <x:v>10482</x:v>
      </x:c>
      <x:c r="B6284" s="274" t="n">
        <x:v>12.15</x:v>
      </x:c>
      <x:c r="C6284" s="274" t="n">
        <x:v>31</x:v>
      </x:c>
      <x:c r="D6284" s="274" t="n">
        <x:v>37</x:v>
      </x:c>
      <x:c r="E6284" s="274" t="n">
        <x:v>32</x:v>
      </x:c>
      <x:c r="F6284" s="274" t="s">
        <x:v>184</x:v>
      </x:c>
      <x:c r="G6284" s="274" t="s">
        <x:v>3413</x:v>
      </x:c>
      <x:c r="H6284" s="274" t="n">
        <x:v>45</x:v>
      </x:c>
      <x:c r="I6284" s="274" t="n">
        <x:v>1.2</x:v>
      </x:c>
      <x:c r="J6284" s="274" t="n">
        <x:v>1065</x:v>
      </x:c>
      <x:c r="K6284" s="274" t="n">
        <x:v>1200</x:v>
      </x:c>
      <x:c r="M6284" s="274" t="s">
        <x:v>5778</x:v>
      </x:c>
      <x:c r="N6284" s="274" t="s">
        <x:v>3671</x:v>
      </x:c>
    </x:row>
    <x:row r="6285" spans="1:14">
      <x:c r="A6285" s="274" t="s">
        <x:v>10483</x:v>
      </x:c>
      <x:c r="B6285" s="274" t="n">
        <x:v>10.17</x:v>
      </x:c>
      <x:c r="C6285" s="274" t="n">
        <x:v>31</x:v>
      </x:c>
      <x:c r="D6285" s="274" t="n">
        <x:v>37</x:v>
      </x:c>
      <x:c r="E6285" s="274" t="n">
        <x:v>32</x:v>
      </x:c>
      <x:c r="F6285" s="274" t="s">
        <x:v>184</x:v>
      </x:c>
      <x:c r="G6285" s="274" t="s">
        <x:v>3413</x:v>
      </x:c>
      <x:c r="H6285" s="274" t="n">
        <x:v>45</x:v>
      </x:c>
      <x:c r="I6285" s="274" t="n">
        <x:v>0.8</x:v>
      </x:c>
      <x:c r="J6285" s="274" t="n">
        <x:v>1330</x:v>
      </x:c>
      <x:c r="K6285" s="274" t="n">
        <x:v>1200</x:v>
      </x:c>
      <x:c r="M6285" s="274" t="s">
        <x:v>10484</x:v>
      </x:c>
      <x:c r="N6285" s="274" t="s">
        <x:v>3671</x:v>
      </x:c>
    </x:row>
    <x:row r="6286" spans="1:14">
      <x:c r="A6286" s="274" t="s">
        <x:v>10485</x:v>
      </x:c>
      <x:c r="B6286" s="274" t="n">
        <x:v>7.76</x:v>
      </x:c>
      <x:c r="C6286" s="274" t="n">
        <x:v>0</x:v>
      </x:c>
      <x:c r="D6286" s="274" t="n">
        <x:v>33</x:v>
      </x:c>
      <x:c r="E6286" s="274" t="n">
        <x:v>28</x:v>
      </x:c>
      <x:c r="F6286" s="274" t="s">
        <x:v>133</x:v>
      </x:c>
      <x:c r="G6286" s="274" t="s">
        <x:v>136</x:v>
      </x:c>
      <x:c r="H6286" s="274" t="n">
        <x:v>45</x:v>
      </x:c>
      <x:c r="I6286" s="274" t="n">
        <x:v>0.7</x:v>
      </x:c>
      <x:c r="J6286" s="274" t="n">
        <x:v>927</x:v>
      </x:c>
      <x:c r="K6286" s="274" t="n">
        <x:v>1500</x:v>
      </x:c>
      <x:c r="M6286" s="274" t="s">
        <x:v>7089</x:v>
      </x:c>
      <x:c r="N6286" s="274" t="s">
        <x:v>3671</x:v>
      </x:c>
    </x:row>
    <x:row r="6287" spans="1:14">
      <x:c r="A6287" s="274" t="s">
        <x:v>10486</x:v>
      </x:c>
      <x:c r="B6287" s="274" t="n">
        <x:v>15.33</x:v>
      </x:c>
      <x:c r="C6287" s="274" t="n">
        <x:v>0</x:v>
      </x:c>
      <x:c r="D6287" s="274" t="n">
        <x:v>35</x:v>
      </x:c>
      <x:c r="E6287" s="274" t="n">
        <x:v>30</x:v>
      </x:c>
      <x:c r="F6287" s="274" t="s">
        <x:v>133</x:v>
      </x:c>
      <x:c r="G6287" s="274" t="s">
        <x:v>136</x:v>
      </x:c>
      <x:c r="H6287" s="274" t="n">
        <x:v>45</x:v>
      </x:c>
      <x:c r="I6287" s="274" t="n">
        <x:v>1.2</x:v>
      </x:c>
      <x:c r="J6287" s="274" t="n">
        <x:v>1290</x:v>
      </x:c>
      <x:c r="K6287" s="274" t="n">
        <x:v>1250</x:v>
      </x:c>
      <x:c r="M6287" s="274" t="s">
        <x:v>7091</x:v>
      </x:c>
      <x:c r="N6287" s="274" t="s">
        <x:v>3671</x:v>
      </x:c>
    </x:row>
    <x:row r="6288" spans="1:14">
      <x:c r="A6288" s="274" t="s">
        <x:v>10487</x:v>
      </x:c>
      <x:c r="B6288" s="274" t="n">
        <x:v>9.96</x:v>
      </x:c>
      <x:c r="C6288" s="274" t="n">
        <x:v>0</x:v>
      </x:c>
      <x:c r="D6288" s="274" t="n">
        <x:v>40</x:v>
      </x:c>
      <x:c r="E6288" s="274" t="n">
        <x:v>35</x:v>
      </x:c>
      <x:c r="F6288" s="274" t="s">
        <x:v>133</x:v>
      </x:c>
      <x:c r="G6288" s="274" t="s">
        <x:v>136</x:v>
      </x:c>
      <x:c r="H6288" s="274" t="n">
        <x:v>45</x:v>
      </x:c>
      <x:c r="I6288" s="274" t="n">
        <x:v>1.2</x:v>
      </x:c>
      <x:c r="J6288" s="274" t="n">
        <x:v>952</x:v>
      </x:c>
      <x:c r="K6288" s="274" t="n">
        <x:v>1100</x:v>
      </x:c>
      <x:c r="M6288" s="274" t="s">
        <x:v>7096</x:v>
      </x:c>
      <x:c r="N6288" s="274" t="s">
        <x:v>7097</x:v>
      </x:c>
    </x:row>
    <x:row r="6289" spans="1:14">
      <x:c r="A6289" s="274" t="s">
        <x:v>10488</x:v>
      </x:c>
      <x:c r="B6289" s="274" t="n">
        <x:v>19.96</x:v>
      </x:c>
      <x:c r="C6289" s="274" t="n">
        <x:v>0</x:v>
      </x:c>
      <x:c r="D6289" s="274" t="n">
        <x:v>42</x:v>
      </x:c>
      <x:c r="E6289" s="274" t="n">
        <x:v>37</x:v>
      </x:c>
      <x:c r="F6289" s="274" t="s">
        <x:v>123</x:v>
      </x:c>
      <x:c r="G6289" s="274" t="s">
        <x:v>153</x:v>
      </x:c>
      <x:c r="I6289" s="274" t="n">
        <x:v>2.3</x:v>
      </x:c>
      <x:c r="J6289" s="274" t="n">
        <x:v>1105</x:v>
      </x:c>
      <x:c r="K6289" s="274" t="n">
        <x:v>1000</x:v>
      </x:c>
      <x:c r="M6289" s="274" t="s">
        <x:v>7101</x:v>
      </x:c>
      <x:c r="N6289" s="274" t="s">
        <x:v>7097</x:v>
      </x:c>
    </x:row>
    <x:row r="6290" spans="1:14">
      <x:c r="A6290" s="274" t="s">
        <x:v>10489</x:v>
      </x:c>
      <x:c r="B6290" s="274" t="n">
        <x:v>3.42</x:v>
      </x:c>
      <x:c r="C6290" s="274" t="n">
        <x:v>48</x:v>
      </x:c>
      <x:c r="D6290" s="274" t="n">
        <x:v>45</x:v>
      </x:c>
      <x:c r="E6290" s="274" t="n">
        <x:v>40</x:v>
      </x:c>
      <x:c r="F6290" s="274" t="s">
        <x:v>311</x:v>
      </x:c>
      <x:c r="G6290" s="274" t="s">
        <x:v>1728</x:v>
      </x:c>
      <x:c r="H6290" s="274" t="s">
        <x:v>1732</x:v>
      </x:c>
      <x:c r="I6290" s="274" t="n">
        <x:v>0.65</x:v>
      </x:c>
      <x:c r="J6290" s="274" t="n">
        <x:v>1517</x:v>
      </x:c>
      <x:c r="K6290" s="274" t="n">
        <x:v>434</x:v>
      </x:c>
      <x:c r="M6290" s="274" t="s">
        <x:v>7105</x:v>
      </x:c>
      <x:c r="N6290" s="274" t="s">
        <x:v>421</x:v>
      </x:c>
    </x:row>
    <x:row r="6291" spans="1:14">
      <x:c r="A6291" s="274" t="s">
        <x:v>10490</x:v>
      </x:c>
      <x:c r="B6291" s="274" t="n">
        <x:v>3.42</x:v>
      </x:c>
      <x:c r="C6291" s="274" t="n">
        <x:v>48</x:v>
      </x:c>
      <x:c r="D6291" s="274" t="n">
        <x:v>45</x:v>
      </x:c>
      <x:c r="E6291" s="274" t="n">
        <x:v>40</x:v>
      </x:c>
      <x:c r="F6291" s="274" t="s">
        <x:v>311</x:v>
      </x:c>
      <x:c r="G6291" s="274" t="s">
        <x:v>1728</x:v>
      </x:c>
      <x:c r="H6291" s="274" t="s">
        <x:v>1729</x:v>
      </x:c>
      <x:c r="I6291" s="274" t="n">
        <x:v>0.65</x:v>
      </x:c>
      <x:c r="J6291" s="274" t="n">
        <x:v>1516</x:v>
      </x:c>
      <x:c r="K6291" s="274" t="n">
        <x:v>434</x:v>
      </x:c>
      <x:c r="M6291" s="274" t="s">
        <x:v>7105</x:v>
      </x:c>
      <x:c r="N6291" s="274" t="s">
        <x:v>421</x:v>
      </x:c>
    </x:row>
    <x:row r="6292" spans="1:14">
      <x:c r="A6292" s="274" t="s">
        <x:v>10491</x:v>
      </x:c>
      <x:c r="B6292" s="274" t="n">
        <x:v>11.87</x:v>
      </x:c>
      <x:c r="C6292" s="274" t="n">
        <x:v>0</x:v>
      </x:c>
      <x:c r="D6292" s="274" t="n">
        <x:v>45</x:v>
      </x:c>
      <x:c r="E6292" s="274" t="n">
        <x:v>40</x:v>
      </x:c>
      <x:c r="F6292" s="274" t="s">
        <x:v>1964</x:v>
      </x:c>
      <x:c r="G6292" s="274" t="s">
        <x:v>1614</x:v>
      </x:c>
      <x:c r="H6292" s="274" t="n">
        <x:v>45</x:v>
      </x:c>
      <x:c r="I6292" s="274" t="n">
        <x:v>1.8</x:v>
      </x:c>
      <x:c r="J6292" s="274" t="n">
        <x:v>1575</x:v>
      </x:c>
      <x:c r="K6292" s="274" t="n">
        <x:v>530</x:v>
      </x:c>
      <x:c r="M6292" s="274" t="s">
        <x:v>10492</x:v>
      </x:c>
      <x:c r="N6292" s="274" t="s">
        <x:v>155</x:v>
      </x:c>
    </x:row>
    <x:row r="6293" spans="1:14">
      <x:c r="A6293" s="274" t="s">
        <x:v>10493</x:v>
      </x:c>
      <x:c r="B6293" s="274" t="n">
        <x:v>7.25</x:v>
      </x:c>
      <x:c r="C6293" s="274" t="n">
        <x:v>0</x:v>
      </x:c>
      <x:c r="D6293" s="274" t="n">
        <x:v>45</x:v>
      </x:c>
      <x:c r="E6293" s="274" t="n">
        <x:v>40</x:v>
      </x:c>
      <x:c r="F6293" s="274" t="s">
        <x:v>333</x:v>
      </x:c>
      <x:c r="G6293" s="274" t="s">
        <x:v>4663</x:v>
      </x:c>
      <x:c r="I6293" s="274" t="n">
        <x:v>1.2</x:v>
      </x:c>
      <x:c r="J6293" s="274" t="n">
        <x:v>1100</x:v>
      </x:c>
      <x:c r="K6293" s="274" t="n">
        <x:v>700</x:v>
      </x:c>
      <x:c r="M6293" s="274" t="s">
        <x:v>7115</x:v>
      </x:c>
      <x:c r="N6293" s="274" t="s">
        <x:v>4258</x:v>
      </x:c>
    </x:row>
    <x:row r="6294" spans="1:14">
      <x:c r="A6294" s="274" t="s">
        <x:v>10494</x:v>
      </x:c>
      <x:c r="B6294" s="274" t="n">
        <x:v>5.41</x:v>
      </x:c>
      <x:c r="C6294" s="274" t="n">
        <x:v>0</x:v>
      </x:c>
      <x:c r="D6294" s="274" t="n">
        <x:v>45</x:v>
      </x:c>
      <x:c r="E6294" s="274" t="n">
        <x:v>40</x:v>
      </x:c>
      <x:c r="F6294" s="274" t="s">
        <x:v>123</x:v>
      </x:c>
      <x:c r="G6294" s="274" t="s">
        <x:v>6196</x:v>
      </x:c>
      <x:c r="I6294" s="274" t="n">
        <x:v>2</x:v>
      </x:c>
      <x:c r="J6294" s="274" t="n">
        <x:v>1060</x:v>
      </x:c>
      <x:c r="K6294" s="274" t="n">
        <x:v>325</x:v>
      </x:c>
      <x:c r="M6294" s="274" t="s">
        <x:v>6565</x:v>
      </x:c>
      <x:c r="N6294" s="274" t="s">
        <x:v>3671</x:v>
      </x:c>
    </x:row>
    <x:row r="6295" spans="1:14">
      <x:c r="A6295" s="274" t="s">
        <x:v>10495</x:v>
      </x:c>
      <x:c r="B6295" s="274" t="n">
        <x:v>4.97</x:v>
      </x:c>
      <x:c r="C6295" s="274" t="n">
        <x:v>0</x:v>
      </x:c>
      <x:c r="D6295" s="274" t="n">
        <x:v>32</x:v>
      </x:c>
      <x:c r="E6295" s="274" t="n">
        <x:v>40</x:v>
      </x:c>
      <x:c r="F6295" s="274" t="s">
        <x:v>333</x:v>
      </x:c>
      <x:c r="G6295" s="274" t="s">
        <x:v>4663</x:v>
      </x:c>
      <x:c r="I6295" s="274" t="n">
        <x:v>1.2</x:v>
      </x:c>
      <x:c r="J6295" s="274" t="n">
        <x:v>1100</x:v>
      </x:c>
      <x:c r="K6295" s="274" t="n">
        <x:v>480</x:v>
      </x:c>
      <x:c r="M6295" s="274" t="s">
        <x:v>10496</x:v>
      </x:c>
      <x:c r="N6295" s="274" t="s">
        <x:v>4258</x:v>
      </x:c>
    </x:row>
    <x:row r="6296" spans="1:14">
      <x:c r="A6296" s="274" t="s">
        <x:v>10497</x:v>
      </x:c>
      <x:c r="B6296" s="274" t="n">
        <x:v>5.28</x:v>
      </x:c>
      <x:c r="C6296" s="274" t="n">
        <x:v>0</x:v>
      </x:c>
      <x:c r="D6296" s="274" t="n">
        <x:v>32</x:v>
      </x:c>
      <x:c r="E6296" s="274" t="n">
        <x:v>40</x:v>
      </x:c>
      <x:c r="F6296" s="274" t="s">
        <x:v>333</x:v>
      </x:c>
      <x:c r="G6296" s="274" t="s">
        <x:v>4663</x:v>
      </x:c>
      <x:c r="I6296" s="274" t="n">
        <x:v>1.2</x:v>
      </x:c>
      <x:c r="J6296" s="274" t="n">
        <x:v>1100</x:v>
      </x:c>
      <x:c r="K6296" s="274" t="n">
        <x:v>510</x:v>
      </x:c>
      <x:c r="M6296" s="274" t="s">
        <x:v>10498</x:v>
      </x:c>
      <x:c r="N6296" s="274" t="s">
        <x:v>4258</x:v>
      </x:c>
    </x:row>
    <x:row r="6297" spans="1:14">
      <x:c r="A6297" s="274" t="s">
        <x:v>10499</x:v>
      </x:c>
      <x:c r="B6297" s="274" t="n">
        <x:v>4.08</x:v>
      </x:c>
      <x:c r="C6297" s="274" t="n">
        <x:v>0</x:v>
      </x:c>
      <x:c r="D6297" s="274" t="n">
        <x:v>32</x:v>
      </x:c>
      <x:c r="E6297" s="274" t="n">
        <x:v>40</x:v>
      </x:c>
      <x:c r="F6297" s="274" t="s">
        <x:v>333</x:v>
      </x:c>
      <x:c r="G6297" s="274" t="s">
        <x:v>4663</x:v>
      </x:c>
      <x:c r="I6297" s="274" t="n">
        <x:v>1.2</x:v>
      </x:c>
      <x:c r="J6297" s="274" t="n">
        <x:v>1100</x:v>
      </x:c>
      <x:c r="K6297" s="274" t="n">
        <x:v>394</x:v>
      </x:c>
      <x:c r="M6297" s="274" t="s">
        <x:v>10500</x:v>
      </x:c>
      <x:c r="N6297" s="274" t="s">
        <x:v>4258</x:v>
      </x:c>
    </x:row>
    <x:row r="6298" spans="1:14">
      <x:c r="A6298" s="274" t="s">
        <x:v>10501</x:v>
      </x:c>
      <x:c r="B6298" s="274" t="n">
        <x:v>3.75</x:v>
      </x:c>
      <x:c r="C6298" s="274" t="n">
        <x:v>0</x:v>
      </x:c>
      <x:c r="D6298" s="274" t="n">
        <x:v>32</x:v>
      </x:c>
      <x:c r="E6298" s="274" t="n">
        <x:v>40</x:v>
      </x:c>
      <x:c r="F6298" s="274" t="s">
        <x:v>333</x:v>
      </x:c>
      <x:c r="G6298" s="274" t="s">
        <x:v>4663</x:v>
      </x:c>
      <x:c r="I6298" s="274" t="n">
        <x:v>1.2</x:v>
      </x:c>
      <x:c r="J6298" s="274" t="n">
        <x:v>1100</x:v>
      </x:c>
      <x:c r="K6298" s="274" t="n">
        <x:v>362</x:v>
      </x:c>
      <x:c r="M6298" s="274" t="s">
        <x:v>10502</x:v>
      </x:c>
      <x:c r="N6298" s="274" t="s">
        <x:v>4258</x:v>
      </x:c>
    </x:row>
    <x:row r="6299" spans="1:14">
      <x:c r="A6299" s="274" t="s">
        <x:v>10503</x:v>
      </x:c>
      <x:c r="B6299" s="274" t="n">
        <x:v>7.01</x:v>
      </x:c>
      <x:c r="C6299" s="274" t="n">
        <x:v>0</x:v>
      </x:c>
      <x:c r="D6299" s="274" t="n">
        <x:v>32</x:v>
      </x:c>
      <x:c r="E6299" s="274" t="n">
        <x:v>40</x:v>
      </x:c>
      <x:c r="F6299" s="274" t="s">
        <x:v>333</x:v>
      </x:c>
      <x:c r="G6299" s="274" t="s">
        <x:v>4663</x:v>
      </x:c>
      <x:c r="I6299" s="274" t="n">
        <x:v>1.2</x:v>
      </x:c>
      <x:c r="J6299" s="274" t="n">
        <x:v>1394</x:v>
      </x:c>
      <x:c r="K6299" s="274" t="n">
        <x:v>534</x:v>
      </x:c>
      <x:c r="M6299" s="274" t="s">
        <x:v>10504</x:v>
      </x:c>
      <x:c r="N6299" s="274" t="s">
        <x:v>4258</x:v>
      </x:c>
    </x:row>
    <x:row r="6300" spans="1:14">
      <x:c r="A6300" s="274" t="s">
        <x:v>10505</x:v>
      </x:c>
      <x:c r="B6300" s="274" t="n">
        <x:v>1.75</x:v>
      </x:c>
      <x:c r="C6300" s="274" t="n">
        <x:v>0</x:v>
      </x:c>
      <x:c r="D6300" s="274" t="n">
        <x:v>32</x:v>
      </x:c>
      <x:c r="E6300" s="274" t="n">
        <x:v>40</x:v>
      </x:c>
      <x:c r="F6300" s="274" t="s">
        <x:v>333</x:v>
      </x:c>
      <x:c r="G6300" s="274" t="s">
        <x:v>153</x:v>
      </x:c>
      <x:c r="I6300" s="274" t="n">
        <x:v>0.6</x:v>
      </x:c>
      <x:c r="J6300" s="274" t="n">
        <x:v>1175</x:v>
      </x:c>
      <x:c r="K6300" s="274" t="n">
        <x:v>316</x:v>
      </x:c>
      <x:c r="M6300" s="274" t="s">
        <x:v>10506</x:v>
      </x:c>
      <x:c r="N6300" s="274" t="s">
        <x:v>3671</x:v>
      </x:c>
    </x:row>
    <x:row r="6301" spans="1:14">
      <x:c r="A6301" s="274" t="s">
        <x:v>10507</x:v>
      </x:c>
      <x:c r="B6301" s="274" t="n">
        <x:v>2.68</x:v>
      </x:c>
      <x:c r="C6301" s="274" t="n">
        <x:v>0</x:v>
      </x:c>
      <x:c r="D6301" s="274" t="n">
        <x:v>32</x:v>
      </x:c>
      <x:c r="E6301" s="274" t="n">
        <x:v>40</x:v>
      </x:c>
      <x:c r="F6301" s="274" t="s">
        <x:v>133</x:v>
      </x:c>
      <x:c r="G6301" s="274" t="s">
        <x:v>144</x:v>
      </x:c>
      <x:c r="H6301" s="274" t="n">
        <x:v>45</x:v>
      </x:c>
      <x:c r="I6301" s="274" t="n">
        <x:v>0.9</x:v>
      </x:c>
      <x:c r="J6301" s="274" t="n">
        <x:v>1000</x:v>
      </x:c>
      <x:c r="K6301" s="274" t="n">
        <x:v>374</x:v>
      </x:c>
      <x:c r="M6301" s="274" t="s">
        <x:v>10508</x:v>
      </x:c>
      <x:c r="N6301" s="274" t="s">
        <x:v>3671</x:v>
      </x:c>
    </x:row>
    <x:row r="6302" spans="1:14">
      <x:c r="A6302" s="274" t="s">
        <x:v>10509</x:v>
      </x:c>
      <x:c r="B6302" s="274" t="n">
        <x:v>2.36</x:v>
      </x:c>
      <x:c r="C6302" s="274" t="n">
        <x:v>0</x:v>
      </x:c>
      <x:c r="D6302" s="274" t="n">
        <x:v>32</x:v>
      </x:c>
      <x:c r="E6302" s="274" t="n">
        <x:v>40</x:v>
      </x:c>
      <x:c r="F6302" s="274" t="s">
        <x:v>333</x:v>
      </x:c>
      <x:c r="G6302" s="274" t="s">
        <x:v>153</x:v>
      </x:c>
      <x:c r="I6302" s="274" t="n">
        <x:v>1</x:v>
      </x:c>
      <x:c r="J6302" s="274" t="n">
        <x:v>985</x:v>
      </x:c>
      <x:c r="K6302" s="274" t="n">
        <x:v>305</x:v>
      </x:c>
      <x:c r="M6302" s="274" t="s">
        <x:v>10510</x:v>
      </x:c>
      <x:c r="N6302" s="274" t="s">
        <x:v>3671</x:v>
      </x:c>
    </x:row>
    <x:row r="6303" spans="1:14">
      <x:c r="A6303" s="274" t="s">
        <x:v>10511</x:v>
      </x:c>
      <x:c r="B6303" s="274" t="n">
        <x:v>4.27</x:v>
      </x:c>
      <x:c r="C6303" s="274" t="n">
        <x:v>0</x:v>
      </x:c>
      <x:c r="D6303" s="274" t="n">
        <x:v>32</x:v>
      </x:c>
      <x:c r="E6303" s="274" t="n">
        <x:v>40</x:v>
      </x:c>
      <x:c r="F6303" s="274" t="s">
        <x:v>333</x:v>
      </x:c>
      <x:c r="G6303" s="274" t="s">
        <x:v>153</x:v>
      </x:c>
      <x:c r="I6303" s="274" t="n">
        <x:v>1</x:v>
      </x:c>
      <x:c r="J6303" s="274" t="n">
        <x:v>985</x:v>
      </x:c>
      <x:c r="K6303" s="274" t="n">
        <x:v>552</x:v>
      </x:c>
      <x:c r="M6303" s="274" t="s">
        <x:v>10512</x:v>
      </x:c>
      <x:c r="N6303" s="274" t="s">
        <x:v>3671</x:v>
      </x:c>
    </x:row>
    <x:row r="6304" spans="1:14">
      <x:c r="A6304" s="274" t="s">
        <x:v>10513</x:v>
      </x:c>
      <x:c r="B6304" s="274" t="n">
        <x:v>2.98</x:v>
      </x:c>
      <x:c r="C6304" s="274" t="n">
        <x:v>0</x:v>
      </x:c>
      <x:c r="D6304" s="274" t="n">
        <x:v>32</x:v>
      </x:c>
      <x:c r="E6304" s="274" t="n">
        <x:v>40</x:v>
      </x:c>
      <x:c r="F6304" s="274" t="s">
        <x:v>333</x:v>
      </x:c>
      <x:c r="G6304" s="274" t="s">
        <x:v>153</x:v>
      </x:c>
      <x:c r="I6304" s="274" t="n">
        <x:v>1</x:v>
      </x:c>
      <x:c r="J6304" s="274" t="n">
        <x:v>985</x:v>
      </x:c>
      <x:c r="K6304" s="274" t="n">
        <x:v>386</x:v>
      </x:c>
      <x:c r="M6304" s="274" t="s">
        <x:v>10514</x:v>
      </x:c>
      <x:c r="N6304" s="274" t="s">
        <x:v>3671</x:v>
      </x:c>
    </x:row>
    <x:row r="6305" spans="1:14">
      <x:c r="A6305" s="274" t="s">
        <x:v>10515</x:v>
      </x:c>
      <x:c r="B6305" s="274" t="n">
        <x:v>3.2</x:v>
      </x:c>
      <x:c r="C6305" s="274" t="n">
        <x:v>0</x:v>
      </x:c>
      <x:c r="D6305" s="274" t="n">
        <x:v>32</x:v>
      </x:c>
      <x:c r="E6305" s="274" t="n">
        <x:v>40</x:v>
      </x:c>
      <x:c r="F6305" s="274" t="s">
        <x:v>333</x:v>
      </x:c>
      <x:c r="G6305" s="274" t="s">
        <x:v>153</x:v>
      </x:c>
      <x:c r="I6305" s="274" t="n">
        <x:v>1.2</x:v>
      </x:c>
      <x:c r="J6305" s="274" t="n">
        <x:v>1050</x:v>
      </x:c>
      <x:c r="K6305" s="274" t="n">
        <x:v>324</x:v>
      </x:c>
      <x:c r="M6305" s="274" t="s">
        <x:v>10516</x:v>
      </x:c>
      <x:c r="N6305" s="274" t="s">
        <x:v>3671</x:v>
      </x:c>
    </x:row>
    <x:row r="6306" spans="1:14">
      <x:c r="A6306" s="274" t="s">
        <x:v>10517</x:v>
      </x:c>
      <x:c r="B6306" s="274" t="n">
        <x:v>6.49</x:v>
      </x:c>
      <x:c r="C6306" s="274" t="n">
        <x:v>0</x:v>
      </x:c>
      <x:c r="D6306" s="274" t="n">
        <x:v>32</x:v>
      </x:c>
      <x:c r="E6306" s="274" t="n">
        <x:v>40</x:v>
      </x:c>
      <x:c r="F6306" s="274" t="s">
        <x:v>123</x:v>
      </x:c>
      <x:c r="G6306" s="274" t="s">
        <x:v>881</x:v>
      </x:c>
      <x:c r="H6306" s="274" t="n">
        <x:v>45</x:v>
      </x:c>
      <x:c r="I6306" s="274" t="n">
        <x:v>1.2</x:v>
      </x:c>
      <x:c r="J6306" s="274" t="n">
        <x:v>1100</x:v>
      </x:c>
      <x:c r="K6306" s="274" t="n">
        <x:v>620</x:v>
      </x:c>
      <x:c r="M6306" s="274" t="s">
        <x:v>10518</x:v>
      </x:c>
      <x:c r="N6306" s="274" t="s">
        <x:v>3671</x:v>
      </x:c>
    </x:row>
    <x:row r="6307" spans="1:14">
      <x:c r="A6307" s="274" t="s">
        <x:v>10519</x:v>
      </x:c>
      <x:c r="B6307" s="274" t="n">
        <x:v>4.95</x:v>
      </x:c>
      <x:c r="C6307" s="274" t="n">
        <x:v>0</x:v>
      </x:c>
      <x:c r="D6307" s="274" t="n">
        <x:v>45</x:v>
      </x:c>
      <x:c r="E6307" s="274" t="n">
        <x:v>40</x:v>
      </x:c>
      <x:c r="F6307" s="274" t="s">
        <x:v>333</x:v>
      </x:c>
      <x:c r="G6307" s="274" t="s">
        <x:v>2468</x:v>
      </x:c>
      <x:c r="I6307" s="274" t="n">
        <x:v>0.7</x:v>
      </x:c>
      <x:c r="J6307" s="274" t="n">
        <x:v>1055</x:v>
      </x:c>
      <x:c r="K6307" s="274" t="n">
        <x:v>854</x:v>
      </x:c>
      <x:c r="M6307" s="274" t="s">
        <x:v>7176</x:v>
      </x:c>
      <x:c r="N6307" s="274" t="s">
        <x:v>10520</x:v>
      </x:c>
    </x:row>
    <x:row r="6308" spans="1:14">
      <x:c r="A6308" s="274" t="s">
        <x:v>10521</x:v>
      </x:c>
      <x:c r="B6308" s="274" t="n">
        <x:v>5.38</x:v>
      </x:c>
      <x:c r="C6308" s="274" t="n">
        <x:v>0</x:v>
      </x:c>
      <x:c r="D6308" s="274" t="n">
        <x:v>40</x:v>
      </x:c>
      <x:c r="E6308" s="274" t="n">
        <x:v>35</x:v>
      </x:c>
      <x:c r="F6308" s="274" t="s">
        <x:v>333</x:v>
      </x:c>
      <x:c r="G6308" s="274" t="s">
        <x:v>2468</x:v>
      </x:c>
      <x:c r="I6308" s="274" t="n">
        <x:v>0.6</x:v>
      </x:c>
      <x:c r="J6308" s="274" t="n">
        <x:v>1065</x:v>
      </x:c>
      <x:c r="K6308" s="274" t="n">
        <x:v>1072</x:v>
      </x:c>
      <x:c r="M6308" s="274" t="s">
        <x:v>7179</x:v>
      </x:c>
      <x:c r="N6308" s="274" t="s">
        <x:v>7177</x:v>
      </x:c>
    </x:row>
    <x:row r="6309" spans="1:14">
      <x:c r="A6309" s="274" t="s">
        <x:v>10522</x:v>
      </x:c>
      <x:c r="B6309" s="274" t="n">
        <x:v>2.69</x:v>
      </x:c>
      <x:c r="C6309" s="274" t="n">
        <x:v>0</x:v>
      </x:c>
      <x:c r="D6309" s="274" t="n">
        <x:v>45</x:v>
      </x:c>
      <x:c r="E6309" s="274" t="n">
        <x:v>40</x:v>
      </x:c>
      <x:c r="F6309" s="274" t="s">
        <x:v>333</x:v>
      </x:c>
      <x:c r="G6309" s="274" t="s">
        <x:v>2157</x:v>
      </x:c>
      <x:c r="I6309" s="274" t="n">
        <x:v>0.6</x:v>
      </x:c>
      <x:c r="J6309" s="274" t="n">
        <x:v>1110</x:v>
      </x:c>
      <x:c r="K6309" s="274" t="n">
        <x:v>514</x:v>
      </x:c>
      <x:c r="M6309" s="274" t="s">
        <x:v>7181</x:v>
      </x:c>
      <x:c r="N6309" s="274" t="s">
        <x:v>7177</x:v>
      </x:c>
    </x:row>
    <x:row r="6310" spans="1:14">
      <x:c r="A6310" s="274" t="s">
        <x:v>10523</x:v>
      </x:c>
      <x:c r="B6310" s="274" t="n">
        <x:v>8.67</x:v>
      </x:c>
      <x:c r="C6310" s="274" t="n">
        <x:v>0</x:v>
      </x:c>
      <x:c r="D6310" s="274" t="n">
        <x:v>37</x:v>
      </x:c>
      <x:c r="E6310" s="274" t="n">
        <x:v>32</x:v>
      </x:c>
      <x:c r="F6310" s="274" t="s">
        <x:v>333</x:v>
      </x:c>
      <x:c r="G6310" s="274" t="s">
        <x:v>2160</x:v>
      </x:c>
      <x:c r="I6310" s="274" t="n">
        <x:v>1</x:v>
      </x:c>
      <x:c r="J6310" s="274" t="n">
        <x:v>985</x:v>
      </x:c>
      <x:c r="K6310" s="274" t="n">
        <x:v>1121</x:v>
      </x:c>
      <x:c r="M6310" s="274" t="s">
        <x:v>7183</x:v>
      </x:c>
      <x:c r="N6310" s="274" t="s">
        <x:v>7177</x:v>
      </x:c>
    </x:row>
    <x:row r="6311" spans="1:14">
      <x:c r="A6311" s="274" t="s">
        <x:v>10524</x:v>
      </x:c>
      <x:c r="B6311" s="274" t="n">
        <x:v>5.48</x:v>
      </x:c>
      <x:c r="C6311" s="274" t="n">
        <x:v>0</x:v>
      </x:c>
      <x:c r="D6311" s="274" t="n">
        <x:v>40</x:v>
      </x:c>
      <x:c r="E6311" s="274" t="n">
        <x:v>35</x:v>
      </x:c>
      <x:c r="F6311" s="274" t="s">
        <x:v>333</x:v>
      </x:c>
      <x:c r="G6311" s="274" t="s">
        <x:v>2468</x:v>
      </x:c>
      <x:c r="I6311" s="274" t="n">
        <x:v>0.6</x:v>
      </x:c>
      <x:c r="J6311" s="274" t="n">
        <x:v>1065</x:v>
      </x:c>
      <x:c r="K6311" s="274" t="n">
        <x:v>1092</x:v>
      </x:c>
      <x:c r="M6311" s="274" t="s">
        <x:v>7185</x:v>
      </x:c>
      <x:c r="N6311" s="274" t="s">
        <x:v>7177</x:v>
      </x:c>
    </x:row>
    <x:row r="6312" spans="1:14">
      <x:c r="A6312" s="274" t="s">
        <x:v>10525</x:v>
      </x:c>
      <x:c r="B6312" s="274" t="n">
        <x:v>2.02</x:v>
      </x:c>
      <x:c r="C6312" s="274" t="n">
        <x:v>0</x:v>
      </x:c>
      <x:c r="D6312" s="274" t="n">
        <x:v>22</x:v>
      </x:c>
      <x:c r="E6312" s="274" t="n">
        <x:v>20</x:v>
      </x:c>
      <x:c r="F6312" s="274" t="s">
        <x:v>184</x:v>
      </x:c>
      <x:c r="G6312" s="274" t="s">
        <x:v>4782</x:v>
      </x:c>
      <x:c r="H6312" s="274" t="s">
        <x:v>4471</x:v>
      </x:c>
      <x:c r="I6312" s="274" t="n">
        <x:v>0.7</x:v>
      </x:c>
      <x:c r="J6312" s="274" t="n">
        <x:v>290</x:v>
      </x:c>
      <x:c r="K6312" s="274" t="n">
        <x:v>1250</x:v>
      </x:c>
      <x:c r="M6312" s="274" t="s">
        <x:v>5470</x:v>
      </x:c>
      <x:c r="N6312" s="274" t="s">
        <x:v>4258</x:v>
      </x:c>
    </x:row>
    <x:row r="6313" spans="1:14">
      <x:c r="A6313" s="274" t="s">
        <x:v>10526</x:v>
      </x:c>
      <x:c r="B6313" s="274" t="n">
        <x:v>17.84</x:v>
      </x:c>
      <x:c r="C6313" s="274" t="n">
        <x:v>0</x:v>
      </x:c>
      <x:c r="D6313" s="274" t="n">
        <x:v>0</x:v>
      </x:c>
      <x:c r="F6313" s="274" t="s">
        <x:v>133</x:v>
      </x:c>
      <x:c r="G6313" s="274" t="s">
        <x:v>148</x:v>
      </x:c>
      <x:c r="I6313" s="274" t="n">
        <x:v>2.9</x:v>
      </x:c>
      <x:c r="J6313" s="274" t="n">
        <x:v>1120</x:v>
      </x:c>
      <x:c r="K6313" s="274" t="n">
        <x:v>700</x:v>
      </x:c>
      <x:c r="M6313" s="274" t="s">
        <x:v>7196</x:v>
      </x:c>
      <x:c r="N6313" s="274" t="s">
        <x:v>3671</x:v>
      </x:c>
    </x:row>
    <x:row r="6314" spans="1:14">
      <x:c r="A6314" s="274" t="s">
        <x:v>10527</x:v>
      </x:c>
      <x:c r="B6314" s="274" t="n">
        <x:v>9.31</x:v>
      </x:c>
      <x:c r="C6314" s="274" t="n">
        <x:v>0</x:v>
      </x:c>
      <x:c r="D6314" s="274" t="n">
        <x:v>0</x:v>
      </x:c>
      <x:c r="F6314" s="274" t="s">
        <x:v>133</x:v>
      </x:c>
      <x:c r="G6314" s="274" t="s">
        <x:v>134</x:v>
      </x:c>
      <x:c r="I6314" s="274" t="n">
        <x:v>2.8</x:v>
      </x:c>
      <x:c r="J6314" s="274" t="n">
        <x:v>1145</x:v>
      </x:c>
      <x:c r="K6314" s="274" t="n">
        <x:v>370</x:v>
      </x:c>
      <x:c r="M6314" s="274" t="s">
        <x:v>7198</x:v>
      </x:c>
      <x:c r="N6314" s="274" t="s">
        <x:v>3671</x:v>
      </x:c>
    </x:row>
    <x:row r="6315" spans="1:14">
      <x:c r="A6315" s="274" t="s">
        <x:v>10528</x:v>
      </x:c>
      <x:c r="B6315" s="274" t="n">
        <x:v>11.8</x:v>
      </x:c>
      <x:c r="C6315" s="274" t="n">
        <x:v>0</x:v>
      </x:c>
      <x:c r="D6315" s="274" t="n">
        <x:v>0</x:v>
      </x:c>
      <x:c r="F6315" s="274" t="s">
        <x:v>133</x:v>
      </x:c>
      <x:c r="G6315" s="274" t="s">
        <x:v>134</x:v>
      </x:c>
      <x:c r="I6315" s="274" t="n">
        <x:v>2.8</x:v>
      </x:c>
      <x:c r="J6315" s="274" t="n">
        <x:v>1145</x:v>
      </x:c>
      <x:c r="K6315" s="274" t="n">
        <x:v>469</x:v>
      </x:c>
      <x:c r="M6315" s="274" t="s">
        <x:v>7200</x:v>
      </x:c>
      <x:c r="N6315" s="274" t="s">
        <x:v>3671</x:v>
      </x:c>
    </x:row>
    <x:row r="6316" spans="1:14">
      <x:c r="A6316" s="274" t="s">
        <x:v>10529</x:v>
      </x:c>
      <x:c r="B6316" s="274" t="n">
        <x:v>25.28</x:v>
      </x:c>
      <x:c r="C6316" s="274" t="n">
        <x:v>0</x:v>
      </x:c>
      <x:c r="D6316" s="274" t="n">
        <x:v>0</x:v>
      </x:c>
      <x:c r="F6316" s="274" t="s">
        <x:v>133</x:v>
      </x:c>
      <x:c r="G6316" s="274" t="s">
        <x:v>148</x:v>
      </x:c>
      <x:c r="I6316" s="274" t="n">
        <x:v>2.3</x:v>
      </x:c>
      <x:c r="J6316" s="274" t="n">
        <x:v>1120</x:v>
      </x:c>
      <x:c r="K6316" s="274" t="n">
        <x:v>1250</x:v>
      </x:c>
      <x:c r="M6316" s="274" t="s">
        <x:v>10530</x:v>
      </x:c>
      <x:c r="N6316" s="274" t="s">
        <x:v>3671</x:v>
      </x:c>
    </x:row>
    <x:row r="6317" spans="1:14">
      <x:c r="A6317" s="274" t="s">
        <x:v>10531</x:v>
      </x:c>
      <x:c r="B6317" s="274" t="n">
        <x:v>5.59</x:v>
      </x:c>
      <x:c r="C6317" s="274" t="n">
        <x:v>0</x:v>
      </x:c>
      <x:c r="D6317" s="274" t="n">
        <x:v>0</x:v>
      </x:c>
      <x:c r="F6317" s="274" t="s">
        <x:v>333</x:v>
      </x:c>
      <x:c r="G6317" s="274" t="s">
        <x:v>153</x:v>
      </x:c>
      <x:c r="I6317" s="274" t="n">
        <x:v>1.6</x:v>
      </x:c>
      <x:c r="J6317" s="274" t="n">
        <x:v>1310</x:v>
      </x:c>
      <x:c r="K6317" s="274" t="n">
        <x:v>340</x:v>
      </x:c>
      <x:c r="M6317" s="274" t="s">
        <x:v>7206</x:v>
      </x:c>
      <x:c r="N6317" s="274" t="s">
        <x:v>3671</x:v>
      </x:c>
    </x:row>
    <x:row r="6318" spans="1:14">
      <x:c r="A6318" s="274" t="s">
        <x:v>10532</x:v>
      </x:c>
      <x:c r="B6318" s="274" t="n">
        <x:v>6.66</x:v>
      </x:c>
      <x:c r="C6318" s="274" t="n">
        <x:v>0</x:v>
      </x:c>
      <x:c r="D6318" s="274" t="n">
        <x:v>0</x:v>
      </x:c>
      <x:c r="F6318" s="274" t="s">
        <x:v>333</x:v>
      </x:c>
      <x:c r="G6318" s="274" t="s">
        <x:v>153</x:v>
      </x:c>
      <x:c r="I6318" s="274" t="n">
        <x:v>1.6</x:v>
      </x:c>
      <x:c r="J6318" s="274" t="n">
        <x:v>1310</x:v>
      </x:c>
      <x:c r="K6318" s="274" t="n">
        <x:v>405</x:v>
      </x:c>
      <x:c r="M6318" s="274" t="s">
        <x:v>7208</x:v>
      </x:c>
      <x:c r="N6318" s="274" t="s">
        <x:v>3671</x:v>
      </x:c>
    </x:row>
    <x:row r="6319" spans="1:14">
      <x:c r="A6319" s="274" t="s">
        <x:v>10533</x:v>
      </x:c>
      <x:c r="B6319" s="274" t="n">
        <x:v>6.34</x:v>
      </x:c>
      <x:c r="C6319" s="274" t="n">
        <x:v>0</x:v>
      </x:c>
      <x:c r="D6319" s="274" t="n">
        <x:v>0</x:v>
      </x:c>
      <x:c r="F6319" s="274" t="s">
        <x:v>333</x:v>
      </x:c>
      <x:c r="G6319" s="274" t="s">
        <x:v>153</x:v>
      </x:c>
      <x:c r="I6319" s="274" t="n">
        <x:v>1.6</x:v>
      </x:c>
      <x:c r="J6319" s="274" t="n">
        <x:v>1310</x:v>
      </x:c>
      <x:c r="K6319" s="274" t="n">
        <x:v>385</x:v>
      </x:c>
      <x:c r="M6319" s="274" t="s">
        <x:v>7210</x:v>
      </x:c>
      <x:c r="N6319" s="274" t="s">
        <x:v>3671</x:v>
      </x:c>
    </x:row>
    <x:row r="6320" spans="1:14">
      <x:c r="A6320" s="274" t="s">
        <x:v>10534</x:v>
      </x:c>
      <x:c r="B6320" s="274" t="n">
        <x:v>6.61</x:v>
      </x:c>
      <x:c r="C6320" s="274" t="n">
        <x:v>0</x:v>
      </x:c>
      <x:c r="D6320" s="274" t="n">
        <x:v>0</x:v>
      </x:c>
      <x:c r="F6320" s="274" t="s">
        <x:v>133</x:v>
      </x:c>
      <x:c r="G6320" s="274" t="s">
        <x:v>136</x:v>
      </x:c>
      <x:c r="H6320" s="274" t="n">
        <x:v>45</x:v>
      </x:c>
      <x:c r="I6320" s="274" t="n">
        <x:v>1.6</x:v>
      </x:c>
      <x:c r="J6320" s="274" t="n">
        <x:v>1485</x:v>
      </x:c>
      <x:c r="K6320" s="274" t="n">
        <x:v>352</x:v>
      </x:c>
      <x:c r="M6320" s="274" t="s">
        <x:v>7213</x:v>
      </x:c>
      <x:c r="N6320" s="274" t="s">
        <x:v>3671</x:v>
      </x:c>
    </x:row>
    <x:row r="6321" spans="1:14">
      <x:c r="A6321" s="274" t="s">
        <x:v>10535</x:v>
      </x:c>
      <x:c r="B6321" s="274" t="n">
        <x:v>8.11</x:v>
      </x:c>
      <x:c r="C6321" s="274" t="n">
        <x:v>0</x:v>
      </x:c>
      <x:c r="D6321" s="274" t="n">
        <x:v>42</x:v>
      </x:c>
      <x:c r="E6321" s="274" t="n">
        <x:v>40</x:v>
      </x:c>
      <x:c r="F6321" s="274" t="s">
        <x:v>333</x:v>
      </x:c>
      <x:c r="G6321" s="274" t="s">
        <x:v>209</x:v>
      </x:c>
      <x:c r="I6321" s="274" t="n">
        <x:v>1.2</x:v>
      </x:c>
      <x:c r="J6321" s="274" t="n">
        <x:v>1250</x:v>
      </x:c>
      <x:c r="K6321" s="274" t="n">
        <x:v>689</x:v>
      </x:c>
      <x:c r="M6321" s="274" t="s">
        <x:v>10536</x:v>
      </x:c>
      <x:c r="N6321" s="274" t="s">
        <x:v>3671</x:v>
      </x:c>
    </x:row>
    <x:row r="6322" spans="1:14">
      <x:c r="A6322" s="274" t="s">
        <x:v>10537</x:v>
      </x:c>
      <x:c r="B6322" s="274" t="n">
        <x:v>3.93</x:v>
      </x:c>
      <x:c r="C6322" s="274" t="n">
        <x:v>0</x:v>
      </x:c>
      <x:c r="D6322" s="274" t="n">
        <x:v>42</x:v>
      </x:c>
      <x:c r="E6322" s="274" t="n">
        <x:v>40</x:v>
      </x:c>
      <x:c r="F6322" s="274" t="s">
        <x:v>333</x:v>
      </x:c>
      <x:c r="G6322" s="274" t="s">
        <x:v>209</x:v>
      </x:c>
      <x:c r="I6322" s="274" t="n">
        <x:v>1.2</x:v>
      </x:c>
      <x:c r="J6322" s="274" t="n">
        <x:v>1250</x:v>
      </x:c>
      <x:c r="K6322" s="274" t="n">
        <x:v>334</x:v>
      </x:c>
      <x:c r="M6322" s="274" t="s">
        <x:v>10538</x:v>
      </x:c>
      <x:c r="N6322" s="274" t="s">
        <x:v>3671</x:v>
      </x:c>
    </x:row>
    <x:row r="6323" spans="1:14">
      <x:c r="A6323" s="274" t="s">
        <x:v>10539</x:v>
      </x:c>
      <x:c r="B6323" s="274" t="n">
        <x:v>24.98</x:v>
      </x:c>
      <x:c r="C6323" s="274" t="n">
        <x:v>0</x:v>
      </x:c>
      <x:c r="D6323" s="274" t="n">
        <x:v>0</x:v>
      </x:c>
      <x:c r="F6323" s="274" t="s">
        <x:v>133</x:v>
      </x:c>
      <x:c r="G6323" s="274" t="s">
        <x:v>148</x:v>
      </x:c>
      <x:c r="I6323" s="274" t="n">
        <x:v>2.6</x:v>
      </x:c>
      <x:c r="J6323" s="274" t="n">
        <x:v>1020</x:v>
      </x:c>
      <x:c r="K6323" s="274" t="n">
        <x:v>1200</x:v>
      </x:c>
      <x:c r="M6323" s="274" t="s">
        <x:v>7221</x:v>
      </x:c>
      <x:c r="N6323" s="274" t="s">
        <x:v>3671</x:v>
      </x:c>
    </x:row>
    <x:row r="6324" spans="1:14">
      <x:c r="A6324" s="274" t="s">
        <x:v>10540</x:v>
      </x:c>
      <x:c r="B6324" s="274" t="n">
        <x:v>13.68</x:v>
      </x:c>
      <x:c r="C6324" s="274" t="n">
        <x:v>0</x:v>
      </x:c>
      <x:c r="D6324" s="274" t="n">
        <x:v>0</x:v>
      </x:c>
      <x:c r="F6324" s="274" t="s">
        <x:v>128</x:v>
      </x:c>
      <x:c r="G6324" s="274" t="s">
        <x:v>177</x:v>
      </x:c>
      <x:c r="H6324" s="274" t="n">
        <x:v>45</x:v>
      </x:c>
      <x:c r="I6324" s="274" t="n">
        <x:v>2.6</x:v>
      </x:c>
      <x:c r="J6324" s="274" t="n">
        <x:v>825</x:v>
      </x:c>
      <x:c r="K6324" s="274" t="n">
        <x:v>809</x:v>
      </x:c>
      <x:c r="M6324" s="274" t="s">
        <x:v>6067</x:v>
      </x:c>
      <x:c r="N6324" s="274" t="s">
        <x:v>3671</x:v>
      </x:c>
    </x:row>
    <x:row r="6325" spans="1:14">
      <x:c r="A6325" s="274" t="s">
        <x:v>10541</x:v>
      </x:c>
      <x:c r="B6325" s="274" t="n">
        <x:v>14.26</x:v>
      </x:c>
      <x:c r="C6325" s="274" t="n">
        <x:v>0</x:v>
      </x:c>
      <x:c r="D6325" s="274" t="n">
        <x:v>0</x:v>
      </x:c>
      <x:c r="F6325" s="274" t="s">
        <x:v>128</x:v>
      </x:c>
      <x:c r="G6325" s="274" t="s">
        <x:v>177</x:v>
      </x:c>
      <x:c r="H6325" s="274" t="n">
        <x:v>45</x:v>
      </x:c>
      <x:c r="I6325" s="274" t="n">
        <x:v>2.6</x:v>
      </x:c>
      <x:c r="J6325" s="274" t="n">
        <x:v>825</x:v>
      </x:c>
      <x:c r="K6325" s="274" t="n">
        <x:v>843</x:v>
      </x:c>
      <x:c r="M6325" s="274" t="s">
        <x:v>6067</x:v>
      </x:c>
      <x:c r="N6325" s="274" t="s">
        <x:v>3671</x:v>
      </x:c>
    </x:row>
    <x:row r="6326" spans="1:14">
      <x:c r="A6326" s="274" t="s">
        <x:v>10542</x:v>
      </x:c>
      <x:c r="B6326" s="274" t="n">
        <x:v>5.62</x:v>
      </x:c>
      <x:c r="C6326" s="274" t="n">
        <x:v>0</x:v>
      </x:c>
      <x:c r="D6326" s="274" t="n">
        <x:v>0</x:v>
      </x:c>
      <x:c r="F6326" s="274" t="s">
        <x:v>128</x:v>
      </x:c>
      <x:c r="G6326" s="274" t="s">
        <x:v>177</x:v>
      </x:c>
      <x:c r="H6326" s="274" t="n">
        <x:v>45</x:v>
      </x:c>
      <x:c r="I6326" s="274" t="n">
        <x:v>2</x:v>
      </x:c>
      <x:c r="J6326" s="274" t="n">
        <x:v>925</x:v>
      </x:c>
      <x:c r="K6326" s="274" t="n">
        <x:v>385</x:v>
      </x:c>
      <x:c r="M6326" s="274" t="s">
        <x:v>4395</x:v>
      </x:c>
      <x:c r="N6326" s="274" t="s">
        <x:v>3671</x:v>
      </x:c>
    </x:row>
    <x:row r="6327" spans="1:14">
      <x:c r="A6327" s="274" t="s">
        <x:v>10543</x:v>
      </x:c>
      <x:c r="B6327" s="274" t="n">
        <x:v>5.02</x:v>
      </x:c>
      <x:c r="C6327" s="274" t="n">
        <x:v>0</x:v>
      </x:c>
      <x:c r="D6327" s="274" t="n">
        <x:v>0</x:v>
      </x:c>
      <x:c r="F6327" s="274" t="s">
        <x:v>128</x:v>
      </x:c>
      <x:c r="G6327" s="274" t="s">
        <x:v>177</x:v>
      </x:c>
      <x:c r="H6327" s="274" t="n">
        <x:v>45</x:v>
      </x:c>
      <x:c r="I6327" s="274" t="n">
        <x:v>2</x:v>
      </x:c>
      <x:c r="J6327" s="274" t="n">
        <x:v>925</x:v>
      </x:c>
      <x:c r="K6327" s="274" t="n">
        <x:v>344</x:v>
      </x:c>
      <x:c r="M6327" s="274" t="s">
        <x:v>4397</x:v>
      </x:c>
      <x:c r="N6327" s="274" t="s">
        <x:v>3671</x:v>
      </x:c>
    </x:row>
    <x:row r="6328" spans="1:14">
      <x:c r="A6328" s="274" t="s">
        <x:v>10544</x:v>
      </x:c>
      <x:c r="B6328" s="274" t="n">
        <x:v>5.67</x:v>
      </x:c>
      <x:c r="C6328" s="274" t="n">
        <x:v>0</x:v>
      </x:c>
      <x:c r="D6328" s="274" t="n">
        <x:v>0</x:v>
      </x:c>
      <x:c r="F6328" s="274" t="s">
        <x:v>128</x:v>
      </x:c>
      <x:c r="G6328" s="274" t="s">
        <x:v>177</x:v>
      </x:c>
      <x:c r="H6328" s="274" t="n">
        <x:v>45</x:v>
      </x:c>
      <x:c r="I6328" s="274" t="n">
        <x:v>2</x:v>
      </x:c>
      <x:c r="J6328" s="274" t="n">
        <x:v>925</x:v>
      </x:c>
      <x:c r="K6328" s="274" t="n">
        <x:v>388</x:v>
      </x:c>
      <x:c r="M6328" s="274" t="s">
        <x:v>4397</x:v>
      </x:c>
      <x:c r="N6328" s="274" t="s">
        <x:v>3671</x:v>
      </x:c>
    </x:row>
    <x:row r="6329" spans="1:14">
      <x:c r="A6329" s="274" t="s">
        <x:v>10545</x:v>
      </x:c>
      <x:c r="B6329" s="274" t="n">
        <x:v>3.02</x:v>
      </x:c>
      <x:c r="C6329" s="274" t="n">
        <x:v>0</x:v>
      </x:c>
      <x:c r="D6329" s="274" t="n">
        <x:v>42</x:v>
      </x:c>
      <x:c r="E6329" s="274" t="n">
        <x:v>40</x:v>
      </x:c>
      <x:c r="F6329" s="274" t="s">
        <x:v>333</x:v>
      </x:c>
      <x:c r="G6329" s="274" t="s">
        <x:v>153</x:v>
      </x:c>
      <x:c r="I6329" s="274" t="n">
        <x:v>1.4</x:v>
      </x:c>
      <x:c r="J6329" s="274" t="n">
        <x:v>810</x:v>
      </x:c>
      <x:c r="K6329" s="274" t="n">
        <x:v>339</x:v>
      </x:c>
      <x:c r="M6329" s="274" t="s">
        <x:v>10546</x:v>
      </x:c>
      <x:c r="N6329" s="274" t="s">
        <x:v>3671</x:v>
      </x:c>
    </x:row>
    <x:row r="6330" spans="1:14">
      <x:c r="A6330" s="274" t="s">
        <x:v>10547</x:v>
      </x:c>
      <x:c r="B6330" s="274" t="n">
        <x:v>3.54</x:v>
      </x:c>
      <x:c r="C6330" s="274" t="n">
        <x:v>0</x:v>
      </x:c>
      <x:c r="D6330" s="274" t="n">
        <x:v>42</x:v>
      </x:c>
      <x:c r="E6330" s="274" t="n">
        <x:v>40</x:v>
      </x:c>
      <x:c r="F6330" s="274" t="s">
        <x:v>333</x:v>
      </x:c>
      <x:c r="G6330" s="274" t="s">
        <x:v>153</x:v>
      </x:c>
      <x:c r="I6330" s="274" t="n">
        <x:v>1.4</x:v>
      </x:c>
      <x:c r="J6330" s="274" t="n">
        <x:v>810</x:v>
      </x:c>
      <x:c r="K6330" s="274" t="n">
        <x:v>398</x:v>
      </x:c>
      <x:c r="M6330" s="274" t="s">
        <x:v>10548</x:v>
      </x:c>
      <x:c r="N6330" s="274" t="s">
        <x:v>3671</x:v>
      </x:c>
    </x:row>
    <x:row r="6331" spans="1:14">
      <x:c r="A6331" s="274" t="s">
        <x:v>10549</x:v>
      </x:c>
      <x:c r="B6331" s="274" t="n">
        <x:v>3.61</x:v>
      </x:c>
      <x:c r="C6331" s="274" t="n">
        <x:v>0</x:v>
      </x:c>
      <x:c r="D6331" s="274" t="n">
        <x:v>42</x:v>
      </x:c>
      <x:c r="E6331" s="274" t="n">
        <x:v>40</x:v>
      </x:c>
      <x:c r="F6331" s="274" t="s">
        <x:v>133</x:v>
      </x:c>
      <x:c r="G6331" s="274" t="s">
        <x:v>144</x:v>
      </x:c>
      <x:c r="H6331" s="274" t="n">
        <x:v>45</x:v>
      </x:c>
      <x:c r="I6331" s="274" t="n">
        <x:v>1.4</x:v>
      </x:c>
      <x:c r="J6331" s="274" t="n">
        <x:v>890</x:v>
      </x:c>
      <x:c r="K6331" s="274" t="n">
        <x:v>366</x:v>
      </x:c>
      <x:c r="M6331" s="274" t="s">
        <x:v>10550</x:v>
      </x:c>
      <x:c r="N6331" s="274" t="s">
        <x:v>3671</x:v>
      </x:c>
    </x:row>
    <x:row r="6332" spans="1:14">
      <x:c r="A6332" s="274" t="s">
        <x:v>10551</x:v>
      </x:c>
      <x:c r="B6332" s="274" t="n">
        <x:v>4.26</x:v>
      </x:c>
      <x:c r="C6332" s="274" t="n">
        <x:v>0</x:v>
      </x:c>
      <x:c r="D6332" s="274" t="n">
        <x:v>42</x:v>
      </x:c>
      <x:c r="E6332" s="274" t="n">
        <x:v>40</x:v>
      </x:c>
      <x:c r="F6332" s="274" t="s">
        <x:v>333</x:v>
      </x:c>
      <x:c r="G6332" s="274" t="s">
        <x:v>124</x:v>
      </x:c>
      <x:c r="I6332" s="274" t="n">
        <x:v>1.4</x:v>
      </x:c>
      <x:c r="J6332" s="274" t="n">
        <x:v>970</x:v>
      </x:c>
      <x:c r="K6332" s="274" t="n">
        <x:v>400</x:v>
      </x:c>
      <x:c r="M6332" s="274" t="s">
        <x:v>10552</x:v>
      </x:c>
      <x:c r="N6332" s="274" t="s">
        <x:v>3671</x:v>
      </x:c>
    </x:row>
    <x:row r="6333" spans="1:14">
      <x:c r="A6333" s="274" t="s">
        <x:v>10553</x:v>
      </x:c>
      <x:c r="B6333" s="274" t="n">
        <x:v>4.52</x:v>
      </x:c>
      <x:c r="C6333" s="274" t="n">
        <x:v>0</x:v>
      </x:c>
      <x:c r="D6333" s="274" t="n">
        <x:v>42</x:v>
      </x:c>
      <x:c r="E6333" s="274" t="n">
        <x:v>40</x:v>
      </x:c>
      <x:c r="F6333" s="274" t="s">
        <x:v>123</x:v>
      </x:c>
      <x:c r="G6333" s="274" t="s">
        <x:v>129</x:v>
      </x:c>
      <x:c r="H6333" s="274" t="n">
        <x:v>45</x:v>
      </x:c>
      <x:c r="I6333" s="274" t="n">
        <x:v>1.4</x:v>
      </x:c>
      <x:c r="J6333" s="274" t="n">
        <x:v>1040</x:v>
      </x:c>
      <x:c r="K6333" s="274" t="n">
        <x:v>392</x:v>
      </x:c>
      <x:c r="M6333" s="274" t="s">
        <x:v>10554</x:v>
      </x:c>
      <x:c r="N6333" s="274" t="s">
        <x:v>3671</x:v>
      </x:c>
    </x:row>
    <x:row r="6334" spans="1:14">
      <x:c r="A6334" s="274" t="s">
        <x:v>10555</x:v>
      </x:c>
      <x:c r="B6334" s="274" t="n">
        <x:v>4.27</x:v>
      </x:c>
      <x:c r="C6334" s="274" t="n">
        <x:v>0</x:v>
      </x:c>
      <x:c r="D6334" s="274" t="n">
        <x:v>42</x:v>
      </x:c>
      <x:c r="E6334" s="274" t="n">
        <x:v>40</x:v>
      </x:c>
      <x:c r="F6334" s="274" t="s">
        <x:v>333</x:v>
      </x:c>
      <x:c r="G6334" s="274" t="s">
        <x:v>209</x:v>
      </x:c>
      <x:c r="I6334" s="274" t="n">
        <x:v>1.4</x:v>
      </x:c>
      <x:c r="J6334" s="274" t="n">
        <x:v>1065</x:v>
      </x:c>
      <x:c r="K6334" s="274" t="n">
        <x:v>365</x:v>
      </x:c>
      <x:c r="M6334" s="274" t="s">
        <x:v>10556</x:v>
      </x:c>
      <x:c r="N6334" s="274" t="s">
        <x:v>3671</x:v>
      </x:c>
    </x:row>
    <x:row r="6335" spans="1:14">
      <x:c r="A6335" s="274" t="s">
        <x:v>10557</x:v>
      </x:c>
      <x:c r="B6335" s="274" t="n">
        <x:v>1.76</x:v>
      </x:c>
      <x:c r="C6335" s="274" t="n">
        <x:v>0</x:v>
      </x:c>
      <x:c r="D6335" s="274" t="n">
        <x:v>45</x:v>
      </x:c>
      <x:c r="E6335" s="274" t="n">
        <x:v>40</x:v>
      </x:c>
      <x:c r="F6335" s="274" t="s">
        <x:v>133</x:v>
      </x:c>
      <x:c r="G6335" s="274" t="s">
        <x:v>136</x:v>
      </x:c>
      <x:c r="H6335" s="274" t="n">
        <x:v>45</x:v>
      </x:c>
      <x:c r="I6335" s="274" t="n">
        <x:v>0.6</x:v>
      </x:c>
      <x:c r="J6335" s="274" t="n">
        <x:v>1225</x:v>
      </x:c>
      <x:c r="K6335" s="274" t="n">
        <x:v>300</x:v>
      </x:c>
      <x:c r="M6335" s="274" t="s">
        <x:v>888</x:v>
      </x:c>
      <x:c r="N6335" s="274" t="s">
        <x:v>155</x:v>
      </x:c>
    </x:row>
    <x:row r="6336" spans="1:14">
      <x:c r="A6336" s="274" t="s">
        <x:v>10558</x:v>
      </x:c>
      <x:c r="B6336" s="274" t="n">
        <x:v>4.02</x:v>
      </x:c>
      <x:c r="C6336" s="274" t="n">
        <x:v>0</x:v>
      </x:c>
      <x:c r="D6336" s="274" t="n">
        <x:v>45</x:v>
      </x:c>
      <x:c r="E6336" s="274" t="n">
        <x:v>40</x:v>
      </x:c>
      <x:c r="F6336" s="274" t="s">
        <x:v>333</x:v>
      </x:c>
      <x:c r="G6336" s="274" t="s">
        <x:v>4796</x:v>
      </x:c>
      <x:c r="I6336" s="274" t="n">
        <x:v>1.2</x:v>
      </x:c>
      <x:c r="J6336" s="274" t="n">
        <x:v>1095</x:v>
      </x:c>
      <x:c r="K6336" s="274" t="n">
        <x:v>390</x:v>
      </x:c>
      <x:c r="M6336" s="274" t="s">
        <x:v>5669</x:v>
      </x:c>
      <x:c r="N6336" s="274" t="s">
        <x:v>4258</x:v>
      </x:c>
    </x:row>
    <x:row r="6337" spans="1:14">
      <x:c r="A6337" s="274" t="s">
        <x:v>10559</x:v>
      </x:c>
      <x:c r="B6337" s="274" t="n">
        <x:v>4.13</x:v>
      </x:c>
      <x:c r="C6337" s="274" t="n">
        <x:v>0</x:v>
      </x:c>
      <x:c r="D6337" s="274" t="n">
        <x:v>45</x:v>
      </x:c>
      <x:c r="E6337" s="274" t="n">
        <x:v>40</x:v>
      </x:c>
      <x:c r="F6337" s="274" t="s">
        <x:v>333</x:v>
      </x:c>
      <x:c r="G6337" s="274" t="s">
        <x:v>4796</x:v>
      </x:c>
      <x:c r="I6337" s="274" t="n">
        <x:v>1.2</x:v>
      </x:c>
      <x:c r="J6337" s="274" t="n">
        <x:v>1095</x:v>
      </x:c>
      <x:c r="K6337" s="274" t="n">
        <x:v>400</x:v>
      </x:c>
      <x:c r="M6337" s="274" t="s">
        <x:v>5567</x:v>
      </x:c>
      <x:c r="N6337" s="274" t="s">
        <x:v>4258</x:v>
      </x:c>
    </x:row>
    <x:row r="6338" spans="1:14">
      <x:c r="A6338" s="274" t="s">
        <x:v>10560</x:v>
      </x:c>
      <x:c r="B6338" s="274" t="n">
        <x:v>9.14</x:v>
      </x:c>
      <x:c r="C6338" s="274" t="n">
        <x:v>0</x:v>
      </x:c>
      <x:c r="D6338" s="274" t="n">
        <x:v>40</x:v>
      </x:c>
      <x:c r="E6338" s="274" t="n">
        <x:v>40</x:v>
      </x:c>
      <x:c r="F6338" s="274" t="s">
        <x:v>123</x:v>
      </x:c>
      <x:c r="G6338" s="274" t="s">
        <x:v>4256</x:v>
      </x:c>
      <x:c r="I6338" s="274" t="n">
        <x:v>2.3</x:v>
      </x:c>
      <x:c r="J6338" s="274" t="n">
        <x:v>1135</x:v>
      </x:c>
      <x:c r="K6338" s="274" t="n">
        <x:v>446</x:v>
      </x:c>
      <x:c r="N6338" s="274" t="s">
        <x:v>4258</x:v>
      </x:c>
    </x:row>
    <x:row r="6339" spans="1:14">
      <x:c r="A6339" s="274" t="s">
        <x:v>10561</x:v>
      </x:c>
      <x:c r="B6339" s="274" t="n">
        <x:v>12.17</x:v>
      </x:c>
      <x:c r="C6339" s="274" t="n">
        <x:v>0</x:v>
      </x:c>
      <x:c r="D6339" s="274" t="n">
        <x:v>35</x:v>
      </x:c>
      <x:c r="E6339" s="274" t="n">
        <x:v>30</x:v>
      </x:c>
      <x:c r="F6339" s="274" t="s">
        <x:v>333</x:v>
      </x:c>
      <x:c r="G6339" s="274" t="s">
        <x:v>4796</x:v>
      </x:c>
      <x:c r="I6339" s="274" t="n">
        <x:v>1</x:v>
      </x:c>
      <x:c r="J6339" s="274" t="n">
        <x:v>1153</x:v>
      </x:c>
      <x:c r="K6339" s="274" t="n">
        <x:v>1344</x:v>
      </x:c>
      <x:c r="N6339" s="274" t="s">
        <x:v>4258</x:v>
      </x:c>
    </x:row>
    <x:row r="6340" spans="1:14">
      <x:c r="A6340" s="274" t="s">
        <x:v>10562</x:v>
      </x:c>
      <x:c r="B6340" s="274" t="n">
        <x:v>9.51</x:v>
      </x:c>
      <x:c r="C6340" s="274" t="n">
        <x:v>0</x:v>
      </x:c>
      <x:c r="D6340" s="274" t="n">
        <x:v>40</x:v>
      </x:c>
      <x:c r="E6340" s="274" t="n">
        <x:v>40</x:v>
      </x:c>
      <x:c r="F6340" s="274" t="s">
        <x:v>123</x:v>
      </x:c>
      <x:c r="G6340" s="274" t="s">
        <x:v>4256</x:v>
      </x:c>
      <x:c r="I6340" s="274" t="n">
        <x:v>2.3</x:v>
      </x:c>
      <x:c r="J6340" s="274" t="n">
        <x:v>1135</x:v>
      </x:c>
      <x:c r="K6340" s="274" t="n">
        <x:v>464</x:v>
      </x:c>
      <x:c r="N6340" s="274" t="s">
        <x:v>4258</x:v>
      </x:c>
    </x:row>
    <x:row r="6341" spans="1:14">
      <x:c r="A6341" s="274" t="s">
        <x:v>10563</x:v>
      </x:c>
      <x:c r="B6341" s="274" t="n">
        <x:v>3.89</x:v>
      </x:c>
      <x:c r="C6341" s="274" t="n">
        <x:v>0</x:v>
      </x:c>
      <x:c r="D6341" s="274" t="n">
        <x:v>45</x:v>
      </x:c>
      <x:c r="E6341" s="274" t="n">
        <x:v>40</x:v>
      </x:c>
      <x:c r="F6341" s="274" t="s">
        <x:v>123</x:v>
      </x:c>
      <x:c r="G6341" s="274" t="s">
        <x:v>4256</x:v>
      </x:c>
      <x:c r="I6341" s="274" t="n">
        <x:v>1</x:v>
      </x:c>
      <x:c r="J6341" s="274" t="n">
        <x:v>1180</x:v>
      </x:c>
      <x:c r="K6341" s="274" t="n">
        <x:v>420</x:v>
      </x:c>
      <x:c r="N6341" s="274" t="s">
        <x:v>4258</x:v>
      </x:c>
    </x:row>
    <x:row r="6342" spans="1:14">
      <x:c r="A6342" s="274" t="s">
        <x:v>10564</x:v>
      </x:c>
      <x:c r="B6342" s="274" t="n">
        <x:v>3.95</x:v>
      </x:c>
      <x:c r="C6342" s="274" t="n">
        <x:v>0</x:v>
      </x:c>
      <x:c r="D6342" s="274" t="n">
        <x:v>45</x:v>
      </x:c>
      <x:c r="E6342" s="274" t="n">
        <x:v>40</x:v>
      </x:c>
      <x:c r="F6342" s="274" t="s">
        <x:v>133</x:v>
      </x:c>
      <x:c r="G6342" s="274" t="s">
        <x:v>4642</x:v>
      </x:c>
      <x:c r="H6342" s="274" t="s">
        <x:v>4471</x:v>
      </x:c>
      <x:c r="I6342" s="274" t="n">
        <x:v>1</x:v>
      </x:c>
      <x:c r="J6342" s="274" t="n">
        <x:v>1200</x:v>
      </x:c>
      <x:c r="K6342" s="274" t="n">
        <x:v>415</x:v>
      </x:c>
      <x:c r="N6342" s="274" t="s">
        <x:v>4258</x:v>
      </x:c>
    </x:row>
    <x:row r="6343" spans="1:14">
      <x:c r="A6343" s="274" t="s">
        <x:v>10565</x:v>
      </x:c>
      <x:c r="B6343" s="274" t="n">
        <x:v>3.05</x:v>
      </x:c>
      <x:c r="C6343" s="274" t="n">
        <x:v>0</x:v>
      </x:c>
      <x:c r="D6343" s="274" t="n">
        <x:v>45</x:v>
      </x:c>
      <x:c r="E6343" s="274" t="n">
        <x:v>40</x:v>
      </x:c>
      <x:c r="F6343" s="274" t="s">
        <x:v>333</x:v>
      </x:c>
      <x:c r="G6343" s="274" t="s">
        <x:v>153</x:v>
      </x:c>
      <x:c r="I6343" s="274" t="n">
        <x:v>1</x:v>
      </x:c>
      <x:c r="J6343" s="274" t="n">
        <x:v>985</x:v>
      </x:c>
      <x:c r="K6343" s="274" t="n">
        <x:v>394</x:v>
      </x:c>
      <x:c r="M6343" s="274" t="s">
        <x:v>7267</x:v>
      </x:c>
      <x:c r="N6343" s="274" t="s">
        <x:v>5222</x:v>
      </x:c>
    </x:row>
    <x:row r="6344" spans="1:14">
      <x:c r="A6344" s="274" t="s">
        <x:v>10566</x:v>
      </x:c>
      <x:c r="B6344" s="274" t="n">
        <x:v>5.9</x:v>
      </x:c>
      <x:c r="C6344" s="274" t="n">
        <x:v>0</x:v>
      </x:c>
      <x:c r="D6344" s="274" t="n">
        <x:v>42</x:v>
      </x:c>
      <x:c r="E6344" s="274" t="n">
        <x:v>40</x:v>
      </x:c>
      <x:c r="F6344" s="274" t="s">
        <x:v>333</x:v>
      </x:c>
      <x:c r="G6344" s="274" t="s">
        <x:v>209</x:v>
      </x:c>
      <x:c r="I6344" s="274" t="n">
        <x:v>1.4</x:v>
      </x:c>
      <x:c r="J6344" s="274" t="n">
        <x:v>1065</x:v>
      </x:c>
      <x:c r="K6344" s="274" t="n">
        <x:v>504</x:v>
      </x:c>
      <x:c r="M6344" s="274" t="s">
        <x:v>10567</x:v>
      </x:c>
      <x:c r="N6344" s="274" t="s">
        <x:v>3671</x:v>
      </x:c>
    </x:row>
    <x:row r="6345" spans="1:14">
      <x:c r="A6345" s="274" t="s">
        <x:v>10568</x:v>
      </x:c>
      <x:c r="B6345" s="274" t="n">
        <x:v>5.16</x:v>
      </x:c>
      <x:c r="C6345" s="274" t="n">
        <x:v>0</x:v>
      </x:c>
      <x:c r="D6345" s="274" t="n">
        <x:v>42</x:v>
      </x:c>
      <x:c r="E6345" s="274" t="n">
        <x:v>40</x:v>
      </x:c>
      <x:c r="F6345" s="274" t="s">
        <x:v>123</x:v>
      </x:c>
      <x:c r="G6345" s="274" t="s">
        <x:v>148</x:v>
      </x:c>
      <x:c r="I6345" s="274" t="n">
        <x:v>1.6</x:v>
      </x:c>
      <x:c r="J6345" s="274" t="n">
        <x:v>1110</x:v>
      </x:c>
      <x:c r="K6345" s="274" t="n">
        <x:v>370</x:v>
      </x:c>
      <x:c r="M6345" s="274" t="s">
        <x:v>7275</x:v>
      </x:c>
      <x:c r="N6345" s="274" t="s">
        <x:v>3671</x:v>
      </x:c>
    </x:row>
    <x:row r="6346" spans="1:14">
      <x:c r="A6346" s="274" t="s">
        <x:v>10569</x:v>
      </x:c>
      <x:c r="B6346" s="274" t="n">
        <x:v>7.54</x:v>
      </x:c>
      <x:c r="C6346" s="274" t="n">
        <x:v>0</x:v>
      </x:c>
      <x:c r="D6346" s="274" t="n">
        <x:v>40</x:v>
      </x:c>
      <x:c r="E6346" s="274" t="n">
        <x:v>40</x:v>
      </x:c>
      <x:c r="F6346" s="274" t="s">
        <x:v>333</x:v>
      </x:c>
      <x:c r="G6346" s="274" t="s">
        <x:v>153</x:v>
      </x:c>
      <x:c r="I6346" s="274" t="n">
        <x:v>1.6</x:v>
      </x:c>
      <x:c r="J6346" s="274" t="n">
        <x:v>1310</x:v>
      </x:c>
      <x:c r="K6346" s="274" t="n">
        <x:v>458</x:v>
      </x:c>
      <x:c r="M6346" s="274" t="s">
        <x:v>10570</x:v>
      </x:c>
      <x:c r="N6346" s="274" t="s">
        <x:v>3671</x:v>
      </x:c>
    </x:row>
    <x:row r="6347" spans="1:14">
      <x:c r="A6347" s="274" t="s">
        <x:v>10571</x:v>
      </x:c>
      <x:c r="B6347" s="274" t="n">
        <x:v>4.86</x:v>
      </x:c>
      <x:c r="C6347" s="274" t="n">
        <x:v>0</x:v>
      </x:c>
      <x:c r="D6347" s="274" t="n">
        <x:v>0</x:v>
      </x:c>
      <x:c r="F6347" s="274" t="s">
        <x:v>123</x:v>
      </x:c>
      <x:c r="G6347" s="274" t="s">
        <x:v>148</x:v>
      </x:c>
      <x:c r="I6347" s="274" t="n">
        <x:v>1.8</x:v>
      </x:c>
      <x:c r="J6347" s="274" t="n">
        <x:v>1075</x:v>
      </x:c>
      <x:c r="K6347" s="274" t="n">
        <x:v>320</x:v>
      </x:c>
      <x:c r="M6347" s="274" t="s">
        <x:v>7304</x:v>
      </x:c>
      <x:c r="N6347" s="274" t="s">
        <x:v>3671</x:v>
      </x:c>
    </x:row>
    <x:row r="6348" spans="1:14">
      <x:c r="A6348" s="274" t="s">
        <x:v>10572</x:v>
      </x:c>
      <x:c r="B6348" s="274" t="n">
        <x:v>6.38</x:v>
      </x:c>
      <x:c r="C6348" s="274" t="n">
        <x:v>0</x:v>
      </x:c>
      <x:c r="D6348" s="274" t="n">
        <x:v>0</x:v>
      </x:c>
      <x:c r="F6348" s="274" t="s">
        <x:v>123</x:v>
      </x:c>
      <x:c r="G6348" s="274" t="s">
        <x:v>148</x:v>
      </x:c>
      <x:c r="I6348" s="274" t="n">
        <x:v>1.8</x:v>
      </x:c>
      <x:c r="J6348" s="274" t="n">
        <x:v>1075</x:v>
      </x:c>
      <x:c r="K6348" s="274" t="n">
        <x:v>420</x:v>
      </x:c>
      <x:c r="M6348" s="274" t="s">
        <x:v>7306</x:v>
      </x:c>
      <x:c r="N6348" s="274" t="s">
        <x:v>3671</x:v>
      </x:c>
    </x:row>
    <x:row r="6349" spans="1:14">
      <x:c r="A6349" s="274" t="s">
        <x:v>10573</x:v>
      </x:c>
      <x:c r="B6349" s="274" t="n">
        <x:v>8.96</x:v>
      </x:c>
      <x:c r="C6349" s="274" t="n">
        <x:v>0</x:v>
      </x:c>
      <x:c r="D6349" s="274" t="n">
        <x:v>0</x:v>
      </x:c>
      <x:c r="F6349" s="274" t="s">
        <x:v>123</x:v>
      </x:c>
      <x:c r="G6349" s="274" t="s">
        <x:v>148</x:v>
      </x:c>
      <x:c r="I6349" s="274" t="n">
        <x:v>1.8</x:v>
      </x:c>
      <x:c r="J6349" s="274" t="n">
        <x:v>1075</x:v>
      </x:c>
      <x:c r="K6349" s="274" t="n">
        <x:v>590</x:v>
      </x:c>
      <x:c r="M6349" s="274" t="s">
        <x:v>4649</x:v>
      </x:c>
      <x:c r="N6349" s="274" t="s">
        <x:v>3671</x:v>
      </x:c>
    </x:row>
    <x:row r="6350" spans="1:14">
      <x:c r="A6350" s="274" t="s">
        <x:v>10574</x:v>
      </x:c>
      <x:c r="B6350" s="274" t="n">
        <x:v>6.17</x:v>
      </x:c>
      <x:c r="C6350" s="274" t="n">
        <x:v>0</x:v>
      </x:c>
      <x:c r="D6350" s="274" t="n">
        <x:v>0</x:v>
      </x:c>
      <x:c r="F6350" s="274" t="s">
        <x:v>123</x:v>
      </x:c>
      <x:c r="G6350" s="274" t="s">
        <x:v>148</x:v>
      </x:c>
      <x:c r="I6350" s="274" t="n">
        <x:v>1.8</x:v>
      </x:c>
      <x:c r="J6350" s="274" t="n">
        <x:v>1075</x:v>
      </x:c>
      <x:c r="K6350" s="274" t="n">
        <x:v>406</x:v>
      </x:c>
      <x:c r="M6350" s="274" t="s">
        <x:v>7309</x:v>
      </x:c>
    </x:row>
    <x:row r="6351" spans="1:14">
      <x:c r="A6351" s="274" t="s">
        <x:v>10575</x:v>
      </x:c>
      <x:c r="B6351" s="274" t="n">
        <x:v>6.08</x:v>
      </x:c>
      <x:c r="C6351" s="274" t="n">
        <x:v>0</x:v>
      </x:c>
      <x:c r="D6351" s="274" t="n">
        <x:v>45</x:v>
      </x:c>
      <x:c r="E6351" s="274" t="n">
        <x:v>40</x:v>
      </x:c>
      <x:c r="F6351" s="274" t="s">
        <x:v>333</x:v>
      </x:c>
      <x:c r="G6351" s="274" t="s">
        <x:v>2468</x:v>
      </x:c>
      <x:c r="I6351" s="274" t="n">
        <x:v>1.2</x:v>
      </x:c>
      <x:c r="J6351" s="274" t="n">
        <x:v>1075</x:v>
      </x:c>
      <x:c r="K6351" s="274" t="n">
        <x:v>600</x:v>
      </x:c>
      <x:c r="M6351" s="274" t="s">
        <x:v>10576</x:v>
      </x:c>
      <x:c r="N6351" s="274" t="s">
        <x:v>3984</x:v>
      </x:c>
    </x:row>
    <x:row r="6352" spans="1:14">
      <x:c r="A6352" s="274" t="s">
        <x:v>10577</x:v>
      </x:c>
      <x:c r="B6352" s="274" t="n">
        <x:v>11.65</x:v>
      </x:c>
      <x:c r="C6352" s="274" t="n">
        <x:v>0</x:v>
      </x:c>
      <x:c r="D6352" s="274" t="n">
        <x:v>0</x:v>
      </x:c>
      <x:c r="F6352" s="274" t="s">
        <x:v>333</x:v>
      </x:c>
      <x:c r="G6352" s="274" t="s">
        <x:v>4663</x:v>
      </x:c>
      <x:c r="I6352" s="274" t="n">
        <x:v>1.4</x:v>
      </x:c>
      <x:c r="J6352" s="274" t="n">
        <x:v>1205</x:v>
      </x:c>
      <x:c r="K6352" s="274" t="n">
        <x:v>880</x:v>
      </x:c>
      <x:c r="M6352" s="274" t="s">
        <x:v>7324</x:v>
      </x:c>
      <x:c r="N6352" s="274" t="s">
        <x:v>4258</x:v>
      </x:c>
    </x:row>
    <x:row r="6353" spans="1:14">
      <x:c r="A6353" s="274" t="s">
        <x:v>10578</x:v>
      </x:c>
      <x:c r="B6353" s="274" t="n">
        <x:v>6.34</x:v>
      </x:c>
      <x:c r="C6353" s="274" t="n">
        <x:v>0</x:v>
      </x:c>
      <x:c r="D6353" s="274" t="n">
        <x:v>24</x:v>
      </x:c>
      <x:c r="E6353" s="274" t="n">
        <x:v>22</x:v>
      </x:c>
      <x:c r="F6353" s="274" t="s">
        <x:v>133</x:v>
      </x:c>
      <x:c r="G6353" s="274" t="s">
        <x:v>148</x:v>
      </x:c>
      <x:c r="I6353" s="274" t="n">
        <x:v>3.2</x:v>
      </x:c>
      <x:c r="J6353" s="274" t="n">
        <x:v>212</x:v>
      </x:c>
      <x:c r="K6353" s="274" t="n">
        <x:v>1190</x:v>
      </x:c>
      <x:c r="M6353" s="274" t="s">
        <x:v>2598</x:v>
      </x:c>
      <x:c r="N6353" s="274" t="s">
        <x:v>299</x:v>
      </x:c>
    </x:row>
    <x:row r="6354" spans="1:14">
      <x:c r="A6354" s="274" t="s">
        <x:v>10579</x:v>
      </x:c>
      <x:c r="B6354" s="274" t="n">
        <x:v>14.85</x:v>
      </x:c>
      <x:c r="C6354" s="274" t="n">
        <x:v>0</x:v>
      </x:c>
      <x:c r="D6354" s="274" t="n">
        <x:v>0</x:v>
      </x:c>
      <x:c r="F6354" s="274" t="s">
        <x:v>184</x:v>
      </x:c>
      <x:c r="G6354" s="274" t="s">
        <x:v>4782</x:v>
      </x:c>
      <x:c r="H6354" s="274" t="s">
        <x:v>4471</x:v>
      </x:c>
      <x:c r="I6354" s="274" t="n">
        <x:v>2</x:v>
      </x:c>
      <x:c r="J6354" s="274" t="n">
        <x:v>1278</x:v>
      </x:c>
      <x:c r="K6354" s="274" t="n">
        <x:v>736</x:v>
      </x:c>
      <x:c r="M6354" s="274" t="s">
        <x:v>5338</x:v>
      </x:c>
      <x:c r="N6354" s="274" t="s">
        <x:v>4258</x:v>
      </x:c>
    </x:row>
    <x:row r="6355" spans="1:14">
      <x:c r="A6355" s="274" t="s">
        <x:v>10580</x:v>
      </x:c>
      <x:c r="B6355" s="274" t="n">
        <x:v>10.01</x:v>
      </x:c>
      <x:c r="C6355" s="274" t="n">
        <x:v>0</x:v>
      </x:c>
      <x:c r="D6355" s="274" t="n">
        <x:v>0</x:v>
      </x:c>
      <x:c r="F6355" s="274" t="s">
        <x:v>184</x:v>
      </x:c>
      <x:c r="G6355" s="274" t="s">
        <x:v>4782</x:v>
      </x:c>
      <x:c r="H6355" s="274" t="s">
        <x:v>4471</x:v>
      </x:c>
      <x:c r="I6355" s="274" t="n">
        <x:v>2</x:v>
      </x:c>
      <x:c r="J6355" s="274" t="n">
        <x:v>1278</x:v>
      </x:c>
      <x:c r="K6355" s="274" t="n">
        <x:v>496</x:v>
      </x:c>
      <x:c r="M6355" s="274" t="s">
        <x:v>4993</x:v>
      </x:c>
      <x:c r="N6355" s="274" t="s">
        <x:v>4258</x:v>
      </x:c>
    </x:row>
    <x:row r="6356" spans="1:14">
      <x:c r="A6356" s="274" t="s">
        <x:v>10581</x:v>
      </x:c>
      <x:c r="B6356" s="274" t="n">
        <x:v>9.69</x:v>
      </x:c>
      <x:c r="C6356" s="274" t="n">
        <x:v>0</x:v>
      </x:c>
      <x:c r="D6356" s="274" t="n">
        <x:v>0</x:v>
      </x:c>
      <x:c r="F6356" s="274" t="s">
        <x:v>184</x:v>
      </x:c>
      <x:c r="G6356" s="274" t="s">
        <x:v>4782</x:v>
      </x:c>
      <x:c r="H6356" s="274" t="s">
        <x:v>4471</x:v>
      </x:c>
      <x:c r="I6356" s="274" t="n">
        <x:v>2</x:v>
      </x:c>
      <x:c r="J6356" s="274" t="n">
        <x:v>1278</x:v>
      </x:c>
      <x:c r="K6356" s="274" t="n">
        <x:v>480</x:v>
      </x:c>
      <x:c r="M6356" s="274" t="s">
        <x:v>7335</x:v>
      </x:c>
      <x:c r="N6356" s="274" t="s">
        <x:v>4258</x:v>
      </x:c>
    </x:row>
    <x:row r="6357" spans="1:14">
      <x:c r="A6357" s="274" t="s">
        <x:v>10582</x:v>
      </x:c>
      <x:c r="B6357" s="274" t="n">
        <x:v>14.43</x:v>
      </x:c>
      <x:c r="C6357" s="274" t="n">
        <x:v>0</x:v>
      </x:c>
      <x:c r="D6357" s="274" t="n">
        <x:v>0</x:v>
      </x:c>
      <x:c r="F6357" s="274" t="s">
        <x:v>184</x:v>
      </x:c>
      <x:c r="G6357" s="274" t="s">
        <x:v>4782</x:v>
      </x:c>
      <x:c r="H6357" s="274" t="s">
        <x:v>4471</x:v>
      </x:c>
      <x:c r="I6357" s="274" t="n">
        <x:v>2</x:v>
      </x:c>
      <x:c r="J6357" s="274" t="n">
        <x:v>1278</x:v>
      </x:c>
      <x:c r="K6357" s="274" t="n">
        <x:v>715</x:v>
      </x:c>
      <x:c r="M6357" s="274" t="s">
        <x:v>7337</x:v>
      </x:c>
      <x:c r="N6357" s="274" t="s">
        <x:v>4258</x:v>
      </x:c>
    </x:row>
    <x:row r="6358" spans="1:14">
      <x:c r="A6358" s="274" t="s">
        <x:v>10583</x:v>
      </x:c>
      <x:c r="B6358" s="274" t="n">
        <x:v>11.5</x:v>
      </x:c>
      <x:c r="C6358" s="274" t="n">
        <x:v>0</x:v>
      </x:c>
      <x:c r="D6358" s="274" t="n">
        <x:v>0</x:v>
      </x:c>
      <x:c r="F6358" s="274" t="s">
        <x:v>184</x:v>
      </x:c>
      <x:c r="G6358" s="274" t="s">
        <x:v>4782</x:v>
      </x:c>
      <x:c r="H6358" s="274" t="s">
        <x:v>4471</x:v>
      </x:c>
      <x:c r="I6358" s="274" t="n">
        <x:v>2</x:v>
      </x:c>
      <x:c r="J6358" s="274" t="n">
        <x:v>1278</x:v>
      </x:c>
      <x:c r="K6358" s="274" t="n">
        <x:v>570</x:v>
      </x:c>
      <x:c r="M6358" s="274" t="s">
        <x:v>7339</x:v>
      </x:c>
      <x:c r="N6358" s="274" t="s">
        <x:v>4258</x:v>
      </x:c>
    </x:row>
    <x:row r="6359" spans="1:14">
      <x:c r="A6359" s="274" t="s">
        <x:v>10584</x:v>
      </x:c>
      <x:c r="B6359" s="274" t="n">
        <x:v>6.98</x:v>
      </x:c>
      <x:c r="C6359" s="274" t="n">
        <x:v>0</x:v>
      </x:c>
      <x:c r="D6359" s="274" t="n">
        <x:v>0</x:v>
      </x:c>
      <x:c r="F6359" s="274" t="s">
        <x:v>184</x:v>
      </x:c>
      <x:c r="G6359" s="274" t="s">
        <x:v>4782</x:v>
      </x:c>
      <x:c r="H6359" s="274" t="s">
        <x:v>4471</x:v>
      </x:c>
      <x:c r="I6359" s="274" t="n">
        <x:v>2</x:v>
      </x:c>
      <x:c r="J6359" s="274" t="n">
        <x:v>1278</x:v>
      </x:c>
      <x:c r="K6359" s="274" t="n">
        <x:v>346</x:v>
      </x:c>
      <x:c r="M6359" s="274" t="s">
        <x:v>4991</x:v>
      </x:c>
      <x:c r="N6359" s="274" t="s">
        <x:v>4258</x:v>
      </x:c>
    </x:row>
    <x:row r="6360" spans="1:14">
      <x:c r="A6360" s="274" t="s">
        <x:v>10585</x:v>
      </x:c>
      <x:c r="B6360" s="274" t="n">
        <x:v>13.39</x:v>
      </x:c>
      <x:c r="C6360" s="274" t="n">
        <x:v>0</x:v>
      </x:c>
      <x:c r="D6360" s="274" t="n">
        <x:v>0</x:v>
      </x:c>
      <x:c r="F6360" s="274" t="s">
        <x:v>333</x:v>
      </x:c>
      <x:c r="G6360" s="274" t="s">
        <x:v>4663</x:v>
      </x:c>
      <x:c r="I6360" s="274" t="n">
        <x:v>1.6</x:v>
      </x:c>
      <x:c r="J6360" s="274" t="n">
        <x:v>1300</x:v>
      </x:c>
      <x:c r="K6360" s="274" t="n">
        <x:v>820</x:v>
      </x:c>
      <x:c r="M6360" s="274" t="s">
        <x:v>4991</x:v>
      </x:c>
      <x:c r="N6360" s="274" t="s">
        <x:v>4258</x:v>
      </x:c>
    </x:row>
    <x:row r="6361" spans="1:14">
      <x:c r="A6361" s="274" t="s">
        <x:v>10586</x:v>
      </x:c>
      <x:c r="B6361" s="274" t="n">
        <x:v>4.45</x:v>
      </x:c>
      <x:c r="C6361" s="274" t="n">
        <x:v>0</x:v>
      </x:c>
      <x:c r="D6361" s="274" t="n">
        <x:v>0</x:v>
      </x:c>
      <x:c r="F6361" s="274" t="s">
        <x:v>133</x:v>
      </x:c>
      <x:c r="G6361" s="274" t="s">
        <x:v>4470</x:v>
      </x:c>
      <x:c r="H6361" s="274" t="s">
        <x:v>4471</x:v>
      </x:c>
      <x:c r="I6361" s="274" t="n">
        <x:v>1.2</x:v>
      </x:c>
      <x:c r="J6361" s="274" t="n">
        <x:v>1210</x:v>
      </x:c>
      <x:c r="K6361" s="274" t="n">
        <x:v>387</x:v>
      </x:c>
      <x:c r="M6361" s="274" t="s">
        <x:v>4759</x:v>
      </x:c>
      <x:c r="N6361" s="274" t="s">
        <x:v>4258</x:v>
      </x:c>
    </x:row>
    <x:row r="6362" spans="1:14">
      <x:c r="A6362" s="274" t="s">
        <x:v>10587</x:v>
      </x:c>
      <x:c r="B6362" s="274" t="n">
        <x:v>6.77</x:v>
      </x:c>
      <x:c r="C6362" s="274" t="n">
        <x:v>0</x:v>
      </x:c>
      <x:c r="D6362" s="274" t="n">
        <x:v>0</x:v>
      </x:c>
      <x:c r="F6362" s="274" t="s">
        <x:v>3412</x:v>
      </x:c>
      <x:c r="G6362" s="274" t="s">
        <x:v>5370</x:v>
      </x:c>
      <x:c r="H6362" s="274" t="s">
        <x:v>4471</x:v>
      </x:c>
      <x:c r="I6362" s="274" t="n">
        <x:v>2</x:v>
      </x:c>
      <x:c r="J6362" s="274" t="n">
        <x:v>715</x:v>
      </x:c>
      <x:c r="K6362" s="274" t="n">
        <x:v>600</x:v>
      </x:c>
      <x:c r="M6362" s="274" t="s">
        <x:v>7348</x:v>
      </x:c>
      <x:c r="N6362" s="274" t="s">
        <x:v>4258</x:v>
      </x:c>
    </x:row>
    <x:row r="6363" spans="1:14">
      <x:c r="A6363" s="274" t="s">
        <x:v>10588</x:v>
      </x:c>
      <x:c r="B6363" s="274" t="n">
        <x:v>4.15</x:v>
      </x:c>
      <x:c r="C6363" s="274" t="n">
        <x:v>0</x:v>
      </x:c>
      <x:c r="D6363" s="274" t="n">
        <x:v>0</x:v>
      </x:c>
      <x:c r="F6363" s="274" t="s">
        <x:v>133</x:v>
      </x:c>
      <x:c r="G6363" s="274" t="s">
        <x:v>4470</x:v>
      </x:c>
      <x:c r="H6363" s="274" t="s">
        <x:v>4471</x:v>
      </x:c>
      <x:c r="I6363" s="274" t="n">
        <x:v>1.4</x:v>
      </x:c>
      <x:c r="J6363" s="274" t="n">
        <x:v>980</x:v>
      </x:c>
      <x:c r="K6363" s="274" t="n">
        <x:v>382</x:v>
      </x:c>
      <x:c r="M6363" s="274" t="s">
        <x:v>5055</x:v>
      </x:c>
      <x:c r="N6363" s="274" t="s">
        <x:v>4258</x:v>
      </x:c>
    </x:row>
    <x:row r="6364" spans="1:14">
      <x:c r="A6364" s="274" t="s">
        <x:v>10589</x:v>
      </x:c>
      <x:c r="B6364" s="274" t="n">
        <x:v>1.37</x:v>
      </x:c>
      <x:c r="C6364" s="274" t="n">
        <x:v>0</x:v>
      </x:c>
      <x:c r="D6364" s="274" t="n">
        <x:v>42</x:v>
      </x:c>
      <x:c r="E6364" s="274" t="n">
        <x:v>40</x:v>
      </x:c>
      <x:c r="F6364" s="274" t="s">
        <x:v>123</x:v>
      </x:c>
      <x:c r="G6364" s="274" t="s">
        <x:v>4256</x:v>
      </x:c>
      <x:c r="I6364" s="274" t="n">
        <x:v>0.8</x:v>
      </x:c>
      <x:c r="J6364" s="274" t="n">
        <x:v>723</x:v>
      </x:c>
      <x:c r="K6364" s="274" t="n">
        <x:v>301</x:v>
      </x:c>
      <x:c r="M6364" s="274" t="s">
        <x:v>10590</x:v>
      </x:c>
      <x:c r="N6364" s="274" t="s">
        <x:v>4258</x:v>
      </x:c>
    </x:row>
    <x:row r="6365" spans="1:14">
      <x:c r="A6365" s="274" t="s">
        <x:v>10591</x:v>
      </x:c>
      <x:c r="B6365" s="274" t="n">
        <x:v>2.39</x:v>
      </x:c>
      <x:c r="C6365" s="274" t="n">
        <x:v>0</x:v>
      </x:c>
      <x:c r="D6365" s="274" t="n">
        <x:v>42</x:v>
      </x:c>
      <x:c r="E6365" s="274" t="n">
        <x:v>40</x:v>
      </x:c>
      <x:c r="F6365" s="274" t="s">
        <x:v>123</x:v>
      </x:c>
      <x:c r="G6365" s="274" t="s">
        <x:v>4787</x:v>
      </x:c>
      <x:c r="H6365" s="274" t="s">
        <x:v>4471</x:v>
      </x:c>
      <x:c r="I6365" s="274" t="n">
        <x:v>0.8</x:v>
      </x:c>
      <x:c r="J6365" s="274" t="n">
        <x:v>1050</x:v>
      </x:c>
      <x:c r="K6365" s="274" t="n">
        <x:v>358</x:v>
      </x:c>
      <x:c r="M6365" s="274" t="s">
        <x:v>10592</x:v>
      </x:c>
      <x:c r="N6365" s="274" t="s">
        <x:v>4258</x:v>
      </x:c>
    </x:row>
    <x:row r="6366" spans="1:14">
      <x:c r="A6366" s="274" t="s">
        <x:v>10593</x:v>
      </x:c>
      <x:c r="B6366" s="274" t="n">
        <x:v>3.14</x:v>
      </x:c>
      <x:c r="C6366" s="274" t="n">
        <x:v>0</x:v>
      </x:c>
      <x:c r="D6366" s="274" t="n">
        <x:v>0</x:v>
      </x:c>
      <x:c r="F6366" s="274" t="s">
        <x:v>184</x:v>
      </x:c>
      <x:c r="G6366" s="274" t="s">
        <x:v>4782</x:v>
      </x:c>
      <x:c r="H6366" s="274" t="s">
        <x:v>4471</x:v>
      </x:c>
      <x:c r="I6366" s="274" t="n">
        <x:v>0.8</x:v>
      </x:c>
      <x:c r="J6366" s="274" t="n">
        <x:v>1085</x:v>
      </x:c>
      <x:c r="K6366" s="274" t="n">
        <x:v>455</x:v>
      </x:c>
      <x:c r="M6366" s="274" t="s">
        <x:v>7359</x:v>
      </x:c>
      <x:c r="N6366" s="274" t="s">
        <x:v>4258</x:v>
      </x:c>
    </x:row>
    <x:row r="6367" spans="1:14">
      <x:c r="A6367" s="274" t="s">
        <x:v>10594</x:v>
      </x:c>
      <x:c r="B6367" s="274" t="n">
        <x:v>3.67</x:v>
      </x:c>
      <x:c r="C6367" s="274" t="n">
        <x:v>0</x:v>
      </x:c>
      <x:c r="D6367" s="274" t="n">
        <x:v>43</x:v>
      </x:c>
      <x:c r="E6367" s="274" t="n">
        <x:v>40</x:v>
      </x:c>
      <x:c r="F6367" s="274" t="s">
        <x:v>333</x:v>
      </x:c>
      <x:c r="G6367" s="274" t="s">
        <x:v>4663</x:v>
      </x:c>
      <x:c r="I6367" s="274" t="n">
        <x:v>1</x:v>
      </x:c>
      <x:c r="J6367" s="274" t="n">
        <x:v>1110</x:v>
      </x:c>
      <x:c r="K6367" s="274" t="n">
        <x:v>421</x:v>
      </x:c>
      <x:c r="M6367" s="274" t="s">
        <x:v>10595</x:v>
      </x:c>
      <x:c r="N6367" s="274" t="s">
        <x:v>4258</x:v>
      </x:c>
    </x:row>
    <x:row r="6368" spans="1:14">
      <x:c r="A6368" s="274" t="s">
        <x:v>10596</x:v>
      </x:c>
      <x:c r="B6368" s="274" t="n">
        <x:v>3.72</x:v>
      </x:c>
      <x:c r="C6368" s="274" t="n">
        <x:v>0</x:v>
      </x:c>
      <x:c r="D6368" s="274" t="n">
        <x:v>42</x:v>
      </x:c>
      <x:c r="E6368" s="274" t="n">
        <x:v>40</x:v>
      </x:c>
      <x:c r="F6368" s="274" t="s">
        <x:v>184</x:v>
      </x:c>
      <x:c r="G6368" s="274" t="s">
        <x:v>4782</x:v>
      </x:c>
      <x:c r="H6368" s="274" t="s">
        <x:v>4471</x:v>
      </x:c>
      <x:c r="I6368" s="274" t="n">
        <x:v>1</x:v>
      </x:c>
      <x:c r="J6368" s="274" t="n">
        <x:v>1250</x:v>
      </x:c>
      <x:c r="K6368" s="274" t="n">
        <x:v>375</x:v>
      </x:c>
      <x:c r="M6368" s="274" t="s">
        <x:v>7363</x:v>
      </x:c>
      <x:c r="N6368" s="274" t="s">
        <x:v>4258</x:v>
      </x:c>
    </x:row>
    <x:row r="6369" spans="1:14">
      <x:c r="A6369" s="274" t="s">
        <x:v>10597</x:v>
      </x:c>
      <x:c r="B6369" s="274" t="n">
        <x:v>3.57</x:v>
      </x:c>
      <x:c r="C6369" s="274" t="n">
        <x:v>0</x:v>
      </x:c>
      <x:c r="D6369" s="274" t="n">
        <x:v>42</x:v>
      </x:c>
      <x:c r="E6369" s="274" t="n">
        <x:v>40</x:v>
      </x:c>
      <x:c r="F6369" s="274" t="s">
        <x:v>184</x:v>
      </x:c>
      <x:c r="G6369" s="274" t="s">
        <x:v>4782</x:v>
      </x:c>
      <x:c r="H6369" s="274" t="s">
        <x:v>4471</x:v>
      </x:c>
      <x:c r="I6369" s="274" t="n">
        <x:v>1</x:v>
      </x:c>
      <x:c r="J6369" s="274" t="n">
        <x:v>1250</x:v>
      </x:c>
      <x:c r="K6369" s="274" t="n">
        <x:v>360</x:v>
      </x:c>
      <x:c r="M6369" s="274" t="s">
        <x:v>10598</x:v>
      </x:c>
      <x:c r="N6369" s="274" t="s">
        <x:v>4258</x:v>
      </x:c>
    </x:row>
    <x:row r="6370" spans="1:14">
      <x:c r="A6370" s="274" t="s">
        <x:v>10599</x:v>
      </x:c>
      <x:c r="B6370" s="274" t="n">
        <x:v>5.08</x:v>
      </x:c>
      <x:c r="C6370" s="274" t="n">
        <x:v>0</x:v>
      </x:c>
      <x:c r="D6370" s="274" t="n">
        <x:v>42</x:v>
      </x:c>
      <x:c r="E6370" s="274" t="n">
        <x:v>40</x:v>
      </x:c>
      <x:c r="F6370" s="274" t="s">
        <x:v>184</x:v>
      </x:c>
      <x:c r="G6370" s="274" t="s">
        <x:v>4782</x:v>
      </x:c>
      <x:c r="H6370" s="274" t="s">
        <x:v>4471</x:v>
      </x:c>
      <x:c r="I6370" s="274" t="n">
        <x:v>1</x:v>
      </x:c>
      <x:c r="J6370" s="274" t="n">
        <x:v>1250</x:v>
      </x:c>
      <x:c r="K6370" s="274" t="n">
        <x:v>512</x:v>
      </x:c>
      <x:c r="M6370" s="274" t="s">
        <x:v>10600</x:v>
      </x:c>
      <x:c r="N6370" s="274" t="s">
        <x:v>4258</x:v>
      </x:c>
    </x:row>
    <x:row r="6371" spans="1:14">
      <x:c r="A6371" s="274" t="s">
        <x:v>10601</x:v>
      </x:c>
      <x:c r="B6371" s="274" t="n">
        <x:v>4.48</x:v>
      </x:c>
      <x:c r="C6371" s="274" t="n">
        <x:v>0</x:v>
      </x:c>
      <x:c r="D6371" s="274" t="n">
        <x:v>42</x:v>
      </x:c>
      <x:c r="E6371" s="274" t="n">
        <x:v>40</x:v>
      </x:c>
      <x:c r="F6371" s="274" t="s">
        <x:v>333</x:v>
      </x:c>
      <x:c r="G6371" s="274" t="s">
        <x:v>4663</x:v>
      </x:c>
      <x:c r="I6371" s="274" t="n">
        <x:v>1.2</x:v>
      </x:c>
      <x:c r="J6371" s="274" t="n">
        <x:v>1100</x:v>
      </x:c>
      <x:c r="K6371" s="274" t="n">
        <x:v>432</x:v>
      </x:c>
      <x:c r="M6371" s="274" t="s">
        <x:v>4664</x:v>
      </x:c>
      <x:c r="N6371" s="274" t="s">
        <x:v>4258</x:v>
      </x:c>
    </x:row>
    <x:row r="6372" spans="1:14">
      <x:c r="A6372" s="274" t="s">
        <x:v>10602</x:v>
      </x:c>
      <x:c r="B6372" s="274" t="n">
        <x:v>3.73</x:v>
      </x:c>
      <x:c r="C6372" s="274" t="n">
        <x:v>0</x:v>
      </x:c>
      <x:c r="D6372" s="274" t="n">
        <x:v>42</x:v>
      </x:c>
      <x:c r="E6372" s="274" t="n">
        <x:v>40</x:v>
      </x:c>
      <x:c r="F6372" s="274" t="s">
        <x:v>333</x:v>
      </x:c>
      <x:c r="G6372" s="274" t="s">
        <x:v>4663</x:v>
      </x:c>
      <x:c r="I6372" s="274" t="n">
        <x:v>1.2</x:v>
      </x:c>
      <x:c r="J6372" s="274" t="n">
        <x:v>1100</x:v>
      </x:c>
      <x:c r="K6372" s="274" t="n">
        <x:v>360</x:v>
      </x:c>
      <x:c r="M6372" s="274" t="s">
        <x:v>10603</x:v>
      </x:c>
      <x:c r="N6372" s="274" t="s">
        <x:v>4258</x:v>
      </x:c>
    </x:row>
    <x:row r="6373" spans="1:14">
      <x:c r="A6373" s="274" t="s">
        <x:v>10604</x:v>
      </x:c>
      <x:c r="B6373" s="274" t="n">
        <x:v>4.81</x:v>
      </x:c>
      <x:c r="C6373" s="274" t="n">
        <x:v>0</x:v>
      </x:c>
      <x:c r="D6373" s="274" t="n">
        <x:v>42</x:v>
      </x:c>
      <x:c r="E6373" s="274" t="n">
        <x:v>40</x:v>
      </x:c>
      <x:c r="F6373" s="274" t="s">
        <x:v>333</x:v>
      </x:c>
      <x:c r="G6373" s="274" t="s">
        <x:v>4663</x:v>
      </x:c>
      <x:c r="I6373" s="274" t="n">
        <x:v>1.2</x:v>
      </x:c>
      <x:c r="J6373" s="274" t="n">
        <x:v>1100</x:v>
      </x:c>
      <x:c r="K6373" s="274" t="n">
        <x:v>464</x:v>
      </x:c>
      <x:c r="M6373" s="274" t="s">
        <x:v>10605</x:v>
      </x:c>
      <x:c r="N6373" s="274" t="s">
        <x:v>4258</x:v>
      </x:c>
    </x:row>
    <x:row r="6374" spans="1:14">
      <x:c r="A6374" s="274" t="s">
        <x:v>10606</x:v>
      </x:c>
      <x:c r="B6374" s="274" t="n">
        <x:v>3.8</x:v>
      </x:c>
      <x:c r="C6374" s="274" t="n">
        <x:v>0</x:v>
      </x:c>
      <x:c r="D6374" s="274" t="n">
        <x:v>42</x:v>
      </x:c>
      <x:c r="E6374" s="274" t="n">
        <x:v>40</x:v>
      </x:c>
      <x:c r="F6374" s="274" t="s">
        <x:v>333</x:v>
      </x:c>
      <x:c r="G6374" s="274" t="s">
        <x:v>4663</x:v>
      </x:c>
      <x:c r="I6374" s="274" t="n">
        <x:v>1.2</x:v>
      </x:c>
      <x:c r="J6374" s="274" t="n">
        <x:v>1100</x:v>
      </x:c>
      <x:c r="K6374" s="274" t="n">
        <x:v>367</x:v>
      </x:c>
      <x:c r="M6374" s="274" t="s">
        <x:v>10607</x:v>
      </x:c>
      <x:c r="N6374" s="274" t="s">
        <x:v>4258</x:v>
      </x:c>
    </x:row>
    <x:row r="6375" spans="1:14">
      <x:c r="A6375" s="274" t="s">
        <x:v>10608</x:v>
      </x:c>
      <x:c r="B6375" s="274" t="n">
        <x:v>3.78</x:v>
      </x:c>
      <x:c r="C6375" s="274" t="n">
        <x:v>0</x:v>
      </x:c>
      <x:c r="D6375" s="274" t="n">
        <x:v>42</x:v>
      </x:c>
      <x:c r="E6375" s="274" t="n">
        <x:v>40</x:v>
      </x:c>
      <x:c r="F6375" s="274" t="s">
        <x:v>333</x:v>
      </x:c>
      <x:c r="G6375" s="274" t="s">
        <x:v>4663</x:v>
      </x:c>
      <x:c r="I6375" s="274" t="n">
        <x:v>1.2</x:v>
      </x:c>
      <x:c r="J6375" s="274" t="n">
        <x:v>1100</x:v>
      </x:c>
      <x:c r="K6375" s="274" t="n">
        <x:v>365</x:v>
      </x:c>
      <x:c r="M6375" s="274" t="s">
        <x:v>10609</x:v>
      </x:c>
      <x:c r="N6375" s="274" t="s">
        <x:v>4258</x:v>
      </x:c>
    </x:row>
    <x:row r="6376" spans="1:14">
      <x:c r="A6376" s="274" t="s">
        <x:v>10610</x:v>
      </x:c>
      <x:c r="B6376" s="274" t="n">
        <x:v>4.83</x:v>
      </x:c>
      <x:c r="C6376" s="274" t="n">
        <x:v>0</x:v>
      </x:c>
      <x:c r="D6376" s="274" t="n">
        <x:v>42</x:v>
      </x:c>
      <x:c r="E6376" s="274" t="n">
        <x:v>40</x:v>
      </x:c>
      <x:c r="F6376" s="274" t="s">
        <x:v>333</x:v>
      </x:c>
      <x:c r="G6376" s="274" t="s">
        <x:v>4663</x:v>
      </x:c>
      <x:c r="I6376" s="274" t="n">
        <x:v>1.2</x:v>
      </x:c>
      <x:c r="J6376" s="274" t="n">
        <x:v>1100</x:v>
      </x:c>
      <x:c r="K6376" s="274" t="n">
        <x:v>466</x:v>
      </x:c>
      <x:c r="M6376" s="274" t="s">
        <x:v>10611</x:v>
      </x:c>
      <x:c r="N6376" s="274" t="s">
        <x:v>4258</x:v>
      </x:c>
    </x:row>
    <x:row r="6377" spans="1:14">
      <x:c r="A6377" s="274" t="s">
        <x:v>10612</x:v>
      </x:c>
      <x:c r="B6377" s="274" t="n">
        <x:v>4.67</x:v>
      </x:c>
      <x:c r="C6377" s="274" t="n">
        <x:v>0</x:v>
      </x:c>
      <x:c r="D6377" s="274" t="n">
        <x:v>42</x:v>
      </x:c>
      <x:c r="E6377" s="274" t="n">
        <x:v>40</x:v>
      </x:c>
      <x:c r="F6377" s="274" t="s">
        <x:v>333</x:v>
      </x:c>
      <x:c r="G6377" s="274" t="s">
        <x:v>4663</x:v>
      </x:c>
      <x:c r="I6377" s="274" t="n">
        <x:v>1.2</x:v>
      </x:c>
      <x:c r="J6377" s="274" t="n">
        <x:v>1100</x:v>
      </x:c>
      <x:c r="K6377" s="274" t="n">
        <x:v>451</x:v>
      </x:c>
      <x:c r="M6377" s="274" t="s">
        <x:v>10613</x:v>
      </x:c>
      <x:c r="N6377" s="274" t="s">
        <x:v>4258</x:v>
      </x:c>
    </x:row>
    <x:row r="6378" spans="1:14">
      <x:c r="A6378" s="274" t="s">
        <x:v>10614</x:v>
      </x:c>
      <x:c r="B6378" s="274" t="n">
        <x:v>5.85</x:v>
      </x:c>
      <x:c r="C6378" s="274" t="n">
        <x:v>0</x:v>
      </x:c>
      <x:c r="D6378" s="274" t="n">
        <x:v>42</x:v>
      </x:c>
      <x:c r="E6378" s="274" t="n">
        <x:v>40</x:v>
      </x:c>
      <x:c r="F6378" s="274" t="s">
        <x:v>333</x:v>
      </x:c>
      <x:c r="G6378" s="274" t="s">
        <x:v>4663</x:v>
      </x:c>
      <x:c r="I6378" s="274" t="n">
        <x:v>1.2</x:v>
      </x:c>
      <x:c r="J6378" s="274" t="n">
        <x:v>1100</x:v>
      </x:c>
      <x:c r="K6378" s="274" t="n">
        <x:v>565</x:v>
      </x:c>
      <x:c r="M6378" s="274" t="s">
        <x:v>10615</x:v>
      </x:c>
      <x:c r="N6378" s="274" t="s">
        <x:v>4258</x:v>
      </x:c>
    </x:row>
    <x:row r="6379" spans="1:14">
      <x:c r="A6379" s="274" t="s">
        <x:v>10616</x:v>
      </x:c>
      <x:c r="B6379" s="274" t="n">
        <x:v>5.2</x:v>
      </x:c>
      <x:c r="C6379" s="274" t="n">
        <x:v>0</x:v>
      </x:c>
      <x:c r="D6379" s="274" t="n">
        <x:v>42</x:v>
      </x:c>
      <x:c r="E6379" s="274" t="n">
        <x:v>40</x:v>
      </x:c>
      <x:c r="F6379" s="274" t="s">
        <x:v>333</x:v>
      </x:c>
      <x:c r="G6379" s="274" t="s">
        <x:v>5164</x:v>
      </x:c>
      <x:c r="I6379" s="274" t="n">
        <x:v>1.2</x:v>
      </x:c>
      <x:c r="J6379" s="274" t="n">
        <x:v>1150</x:v>
      </x:c>
      <x:c r="K6379" s="274" t="n">
        <x:v>480</x:v>
      </x:c>
      <x:c r="M6379" s="274" t="s">
        <x:v>10617</x:v>
      </x:c>
      <x:c r="N6379" s="274" t="s">
        <x:v>4258</x:v>
      </x:c>
    </x:row>
    <x:row r="6380" spans="1:14">
      <x:c r="A6380" s="274" t="s">
        <x:v>10618</x:v>
      </x:c>
      <x:c r="B6380" s="274" t="n">
        <x:v>4.42</x:v>
      </x:c>
      <x:c r="C6380" s="274" t="n">
        <x:v>0</x:v>
      </x:c>
      <x:c r="D6380" s="274" t="n">
        <x:v>42</x:v>
      </x:c>
      <x:c r="E6380" s="274" t="n">
        <x:v>40</x:v>
      </x:c>
      <x:c r="F6380" s="274" t="s">
        <x:v>123</x:v>
      </x:c>
      <x:c r="G6380" s="274" t="s">
        <x:v>4256</x:v>
      </x:c>
      <x:c r="I6380" s="274" t="n">
        <x:v>1.2</x:v>
      </x:c>
      <x:c r="J6380" s="274" t="n">
        <x:v>1185</x:v>
      </x:c>
      <x:c r="K6380" s="274" t="n">
        <x:v>396</x:v>
      </x:c>
      <x:c r="M6380" s="274" t="s">
        <x:v>10619</x:v>
      </x:c>
      <x:c r="N6380" s="274" t="s">
        <x:v>4258</x:v>
      </x:c>
    </x:row>
    <x:row r="6381" spans="1:14">
      <x:c r="A6381" s="274" t="s">
        <x:v>10620</x:v>
      </x:c>
      <x:c r="B6381" s="274" t="n">
        <x:v>12.55</x:v>
      </x:c>
      <x:c r="C6381" s="274" t="n">
        <x:v>0</x:v>
      </x:c>
      <x:c r="D6381" s="274" t="n">
        <x:v>37</x:v>
      </x:c>
      <x:c r="E6381" s="274" t="n">
        <x:v>32</x:v>
      </x:c>
      <x:c r="F6381" s="274" t="s">
        <x:v>123</x:v>
      </x:c>
      <x:c r="G6381" s="274" t="s">
        <x:v>881</x:v>
      </x:c>
      <x:c r="H6381" s="274" t="n">
        <x:v>45</x:v>
      </x:c>
      <x:c r="I6381" s="274" t="n">
        <x:v>1.2</x:v>
      </x:c>
      <x:c r="J6381" s="274" t="n">
        <x:v>1100</x:v>
      </x:c>
      <x:c r="K6381" s="274" t="n">
        <x:v>1200</x:v>
      </x:c>
      <x:c r="M6381" s="274" t="s">
        <x:v>7391</x:v>
      </x:c>
      <x:c r="N6381" s="274" t="s">
        <x:v>3671</x:v>
      </x:c>
    </x:row>
    <x:row r="6382" spans="1:14">
      <x:c r="A6382" s="274" t="s">
        <x:v>10621</x:v>
      </x:c>
      <x:c r="B6382" s="274" t="n">
        <x:v>15.76</x:v>
      </x:c>
      <x:c r="C6382" s="274" t="n">
        <x:v>0</x:v>
      </x:c>
      <x:c r="D6382" s="274" t="n">
        <x:v>0</x:v>
      </x:c>
      <x:c r="F6382" s="274" t="s">
        <x:v>133</x:v>
      </x:c>
      <x:c r="G6382" s="274" t="s">
        <x:v>4761</x:v>
      </x:c>
      <x:c r="H6382" s="274" t="s">
        <x:v>4471</x:v>
      </x:c>
      <x:c r="I6382" s="274" t="n">
        <x:v>1.4</x:v>
      </x:c>
      <x:c r="J6382" s="274" t="n">
        <x:v>1185</x:v>
      </x:c>
      <x:c r="K6382" s="274" t="n">
        <x:v>1200</x:v>
      </x:c>
      <x:c r="M6382" s="274" t="s">
        <x:v>7394</x:v>
      </x:c>
      <x:c r="N6382" s="274" t="s">
        <x:v>4258</x:v>
      </x:c>
    </x:row>
    <x:row r="6383" spans="1:14">
      <x:c r="A6383" s="274" t="s">
        <x:v>10622</x:v>
      </x:c>
      <x:c r="B6383" s="274" t="n">
        <x:v>5.8</x:v>
      </x:c>
      <x:c r="C6383" s="274" t="n">
        <x:v>0</x:v>
      </x:c>
      <x:c r="D6383" s="274" t="n">
        <x:v>0</x:v>
      </x:c>
      <x:c r="F6383" s="274" t="s">
        <x:v>133</x:v>
      </x:c>
      <x:c r="G6383" s="274" t="s">
        <x:v>4329</x:v>
      </x:c>
      <x:c r="I6383" s="274" t="n">
        <x:v>2</x:v>
      </x:c>
      <x:c r="J6383" s="274" t="n">
        <x:v>1035</x:v>
      </x:c>
      <x:c r="K6383" s="274" t="n">
        <x:v>357</x:v>
      </x:c>
      <x:c r="M6383" s="274" t="s">
        <x:v>4766</x:v>
      </x:c>
    </x:row>
    <x:row r="6384" spans="1:14">
      <x:c r="A6384" s="274" t="s">
        <x:v>10623</x:v>
      </x:c>
      <x:c r="B6384" s="274" t="n">
        <x:v>7.04</x:v>
      </x:c>
      <x:c r="C6384" s="274" t="n">
        <x:v>0</x:v>
      </x:c>
      <x:c r="D6384" s="274" t="n">
        <x:v>0</x:v>
      </x:c>
      <x:c r="F6384" s="274" t="s">
        <x:v>133</x:v>
      </x:c>
      <x:c r="G6384" s="274" t="s">
        <x:v>4329</x:v>
      </x:c>
      <x:c r="I6384" s="274" t="n">
        <x:v>2</x:v>
      </x:c>
      <x:c r="J6384" s="274" t="n">
        <x:v>1035</x:v>
      </x:c>
      <x:c r="K6384" s="274" t="n">
        <x:v>433</x:v>
      </x:c>
      <x:c r="M6384" s="274" t="s">
        <x:v>7397</x:v>
      </x:c>
    </x:row>
    <x:row r="6385" spans="1:14">
      <x:c r="A6385" s="274" t="s">
        <x:v>10624</x:v>
      </x:c>
      <x:c r="B6385" s="274" t="n">
        <x:v>2.11</x:v>
      </x:c>
      <x:c r="C6385" s="274" t="n">
        <x:v>0</x:v>
      </x:c>
      <x:c r="D6385" s="274" t="n">
        <x:v>24</x:v>
      </x:c>
      <x:c r="E6385" s="274" t="n">
        <x:v>22</x:v>
      </x:c>
      <x:c r="F6385" s="274" t="s">
        <x:v>133</x:v>
      </x:c>
      <x:c r="G6385" s="274" t="s">
        <x:v>209</x:v>
      </x:c>
      <x:c r="I6385" s="274" t="n">
        <x:v>1.2</x:v>
      </x:c>
      <x:c r="J6385" s="274" t="n">
        <x:v>185</x:v>
      </x:c>
      <x:c r="K6385" s="274" t="n">
        <x:v>1210</x:v>
      </x:c>
      <x:c r="M6385" s="274" t="s">
        <x:v>533</x:v>
      </x:c>
      <x:c r="N6385" s="274" t="s">
        <x:v>131</x:v>
      </x:c>
    </x:row>
    <x:row r="6386" spans="1:14">
      <x:c r="A6386" s="274" t="s">
        <x:v>10625</x:v>
      </x:c>
      <x:c r="B6386" s="274" t="n">
        <x:v>13.19</x:v>
      </x:c>
      <x:c r="C6386" s="274" t="n">
        <x:v>0</x:v>
      </x:c>
      <x:c r="D6386" s="274" t="n">
        <x:v>30</x:v>
      </x:c>
      <x:c r="E6386" s="274" t="n">
        <x:v>32</x:v>
      </x:c>
      <x:c r="F6386" s="274" t="s">
        <x:v>333</x:v>
      </x:c>
      <x:c r="G6386" s="274" t="s">
        <x:v>153</x:v>
      </x:c>
      <x:c r="I6386" s="274" t="n">
        <x:v>1.4</x:v>
      </x:c>
      <x:c r="J6386" s="274" t="n">
        <x:v>1000</x:v>
      </x:c>
      <x:c r="K6386" s="274" t="n">
        <x:v>1200</x:v>
      </x:c>
      <x:c r="M6386" s="274" t="s">
        <x:v>10626</x:v>
      </x:c>
      <x:c r="N6386" s="274" t="s">
        <x:v>3671</x:v>
      </x:c>
    </x:row>
    <x:row r="6387" spans="1:14">
      <x:c r="A6387" s="274" t="s">
        <x:v>10627</x:v>
      </x:c>
      <x:c r="B6387" s="274" t="n">
        <x:v>14.05</x:v>
      </x:c>
      <x:c r="C6387" s="274" t="n">
        <x:v>0</x:v>
      </x:c>
      <x:c r="D6387" s="274" t="n">
        <x:v>32</x:v>
      </x:c>
      <x:c r="E6387" s="274" t="n">
        <x:v>32</x:v>
      </x:c>
      <x:c r="F6387" s="274" t="s">
        <x:v>333</x:v>
      </x:c>
      <x:c r="G6387" s="274" t="s">
        <x:v>209</x:v>
      </x:c>
      <x:c r="I6387" s="274" t="n">
        <x:v>1.4</x:v>
      </x:c>
      <x:c r="J6387" s="274" t="n">
        <x:v>1065</x:v>
      </x:c>
      <x:c r="K6387" s="274" t="n">
        <x:v>1200</x:v>
      </x:c>
      <x:c r="M6387" s="274" t="s">
        <x:v>10628</x:v>
      </x:c>
      <x:c r="N6387" s="274" t="s">
        <x:v>3671</x:v>
      </x:c>
    </x:row>
    <x:row r="6388" spans="1:14">
      <x:c r="A6388" s="274" t="s">
        <x:v>10629</x:v>
      </x:c>
      <x:c r="B6388" s="274" t="n">
        <x:v>18.46</x:v>
      </x:c>
      <x:c r="C6388" s="274" t="n">
        <x:v>0</x:v>
      </x:c>
      <x:c r="D6388" s="274" t="n">
        <x:v>32</x:v>
      </x:c>
      <x:c r="E6388" s="274" t="n">
        <x:v>32</x:v>
      </x:c>
      <x:c r="F6388" s="274" t="s">
        <x:v>333</x:v>
      </x:c>
      <x:c r="G6388" s="274" t="s">
        <x:v>209</x:v>
      </x:c>
      <x:c r="I6388" s="274" t="n">
        <x:v>1.6</x:v>
      </x:c>
      <x:c r="J6388" s="274" t="n">
        <x:v>1225</x:v>
      </x:c>
      <x:c r="K6388" s="274" t="n">
        <x:v>1200</x:v>
      </x:c>
      <x:c r="M6388" s="274" t="s">
        <x:v>10630</x:v>
      </x:c>
      <x:c r="N6388" s="274" t="s">
        <x:v>3671</x:v>
      </x:c>
    </x:row>
    <x:row r="6389" spans="1:14">
      <x:c r="A6389" s="274" t="s">
        <x:v>10631</x:v>
      </x:c>
      <x:c r="B6389" s="274" t="n">
        <x:v>19.05</x:v>
      </x:c>
      <x:c r="C6389" s="274" t="n">
        <x:v>0</x:v>
      </x:c>
      <x:c r="D6389" s="274" t="n">
        <x:v>25</x:v>
      </x:c>
      <x:c r="E6389" s="274" t="n">
        <x:v>25</x:v>
      </x:c>
      <x:c r="F6389" s="274" t="s">
        <x:v>333</x:v>
      </x:c>
      <x:c r="G6389" s="274" t="s">
        <x:v>209</x:v>
      </x:c>
      <x:c r="I6389" s="274" t="n">
        <x:v>1.8</x:v>
      </x:c>
      <x:c r="J6389" s="274" t="n">
        <x:v>1100</x:v>
      </x:c>
      <x:c r="K6389" s="274" t="n">
        <x:v>1225</x:v>
      </x:c>
      <x:c r="M6389" s="274" t="s">
        <x:v>10632</x:v>
      </x:c>
      <x:c r="N6389" s="274" t="s">
        <x:v>3671</x:v>
      </x:c>
    </x:row>
    <x:row r="6390" spans="1:14">
      <x:c r="A6390" s="274" t="s">
        <x:v>10633</x:v>
      </x:c>
      <x:c r="B6390" s="274" t="n">
        <x:v>19.43</x:v>
      </x:c>
      <x:c r="C6390" s="274" t="n">
        <x:v>0</x:v>
      </x:c>
      <x:c r="D6390" s="274" t="n">
        <x:v>23</x:v>
      </x:c>
      <x:c r="E6390" s="274" t="n">
        <x:v>23</x:v>
      </x:c>
      <x:c r="F6390" s="274" t="s">
        <x:v>333</x:v>
      </x:c>
      <x:c r="G6390" s="274" t="s">
        <x:v>209</x:v>
      </x:c>
      <x:c r="I6390" s="274" t="n">
        <x:v>1.8</x:v>
      </x:c>
      <x:c r="J6390" s="274" t="n">
        <x:v>1100</x:v>
      </x:c>
      <x:c r="K6390" s="274" t="n">
        <x:v>1250</x:v>
      </x:c>
      <x:c r="M6390" s="274" t="s">
        <x:v>10634</x:v>
      </x:c>
      <x:c r="N6390" s="274" t="s">
        <x:v>3671</x:v>
      </x:c>
    </x:row>
    <x:row r="6391" spans="1:14">
      <x:c r="A6391" s="274" t="s">
        <x:v>10635</x:v>
      </x:c>
      <x:c r="B6391" s="274" t="n">
        <x:v>19.78</x:v>
      </x:c>
      <x:c r="C6391" s="274" t="n">
        <x:v>0</x:v>
      </x:c>
      <x:c r="D6391" s="274" t="n">
        <x:v>25</x:v>
      </x:c>
      <x:c r="E6391" s="274" t="n">
        <x:v>25</x:v>
      </x:c>
      <x:c r="F6391" s="274" t="s">
        <x:v>133</x:v>
      </x:c>
      <x:c r="G6391" s="274" t="s">
        <x:v>134</x:v>
      </x:c>
      <x:c r="I6391" s="274" t="n">
        <x:v>2</x:v>
      </x:c>
      <x:c r="J6391" s="274" t="n">
        <x:v>1050</x:v>
      </x:c>
      <x:c r="K6391" s="274" t="n">
        <x:v>1200</x:v>
      </x:c>
      <x:c r="M6391" s="274" t="s">
        <x:v>10636</x:v>
      </x:c>
      <x:c r="N6391" s="274" t="s">
        <x:v>3671</x:v>
      </x:c>
    </x:row>
    <x:row r="6392" spans="1:14">
      <x:c r="A6392" s="274" t="s">
        <x:v>10637</x:v>
      </x:c>
      <x:c r="B6392" s="274" t="n">
        <x:v>9.83</x:v>
      </x:c>
      <x:c r="C6392" s="274" t="n">
        <x:v>0</x:v>
      </x:c>
      <x:c r="D6392" s="274" t="n">
        <x:v>45</x:v>
      </x:c>
      <x:c r="E6392" s="274" t="n">
        <x:v>40</x:v>
      </x:c>
      <x:c r="F6392" s="274" t="s">
        <x:v>333</x:v>
      </x:c>
      <x:c r="G6392" s="274" t="s">
        <x:v>4663</x:v>
      </x:c>
      <x:c r="I6392" s="274" t="n">
        <x:v>1.6</x:v>
      </x:c>
      <x:c r="J6392" s="274" t="n">
        <x:v>1300</x:v>
      </x:c>
      <x:c r="K6392" s="274" t="n">
        <x:v>602</x:v>
      </x:c>
      <x:c r="M6392" s="274" t="s">
        <x:v>4997</x:v>
      </x:c>
      <x:c r="N6392" s="274" t="s">
        <x:v>4258</x:v>
      </x:c>
    </x:row>
    <x:row r="6393" spans="1:14">
      <x:c r="A6393" s="274" t="s">
        <x:v>10638</x:v>
      </x:c>
      <x:c r="B6393" s="274" t="n">
        <x:v>7.22</x:v>
      </x:c>
      <x:c r="C6393" s="274" t="n">
        <x:v>0</x:v>
      </x:c>
      <x:c r="D6393" s="274" t="n">
        <x:v>45</x:v>
      </x:c>
      <x:c r="E6393" s="274" t="n">
        <x:v>40</x:v>
      </x:c>
      <x:c r="F6393" s="274" t="s">
        <x:v>333</x:v>
      </x:c>
      <x:c r="G6393" s="274" t="s">
        <x:v>4663</x:v>
      </x:c>
      <x:c r="I6393" s="274" t="n">
        <x:v>1.6</x:v>
      </x:c>
      <x:c r="J6393" s="274" t="n">
        <x:v>1300</x:v>
      </x:c>
      <x:c r="K6393" s="274" t="n">
        <x:v>442</x:v>
      </x:c>
      <x:c r="M6393" s="274" t="s">
        <x:v>4999</x:v>
      </x:c>
      <x:c r="N6393" s="274" t="s">
        <x:v>4258</x:v>
      </x:c>
    </x:row>
    <x:row r="6394" spans="1:14">
      <x:c r="A6394" s="274" t="s">
        <x:v>10639</x:v>
      </x:c>
      <x:c r="B6394" s="274" t="n">
        <x:v>5.39</x:v>
      </x:c>
      <x:c r="C6394" s="274" t="n">
        <x:v>0</x:v>
      </x:c>
      <x:c r="D6394" s="274" t="n">
        <x:v>45</x:v>
      </x:c>
      <x:c r="E6394" s="274" t="n">
        <x:v>40</x:v>
      </x:c>
      <x:c r="F6394" s="274" t="s">
        <x:v>333</x:v>
      </x:c>
      <x:c r="G6394" s="274" t="s">
        <x:v>4663</x:v>
      </x:c>
      <x:c r="I6394" s="274" t="n">
        <x:v>1.6</x:v>
      </x:c>
      <x:c r="J6394" s="274" t="n">
        <x:v>1300</x:v>
      </x:c>
      <x:c r="K6394" s="274" t="n">
        <x:v>330</x:v>
      </x:c>
      <x:c r="M6394" s="274" t="s">
        <x:v>5001</x:v>
      </x:c>
      <x:c r="N6394" s="274" t="s">
        <x:v>4258</x:v>
      </x:c>
    </x:row>
    <x:row r="6395" spans="1:14">
      <x:c r="A6395" s="274" t="s">
        <x:v>10640</x:v>
      </x:c>
      <x:c r="B6395" s="274" t="n">
        <x:v>19.59</x:v>
      </x:c>
      <x:c r="C6395" s="274" t="n">
        <x:v>0</x:v>
      </x:c>
      <x:c r="D6395" s="274" t="n">
        <x:v>0</x:v>
      </x:c>
      <x:c r="F6395" s="274" t="s">
        <x:v>333</x:v>
      </x:c>
      <x:c r="G6395" s="274" t="s">
        <x:v>4663</x:v>
      </x:c>
      <x:c r="I6395" s="274" t="n">
        <x:v>1.6</x:v>
      </x:c>
      <x:c r="J6395" s="274" t="n">
        <x:v>1300</x:v>
      </x:c>
      <x:c r="K6395" s="274" t="n">
        <x:v>1200</x:v>
      </x:c>
      <x:c r="M6395" s="274" t="s">
        <x:v>7425</x:v>
      </x:c>
      <x:c r="N6395" s="274" t="s">
        <x:v>4258</x:v>
      </x:c>
    </x:row>
    <x:row r="6396" spans="1:14">
      <x:c r="A6396" s="274" t="s">
        <x:v>10641</x:v>
      </x:c>
      <x:c r="B6396" s="274" t="n">
        <x:v>4.29</x:v>
      </x:c>
      <x:c r="C6396" s="274" t="n">
        <x:v>0</x:v>
      </x:c>
      <x:c r="D6396" s="274" t="n">
        <x:v>45</x:v>
      </x:c>
      <x:c r="E6396" s="274" t="n">
        <x:v>40</x:v>
      </x:c>
      <x:c r="F6396" s="274" t="s">
        <x:v>333</x:v>
      </x:c>
      <x:c r="G6396" s="274" t="s">
        <x:v>2157</x:v>
      </x:c>
      <x:c r="I6396" s="274" t="n">
        <x:v>1</x:v>
      </x:c>
      <x:c r="J6396" s="274" t="n">
        <x:v>1055</x:v>
      </x:c>
      <x:c r="K6396" s="274" t="n">
        <x:v>518</x:v>
      </x:c>
      <x:c r="M6396" s="274" t="s">
        <x:v>7427</x:v>
      </x:c>
      <x:c r="N6396" s="274" t="s">
        <x:v>7428</x:v>
      </x:c>
    </x:row>
    <x:row r="6397" spans="1:14">
      <x:c r="A6397" s="274" t="s">
        <x:v>10642</x:v>
      </x:c>
      <x:c r="B6397" s="274" t="n">
        <x:v>5.8</x:v>
      </x:c>
      <x:c r="C6397" s="274" t="n">
        <x:v>0</x:v>
      </x:c>
      <x:c r="D6397" s="274" t="n">
        <x:v>37</x:v>
      </x:c>
      <x:c r="E6397" s="274" t="n">
        <x:v>32</x:v>
      </x:c>
      <x:c r="F6397" s="274" t="s">
        <x:v>333</x:v>
      </x:c>
      <x:c r="G6397" s="274" t="s">
        <x:v>2157</x:v>
      </x:c>
      <x:c r="I6397" s="274" t="n">
        <x:v>0.6</x:v>
      </x:c>
      <x:c r="J6397" s="274" t="n">
        <x:v>1058</x:v>
      </x:c>
      <x:c r="K6397" s="274" t="n">
        <x:v>1165</x:v>
      </x:c>
      <x:c r="M6397" s="274" t="s">
        <x:v>7430</x:v>
      </x:c>
      <x:c r="N6397" s="274" t="s">
        <x:v>7428</x:v>
      </x:c>
    </x:row>
    <x:row r="6398" spans="1:14">
      <x:c r="A6398" s="274" t="s">
        <x:v>10643</x:v>
      </x:c>
      <x:c r="B6398" s="274" t="n">
        <x:v>3.65</x:v>
      </x:c>
      <x:c r="C6398" s="274" t="n">
        <x:v>0</x:v>
      </x:c>
      <x:c r="D6398" s="274" t="n">
        <x:v>45</x:v>
      </x:c>
      <x:c r="E6398" s="274" t="n">
        <x:v>40</x:v>
      </x:c>
      <x:c r="F6398" s="274" t="s">
        <x:v>123</x:v>
      </x:c>
      <x:c r="G6398" s="274" t="s">
        <x:v>153</x:v>
      </x:c>
      <x:c r="I6398" s="274" t="n">
        <x:v>0.8</x:v>
      </x:c>
      <x:c r="J6398" s="274" t="n">
        <x:v>1150</x:v>
      </x:c>
      <x:c r="K6398" s="274" t="n">
        <x:v>505</x:v>
      </x:c>
      <x:c r="M6398" s="274" t="s">
        <x:v>7432</x:v>
      </x:c>
      <x:c r="N6398" s="274" t="s">
        <x:v>372</x:v>
      </x:c>
    </x:row>
    <x:row r="6399" spans="1:14">
      <x:c r="A6399" s="274" t="s">
        <x:v>10644</x:v>
      </x:c>
      <x:c r="B6399" s="274" t="n">
        <x:v>13.22</x:v>
      </x:c>
      <x:c r="C6399" s="274" t="n">
        <x:v>0</x:v>
      </x:c>
      <x:c r="D6399" s="274" t="n">
        <x:v>35</x:v>
      </x:c>
      <x:c r="E6399" s="274" t="n">
        <x:v>30</x:v>
      </x:c>
      <x:c r="F6399" s="274" t="s">
        <x:v>128</x:v>
      </x:c>
      <x:c r="G6399" s="274" t="s">
        <x:v>136</x:v>
      </x:c>
      <x:c r="H6399" s="274" t="s">
        <x:v>1729</x:v>
      </x:c>
      <x:c r="I6399" s="274" t="n">
        <x:v>0.75</x:v>
      </x:c>
      <x:c r="J6399" s="274" t="n">
        <x:v>1675</x:v>
      </x:c>
      <x:c r="K6399" s="274" t="n">
        <x:v>1320</x:v>
      </x:c>
      <x:c r="M6399" s="274" t="s">
        <x:v>7434</x:v>
      </x:c>
      <x:c r="N6399" s="274" t="s">
        <x:v>465</x:v>
      </x:c>
    </x:row>
    <x:row r="6400" spans="1:14">
      <x:c r="A6400" s="274" t="s">
        <x:v>10645</x:v>
      </x:c>
      <x:c r="B6400" s="274" t="n">
        <x:v>2.62</x:v>
      </x:c>
      <x:c r="C6400" s="274" t="n">
        <x:v>0</x:v>
      </x:c>
      <x:c r="D6400" s="274" t="n">
        <x:v>45</x:v>
      </x:c>
      <x:c r="E6400" s="274" t="n">
        <x:v>40</x:v>
      </x:c>
      <x:c r="F6400" s="274" t="s">
        <x:v>123</x:v>
      </x:c>
      <x:c r="G6400" s="274" t="s">
        <x:v>906</x:v>
      </x:c>
      <x:c r="H6400" s="274" t="s">
        <x:v>907</x:v>
      </x:c>
      <x:c r="I6400" s="274" t="n">
        <x:v>0.65</x:v>
      </x:c>
      <x:c r="J6400" s="274" t="n">
        <x:v>980</x:v>
      </x:c>
      <x:c r="K6400" s="274" t="n">
        <x:v>515</x:v>
      </x:c>
      <x:c r="M6400" s="274" t="s">
        <x:v>7436</x:v>
      </x:c>
      <x:c r="N6400" s="274" t="s">
        <x:v>3671</x:v>
      </x:c>
    </x:row>
    <x:row r="6401" spans="1:14">
      <x:c r="A6401" s="274" t="s">
        <x:v>10646</x:v>
      </x:c>
      <x:c r="B6401" s="274" t="n">
        <x:v>5.43</x:v>
      </x:c>
      <x:c r="C6401" s="274" t="n">
        <x:v>0</x:v>
      </x:c>
      <x:c r="D6401" s="274" t="n">
        <x:v>37</x:v>
      </x:c>
      <x:c r="E6401" s="274" t="n">
        <x:v>32</x:v>
      </x:c>
      <x:c r="F6401" s="274" t="s">
        <x:v>333</x:v>
      </x:c>
      <x:c r="G6401" s="274" t="s">
        <x:v>2157</x:v>
      </x:c>
      <x:c r="I6401" s="274" t="n">
        <x:v>0.6</x:v>
      </x:c>
      <x:c r="J6401" s="274" t="n">
        <x:v>1020</x:v>
      </x:c>
      <x:c r="K6401" s="274" t="n">
        <x:v>1130</x:v>
      </x:c>
      <x:c r="M6401" s="274" t="s">
        <x:v>3989</x:v>
      </x:c>
      <x:c r="N6401" s="274" t="s">
        <x:v>7439</x:v>
      </x:c>
    </x:row>
    <x:row r="6402" spans="1:14">
      <x:c r="A6402" s="274" t="s">
        <x:v>10647</x:v>
      </x:c>
      <x:c r="B6402" s="274" t="n">
        <x:v>8.74</x:v>
      </x:c>
      <x:c r="C6402" s="274" t="n">
        <x:v>0</x:v>
      </x:c>
      <x:c r="D6402" s="274" t="n">
        <x:v>37</x:v>
      </x:c>
      <x:c r="E6402" s="274" t="n">
        <x:v>32</x:v>
      </x:c>
      <x:c r="F6402" s="274" t="s">
        <x:v>333</x:v>
      </x:c>
      <x:c r="G6402" s="274" t="s">
        <x:v>2160</x:v>
      </x:c>
      <x:c r="I6402" s="274" t="n">
        <x:v>1</x:v>
      </x:c>
      <x:c r="J6402" s="274" t="n">
        <x:v>985</x:v>
      </x:c>
      <x:c r="K6402" s="274" t="n">
        <x:v>1130</x:v>
      </x:c>
      <x:c r="M6402" s="274" t="s">
        <x:v>3991</x:v>
      </x:c>
      <x:c r="N6402" s="274" t="s">
        <x:v>7439</x:v>
      </x:c>
    </x:row>
    <x:row r="6403" spans="1:14">
      <x:c r="A6403" s="274" t="s">
        <x:v>10648</x:v>
      </x:c>
      <x:c r="B6403" s="274" t="n">
        <x:v>2.98</x:v>
      </x:c>
      <x:c r="C6403" s="274" t="n">
        <x:v>0</x:v>
      </x:c>
      <x:c r="D6403" s="274" t="n">
        <x:v>45</x:v>
      </x:c>
      <x:c r="E6403" s="274" t="n">
        <x:v>40</x:v>
      </x:c>
      <x:c r="F6403" s="274" t="s">
        <x:v>333</x:v>
      </x:c>
      <x:c r="G6403" s="274" t="s">
        <x:v>2157</x:v>
      </x:c>
      <x:c r="I6403" s="274" t="n">
        <x:v>1</x:v>
      </x:c>
      <x:c r="J6403" s="274" t="n">
        <x:v>1055</x:v>
      </x:c>
      <x:c r="K6403" s="274" t="n">
        <x:v>360</x:v>
      </x:c>
      <x:c r="M6403" s="274" t="s">
        <x:v>3995</x:v>
      </x:c>
      <x:c r="N6403" s="274" t="s">
        <x:v>7439</x:v>
      </x:c>
    </x:row>
    <x:row r="6404" spans="1:14">
      <x:c r="A6404" s="274" t="s">
        <x:v>10649</x:v>
      </x:c>
      <x:c r="B6404" s="274" t="n">
        <x:v>3.14</x:v>
      </x:c>
      <x:c r="C6404" s="274" t="n">
        <x:v>0</x:v>
      </x:c>
      <x:c r="D6404" s="274" t="n">
        <x:v>45</x:v>
      </x:c>
      <x:c r="E6404" s="274" t="n">
        <x:v>40</x:v>
      </x:c>
      <x:c r="F6404" s="274" t="s">
        <x:v>333</x:v>
      </x:c>
      <x:c r="G6404" s="274" t="s">
        <x:v>4663</x:v>
      </x:c>
      <x:c r="I6404" s="274" t="n">
        <x:v>1</x:v>
      </x:c>
      <x:c r="J6404" s="274" t="n">
        <x:v>1110</x:v>
      </x:c>
      <x:c r="K6404" s="274" t="n">
        <x:v>360</x:v>
      </x:c>
      <x:c r="M6404" s="274" t="s">
        <x:v>4974</x:v>
      </x:c>
      <x:c r="N6404" s="274" t="s">
        <x:v>4258</x:v>
      </x:c>
    </x:row>
    <x:row r="6405" spans="1:14">
      <x:c r="A6405" s="274" t="s">
        <x:v>10650</x:v>
      </x:c>
      <x:c r="B6405" s="274" t="n">
        <x:v>2.4</x:v>
      </x:c>
      <x:c r="C6405" s="274" t="n">
        <x:v>0</x:v>
      </x:c>
      <x:c r="D6405" s="274" t="n">
        <x:v>45</x:v>
      </x:c>
      <x:c r="E6405" s="274" t="n">
        <x:v>40</x:v>
      </x:c>
      <x:c r="F6405" s="274" t="s">
        <x:v>333</x:v>
      </x:c>
      <x:c r="G6405" s="274" t="s">
        <x:v>2468</x:v>
      </x:c>
      <x:c r="I6405" s="274" t="n">
        <x:v>0.6</x:v>
      </x:c>
      <x:c r="J6405" s="274" t="n">
        <x:v>1065</x:v>
      </x:c>
      <x:c r="K6405" s="274" t="n">
        <x:v>478</x:v>
      </x:c>
      <x:c r="M6405" s="274" t="s">
        <x:v>10651</x:v>
      </x:c>
      <x:c r="N6405" s="274" t="s">
        <x:v>7439</x:v>
      </x:c>
    </x:row>
    <x:row r="6406" spans="1:14">
      <x:c r="A6406" s="274" t="s">
        <x:v>10652</x:v>
      </x:c>
      <x:c r="B6406" s="274" t="n">
        <x:v>3.83</x:v>
      </x:c>
      <x:c r="C6406" s="274" t="n">
        <x:v>0</x:v>
      </x:c>
      <x:c r="D6406" s="274" t="n">
        <x:v>45</x:v>
      </x:c>
      <x:c r="E6406" s="274" t="n">
        <x:v>40</x:v>
      </x:c>
      <x:c r="F6406" s="274" t="s">
        <x:v>333</x:v>
      </x:c>
      <x:c r="G6406" s="274" t="s">
        <x:v>2157</x:v>
      </x:c>
      <x:c r="I6406" s="274" t="n">
        <x:v>1</x:v>
      </x:c>
      <x:c r="J6406" s="274" t="n">
        <x:v>1055</x:v>
      </x:c>
      <x:c r="K6406" s="274" t="n">
        <x:v>462</x:v>
      </x:c>
      <x:c r="M6406" s="274" t="s">
        <x:v>4001</x:v>
      </x:c>
      <x:c r="N6406" s="274" t="s">
        <x:v>7439</x:v>
      </x:c>
    </x:row>
    <x:row r="6407" spans="1:14">
      <x:c r="A6407" s="274" t="s">
        <x:v>10653</x:v>
      </x:c>
      <x:c r="B6407" s="274" t="n">
        <x:v>7.35</x:v>
      </x:c>
      <x:c r="C6407" s="274" t="n">
        <x:v>0</x:v>
      </x:c>
      <x:c r="D6407" s="274" t="n">
        <x:v>45</x:v>
      </x:c>
      <x:c r="E6407" s="274" t="n">
        <x:v>40</x:v>
      </x:c>
      <x:c r="F6407" s="274" t="s">
        <x:v>333</x:v>
      </x:c>
      <x:c r="G6407" s="274" t="s">
        <x:v>2468</x:v>
      </x:c>
      <x:c r="I6407" s="274" t="n">
        <x:v>1.2</x:v>
      </x:c>
      <x:c r="J6407" s="274" t="n">
        <x:v>1075</x:v>
      </x:c>
      <x:c r="K6407" s="274" t="n">
        <x:v>726</x:v>
      </x:c>
      <x:c r="M6407" s="274" t="s">
        <x:v>4011</x:v>
      </x:c>
      <x:c r="N6407" s="274" t="s">
        <x:v>7439</x:v>
      </x:c>
    </x:row>
    <x:row r="6408" spans="1:14">
      <x:c r="A6408" s="274" t="s">
        <x:v>10654</x:v>
      </x:c>
      <x:c r="B6408" s="274" t="n">
        <x:v>2.67</x:v>
      </x:c>
      <x:c r="C6408" s="274" t="n">
        <x:v>0</x:v>
      </x:c>
      <x:c r="D6408" s="274" t="n">
        <x:v>42</x:v>
      </x:c>
      <x:c r="E6408" s="274" t="n">
        <x:v>40</x:v>
      </x:c>
      <x:c r="F6408" s="274" t="s">
        <x:v>333</x:v>
      </x:c>
      <x:c r="G6408" s="274" t="s">
        <x:v>2468</x:v>
      </x:c>
      <x:c r="I6408" s="274" t="n">
        <x:v>0.7</x:v>
      </x:c>
      <x:c r="J6408" s="274" t="n">
        <x:v>824</x:v>
      </x:c>
      <x:c r="K6408" s="274" t="n">
        <x:v>590</x:v>
      </x:c>
      <x:c r="M6408" s="274" t="s">
        <x:v>10655</x:v>
      </x:c>
      <x:c r="N6408" s="274" t="s">
        <x:v>7439</x:v>
      </x:c>
    </x:row>
    <x:row r="6409" spans="1:14">
      <x:c r="A6409" s="274" t="s">
        <x:v>10656</x:v>
      </x:c>
      <x:c r="B6409" s="274" t="n">
        <x:v>4.31</x:v>
      </x:c>
      <x:c r="C6409" s="274" t="n">
        <x:v>0</x:v>
      </x:c>
      <x:c r="D6409" s="274" t="n">
        <x:v>42</x:v>
      </x:c>
      <x:c r="E6409" s="274" t="n">
        <x:v>40</x:v>
      </x:c>
      <x:c r="F6409" s="274" t="s">
        <x:v>333</x:v>
      </x:c>
      <x:c r="G6409" s="274" t="s">
        <x:v>2468</x:v>
      </x:c>
      <x:c r="I6409" s="274" t="n">
        <x:v>0.7</x:v>
      </x:c>
      <x:c r="J6409" s="274" t="n">
        <x:v>980</x:v>
      </x:c>
      <x:c r="K6409" s="274" t="n">
        <x:v>800</x:v>
      </x:c>
      <x:c r="M6409" s="274" t="s">
        <x:v>10657</x:v>
      </x:c>
      <x:c r="N6409" s="274" t="s">
        <x:v>7439</x:v>
      </x:c>
    </x:row>
    <x:row r="6410" spans="1:14">
      <x:c r="A6410" s="274" t="s">
        <x:v>10658</x:v>
      </x:c>
      <x:c r="B6410" s="274" t="n">
        <x:v>12.22</x:v>
      </x:c>
      <x:c r="C6410" s="274" t="n">
        <x:v>0</x:v>
      </x:c>
      <x:c r="D6410" s="274" t="n">
        <x:v>42</x:v>
      </x:c>
      <x:c r="E6410" s="274" t="n">
        <x:v>40</x:v>
      </x:c>
      <x:c r="F6410" s="274" t="s">
        <x:v>333</x:v>
      </x:c>
      <x:c r="G6410" s="274" t="s">
        <x:v>124</x:v>
      </x:c>
      <x:c r="I6410" s="274" t="n">
        <x:v>2</x:v>
      </x:c>
      <x:c r="J6410" s="274" t="n">
        <x:v>1212</x:v>
      </x:c>
      <x:c r="K6410" s="274" t="n">
        <x:v>642</x:v>
      </x:c>
      <x:c r="M6410" s="274" t="s">
        <x:v>10659</x:v>
      </x:c>
      <x:c r="N6410" s="274" t="s">
        <x:v>7439</x:v>
      </x:c>
    </x:row>
    <x:row r="6411" spans="1:14">
      <x:c r="A6411" s="274" t="s">
        <x:v>10660</x:v>
      </x:c>
      <x:c r="B6411" s="274" t="n">
        <x:v>13.61</x:v>
      </x:c>
      <x:c r="C6411" s="274" t="n">
        <x:v>0</x:v>
      </x:c>
      <x:c r="D6411" s="274" t="n">
        <x:v>42</x:v>
      </x:c>
      <x:c r="E6411" s="274" t="n">
        <x:v>40</x:v>
      </x:c>
      <x:c r="F6411" s="274" t="s">
        <x:v>333</x:v>
      </x:c>
      <x:c r="G6411" s="274" t="s">
        <x:v>124</x:v>
      </x:c>
      <x:c r="I6411" s="274" t="n">
        <x:v>2</x:v>
      </x:c>
      <x:c r="J6411" s="274" t="n">
        <x:v>1212</x:v>
      </x:c>
      <x:c r="K6411" s="274" t="n">
        <x:v>715</x:v>
      </x:c>
      <x:c r="M6411" s="274" t="s">
        <x:v>7467</x:v>
      </x:c>
      <x:c r="N6411" s="274" t="s">
        <x:v>7439</x:v>
      </x:c>
    </x:row>
    <x:row r="6412" spans="1:14">
      <x:c r="A6412" s="274" t="s">
        <x:v>10661</x:v>
      </x:c>
      <x:c r="B6412" s="274" t="n">
        <x:v>4.3</x:v>
      </x:c>
      <x:c r="C6412" s="274" t="n">
        <x:v>0</x:v>
      </x:c>
      <x:c r="D6412" s="274" t="n">
        <x:v>40</x:v>
      </x:c>
      <x:c r="E6412" s="274" t="n">
        <x:v>40</x:v>
      </x:c>
      <x:c r="F6412" s="274" t="s">
        <x:v>333</x:v>
      </x:c>
      <x:c r="G6412" s="274" t="s">
        <x:v>124</x:v>
      </x:c>
      <x:c r="I6412" s="274" t="n">
        <x:v>1</x:v>
      </x:c>
      <x:c r="J6412" s="274" t="n">
        <x:v>1090</x:v>
      </x:c>
      <x:c r="K6412" s="274" t="n">
        <x:v>502</x:v>
      </x:c>
      <x:c r="M6412" s="274" t="s">
        <x:v>7469</x:v>
      </x:c>
      <x:c r="N6412" s="274" t="s">
        <x:v>7439</x:v>
      </x:c>
    </x:row>
    <x:row r="6413" spans="1:14">
      <x:c r="A6413" s="274" t="s">
        <x:v>10662</x:v>
      </x:c>
      <x:c r="B6413" s="274" t="n">
        <x:v>4.38</x:v>
      </x:c>
      <x:c r="C6413" s="274" t="n">
        <x:v>0</x:v>
      </x:c>
      <x:c r="D6413" s="274" t="n">
        <x:v>42</x:v>
      </x:c>
      <x:c r="E6413" s="274" t="n">
        <x:v>40</x:v>
      </x:c>
      <x:c r="F6413" s="274" t="s">
        <x:v>333</x:v>
      </x:c>
      <x:c r="G6413" s="274" t="s">
        <x:v>124</x:v>
      </x:c>
      <x:c r="I6413" s="274" t="n">
        <x:v>1</x:v>
      </x:c>
      <x:c r="J6413" s="274" t="n">
        <x:v>1090</x:v>
      </x:c>
      <x:c r="K6413" s="274" t="n">
        <x:v>512</x:v>
      </x:c>
      <x:c r="M6413" s="274" t="s">
        <x:v>7471</x:v>
      </x:c>
      <x:c r="N6413" s="274" t="s">
        <x:v>7439</x:v>
      </x:c>
    </x:row>
    <x:row r="6414" spans="1:14">
      <x:c r="A6414" s="274" t="s">
        <x:v>10663</x:v>
      </x:c>
      <x:c r="B6414" s="274" t="n">
        <x:v>10.63</x:v>
      </x:c>
      <x:c r="C6414" s="274" t="n">
        <x:v>0</x:v>
      </x:c>
      <x:c r="D6414" s="274" t="n">
        <x:v>38</x:v>
      </x:c>
      <x:c r="E6414" s="274" t="n">
        <x:v>37</x:v>
      </x:c>
      <x:c r="F6414" s="274" t="s">
        <x:v>333</x:v>
      </x:c>
      <x:c r="G6414" s="274" t="s">
        <x:v>2711</x:v>
      </x:c>
      <x:c r="I6414" s="274" t="n">
        <x:v>2</x:v>
      </x:c>
      <x:c r="J6414" s="274" t="n">
        <x:v>1055</x:v>
      </x:c>
      <x:c r="K6414" s="274" t="n">
        <x:v>642</x:v>
      </x:c>
      <x:c r="M6414" s="274" t="s">
        <x:v>7465</x:v>
      </x:c>
      <x:c r="N6414" s="274" t="s">
        <x:v>7439</x:v>
      </x:c>
    </x:row>
    <x:row r="6415" spans="1:14">
      <x:c r="A6415" s="274" t="s">
        <x:v>10664</x:v>
      </x:c>
      <x:c r="B6415" s="274" t="n">
        <x:v>11.84</x:v>
      </x:c>
      <x:c r="C6415" s="274" t="n">
        <x:v>0</x:v>
      </x:c>
      <x:c r="D6415" s="274" t="n">
        <x:v>35</x:v>
      </x:c>
      <x:c r="E6415" s="274" t="n">
        <x:v>33</x:v>
      </x:c>
      <x:c r="F6415" s="274" t="s">
        <x:v>333</x:v>
      </x:c>
      <x:c r="G6415" s="274" t="s">
        <x:v>2711</x:v>
      </x:c>
      <x:c r="I6415" s="274" t="n">
        <x:v>2</x:v>
      </x:c>
      <x:c r="J6415" s="274" t="n">
        <x:v>1055</x:v>
      </x:c>
      <x:c r="K6415" s="274" t="n">
        <x:v>715</x:v>
      </x:c>
      <x:c r="M6415" s="274" t="s">
        <x:v>10665</x:v>
      </x:c>
      <x:c r="N6415" s="274" t="s">
        <x:v>7439</x:v>
      </x:c>
    </x:row>
    <x:row r="6416" spans="1:14">
      <x:c r="A6416" s="274" t="s">
        <x:v>10666</x:v>
      </x:c>
      <x:c r="B6416" s="274" t="n">
        <x:v>4.71</x:v>
      </x:c>
      <x:c r="C6416" s="274" t="n">
        <x:v>0</x:v>
      </x:c>
      <x:c r="D6416" s="274" t="n">
        <x:v>42</x:v>
      </x:c>
      <x:c r="E6416" s="274" t="n">
        <x:v>40</x:v>
      </x:c>
      <x:c r="F6416" s="274" t="s">
        <x:v>333</x:v>
      </x:c>
      <x:c r="G6416" s="274" t="s">
        <x:v>2468</x:v>
      </x:c>
      <x:c r="I6416" s="274" t="n">
        <x:v>1</x:v>
      </x:c>
      <x:c r="J6416" s="274" t="n">
        <x:v>1195</x:v>
      </x:c>
      <x:c r="K6416" s="274" t="n">
        <x:v>502</x:v>
      </x:c>
      <x:c r="M6416" s="274" t="s">
        <x:v>10667</x:v>
      </x:c>
      <x:c r="N6416" s="274" t="s">
        <x:v>7439</x:v>
      </x:c>
    </x:row>
    <x:row r="6417" spans="1:14">
      <x:c r="A6417" s="274" t="s">
        <x:v>10668</x:v>
      </x:c>
      <x:c r="B6417" s="274" t="n">
        <x:v>4.8</x:v>
      </x:c>
      <x:c r="C6417" s="274" t="n">
        <x:v>0</x:v>
      </x:c>
      <x:c r="D6417" s="274" t="n">
        <x:v>42</x:v>
      </x:c>
      <x:c r="E6417" s="274" t="n">
        <x:v>40</x:v>
      </x:c>
      <x:c r="F6417" s="274" t="s">
        <x:v>333</x:v>
      </x:c>
      <x:c r="G6417" s="274" t="s">
        <x:v>2468</x:v>
      </x:c>
      <x:c r="I6417" s="274" t="n">
        <x:v>1</x:v>
      </x:c>
      <x:c r="J6417" s="274" t="n">
        <x:v>1195</x:v>
      </x:c>
      <x:c r="K6417" s="274" t="n">
        <x:v>512</x:v>
      </x:c>
      <x:c r="M6417" s="274" t="s">
        <x:v>10669</x:v>
      </x:c>
      <x:c r="N6417" s="274" t="s">
        <x:v>7439</x:v>
      </x:c>
    </x:row>
    <x:row r="6418" spans="1:14">
      <x:c r="A6418" s="274" t="s">
        <x:v>10670</x:v>
      </x:c>
      <x:c r="B6418" s="274" t="n">
        <x:v>3.7</x:v>
      </x:c>
      <x:c r="C6418" s="274" t="n">
        <x:v>0</x:v>
      </x:c>
      <x:c r="D6418" s="274" t="n">
        <x:v>45</x:v>
      </x:c>
      <x:c r="E6418" s="274" t="n">
        <x:v>40</x:v>
      </x:c>
      <x:c r="F6418" s="274" t="s">
        <x:v>333</x:v>
      </x:c>
      <x:c r="G6418" s="274" t="s">
        <x:v>4663</x:v>
      </x:c>
      <x:c r="I6418" s="274" t="n">
        <x:v>1</x:v>
      </x:c>
      <x:c r="J6418" s="274" t="n">
        <x:v>1110</x:v>
      </x:c>
      <x:c r="K6418" s="274" t="n">
        <x:v>425</x:v>
      </x:c>
      <x:c r="M6418" s="274" t="s">
        <x:v>5606</x:v>
      </x:c>
      <x:c r="N6418" s="274" t="s">
        <x:v>4258</x:v>
      </x:c>
    </x:row>
    <x:row r="6419" spans="1:14">
      <x:c r="A6419" s="274" t="s">
        <x:v>10671</x:v>
      </x:c>
      <x:c r="B6419" s="274" t="n">
        <x:v>4.04</x:v>
      </x:c>
      <x:c r="C6419" s="274" t="n">
        <x:v>0</x:v>
      </x:c>
      <x:c r="D6419" s="274" t="n">
        <x:v>45</x:v>
      </x:c>
      <x:c r="E6419" s="274" t="n">
        <x:v>40</x:v>
      </x:c>
      <x:c r="F6419" s="274" t="s">
        <x:v>333</x:v>
      </x:c>
      <x:c r="G6419" s="274" t="s">
        <x:v>4663</x:v>
      </x:c>
      <x:c r="I6419" s="274" t="n">
        <x:v>1</x:v>
      </x:c>
      <x:c r="J6419" s="274" t="n">
        <x:v>1110</x:v>
      </x:c>
      <x:c r="K6419" s="274" t="n">
        <x:v>464</x:v>
      </x:c>
      <x:c r="M6419" s="274" t="s">
        <x:v>4976</x:v>
      </x:c>
      <x:c r="N6419" s="274" t="s">
        <x:v>4258</x:v>
      </x:c>
    </x:row>
    <x:row r="6420" spans="1:14">
      <x:c r="A6420" s="274" t="s">
        <x:v>10672</x:v>
      </x:c>
      <x:c r="B6420" s="274" t="n">
        <x:v>4.56</x:v>
      </x:c>
      <x:c r="C6420" s="274" t="n">
        <x:v>0</x:v>
      </x:c>
      <x:c r="D6420" s="274" t="n">
        <x:v>45</x:v>
      </x:c>
      <x:c r="E6420" s="274" t="n">
        <x:v>40</x:v>
      </x:c>
      <x:c r="F6420" s="274" t="s">
        <x:v>333</x:v>
      </x:c>
      <x:c r="G6420" s="274" t="s">
        <x:v>4663</x:v>
      </x:c>
      <x:c r="I6420" s="274" t="n">
        <x:v>1.2</x:v>
      </x:c>
      <x:c r="J6420" s="274" t="n">
        <x:v>1100</x:v>
      </x:c>
      <x:c r="K6420" s="274" t="n">
        <x:v>440</x:v>
      </x:c>
      <x:c r="M6420" s="274" t="s">
        <x:v>5038</x:v>
      </x:c>
      <x:c r="N6420" s="274" t="s">
        <x:v>4258</x:v>
      </x:c>
    </x:row>
    <x:row r="6421" spans="1:14">
      <x:c r="A6421" s="274" t="s">
        <x:v>10673</x:v>
      </x:c>
      <x:c r="B6421" s="274" t="n">
        <x:v>3.89</x:v>
      </x:c>
      <x:c r="C6421" s="274" t="n">
        <x:v>0</x:v>
      </x:c>
      <x:c r="D6421" s="274" t="n">
        <x:v>45</x:v>
      </x:c>
      <x:c r="E6421" s="274" t="n">
        <x:v>40</x:v>
      </x:c>
      <x:c r="F6421" s="274" t="s">
        <x:v>333</x:v>
      </x:c>
      <x:c r="G6421" s="274" t="s">
        <x:v>4663</x:v>
      </x:c>
      <x:c r="I6421" s="274" t="n">
        <x:v>1.2</x:v>
      </x:c>
      <x:c r="J6421" s="274" t="n">
        <x:v>1100</x:v>
      </x:c>
      <x:c r="K6421" s="274" t="n">
        <x:v>375</x:v>
      </x:c>
      <x:c r="M6421" s="274" t="s">
        <x:v>10674</x:v>
      </x:c>
      <x:c r="N6421" s="274" t="s">
        <x:v>4258</x:v>
      </x:c>
    </x:row>
    <x:row r="6422" spans="1:14">
      <x:c r="A6422" s="274" t="s">
        <x:v>10675</x:v>
      </x:c>
      <x:c r="B6422" s="274" t="n">
        <x:v>6.01</x:v>
      </x:c>
      <x:c r="C6422" s="274" t="n">
        <x:v>0</x:v>
      </x:c>
      <x:c r="D6422" s="274" t="n">
        <x:v>45</x:v>
      </x:c>
      <x:c r="E6422" s="274" t="n">
        <x:v>40</x:v>
      </x:c>
      <x:c r="F6422" s="274" t="s">
        <x:v>333</x:v>
      </x:c>
      <x:c r="G6422" s="274" t="s">
        <x:v>4663</x:v>
      </x:c>
      <x:c r="I6422" s="274" t="n">
        <x:v>1.2</x:v>
      </x:c>
      <x:c r="J6422" s="274" t="n">
        <x:v>1100</x:v>
      </x:c>
      <x:c r="K6422" s="274" t="n">
        <x:v>580</x:v>
      </x:c>
      <x:c r="M6422" s="274" t="s">
        <x:v>7486</x:v>
      </x:c>
      <x:c r="N6422" s="274" t="s">
        <x:v>4258</x:v>
      </x:c>
    </x:row>
    <x:row r="6423" spans="1:14">
      <x:c r="A6423" s="274" t="s">
        <x:v>10676</x:v>
      </x:c>
      <x:c r="B6423" s="274" t="n">
        <x:v>4.66</x:v>
      </x:c>
      <x:c r="C6423" s="274" t="n">
        <x:v>0</x:v>
      </x:c>
      <x:c r="D6423" s="274" t="n">
        <x:v>45</x:v>
      </x:c>
      <x:c r="E6423" s="274" t="n">
        <x:v>40</x:v>
      </x:c>
      <x:c r="F6423" s="274" t="s">
        <x:v>333</x:v>
      </x:c>
      <x:c r="G6423" s="274" t="s">
        <x:v>4663</x:v>
      </x:c>
      <x:c r="I6423" s="274" t="n">
        <x:v>1.2</x:v>
      </x:c>
      <x:c r="J6423" s="274" t="n">
        <x:v>1100</x:v>
      </x:c>
      <x:c r="K6423" s="274" t="n">
        <x:v>450</x:v>
      </x:c>
      <x:c r="M6423" s="274" t="s">
        <x:v>5125</x:v>
      </x:c>
      <x:c r="N6423" s="274" t="s">
        <x:v>4258</x:v>
      </x:c>
    </x:row>
    <x:row r="6424" spans="1:14">
      <x:c r="A6424" s="274" t="s">
        <x:v>10677</x:v>
      </x:c>
      <x:c r="B6424" s="274" t="n">
        <x:v>3.52</x:v>
      </x:c>
      <x:c r="C6424" s="274" t="n">
        <x:v>0</x:v>
      </x:c>
      <x:c r="D6424" s="274" t="n">
        <x:v>45</x:v>
      </x:c>
      <x:c r="E6424" s="274" t="n">
        <x:v>40</x:v>
      </x:c>
      <x:c r="F6424" s="274" t="s">
        <x:v>333</x:v>
      </x:c>
      <x:c r="G6424" s="274" t="s">
        <x:v>4663</x:v>
      </x:c>
      <x:c r="I6424" s="274" t="n">
        <x:v>1.2</x:v>
      </x:c>
      <x:c r="J6424" s="274" t="n">
        <x:v>1100</x:v>
      </x:c>
      <x:c r="K6424" s="274" t="n">
        <x:v>340</x:v>
      </x:c>
      <x:c r="M6424" s="274" t="s">
        <x:v>5127</x:v>
      </x:c>
      <x:c r="N6424" s="274" t="s">
        <x:v>4258</x:v>
      </x:c>
    </x:row>
    <x:row r="6425" spans="1:14">
      <x:c r="A6425" s="274" t="s">
        <x:v>10678</x:v>
      </x:c>
      <x:c r="B6425" s="274" t="n">
        <x:v>3.71</x:v>
      </x:c>
      <x:c r="C6425" s="274" t="n">
        <x:v>0</x:v>
      </x:c>
      <x:c r="D6425" s="274" t="n">
        <x:v>45</x:v>
      </x:c>
      <x:c r="E6425" s="274" t="n">
        <x:v>40</x:v>
      </x:c>
      <x:c r="F6425" s="274" t="s">
        <x:v>333</x:v>
      </x:c>
      <x:c r="G6425" s="274" t="s">
        <x:v>4663</x:v>
      </x:c>
      <x:c r="I6425" s="274" t="n">
        <x:v>1.2</x:v>
      </x:c>
      <x:c r="J6425" s="274" t="n">
        <x:v>1100</x:v>
      </x:c>
      <x:c r="K6425" s="274" t="n">
        <x:v>358</x:v>
      </x:c>
      <x:c r="M6425" s="274" t="s">
        <x:v>4703</x:v>
      </x:c>
      <x:c r="N6425" s="274" t="s">
        <x:v>4258</x:v>
      </x:c>
    </x:row>
    <x:row r="6426" spans="1:14">
      <x:c r="A6426" s="274" t="s">
        <x:v>10679</x:v>
      </x:c>
      <x:c r="B6426" s="274" t="n">
        <x:v>3.63</x:v>
      </x:c>
      <x:c r="C6426" s="274" t="n">
        <x:v>0</x:v>
      </x:c>
      <x:c r="D6426" s="274" t="n">
        <x:v>45</x:v>
      </x:c>
      <x:c r="E6426" s="274" t="n">
        <x:v>40</x:v>
      </x:c>
      <x:c r="F6426" s="274" t="s">
        <x:v>333</x:v>
      </x:c>
      <x:c r="G6426" s="274" t="s">
        <x:v>4663</x:v>
      </x:c>
      <x:c r="I6426" s="274" t="n">
        <x:v>1.2</x:v>
      </x:c>
      <x:c r="J6426" s="274" t="n">
        <x:v>1100</x:v>
      </x:c>
      <x:c r="K6426" s="274" t="n">
        <x:v>350</x:v>
      </x:c>
      <x:c r="M6426" s="274" t="s">
        <x:v>4703</x:v>
      </x:c>
      <x:c r="N6426" s="274" t="s">
        <x:v>4258</x:v>
      </x:c>
    </x:row>
    <x:row r="6427" spans="1:14">
      <x:c r="A6427" s="274" t="s">
        <x:v>10680</x:v>
      </x:c>
      <x:c r="B6427" s="274" t="n">
        <x:v>5.2</x:v>
      </x:c>
      <x:c r="C6427" s="274" t="n">
        <x:v>0</x:v>
      </x:c>
      <x:c r="D6427" s="274" t="n">
        <x:v>45</x:v>
      </x:c>
      <x:c r="E6427" s="274" t="n">
        <x:v>40</x:v>
      </x:c>
      <x:c r="F6427" s="274" t="s">
        <x:v>333</x:v>
      </x:c>
      <x:c r="G6427" s="274" t="s">
        <x:v>4663</x:v>
      </x:c>
      <x:c r="I6427" s="274" t="n">
        <x:v>1.2</x:v>
      </x:c>
      <x:c r="J6427" s="274" t="n">
        <x:v>1100</x:v>
      </x:c>
      <x:c r="K6427" s="274" t="n">
        <x:v>502</x:v>
      </x:c>
      <x:c r="M6427" s="274" t="s">
        <x:v>4707</x:v>
      </x:c>
      <x:c r="N6427" s="274" t="s">
        <x:v>4258</x:v>
      </x:c>
    </x:row>
    <x:row r="6428" spans="1:14">
      <x:c r="A6428" s="274" t="s">
        <x:v>10681</x:v>
      </x:c>
      <x:c r="B6428" s="274" t="n">
        <x:v>5.28</x:v>
      </x:c>
      <x:c r="C6428" s="274" t="n">
        <x:v>0</x:v>
      </x:c>
      <x:c r="D6428" s="274" t="n">
        <x:v>45</x:v>
      </x:c>
      <x:c r="E6428" s="274" t="n">
        <x:v>40</x:v>
      </x:c>
      <x:c r="F6428" s="274" t="s">
        <x:v>333</x:v>
      </x:c>
      <x:c r="G6428" s="274" t="s">
        <x:v>4663</x:v>
      </x:c>
      <x:c r="I6428" s="274" t="n">
        <x:v>1.2</x:v>
      </x:c>
      <x:c r="J6428" s="274" t="n">
        <x:v>1100</x:v>
      </x:c>
      <x:c r="K6428" s="274" t="n">
        <x:v>510</x:v>
      </x:c>
      <x:c r="M6428" s="274" t="s">
        <x:v>4928</x:v>
      </x:c>
      <x:c r="N6428" s="274" t="s">
        <x:v>4258</x:v>
      </x:c>
    </x:row>
    <x:row r="6429" spans="1:14">
      <x:c r="A6429" s="274" t="s">
        <x:v>10682</x:v>
      </x:c>
      <x:c r="B6429" s="274" t="n">
        <x:v>3.54</x:v>
      </x:c>
      <x:c r="C6429" s="274" t="n">
        <x:v>0</x:v>
      </x:c>
      <x:c r="D6429" s="274" t="n">
        <x:v>45</x:v>
      </x:c>
      <x:c r="E6429" s="274" t="n">
        <x:v>40</x:v>
      </x:c>
      <x:c r="F6429" s="274" t="s">
        <x:v>333</x:v>
      </x:c>
      <x:c r="G6429" s="274" t="s">
        <x:v>4663</x:v>
      </x:c>
      <x:c r="I6429" s="274" t="n">
        <x:v>1.2</x:v>
      </x:c>
      <x:c r="J6429" s="274" t="n">
        <x:v>1100</x:v>
      </x:c>
      <x:c r="K6429" s="274" t="n">
        <x:v>342</x:v>
      </x:c>
      <x:c r="M6429" s="274" t="s">
        <x:v>4928</x:v>
      </x:c>
      <x:c r="N6429" s="274" t="s">
        <x:v>4258</x:v>
      </x:c>
    </x:row>
    <x:row r="6430" spans="1:14">
      <x:c r="A6430" s="274" t="s">
        <x:v>10683</x:v>
      </x:c>
      <x:c r="B6430" s="274" t="n">
        <x:v>4.19</x:v>
      </x:c>
      <x:c r="C6430" s="274" t="n">
        <x:v>0</x:v>
      </x:c>
      <x:c r="D6430" s="274" t="n">
        <x:v>45</x:v>
      </x:c>
      <x:c r="E6430" s="274" t="n">
        <x:v>40</x:v>
      </x:c>
      <x:c r="F6430" s="274" t="s">
        <x:v>333</x:v>
      </x:c>
      <x:c r="G6430" s="274" t="s">
        <x:v>4663</x:v>
      </x:c>
      <x:c r="I6430" s="274" t="n">
        <x:v>1.2</x:v>
      </x:c>
      <x:c r="J6430" s="274" t="n">
        <x:v>1100</x:v>
      </x:c>
      <x:c r="K6430" s="274" t="n">
        <x:v>404</x:v>
      </x:c>
      <x:c r="M6430" s="274" t="s">
        <x:v>7496</x:v>
      </x:c>
      <x:c r="N6430" s="274" t="s">
        <x:v>4258</x:v>
      </x:c>
    </x:row>
    <x:row r="6431" spans="1:14">
      <x:c r="A6431" s="274" t="s">
        <x:v>10684</x:v>
      </x:c>
      <x:c r="B6431" s="274" t="n">
        <x:v>3.94</x:v>
      </x:c>
      <x:c r="C6431" s="274" t="n">
        <x:v>0</x:v>
      </x:c>
      <x:c r="D6431" s="274" t="n">
        <x:v>45</x:v>
      </x:c>
      <x:c r="E6431" s="274" t="n">
        <x:v>40</x:v>
      </x:c>
      <x:c r="F6431" s="274" t="s">
        <x:v>333</x:v>
      </x:c>
      <x:c r="G6431" s="274" t="s">
        <x:v>4663</x:v>
      </x:c>
      <x:c r="I6431" s="274" t="n">
        <x:v>1.2</x:v>
      </x:c>
      <x:c r="J6431" s="274" t="n">
        <x:v>1100</x:v>
      </x:c>
      <x:c r="K6431" s="274" t="n">
        <x:v>380</x:v>
      </x:c>
      <x:c r="M6431" s="274" t="s">
        <x:v>7498</x:v>
      </x:c>
      <x:c r="N6431" s="274" t="s">
        <x:v>4258</x:v>
      </x:c>
    </x:row>
    <x:row r="6432" spans="1:14">
      <x:c r="A6432" s="274" t="s">
        <x:v>10685</x:v>
      </x:c>
      <x:c r="B6432" s="274" t="n">
        <x:v>5.55</x:v>
      </x:c>
      <x:c r="C6432" s="274" t="n">
        <x:v>0</x:v>
      </x:c>
      <x:c r="D6432" s="274" t="n">
        <x:v>45</x:v>
      </x:c>
      <x:c r="E6432" s="274" t="n">
        <x:v>40</x:v>
      </x:c>
      <x:c r="F6432" s="274" t="s">
        <x:v>333</x:v>
      </x:c>
      <x:c r="G6432" s="274" t="s">
        <x:v>4286</x:v>
      </x:c>
      <x:c r="I6432" s="274" t="n">
        <x:v>1</x:v>
      </x:c>
      <x:c r="J6432" s="274" t="n">
        <x:v>1025</x:v>
      </x:c>
      <x:c r="K6432" s="274" t="n">
        <x:v>690</x:v>
      </x:c>
      <x:c r="M6432" s="274" t="s">
        <x:v>4972</x:v>
      </x:c>
      <x:c r="N6432" s="274" t="s">
        <x:v>4258</x:v>
      </x:c>
    </x:row>
    <x:row r="6433" spans="1:14">
      <x:c r="A6433" s="274" t="s">
        <x:v>10686</x:v>
      </x:c>
      <x:c r="B6433" s="274" t="n">
        <x:v>5.92</x:v>
      </x:c>
      <x:c r="C6433" s="274" t="n">
        <x:v>0</x:v>
      </x:c>
      <x:c r="D6433" s="274" t="n">
        <x:v>45</x:v>
      </x:c>
      <x:c r="E6433" s="274" t="n">
        <x:v>40</x:v>
      </x:c>
      <x:c r="F6433" s="274" t="s">
        <x:v>333</x:v>
      </x:c>
      <x:c r="G6433" s="274" t="s">
        <x:v>4286</x:v>
      </x:c>
      <x:c r="I6433" s="274" t="n">
        <x:v>1</x:v>
      </x:c>
      <x:c r="J6433" s="274" t="n">
        <x:v>1025</x:v>
      </x:c>
      <x:c r="K6433" s="274" t="n">
        <x:v>736</x:v>
      </x:c>
      <x:c r="M6433" s="274" t="s">
        <x:v>4970</x:v>
      </x:c>
      <x:c r="N6433" s="274" t="s">
        <x:v>4258</x:v>
      </x:c>
    </x:row>
    <x:row r="6434" spans="1:14">
      <x:c r="A6434" s="274" t="s">
        <x:v>10687</x:v>
      </x:c>
      <x:c r="B6434" s="274" t="n">
        <x:v>4.6</x:v>
      </x:c>
      <x:c r="C6434" s="274" t="n">
        <x:v>0</x:v>
      </x:c>
      <x:c r="D6434" s="274" t="n">
        <x:v>45</x:v>
      </x:c>
      <x:c r="E6434" s="274" t="n">
        <x:v>40</x:v>
      </x:c>
      <x:c r="F6434" s="274" t="s">
        <x:v>333</x:v>
      </x:c>
      <x:c r="G6434" s="274" t="s">
        <x:v>4663</x:v>
      </x:c>
      <x:c r="I6434" s="274" t="n">
        <x:v>1.2</x:v>
      </x:c>
      <x:c r="J6434" s="274" t="n">
        <x:v>1394</x:v>
      </x:c>
      <x:c r="K6434" s="274" t="n">
        <x:v>350</x:v>
      </x:c>
      <x:c r="M6434" s="274" t="s">
        <x:v>7505</x:v>
      </x:c>
      <x:c r="N6434" s="274" t="s">
        <x:v>4258</x:v>
      </x:c>
    </x:row>
    <x:row r="6435" spans="1:14">
      <x:c r="A6435" s="274" t="s">
        <x:v>10688</x:v>
      </x:c>
      <x:c r="B6435" s="274" t="n">
        <x:v>6.3</x:v>
      </x:c>
      <x:c r="C6435" s="274" t="n">
        <x:v>0</x:v>
      </x:c>
      <x:c r="D6435" s="274" t="n">
        <x:v>45</x:v>
      </x:c>
      <x:c r="E6435" s="274" t="n">
        <x:v>40</x:v>
      </x:c>
      <x:c r="F6435" s="274" t="s">
        <x:v>333</x:v>
      </x:c>
      <x:c r="G6435" s="274" t="s">
        <x:v>4663</x:v>
      </x:c>
      <x:c r="I6435" s="274" t="n">
        <x:v>1.2</x:v>
      </x:c>
      <x:c r="J6435" s="274" t="n">
        <x:v>1394</x:v>
      </x:c>
      <x:c r="K6435" s="274" t="n">
        <x:v>480</x:v>
      </x:c>
      <x:c r="M6435" s="274" t="s">
        <x:v>7507</x:v>
      </x:c>
      <x:c r="N6435" s="274" t="s">
        <x:v>4258</x:v>
      </x:c>
    </x:row>
    <x:row r="6436" spans="1:14">
      <x:c r="A6436" s="274" t="s">
        <x:v>10689</x:v>
      </x:c>
      <x:c r="B6436" s="274" t="n">
        <x:v>6.57</x:v>
      </x:c>
      <x:c r="C6436" s="274" t="n">
        <x:v>0</x:v>
      </x:c>
      <x:c r="D6436" s="274" t="n">
        <x:v>45</x:v>
      </x:c>
      <x:c r="E6436" s="274" t="n">
        <x:v>40</x:v>
      </x:c>
      <x:c r="F6436" s="274" t="s">
        <x:v>333</x:v>
      </x:c>
      <x:c r="G6436" s="274" t="s">
        <x:v>4663</x:v>
      </x:c>
      <x:c r="I6436" s="274" t="n">
        <x:v>1.2</x:v>
      </x:c>
      <x:c r="J6436" s="274" t="n">
        <x:v>1394</x:v>
      </x:c>
      <x:c r="K6436" s="274" t="n">
        <x:v>500</x:v>
      </x:c>
      <x:c r="M6436" s="274" t="s">
        <x:v>7509</x:v>
      </x:c>
      <x:c r="N6436" s="274" t="s">
        <x:v>4258</x:v>
      </x:c>
    </x:row>
    <x:row r="6437" spans="1:14">
      <x:c r="A6437" s="274" t="s">
        <x:v>10690</x:v>
      </x:c>
      <x:c r="B6437" s="274" t="n">
        <x:v>5.48</x:v>
      </x:c>
      <x:c r="C6437" s="274" t="n">
        <x:v>0</x:v>
      </x:c>
      <x:c r="D6437" s="274" t="n">
        <x:v>45</x:v>
      </x:c>
      <x:c r="E6437" s="274" t="n">
        <x:v>40</x:v>
      </x:c>
      <x:c r="F6437" s="274" t="s">
        <x:v>333</x:v>
      </x:c>
      <x:c r="G6437" s="274" t="s">
        <x:v>4663</x:v>
      </x:c>
      <x:c r="I6437" s="274" t="n">
        <x:v>1.4</x:v>
      </x:c>
      <x:c r="J6437" s="274" t="n">
        <x:v>1205</x:v>
      </x:c>
      <x:c r="K6437" s="274" t="n">
        <x:v>414</x:v>
      </x:c>
      <x:c r="M6437" s="274" t="s">
        <x:v>5171</x:v>
      </x:c>
      <x:c r="N6437" s="274" t="s">
        <x:v>4258</x:v>
      </x:c>
    </x:row>
    <x:row r="6438" spans="1:14">
      <x:c r="A6438" s="274" t="s">
        <x:v>10691</x:v>
      </x:c>
      <x:c r="B6438" s="274" t="n">
        <x:v>3.01</x:v>
      </x:c>
      <x:c r="C6438" s="274" t="n">
        <x:v>0</x:v>
      </x:c>
      <x:c r="D6438" s="274" t="n">
        <x:v>45</x:v>
      </x:c>
      <x:c r="E6438" s="274" t="n">
        <x:v>40</x:v>
      </x:c>
      <x:c r="F6438" s="274" t="s">
        <x:v>333</x:v>
      </x:c>
      <x:c r="G6438" s="274" t="s">
        <x:v>4663</x:v>
      </x:c>
      <x:c r="I6438" s="274" t="n">
        <x:v>0.8</x:v>
      </x:c>
      <x:c r="J6438" s="274" t="n">
        <x:v>1159</x:v>
      </x:c>
      <x:c r="K6438" s="274" t="n">
        <x:v>413</x:v>
      </x:c>
      <x:c r="M6438" s="274" t="s">
        <x:v>4698</x:v>
      </x:c>
      <x:c r="N6438" s="274" t="s">
        <x:v>4258</x:v>
      </x:c>
    </x:row>
    <x:row r="6439" spans="1:14">
      <x:c r="A6439" s="274" t="s">
        <x:v>10692</x:v>
      </x:c>
      <x:c r="B6439" s="274" t="n">
        <x:v>2.95</x:v>
      </x:c>
      <x:c r="C6439" s="274" t="n">
        <x:v>0</x:v>
      </x:c>
      <x:c r="D6439" s="274" t="n">
        <x:v>45</x:v>
      </x:c>
      <x:c r="E6439" s="274" t="n">
        <x:v>40</x:v>
      </x:c>
      <x:c r="F6439" s="274" t="s">
        <x:v>333</x:v>
      </x:c>
      <x:c r="G6439" s="274" t="s">
        <x:v>4663</x:v>
      </x:c>
      <x:c r="I6439" s="274" t="n">
        <x:v>0.8</x:v>
      </x:c>
      <x:c r="J6439" s="274" t="n">
        <x:v>1159</x:v>
      </x:c>
      <x:c r="K6439" s="274" t="n">
        <x:v>405</x:v>
      </x:c>
      <x:c r="M6439" s="274" t="s">
        <x:v>4713</x:v>
      </x:c>
      <x:c r="N6439" s="274" t="s">
        <x:v>4258</x:v>
      </x:c>
    </x:row>
    <x:row r="6440" spans="1:14">
      <x:c r="A6440" s="274" t="s">
        <x:v>10693</x:v>
      </x:c>
      <x:c r="B6440" s="274" t="n">
        <x:v>3.16</x:v>
      </x:c>
      <x:c r="C6440" s="274" t="n">
        <x:v>0</x:v>
      </x:c>
      <x:c r="D6440" s="274" t="n">
        <x:v>45</x:v>
      </x:c>
      <x:c r="E6440" s="274" t="n">
        <x:v>40</x:v>
      </x:c>
      <x:c r="F6440" s="274" t="s">
        <x:v>333</x:v>
      </x:c>
      <x:c r="G6440" s="274" t="s">
        <x:v>4663</x:v>
      </x:c>
      <x:c r="I6440" s="274" t="n">
        <x:v>0.8</x:v>
      </x:c>
      <x:c r="J6440" s="274" t="n">
        <x:v>1159</x:v>
      </x:c>
      <x:c r="K6440" s="274" t="n">
        <x:v>434</x:v>
      </x:c>
      <x:c r="M6440" s="274" t="s">
        <x:v>4711</x:v>
      </x:c>
      <x:c r="N6440" s="274" t="s">
        <x:v>4258</x:v>
      </x:c>
    </x:row>
    <x:row r="6441" spans="1:14">
      <x:c r="A6441" s="274" t="s">
        <x:v>10694</x:v>
      </x:c>
      <x:c r="B6441" s="274" t="n">
        <x:v>15.31</x:v>
      </x:c>
      <x:c r="C6441" s="274" t="n">
        <x:v>0</x:v>
      </x:c>
      <x:c r="D6441" s="274" t="n">
        <x:v>35</x:v>
      </x:c>
      <x:c r="E6441" s="274" t="n">
        <x:v>30</x:v>
      </x:c>
      <x:c r="F6441" s="274" t="s">
        <x:v>184</x:v>
      </x:c>
      <x:c r="G6441" s="274" t="s">
        <x:v>4782</x:v>
      </x:c>
      <x:c r="H6441" s="274" t="s">
        <x:v>4471</x:v>
      </x:c>
      <x:c r="I6441" s="274" t="n">
        <x:v>1.2</x:v>
      </x:c>
      <x:c r="J6441" s="274" t="n">
        <x:v>1288</x:v>
      </x:c>
      <x:c r="K6441" s="274" t="n">
        <x:v>1250</x:v>
      </x:c>
      <x:c r="M6441" s="274" t="s">
        <x:v>5525</x:v>
      </x:c>
      <x:c r="N6441" s="274" t="s">
        <x:v>4258</x:v>
      </x:c>
    </x:row>
    <x:row r="6442" spans="1:14">
      <x:c r="A6442" s="274" t="s">
        <x:v>10695</x:v>
      </x:c>
      <x:c r="B6442" s="274" t="n">
        <x:v>4.61</x:v>
      </x:c>
      <x:c r="C6442" s="274" t="n">
        <x:v>0</x:v>
      </x:c>
      <x:c r="D6442" s="274" t="n">
        <x:v>45</x:v>
      </x:c>
      <x:c r="E6442" s="274" t="n">
        <x:v>40</x:v>
      </x:c>
      <x:c r="F6442" s="274" t="s">
        <x:v>184</x:v>
      </x:c>
      <x:c r="G6442" s="274" t="s">
        <x:v>4782</x:v>
      </x:c>
      <x:c r="H6442" s="274" t="s">
        <x:v>4471</x:v>
      </x:c>
      <x:c r="I6442" s="274" t="n">
        <x:v>1.2</x:v>
      </x:c>
      <x:c r="J6442" s="274" t="n">
        <x:v>1288</x:v>
      </x:c>
      <x:c r="K6442" s="274" t="n">
        <x:v>376</x:v>
      </x:c>
      <x:c r="M6442" s="274" t="s">
        <x:v>7387</x:v>
      </x:c>
      <x:c r="N6442" s="274" t="s">
        <x:v>4258</x:v>
      </x:c>
    </x:row>
    <x:row r="6443" spans="1:14">
      <x:c r="A6443" s="274" t="s">
        <x:v>10696</x:v>
      </x:c>
      <x:c r="B6443" s="274" t="n">
        <x:v>2.79</x:v>
      </x:c>
      <x:c r="C6443" s="274" t="n">
        <x:v>0</x:v>
      </x:c>
      <x:c r="D6443" s="274" t="n">
        <x:v>45</x:v>
      </x:c>
      <x:c r="E6443" s="274" t="n">
        <x:v>40</x:v>
      </x:c>
      <x:c r="F6443" s="274" t="s">
        <x:v>333</x:v>
      </x:c>
      <x:c r="G6443" s="274" t="s">
        <x:v>6639</x:v>
      </x:c>
      <x:c r="I6443" s="274" t="n">
        <x:v>0.75</x:v>
      </x:c>
      <x:c r="J6443" s="274" t="n">
        <x:v>1308</x:v>
      </x:c>
      <x:c r="K6443" s="274" t="n">
        <x:v>362</x:v>
      </x:c>
      <x:c r="N6443" s="274" t="s">
        <x:v>7534</x:v>
      </x:c>
    </x:row>
    <x:row r="6444" spans="1:14">
      <x:c r="A6444" s="274" t="s">
        <x:v>10697</x:v>
      </x:c>
      <x:c r="B6444" s="274" t="n">
        <x:v>3.44</x:v>
      </x:c>
      <x:c r="C6444" s="274" t="n">
        <x:v>0</x:v>
      </x:c>
      <x:c r="D6444" s="274" t="n">
        <x:v>45</x:v>
      </x:c>
      <x:c r="E6444" s="274" t="n">
        <x:v>40</x:v>
      </x:c>
      <x:c r="F6444" s="274" t="s">
        <x:v>333</x:v>
      </x:c>
      <x:c r="G6444" s="274" t="s">
        <x:v>4286</x:v>
      </x:c>
      <x:c r="I6444" s="274" t="n">
        <x:v>1.2</x:v>
      </x:c>
      <x:c r="J6444" s="274" t="n">
        <x:v>1062</x:v>
      </x:c>
      <x:c r="K6444" s="274" t="n">
        <x:v>344</x:v>
      </x:c>
      <x:c r="M6444" s="274" t="s">
        <x:v>5034</x:v>
      </x:c>
      <x:c r="N6444" s="274" t="s">
        <x:v>4258</x:v>
      </x:c>
    </x:row>
    <x:row r="6445" spans="1:14">
      <x:c r="A6445" s="274" t="s">
        <x:v>10698</x:v>
      </x:c>
      <x:c r="B6445" s="274" t="n">
        <x:v>4.54</x:v>
      </x:c>
      <x:c r="C6445" s="274" t="n">
        <x:v>0</x:v>
      </x:c>
      <x:c r="D6445" s="274" t="n">
        <x:v>45</x:v>
      </x:c>
      <x:c r="E6445" s="274" t="n">
        <x:v>40</x:v>
      </x:c>
      <x:c r="F6445" s="274" t="s">
        <x:v>333</x:v>
      </x:c>
      <x:c r="G6445" s="274" t="s">
        <x:v>4286</x:v>
      </x:c>
      <x:c r="I6445" s="274" t="n">
        <x:v>1.2</x:v>
      </x:c>
      <x:c r="J6445" s="274" t="n">
        <x:v>1400</x:v>
      </x:c>
      <x:c r="K6445" s="274" t="n">
        <x:v>344</x:v>
      </x:c>
      <x:c r="M6445" s="274" t="s">
        <x:v>5034</x:v>
      </x:c>
      <x:c r="N6445" s="274" t="s">
        <x:v>4258</x:v>
      </x:c>
    </x:row>
    <x:row r="6446" spans="1:14">
      <x:c r="A6446" s="274" t="s">
        <x:v>10699</x:v>
      </x:c>
      <x:c r="B6446" s="274" t="n">
        <x:v>4.98</x:v>
      </x:c>
      <x:c r="C6446" s="274" t="n">
        <x:v>0</x:v>
      </x:c>
      <x:c r="D6446" s="274" t="n">
        <x:v>42</x:v>
      </x:c>
      <x:c r="E6446" s="274" t="n">
        <x:v>40</x:v>
      </x:c>
      <x:c r="F6446" s="274" t="s">
        <x:v>333</x:v>
      </x:c>
      <x:c r="G6446" s="274" t="s">
        <x:v>4663</x:v>
      </x:c>
      <x:c r="I6446" s="274" t="n">
        <x:v>1.4</x:v>
      </x:c>
      <x:c r="J6446" s="274" t="n">
        <x:v>1205</x:v>
      </x:c>
      <x:c r="K6446" s="274" t="n">
        <x:v>376</x:v>
      </x:c>
      <x:c r="M6446" s="274" t="s">
        <x:v>5175</x:v>
      </x:c>
      <x:c r="N6446" s="274" t="s">
        <x:v>4258</x:v>
      </x:c>
    </x:row>
    <x:row r="6447" spans="1:14">
      <x:c r="A6447" s="274" t="s">
        <x:v>10700</x:v>
      </x:c>
      <x:c r="B6447" s="274" t="n">
        <x:v>5.89</x:v>
      </x:c>
      <x:c r="C6447" s="274" t="n">
        <x:v>0</x:v>
      </x:c>
      <x:c r="D6447" s="274" t="n">
        <x:v>42</x:v>
      </x:c>
      <x:c r="E6447" s="274" t="n">
        <x:v>40</x:v>
      </x:c>
      <x:c r="F6447" s="274" t="s">
        <x:v>333</x:v>
      </x:c>
      <x:c r="G6447" s="274" t="s">
        <x:v>4663</x:v>
      </x:c>
      <x:c r="I6447" s="274" t="n">
        <x:v>1.4</x:v>
      </x:c>
      <x:c r="J6447" s="274" t="n">
        <x:v>1205</x:v>
      </x:c>
      <x:c r="K6447" s="274" t="n">
        <x:v>445</x:v>
      </x:c>
      <x:c r="M6447" s="274" t="s">
        <x:v>5191</x:v>
      </x:c>
      <x:c r="N6447" s="274" t="s">
        <x:v>4258</x:v>
      </x:c>
    </x:row>
    <x:row r="6448" spans="1:14">
      <x:c r="A6448" s="274" t="s">
        <x:v>10701</x:v>
      </x:c>
      <x:c r="B6448" s="274" t="n">
        <x:v>6.01</x:v>
      </x:c>
      <x:c r="C6448" s="274" t="n">
        <x:v>0</x:v>
      </x:c>
      <x:c r="D6448" s="274" t="n">
        <x:v>42</x:v>
      </x:c>
      <x:c r="E6448" s="274" t="n">
        <x:v>40</x:v>
      </x:c>
      <x:c r="F6448" s="274" t="s">
        <x:v>333</x:v>
      </x:c>
      <x:c r="G6448" s="274" t="s">
        <x:v>4663</x:v>
      </x:c>
      <x:c r="I6448" s="274" t="n">
        <x:v>1.4</x:v>
      </x:c>
      <x:c r="J6448" s="274" t="n">
        <x:v>1205</x:v>
      </x:c>
      <x:c r="K6448" s="274" t="n">
        <x:v>454</x:v>
      </x:c>
      <x:c r="M6448" s="274" t="s">
        <x:v>5187</x:v>
      </x:c>
      <x:c r="N6448" s="274" t="s">
        <x:v>4258</x:v>
      </x:c>
    </x:row>
    <x:row r="6449" spans="1:14">
      <x:c r="A6449" s="274" t="s">
        <x:v>10702</x:v>
      </x:c>
      <x:c r="B6449" s="274" t="n">
        <x:v>5.3</x:v>
      </x:c>
      <x:c r="C6449" s="274" t="n">
        <x:v>0</x:v>
      </x:c>
      <x:c r="D6449" s="274" t="n">
        <x:v>42</x:v>
      </x:c>
      <x:c r="E6449" s="274" t="n">
        <x:v>40</x:v>
      </x:c>
      <x:c r="F6449" s="274" t="s">
        <x:v>333</x:v>
      </x:c>
      <x:c r="G6449" s="274" t="s">
        <x:v>4663</x:v>
      </x:c>
      <x:c r="I6449" s="274" t="n">
        <x:v>1.4</x:v>
      </x:c>
      <x:c r="J6449" s="274" t="n">
        <x:v>1205</x:v>
      </x:c>
      <x:c r="K6449" s="274" t="n">
        <x:v>400</x:v>
      </x:c>
      <x:c r="M6449" s="274" t="s">
        <x:v>5193</x:v>
      </x:c>
      <x:c r="N6449" s="274" t="s">
        <x:v>4258</x:v>
      </x:c>
    </x:row>
    <x:row r="6450" spans="1:14">
      <x:c r="A6450" s="274" t="s">
        <x:v>10703</x:v>
      </x:c>
      <x:c r="B6450" s="274" t="n">
        <x:v>6.18</x:v>
      </x:c>
      <x:c r="C6450" s="274" t="n">
        <x:v>0</x:v>
      </x:c>
      <x:c r="D6450" s="274" t="n">
        <x:v>40</x:v>
      </x:c>
      <x:c r="E6450" s="274" t="n">
        <x:v>35</x:v>
      </x:c>
      <x:c r="F6450" s="274" t="s">
        <x:v>184</x:v>
      </x:c>
      <x:c r="G6450" s="274" t="s">
        <x:v>4782</x:v>
      </x:c>
      <x:c r="H6450" s="274" t="s">
        <x:v>4471</x:v>
      </x:c>
      <x:c r="I6450" s="274" t="n">
        <x:v>0.55</x:v>
      </x:c>
      <x:c r="J6450" s="274" t="n">
        <x:v>1310</x:v>
      </x:c>
      <x:c r="K6450" s="274" t="n">
        <x:v>1070</x:v>
      </x:c>
      <x:c r="N6450" s="274" t="s">
        <x:v>4258</x:v>
      </x:c>
    </x:row>
    <x:row r="6451" spans="1:14">
      <x:c r="A6451" s="274" t="s">
        <x:v>10704</x:v>
      </x:c>
      <x:c r="B6451" s="274" t="n">
        <x:v>2.06</x:v>
      </x:c>
      <x:c r="C6451" s="274" t="n">
        <x:v>45</x:v>
      </x:c>
      <x:c r="D6451" s="274" t="n">
        <x:v>40</x:v>
      </x:c>
      <x:c r="E6451" s="274" t="n">
        <x:v>0</x:v>
      </x:c>
      <x:c r="F6451" s="274" t="s">
        <x:v>128</x:v>
      </x:c>
      <x:c r="G6451" s="274" t="s">
        <x:v>7109</x:v>
      </x:c>
      <x:c r="H6451" s="274" t="s">
        <x:v>285</x:v>
      </x:c>
      <x:c r="I6451" s="274" t="n">
        <x:v>0.65</x:v>
      </x:c>
      <x:c r="J6451" s="274" t="n">
        <x:v>1095</x:v>
      </x:c>
      <x:c r="K6451" s="274" t="n">
        <x:v>362</x:v>
      </x:c>
      <x:c r="N6451" s="274" t="s">
        <x:v>7534</x:v>
      </x:c>
    </x:row>
    <x:row r="6452" spans="1:14">
      <x:c r="A6452" s="274" t="s">
        <x:v>10705</x:v>
      </x:c>
      <x:c r="B6452" s="274" t="n">
        <x:v>5.07</x:v>
      </x:c>
      <x:c r="C6452" s="274" t="n">
        <x:v>0</x:v>
      </x:c>
      <x:c r="D6452" s="274" t="n">
        <x:v>45</x:v>
      </x:c>
      <x:c r="E6452" s="274" t="n">
        <x:v>40</x:v>
      </x:c>
      <x:c r="F6452" s="274" t="s">
        <x:v>333</x:v>
      </x:c>
      <x:c r="G6452" s="274" t="s">
        <x:v>4286</x:v>
      </x:c>
      <x:c r="I6452" s="274" t="n">
        <x:v>0.6</x:v>
      </x:c>
      <x:c r="J6452" s="274" t="n">
        <x:v>1255</x:v>
      </x:c>
      <x:c r="K6452" s="274" t="n">
        <x:v>857</x:v>
      </x:c>
      <x:c r="M6452" s="274" t="s">
        <x:v>4772</x:v>
      </x:c>
      <x:c r="N6452" s="274" t="s">
        <x:v>4258</x:v>
      </x:c>
    </x:row>
    <x:row r="6453" spans="1:14">
      <x:c r="A6453" s="274" t="s">
        <x:v>10706</x:v>
      </x:c>
      <x:c r="B6453" s="274" t="n">
        <x:v>4.61</x:v>
      </x:c>
      <x:c r="C6453" s="274" t="n">
        <x:v>0</x:v>
      </x:c>
      <x:c r="D6453" s="274" t="n">
        <x:v>45</x:v>
      </x:c>
      <x:c r="E6453" s="274" t="n">
        <x:v>40</x:v>
      </x:c>
      <x:c r="F6453" s="274" t="s">
        <x:v>333</x:v>
      </x:c>
      <x:c r="G6453" s="274" t="s">
        <x:v>4286</x:v>
      </x:c>
      <x:c r="I6453" s="274" t="n">
        <x:v>0.6</x:v>
      </x:c>
      <x:c r="J6453" s="274" t="n">
        <x:v>1255</x:v>
      </x:c>
      <x:c r="K6453" s="274" t="n">
        <x:v>780</x:v>
      </x:c>
      <x:c r="M6453" s="274" t="s">
        <x:v>4774</x:v>
      </x:c>
      <x:c r="N6453" s="274" t="s">
        <x:v>4258</x:v>
      </x:c>
    </x:row>
    <x:row r="6454" spans="1:14">
      <x:c r="A6454" s="274" t="s">
        <x:v>10707</x:v>
      </x:c>
      <x:c r="B6454" s="274" t="n">
        <x:v>2.36</x:v>
      </x:c>
      <x:c r="C6454" s="274" t="n">
        <x:v>0</x:v>
      </x:c>
      <x:c r="D6454" s="274" t="n">
        <x:v>45</x:v>
      </x:c>
      <x:c r="E6454" s="274" t="n">
        <x:v>40</x:v>
      </x:c>
      <x:c r="F6454" s="274" t="s">
        <x:v>184</x:v>
      </x:c>
      <x:c r="G6454" s="274" t="s">
        <x:v>4642</x:v>
      </x:c>
      <x:c r="H6454" s="274" t="s">
        <x:v>4471</x:v>
      </x:c>
      <x:c r="I6454" s="274" t="n">
        <x:v>0.6</x:v>
      </x:c>
      <x:c r="J6454" s="274" t="n">
        <x:v>1260</x:v>
      </x:c>
      <x:c r="K6454" s="274" t="n">
        <x:v>391</x:v>
      </x:c>
      <x:c r="M6454" s="274" t="s">
        <x:v>6462</x:v>
      </x:c>
      <x:c r="N6454" s="274" t="s">
        <x:v>4258</x:v>
      </x:c>
    </x:row>
    <x:row r="6455" spans="1:14">
      <x:c r="A6455" s="274" t="s">
        <x:v>10708</x:v>
      </x:c>
      <x:c r="B6455" s="274" t="n">
        <x:v>5.22</x:v>
      </x:c>
      <x:c r="C6455" s="274" t="n">
        <x:v>0</x:v>
      </x:c>
      <x:c r="D6455" s="274" t="n">
        <x:v>45</x:v>
      </x:c>
      <x:c r="E6455" s="274" t="n">
        <x:v>40</x:v>
      </x:c>
      <x:c r="F6455" s="274" t="s">
        <x:v>333</x:v>
      </x:c>
      <x:c r="G6455" s="274" t="s">
        <x:v>4663</x:v>
      </x:c>
      <x:c r="I6455" s="274" t="n">
        <x:v>0.65</x:v>
      </x:c>
      <x:c r="J6455" s="274" t="n">
        <x:v>1100</x:v>
      </x:c>
      <x:c r="K6455" s="274" t="n">
        <x:v>930</x:v>
      </x:c>
      <x:c r="M6455" s="274" t="s">
        <x:v>7579</x:v>
      </x:c>
      <x:c r="N6455" s="274" t="s">
        <x:v>4258</x:v>
      </x:c>
    </x:row>
    <x:row r="6456" spans="1:14">
      <x:c r="A6456" s="274" t="s">
        <x:v>10709</x:v>
      </x:c>
      <x:c r="B6456" s="274" t="n">
        <x:v>2.12</x:v>
      </x:c>
      <x:c r="C6456" s="274" t="n">
        <x:v>0</x:v>
      </x:c>
      <x:c r="D6456" s="274" t="n">
        <x:v>45</x:v>
      </x:c>
      <x:c r="E6456" s="274" t="n">
        <x:v>40</x:v>
      </x:c>
      <x:c r="F6456" s="274" t="s">
        <x:v>333</x:v>
      </x:c>
      <x:c r="G6456" s="274" t="s">
        <x:v>4663</x:v>
      </x:c>
      <x:c r="I6456" s="274" t="n">
        <x:v>0.65</x:v>
      </x:c>
      <x:c r="J6456" s="274" t="n">
        <x:v>1100</x:v>
      </x:c>
      <x:c r="K6456" s="274" t="n">
        <x:v>378</x:v>
      </x:c>
      <x:c r="M6456" s="274" t="s">
        <x:v>7579</x:v>
      </x:c>
      <x:c r="N6456" s="274" t="s">
        <x:v>4258</x:v>
      </x:c>
    </x:row>
    <x:row r="6457" spans="1:14">
      <x:c r="A6457" s="274" t="s">
        <x:v>10710</x:v>
      </x:c>
      <x:c r="B6457" s="274" t="n">
        <x:v>9.94</x:v>
      </x:c>
      <x:c r="C6457" s="274" t="n">
        <x:v>0</x:v>
      </x:c>
      <x:c r="D6457" s="274" t="n">
        <x:v>45</x:v>
      </x:c>
      <x:c r="E6457" s="274" t="n">
        <x:v>40</x:v>
      </x:c>
      <x:c r="F6457" s="274" t="s">
        <x:v>123</x:v>
      </x:c>
      <x:c r="G6457" s="274" t="s">
        <x:v>153</x:v>
      </x:c>
      <x:c r="I6457" s="274" t="n">
        <x:v>2.6</x:v>
      </x:c>
      <x:c r="J6457" s="274" t="n">
        <x:v>1245</x:v>
      </x:c>
      <x:c r="K6457" s="274" t="n">
        <x:v>391</x:v>
      </x:c>
      <x:c r="M6457" s="274" t="s">
        <x:v>7585</x:v>
      </x:c>
      <x:c r="N6457" s="274" t="s">
        <x:v>299</x:v>
      </x:c>
    </x:row>
    <x:row r="6458" spans="1:14">
      <x:c r="A6458" s="274" t="s">
        <x:v>10711</x:v>
      </x:c>
      <x:c r="B6458" s="274" t="n">
        <x:v>3.45</x:v>
      </x:c>
      <x:c r="C6458" s="274" t="n">
        <x:v>0</x:v>
      </x:c>
      <x:c r="D6458" s="274" t="n">
        <x:v>45</x:v>
      </x:c>
      <x:c r="E6458" s="274" t="n">
        <x:v>40</x:v>
      </x:c>
      <x:c r="F6458" s="274" t="s">
        <x:v>333</x:v>
      </x:c>
      <x:c r="G6458" s="274" t="s">
        <x:v>4663</x:v>
      </x:c>
      <x:c r="I6458" s="274" t="n">
        <x:v>0.65</x:v>
      </x:c>
      <x:c r="J6458" s="274" t="n">
        <x:v>1100</x:v>
      </x:c>
      <x:c r="K6458" s="274" t="n">
        <x:v>615</x:v>
      </x:c>
      <x:c r="M6458" s="274" t="s">
        <x:v>6363</x:v>
      </x:c>
      <x:c r="N6458" s="274" t="s">
        <x:v>4258</x:v>
      </x:c>
    </x:row>
    <x:row r="6459" spans="1:14">
      <x:c r="A6459" s="274" t="s">
        <x:v>10712</x:v>
      </x:c>
      <x:c r="B6459" s="274" t="n">
        <x:v>8.18</x:v>
      </x:c>
      <x:c r="C6459" s="274" t="n">
        <x:v>0</x:v>
      </x:c>
      <x:c r="D6459" s="274" t="n">
        <x:v>45</x:v>
      </x:c>
      <x:c r="E6459" s="274" t="n">
        <x:v>40</x:v>
      </x:c>
      <x:c r="F6459" s="274" t="s">
        <x:v>123</x:v>
      </x:c>
      <x:c r="G6459" s="274" t="s">
        <x:v>153</x:v>
      </x:c>
      <x:c r="I6459" s="274" t="n">
        <x:v>2.6</x:v>
      </x:c>
      <x:c r="J6459" s="274" t="n">
        <x:v>1245</x:v>
      </x:c>
      <x:c r="K6459" s="274" t="n">
        <x:v>322</x:v>
      </x:c>
      <x:c r="M6459" s="274" t="s">
        <x:v>5314</x:v>
      </x:c>
      <x:c r="N6459" s="274" t="s">
        <x:v>155</x:v>
      </x:c>
    </x:row>
    <x:row r="6460" spans="1:14">
      <x:c r="A6460" s="274" t="s">
        <x:v>10713</x:v>
      </x:c>
      <x:c r="B6460" s="274" t="n">
        <x:v>4.06</x:v>
      </x:c>
      <x:c r="C6460" s="274" t="n">
        <x:v>0</x:v>
      </x:c>
      <x:c r="D6460" s="274" t="n">
        <x:v>68</x:v>
      </x:c>
      <x:c r="E6460" s="274" t="n">
        <x:v>40</x:v>
      </x:c>
      <x:c r="F6460" s="274" t="s">
        <x:v>184</x:v>
      </x:c>
      <x:c r="G6460" s="274" t="s">
        <x:v>136</x:v>
      </x:c>
      <x:c r="H6460" s="274" t="n">
        <x:v>45</x:v>
      </x:c>
      <x:c r="I6460" s="274" t="n">
        <x:v>0.6</x:v>
      </x:c>
      <x:c r="J6460" s="274" t="n">
        <x:v>1610</x:v>
      </x:c>
      <x:c r="K6460" s="274" t="n">
        <x:v>525</x:v>
      </x:c>
      <x:c r="M6460" s="274" t="s">
        <x:v>7590</x:v>
      </x:c>
      <x:c r="N6460" s="274" t="s">
        <x:v>421</x:v>
      </x:c>
    </x:row>
    <x:row r="6461" spans="1:14">
      <x:c r="A6461" s="274" t="s">
        <x:v>10714</x:v>
      </x:c>
      <x:c r="B6461" s="274" t="n">
        <x:v>2.37</x:v>
      </x:c>
      <x:c r="C6461" s="274" t="n">
        <x:v>0</x:v>
      </x:c>
      <x:c r="D6461" s="274" t="n">
        <x:v>45</x:v>
      </x:c>
      <x:c r="E6461" s="274" t="n">
        <x:v>40</x:v>
      </x:c>
      <x:c r="F6461" s="274" t="s">
        <x:v>133</x:v>
      </x:c>
      <x:c r="G6461" s="274" t="s">
        <x:v>136</x:v>
      </x:c>
      <x:c r="H6461" s="274" t="n">
        <x:v>45</x:v>
      </x:c>
      <x:c r="I6461" s="274" t="n">
        <x:v>0.65</x:v>
      </x:c>
      <x:c r="J6461" s="274" t="n">
        <x:v>1085</x:v>
      </x:c>
      <x:c r="K6461" s="274" t="n">
        <x:v>420</x:v>
      </x:c>
      <x:c r="N6461" s="274" t="s">
        <x:v>7596</x:v>
      </x:c>
    </x:row>
    <x:row r="6462" spans="1:14">
      <x:c r="A6462" s="274" t="s">
        <x:v>10715</x:v>
      </x:c>
      <x:c r="B6462" s="274" t="n">
        <x:v>6.09</x:v>
      </x:c>
      <x:c r="C6462" s="274" t="n">
        <x:v>0</x:v>
      </x:c>
      <x:c r="D6462" s="274" t="n">
        <x:v>45</x:v>
      </x:c>
      <x:c r="E6462" s="274" t="n">
        <x:v>40</x:v>
      </x:c>
      <x:c r="F6462" s="274" t="s">
        <x:v>333</x:v>
      </x:c>
      <x:c r="G6462" s="274" t="s">
        <x:v>5139</x:v>
      </x:c>
      <x:c r="I6462" s="274" t="n">
        <x:v>2</x:v>
      </x:c>
      <x:c r="J6462" s="274" t="n">
        <x:v>1288</x:v>
      </x:c>
      <x:c r="K6462" s="274" t="n">
        <x:v>301</x:v>
      </x:c>
      <x:c r="M6462" s="274" t="s">
        <x:v>5140</x:v>
      </x:c>
      <x:c r="N6462" s="274" t="s">
        <x:v>4258</x:v>
      </x:c>
    </x:row>
    <x:row r="6463" spans="1:14">
      <x:c r="A6463" s="274" t="s">
        <x:v>10716</x:v>
      </x:c>
      <x:c r="B6463" s="274" t="n">
        <x:v>10.03</x:v>
      </x:c>
      <x:c r="C6463" s="274" t="n">
        <x:v>0</x:v>
      </x:c>
      <x:c r="D6463" s="274" t="n">
        <x:v>40</x:v>
      </x:c>
      <x:c r="E6463" s="274" t="n">
        <x:v>40</x:v>
      </x:c>
      <x:c r="F6463" s="274" t="s">
        <x:v>123</x:v>
      </x:c>
      <x:c r="G6463" s="274" t="s">
        <x:v>4256</x:v>
      </x:c>
      <x:c r="I6463" s="274" t="n">
        <x:v>2</x:v>
      </x:c>
      <x:c r="J6463" s="274" t="n">
        <x:v>1314</x:v>
      </x:c>
      <x:c r="K6463" s="274" t="n">
        <x:v>486</x:v>
      </x:c>
      <x:c r="M6463" s="274" t="s">
        <x:v>7610</x:v>
      </x:c>
      <x:c r="N6463" s="274" t="s">
        <x:v>4258</x:v>
      </x:c>
    </x:row>
    <x:row r="6464" spans="1:14">
      <x:c r="A6464" s="274" t="s">
        <x:v>10717</x:v>
      </x:c>
      <x:c r="B6464" s="274" t="n">
        <x:v>8.37</x:v>
      </x:c>
      <x:c r="C6464" s="274" t="n">
        <x:v>0</x:v>
      </x:c>
      <x:c r="D6464" s="274" t="n">
        <x:v>42</x:v>
      </x:c>
      <x:c r="E6464" s="274" t="n">
        <x:v>40</x:v>
      </x:c>
      <x:c r="F6464" s="274" t="s">
        <x:v>133</x:v>
      </x:c>
      <x:c r="G6464" s="274" t="s">
        <x:v>4299</x:v>
      </x:c>
      <x:c r="I6464" s="274" t="n">
        <x:v>2.3</x:v>
      </x:c>
      <x:c r="J6464" s="274" t="n">
        <x:v>986</x:v>
      </x:c>
      <x:c r="K6464" s="274" t="n">
        <x:v>470</x:v>
      </x:c>
      <x:c r="M6464" s="274" t="s">
        <x:v>5003</x:v>
      </x:c>
      <x:c r="N6464" s="274" t="s">
        <x:v>4258</x:v>
      </x:c>
    </x:row>
    <x:row r="6465" spans="1:14">
      <x:c r="A6465" s="274" t="s">
        <x:v>10718</x:v>
      </x:c>
      <x:c r="B6465" s="274" t="n">
        <x:v>8.35</x:v>
      </x:c>
      <x:c r="C6465" s="274" t="n">
        <x:v>0</x:v>
      </x:c>
      <x:c r="D6465" s="274" t="n">
        <x:v>42</x:v>
      </x:c>
      <x:c r="E6465" s="274" t="n">
        <x:v>40</x:v>
      </x:c>
      <x:c r="F6465" s="274" t="s">
        <x:v>133</x:v>
      </x:c>
      <x:c r="G6465" s="274" t="s">
        <x:v>4299</x:v>
      </x:c>
      <x:c r="I6465" s="274" t="n">
        <x:v>2.3</x:v>
      </x:c>
      <x:c r="J6465" s="274" t="n">
        <x:v>986</x:v>
      </x:c>
      <x:c r="K6465" s="274" t="n">
        <x:v>469</x:v>
      </x:c>
      <x:c r="M6465" s="274" t="s">
        <x:v>5005</x:v>
      </x:c>
      <x:c r="N6465" s="274" t="s">
        <x:v>4258</x:v>
      </x:c>
    </x:row>
    <x:row r="6466" spans="1:14">
      <x:c r="A6466" s="274" t="s">
        <x:v>10719</x:v>
      </x:c>
      <x:c r="B6466" s="274" t="n">
        <x:v>8.65</x:v>
      </x:c>
      <x:c r="C6466" s="274" t="n">
        <x:v>0</x:v>
      </x:c>
      <x:c r="D6466" s="274" t="n">
        <x:v>42</x:v>
      </x:c>
      <x:c r="E6466" s="274" t="n">
        <x:v>40</x:v>
      </x:c>
      <x:c r="F6466" s="274" t="s">
        <x:v>133</x:v>
      </x:c>
      <x:c r="G6466" s="274" t="s">
        <x:v>4299</x:v>
      </x:c>
      <x:c r="I6466" s="274" t="n">
        <x:v>3.2</x:v>
      </x:c>
      <x:c r="J6466" s="274" t="n">
        <x:v>975</x:v>
      </x:c>
      <x:c r="K6466" s="274" t="n">
        <x:v>353</x:v>
      </x:c>
      <x:c r="M6466" s="274" t="s">
        <x:v>7619</x:v>
      </x:c>
      <x:c r="N6466" s="274" t="s">
        <x:v>4258</x:v>
      </x:c>
    </x:row>
    <x:row r="6467" spans="1:14">
      <x:c r="A6467" s="274" t="s">
        <x:v>10720</x:v>
      </x:c>
      <x:c r="B6467" s="274" t="n">
        <x:v>9.42</x:v>
      </x:c>
      <x:c r="C6467" s="274" t="n">
        <x:v>0</x:v>
      </x:c>
      <x:c r="D6467" s="274" t="n">
        <x:v>45</x:v>
      </x:c>
      <x:c r="E6467" s="274" t="n">
        <x:v>40</x:v>
      </x:c>
      <x:c r="F6467" s="274" t="s">
        <x:v>133</x:v>
      </x:c>
      <x:c r="G6467" s="274" t="s">
        <x:v>144</x:v>
      </x:c>
      <x:c r="H6467" s="274" t="n">
        <x:v>45</x:v>
      </x:c>
      <x:c r="I6467" s="274" t="n">
        <x:v>1.6</x:v>
      </x:c>
      <x:c r="J6467" s="274" t="n">
        <x:v>1135</x:v>
      </x:c>
      <x:c r="K6467" s="274" t="n">
        <x:v>656</x:v>
      </x:c>
      <x:c r="M6467" s="274" t="s">
        <x:v>340</x:v>
      </x:c>
      <x:c r="N6467" s="274" t="s">
        <x:v>299</x:v>
      </x:c>
    </x:row>
    <x:row r="6468" spans="1:14">
      <x:c r="A6468" s="274" t="s">
        <x:v>10721</x:v>
      </x:c>
      <x:c r="B6468" s="274" t="n">
        <x:v>1.06</x:v>
      </x:c>
      <x:c r="C6468" s="274" t="n">
        <x:v>28</x:v>
      </x:c>
      <x:c r="D6468" s="274" t="n">
        <x:v>32</x:v>
      </x:c>
      <x:c r="E6468" s="274" t="n">
        <x:v>30</x:v>
      </x:c>
      <x:c r="F6468" s="274" t="s">
        <x:v>333</x:v>
      </x:c>
      <x:c r="G6468" s="274" t="s">
        <x:v>4663</x:v>
      </x:c>
      <x:c r="I6468" s="274" t="n">
        <x:v>1.4</x:v>
      </x:c>
      <x:c r="J6468" s="274" t="n">
        <x:v>204</x:v>
      </x:c>
      <x:c r="K6468" s="274" t="n">
        <x:v>472</x:v>
      </x:c>
      <x:c r="M6468" s="274" t="s">
        <x:v>5183</x:v>
      </x:c>
      <x:c r="N6468" s="274" t="s">
        <x:v>4258</x:v>
      </x:c>
    </x:row>
    <x:row r="6469" spans="1:14">
      <x:c r="A6469" s="274" t="s">
        <x:v>10722</x:v>
      </x:c>
      <x:c r="B6469" s="274" t="n">
        <x:v>1.49</x:v>
      </x:c>
      <x:c r="C6469" s="274" t="n">
        <x:v>0</x:v>
      </x:c>
      <x:c r="D6469" s="274" t="n">
        <x:v>45</x:v>
      </x:c>
      <x:c r="E6469" s="274" t="n">
        <x:v>40</x:v>
      </x:c>
      <x:c r="F6469" s="274" t="s">
        <x:v>133</x:v>
      </x:c>
      <x:c r="G6469" s="274" t="s">
        <x:v>136</x:v>
      </x:c>
      <x:c r="H6469" s="274" t="n">
        <x:v>45</x:v>
      </x:c>
      <x:c r="I6469" s="274" t="n">
        <x:v>0.7</x:v>
      </x:c>
      <x:c r="J6469" s="274" t="n">
        <x:v>760</x:v>
      </x:c>
      <x:c r="K6469" s="274" t="n">
        <x:v>350</x:v>
      </x:c>
      <x:c r="M6469" s="274" t="s">
        <x:v>511</x:v>
      </x:c>
      <x:c r="N6469" s="274" t="s">
        <x:v>155</x:v>
      </x:c>
    </x:row>
    <x:row r="6470" spans="1:14">
      <x:c r="A6470" s="274" t="s">
        <x:v>10723</x:v>
      </x:c>
      <x:c r="B6470" s="274" t="n">
        <x:v>12.33</x:v>
      </x:c>
      <x:c r="C6470" s="274" t="n">
        <x:v>0</x:v>
      </x:c>
      <x:c r="D6470" s="274" t="n">
        <x:v>37</x:v>
      </x:c>
      <x:c r="E6470" s="274" t="n">
        <x:v>32</x:v>
      </x:c>
      <x:c r="F6470" s="274" t="s">
        <x:v>184</x:v>
      </x:c>
      <x:c r="G6470" s="274" t="s">
        <x:v>129</x:v>
      </x:c>
      <x:c r="H6470" s="274" t="n">
        <x:v>45</x:v>
      </x:c>
      <x:c r="I6470" s="274" t="n">
        <x:v>1.2</x:v>
      </x:c>
      <x:c r="J6470" s="274" t="n">
        <x:v>1135</x:v>
      </x:c>
      <x:c r="K6470" s="274" t="n">
        <x:v>1143</x:v>
      </x:c>
      <x:c r="M6470" s="274" t="s">
        <x:v>7632</x:v>
      </x:c>
      <x:c r="N6470" s="274" t="s">
        <x:v>131</x:v>
      </x:c>
    </x:row>
    <x:row r="6471" spans="1:14">
      <x:c r="A6471" s="274" t="s">
        <x:v>10724</x:v>
      </x:c>
      <x:c r="B6471" s="274" t="n">
        <x:v>12.93</x:v>
      </x:c>
      <x:c r="C6471" s="274" t="n">
        <x:v>0</x:v>
      </x:c>
      <x:c r="D6471" s="274" t="n">
        <x:v>37</x:v>
      </x:c>
      <x:c r="E6471" s="274" t="n">
        <x:v>32</x:v>
      </x:c>
      <x:c r="F6471" s="274" t="s">
        <x:v>133</x:v>
      </x:c>
      <x:c r="G6471" s="274" t="s">
        <x:v>209</x:v>
      </x:c>
      <x:c r="I6471" s="274" t="n">
        <x:v>1.2</x:v>
      </x:c>
      <x:c r="J6471" s="274" t="n">
        <x:v>1135</x:v>
      </x:c>
      <x:c r="K6471" s="274" t="n">
        <x:v>1210</x:v>
      </x:c>
      <x:c r="M6471" s="274" t="s">
        <x:v>7634</x:v>
      </x:c>
      <x:c r="N6471" s="274" t="s">
        <x:v>131</x:v>
      </x:c>
    </x:row>
    <x:row r="6472" spans="1:14">
      <x:c r="A6472" s="274" t="s">
        <x:v>10725</x:v>
      </x:c>
      <x:c r="B6472" s="274" t="n">
        <x:v>8.74</x:v>
      </x:c>
      <x:c r="C6472" s="274" t="n">
        <x:v>0</x:v>
      </x:c>
      <x:c r="D6472" s="274" t="n">
        <x:v>45</x:v>
      </x:c>
      <x:c r="E6472" s="274" t="n">
        <x:v>40</x:v>
      </x:c>
      <x:c r="F6472" s="274" t="s">
        <x:v>333</x:v>
      </x:c>
      <x:c r="G6472" s="274" t="s">
        <x:v>153</x:v>
      </x:c>
      <x:c r="I6472" s="274" t="n">
        <x:v>1.2</x:v>
      </x:c>
      <x:c r="J6472" s="274" t="n">
        <x:v>1290</x:v>
      </x:c>
      <x:c r="K6472" s="274" t="n">
        <x:v>719</x:v>
      </x:c>
      <x:c r="M6472" s="274" t="s">
        <x:v>7636</x:v>
      </x:c>
      <x:c r="N6472" s="274" t="s">
        <x:v>155</x:v>
      </x:c>
    </x:row>
    <x:row r="6473" spans="1:14">
      <x:c r="A6473" s="274" t="s">
        <x:v>10726</x:v>
      </x:c>
      <x:c r="B6473" s="274" t="n">
        <x:v>22.47</x:v>
      </x:c>
      <x:c r="C6473" s="274" t="n">
        <x:v>0</x:v>
      </x:c>
      <x:c r="D6473" s="274" t="n">
        <x:v>33</x:v>
      </x:c>
      <x:c r="E6473" s="274" t="n">
        <x:v>28</x:v>
      </x:c>
      <x:c r="F6473" s="274" t="s">
        <x:v>133</x:v>
      </x:c>
      <x:c r="G6473" s="274" t="s">
        <x:v>136</x:v>
      </x:c>
      <x:c r="H6473" s="274" t="n">
        <x:v>45</x:v>
      </x:c>
      <x:c r="I6473" s="274" t="n">
        <x:v>1.4</x:v>
      </x:c>
      <x:c r="J6473" s="274" t="n">
        <x:v>1408</x:v>
      </x:c>
      <x:c r="K6473" s="274" t="n">
        <x:v>1440</x:v>
      </x:c>
      <x:c r="M6473" s="274" t="s">
        <x:v>2606</x:v>
      </x:c>
      <x:c r="N6473" s="274" t="s">
        <x:v>131</x:v>
      </x:c>
    </x:row>
    <x:row r="6474" spans="1:14">
      <x:c r="A6474" s="274" t="s">
        <x:v>10727</x:v>
      </x:c>
      <x:c r="B6474" s="274" t="n">
        <x:v>18.54</x:v>
      </x:c>
      <x:c r="C6474" s="274" t="n">
        <x:v>0</x:v>
      </x:c>
      <x:c r="D6474" s="274" t="n">
        <x:v>37</x:v>
      </x:c>
      <x:c r="E6474" s="274" t="n">
        <x:v>32</x:v>
      </x:c>
      <x:c r="F6474" s="274" t="s">
        <x:v>123</x:v>
      </x:c>
      <x:c r="G6474" s="274" t="s">
        <x:v>148</x:v>
      </x:c>
      <x:c r="I6474" s="274" t="n">
        <x:v>1.8</x:v>
      </x:c>
      <x:c r="J6474" s="274" t="n">
        <x:v>1075</x:v>
      </x:c>
      <x:c r="K6474" s="274" t="n">
        <x:v>1220</x:v>
      </x:c>
      <x:c r="M6474" s="274" t="s">
        <x:v>7639</x:v>
      </x:c>
      <x:c r="N6474" s="274" t="s">
        <x:v>155</x:v>
      </x:c>
    </x:row>
    <x:row r="6475" spans="1:14">
      <x:c r="A6475" s="274" t="s">
        <x:v>10728</x:v>
      </x:c>
      <x:c r="B6475" s="274" t="n">
        <x:v>19.35</x:v>
      </x:c>
      <x:c r="C6475" s="274" t="n">
        <x:v>0</x:v>
      </x:c>
      <x:c r="D6475" s="274" t="n">
        <x:v>37</x:v>
      </x:c>
      <x:c r="E6475" s="274" t="n">
        <x:v>32</x:v>
      </x:c>
      <x:c r="F6475" s="274" t="s">
        <x:v>133</x:v>
      </x:c>
      <x:c r="G6475" s="274" t="s">
        <x:v>136</x:v>
      </x:c>
      <x:c r="H6475" s="274" t="n">
        <x:v>45</x:v>
      </x:c>
      <x:c r="I6475" s="274" t="n">
        <x:v>1.8</x:v>
      </x:c>
      <x:c r="J6475" s="274" t="n">
        <x:v>1120</x:v>
      </x:c>
      <x:c r="K6475" s="274" t="n">
        <x:v>1215</x:v>
      </x:c>
      <x:c r="M6475" s="274" t="s">
        <x:v>7641</x:v>
      </x:c>
      <x:c r="N6475" s="274" t="s">
        <x:v>155</x:v>
      </x:c>
    </x:row>
    <x:row r="6476" spans="1:14">
      <x:c r="A6476" s="274" t="s">
        <x:v>10729</x:v>
      </x:c>
      <x:c r="B6476" s="274" t="n">
        <x:v>26.68</x:v>
      </x:c>
      <x:c r="C6476" s="274" t="n">
        <x:v>0</x:v>
      </x:c>
      <x:c r="D6476" s="274" t="n">
        <x:v>40</x:v>
      </x:c>
      <x:c r="E6476" s="274" t="n">
        <x:v>35</x:v>
      </x:c>
      <x:c r="F6476" s="274" t="s">
        <x:v>133</x:v>
      </x:c>
      <x:c r="G6476" s="274" t="s">
        <x:v>148</x:v>
      </x:c>
      <x:c r="I6476" s="274" t="n">
        <x:v>3.2</x:v>
      </x:c>
      <x:c r="J6476" s="274" t="n">
        <x:v>975</x:v>
      </x:c>
      <x:c r="K6476" s="274" t="n">
        <x:v>1089</x:v>
      </x:c>
      <x:c r="M6476" s="274" t="s">
        <x:v>7643</x:v>
      </x:c>
      <x:c r="N6476" s="274" t="s">
        <x:v>155</x:v>
      </x:c>
    </x:row>
    <x:row r="6477" spans="1:14">
      <x:c r="A6477" s="274" t="s">
        <x:v>10730</x:v>
      </x:c>
      <x:c r="B6477" s="274" t="n">
        <x:v>32.51</x:v>
      </x:c>
      <x:c r="C6477" s="274" t="n">
        <x:v>0</x:v>
      </x:c>
      <x:c r="D6477" s="274" t="n">
        <x:v>37</x:v>
      </x:c>
      <x:c r="E6477" s="274" t="n">
        <x:v>32</x:v>
      </x:c>
      <x:c r="F6477" s="274" t="s">
        <x:v>133</x:v>
      </x:c>
      <x:c r="G6477" s="274" t="s">
        <x:v>148</x:v>
      </x:c>
      <x:c r="I6477" s="274" t="n">
        <x:v>3.2</x:v>
      </x:c>
      <x:c r="J6477" s="274" t="n">
        <x:v>1095</x:v>
      </x:c>
      <x:c r="K6477" s="274" t="n">
        <x:v>1182</x:v>
      </x:c>
      <x:c r="M6477" s="274" t="s">
        <x:v>7645</x:v>
      </x:c>
      <x:c r="N6477" s="274" t="s">
        <x:v>299</x:v>
      </x:c>
    </x:row>
    <x:row r="6478" spans="1:14">
      <x:c r="A6478" s="274" t="s">
        <x:v>10731</x:v>
      </x:c>
      <x:c r="B6478" s="274" t="n">
        <x:v>8.39</x:v>
      </x:c>
      <x:c r="C6478" s="274" t="n">
        <x:v>0</x:v>
      </x:c>
      <x:c r="D6478" s="274" t="n">
        <x:v>30</x:v>
      </x:c>
      <x:c r="E6478" s="274" t="n">
        <x:v>26</x:v>
      </x:c>
      <x:c r="F6478" s="274" t="s">
        <x:v>133</x:v>
      </x:c>
      <x:c r="G6478" s="274" t="s">
        <x:v>136</x:v>
      </x:c>
      <x:c r="H6478" s="274" t="n">
        <x:v>45</x:v>
      </x:c>
      <x:c r="I6478" s="274" t="n">
        <x:v>0.7</x:v>
      </x:c>
      <x:c r="J6478" s="274" t="n">
        <x:v>927</x:v>
      </x:c>
      <x:c r="K6478" s="274" t="n">
        <x:v>1620</x:v>
      </x:c>
      <x:c r="N6478" s="274" t="s">
        <x:v>155</x:v>
      </x:c>
    </x:row>
    <x:row r="6479" spans="1:14">
      <x:c r="A6479" s="274" t="s">
        <x:v>10732</x:v>
      </x:c>
      <x:c r="B6479" s="274" t="n">
        <x:v>2.47</x:v>
      </x:c>
      <x:c r="C6479" s="274" t="n">
        <x:v>0</x:v>
      </x:c>
      <x:c r="D6479" s="274" t="n">
        <x:v>45</x:v>
      </x:c>
      <x:c r="E6479" s="274" t="n">
        <x:v>40</x:v>
      </x:c>
      <x:c r="F6479" s="274" t="s">
        <x:v>123</x:v>
      </x:c>
      <x:c r="G6479" s="274" t="s">
        <x:v>153</x:v>
      </x:c>
      <x:c r="I6479" s="274" t="n">
        <x:v>1</x:v>
      </x:c>
      <x:c r="J6479" s="274" t="n">
        <x:v>1050</x:v>
      </x:c>
      <x:c r="K6479" s="274" t="n">
        <x:v>300</x:v>
      </x:c>
      <x:c r="N6479" s="274" t="s">
        <x:v>787</x:v>
      </x:c>
    </x:row>
    <x:row r="6480" spans="1:14">
      <x:c r="A6480" s="274" t="s">
        <x:v>10733</x:v>
      </x:c>
      <x:c r="B6480" s="274" t="n">
        <x:v>3.77</x:v>
      </x:c>
      <x:c r="C6480" s="274" t="n">
        <x:v>0</x:v>
      </x:c>
      <x:c r="D6480" s="274" t="n">
        <x:v>45</x:v>
      </x:c>
      <x:c r="E6480" s="274" t="n">
        <x:v>40</x:v>
      </x:c>
      <x:c r="F6480" s="274" t="s">
        <x:v>333</x:v>
      </x:c>
      <x:c r="G6480" s="274" t="s">
        <x:v>2157</x:v>
      </x:c>
      <x:c r="I6480" s="274" t="n">
        <x:v>0.7</x:v>
      </x:c>
      <x:c r="J6480" s="274" t="n">
        <x:v>1150</x:v>
      </x:c>
      <x:c r="K6480" s="274" t="n">
        <x:v>596</x:v>
      </x:c>
      <x:c r="M6480" s="274" t="s">
        <x:v>7654</x:v>
      </x:c>
      <x:c r="N6480" s="274" t="s">
        <x:v>7428</x:v>
      </x:c>
    </x:row>
    <x:row r="6481" spans="1:14">
      <x:c r="A6481" s="274" t="s">
        <x:v>10734</x:v>
      </x:c>
      <x:c r="B6481" s="274" t="n">
        <x:v>4.61</x:v>
      </x:c>
      <x:c r="C6481" s="274" t="n">
        <x:v>0</x:v>
      </x:c>
      <x:c r="D6481" s="274" t="n">
        <x:v>35</x:v>
      </x:c>
      <x:c r="F6481" s="274" t="s">
        <x:v>128</x:v>
      </x:c>
      <x:c r="G6481" s="274" t="s">
        <x:v>136</x:v>
      </x:c>
      <x:c r="H6481" s="274" t="s">
        <x:v>1729</x:v>
      </x:c>
      <x:c r="I6481" s="274" t="n">
        <x:v>0.75</x:v>
      </x:c>
      <x:c r="J6481" s="274" t="n">
        <x:v>1675</x:v>
      </x:c>
      <x:c r="K6481" s="274" t="n">
        <x:v>460</x:v>
      </x:c>
    </x:row>
    <x:row r="6482" spans="1:14">
      <x:c r="A6482" s="274" t="s">
        <x:v>10735</x:v>
      </x:c>
      <x:c r="B6482" s="274" t="n">
        <x:v>5.61</x:v>
      </x:c>
      <x:c r="C6482" s="274" t="n">
        <x:v>0</x:v>
      </x:c>
      <x:c r="D6482" s="274" t="n">
        <x:v>35</x:v>
      </x:c>
      <x:c r="F6482" s="274" t="s">
        <x:v>128</x:v>
      </x:c>
      <x:c r="G6482" s="274" t="s">
        <x:v>136</x:v>
      </x:c>
      <x:c r="H6482" s="274" t="s">
        <x:v>1729</x:v>
      </x:c>
      <x:c r="I6482" s="274" t="n">
        <x:v>0.75</x:v>
      </x:c>
      <x:c r="J6482" s="274" t="n">
        <x:v>1675</x:v>
      </x:c>
      <x:c r="K6482" s="274" t="n">
        <x:v>560</x:v>
      </x:c>
      <x:c r="M6482" s="274" t="s">
        <x:v>7662</x:v>
      </x:c>
      <x:c r="N6482" s="274" t="s">
        <x:v>465</x:v>
      </x:c>
    </x:row>
    <x:row r="6483" spans="1:14">
      <x:c r="A6483" s="274" t="s">
        <x:v>10736</x:v>
      </x:c>
      <x:c r="B6483" s="274" t="n">
        <x:v>6.61</x:v>
      </x:c>
      <x:c r="C6483" s="274" t="n">
        <x:v>0</x:v>
      </x:c>
      <x:c r="D6483" s="274" t="n">
        <x:v>32</x:v>
      </x:c>
      <x:c r="E6483" s="274" t="n">
        <x:v>40</x:v>
      </x:c>
      <x:c r="F6483" s="274" t="s">
        <x:v>128</x:v>
      </x:c>
      <x:c r="G6483" s="274" t="s">
        <x:v>136</x:v>
      </x:c>
      <x:c r="H6483" s="274" t="s">
        <x:v>1729</x:v>
      </x:c>
      <x:c r="I6483" s="274" t="n">
        <x:v>0.75</x:v>
      </x:c>
      <x:c r="J6483" s="274" t="n">
        <x:v>1675</x:v>
      </x:c>
      <x:c r="K6483" s="274" t="n">
        <x:v>660</x:v>
      </x:c>
      <x:c r="M6483" s="274" t="s">
        <x:v>7664</x:v>
      </x:c>
      <x:c r="N6483" s="274" t="s">
        <x:v>465</x:v>
      </x:c>
    </x:row>
    <x:row r="6484" spans="1:14">
      <x:c r="A6484" s="274" t="s">
        <x:v>10737</x:v>
      </x:c>
      <x:c r="B6484" s="274" t="n">
        <x:v>3</x:v>
      </x:c>
      <x:c r="C6484" s="274" t="n">
        <x:v>0</x:v>
      </x:c>
      <x:c r="D6484" s="274" t="n">
        <x:v>32</x:v>
      </x:c>
      <x:c r="E6484" s="274" t="n">
        <x:v>0</x:v>
      </x:c>
      <x:c r="F6484" s="274" t="s">
        <x:v>128</x:v>
      </x:c>
      <x:c r="G6484" s="274" t="s">
        <x:v>136</x:v>
      </x:c>
      <x:c r="H6484" s="274" t="s">
        <x:v>1729</x:v>
      </x:c>
      <x:c r="I6484" s="274" t="n">
        <x:v>0.75</x:v>
      </x:c>
      <x:c r="J6484" s="274" t="n">
        <x:v>1675</x:v>
      </x:c>
      <x:c r="K6484" s="274" t="n">
        <x:v>300</x:v>
      </x:c>
      <x:c r="M6484" s="274" t="s">
        <x:v>10738</x:v>
      </x:c>
      <x:c r="N6484" s="274" t="s">
        <x:v>465</x:v>
      </x:c>
    </x:row>
    <x:row r="6485" spans="1:14">
      <x:c r="A6485" s="274" t="s">
        <x:v>10739</x:v>
      </x:c>
      <x:c r="B6485" s="274" t="n">
        <x:v>4.1</x:v>
      </x:c>
      <x:c r="C6485" s="274" t="n">
        <x:v>0</x:v>
      </x:c>
      <x:c r="D6485" s="274" t="n">
        <x:v>35</x:v>
      </x:c>
      <x:c r="E6485" s="274" t="n">
        <x:v>0</x:v>
      </x:c>
      <x:c r="F6485" s="274" t="s">
        <x:v>128</x:v>
      </x:c>
      <x:c r="G6485" s="274" t="s">
        <x:v>136</x:v>
      </x:c>
      <x:c r="H6485" s="274" t="s">
        <x:v>1729</x:v>
      </x:c>
      <x:c r="I6485" s="274" t="n">
        <x:v>0.75</x:v>
      </x:c>
      <x:c r="J6485" s="274" t="n">
        <x:v>1675</x:v>
      </x:c>
      <x:c r="K6485" s="274" t="n">
        <x:v>409</x:v>
      </x:c>
      <x:c r="M6485" s="274" t="s">
        <x:v>10738</x:v>
      </x:c>
      <x:c r="N6485" s="274" t="s">
        <x:v>465</x:v>
      </x:c>
    </x:row>
    <x:row r="6486" spans="1:14">
      <x:c r="A6486" s="274" t="s">
        <x:v>10740</x:v>
      </x:c>
      <x:c r="B6486" s="274" t="n">
        <x:v>3.93</x:v>
      </x:c>
      <x:c r="C6486" s="274" t="n">
        <x:v>0</x:v>
      </x:c>
      <x:c r="D6486" s="274" t="n">
        <x:v>45</x:v>
      </x:c>
      <x:c r="E6486" s="274" t="n">
        <x:v>40</x:v>
      </x:c>
      <x:c r="F6486" s="274" t="s">
        <x:v>333</x:v>
      </x:c>
      <x:c r="G6486" s="274" t="s">
        <x:v>2157</x:v>
      </x:c>
      <x:c r="I6486" s="274" t="n">
        <x:v>0.7</x:v>
      </x:c>
      <x:c r="J6486" s="274" t="n">
        <x:v>1150</x:v>
      </x:c>
      <x:c r="K6486" s="274" t="n">
        <x:v>622</x:v>
      </x:c>
      <x:c r="M6486" s="274" t="s">
        <x:v>7666</x:v>
      </x:c>
      <x:c r="N6486" s="274" t="s">
        <x:v>7428</x:v>
      </x:c>
    </x:row>
    <x:row r="6487" spans="1:14">
      <x:c r="A6487" s="274" t="s">
        <x:v>10741</x:v>
      </x:c>
      <x:c r="B6487" s="274" t="n">
        <x:v>3.38</x:v>
      </x:c>
      <x:c r="C6487" s="274" t="n">
        <x:v>0</x:v>
      </x:c>
      <x:c r="D6487" s="274" t="n">
        <x:v>45</x:v>
      </x:c>
      <x:c r="E6487" s="274" t="n">
        <x:v>40</x:v>
      </x:c>
      <x:c r="F6487" s="274" t="s">
        <x:v>333</x:v>
      </x:c>
      <x:c r="G6487" s="274" t="s">
        <x:v>2157</x:v>
      </x:c>
      <x:c r="I6487" s="274" t="n">
        <x:v>0.9</x:v>
      </x:c>
      <x:c r="J6487" s="274" t="n">
        <x:v>1190</x:v>
      </x:c>
      <x:c r="K6487" s="274" t="n">
        <x:v>402</x:v>
      </x:c>
      <x:c r="M6487" s="274" t="s">
        <x:v>7668</x:v>
      </x:c>
      <x:c r="N6487" s="274" t="s">
        <x:v>7428</x:v>
      </x:c>
    </x:row>
    <x:row r="6488" spans="1:14">
      <x:c r="A6488" s="274" t="s">
        <x:v>10742</x:v>
      </x:c>
      <x:c r="B6488" s="274" t="n">
        <x:v>8.93</x:v>
      </x:c>
      <x:c r="C6488" s="274" t="n">
        <x:v>0</x:v>
      </x:c>
      <x:c r="D6488" s="274" t="n">
        <x:v>45</x:v>
      </x:c>
      <x:c r="E6488" s="274" t="n">
        <x:v>40</x:v>
      </x:c>
      <x:c r="F6488" s="274" t="s">
        <x:v>133</x:v>
      </x:c>
      <x:c r="G6488" s="274" t="s">
        <x:v>1728</x:v>
      </x:c>
      <x:c r="H6488" s="274" t="n">
        <x:v>45</x:v>
      </x:c>
      <x:c r="I6488" s="274" t="n">
        <x:v>1.2</x:v>
      </x:c>
      <x:c r="J6488" s="274" t="n">
        <x:v>1043</x:v>
      </x:c>
      <x:c r="K6488" s="274" t="n">
        <x:v>900</x:v>
      </x:c>
      <x:c r="M6488" s="274" t="s">
        <x:v>7673</x:v>
      </x:c>
      <x:c r="N6488" s="274" t="s">
        <x:v>3671</x:v>
      </x:c>
    </x:row>
    <x:row r="6489" spans="1:14">
      <x:c r="A6489" s="274" t="s">
        <x:v>10743</x:v>
      </x:c>
      <x:c r="B6489" s="274" t="n">
        <x:v>7.12</x:v>
      </x:c>
      <x:c r="C6489" s="274" t="n">
        <x:v>0</x:v>
      </x:c>
      <x:c r="D6489" s="274" t="n">
        <x:v>45</x:v>
      </x:c>
      <x:c r="E6489" s="274" t="n">
        <x:v>40</x:v>
      </x:c>
      <x:c r="F6489" s="274" t="s">
        <x:v>133</x:v>
      </x:c>
      <x:c r="G6489" s="274" t="s">
        <x:v>4299</x:v>
      </x:c>
      <x:c r="I6489" s="274" t="n">
        <x:v>2.3</x:v>
      </x:c>
      <x:c r="J6489" s="274" t="n">
        <x:v>986</x:v>
      </x:c>
      <x:c r="K6489" s="274" t="n">
        <x:v>400</x:v>
      </x:c>
      <x:c r="M6489" s="274" t="s">
        <x:v>5137</x:v>
      </x:c>
      <x:c r="N6489" s="274" t="s">
        <x:v>4258</x:v>
      </x:c>
    </x:row>
    <x:row r="6490" spans="1:14">
      <x:c r="A6490" s="274" t="s">
        <x:v>10744</x:v>
      </x:c>
      <x:c r="B6490" s="274" t="n">
        <x:v>8.78</x:v>
      </x:c>
      <x:c r="C6490" s="274" t="n">
        <x:v>0</x:v>
      </x:c>
      <x:c r="D6490" s="274" t="n">
        <x:v>45</x:v>
      </x:c>
      <x:c r="E6490" s="274" t="n">
        <x:v>40</x:v>
      </x:c>
      <x:c r="F6490" s="274" t="s">
        <x:v>133</x:v>
      </x:c>
      <x:c r="G6490" s="274" t="s">
        <x:v>136</x:v>
      </x:c>
      <x:c r="H6490" s="274" t="n">
        <x:v>45</x:v>
      </x:c>
      <x:c r="I6490" s="274" t="n">
        <x:v>1.6</x:v>
      </x:c>
      <x:c r="J6490" s="274" t="n">
        <x:v>1205</x:v>
      </x:c>
      <x:c r="K6490" s="274" t="n">
        <x:v>576</x:v>
      </x:c>
      <x:c r="M6490" s="274" t="s">
        <x:v>1024</x:v>
      </x:c>
      <x:c r="N6490" s="274" t="s">
        <x:v>5222</x:v>
      </x:c>
    </x:row>
    <x:row r="6491" spans="1:14">
      <x:c r="A6491" s="274" t="s">
        <x:v>10745</x:v>
      </x:c>
      <x:c r="B6491" s="274" t="n">
        <x:v>14.24</x:v>
      </x:c>
      <x:c r="C6491" s="274" t="n">
        <x:v>0</x:v>
      </x:c>
      <x:c r="D6491" s="274" t="n">
        <x:v>37</x:v>
      </x:c>
      <x:c r="E6491" s="274" t="n">
        <x:v>32</x:v>
      </x:c>
      <x:c r="F6491" s="274" t="s">
        <x:v>123</x:v>
      </x:c>
      <x:c r="G6491" s="274" t="s">
        <x:v>4256</x:v>
      </x:c>
      <x:c r="I6491" s="274" t="n">
        <x:v>1.6</x:v>
      </x:c>
      <x:c r="J6491" s="274" t="n">
        <x:v>945</x:v>
      </x:c>
      <x:c r="K6491" s="274" t="n">
        <x:v>1200</x:v>
      </x:c>
      <x:c r="M6491" s="274" t="s">
        <x:v>7691</x:v>
      </x:c>
      <x:c r="N6491" s="274" t="s">
        <x:v>4258</x:v>
      </x:c>
    </x:row>
    <x:row r="6492" spans="1:14">
      <x:c r="A6492" s="274" t="s">
        <x:v>10746</x:v>
      </x:c>
      <x:c r="B6492" s="274" t="n">
        <x:v>4.32</x:v>
      </x:c>
      <x:c r="C6492" s="274" t="n">
        <x:v>0</x:v>
      </x:c>
      <x:c r="D6492" s="274" t="n">
        <x:v>42</x:v>
      </x:c>
      <x:c r="E6492" s="274" t="n">
        <x:v>40</x:v>
      </x:c>
      <x:c r="F6492" s="274" t="s">
        <x:v>2985</x:v>
      </x:c>
      <x:c r="G6492" s="274" t="s">
        <x:v>153</x:v>
      </x:c>
      <x:c r="I6492" s="274" t="n">
        <x:v>1.4</x:v>
      </x:c>
      <x:c r="J6492" s="274" t="n">
        <x:v>750</x:v>
      </x:c>
      <x:c r="K6492" s="274" t="n">
        <x:v>524</x:v>
      </x:c>
      <x:c r="M6492" s="274" t="s">
        <x:v>1421</x:v>
      </x:c>
      <x:c r="N6492" s="274" t="s">
        <x:v>5222</x:v>
      </x:c>
    </x:row>
    <x:row r="6493" spans="1:14">
      <x:c r="A6493" s="274" t="s">
        <x:v>10747</x:v>
      </x:c>
      <x:c r="B6493" s="274" t="n">
        <x:v>5.63</x:v>
      </x:c>
      <x:c r="C6493" s="274" t="n">
        <x:v>0</x:v>
      </x:c>
      <x:c r="D6493" s="274" t="n">
        <x:v>42</x:v>
      </x:c>
      <x:c r="E6493" s="274" t="n">
        <x:v>40</x:v>
      </x:c>
      <x:c r="F6493" s="274" t="s">
        <x:v>133</x:v>
      </x:c>
      <x:c r="G6493" s="274" t="s">
        <x:v>136</x:v>
      </x:c>
      <x:c r="H6493" s="274" t="n">
        <x:v>45</x:v>
      </x:c>
      <x:c r="I6493" s="274" t="n">
        <x:v>0.65</x:v>
      </x:c>
      <x:c r="J6493" s="274" t="n">
        <x:v>1085</x:v>
      </x:c>
      <x:c r="K6493" s="274" t="n">
        <x:v>1000</x:v>
      </x:c>
      <x:c r="M6493" s="274" t="s">
        <x:v>1692</x:v>
      </x:c>
      <x:c r="N6493" s="274" t="s">
        <x:v>5222</x:v>
      </x:c>
    </x:row>
    <x:row r="6494" spans="1:14">
      <x:c r="A6494" s="274" t="s">
        <x:v>10748</x:v>
      </x:c>
      <x:c r="B6494" s="274" t="n">
        <x:v>3.03</x:v>
      </x:c>
      <x:c r="C6494" s="274" t="n">
        <x:v>0</x:v>
      </x:c>
      <x:c r="D6494" s="274" t="n">
        <x:v>45</x:v>
      </x:c>
      <x:c r="E6494" s="274" t="n">
        <x:v>40</x:v>
      </x:c>
      <x:c r="F6494" s="274" t="s">
        <x:v>333</x:v>
      </x:c>
      <x:c r="G6494" s="274" t="s">
        <x:v>2157</x:v>
      </x:c>
      <x:c r="I6494" s="274" t="n">
        <x:v>0.9</x:v>
      </x:c>
      <x:c r="J6494" s="274" t="n">
        <x:v>1190</x:v>
      </x:c>
      <x:c r="K6494" s="274" t="n">
        <x:v>360</x:v>
      </x:c>
      <x:c r="M6494" s="274" t="s">
        <x:v>7696</x:v>
      </x:c>
      <x:c r="N6494" s="274" t="s">
        <x:v>7177</x:v>
      </x:c>
    </x:row>
    <x:row r="6495" spans="1:14">
      <x:c r="A6495" s="274" t="s">
        <x:v>10749</x:v>
      </x:c>
      <x:c r="B6495" s="274" t="n">
        <x:v>3.07</x:v>
      </x:c>
      <x:c r="C6495" s="274" t="n">
        <x:v>0</x:v>
      </x:c>
      <x:c r="D6495" s="274" t="n">
        <x:v>42</x:v>
      </x:c>
      <x:c r="E6495" s="274" t="n">
        <x:v>40</x:v>
      </x:c>
      <x:c r="F6495" s="274" t="s">
        <x:v>184</x:v>
      </x:c>
      <x:c r="G6495" s="274" t="s">
        <x:v>4782</x:v>
      </x:c>
      <x:c r="H6495" s="274" t="s">
        <x:v>4471</x:v>
      </x:c>
      <x:c r="I6495" s="274" t="n">
        <x:v>0.55</x:v>
      </x:c>
      <x:c r="J6495" s="274" t="n">
        <x:v>1310</x:v>
      </x:c>
      <x:c r="K6495" s="274" t="n">
        <x:v>531.6</x:v>
      </x:c>
      <x:c r="M6495" s="274" t="s">
        <x:v>7568</x:v>
      </x:c>
      <x:c r="N6495" s="274" t="s">
        <x:v>4258</x:v>
      </x:c>
    </x:row>
    <x:row r="6496" spans="1:14">
      <x:c r="A6496" s="274" t="s">
        <x:v>10750</x:v>
      </x:c>
      <x:c r="B6496" s="274" t="n">
        <x:v>9.1</x:v>
      </x:c>
      <x:c r="C6496" s="274" t="n">
        <x:v>0</x:v>
      </x:c>
      <x:c r="D6496" s="274" t="n">
        <x:v>42</x:v>
      </x:c>
      <x:c r="E6496" s="274" t="n">
        <x:v>40</x:v>
      </x:c>
      <x:c r="F6496" s="274" t="s">
        <x:v>333</x:v>
      </x:c>
      <x:c r="G6496" s="274" t="s">
        <x:v>4663</x:v>
      </x:c>
      <x:c r="I6496" s="274" t="n">
        <x:v>0.8</x:v>
      </x:c>
      <x:c r="J6496" s="274" t="n">
        <x:v>1159</x:v>
      </x:c>
      <x:c r="K6496" s="274" t="n">
        <x:v>1250</x:v>
      </x:c>
      <x:c r="M6496" s="274" t="s">
        <x:v>6224</x:v>
      </x:c>
      <x:c r="N6496" s="274" t="s">
        <x:v>4258</x:v>
      </x:c>
    </x:row>
    <x:row r="6497" spans="1:14">
      <x:c r="A6497" s="274" t="s">
        <x:v>10751</x:v>
      </x:c>
      <x:c r="B6497" s="274" t="n">
        <x:v>5.56</x:v>
      </x:c>
      <x:c r="C6497" s="274" t="n">
        <x:v>0</x:v>
      </x:c>
      <x:c r="D6497" s="274" t="n">
        <x:v>42</x:v>
      </x:c>
      <x:c r="E6497" s="274" t="n">
        <x:v>40</x:v>
      </x:c>
      <x:c r="F6497" s="274" t="s">
        <x:v>184</x:v>
      </x:c>
      <x:c r="G6497" s="274" t="s">
        <x:v>4782</x:v>
      </x:c>
      <x:c r="H6497" s="274" t="s">
        <x:v>4471</x:v>
      </x:c>
      <x:c r="I6497" s="274" t="n">
        <x:v>1</x:v>
      </x:c>
      <x:c r="J6497" s="274" t="n">
        <x:v>1250</x:v>
      </x:c>
      <x:c r="K6497" s="274" t="n">
        <x:v>560</x:v>
      </x:c>
      <x:c r="M6497" s="274" t="s">
        <x:v>7710</x:v>
      </x:c>
      <x:c r="N6497" s="274" t="s">
        <x:v>4258</x:v>
      </x:c>
    </x:row>
    <x:row r="6498" spans="1:14">
      <x:c r="A6498" s="274" t="s">
        <x:v>10752</x:v>
      </x:c>
      <x:c r="B6498" s="274" t="n">
        <x:v>6.79</x:v>
      </x:c>
      <x:c r="C6498" s="274" t="n">
        <x:v>0</x:v>
      </x:c>
      <x:c r="D6498" s="274" t="n">
        <x:v>35</x:v>
      </x:c>
      <x:c r="E6498" s="274" t="n">
        <x:v>37</x:v>
      </x:c>
      <x:c r="F6498" s="274" t="s">
        <x:v>333</x:v>
      </x:c>
      <x:c r="G6498" s="274" t="s">
        <x:v>4663</x:v>
      </x:c>
      <x:c r="I6498" s="274" t="n">
        <x:v>1.2</x:v>
      </x:c>
      <x:c r="J6498" s="274" t="n">
        <x:v>1100</x:v>
      </x:c>
      <x:c r="K6498" s="274" t="n">
        <x:v>655</x:v>
      </x:c>
      <x:c r="M6498" s="274" t="s">
        <x:v>7712</x:v>
      </x:c>
      <x:c r="N6498" s="274" t="s">
        <x:v>4258</x:v>
      </x:c>
    </x:row>
    <x:row r="6499" spans="1:14">
      <x:c r="A6499" s="274" t="s">
        <x:v>10753</x:v>
      </x:c>
      <x:c r="B6499" s="274" t="n">
        <x:v>13.85</x:v>
      </x:c>
      <x:c r="C6499" s="274" t="n">
        <x:v>0</x:v>
      </x:c>
      <x:c r="D6499" s="274" t="n">
        <x:v>30</x:v>
      </x:c>
      <x:c r="E6499" s="274" t="n">
        <x:v>30</x:v>
      </x:c>
      <x:c r="F6499" s="274" t="s">
        <x:v>133</x:v>
      </x:c>
      <x:c r="G6499" s="274" t="s">
        <x:v>136</x:v>
      </x:c>
      <x:c r="H6499" s="274" t="n">
        <x:v>45</x:v>
      </x:c>
      <x:c r="I6499" s="274" t="n">
        <x:v>1.2</x:v>
      </x:c>
      <x:c r="J6499" s="274" t="n">
        <x:v>1290</x:v>
      </x:c>
      <x:c r="K6499" s="274" t="n">
        <x:v>1129</x:v>
      </x:c>
      <x:c r="M6499" s="274" t="s">
        <x:v>2255</x:v>
      </x:c>
      <x:c r="N6499" s="274" t="s">
        <x:v>4481</x:v>
      </x:c>
    </x:row>
    <x:row r="6500" spans="1:14">
      <x:c r="A6500" s="274" t="s">
        <x:v>10754</x:v>
      </x:c>
      <x:c r="B6500" s="274" t="n">
        <x:v>15.31</x:v>
      </x:c>
      <x:c r="C6500" s="274" t="n">
        <x:v>0</x:v>
      </x:c>
      <x:c r="D6500" s="274" t="n">
        <x:v>0</x:v>
      </x:c>
      <x:c r="F6500" s="274" t="s">
        <x:v>184</x:v>
      </x:c>
      <x:c r="G6500" s="274" t="s">
        <x:v>4782</x:v>
      </x:c>
      <x:c r="H6500" s="274" t="s">
        <x:v>4471</x:v>
      </x:c>
      <x:c r="I6500" s="274" t="n">
        <x:v>1.2</x:v>
      </x:c>
      <x:c r="J6500" s="274" t="n">
        <x:v>1288</x:v>
      </x:c>
      <x:c r="K6500" s="274" t="n">
        <x:v>1250</x:v>
      </x:c>
      <x:c r="N6500" s="274" t="s">
        <x:v>4258</x:v>
      </x:c>
    </x:row>
    <x:row r="6501" spans="1:14">
      <x:c r="A6501" s="274" t="s">
        <x:v>10755</x:v>
      </x:c>
      <x:c r="B6501" s="274" t="n">
        <x:v>21.79</x:v>
      </x:c>
      <x:c r="C6501" s="274" t="n">
        <x:v>0</x:v>
      </x:c>
      <x:c r="D6501" s="274" t="n">
        <x:v>0</x:v>
      </x:c>
      <x:c r="F6501" s="274" t="s">
        <x:v>133</x:v>
      </x:c>
      <x:c r="G6501" s="274" t="s">
        <x:v>4299</x:v>
      </x:c>
      <x:c r="I6501" s="274" t="n">
        <x:v>2</x:v>
      </x:c>
      <x:c r="J6501" s="274" t="n">
        <x:v>1110</x:v>
      </x:c>
      <x:c r="K6501" s="274" t="n">
        <x:v>1250</x:v>
      </x:c>
      <x:c r="M6501" s="274" t="s">
        <x:v>10756</x:v>
      </x:c>
      <x:c r="N6501" s="274" t="s">
        <x:v>4258</x:v>
      </x:c>
    </x:row>
    <x:row r="6502" spans="1:14">
      <x:c r="A6502" s="274" t="s">
        <x:v>10757</x:v>
      </x:c>
      <x:c r="B6502" s="274" t="n">
        <x:v>9.32</x:v>
      </x:c>
      <x:c r="C6502" s="274" t="n">
        <x:v>0</x:v>
      </x:c>
      <x:c r="D6502" s="274" t="n">
        <x:v>42</x:v>
      </x:c>
      <x:c r="E6502" s="274" t="n">
        <x:v>37</x:v>
      </x:c>
      <x:c r="F6502" s="274" t="s">
        <x:v>333</x:v>
      </x:c>
      <x:c r="G6502" s="274" t="s">
        <x:v>124</x:v>
      </x:c>
      <x:c r="I6502" s="274" t="n">
        <x:v>1.2</x:v>
      </x:c>
      <x:c r="J6502" s="274" t="n">
        <x:v>1020</x:v>
      </x:c>
      <x:c r="K6502" s="274" t="n">
        <x:v>970</x:v>
      </x:c>
      <x:c r="M6502" s="274" t="s">
        <x:v>1925</x:v>
      </x:c>
      <x:c r="N6502" s="274" t="s">
        <x:v>5222</x:v>
      </x:c>
    </x:row>
    <x:row r="6503" spans="1:14">
      <x:c r="A6503" s="274" t="s">
        <x:v>10758</x:v>
      </x:c>
      <x:c r="B6503" s="274" t="n">
        <x:v>10.01</x:v>
      </x:c>
      <x:c r="C6503" s="274" t="n">
        <x:v>0</x:v>
      </x:c>
      <x:c r="D6503" s="274" t="n">
        <x:v>0</x:v>
      </x:c>
      <x:c r="F6503" s="274" t="s">
        <x:v>333</x:v>
      </x:c>
      <x:c r="G6503" s="274" t="s">
        <x:v>124</x:v>
      </x:c>
      <x:c r="I6503" s="274" t="n">
        <x:v>0.8</x:v>
      </x:c>
      <x:c r="J6503" s="274" t="n">
        <x:v>1275</x:v>
      </x:c>
      <x:c r="K6503" s="274" t="n">
        <x:v>1250</x:v>
      </x:c>
      <x:c r="M6503" s="274" t="s">
        <x:v>5671</x:v>
      </x:c>
      <x:c r="N6503" s="274" t="s">
        <x:v>3671</x:v>
      </x:c>
    </x:row>
    <x:row r="6504" spans="1:14">
      <x:c r="A6504" s="274" t="s">
        <x:v>10759</x:v>
      </x:c>
      <x:c r="B6504" s="274" t="n">
        <x:v>11.78</x:v>
      </x:c>
      <x:c r="C6504" s="274" t="n">
        <x:v>0</x:v>
      </x:c>
      <x:c r="D6504" s="274" t="n">
        <x:v>0</x:v>
      </x:c>
      <x:c r="F6504" s="274" t="s">
        <x:v>333</x:v>
      </x:c>
      <x:c r="G6504" s="274" t="s">
        <x:v>209</x:v>
      </x:c>
      <x:c r="I6504" s="274" t="n">
        <x:v>1</x:v>
      </x:c>
      <x:c r="J6504" s="274" t="n">
        <x:v>1200</x:v>
      </x:c>
      <x:c r="K6504" s="274" t="n">
        <x:v>1250</x:v>
      </x:c>
      <x:c r="M6504" s="274" t="s">
        <x:v>4948</x:v>
      </x:c>
    </x:row>
    <x:row r="6505" spans="1:14">
      <x:c r="A6505" s="274" t="s">
        <x:v>10760</x:v>
      </x:c>
      <x:c r="B6505" s="274" t="n">
        <x:v>14.42</x:v>
      </x:c>
      <x:c r="C6505" s="274" t="n">
        <x:v>0</x:v>
      </x:c>
      <x:c r="D6505" s="274" t="n">
        <x:v>0</x:v>
      </x:c>
      <x:c r="F6505" s="274" t="s">
        <x:v>333</x:v>
      </x:c>
      <x:c r="G6505" s="274" t="s">
        <x:v>209</x:v>
      </x:c>
      <x:c r="I6505" s="274" t="n">
        <x:v>1.2</x:v>
      </x:c>
      <x:c r="J6505" s="274" t="n">
        <x:v>1250</x:v>
      </x:c>
      <x:c r="K6505" s="274" t="n">
        <x:v>1225</x:v>
      </x:c>
      <x:c r="M6505" s="274" t="s">
        <x:v>4879</x:v>
      </x:c>
      <x:c r="N6505" s="274" t="s">
        <x:v>3671</x:v>
      </x:c>
    </x:row>
    <x:row r="6506" spans="1:14">
      <x:c r="A6506" s="274" t="s">
        <x:v>10761</x:v>
      </x:c>
      <x:c r="B6506" s="274" t="n">
        <x:v>9.56</x:v>
      </x:c>
      <x:c r="C6506" s="274" t="n">
        <x:v>0</x:v>
      </x:c>
      <x:c r="D6506" s="274" t="n">
        <x:v>45</x:v>
      </x:c>
      <x:c r="E6506" s="274" t="n">
        <x:v>40</x:v>
      </x:c>
      <x:c r="F6506" s="274" t="s">
        <x:v>133</x:v>
      </x:c>
      <x:c r="G6506" s="274" t="s">
        <x:v>134</x:v>
      </x:c>
      <x:c r="I6506" s="274" t="n">
        <x:v>2.9</x:v>
      </x:c>
      <x:c r="J6506" s="274" t="n">
        <x:v>1235</x:v>
      </x:c>
      <x:c r="K6506" s="274" t="n">
        <x:v>340</x:v>
      </x:c>
      <x:c r="M6506" s="274" t="s">
        <x:v>4041</x:v>
      </x:c>
      <x:c r="N6506" s="274" t="s">
        <x:v>3671</x:v>
      </x:c>
    </x:row>
    <x:row r="6507" spans="1:14">
      <x:c r="A6507" s="274" t="s">
        <x:v>10762</x:v>
      </x:c>
      <x:c r="B6507" s="274" t="n">
        <x:v>3.43</x:v>
      </x:c>
      <x:c r="C6507" s="274" t="n">
        <x:v>38</x:v>
      </x:c>
      <x:c r="D6507" s="274" t="n">
        <x:v>38</x:v>
      </x:c>
      <x:c r="E6507" s="274" t="n">
        <x:v>36</x:v>
      </x:c>
      <x:c r="F6507" s="274" t="s">
        <x:v>184</x:v>
      </x:c>
      <x:c r="G6507" s="274" t="s">
        <x:v>136</x:v>
      </x:c>
      <x:c r="H6507" s="274" t="n">
        <x:v>45</x:v>
      </x:c>
      <x:c r="I6507" s="274" t="n">
        <x:v>0.65</x:v>
      </x:c>
      <x:c r="J6507" s="274" t="n">
        <x:v>1425</x:v>
      </x:c>
      <x:c r="K6507" s="274" t="n">
        <x:v>463</x:v>
      </x:c>
      <x:c r="M6507" s="274" t="s">
        <x:v>342</x:v>
      </x:c>
      <x:c r="N6507" s="274" t="s">
        <x:v>299</x:v>
      </x:c>
    </x:row>
    <x:row r="6508" spans="1:14">
      <x:c r="A6508" s="274" t="s">
        <x:v>10763</x:v>
      </x:c>
      <x:c r="B6508" s="274" t="n">
        <x:v>5.77</x:v>
      </x:c>
      <x:c r="C6508" s="274" t="n">
        <x:v>0</x:v>
      </x:c>
      <x:c r="D6508" s="274" t="n">
        <x:v>42</x:v>
      </x:c>
      <x:c r="E6508" s="274" t="n">
        <x:v>40</x:v>
      </x:c>
      <x:c r="F6508" s="274" t="s">
        <x:v>133</x:v>
      </x:c>
      <x:c r="G6508" s="274" t="s">
        <x:v>136</x:v>
      </x:c>
      <x:c r="H6508" s="274" t="n">
        <x:v>45</x:v>
      </x:c>
      <x:c r="I6508" s="274" t="n">
        <x:v>1.2</x:v>
      </x:c>
      <x:c r="J6508" s="274" t="n">
        <x:v>1290</x:v>
      </x:c>
      <x:c r="K6508" s="274" t="n">
        <x:v>470</x:v>
      </x:c>
      <x:c r="M6508" s="274" t="s">
        <x:v>7781</x:v>
      </x:c>
      <x:c r="N6508" s="274" t="s">
        <x:v>3671</x:v>
      </x:c>
    </x:row>
    <x:row r="6509" spans="1:14">
      <x:c r="A6509" s="274" t="s">
        <x:v>10764</x:v>
      </x:c>
      <x:c r="B6509" s="274" t="n">
        <x:v>35.32</x:v>
      </x:c>
      <x:c r="C6509" s="274" t="n">
        <x:v>0</x:v>
      </x:c>
      <x:c r="D6509" s="274" t="n">
        <x:v>22</x:v>
      </x:c>
      <x:c r="E6509" s="274" t="n">
        <x:v>23</x:v>
      </x:c>
      <x:c r="F6509" s="274" t="s">
        <x:v>133</x:v>
      </x:c>
      <x:c r="G6509" s="274" t="s">
        <x:v>148</x:v>
      </x:c>
      <x:c r="I6509" s="274" t="n">
        <x:v>3.2</x:v>
      </x:c>
      <x:c r="J6509" s="274" t="n">
        <x:v>1125</x:v>
      </x:c>
      <x:c r="K6509" s="274" t="n">
        <x:v>1250</x:v>
      </x:c>
      <x:c r="M6509" s="274" t="s">
        <x:v>5915</x:v>
      </x:c>
      <x:c r="N6509" s="274" t="s">
        <x:v>3671</x:v>
      </x:c>
    </x:row>
    <x:row r="6510" spans="1:14">
      <x:c r="A6510" s="274" t="s">
        <x:v>10765</x:v>
      </x:c>
      <x:c r="B6510" s="274" t="n">
        <x:v>11.85</x:v>
      </x:c>
      <x:c r="C6510" s="274" t="n">
        <x:v>0</x:v>
      </x:c>
      <x:c r="D6510" s="274" t="n">
        <x:v>32</x:v>
      </x:c>
      <x:c r="E6510" s="274" t="n">
        <x:v>30</x:v>
      </x:c>
      <x:c r="F6510" s="274" t="s">
        <x:v>333</x:v>
      </x:c>
      <x:c r="G6510" s="274" t="s">
        <x:v>124</x:v>
      </x:c>
      <x:c r="I6510" s="274" t="n">
        <x:v>1</x:v>
      </x:c>
      <x:c r="J6510" s="274" t="n">
        <x:v>1208</x:v>
      </x:c>
      <x:c r="K6510" s="274" t="n">
        <x:v>1250</x:v>
      </x:c>
      <x:c r="M6510" s="274" t="s">
        <x:v>10766</x:v>
      </x:c>
      <x:c r="N6510" s="274" t="s">
        <x:v>3671</x:v>
      </x:c>
    </x:row>
    <x:row r="6511" spans="1:14">
      <x:c r="A6511" s="274" t="s">
        <x:v>10767</x:v>
      </x:c>
      <x:c r="B6511" s="274" t="n">
        <x:v>33.91</x:v>
      </x:c>
      <x:c r="C6511" s="274" t="n">
        <x:v>0</x:v>
      </x:c>
      <x:c r="D6511" s="274" t="n">
        <x:v>23</x:v>
      </x:c>
      <x:c r="E6511" s="274" t="n">
        <x:v>23</x:v>
      </x:c>
      <x:c r="F6511" s="274" t="s">
        <x:v>123</x:v>
      </x:c>
      <x:c r="G6511" s="274" t="s">
        <x:v>437</x:v>
      </x:c>
      <x:c r="I6511" s="274" t="n">
        <x:v>3.2</x:v>
      </x:c>
      <x:c r="J6511" s="274" t="n">
        <x:v>1080</x:v>
      </x:c>
      <x:c r="K6511" s="274" t="n">
        <x:v>1250</x:v>
      </x:c>
      <x:c r="M6511" s="274" t="s">
        <x:v>10768</x:v>
      </x:c>
      <x:c r="N6511" s="274" t="s">
        <x:v>3671</x:v>
      </x:c>
    </x:row>
    <x:row r="6512" spans="1:14">
      <x:c r="A6512" s="274" t="s">
        <x:v>10769</x:v>
      </x:c>
      <x:c r="B6512" s="274" t="n">
        <x:v>18.31</x:v>
      </x:c>
      <x:c r="C6512" s="274" t="n">
        <x:v>0</x:v>
      </x:c>
      <x:c r="D6512" s="274" t="n">
        <x:v>30</x:v>
      </x:c>
      <x:c r="E6512" s="274" t="n">
        <x:v>28</x:v>
      </x:c>
      <x:c r="F6512" s="274" t="s">
        <x:v>123</x:v>
      </x:c>
      <x:c r="G6512" s="274" t="s">
        <x:v>6196</x:v>
      </x:c>
      <x:c r="I6512" s="274" t="n">
        <x:v>2</x:v>
      </x:c>
      <x:c r="J6512" s="274" t="n">
        <x:v>1060</x:v>
      </x:c>
      <x:c r="K6512" s="274" t="n">
        <x:v>1100</x:v>
      </x:c>
      <x:c r="M6512" s="274" t="s">
        <x:v>6197</x:v>
      </x:c>
      <x:c r="N6512" s="274" t="s">
        <x:v>3671</x:v>
      </x:c>
    </x:row>
    <x:row r="6513" spans="1:14">
      <x:c r="A6513" s="274" t="s">
        <x:v>10770</x:v>
      </x:c>
      <x:c r="B6513" s="274" t="n">
        <x:v>14.42</x:v>
      </x:c>
      <x:c r="C6513" s="274" t="n">
        <x:v>0</x:v>
      </x:c>
      <x:c r="D6513" s="274" t="n">
        <x:v>32</x:v>
      </x:c>
      <x:c r="E6513" s="274" t="n">
        <x:v>32</x:v>
      </x:c>
      <x:c r="F6513" s="274" t="s">
        <x:v>333</x:v>
      </x:c>
      <x:c r="G6513" s="274" t="s">
        <x:v>209</x:v>
      </x:c>
      <x:c r="I6513" s="274" t="n">
        <x:v>1.2</x:v>
      </x:c>
      <x:c r="J6513" s="274" t="n">
        <x:v>1250</x:v>
      </x:c>
      <x:c r="K6513" s="274" t="n">
        <x:v>1225</x:v>
      </x:c>
      <x:c r="M6513" s="274" t="s">
        <x:v>4879</x:v>
      </x:c>
      <x:c r="N6513" s="274" t="s">
        <x:v>3671</x:v>
      </x:c>
    </x:row>
    <x:row r="6514" spans="1:14">
      <x:c r="A6514" s="274" t="s">
        <x:v>10771</x:v>
      </x:c>
      <x:c r="B6514" s="274" t="n">
        <x:v>4.37</x:v>
      </x:c>
      <x:c r="C6514" s="274" t="n">
        <x:v>0</x:v>
      </x:c>
      <x:c r="D6514" s="274" t="n">
        <x:v>42</x:v>
      </x:c>
      <x:c r="E6514" s="274" t="n">
        <x:v>40</x:v>
      </x:c>
      <x:c r="F6514" s="274" t="s">
        <x:v>133</x:v>
      </x:c>
      <x:c r="G6514" s="274" t="s">
        <x:v>144</x:v>
      </x:c>
      <x:c r="H6514" s="274" t="n">
        <x:v>45</x:v>
      </x:c>
      <x:c r="I6514" s="274" t="n">
        <x:v>1.2</x:v>
      </x:c>
      <x:c r="J6514" s="274" t="n">
        <x:v>1210</x:v>
      </x:c>
      <x:c r="K6514" s="274" t="n">
        <x:v>380</x:v>
      </x:c>
      <x:c r="M6514" s="274" t="s">
        <x:v>7847</x:v>
      </x:c>
      <x:c r="N6514" s="274" t="s">
        <x:v>3671</x:v>
      </x:c>
    </x:row>
    <x:row r="6515" spans="1:14">
      <x:c r="A6515" s="274" t="s">
        <x:v>10772</x:v>
      </x:c>
      <x:c r="B6515" s="274" t="n">
        <x:v>2.78</x:v>
      </x:c>
      <x:c r="C6515" s="274" t="n">
        <x:v>0</x:v>
      </x:c>
      <x:c r="D6515" s="274" t="n">
        <x:v>45</x:v>
      </x:c>
      <x:c r="E6515" s="274" t="n">
        <x:v>40</x:v>
      </x:c>
      <x:c r="F6515" s="274" t="s">
        <x:v>123</x:v>
      </x:c>
      <x:c r="G6515" s="274" t="s">
        <x:v>136</x:v>
      </x:c>
      <x:c r="H6515" s="274" t="n">
        <x:v>45</x:v>
      </x:c>
      <x:c r="I6515" s="274" t="n">
        <x:v>0.55</x:v>
      </x:c>
      <x:c r="J6515" s="274" t="n">
        <x:v>1465</x:v>
      </x:c>
      <x:c r="K6515" s="274" t="n">
        <x:v>430</x:v>
      </x:c>
      <x:c r="M6515" s="274" t="s">
        <x:v>10773</x:v>
      </x:c>
    </x:row>
    <x:row r="6516" spans="1:14">
      <x:c r="A6516" s="274" t="s">
        <x:v>10774</x:v>
      </x:c>
      <x:c r="B6516" s="274" t="n">
        <x:v>7.11</x:v>
      </x:c>
      <x:c r="C6516" s="274" t="n">
        <x:v>0</x:v>
      </x:c>
      <x:c r="D6516" s="274" t="n">
        <x:v>45</x:v>
      </x:c>
      <x:c r="E6516" s="274" t="n">
        <x:v>40</x:v>
      </x:c>
      <x:c r="F6516" s="274" t="s">
        <x:v>123</x:v>
      </x:c>
      <x:c r="G6516" s="274" t="s">
        <x:v>136</x:v>
      </x:c>
      <x:c r="H6516" s="274" t="n">
        <x:v>45</x:v>
      </x:c>
      <x:c r="I6516" s="274" t="n">
        <x:v>0.55</x:v>
      </x:c>
      <x:c r="J6516" s="274" t="n">
        <x:v>1465</x:v>
      </x:c>
      <x:c r="K6516" s="274" t="n">
        <x:v>1100</x:v>
      </x:c>
      <x:c r="M6516" s="274" t="s">
        <x:v>5080</x:v>
      </x:c>
    </x:row>
    <x:row r="6517" spans="1:14">
      <x:c r="A6517" s="274" t="s">
        <x:v>10775</x:v>
      </x:c>
      <x:c r="B6517" s="274" t="n">
        <x:v>10.94</x:v>
      </x:c>
      <x:c r="C6517" s="274" t="n">
        <x:v>0</x:v>
      </x:c>
      <x:c r="D6517" s="274" t="n">
        <x:v>35</x:v>
      </x:c>
      <x:c r="E6517" s="274" t="n">
        <x:v>37</x:v>
      </x:c>
      <x:c r="F6517" s="274" t="s">
        <x:v>133</x:v>
      </x:c>
      <x:c r="G6517" s="274" t="s">
        <x:v>144</x:v>
      </x:c>
      <x:c r="H6517" s="274" t="n">
        <x:v>45</x:v>
      </x:c>
      <x:c r="I6517" s="274" t="n">
        <x:v>1.2</x:v>
      </x:c>
      <x:c r="J6517" s="274" t="n">
        <x:v>1210</x:v>
      </x:c>
      <x:c r="K6517" s="274" t="n">
        <x:v>950</x:v>
      </x:c>
      <x:c r="M6517" s="274" t="s">
        <x:v>4440</x:v>
      </x:c>
      <x:c r="N6517" s="274" t="s">
        <x:v>3671</x:v>
      </x:c>
    </x:row>
    <x:row r="6518" spans="1:14">
      <x:c r="A6518" s="274" t="s">
        <x:v>10776</x:v>
      </x:c>
      <x:c r="B6518" s="274" t="n">
        <x:v>14.38</x:v>
      </x:c>
      <x:c r="C6518" s="274" t="n">
        <x:v>0</x:v>
      </x:c>
      <x:c r="D6518" s="274" t="n">
        <x:v>28</x:v>
      </x:c>
      <x:c r="E6518" s="274" t="n">
        <x:v>30</x:v>
      </x:c>
      <x:c r="F6518" s="274" t="s">
        <x:v>133</x:v>
      </x:c>
      <x:c r="G6518" s="274" t="s">
        <x:v>144</x:v>
      </x:c>
      <x:c r="H6518" s="274" t="n">
        <x:v>45</x:v>
      </x:c>
      <x:c r="I6518" s="274" t="n">
        <x:v>1.2</x:v>
      </x:c>
      <x:c r="J6518" s="274" t="n">
        <x:v>1210</x:v>
      </x:c>
      <x:c r="K6518" s="274" t="n">
        <x:v>1250</x:v>
      </x:c>
      <x:c r="M6518" s="274" t="s">
        <x:v>7855</x:v>
      </x:c>
      <x:c r="N6518" s="274" t="s">
        <x:v>3671</x:v>
      </x:c>
    </x:row>
    <x:row r="6519" spans="1:14">
      <x:c r="A6519" s="274" t="s">
        <x:v>10777</x:v>
      </x:c>
      <x:c r="B6519" s="274" t="n">
        <x:v>7.82</x:v>
      </x:c>
      <x:c r="C6519" s="274" t="n">
        <x:v>0</x:v>
      </x:c>
      <x:c r="D6519" s="274" t="n">
        <x:v>0</x:v>
      </x:c>
      <x:c r="F6519" s="274" t="s">
        <x:v>184</x:v>
      </x:c>
      <x:c r="G6519" s="274" t="s">
        <x:v>881</x:v>
      </x:c>
      <x:c r="H6519" s="274" t="n">
        <x:v>45</x:v>
      </x:c>
      <x:c r="I6519" s="274" t="n">
        <x:v>1.6</x:v>
      </x:c>
      <x:c r="J6519" s="274" t="n">
        <x:v>835</x:v>
      </x:c>
      <x:c r="K6519" s="274" t="n">
        <x:v>740</x:v>
      </x:c>
      <x:c r="M6519" s="274" t="s">
        <x:v>8156</x:v>
      </x:c>
      <x:c r="N6519" s="274" t="s">
        <x:v>3671</x:v>
      </x:c>
    </x:row>
    <x:row r="6520" spans="1:14">
      <x:c r="A6520" s="274" t="s">
        <x:v>10778</x:v>
      </x:c>
      <x:c r="B6520" s="274" t="n">
        <x:v>4.09</x:v>
      </x:c>
      <x:c r="C6520" s="274" t="n">
        <x:v>0</x:v>
      </x:c>
      <x:c r="D6520" s="274" t="n">
        <x:v>40</x:v>
      </x:c>
      <x:c r="E6520" s="274" t="n">
        <x:v>45</x:v>
      </x:c>
      <x:c r="F6520" s="274" t="s">
        <x:v>133</x:v>
      </x:c>
      <x:c r="G6520" s="274" t="s">
        <x:v>136</x:v>
      </x:c>
      <x:c r="H6520" s="274" t="n">
        <x:v>45</x:v>
      </x:c>
      <x:c r="I6520" s="274" t="n">
        <x:v>0.7</x:v>
      </x:c>
      <x:c r="J6520" s="274" t="n">
        <x:v>1045</x:v>
      </x:c>
      <x:c r="K6520" s="274" t="n">
        <x:v>700</x:v>
      </x:c>
      <x:c r="M6520" s="274" t="s">
        <x:v>10779</x:v>
      </x:c>
      <x:c r="N6520" s="274" t="s">
        <x:v>3671</x:v>
      </x:c>
    </x:row>
    <x:row r="6521" spans="1:14">
      <x:c r="A6521" s="274" t="s">
        <x:v>10780</x:v>
      </x:c>
      <x:c r="B6521" s="274" t="n">
        <x:v>5.06</x:v>
      </x:c>
      <x:c r="C6521" s="274" t="n">
        <x:v>0</x:v>
      </x:c>
      <x:c r="D6521" s="274" t="n">
        <x:v>40</x:v>
      </x:c>
      <x:c r="E6521" s="274" t="n">
        <x:v>37</x:v>
      </x:c>
      <x:c r="F6521" s="274" t="s">
        <x:v>333</x:v>
      </x:c>
      <x:c r="G6521" s="274" t="s">
        <x:v>209</x:v>
      </x:c>
      <x:c r="I6521" s="274" t="n">
        <x:v>0.65</x:v>
      </x:c>
      <x:c r="J6521" s="274" t="n">
        <x:v>935</x:v>
      </x:c>
      <x:c r="K6521" s="274" t="n">
        <x:v>1060</x:v>
      </x:c>
      <x:c r="M6521" s="274" t="s">
        <x:v>7864</x:v>
      </x:c>
      <x:c r="N6521" s="274" t="s">
        <x:v>3671</x:v>
      </x:c>
    </x:row>
    <x:row r="6522" spans="1:14">
      <x:c r="A6522" s="274" t="s">
        <x:v>10781</x:v>
      </x:c>
      <x:c r="B6522" s="274" t="n">
        <x:v>6.92</x:v>
      </x:c>
      <x:c r="C6522" s="274" t="n">
        <x:v>0</x:v>
      </x:c>
      <x:c r="D6522" s="274" t="n">
        <x:v>35</x:v>
      </x:c>
      <x:c r="E6522" s="274" t="n">
        <x:v>30</x:v>
      </x:c>
      <x:c r="F6522" s="274" t="s">
        <x:v>133</x:v>
      </x:c>
      <x:c r="G6522" s="274" t="s">
        <x:v>153</x:v>
      </x:c>
      <x:c r="I6522" s="274" t="n">
        <x:v>0.6</x:v>
      </x:c>
      <x:c r="J6522" s="274" t="n">
        <x:v>1175</x:v>
      </x:c>
      <x:c r="K6522" s="274" t="n">
        <x:v>1250</x:v>
      </x:c>
      <x:c r="M6522" s="274" t="s">
        <x:v>7871</x:v>
      </x:c>
      <x:c r="N6522" s="274" t="s">
        <x:v>3671</x:v>
      </x:c>
    </x:row>
    <x:row r="6523" spans="1:14">
      <x:c r="A6523" s="274" t="s">
        <x:v>10782</x:v>
      </x:c>
      <x:c r="B6523" s="274" t="n">
        <x:v>8.04</x:v>
      </x:c>
      <x:c r="C6523" s="274" t="n">
        <x:v>0</x:v>
      </x:c>
      <x:c r="D6523" s="274" t="n">
        <x:v>35</x:v>
      </x:c>
      <x:c r="E6523" s="274" t="n">
        <x:v>30</x:v>
      </x:c>
      <x:c r="F6523" s="274" t="s">
        <x:v>133</x:v>
      </x:c>
      <x:c r="G6523" s="274" t="s">
        <x:v>136</x:v>
      </x:c>
      <x:c r="H6523" s="274" t="n">
        <x:v>45</x:v>
      </x:c>
      <x:c r="I6523" s="274" t="n">
        <x:v>0.8</x:v>
      </x:c>
      <x:c r="J6523" s="274" t="n">
        <x:v>1010</x:v>
      </x:c>
      <x:c r="K6523" s="274" t="n">
        <x:v>1250</x:v>
      </x:c>
      <x:c r="M6523" s="274" t="s">
        <x:v>10783</x:v>
      </x:c>
      <x:c r="N6523" s="274" t="s">
        <x:v>3671</x:v>
      </x:c>
    </x:row>
    <x:row r="6524" spans="1:14">
      <x:c r="A6524" s="274" t="s">
        <x:v>10784</x:v>
      </x:c>
      <x:c r="B6524" s="274" t="n">
        <x:v>9.08</x:v>
      </x:c>
      <x:c r="C6524" s="274" t="n">
        <x:v>0</x:v>
      </x:c>
      <x:c r="D6524" s="274" t="n">
        <x:v>0</x:v>
      </x:c>
      <x:c r="F6524" s="274" t="s">
        <x:v>123</x:v>
      </x:c>
      <x:c r="G6524" s="274" t="s">
        <x:v>129</x:v>
      </x:c>
      <x:c r="H6524" s="274" t="n">
        <x:v>45</x:v>
      </x:c>
      <x:c r="I6524" s="274" t="n">
        <x:v>0.8</x:v>
      </x:c>
      <x:c r="J6524" s="274" t="n">
        <x:v>1140</x:v>
      </x:c>
      <x:c r="K6524" s="274" t="n">
        <x:v>1250</x:v>
      </x:c>
      <x:c r="M6524" s="274" t="s">
        <x:v>6118</x:v>
      </x:c>
    </x:row>
    <x:row r="6525" spans="1:14">
      <x:c r="A6525" s="274" t="s">
        <x:v>10785</x:v>
      </x:c>
      <x:c r="B6525" s="274" t="n">
        <x:v>14.13</x:v>
      </x:c>
      <x:c r="C6525" s="274" t="n">
        <x:v>0</x:v>
      </x:c>
      <x:c r="D6525" s="274" t="n">
        <x:v>0</x:v>
      </x:c>
      <x:c r="F6525" s="274" t="s">
        <x:v>333</x:v>
      </x:c>
      <x:c r="G6525" s="274" t="s">
        <x:v>5307</x:v>
      </x:c>
      <x:c r="I6525" s="274" t="n">
        <x:v>1.6</x:v>
      </x:c>
      <x:c r="J6525" s="274" t="n">
        <x:v>900</x:v>
      </x:c>
      <x:c r="K6525" s="274" t="n">
        <x:v>1250</x:v>
      </x:c>
      <x:c r="M6525" s="274" t="s">
        <x:v>10786</x:v>
      </x:c>
      <x:c r="N6525" s="274" t="s">
        <x:v>3671</x:v>
      </x:c>
    </x:row>
    <x:row r="6526" spans="1:14">
      <x:c r="A6526" s="274" t="s">
        <x:v>10787</x:v>
      </x:c>
      <x:c r="B6526" s="274" t="n">
        <x:v>12.57</x:v>
      </x:c>
      <x:c r="C6526" s="274" t="n">
        <x:v>0</x:v>
      </x:c>
      <x:c r="D6526" s="274" t="n">
        <x:v>40</x:v>
      </x:c>
      <x:c r="E6526" s="274" t="n">
        <x:v>35</x:v>
      </x:c>
      <x:c r="F6526" s="274" t="s">
        <x:v>133</x:v>
      </x:c>
      <x:c r="G6526" s="274" t="s">
        <x:v>144</x:v>
      </x:c>
      <x:c r="H6526" s="274" t="n">
        <x:v>45</x:v>
      </x:c>
      <x:c r="I6526" s="274" t="n">
        <x:v>1.6</x:v>
      </x:c>
      <x:c r="J6526" s="274" t="n">
        <x:v>920</x:v>
      </x:c>
      <x:c r="K6526" s="274" t="n">
        <x:v>1080</x:v>
      </x:c>
      <x:c r="M6526" s="274" t="s">
        <x:v>10788</x:v>
      </x:c>
      <x:c r="N6526" s="274" t="s">
        <x:v>3671</x:v>
      </x:c>
    </x:row>
    <x:row r="6527" spans="1:14">
      <x:c r="A6527" s="274" t="s">
        <x:v>10789</x:v>
      </x:c>
      <x:c r="B6527" s="274" t="n">
        <x:v>13.82</x:v>
      </x:c>
      <x:c r="C6527" s="274" t="n">
        <x:v>0</x:v>
      </x:c>
      <x:c r="D6527" s="274" t="n">
        <x:v>0</x:v>
      </x:c>
      <x:c r="F6527" s="274" t="s">
        <x:v>333</x:v>
      </x:c>
      <x:c r="G6527" s="274" t="s">
        <x:v>334</x:v>
      </x:c>
      <x:c r="I6527" s="274" t="n">
        <x:v>1.6</x:v>
      </x:c>
      <x:c r="J6527" s="274" t="n">
        <x:v>1000</x:v>
      </x:c>
      <x:c r="K6527" s="274" t="n">
        <x:v>1100</x:v>
      </x:c>
      <x:c r="M6527" s="274" t="s">
        <x:v>7888</x:v>
      </x:c>
      <x:c r="N6527" s="274" t="s">
        <x:v>3671</x:v>
      </x:c>
    </x:row>
    <x:row r="6528" spans="1:14">
      <x:c r="A6528" s="274" t="s">
        <x:v>10790</x:v>
      </x:c>
      <x:c r="B6528" s="274" t="n">
        <x:v>5.3</x:v>
      </x:c>
      <x:c r="C6528" s="274" t="n">
        <x:v>0</x:v>
      </x:c>
      <x:c r="D6528" s="274" t="n">
        <x:v>40</x:v>
      </x:c>
      <x:c r="E6528" s="274" t="n">
        <x:v>35</x:v>
      </x:c>
      <x:c r="F6528" s="274" t="s">
        <x:v>123</x:v>
      </x:c>
      <x:c r="G6528" s="274" t="s">
        <x:v>148</x:v>
      </x:c>
      <x:c r="I6528" s="274" t="n">
        <x:v>1.6</x:v>
      </x:c>
      <x:c r="J6528" s="274" t="n">
        <x:v>1110</x:v>
      </x:c>
      <x:c r="K6528" s="274" t="n">
        <x:v>380</x:v>
      </x:c>
      <x:c r="M6528" s="274" t="s">
        <x:v>5144</x:v>
      </x:c>
    </x:row>
    <x:row r="6529" spans="1:14">
      <x:c r="A6529" s="274" t="s">
        <x:v>10791</x:v>
      </x:c>
      <x:c r="B6529" s="274" t="n">
        <x:v>5.08</x:v>
      </x:c>
      <x:c r="C6529" s="274" t="n">
        <x:v>0</x:v>
      </x:c>
      <x:c r="D6529" s="274" t="n">
        <x:v>45</x:v>
      </x:c>
      <x:c r="E6529" s="274" t="n">
        <x:v>40</x:v>
      </x:c>
      <x:c r="F6529" s="274" t="s">
        <x:v>333</x:v>
      </x:c>
      <x:c r="G6529" s="274" t="s">
        <x:v>209</x:v>
      </x:c>
      <x:c r="I6529" s="274" t="n">
        <x:v>1.6</x:v>
      </x:c>
      <x:c r="J6529" s="274" t="n">
        <x:v>1225</x:v>
      </x:c>
      <x:c r="K6529" s="274" t="n">
        <x:v>330</x:v>
      </x:c>
      <x:c r="M6529" s="274" t="s">
        <x:v>5148</x:v>
      </x:c>
      <x:c r="N6529" s="274" t="s">
        <x:v>3671</x:v>
      </x:c>
    </x:row>
    <x:row r="6530" spans="1:14">
      <x:c r="A6530" s="274" t="s">
        <x:v>10792</x:v>
      </x:c>
      <x:c r="B6530" s="274" t="n">
        <x:v>31.37</x:v>
      </x:c>
      <x:c r="C6530" s="274" t="n">
        <x:v>0</x:v>
      </x:c>
      <x:c r="D6530" s="274" t="n">
        <x:v>31</x:v>
      </x:c>
      <x:c r="E6530" s="274" t="n">
        <x:v>26</x:v>
      </x:c>
      <x:c r="F6530" s="274" t="s">
        <x:v>133</x:v>
      </x:c>
      <x:c r="G6530" s="274" t="s">
        <x:v>136</x:v>
      </x:c>
      <x:c r="H6530" s="274" t="n">
        <x:v>45</x:v>
      </x:c>
      <x:c r="I6530" s="274" t="n">
        <x:v>1.6</x:v>
      </x:c>
      <x:c r="J6530" s="274" t="n">
        <x:v>1485</x:v>
      </x:c>
      <x:c r="K6530" s="274" t="n">
        <x:v>1670</x:v>
      </x:c>
      <x:c r="M6530" s="274" t="s">
        <x:v>5119</x:v>
      </x:c>
      <x:c r="N6530" s="274" t="s">
        <x:v>3671</x:v>
      </x:c>
    </x:row>
    <x:row r="6531" spans="1:14">
      <x:c r="A6531" s="274" t="s">
        <x:v>10793</x:v>
      </x:c>
      <x:c r="B6531" s="274" t="n">
        <x:v>7.53</x:v>
      </x:c>
      <x:c r="C6531" s="274" t="n">
        <x:v>0</x:v>
      </x:c>
      <x:c r="D6531" s="274" t="n">
        <x:v>35</x:v>
      </x:c>
      <x:c r="E6531" s="274" t="n">
        <x:v>30</x:v>
      </x:c>
      <x:c r="F6531" s="274" t="s">
        <x:v>333</x:v>
      </x:c>
      <x:c r="G6531" s="274" t="s">
        <x:v>4663</x:v>
      </x:c>
      <x:c r="I6531" s="274" t="n">
        <x:v>0.65</x:v>
      </x:c>
      <x:c r="J6531" s="274" t="n">
        <x:v>1180</x:v>
      </x:c>
      <x:c r="K6531" s="274" t="n">
        <x:v>1250</x:v>
      </x:c>
      <x:c r="M6531" s="274" t="s">
        <x:v>5441</x:v>
      </x:c>
      <x:c r="N6531" s="274" t="s">
        <x:v>4258</x:v>
      </x:c>
    </x:row>
    <x:row r="6532" spans="1:14">
      <x:c r="A6532" s="274" t="s">
        <x:v>10794</x:v>
      </x:c>
      <x:c r="B6532" s="274" t="n">
        <x:v>3.05</x:v>
      </x:c>
      <x:c r="C6532" s="274" t="n">
        <x:v>0</x:v>
      </x:c>
      <x:c r="D6532" s="274" t="n">
        <x:v>45</x:v>
      </x:c>
      <x:c r="E6532" s="274" t="n">
        <x:v>40</x:v>
      </x:c>
      <x:c r="F6532" s="274" t="s">
        <x:v>333</x:v>
      </x:c>
      <x:c r="G6532" s="274" t="s">
        <x:v>4663</x:v>
      </x:c>
      <x:c r="I6532" s="274" t="n">
        <x:v>0.65</x:v>
      </x:c>
      <x:c r="J6532" s="274" t="n">
        <x:v>1180</x:v>
      </x:c>
      <x:c r="K6532" s="274" t="n">
        <x:v>506</x:v>
      </x:c>
      <x:c r="M6532" s="274" t="s">
        <x:v>5454</x:v>
      </x:c>
      <x:c r="N6532" s="274" t="s">
        <x:v>4258</x:v>
      </x:c>
    </x:row>
    <x:row r="6533" spans="1:14">
      <x:c r="A6533" s="274" t="s">
        <x:v>10795</x:v>
      </x:c>
      <x:c r="B6533" s="274" t="n">
        <x:v>4.36</x:v>
      </x:c>
      <x:c r="C6533" s="274" t="n">
        <x:v>0</x:v>
      </x:c>
      <x:c r="D6533" s="274" t="n">
        <x:v>45</x:v>
      </x:c>
      <x:c r="E6533" s="274" t="n">
        <x:v>40</x:v>
      </x:c>
      <x:c r="F6533" s="274" t="s">
        <x:v>333</x:v>
      </x:c>
      <x:c r="G6533" s="274" t="s">
        <x:v>4663</x:v>
      </x:c>
      <x:c r="I6533" s="274" t="n">
        <x:v>1</x:v>
      </x:c>
      <x:c r="J6533" s="274" t="n">
        <x:v>1110</x:v>
      </x:c>
      <x:c r="K6533" s="274" t="n">
        <x:v>500</x:v>
      </x:c>
      <x:c r="M6533" s="274" t="s">
        <x:v>5537</x:v>
      </x:c>
      <x:c r="N6533" s="274" t="s">
        <x:v>4258</x:v>
      </x:c>
    </x:row>
    <x:row r="6534" spans="1:14">
      <x:c r="A6534" s="274" t="s">
        <x:v>10796</x:v>
      </x:c>
      <x:c r="B6534" s="274" t="n">
        <x:v>16.25</x:v>
      </x:c>
      <x:c r="C6534" s="274" t="n">
        <x:v>0</x:v>
      </x:c>
      <x:c r="D6534" s="274" t="n">
        <x:v>31</x:v>
      </x:c>
      <x:c r="E6534" s="274" t="n">
        <x:v>26</x:v>
      </x:c>
      <x:c r="F6534" s="274" t="s">
        <x:v>128</x:v>
      </x:c>
      <x:c r="G6534" s="274" t="s">
        <x:v>3418</x:v>
      </x:c>
      <x:c r="H6534" s="274" t="n">
        <x:v>45</x:v>
      </x:c>
      <x:c r="I6534" s="274" t="n">
        <x:v>1.8</x:v>
      </x:c>
      <x:c r="J6534" s="274" t="n">
        <x:v>1110</x:v>
      </x:c>
      <x:c r="K6534" s="274" t="n">
        <x:v>1030</x:v>
      </x:c>
    </x:row>
    <x:row r="6535" spans="1:14">
      <x:c r="A6535" s="274" t="s">
        <x:v>10797</x:v>
      </x:c>
      <x:c r="B6535" s="274" t="n">
        <x:v>20.29</x:v>
      </x:c>
      <x:c r="C6535" s="274" t="n">
        <x:v>0</x:v>
      </x:c>
      <x:c r="D6535" s="274" t="n">
        <x:v>31</x:v>
      </x:c>
      <x:c r="E6535" s="274" t="n">
        <x:v>26</x:v>
      </x:c>
      <x:c r="F6535" s="274" t="s">
        <x:v>184</x:v>
      </x:c>
      <x:c r="G6535" s="274" t="s">
        <x:v>3413</x:v>
      </x:c>
      <x:c r="H6535" s="274" t="n">
        <x:v>45</x:v>
      </x:c>
      <x:c r="I6535" s="274" t="n">
        <x:v>1.8</x:v>
      </x:c>
      <x:c r="J6535" s="274" t="n">
        <x:v>1230</x:v>
      </x:c>
      <x:c r="K6535" s="274" t="n">
        <x:v>1160</x:v>
      </x:c>
    </x:row>
    <x:row r="6536" spans="1:14">
      <x:c r="A6536" s="274" t="s">
        <x:v>10798</x:v>
      </x:c>
      <x:c r="B6536" s="274" t="n">
        <x:v>21.76</x:v>
      </x:c>
      <x:c r="C6536" s="274" t="n">
        <x:v>0</x:v>
      </x:c>
      <x:c r="D6536" s="274" t="n">
        <x:v>30</x:v>
      </x:c>
      <x:c r="E6536" s="274" t="n">
        <x:v>25</x:v>
      </x:c>
      <x:c r="F6536" s="274" t="s">
        <x:v>184</x:v>
      </x:c>
      <x:c r="G6536" s="274" t="s">
        <x:v>881</x:v>
      </x:c>
      <x:c r="H6536" s="274" t="n">
        <x:v>45</x:v>
      </x:c>
      <x:c r="I6536" s="274" t="n">
        <x:v>1.8</x:v>
      </x:c>
      <x:c r="J6536" s="274" t="n">
        <x:v>1270</x:v>
      </x:c>
      <x:c r="K6536" s="274" t="n">
        <x:v>1205</x:v>
      </x:c>
    </x:row>
    <x:row r="6537" spans="1:14">
      <x:c r="A6537" s="274" t="s">
        <x:v>10799</x:v>
      </x:c>
      <x:c r="B6537" s="274" t="n">
        <x:v>4.01</x:v>
      </x:c>
      <x:c r="C6537" s="274" t="n">
        <x:v>0</x:v>
      </x:c>
      <x:c r="D6537" s="274" t="n">
        <x:v>45</x:v>
      </x:c>
      <x:c r="E6537" s="274" t="n">
        <x:v>40</x:v>
      </x:c>
      <x:c r="F6537" s="274" t="s">
        <x:v>333</x:v>
      </x:c>
      <x:c r="G6537" s="274" t="s">
        <x:v>5164</x:v>
      </x:c>
      <x:c r="I6537" s="274" t="n">
        <x:v>0.65</x:v>
      </x:c>
      <x:c r="J6537" s="274" t="n">
        <x:v>1380</x:v>
      </x:c>
      <x:c r="K6537" s="274" t="n">
        <x:v>570</x:v>
      </x:c>
      <x:c r="N6537" s="274" t="s">
        <x:v>4258</x:v>
      </x:c>
    </x:row>
    <x:row r="6538" spans="1:14">
      <x:c r="A6538" s="274" t="s">
        <x:v>10800</x:v>
      </x:c>
      <x:c r="B6538" s="274" t="n">
        <x:v>19.74</x:v>
      </x:c>
      <x:c r="C6538" s="274" t="n">
        <x:v>0</x:v>
      </x:c>
      <x:c r="D6538" s="274" t="n">
        <x:v>30</x:v>
      </x:c>
      <x:c r="E6538" s="274" t="n">
        <x:v>25</x:v>
      </x:c>
      <x:c r="F6538" s="274" t="s">
        <x:v>128</x:v>
      </x:c>
      <x:c r="G6538" s="274" t="s">
        <x:v>3314</x:v>
      </x:c>
      <x:c r="H6538" s="274" t="n">
        <x:v>45</x:v>
      </x:c>
      <x:c r="I6538" s="274" t="n">
        <x:v>2</x:v>
      </x:c>
      <x:c r="J6538" s="274" t="n">
        <x:v>1000</x:v>
      </x:c>
      <x:c r="K6538" s="274" t="n">
        <x:v>1250</x:v>
      </x:c>
      <x:c r="M6538" s="274" t="s">
        <x:v>6182</x:v>
      </x:c>
      <x:c r="N6538" s="274" t="s">
        <x:v>3671</x:v>
      </x:c>
    </x:row>
    <x:row r="6539" spans="1:14">
      <x:c r="A6539" s="274" t="s">
        <x:v>10801</x:v>
      </x:c>
      <x:c r="B6539" s="274" t="n">
        <x:v>2.3</x:v>
      </x:c>
      <x:c r="C6539" s="274" t="n">
        <x:v>0</x:v>
      </x:c>
      <x:c r="D6539" s="274" t="n">
        <x:v>45</x:v>
      </x:c>
      <x:c r="E6539" s="274" t="n">
        <x:v>40</x:v>
      </x:c>
      <x:c r="F6539" s="274" t="s">
        <x:v>333</x:v>
      </x:c>
      <x:c r="G6539" s="274" t="s">
        <x:v>5164</x:v>
      </x:c>
      <x:c r="I6539" s="274" t="n">
        <x:v>0.65</x:v>
      </x:c>
      <x:c r="J6539" s="274" t="n">
        <x:v>1380</x:v>
      </x:c>
      <x:c r="K6539" s="274" t="n">
        <x:v>326</x:v>
      </x:c>
      <x:c r="M6539" s="274" t="s">
        <x:v>5383</x:v>
      </x:c>
      <x:c r="N6539" s="274" t="s">
        <x:v>4258</x:v>
      </x:c>
    </x:row>
    <x:row r="6540" spans="1:14">
      <x:c r="A6540" s="274" t="s">
        <x:v>10802</x:v>
      </x:c>
      <x:c r="B6540" s="274" t="n">
        <x:v>4.45</x:v>
      </x:c>
      <x:c r="C6540" s="274" t="n">
        <x:v>0</x:v>
      </x:c>
      <x:c r="D6540" s="274" t="n">
        <x:v>45</x:v>
      </x:c>
      <x:c r="E6540" s="274" t="n">
        <x:v>40</x:v>
      </x:c>
      <x:c r="F6540" s="274" t="s">
        <x:v>133</x:v>
      </x:c>
      <x:c r="G6540" s="274" t="s">
        <x:v>1728</x:v>
      </x:c>
      <x:c r="H6540" s="274" t="n">
        <x:v>45</x:v>
      </x:c>
      <x:c r="I6540" s="274" t="n">
        <x:v>0.75</x:v>
      </x:c>
      <x:c r="J6540" s="274" t="n">
        <x:v>1520</x:v>
      </x:c>
      <x:c r="K6540" s="274" t="n">
        <x:v>490</x:v>
      </x:c>
      <x:c r="M6540" s="274" t="s">
        <x:v>7955</x:v>
      </x:c>
      <x:c r="N6540" s="274" t="s">
        <x:v>3671</x:v>
      </x:c>
    </x:row>
    <x:row r="6541" spans="1:14">
      <x:c r="A6541" s="274" t="s">
        <x:v>10803</x:v>
      </x:c>
      <x:c r="B6541" s="274" t="n">
        <x:v>15.33</x:v>
      </x:c>
      <x:c r="C6541" s="274" t="n">
        <x:v>0</x:v>
      </x:c>
      <x:c r="D6541" s="274" t="n">
        <x:v>32</x:v>
      </x:c>
      <x:c r="E6541" s="274" t="n">
        <x:v>30</x:v>
      </x:c>
      <x:c r="F6541" s="274" t="s">
        <x:v>133</x:v>
      </x:c>
      <x:c r="G6541" s="274" t="s">
        <x:v>136</x:v>
      </x:c>
      <x:c r="H6541" s="274" t="n">
        <x:v>45</x:v>
      </x:c>
      <x:c r="I6541" s="274" t="n">
        <x:v>1.2</x:v>
      </x:c>
      <x:c r="J6541" s="274" t="n">
        <x:v>1290</x:v>
      </x:c>
      <x:c r="K6541" s="274" t="n">
        <x:v>1250</x:v>
      </x:c>
      <x:c r="M6541" s="274" t="s">
        <x:v>6148</x:v>
      </x:c>
      <x:c r="N6541" s="274" t="s">
        <x:v>3671</x:v>
      </x:c>
    </x:row>
    <x:row r="6542" spans="1:14">
      <x:c r="A6542" s="274" t="s">
        <x:v>10804</x:v>
      </x:c>
      <x:c r="B6542" s="274" t="n">
        <x:v>4.8</x:v>
      </x:c>
      <x:c r="C6542" s="274" t="n">
        <x:v>0</x:v>
      </x:c>
      <x:c r="D6542" s="274" t="n">
        <x:v>42</x:v>
      </x:c>
      <x:c r="E6542" s="274" t="n">
        <x:v>40</x:v>
      </x:c>
      <x:c r="F6542" s="274" t="s">
        <x:v>333</x:v>
      </x:c>
      <x:c r="G6542" s="274" t="s">
        <x:v>153</x:v>
      </x:c>
      <x:c r="I6542" s="274" t="n">
        <x:v>1.2</x:v>
      </x:c>
      <x:c r="J6542" s="274" t="n">
        <x:v>1290</x:v>
      </x:c>
      <x:c r="K6542" s="274" t="n">
        <x:v>395</x:v>
      </x:c>
      <x:c r="M6542" s="274" t="s">
        <x:v>6154</x:v>
      </x:c>
      <x:c r="N6542" s="274" t="s">
        <x:v>3671</x:v>
      </x:c>
    </x:row>
    <x:row r="6543" spans="1:14">
      <x:c r="A6543" s="274" t="s">
        <x:v>10805</x:v>
      </x:c>
      <x:c r="B6543" s="274" t="n">
        <x:v>7.48</x:v>
      </x:c>
      <x:c r="C6543" s="274" t="n">
        <x:v>0</x:v>
      </x:c>
      <x:c r="D6543" s="274" t="n">
        <x:v>42</x:v>
      </x:c>
      <x:c r="E6543" s="274" t="n">
        <x:v>40</x:v>
      </x:c>
      <x:c r="F6543" s="274" t="s">
        <x:v>133</x:v>
      </x:c>
      <x:c r="G6543" s="274" t="s">
        <x:v>136</x:v>
      </x:c>
      <x:c r="H6543" s="274" t="n">
        <x:v>45</x:v>
      </x:c>
      <x:c r="I6543" s="274" t="n">
        <x:v>1.2</x:v>
      </x:c>
      <x:c r="J6543" s="274" t="n">
        <x:v>1290</x:v>
      </x:c>
      <x:c r="K6543" s="274" t="n">
        <x:v>610</x:v>
      </x:c>
      <x:c r="M6543" s="274" t="s">
        <x:v>4438</x:v>
      </x:c>
      <x:c r="N6543" s="274" t="s">
        <x:v>3671</x:v>
      </x:c>
    </x:row>
    <x:row r="6544" spans="1:14">
      <x:c r="A6544" s="274" t="s">
        <x:v>10806</x:v>
      </x:c>
      <x:c r="B6544" s="274" t="n">
        <x:v>5.89</x:v>
      </x:c>
      <x:c r="C6544" s="274" t="n">
        <x:v>0</x:v>
      </x:c>
      <x:c r="D6544" s="274" t="n">
        <x:v>42</x:v>
      </x:c>
      <x:c r="E6544" s="274" t="n">
        <x:v>40</x:v>
      </x:c>
      <x:c r="F6544" s="274" t="s">
        <x:v>333</x:v>
      </x:c>
      <x:c r="G6544" s="274" t="s">
        <x:v>124</x:v>
      </x:c>
      <x:c r="I6544" s="274" t="n">
        <x:v>1.4</x:v>
      </x:c>
      <x:c r="J6544" s="274" t="n">
        <x:v>1135</x:v>
      </x:c>
      <x:c r="K6544" s="274" t="n">
        <x:v>472</x:v>
      </x:c>
      <x:c r="M6544" s="274" t="s">
        <x:v>7985</x:v>
      </x:c>
      <x:c r="N6544" s="274" t="s">
        <x:v>3671</x:v>
      </x:c>
    </x:row>
    <x:row r="6545" spans="1:14">
      <x:c r="A6545" s="274" t="s">
        <x:v>10807</x:v>
      </x:c>
      <x:c r="B6545" s="274" t="n">
        <x:v>8.78</x:v>
      </x:c>
      <x:c r="C6545" s="274" t="n">
        <x:v>0</x:v>
      </x:c>
      <x:c r="D6545" s="274" t="n">
        <x:v>45</x:v>
      </x:c>
      <x:c r="E6545" s="274" t="n">
        <x:v>40</x:v>
      </x:c>
      <x:c r="F6545" s="274" t="s">
        <x:v>133</x:v>
      </x:c>
      <x:c r="G6545" s="274" t="s">
        <x:v>148</x:v>
      </x:c>
      <x:c r="I6545" s="274" t="n">
        <x:v>2.3</x:v>
      </x:c>
      <x:c r="J6545" s="274" t="n">
        <x:v>1120</x:v>
      </x:c>
      <x:c r="K6545" s="274" t="n">
        <x:v>434</x:v>
      </x:c>
      <x:c r="M6545" s="274" t="s">
        <x:v>8001</x:v>
      </x:c>
      <x:c r="N6545" s="274" t="s">
        <x:v>3671</x:v>
      </x:c>
    </x:row>
    <x:row r="6546" spans="1:14">
      <x:c r="A6546" s="274" t="s">
        <x:v>10808</x:v>
      </x:c>
      <x:c r="B6546" s="274" t="n">
        <x:v>12.64</x:v>
      </x:c>
      <x:c r="C6546" s="274" t="n">
        <x:v>0</x:v>
      </x:c>
      <x:c r="D6546" s="274" t="n">
        <x:v>45</x:v>
      </x:c>
      <x:c r="E6546" s="274" t="n">
        <x:v>40</x:v>
      </x:c>
      <x:c r="F6546" s="274" t="s">
        <x:v>133</x:v>
      </x:c>
      <x:c r="G6546" s="274" t="s">
        <x:v>148</x:v>
      </x:c>
      <x:c r="I6546" s="274" t="n">
        <x:v>2.3</x:v>
      </x:c>
      <x:c r="J6546" s="274" t="n">
        <x:v>1120</x:v>
      </x:c>
      <x:c r="K6546" s="274" t="n">
        <x:v>625</x:v>
      </x:c>
      <x:c r="M6546" s="274" t="s">
        <x:v>4434</x:v>
      </x:c>
      <x:c r="N6546" s="274" t="s">
        <x:v>3671</x:v>
      </x:c>
    </x:row>
    <x:row r="6547" spans="1:14">
      <x:c r="A6547" s="274" t="s">
        <x:v>10809</x:v>
      </x:c>
      <x:c r="B6547" s="274" t="n">
        <x:v>29.13</x:v>
      </x:c>
      <x:c r="C6547" s="274" t="n">
        <x:v>0</x:v>
      </x:c>
      <x:c r="D6547" s="274" t="n">
        <x:v>30</x:v>
      </x:c>
      <x:c r="E6547" s="274" t="n">
        <x:v>25</x:v>
      </x:c>
      <x:c r="F6547" s="274" t="s">
        <x:v>123</x:v>
      </x:c>
      <x:c r="G6547" s="274" t="s">
        <x:v>136</x:v>
      </x:c>
      <x:c r="H6547" s="274" t="n">
        <x:v>45</x:v>
      </x:c>
      <x:c r="I6547" s="274" t="n">
        <x:v>2.3</x:v>
      </x:c>
      <x:c r="J6547" s="274" t="n">
        <x:v>1285</x:v>
      </x:c>
      <x:c r="K6547" s="274" t="n">
        <x:v>1250</x:v>
      </x:c>
      <x:c r="M6547" s="274" t="s">
        <x:v>8344</x:v>
      </x:c>
      <x:c r="N6547" s="274" t="s">
        <x:v>3671</x:v>
      </x:c>
    </x:row>
    <x:row r="6548" spans="1:14">
      <x:c r="A6548" s="274" t="s">
        <x:v>10810</x:v>
      </x:c>
      <x:c r="B6548" s="274" t="n">
        <x:v>7.6</x:v>
      </x:c>
      <x:c r="C6548" s="274" t="n">
        <x:v>0</x:v>
      </x:c>
      <x:c r="D6548" s="274" t="n">
        <x:v>0</x:v>
      </x:c>
      <x:c r="F6548" s="274" t="s">
        <x:v>123</x:v>
      </x:c>
      <x:c r="G6548" s="274" t="s">
        <x:v>136</x:v>
      </x:c>
      <x:c r="H6548" s="274" t="n">
        <x:v>45</x:v>
      </x:c>
      <x:c r="I6548" s="274" t="n">
        <x:v>2.3</x:v>
      </x:c>
      <x:c r="J6548" s="274" t="n">
        <x:v>335</x:v>
      </x:c>
      <x:c r="K6548" s="274" t="n">
        <x:v>1250</x:v>
      </x:c>
      <x:c r="M6548" s="274" t="s">
        <x:v>8344</x:v>
      </x:c>
      <x:c r="N6548" s="274" t="s">
        <x:v>3671</x:v>
      </x:c>
    </x:row>
    <x:row r="6549" spans="1:14">
      <x:c r="A6549" s="274" t="s">
        <x:v>10811</x:v>
      </x:c>
      <x:c r="B6549" s="274" t="n">
        <x:v>19.5</x:v>
      </x:c>
      <x:c r="C6549" s="274" t="n">
        <x:v>0</x:v>
      </x:c>
      <x:c r="D6549" s="274" t="n">
        <x:v>33</x:v>
      </x:c>
      <x:c r="E6549" s="274" t="n">
        <x:v>28</x:v>
      </x:c>
      <x:c r="F6549" s="274" t="s">
        <x:v>128</x:v>
      </x:c>
      <x:c r="G6549" s="274" t="s">
        <x:v>136</x:v>
      </x:c>
      <x:c r="H6549" s="274" t="n">
        <x:v>45</x:v>
      </x:c>
      <x:c r="I6549" s="274" t="n">
        <x:v>2.6</x:v>
      </x:c>
      <x:c r="J6549" s="274" t="n">
        <x:v>951</x:v>
      </x:c>
      <x:c r="K6549" s="274" t="n">
        <x:v>1000</x:v>
      </x:c>
      <x:c r="M6549" s="274" t="s">
        <x:v>5150</x:v>
      </x:c>
      <x:c r="N6549" s="274" t="s">
        <x:v>3671</x:v>
      </x:c>
    </x:row>
    <x:row r="6550" spans="1:14">
      <x:c r="A6550" s="274" t="s">
        <x:v>10812</x:v>
      </x:c>
      <x:c r="B6550" s="274" t="n">
        <x:v>9.25</x:v>
      </x:c>
      <x:c r="C6550" s="274" t="n">
        <x:v>0</x:v>
      </x:c>
      <x:c r="D6550" s="274" t="n">
        <x:v>40</x:v>
      </x:c>
      <x:c r="E6550" s="274" t="n">
        <x:v>35</x:v>
      </x:c>
      <x:c r="F6550" s="274" t="s">
        <x:v>133</x:v>
      </x:c>
      <x:c r="G6550" s="274" t="s">
        <x:v>148</x:v>
      </x:c>
      <x:c r="I6550" s="274" t="n">
        <x:v>2.6</x:v>
      </x:c>
      <x:c r="J6550" s="274" t="n">
        <x:v>1105</x:v>
      </x:c>
      <x:c r="K6550" s="274" t="n">
        <x:v>410</x:v>
      </x:c>
      <x:c r="M6550" s="274" t="s">
        <x:v>996</x:v>
      </x:c>
      <x:c r="N6550" s="274" t="s">
        <x:v>5222</x:v>
      </x:c>
    </x:row>
    <x:row r="6551" spans="1:14">
      <x:c r="A6551" s="274" t="s">
        <x:v>10813</x:v>
      </x:c>
      <x:c r="B6551" s="274" t="n">
        <x:v>3.27</x:v>
      </x:c>
      <x:c r="C6551" s="274" t="n">
        <x:v>0</x:v>
      </x:c>
      <x:c r="D6551" s="274" t="n">
        <x:v>45</x:v>
      </x:c>
      <x:c r="E6551" s="274" t="n">
        <x:v>40</x:v>
      </x:c>
      <x:c r="F6551" s="274" t="s">
        <x:v>333</x:v>
      </x:c>
      <x:c r="G6551" s="274" t="s">
        <x:v>153</x:v>
      </x:c>
      <x:c r="I6551" s="274" t="n">
        <x:v>0.8</x:v>
      </x:c>
      <x:c r="J6551" s="274" t="n">
        <x:v>1000</x:v>
      </x:c>
      <x:c r="K6551" s="274" t="n">
        <x:v>520</x:v>
      </x:c>
      <x:c r="M6551" s="274" t="s">
        <x:v>4377</x:v>
      </x:c>
      <x:c r="N6551" s="274" t="s">
        <x:v>3671</x:v>
      </x:c>
    </x:row>
    <x:row r="6552" spans="1:14">
      <x:c r="A6552" s="274" t="s">
        <x:v>10814</x:v>
      </x:c>
      <x:c r="B6552" s="274" t="n">
        <x:v>7.85</x:v>
      </x:c>
      <x:c r="C6552" s="274" t="n">
        <x:v>35</x:v>
      </x:c>
      <x:c r="D6552" s="274" t="n">
        <x:v>40</x:v>
      </x:c>
      <x:c r="E6552" s="274" t="n">
        <x:v>35</x:v>
      </x:c>
      <x:c r="F6552" s="274" t="s">
        <x:v>184</x:v>
      </x:c>
      <x:c r="G6552" s="274" t="s">
        <x:v>144</x:v>
      </x:c>
      <x:c r="H6552" s="274" t="n">
        <x:v>45</x:v>
      </x:c>
      <x:c r="I6552" s="274" t="n">
        <x:v>2.3</x:v>
      </x:c>
      <x:c r="J6552" s="274" t="n">
        <x:v>1170</x:v>
      </x:c>
      <x:c r="K6552" s="274" t="n">
        <x:v>370</x:v>
      </x:c>
      <x:c r="M6552" s="274" t="s">
        <x:v>4332</x:v>
      </x:c>
      <x:c r="N6552" s="274" t="s">
        <x:v>3671</x:v>
      </x:c>
    </x:row>
    <x:row r="6553" spans="1:14">
      <x:c r="A6553" s="274" t="s">
        <x:v>10815</x:v>
      </x:c>
      <x:c r="B6553" s="274" t="n">
        <x:v>3.67</x:v>
      </x:c>
      <x:c r="C6553" s="274" t="n">
        <x:v>0</x:v>
      </x:c>
      <x:c r="D6553" s="274" t="n">
        <x:v>40</x:v>
      </x:c>
      <x:c r="E6553" s="274" t="n">
        <x:v>35</x:v>
      </x:c>
      <x:c r="F6553" s="274" t="s">
        <x:v>123</x:v>
      </x:c>
      <x:c r="G6553" s="274" t="s">
        <x:v>881</x:v>
      </x:c>
      <x:c r="H6553" s="274" t="n">
        <x:v>45</x:v>
      </x:c>
      <x:c r="I6553" s="274" t="n">
        <x:v>1</x:v>
      </x:c>
      <x:c r="J6553" s="274" t="n">
        <x:v>1170</x:v>
      </x:c>
      <x:c r="K6553" s="274" t="n">
        <x:v>395</x:v>
      </x:c>
      <x:c r="M6553" s="274" t="s">
        <x:v>8016</x:v>
      </x:c>
      <x:c r="N6553" s="274" t="s">
        <x:v>3671</x:v>
      </x:c>
    </x:row>
    <x:row r="6554" spans="1:14">
      <x:c r="A6554" s="274" t="s">
        <x:v>10816</x:v>
      </x:c>
      <x:c r="B6554" s="274" t="n">
        <x:v>2.56</x:v>
      </x:c>
      <x:c r="C6554" s="274" t="n">
        <x:v>0</x:v>
      </x:c>
      <x:c r="D6554" s="274" t="n">
        <x:v>45</x:v>
      </x:c>
      <x:c r="E6554" s="274" t="n">
        <x:v>40</x:v>
      </x:c>
      <x:c r="F6554" s="274" t="s">
        <x:v>333</x:v>
      </x:c>
      <x:c r="G6554" s="274" t="s">
        <x:v>124</x:v>
      </x:c>
      <x:c r="I6554" s="274" t="n">
        <x:v>0.8</x:v>
      </x:c>
      <x:c r="J6554" s="274" t="n">
        <x:v>1275</x:v>
      </x:c>
      <x:c r="K6554" s="274" t="n">
        <x:v>320</x:v>
      </x:c>
      <x:c r="M6554" s="274" t="s">
        <x:v>4985</x:v>
      </x:c>
      <x:c r="N6554" s="274" t="s">
        <x:v>3671</x:v>
      </x:c>
    </x:row>
    <x:row r="6555" spans="1:14">
      <x:c r="A6555" s="274" t="s">
        <x:v>10817</x:v>
      </x:c>
      <x:c r="B6555" s="274" t="n">
        <x:v>2.68</x:v>
      </x:c>
      <x:c r="C6555" s="274" t="n">
        <x:v>0</x:v>
      </x:c>
      <x:c r="D6555" s="274" t="n">
        <x:v>45</x:v>
      </x:c>
      <x:c r="E6555" s="274" t="n">
        <x:v>40</x:v>
      </x:c>
      <x:c r="F6555" s="274" t="s">
        <x:v>333</x:v>
      </x:c>
      <x:c r="G6555" s="274" t="s">
        <x:v>124</x:v>
      </x:c>
      <x:c r="I6555" s="274" t="n">
        <x:v>0.8</x:v>
      </x:c>
      <x:c r="J6555" s="274" t="n">
        <x:v>1275</x:v>
      </x:c>
      <x:c r="K6555" s="274" t="n">
        <x:v>335</x:v>
      </x:c>
      <x:c r="M6555" s="274" t="s">
        <x:v>4987</x:v>
      </x:c>
      <x:c r="N6555" s="274" t="s">
        <x:v>3671</x:v>
      </x:c>
    </x:row>
    <x:row r="6556" spans="1:14">
      <x:c r="A6556" s="274" t="s">
        <x:v>10818</x:v>
      </x:c>
      <x:c r="B6556" s="274" t="n">
        <x:v>5.53</x:v>
      </x:c>
      <x:c r="C6556" s="274" t="n">
        <x:v>0</x:v>
      </x:c>
      <x:c r="D6556" s="274" t="n">
        <x:v>45</x:v>
      </x:c>
      <x:c r="E6556" s="274" t="n">
        <x:v>40</x:v>
      </x:c>
      <x:c r="F6556" s="274" t="s">
        <x:v>123</x:v>
      </x:c>
      <x:c r="G6556" s="274" t="s">
        <x:v>129</x:v>
      </x:c>
      <x:c r="H6556" s="274" t="n">
        <x:v>45</x:v>
      </x:c>
      <x:c r="I6556" s="274" t="n">
        <x:v>0.9</x:v>
      </x:c>
      <x:c r="J6556" s="274" t="n">
        <x:v>1050</x:v>
      </x:c>
      <x:c r="K6556" s="274" t="n">
        <x:v>736</x:v>
      </x:c>
      <x:c r="M6556" s="274" t="s">
        <x:v>8034</x:v>
      </x:c>
      <x:c r="N6556" s="274" t="s">
        <x:v>3671</x:v>
      </x:c>
    </x:row>
    <x:row r="6557" spans="1:14">
      <x:c r="A6557" s="274" t="s">
        <x:v>10819</x:v>
      </x:c>
      <x:c r="B6557" s="274" t="n">
        <x:v>3.94</x:v>
      </x:c>
      <x:c r="C6557" s="274" t="n">
        <x:v>0</x:v>
      </x:c>
      <x:c r="D6557" s="274" t="n">
        <x:v>45</x:v>
      </x:c>
      <x:c r="E6557" s="274" t="n">
        <x:v>40</x:v>
      </x:c>
      <x:c r="F6557" s="274" t="s">
        <x:v>123</x:v>
      </x:c>
      <x:c r="G6557" s="274" t="s">
        <x:v>129</x:v>
      </x:c>
      <x:c r="H6557" s="274" t="n">
        <x:v>45</x:v>
      </x:c>
      <x:c r="I6557" s="274" t="n">
        <x:v>1</x:v>
      </x:c>
      <x:c r="J6557" s="274" t="n">
        <x:v>1115</x:v>
      </x:c>
      <x:c r="K6557" s="274" t="n">
        <x:v>445</x:v>
      </x:c>
      <x:c r="M6557" s="274" t="s">
        <x:v>5762</x:v>
      </x:c>
      <x:c r="N6557" s="274" t="s">
        <x:v>3671</x:v>
      </x:c>
    </x:row>
    <x:row r="6558" spans="1:14">
      <x:c r="A6558" s="274" t="s">
        <x:v>10820</x:v>
      </x:c>
      <x:c r="B6558" s="274" t="n">
        <x:v>4.8</x:v>
      </x:c>
      <x:c r="C6558" s="274" t="n">
        <x:v>0</x:v>
      </x:c>
      <x:c r="D6558" s="274" t="n">
        <x:v>45</x:v>
      </x:c>
      <x:c r="E6558" s="274" t="n">
        <x:v>40</x:v>
      </x:c>
      <x:c r="F6558" s="274" t="s">
        <x:v>123</x:v>
      </x:c>
      <x:c r="G6558" s="274" t="s">
        <x:v>881</x:v>
      </x:c>
      <x:c r="H6558" s="274" t="n">
        <x:v>45</x:v>
      </x:c>
      <x:c r="I6558" s="274" t="n">
        <x:v>1.2</x:v>
      </x:c>
      <x:c r="J6558" s="274" t="n">
        <x:v>1100</x:v>
      </x:c>
      <x:c r="K6558" s="274" t="n">
        <x:v>459</x:v>
      </x:c>
      <x:c r="M6558" s="274" t="s">
        <x:v>8037</x:v>
      </x:c>
      <x:c r="N6558" s="274" t="s">
        <x:v>3671</x:v>
      </x:c>
    </x:row>
    <x:row r="6559" spans="1:14">
      <x:c r="A6559" s="274" t="s">
        <x:v>10821</x:v>
      </x:c>
      <x:c r="B6559" s="274" t="n">
        <x:v>6.07</x:v>
      </x:c>
      <x:c r="C6559" s="274" t="n">
        <x:v>0</x:v>
      </x:c>
      <x:c r="D6559" s="274" t="n">
        <x:v>45</x:v>
      </x:c>
      <x:c r="E6559" s="274" t="n">
        <x:v>40</x:v>
      </x:c>
      <x:c r="F6559" s="274" t="s">
        <x:v>123</x:v>
      </x:c>
      <x:c r="G6559" s="274" t="s">
        <x:v>881</x:v>
      </x:c>
      <x:c r="H6559" s="274" t="n">
        <x:v>45</x:v>
      </x:c>
      <x:c r="I6559" s="274" t="n">
        <x:v>1.2</x:v>
      </x:c>
      <x:c r="J6559" s="274" t="n">
        <x:v>1100</x:v>
      </x:c>
      <x:c r="K6559" s="274" t="n">
        <x:v>580</x:v>
      </x:c>
      <x:c r="M6559" s="274" t="s">
        <x:v>8043</x:v>
      </x:c>
      <x:c r="N6559" s="274" t="s">
        <x:v>3671</x:v>
      </x:c>
    </x:row>
    <x:row r="6560" spans="1:14">
      <x:c r="A6560" s="274" t="s">
        <x:v>10822</x:v>
      </x:c>
      <x:c r="B6560" s="274" t="n">
        <x:v>6.42</x:v>
      </x:c>
      <x:c r="C6560" s="274" t="n">
        <x:v>0</x:v>
      </x:c>
      <x:c r="D6560" s="274" t="n">
        <x:v>45</x:v>
      </x:c>
      <x:c r="E6560" s="274" t="n">
        <x:v>40</x:v>
      </x:c>
      <x:c r="F6560" s="274" t="s">
        <x:v>123</x:v>
      </x:c>
      <x:c r="G6560" s="274" t="s">
        <x:v>129</x:v>
      </x:c>
      <x:c r="H6560" s="274" t="n">
        <x:v>45</x:v>
      </x:c>
      <x:c r="I6560" s="274" t="n">
        <x:v>1.4</x:v>
      </x:c>
      <x:c r="J6560" s="274" t="n">
        <x:v>1040</x:v>
      </x:c>
      <x:c r="K6560" s="274" t="n">
        <x:v>557</x:v>
      </x:c>
      <x:c r="M6560" s="274" t="s">
        <x:v>5956</x:v>
      </x:c>
      <x:c r="N6560" s="274" t="s">
        <x:v>3671</x:v>
      </x:c>
    </x:row>
    <x:row r="6561" spans="1:14">
      <x:c r="A6561" s="274" t="s">
        <x:v>10823</x:v>
      </x:c>
      <x:c r="B6561" s="274" t="n">
        <x:v>5.22</x:v>
      </x:c>
      <x:c r="C6561" s="274" t="n">
        <x:v>0</x:v>
      </x:c>
      <x:c r="D6561" s="274" t="n">
        <x:v>45</x:v>
      </x:c>
      <x:c r="E6561" s="274" t="n">
        <x:v>40</x:v>
      </x:c>
      <x:c r="F6561" s="274" t="s">
        <x:v>333</x:v>
      </x:c>
      <x:c r="G6561" s="274" t="s">
        <x:v>334</x:v>
      </x:c>
      <x:c r="I6561" s="274" t="n">
        <x:v>1.6</x:v>
      </x:c>
      <x:c r="J6561" s="274" t="n">
        <x:v>1187</x:v>
      </x:c>
      <x:c r="K6561" s="274" t="n">
        <x:v>350</x:v>
      </x:c>
      <x:c r="M6561" s="274" t="s">
        <x:v>5992</x:v>
      </x:c>
      <x:c r="N6561" s="274" t="s">
        <x:v>3671</x:v>
      </x:c>
    </x:row>
    <x:row r="6562" spans="1:14">
      <x:c r="A6562" s="274" t="s">
        <x:v>10824</x:v>
      </x:c>
      <x:c r="B6562" s="274" t="n">
        <x:v>25.9</x:v>
      </x:c>
      <x:c r="C6562" s="274" t="n">
        <x:v>0</x:v>
      </x:c>
      <x:c r="D6562" s="274" t="n">
        <x:v>27</x:v>
      </x:c>
      <x:c r="E6562" s="274" t="n">
        <x:v>23</x:v>
      </x:c>
      <x:c r="F6562" s="274" t="s">
        <x:v>133</x:v>
      </x:c>
      <x:c r="G6562" s="274" t="s">
        <x:v>134</x:v>
      </x:c>
      <x:c r="I6562" s="274" t="n">
        <x:v>2.6</x:v>
      </x:c>
      <x:c r="J6562" s="274" t="n">
        <x:v>1015</x:v>
      </x:c>
      <x:c r="K6562" s="274" t="n">
        <x:v>1250</x:v>
      </x:c>
      <x:c r="M6562" s="274" t="s">
        <x:v>8048</x:v>
      </x:c>
      <x:c r="N6562" s="274" t="s">
        <x:v>3671</x:v>
      </x:c>
    </x:row>
    <x:row r="6563" spans="1:14">
      <x:c r="A6563" s="274" t="s">
        <x:v>10825</x:v>
      </x:c>
      <x:c r="B6563" s="274" t="n">
        <x:v>9.6</x:v>
      </x:c>
      <x:c r="C6563" s="274" t="n">
        <x:v>0</x:v>
      </x:c>
      <x:c r="D6563" s="274" t="n">
        <x:v>0</x:v>
      </x:c>
      <x:c r="F6563" s="274" t="s">
        <x:v>184</x:v>
      </x:c>
      <x:c r="G6563" s="274" t="s">
        <x:v>4782</x:v>
      </x:c>
      <x:c r="H6563" s="274" t="s">
        <x:v>4471</x:v>
      </x:c>
      <x:c r="I6563" s="274" t="n">
        <x:v>0.7</x:v>
      </x:c>
      <x:c r="J6563" s="274" t="n">
        <x:v>1375</x:v>
      </x:c>
      <x:c r="K6563" s="274" t="n">
        <x:v>1250</x:v>
      </x:c>
      <x:c r="M6563" s="274" t="s">
        <x:v>5468</x:v>
      </x:c>
      <x:c r="N6563" s="274" t="s">
        <x:v>4258</x:v>
      </x:c>
    </x:row>
    <x:row r="6564" spans="1:14">
      <x:c r="A6564" s="274" t="s">
        <x:v>10826</x:v>
      </x:c>
      <x:c r="B6564" s="274" t="n">
        <x:v>7.43</x:v>
      </x:c>
      <x:c r="C6564" s="274" t="n">
        <x:v>0</x:v>
      </x:c>
      <x:c r="D6564" s="274" t="n">
        <x:v>0</x:v>
      </x:c>
      <x:c r="F6564" s="274" t="s">
        <x:v>184</x:v>
      </x:c>
      <x:c r="G6564" s="274" t="s">
        <x:v>4782</x:v>
      </x:c>
      <x:c r="H6564" s="274" t="s">
        <x:v>4471</x:v>
      </x:c>
      <x:c r="I6564" s="274" t="n">
        <x:v>0.7</x:v>
      </x:c>
      <x:c r="J6564" s="274" t="n">
        <x:v>1375</x:v>
      </x:c>
      <x:c r="K6564" s="274" t="n">
        <x:v>968</x:v>
      </x:c>
      <x:c r="M6564" s="274" t="s">
        <x:v>5464</x:v>
      </x:c>
      <x:c r="N6564" s="274" t="s">
        <x:v>4258</x:v>
      </x:c>
    </x:row>
    <x:row r="6565" spans="1:14">
      <x:c r="A6565" s="274" t="s">
        <x:v>10827</x:v>
      </x:c>
      <x:c r="B6565" s="274" t="n">
        <x:v>8.22</x:v>
      </x:c>
      <x:c r="C6565" s="274" t="n">
        <x:v>0</x:v>
      </x:c>
      <x:c r="D6565" s="274" t="n">
        <x:v>0</x:v>
      </x:c>
      <x:c r="F6565" s="274" t="s">
        <x:v>184</x:v>
      </x:c>
      <x:c r="G6565" s="274" t="s">
        <x:v>4782</x:v>
      </x:c>
      <x:c r="H6565" s="274" t="s">
        <x:v>4471</x:v>
      </x:c>
      <x:c r="I6565" s="274" t="n">
        <x:v>0.7</x:v>
      </x:c>
      <x:c r="J6565" s="274" t="n">
        <x:v>1375</x:v>
      </x:c>
      <x:c r="K6565" s="274" t="n">
        <x:v>1070</x:v>
      </x:c>
      <x:c r="M6565" s="274" t="s">
        <x:v>5700</x:v>
      </x:c>
      <x:c r="N6565" s="274" t="s">
        <x:v>4258</x:v>
      </x:c>
    </x:row>
    <x:row r="6566" spans="1:14">
      <x:c r="A6566" s="274" t="s">
        <x:v>10828</x:v>
      </x:c>
      <x:c r="B6566" s="274" t="n">
        <x:v>2.1</x:v>
      </x:c>
      <x:c r="C6566" s="274" t="n">
        <x:v>0</x:v>
      </x:c>
      <x:c r="D6566" s="274" t="n">
        <x:v>45</x:v>
      </x:c>
      <x:c r="E6566" s="274" t="n">
        <x:v>40</x:v>
      </x:c>
      <x:c r="F6566" s="274" t="s">
        <x:v>123</x:v>
      </x:c>
      <x:c r="G6566" s="274" t="s">
        <x:v>136</x:v>
      </x:c>
      <x:c r="H6566" s="274" t="n">
        <x:v>45</x:v>
      </x:c>
      <x:c r="I6566" s="274" t="n">
        <x:v>0.55</x:v>
      </x:c>
      <x:c r="J6566" s="274" t="n">
        <x:v>1465</x:v>
      </x:c>
      <x:c r="K6566" s="274" t="n">
        <x:v>325</x:v>
      </x:c>
      <x:c r="M6566" s="274" t="s">
        <x:v>4657</x:v>
      </x:c>
      <x:c r="N6566" s="274" t="s">
        <x:v>3671</x:v>
      </x:c>
    </x:row>
    <x:row r="6567" spans="1:14">
      <x:c r="A6567" s="274" t="s">
        <x:v>10829</x:v>
      </x:c>
      <x:c r="B6567" s="274" t="n">
        <x:v>2.95</x:v>
      </x:c>
      <x:c r="C6567" s="274" t="n">
        <x:v>0</x:v>
      </x:c>
      <x:c r="D6567" s="274" t="n">
        <x:v>45</x:v>
      </x:c>
      <x:c r="E6567" s="274" t="n">
        <x:v>40</x:v>
      </x:c>
      <x:c r="F6567" s="274" t="s">
        <x:v>333</x:v>
      </x:c>
      <x:c r="G6567" s="274" t="s">
        <x:v>153</x:v>
      </x:c>
      <x:c r="I6567" s="274" t="n">
        <x:v>0.65</x:v>
      </x:c>
      <x:c r="J6567" s="274" t="n">
        <x:v>1430</x:v>
      </x:c>
      <x:c r="K6567" s="274" t="n">
        <x:v>404</x:v>
      </x:c>
      <x:c r="M6567" s="274" t="s">
        <x:v>8061</x:v>
      </x:c>
      <x:c r="N6567" s="274" t="s">
        <x:v>3671</x:v>
      </x:c>
    </x:row>
    <x:row r="6568" spans="1:14">
      <x:c r="A6568" s="274" t="s">
        <x:v>10830</x:v>
      </x:c>
      <x:c r="B6568" s="274" t="n">
        <x:v>2.8</x:v>
      </x:c>
      <x:c r="C6568" s="274" t="n">
        <x:v>0</x:v>
      </x:c>
      <x:c r="D6568" s="274" t="n">
        <x:v>45</x:v>
      </x:c>
      <x:c r="E6568" s="274" t="n">
        <x:v>40</x:v>
      </x:c>
      <x:c r="F6568" s="274" t="s">
        <x:v>133</x:v>
      </x:c>
      <x:c r="G6568" s="274" t="s">
        <x:v>144</x:v>
      </x:c>
      <x:c r="H6568" s="274" t="n">
        <x:v>45</x:v>
      </x:c>
      <x:c r="I6568" s="274" t="n">
        <x:v>0.8</x:v>
      </x:c>
      <x:c r="J6568" s="274" t="n">
        <x:v>1150</x:v>
      </x:c>
      <x:c r="K6568" s="274" t="n">
        <x:v>382</x:v>
      </x:c>
      <x:c r="M6568" s="274" t="s">
        <x:v>8064</x:v>
      </x:c>
      <x:c r="N6568" s="274" t="s">
        <x:v>3671</x:v>
      </x:c>
    </x:row>
    <x:row r="6569" spans="1:14">
      <x:c r="A6569" s="274" t="s">
        <x:v>10831</x:v>
      </x:c>
      <x:c r="B6569" s="274" t="n">
        <x:v>4.07</x:v>
      </x:c>
      <x:c r="C6569" s="274" t="n">
        <x:v>0</x:v>
      </x:c>
      <x:c r="D6569" s="274" t="n">
        <x:v>45</x:v>
      </x:c>
      <x:c r="E6569" s="274" t="n">
        <x:v>40</x:v>
      </x:c>
      <x:c r="F6569" s="274" t="s">
        <x:v>333</x:v>
      </x:c>
      <x:c r="G6569" s="274" t="s">
        <x:v>124</x:v>
      </x:c>
      <x:c r="I6569" s="274" t="n">
        <x:v>1.2</x:v>
      </x:c>
      <x:c r="J6569" s="274" t="n">
        <x:v>1020</x:v>
      </x:c>
      <x:c r="K6569" s="274" t="n">
        <x:v>424</x:v>
      </x:c>
      <x:c r="M6569" s="274" t="s">
        <x:v>5844</x:v>
      </x:c>
      <x:c r="N6569" s="274" t="s">
        <x:v>3671</x:v>
      </x:c>
    </x:row>
    <x:row r="6570" spans="1:14">
      <x:c r="A6570" s="274" t="s">
        <x:v>10832</x:v>
      </x:c>
      <x:c r="B6570" s="274" t="n">
        <x:v>15.7</x:v>
      </x:c>
      <x:c r="C6570" s="274" t="n">
        <x:v>0</x:v>
      </x:c>
      <x:c r="D6570" s="274" t="n">
        <x:v>35</x:v>
      </x:c>
      <x:c r="E6570" s="274" t="n">
        <x:v>30</x:v>
      </x:c>
      <x:c r="F6570" s="274" t="s">
        <x:v>333</x:v>
      </x:c>
      <x:c r="G6570" s="274" t="s">
        <x:v>124</x:v>
      </x:c>
      <x:c r="I6570" s="274" t="n">
        <x:v>1.6</x:v>
      </x:c>
      <x:c r="J6570" s="274" t="n">
        <x:v>1000</x:v>
      </x:c>
      <x:c r="K6570" s="274" t="n">
        <x:v>1250</x:v>
      </x:c>
      <x:c r="M6570" s="274" t="s">
        <x:v>8067</x:v>
      </x:c>
      <x:c r="N6570" s="274" t="s">
        <x:v>3671</x:v>
      </x:c>
    </x:row>
    <x:row r="6571" spans="1:14">
      <x:c r="A6571" s="274" t="s">
        <x:v>10833</x:v>
      </x:c>
      <x:c r="B6571" s="274" t="n">
        <x:v>31.86</x:v>
      </x:c>
      <x:c r="C6571" s="274" t="n">
        <x:v>0</x:v>
      </x:c>
      <x:c r="D6571" s="274" t="n">
        <x:v>28</x:v>
      </x:c>
      <x:c r="E6571" s="274" t="n">
        <x:v>23</x:v>
      </x:c>
      <x:c r="F6571" s="274" t="s">
        <x:v>133</x:v>
      </x:c>
      <x:c r="G6571" s="274" t="s">
        <x:v>148</x:v>
      </x:c>
      <x:c r="I6571" s="274" t="n">
        <x:v>2.9</x:v>
      </x:c>
      <x:c r="J6571" s="274" t="n">
        <x:v>1120</x:v>
      </x:c>
      <x:c r="K6571" s="274" t="n">
        <x:v>1250</x:v>
      </x:c>
      <x:c r="M6571" s="274" t="s">
        <x:v>8069</x:v>
      </x:c>
      <x:c r="N6571" s="274" t="s">
        <x:v>3671</x:v>
      </x:c>
    </x:row>
    <x:row r="6572" spans="1:14">
      <x:c r="A6572" s="274" t="s">
        <x:v>10834</x:v>
      </x:c>
      <x:c r="B6572" s="274" t="n">
        <x:v>10.29</x:v>
      </x:c>
      <x:c r="C6572" s="274" t="n">
        <x:v>0</x:v>
      </x:c>
      <x:c r="D6572" s="274" t="n">
        <x:v>42</x:v>
      </x:c>
      <x:c r="E6572" s="274" t="n">
        <x:v>37</x:v>
      </x:c>
      <x:c r="F6572" s="274" t="s">
        <x:v>123</x:v>
      </x:c>
      <x:c r="G6572" s="274" t="s">
        <x:v>129</x:v>
      </x:c>
      <x:c r="H6572" s="274" t="n">
        <x:v>45</x:v>
      </x:c>
      <x:c r="I6572" s="274" t="n">
        <x:v>1.2</x:v>
      </x:c>
      <x:c r="J6572" s="274" t="n">
        <x:v>1040</x:v>
      </x:c>
      <x:c r="K6572" s="274" t="n">
        <x:v>1040</x:v>
      </x:c>
      <x:c r="M6572" s="274" t="s">
        <x:v>8125</x:v>
      </x:c>
      <x:c r="N6572" s="274" t="s">
        <x:v>3671</x:v>
      </x:c>
    </x:row>
    <x:row r="6573" spans="1:14">
      <x:c r="A6573" s="274" t="s">
        <x:v>10835</x:v>
      </x:c>
      <x:c r="B6573" s="274" t="n">
        <x:v>5.24</x:v>
      </x:c>
      <x:c r="C6573" s="274" t="n">
        <x:v>0</x:v>
      </x:c>
      <x:c r="D6573" s="274" t="n">
        <x:v>45</x:v>
      </x:c>
      <x:c r="E6573" s="274" t="n">
        <x:v>40</x:v>
      </x:c>
      <x:c r="F6573" s="274" t="s">
        <x:v>133</x:v>
      </x:c>
      <x:c r="G6573" s="274" t="s">
        <x:v>144</x:v>
      </x:c>
      <x:c r="H6573" s="274" t="n">
        <x:v>45</x:v>
      </x:c>
      <x:c r="I6573" s="274" t="n">
        <x:v>1.2</x:v>
      </x:c>
      <x:c r="J6573" s="274" t="n">
        <x:v>1210</x:v>
      </x:c>
      <x:c r="K6573" s="274" t="n">
        <x:v>455</x:v>
      </x:c>
      <x:c r="M6573" s="274" t="s">
        <x:v>8129</x:v>
      </x:c>
      <x:c r="N6573" s="274" t="s">
        <x:v>3671</x:v>
      </x:c>
    </x:row>
    <x:row r="6574" spans="1:14">
      <x:c r="A6574" s="274" t="s">
        <x:v>10836</x:v>
      </x:c>
      <x:c r="B6574" s="274" t="n">
        <x:v>6.21</x:v>
      </x:c>
      <x:c r="C6574" s="274" t="n">
        <x:v>0</x:v>
      </x:c>
      <x:c r="D6574" s="274" t="n">
        <x:v>45</x:v>
      </x:c>
      <x:c r="E6574" s="274" t="n">
        <x:v>40</x:v>
      </x:c>
      <x:c r="F6574" s="274" t="s">
        <x:v>133</x:v>
      </x:c>
      <x:c r="G6574" s="274" t="s">
        <x:v>144</x:v>
      </x:c>
      <x:c r="H6574" s="274" t="n">
        <x:v>45</x:v>
      </x:c>
      <x:c r="I6574" s="274" t="n">
        <x:v>1.2</x:v>
      </x:c>
      <x:c r="J6574" s="274" t="n">
        <x:v>1210</x:v>
      </x:c>
      <x:c r="K6574" s="274" t="n">
        <x:v>540</x:v>
      </x:c>
      <x:c r="M6574" s="274" t="s">
        <x:v>8131</x:v>
      </x:c>
      <x:c r="N6574" s="274" t="s">
        <x:v>3671</x:v>
      </x:c>
    </x:row>
    <x:row r="6575" spans="1:14">
      <x:c r="A6575" s="274" t="s">
        <x:v>10837</x:v>
      </x:c>
      <x:c r="B6575" s="274" t="n">
        <x:v>14.03</x:v>
      </x:c>
      <x:c r="C6575" s="274" t="n">
        <x:v>0</x:v>
      </x:c>
      <x:c r="D6575" s="274" t="n">
        <x:v>35</x:v>
      </x:c>
      <x:c r="E6575" s="274" t="n">
        <x:v>30</x:v>
      </x:c>
      <x:c r="F6575" s="274" t="s">
        <x:v>133</x:v>
      </x:c>
      <x:c r="G6575" s="274" t="s">
        <x:v>144</x:v>
      </x:c>
      <x:c r="H6575" s="274" t="n">
        <x:v>45</x:v>
      </x:c>
      <x:c r="I6575" s="274" t="n">
        <x:v>1.2</x:v>
      </x:c>
      <x:c r="J6575" s="274" t="n">
        <x:v>1210</x:v>
      </x:c>
      <x:c r="K6575" s="274" t="n">
        <x:v>1219</x:v>
      </x:c>
      <x:c r="M6575" s="274" t="s">
        <x:v>7852</x:v>
      </x:c>
      <x:c r="N6575" s="274" t="s">
        <x:v>3671</x:v>
      </x:c>
    </x:row>
    <x:row r="6576" spans="1:14">
      <x:c r="A6576" s="274" t="s">
        <x:v>10838</x:v>
      </x:c>
      <x:c r="B6576" s="274" t="n">
        <x:v>7.2</x:v>
      </x:c>
      <x:c r="C6576" s="274" t="n">
        <x:v>0</x:v>
      </x:c>
      <x:c r="D6576" s="274" t="n">
        <x:v>45</x:v>
      </x:c>
      <x:c r="E6576" s="274" t="n">
        <x:v>40</x:v>
      </x:c>
      <x:c r="F6576" s="274" t="s">
        <x:v>123</x:v>
      </x:c>
      <x:c r="G6576" s="274" t="s">
        <x:v>881</x:v>
      </x:c>
      <x:c r="H6576" s="274" t="n">
        <x:v>45</x:v>
      </x:c>
      <x:c r="I6576" s="274" t="n">
        <x:v>1.4</x:v>
      </x:c>
      <x:c r="J6576" s="274" t="n">
        <x:v>1140</x:v>
      </x:c>
      <x:c r="K6576" s="274" t="n">
        <x:v>570</x:v>
      </x:c>
      <x:c r="M6576" s="274" t="s">
        <x:v>8136</x:v>
      </x:c>
      <x:c r="N6576" s="274" t="s">
        <x:v>3671</x:v>
      </x:c>
    </x:row>
    <x:row r="6577" spans="1:14">
      <x:c r="A6577" s="274" t="s">
        <x:v>10839</x:v>
      </x:c>
      <x:c r="B6577" s="274" t="n">
        <x:v>2.58</x:v>
      </x:c>
      <x:c r="C6577" s="274" t="n">
        <x:v>0</x:v>
      </x:c>
      <x:c r="D6577" s="274" t="n">
        <x:v>45</x:v>
      </x:c>
      <x:c r="E6577" s="274" t="n">
        <x:v>40</x:v>
      </x:c>
      <x:c r="F6577" s="274" t="s">
        <x:v>123</x:v>
      </x:c>
      <x:c r="G6577" s="274" t="s">
        <x:v>136</x:v>
      </x:c>
      <x:c r="H6577" s="274" t="n">
        <x:v>45</x:v>
      </x:c>
      <x:c r="I6577" s="274" t="n">
        <x:v>0.55</x:v>
      </x:c>
      <x:c r="J6577" s="274" t="n">
        <x:v>1465</x:v>
      </x:c>
      <x:c r="K6577" s="274" t="n">
        <x:v>400</x:v>
      </x:c>
      <x:c r="M6577" s="274" t="s">
        <x:v>8234</x:v>
      </x:c>
      <x:c r="N6577" s="274" t="s">
        <x:v>3671</x:v>
      </x:c>
    </x:row>
    <x:row r="6578" spans="1:14">
      <x:c r="A6578" s="274" t="s">
        <x:v>10840</x:v>
      </x:c>
      <x:c r="B6578" s="274" t="n">
        <x:v>2.7</x:v>
      </x:c>
      <x:c r="C6578" s="274" t="n">
        <x:v>0</x:v>
      </x:c>
      <x:c r="D6578" s="274" t="n">
        <x:v>45</x:v>
      </x:c>
      <x:c r="E6578" s="274" t="n">
        <x:v>40</x:v>
      </x:c>
      <x:c r="F6578" s="274" t="s">
        <x:v>123</x:v>
      </x:c>
      <x:c r="G6578" s="274" t="s">
        <x:v>136</x:v>
      </x:c>
      <x:c r="H6578" s="274" t="n">
        <x:v>45</x:v>
      </x:c>
      <x:c r="I6578" s="274" t="n">
        <x:v>0.55</x:v>
      </x:c>
      <x:c r="J6578" s="274" t="n">
        <x:v>1465</x:v>
      </x:c>
      <x:c r="K6578" s="274" t="n">
        <x:v>418</x:v>
      </x:c>
      <x:c r="M6578" s="274" t="s">
        <x:v>8221</x:v>
      </x:c>
      <x:c r="N6578" s="274" t="s">
        <x:v>3671</x:v>
      </x:c>
    </x:row>
    <x:row r="6579" spans="1:14">
      <x:c r="A6579" s="274" t="s">
        <x:v>10841</x:v>
      </x:c>
      <x:c r="B6579" s="274" t="n">
        <x:v>4.49</x:v>
      </x:c>
      <x:c r="C6579" s="274" t="n">
        <x:v>0</x:v>
      </x:c>
      <x:c r="D6579" s="274" t="n">
        <x:v>45</x:v>
      </x:c>
      <x:c r="E6579" s="274" t="n">
        <x:v>40</x:v>
      </x:c>
      <x:c r="F6579" s="274" t="s">
        <x:v>333</x:v>
      </x:c>
      <x:c r="G6579" s="274" t="s">
        <x:v>153</x:v>
      </x:c>
      <x:c r="I6579" s="274" t="n">
        <x:v>1.2</x:v>
      </x:c>
      <x:c r="J6579" s="274" t="n">
        <x:v>1050</x:v>
      </x:c>
      <x:c r="K6579" s="274" t="n">
        <x:v>454</x:v>
      </x:c>
      <x:c r="M6579" s="274" t="s">
        <x:v>3460</x:v>
      </x:c>
      <x:c r="N6579" s="274" t="s">
        <x:v>4481</x:v>
      </x:c>
    </x:row>
    <x:row r="6580" spans="1:14">
      <x:c r="A6580" s="274" t="s">
        <x:v>10842</x:v>
      </x:c>
      <x:c r="B6580" s="274" t="n">
        <x:v>2.1</x:v>
      </x:c>
      <x:c r="C6580" s="274" t="n">
        <x:v>0</x:v>
      </x:c>
      <x:c r="D6580" s="274" t="n">
        <x:v>45</x:v>
      </x:c>
      <x:c r="E6580" s="274" t="n">
        <x:v>40</x:v>
      </x:c>
      <x:c r="F6580" s="274" t="s">
        <x:v>333</x:v>
      </x:c>
      <x:c r="G6580" s="274" t="s">
        <x:v>153</x:v>
      </x:c>
      <x:c r="I6580" s="274" t="n">
        <x:v>0.7</x:v>
      </x:c>
      <x:c r="J6580" s="274" t="n">
        <x:v>1200</x:v>
      </x:c>
      <x:c r="K6580" s="274" t="n">
        <x:v>318</x:v>
      </x:c>
      <x:c r="M6580" s="274" t="s">
        <x:v>8239</x:v>
      </x:c>
      <x:c r="N6580" s="274" t="s">
        <x:v>3671</x:v>
      </x:c>
    </x:row>
    <x:row r="6581" spans="1:14">
      <x:c r="A6581" s="274" t="s">
        <x:v>10843</x:v>
      </x:c>
      <x:c r="B6581" s="274" t="n">
        <x:v>2.42</x:v>
      </x:c>
      <x:c r="C6581" s="274" t="n">
        <x:v>0</x:v>
      </x:c>
      <x:c r="D6581" s="274" t="n">
        <x:v>45</x:v>
      </x:c>
      <x:c r="E6581" s="274" t="n">
        <x:v>40</x:v>
      </x:c>
      <x:c r="F6581" s="274" t="s">
        <x:v>123</x:v>
      </x:c>
      <x:c r="G6581" s="274" t="s">
        <x:v>129</x:v>
      </x:c>
      <x:c r="H6581" s="274" t="n">
        <x:v>45</x:v>
      </x:c>
      <x:c r="I6581" s="274" t="n">
        <x:v>0.7</x:v>
      </x:c>
      <x:c r="J6581" s="274" t="n">
        <x:v>1110</x:v>
      </x:c>
      <x:c r="K6581" s="274" t="n">
        <x:v>390</x:v>
      </x:c>
      <x:c r="M6581" s="274" t="s">
        <x:v>6339</x:v>
      </x:c>
      <x:c r="N6581" s="274" t="s">
        <x:v>3671</x:v>
      </x:c>
    </x:row>
    <x:row r="6582" spans="1:14">
      <x:c r="A6582" s="274" t="s">
        <x:v>10844</x:v>
      </x:c>
      <x:c r="B6582" s="274" t="n">
        <x:v>2.12</x:v>
      </x:c>
      <x:c r="C6582" s="274" t="n">
        <x:v>0</x:v>
      </x:c>
      <x:c r="D6582" s="274" t="n">
        <x:v>45</x:v>
      </x:c>
      <x:c r="E6582" s="274" t="n">
        <x:v>40</x:v>
      </x:c>
      <x:c r="F6582" s="274" t="s">
        <x:v>333</x:v>
      </x:c>
      <x:c r="G6582" s="274" t="s">
        <x:v>153</x:v>
      </x:c>
      <x:c r="I6582" s="274" t="n">
        <x:v>0.7</x:v>
      </x:c>
      <x:c r="J6582" s="274" t="n">
        <x:v>1200</x:v>
      </x:c>
      <x:c r="K6582" s="274" t="n">
        <x:v>322</x:v>
      </x:c>
      <x:c r="M6582" s="274" t="s">
        <x:v>5735</x:v>
      </x:c>
      <x:c r="N6582" s="274" t="s">
        <x:v>3671</x:v>
      </x:c>
    </x:row>
    <x:row r="6583" spans="1:14">
      <x:c r="A6583" s="274" t="s">
        <x:v>10845</x:v>
      </x:c>
      <x:c r="B6583" s="274" t="n">
        <x:v>1.95</x:v>
      </x:c>
      <x:c r="C6583" s="274" t="n">
        <x:v>0</x:v>
      </x:c>
      <x:c r="D6583" s="274" t="n">
        <x:v>45</x:v>
      </x:c>
      <x:c r="E6583" s="274" t="n">
        <x:v>40</x:v>
      </x:c>
      <x:c r="F6583" s="274" t="s">
        <x:v>333</x:v>
      </x:c>
      <x:c r="G6583" s="274" t="s">
        <x:v>153</x:v>
      </x:c>
      <x:c r="I6583" s="274" t="n">
        <x:v>0.7</x:v>
      </x:c>
      <x:c r="J6583" s="274" t="n">
        <x:v>875</x:v>
      </x:c>
      <x:c r="K6583" s="274" t="n">
        <x:v>406</x:v>
      </x:c>
      <x:c r="M6583" s="274" t="s">
        <x:v>8236</x:v>
      </x:c>
      <x:c r="N6583" s="274" t="s">
        <x:v>3671</x:v>
      </x:c>
    </x:row>
    <x:row r="6584" spans="1:14">
      <x:c r="A6584" s="274" t="s">
        <x:v>10846</x:v>
      </x:c>
      <x:c r="B6584" s="274" t="n">
        <x:v>1.96</x:v>
      </x:c>
      <x:c r="C6584" s="274" t="n">
        <x:v>0</x:v>
      </x:c>
      <x:c r="D6584" s="274" t="n">
        <x:v>45</x:v>
      </x:c>
      <x:c r="E6584" s="274" t="n">
        <x:v>40</x:v>
      </x:c>
      <x:c r="F6584" s="274" t="s">
        <x:v>333</x:v>
      </x:c>
      <x:c r="G6584" s="274" t="s">
        <x:v>209</x:v>
      </x:c>
      <x:c r="I6584" s="274" t="n">
        <x:v>0.75</x:v>
      </x:c>
      <x:c r="J6584" s="274" t="n">
        <x:v>910</x:v>
      </x:c>
      <x:c r="K6584" s="274" t="n">
        <x:v>365</x:v>
      </x:c>
      <x:c r="M6584" s="274" t="s">
        <x:v>6086</x:v>
      </x:c>
      <x:c r="N6584" s="274" t="s">
        <x:v>3671</x:v>
      </x:c>
    </x:row>
    <x:row r="6585" spans="1:14">
      <x:c r="A6585" s="274" t="s">
        <x:v>10847</x:v>
      </x:c>
      <x:c r="B6585" s="274" t="n">
        <x:v>6.43</x:v>
      </x:c>
      <x:c r="C6585" s="274" t="n">
        <x:v>0</x:v>
      </x:c>
      <x:c r="D6585" s="274" t="n">
        <x:v>45</x:v>
      </x:c>
      <x:c r="E6585" s="274" t="n">
        <x:v>40</x:v>
      </x:c>
      <x:c r="F6585" s="274" t="s">
        <x:v>333</x:v>
      </x:c>
      <x:c r="G6585" s="274" t="s">
        <x:v>124</x:v>
      </x:c>
      <x:c r="I6585" s="274" t="n">
        <x:v>1</x:v>
      </x:c>
      <x:c r="J6585" s="274" t="n">
        <x:v>900</x:v>
      </x:c>
      <x:c r="K6585" s="274" t="n">
        <x:v>910</x:v>
      </x:c>
      <x:c r="M6585" s="274" t="s">
        <x:v>6278</x:v>
      </x:c>
      <x:c r="N6585" s="274" t="s">
        <x:v>3671</x:v>
      </x:c>
    </x:row>
    <x:row r="6586" spans="1:14">
      <x:c r="A6586" s="274" t="s">
        <x:v>10848</x:v>
      </x:c>
      <x:c r="B6586" s="274" t="n">
        <x:v>3.47</x:v>
      </x:c>
      <x:c r="C6586" s="274" t="n">
        <x:v>0</x:v>
      </x:c>
      <x:c r="D6586" s="274" t="n">
        <x:v>45</x:v>
      </x:c>
      <x:c r="E6586" s="274" t="n">
        <x:v>40</x:v>
      </x:c>
      <x:c r="F6586" s="274" t="s">
        <x:v>123</x:v>
      </x:c>
      <x:c r="G6586" s="274" t="s">
        <x:v>129</x:v>
      </x:c>
      <x:c r="H6586" s="274" t="n">
        <x:v>45</x:v>
      </x:c>
      <x:c r="I6586" s="274" t="n">
        <x:v>1</x:v>
      </x:c>
      <x:c r="J6586" s="274" t="n">
        <x:v>1115</x:v>
      </x:c>
      <x:c r="K6586" s="274" t="n">
        <x:v>392</x:v>
      </x:c>
      <x:c r="M6586" s="274" t="s">
        <x:v>5820</x:v>
      </x:c>
      <x:c r="N6586" s="274" t="s">
        <x:v>3671</x:v>
      </x:c>
    </x:row>
    <x:row r="6587" spans="1:14">
      <x:c r="A6587" s="274" t="s">
        <x:v>10849</x:v>
      </x:c>
      <x:c r="B6587" s="274" t="n">
        <x:v>3.21</x:v>
      </x:c>
      <x:c r="C6587" s="274" t="n">
        <x:v>0</x:v>
      </x:c>
      <x:c r="D6587" s="274" t="n">
        <x:v>45</x:v>
      </x:c>
      <x:c r="E6587" s="274" t="n">
        <x:v>40</x:v>
      </x:c>
      <x:c r="F6587" s="274" t="s">
        <x:v>333</x:v>
      </x:c>
      <x:c r="G6587" s="274" t="s">
        <x:v>209</x:v>
      </x:c>
      <x:c r="I6587" s="274" t="n">
        <x:v>1</x:v>
      </x:c>
      <x:c r="J6587" s="274" t="n">
        <x:v>1200</x:v>
      </x:c>
      <x:c r="K6587" s="274" t="n">
        <x:v>341</x:v>
      </x:c>
      <x:c r="M6587" s="274" t="s">
        <x:v>5828</x:v>
      </x:c>
      <x:c r="N6587" s="274" t="s">
        <x:v>3671</x:v>
      </x:c>
    </x:row>
    <x:row r="6588" spans="1:14">
      <x:c r="A6588" s="274" t="s">
        <x:v>10850</x:v>
      </x:c>
      <x:c r="B6588" s="274" t="n">
        <x:v>11.14</x:v>
      </x:c>
      <x:c r="C6588" s="274" t="n">
        <x:v>0</x:v>
      </x:c>
      <x:c r="D6588" s="274" t="n">
        <x:v>37</x:v>
      </x:c>
      <x:c r="E6588" s="274" t="n">
        <x:v>32</x:v>
      </x:c>
      <x:c r="F6588" s="274" t="s">
        <x:v>333</x:v>
      </x:c>
      <x:c r="G6588" s="274" t="s">
        <x:v>124</x:v>
      </x:c>
      <x:c r="I6588" s="274" t="n">
        <x:v>1</x:v>
      </x:c>
      <x:c r="J6588" s="274" t="n">
        <x:v>1208</x:v>
      </x:c>
      <x:c r="K6588" s="274" t="n">
        <x:v>1175</x:v>
      </x:c>
      <x:c r="M6588" s="274" t="s">
        <x:v>5083</x:v>
      </x:c>
    </x:row>
    <x:row r="6589" spans="1:14">
      <x:c r="A6589" s="274" t="s">
        <x:v>10851</x:v>
      </x:c>
      <x:c r="B6589" s="274" t="n">
        <x:v>11.86</x:v>
      </x:c>
      <x:c r="C6589" s="274" t="n">
        <x:v>0</x:v>
      </x:c>
      <x:c r="D6589" s="274" t="n">
        <x:v>0</x:v>
      </x:c>
      <x:c r="F6589" s="274" t="s">
        <x:v>133</x:v>
      </x:c>
      <x:c r="G6589" s="274" t="s">
        <x:v>136</x:v>
      </x:c>
      <x:c r="H6589" s="274" t="n">
        <x:v>45</x:v>
      </x:c>
      <x:c r="I6589" s="274" t="n">
        <x:v>1</x:v>
      </x:c>
      <x:c r="J6589" s="274" t="n">
        <x:v>1195</x:v>
      </x:c>
      <x:c r="K6589" s="274" t="n">
        <x:v>1250</x:v>
      </x:c>
      <x:c r="M6589" s="274" t="s">
        <x:v>8093</x:v>
      </x:c>
    </x:row>
    <x:row r="6590" spans="1:14">
      <x:c r="A6590" s="274" t="s">
        <x:v>10852</x:v>
      </x:c>
      <x:c r="B6590" s="274" t="n">
        <x:v>11.2</x:v>
      </x:c>
      <x:c r="C6590" s="274" t="n">
        <x:v>0</x:v>
      </x:c>
      <x:c r="D6590" s="274" t="n">
        <x:v>30</x:v>
      </x:c>
      <x:c r="E6590" s="274" t="n">
        <x:v>30</x:v>
      </x:c>
      <x:c r="F6590" s="274" t="s">
        <x:v>133</x:v>
      </x:c>
      <x:c r="G6590" s="274" t="s">
        <x:v>144</x:v>
      </x:c>
      <x:c r="H6590" s="274" t="n">
        <x:v>45</x:v>
      </x:c>
      <x:c r="I6590" s="274" t="n">
        <x:v>1</x:v>
      </x:c>
      <x:c r="J6590" s="274" t="n">
        <x:v>1128</x:v>
      </x:c>
      <x:c r="K6590" s="274" t="n">
        <x:v>1250</x:v>
      </x:c>
      <x:c r="M6590" s="274" t="s">
        <x:v>5085</x:v>
      </x:c>
      <x:c r="N6590" s="274" t="s">
        <x:v>3671</x:v>
      </x:c>
    </x:row>
    <x:row r="6591" spans="1:14">
      <x:c r="A6591" s="274" t="s">
        <x:v>10853</x:v>
      </x:c>
      <x:c r="B6591" s="274" t="n">
        <x:v>15.05</x:v>
      </x:c>
      <x:c r="C6591" s="274" t="n">
        <x:v>0</x:v>
      </x:c>
      <x:c r="D6591" s="274" t="n">
        <x:v>30</x:v>
      </x:c>
      <x:c r="E6591" s="274" t="n">
        <x:v>30</x:v>
      </x:c>
      <x:c r="F6591" s="274" t="s">
        <x:v>133</x:v>
      </x:c>
      <x:c r="G6591" s="274" t="s">
        <x:v>144</x:v>
      </x:c>
      <x:c r="H6591" s="274" t="n">
        <x:v>45</x:v>
      </x:c>
      <x:c r="I6591" s="274" t="n">
        <x:v>1</x:v>
      </x:c>
      <x:c r="J6591" s="274" t="n">
        <x:v>1128</x:v>
      </x:c>
      <x:c r="K6591" s="274" t="n">
        <x:v>1680</x:v>
      </x:c>
      <x:c r="M6591" s="274" t="s">
        <x:v>8096</x:v>
      </x:c>
      <x:c r="N6591" s="274" t="s">
        <x:v>3671</x:v>
      </x:c>
    </x:row>
    <x:row r="6592" spans="1:14">
      <x:c r="A6592" s="274" t="s">
        <x:v>10854</x:v>
      </x:c>
      <x:c r="B6592" s="274" t="n">
        <x:v>11.07</x:v>
      </x:c>
      <x:c r="C6592" s="274" t="n">
        <x:v>0</x:v>
      </x:c>
      <x:c r="D6592" s="274" t="n">
        <x:v>0</x:v>
      </x:c>
      <x:c r="F6592" s="274" t="s">
        <x:v>123</x:v>
      </x:c>
      <x:c r="G6592" s="274" t="s">
        <x:v>129</x:v>
      </x:c>
      <x:c r="H6592" s="274" t="n">
        <x:v>45</x:v>
      </x:c>
      <x:c r="I6592" s="274" t="n">
        <x:v>1</x:v>
      </x:c>
      <x:c r="J6592" s="274" t="n">
        <x:v>1115</x:v>
      </x:c>
      <x:c r="K6592" s="274" t="n">
        <x:v>1250</x:v>
      </x:c>
      <x:c r="M6592" s="274" t="s">
        <x:v>6126</x:v>
      </x:c>
      <x:c r="N6592" s="274" t="s">
        <x:v>3671</x:v>
      </x:c>
    </x:row>
    <x:row r="6593" spans="1:14">
      <x:c r="A6593" s="274" t="s">
        <x:v>10855</x:v>
      </x:c>
      <x:c r="B6593" s="274" t="n">
        <x:v>2.83</x:v>
      </x:c>
      <x:c r="C6593" s="274" t="n">
        <x:v>0</x:v>
      </x:c>
      <x:c r="D6593" s="274" t="n">
        <x:v>45</x:v>
      </x:c>
      <x:c r="E6593" s="274" t="n">
        <x:v>40</x:v>
      </x:c>
      <x:c r="F6593" s="274" t="s">
        <x:v>123</x:v>
      </x:c>
      <x:c r="G6593" s="274" t="s">
        <x:v>129</x:v>
      </x:c>
      <x:c r="H6593" s="274" t="n">
        <x:v>45</x:v>
      </x:c>
      <x:c r="I6593" s="274" t="n">
        <x:v>1</x:v>
      </x:c>
      <x:c r="J6593" s="274" t="n">
        <x:v>1115</x:v>
      </x:c>
      <x:c r="K6593" s="274" t="n">
        <x:v>320</x:v>
      </x:c>
      <x:c r="M6593" s="274" t="s">
        <x:v>6128</x:v>
      </x:c>
      <x:c r="N6593" s="274" t="s">
        <x:v>3671</x:v>
      </x:c>
    </x:row>
    <x:row r="6594" spans="1:14">
      <x:c r="A6594" s="274" t="s">
        <x:v>10856</x:v>
      </x:c>
      <x:c r="B6594" s="274" t="n">
        <x:v>4.48</x:v>
      </x:c>
      <x:c r="C6594" s="274" t="n">
        <x:v>0</x:v>
      </x:c>
      <x:c r="D6594" s="274" t="n">
        <x:v>45</x:v>
      </x:c>
      <x:c r="E6594" s="274" t="n">
        <x:v>40</x:v>
      </x:c>
      <x:c r="F6594" s="274" t="s">
        <x:v>333</x:v>
      </x:c>
      <x:c r="G6594" s="274" t="s">
        <x:v>124</x:v>
      </x:c>
      <x:c r="I6594" s="274" t="n">
        <x:v>1</x:v>
      </x:c>
      <x:c r="J6594" s="274" t="n">
        <x:v>1208</x:v>
      </x:c>
      <x:c r="K6594" s="274" t="n">
        <x:v>472</x:v>
      </x:c>
      <x:c r="M6594" s="274" t="s">
        <x:v>10857</x:v>
      </x:c>
      <x:c r="N6594" s="274" t="s">
        <x:v>3671</x:v>
      </x:c>
    </x:row>
    <x:row r="6595" spans="1:14">
      <x:c r="A6595" s="274" t="s">
        <x:v>10858</x:v>
      </x:c>
      <x:c r="B6595" s="274" t="n">
        <x:v>4.48</x:v>
      </x:c>
      <x:c r="C6595" s="274" t="n">
        <x:v>0</x:v>
      </x:c>
      <x:c r="D6595" s="274" t="n">
        <x:v>45</x:v>
      </x:c>
      <x:c r="E6595" s="274" t="n">
        <x:v>40</x:v>
      </x:c>
      <x:c r="F6595" s="274" t="s">
        <x:v>184</x:v>
      </x:c>
      <x:c r="G6595" s="274" t="s">
        <x:v>3413</x:v>
      </x:c>
      <x:c r="H6595" s="274" t="n">
        <x:v>45</x:v>
      </x:c>
      <x:c r="I6595" s="274" t="n">
        <x:v>1.2</x:v>
      </x:c>
      <x:c r="J6595" s="274" t="n">
        <x:v>1065</x:v>
      </x:c>
      <x:c r="K6595" s="274" t="n">
        <x:v>442</x:v>
      </x:c>
      <x:c r="M6595" s="274" t="s">
        <x:v>8127</x:v>
      </x:c>
      <x:c r="N6595" s="274" t="s">
        <x:v>3671</x:v>
      </x:c>
    </x:row>
    <x:row r="6596" spans="1:14">
      <x:c r="A6596" s="274" t="s">
        <x:v>10859</x:v>
      </x:c>
      <x:c r="B6596" s="274" t="n">
        <x:v>15.79</x:v>
      </x:c>
      <x:c r="C6596" s="274" t="n">
        <x:v>0</x:v>
      </x:c>
      <x:c r="D6596" s="274" t="n">
        <x:v>35</x:v>
      </x:c>
      <x:c r="E6596" s="274" t="n">
        <x:v>30</x:v>
      </x:c>
      <x:c r="F6596" s="274" t="s">
        <x:v>123</x:v>
      </x:c>
      <x:c r="G6596" s="274" t="s">
        <x:v>881</x:v>
      </x:c>
      <x:c r="H6596" s="274" t="n">
        <x:v>45</x:v>
      </x:c>
      <x:c r="I6596" s="274" t="n">
        <x:v>1.4</x:v>
      </x:c>
      <x:c r="J6596" s="274" t="n">
        <x:v>1140</x:v>
      </x:c>
      <x:c r="K6596" s="274" t="n">
        <x:v>1250</x:v>
      </x:c>
      <x:c r="M6596" s="274" t="s">
        <x:v>6160</x:v>
      </x:c>
      <x:c r="N6596" s="274" t="s">
        <x:v>3671</x:v>
      </x:c>
    </x:row>
    <x:row r="6597" spans="1:14">
      <x:c r="A6597" s="274" t="s">
        <x:v>10860</x:v>
      </x:c>
      <x:c r="B6597" s="274" t="n">
        <x:v>13.65</x:v>
      </x:c>
      <x:c r="C6597" s="274" t="n">
        <x:v>0</x:v>
      </x:c>
      <x:c r="D6597" s="274" t="n">
        <x:v>40</x:v>
      </x:c>
      <x:c r="E6597" s="274" t="n">
        <x:v>35</x:v>
      </x:c>
      <x:c r="F6597" s="274" t="s">
        <x:v>133</x:v>
      </x:c>
      <x:c r="G6597" s="274" t="s">
        <x:v>136</x:v>
      </x:c>
      <x:c r="H6597" s="274" t="n">
        <x:v>45</x:v>
      </x:c>
      <x:c r="I6597" s="274" t="n">
        <x:v>1.4</x:v>
      </x:c>
      <x:c r="J6597" s="274" t="n">
        <x:v>1185</x:v>
      </x:c>
      <x:c r="K6597" s="274" t="n">
        <x:v>1040</x:v>
      </x:c>
      <x:c r="M6597" s="274" t="s">
        <x:v>5117</x:v>
      </x:c>
      <x:c r="N6597" s="274" t="s">
        <x:v>3671</x:v>
      </x:c>
    </x:row>
    <x:row r="6598" spans="1:14">
      <x:c r="A6598" s="274" t="s">
        <x:v>10861</x:v>
      </x:c>
      <x:c r="B6598" s="274" t="n">
        <x:v>15.47</x:v>
      </x:c>
      <x:c r="C6598" s="274" t="n">
        <x:v>0</x:v>
      </x:c>
      <x:c r="D6598" s="274" t="n">
        <x:v>45</x:v>
      </x:c>
      <x:c r="E6598" s="274" t="n">
        <x:v>40</x:v>
      </x:c>
      <x:c r="F6598" s="274" t="s">
        <x:v>133</x:v>
      </x:c>
      <x:c r="G6598" s="274" t="s">
        <x:v>136</x:v>
      </x:c>
      <x:c r="H6598" s="274" t="n">
        <x:v>45</x:v>
      </x:c>
      <x:c r="I6598" s="274" t="n">
        <x:v>1.4</x:v>
      </x:c>
      <x:c r="J6598" s="274" t="n">
        <x:v>1425</x:v>
      </x:c>
      <x:c r="K6598" s="274" t="n">
        <x:v>980</x:v>
      </x:c>
      <x:c r="M6598" s="274" t="s">
        <x:v>8148</x:v>
      </x:c>
      <x:c r="N6598" s="274" t="s">
        <x:v>3671</x:v>
      </x:c>
    </x:row>
    <x:row r="6599" spans="1:14">
      <x:c r="A6599" s="274" t="s">
        <x:v>10862</x:v>
      </x:c>
      <x:c r="B6599" s="274" t="n">
        <x:v>17.92</x:v>
      </x:c>
      <x:c r="C6599" s="274" t="n">
        <x:v>0</x:v>
      </x:c>
      <x:c r="D6599" s="274" t="n">
        <x:v>37</x:v>
      </x:c>
      <x:c r="E6599" s="274" t="n">
        <x:v>32</x:v>
      </x:c>
      <x:c r="F6599" s="274" t="s">
        <x:v>133</x:v>
      </x:c>
      <x:c r="G6599" s="274" t="s">
        <x:v>136</x:v>
      </x:c>
      <x:c r="H6599" s="274" t="n">
        <x:v>45</x:v>
      </x:c>
      <x:c r="I6599" s="274" t="n">
        <x:v>1.4</x:v>
      </x:c>
      <x:c r="J6599" s="274" t="n">
        <x:v>1425</x:v>
      </x:c>
      <x:c r="K6599" s="274" t="n">
        <x:v>1135</x:v>
      </x:c>
      <x:c r="M6599" s="274" t="s">
        <x:v>8150</x:v>
      </x:c>
      <x:c r="N6599" s="274" t="s">
        <x:v>3671</x:v>
      </x:c>
    </x:row>
    <x:row r="6600" spans="1:14">
      <x:c r="A6600" s="274" t="s">
        <x:v>10863</x:v>
      </x:c>
      <x:c r="B6600" s="274" t="n">
        <x:v>18.95</x:v>
      </x:c>
      <x:c r="C6600" s="274" t="n">
        <x:v>0</x:v>
      </x:c>
      <x:c r="D6600" s="274" t="n">
        <x:v>37</x:v>
      </x:c>
      <x:c r="E6600" s="274" t="n">
        <x:v>32</x:v>
      </x:c>
      <x:c r="F6600" s="274" t="s">
        <x:v>133</x:v>
      </x:c>
      <x:c r="G6600" s="274" t="s">
        <x:v>136</x:v>
      </x:c>
      <x:c r="H6600" s="274" t="n">
        <x:v>45</x:v>
      </x:c>
      <x:c r="I6600" s="274" t="n">
        <x:v>1.4</x:v>
      </x:c>
      <x:c r="J6600" s="274" t="n">
        <x:v>1425</x:v>
      </x:c>
      <x:c r="K6600" s="274" t="n">
        <x:v>1200</x:v>
      </x:c>
      <x:c r="M6600" s="274" t="s">
        <x:v>6168</x:v>
      </x:c>
      <x:c r="N6600" s="274" t="s">
        <x:v>3671</x:v>
      </x:c>
    </x:row>
    <x:row r="6601" spans="1:14">
      <x:c r="A6601" s="274" t="s">
        <x:v>10864</x:v>
      </x:c>
      <x:c r="B6601" s="274" t="n">
        <x:v>19.73</x:v>
      </x:c>
      <x:c r="C6601" s="274" t="n">
        <x:v>0</x:v>
      </x:c>
      <x:c r="D6601" s="274" t="n">
        <x:v>35</x:v>
      </x:c>
      <x:c r="E6601" s="274" t="n">
        <x:v>30</x:v>
      </x:c>
      <x:c r="F6601" s="274" t="s">
        <x:v>133</x:v>
      </x:c>
      <x:c r="G6601" s="274" t="s">
        <x:v>136</x:v>
      </x:c>
      <x:c r="H6601" s="274" t="n">
        <x:v>45</x:v>
      </x:c>
      <x:c r="I6601" s="274" t="n">
        <x:v>1.4</x:v>
      </x:c>
      <x:c r="J6601" s="274" t="n">
        <x:v>1425</x:v>
      </x:c>
      <x:c r="K6601" s="274" t="n">
        <x:v>1250</x:v>
      </x:c>
      <x:c r="M6601" s="274" t="s">
        <x:v>8153</x:v>
      </x:c>
      <x:c r="N6601" s="274" t="s">
        <x:v>3671</x:v>
      </x:c>
    </x:row>
    <x:row r="6602" spans="1:14">
      <x:c r="A6602" s="274" t="s">
        <x:v>10865</x:v>
      </x:c>
      <x:c r="B6602" s="274" t="n">
        <x:v>12.52</x:v>
      </x:c>
      <x:c r="C6602" s="274" t="n">
        <x:v>0</x:v>
      </x:c>
      <x:c r="D6602" s="274" t="n">
        <x:v>45</x:v>
      </x:c>
      <x:c r="E6602" s="274" t="n">
        <x:v>40</x:v>
      </x:c>
      <x:c r="F6602" s="274" t="s">
        <x:v>128</x:v>
      </x:c>
      <x:c r="G6602" s="274" t="s">
        <x:v>3314</x:v>
      </x:c>
      <x:c r="H6602" s="274" t="n">
        <x:v>45</x:v>
      </x:c>
      <x:c r="I6602" s="274" t="n">
        <x:v>2.3</x:v>
      </x:c>
      <x:c r="J6602" s="274" t="n">
        <x:v>1135</x:v>
      </x:c>
      <x:c r="K6602" s="274" t="n">
        <x:v>608</x:v>
      </x:c>
      <x:c r="M6602" s="274" t="s">
        <x:v>8342</x:v>
      </x:c>
      <x:c r="N6602" s="274" t="s">
        <x:v>3671</x:v>
      </x:c>
    </x:row>
    <x:row r="6603" spans="1:14">
      <x:c r="A6603" s="274" t="s">
        <x:v>10866</x:v>
      </x:c>
      <x:c r="B6603" s="274" t="n">
        <x:v>34.46</x:v>
      </x:c>
      <x:c r="C6603" s="274" t="n">
        <x:v>0</x:v>
      </x:c>
      <x:c r="D6603" s="274" t="n">
        <x:v>28</x:v>
      </x:c>
      <x:c r="E6603" s="274" t="n">
        <x:v>23</x:v>
      </x:c>
      <x:c r="F6603" s="274" t="s">
        <x:v>133</x:v>
      </x:c>
      <x:c r="G6603" s="274" t="s">
        <x:v>148</x:v>
      </x:c>
      <x:c r="I6603" s="274" t="n">
        <x:v>3.2</x:v>
      </x:c>
      <x:c r="J6603" s="274" t="n">
        <x:v>1125</x:v>
      </x:c>
      <x:c r="K6603" s="274" t="n">
        <x:v>1220</x:v>
      </x:c>
      <x:c r="M6603" s="274" t="s">
        <x:v>4353</x:v>
      </x:c>
      <x:c r="N6603" s="274" t="s">
        <x:v>3671</x:v>
      </x:c>
    </x:row>
    <x:row r="6604" spans="1:14">
      <x:c r="A6604" s="274" t="s">
        <x:v>10867</x:v>
      </x:c>
      <x:c r="B6604" s="274" t="n">
        <x:v>34.62</x:v>
      </x:c>
      <x:c r="C6604" s="274" t="n">
        <x:v>0</x:v>
      </x:c>
      <x:c r="D6604" s="274" t="n">
        <x:v>28</x:v>
      </x:c>
      <x:c r="E6604" s="274" t="n">
        <x:v>23</x:v>
      </x:c>
      <x:c r="F6604" s="274" t="s">
        <x:v>133</x:v>
      </x:c>
      <x:c r="G6604" s="274" t="s">
        <x:v>148</x:v>
      </x:c>
      <x:c r="I6604" s="274" t="n">
        <x:v>3.2</x:v>
      </x:c>
      <x:c r="J6604" s="274" t="n">
        <x:v>1125</x:v>
      </x:c>
      <x:c r="K6604" s="274" t="n">
        <x:v>1225</x:v>
      </x:c>
      <x:c r="M6604" s="274" t="s">
        <x:v>4343</x:v>
      </x:c>
      <x:c r="N6604" s="274" t="s">
        <x:v>3671</x:v>
      </x:c>
    </x:row>
    <x:row r="6605" spans="1:14">
      <x:c r="A6605" s="274" t="s">
        <x:v>10868</x:v>
      </x:c>
      <x:c r="B6605" s="274" t="n">
        <x:v>34.77</x:v>
      </x:c>
      <x:c r="C6605" s="274" t="n">
        <x:v>0</x:v>
      </x:c>
      <x:c r="D6605" s="274" t="n">
        <x:v>28</x:v>
      </x:c>
      <x:c r="E6605" s="274" t="n">
        <x:v>23</x:v>
      </x:c>
      <x:c r="F6605" s="274" t="s">
        <x:v>133</x:v>
      </x:c>
      <x:c r="G6605" s="274" t="s">
        <x:v>148</x:v>
      </x:c>
      <x:c r="I6605" s="274" t="n">
        <x:v>3.2</x:v>
      </x:c>
      <x:c r="J6605" s="274" t="n">
        <x:v>1125</x:v>
      </x:c>
      <x:c r="K6605" s="274" t="n">
        <x:v>1230</x:v>
      </x:c>
      <x:c r="M6605" s="274" t="s">
        <x:v>4357</x:v>
      </x:c>
      <x:c r="N6605" s="274" t="s">
        <x:v>3671</x:v>
      </x:c>
    </x:row>
    <x:row r="6606" spans="1:14">
      <x:c r="A6606" s="274" t="s">
        <x:v>10869</x:v>
      </x:c>
      <x:c r="B6606" s="274" t="n">
        <x:v>34.89</x:v>
      </x:c>
      <x:c r="C6606" s="274" t="n">
        <x:v>0</x:v>
      </x:c>
      <x:c r="D6606" s="274" t="n">
        <x:v>28</x:v>
      </x:c>
      <x:c r="E6606" s="274" t="n">
        <x:v>23</x:v>
      </x:c>
      <x:c r="F6606" s="274" t="s">
        <x:v>133</x:v>
      </x:c>
      <x:c r="G6606" s="274" t="s">
        <x:v>148</x:v>
      </x:c>
      <x:c r="I6606" s="274" t="n">
        <x:v>3.2</x:v>
      </x:c>
      <x:c r="J6606" s="274" t="n">
        <x:v>1125</x:v>
      </x:c>
      <x:c r="K6606" s="274" t="n">
        <x:v>1235</x:v>
      </x:c>
      <x:c r="M6606" s="274" t="s">
        <x:v>4355</x:v>
      </x:c>
      <x:c r="N6606" s="274" t="s">
        <x:v>3671</x:v>
      </x:c>
    </x:row>
    <x:row r="6607" spans="1:14">
      <x:c r="A6607" s="274" t="s">
        <x:v>10870</x:v>
      </x:c>
      <x:c r="B6607" s="274" t="n">
        <x:v>10.23</x:v>
      </x:c>
      <x:c r="C6607" s="274" t="n">
        <x:v>0</x:v>
      </x:c>
      <x:c r="D6607" s="274" t="n">
        <x:v>45</x:v>
      </x:c>
      <x:c r="E6607" s="274" t="n">
        <x:v>40</x:v>
      </x:c>
      <x:c r="F6607" s="274" t="s">
        <x:v>123</x:v>
      </x:c>
      <x:c r="G6607" s="274" t="s">
        <x:v>437</x:v>
      </x:c>
      <x:c r="I6607" s="274" t="n">
        <x:v>3.2</x:v>
      </x:c>
      <x:c r="J6607" s="274" t="n">
        <x:v>1080</x:v>
      </x:c>
      <x:c r="K6607" s="274" t="n">
        <x:v>377</x:v>
      </x:c>
      <x:c r="M6607" s="274" t="s">
        <x:v>8112</x:v>
      </x:c>
    </x:row>
    <x:row r="6608" spans="1:14">
      <x:c r="A6608" s="274" t="s">
        <x:v>10871</x:v>
      </x:c>
      <x:c r="B6608" s="274" t="n">
        <x:v>9.22</x:v>
      </x:c>
      <x:c r="C6608" s="274" t="n">
        <x:v>0</x:v>
      </x:c>
      <x:c r="D6608" s="274" t="n">
        <x:v>45</x:v>
      </x:c>
      <x:c r="E6608" s="274" t="n">
        <x:v>40</x:v>
      </x:c>
      <x:c r="F6608" s="274" t="s">
        <x:v>184</x:v>
      </x:c>
      <x:c r="G6608" s="274" t="s">
        <x:v>3413</x:v>
      </x:c>
      <x:c r="H6608" s="274" t="n">
        <x:v>45</x:v>
      </x:c>
      <x:c r="I6608" s="274" t="n">
        <x:v>1.4</x:v>
      </x:c>
      <x:c r="J6608" s="274" t="n">
        <x:v>1110</x:v>
      </x:c>
      <x:c r="K6608" s="274" t="n">
        <x:v>750</x:v>
      </x:c>
      <x:c r="M6608" s="274" t="s">
        <x:v>6156</x:v>
      </x:c>
      <x:c r="N6608" s="274" t="s">
        <x:v>3671</x:v>
      </x:c>
    </x:row>
    <x:row r="6609" spans="1:14">
      <x:c r="A6609" s="274" t="s">
        <x:v>10872</x:v>
      </x:c>
      <x:c r="B6609" s="274" t="n">
        <x:v>4.22</x:v>
      </x:c>
      <x:c r="C6609" s="274" t="n">
        <x:v>0</x:v>
      </x:c>
      <x:c r="D6609" s="274" t="n">
        <x:v>45</x:v>
      </x:c>
      <x:c r="E6609" s="274" t="n">
        <x:v>40</x:v>
      </x:c>
      <x:c r="F6609" s="274" t="s">
        <x:v>333</x:v>
      </x:c>
      <x:c r="G6609" s="274" t="s">
        <x:v>2711</x:v>
      </x:c>
      <x:c r="I6609" s="274" t="n">
        <x:v>1</x:v>
      </x:c>
      <x:c r="J6609" s="274" t="n">
        <x:v>1050</x:v>
      </x:c>
      <x:c r="K6609" s="274" t="n">
        <x:v>512</x:v>
      </x:c>
      <x:c r="M6609" s="274" t="s">
        <x:v>7469</x:v>
      </x:c>
      <x:c r="N6609" s="274" t="s">
        <x:v>7439</x:v>
      </x:c>
    </x:row>
    <x:row r="6610" spans="1:14">
      <x:c r="A6610" s="274" t="s">
        <x:v>10873</x:v>
      </x:c>
      <x:c r="B6610" s="274" t="n">
        <x:v>3.97</x:v>
      </x:c>
      <x:c r="C6610" s="274" t="n">
        <x:v>0</x:v>
      </x:c>
      <x:c r="D6610" s="274" t="n">
        <x:v>45</x:v>
      </x:c>
      <x:c r="E6610" s="274" t="n">
        <x:v>40</x:v>
      </x:c>
      <x:c r="F6610" s="274" t="s">
        <x:v>133</x:v>
      </x:c>
      <x:c r="G6610" s="274" t="s">
        <x:v>144</x:v>
      </x:c>
      <x:c r="H6610" s="274" t="n">
        <x:v>45</x:v>
      </x:c>
      <x:c r="I6610" s="274" t="n">
        <x:v>1.2</x:v>
      </x:c>
      <x:c r="J6610" s="274" t="n">
        <x:v>1110</x:v>
      </x:c>
      <x:c r="K6610" s="274" t="n">
        <x:v>376</x:v>
      </x:c>
      <x:c r="N6610" s="274" t="s">
        <x:v>3671</x:v>
      </x:c>
    </x:row>
    <x:row r="6611" spans="1:14">
      <x:c r="A6611" s="274" t="s">
        <x:v>10874</x:v>
      </x:c>
      <x:c r="B6611" s="274" t="n">
        <x:v>6.28</x:v>
      </x:c>
      <x:c r="C6611" s="274" t="n">
        <x:v>35</x:v>
      </x:c>
      <x:c r="D6611" s="274" t="n">
        <x:v>45</x:v>
      </x:c>
      <x:c r="E6611" s="274" t="n">
        <x:v>40</x:v>
      </x:c>
      <x:c r="F6611" s="274" t="s">
        <x:v>133</x:v>
      </x:c>
      <x:c r="G6611" s="274" t="s">
        <x:v>144</x:v>
      </x:c>
      <x:c r="H6611" s="274" t="n">
        <x:v>45</x:v>
      </x:c>
      <x:c r="I6611" s="274" t="n">
        <x:v>2</x:v>
      </x:c>
      <x:c r="J6611" s="274" t="n">
        <x:v>1105</x:v>
      </x:c>
      <x:c r="K6611" s="274" t="n">
        <x:v>360</x:v>
      </x:c>
      <x:c r="M6611" s="274" t="s">
        <x:v>5647</x:v>
      </x:c>
      <x:c r="N6611" s="274" t="s">
        <x:v>3671</x:v>
      </x:c>
    </x:row>
    <x:row r="6612" spans="1:14">
      <x:c r="A6612" s="274" t="s">
        <x:v>10875</x:v>
      </x:c>
      <x:c r="B6612" s="274" t="n">
        <x:v>5.83</x:v>
      </x:c>
      <x:c r="C6612" s="274" t="n">
        <x:v>35</x:v>
      </x:c>
      <x:c r="D6612" s="274" t="n">
        <x:v>45</x:v>
      </x:c>
      <x:c r="E6612" s="274" t="n">
        <x:v>40</x:v>
      </x:c>
      <x:c r="F6612" s="274" t="s">
        <x:v>133</x:v>
      </x:c>
      <x:c r="G6612" s="274" t="s">
        <x:v>144</x:v>
      </x:c>
      <x:c r="H6612" s="274" t="n">
        <x:v>45</x:v>
      </x:c>
      <x:c r="I6612" s="274" t="n">
        <x:v>2</x:v>
      </x:c>
      <x:c r="J6612" s="274" t="n">
        <x:v>1105</x:v>
      </x:c>
      <x:c r="K6612" s="274" t="n">
        <x:v>334</x:v>
      </x:c>
      <x:c r="M6612" s="274" t="s">
        <x:v>5437</x:v>
      </x:c>
      <x:c r="N6612" s="274" t="s">
        <x:v>3671</x:v>
      </x:c>
    </x:row>
    <x:row r="6613" spans="1:14">
      <x:c r="A6613" s="274" t="s">
        <x:v>10876</x:v>
      </x:c>
      <x:c r="B6613" s="274" t="n">
        <x:v>6.19</x:v>
      </x:c>
      <x:c r="C6613" s="274" t="n">
        <x:v>0</x:v>
      </x:c>
      <x:c r="D6613" s="274" t="n">
        <x:v>45</x:v>
      </x:c>
      <x:c r="E6613" s="274" t="n">
        <x:v>40</x:v>
      </x:c>
      <x:c r="F6613" s="274" t="s">
        <x:v>133</x:v>
      </x:c>
      <x:c r="G6613" s="274" t="s">
        <x:v>144</x:v>
      </x:c>
      <x:c r="H6613" s="274" t="n">
        <x:v>45</x:v>
      </x:c>
      <x:c r="I6613" s="274" t="n">
        <x:v>2</x:v>
      </x:c>
      <x:c r="J6613" s="274" t="n">
        <x:v>1105</x:v>
      </x:c>
      <x:c r="K6613" s="274" t="n">
        <x:v>355</x:v>
      </x:c>
      <x:c r="M6613" s="274" t="s">
        <x:v>6727</x:v>
      </x:c>
      <x:c r="N6613" s="274" t="s">
        <x:v>3671</x:v>
      </x:c>
    </x:row>
    <x:row r="6614" spans="1:14">
      <x:c r="A6614" s="274" t="s">
        <x:v>10877</x:v>
      </x:c>
      <x:c r="B6614" s="274" t="n">
        <x:v>5.62</x:v>
      </x:c>
      <x:c r="C6614" s="274" t="n">
        <x:v>0</x:v>
      </x:c>
      <x:c r="D6614" s="274" t="n">
        <x:v>45</x:v>
      </x:c>
      <x:c r="E6614" s="274" t="n">
        <x:v>40</x:v>
      </x:c>
      <x:c r="F6614" s="274" t="s">
        <x:v>133</x:v>
      </x:c>
      <x:c r="G6614" s="274" t="s">
        <x:v>144</x:v>
      </x:c>
      <x:c r="H6614" s="274" t="n">
        <x:v>45</x:v>
      </x:c>
      <x:c r="I6614" s="274" t="n">
        <x:v>2</x:v>
      </x:c>
      <x:c r="J6614" s="274" t="n">
        <x:v>1105</x:v>
      </x:c>
      <x:c r="K6614" s="274" t="n">
        <x:v>322</x:v>
      </x:c>
      <x:c r="M6614" s="274" t="s">
        <x:v>5435</x:v>
      </x:c>
      <x:c r="N6614" s="274" t="s">
        <x:v>3671</x:v>
      </x:c>
    </x:row>
    <x:row r="6615" spans="1:14">
      <x:c r="A6615" s="274" t="s">
        <x:v>10878</x:v>
      </x:c>
      <x:c r="B6615" s="274" t="n">
        <x:v>6.77</x:v>
      </x:c>
      <x:c r="C6615" s="274" t="n">
        <x:v>0</x:v>
      </x:c>
      <x:c r="D6615" s="274" t="n">
        <x:v>45</x:v>
      </x:c>
      <x:c r="E6615" s="274" t="n">
        <x:v>40</x:v>
      </x:c>
      <x:c r="F6615" s="274" t="s">
        <x:v>133</x:v>
      </x:c>
      <x:c r="G6615" s="274" t="s">
        <x:v>144</x:v>
      </x:c>
      <x:c r="H6615" s="274" t="n">
        <x:v>45</x:v>
      </x:c>
      <x:c r="I6615" s="274" t="n">
        <x:v>2</x:v>
      </x:c>
      <x:c r="J6615" s="274" t="n">
        <x:v>1105</x:v>
      </x:c>
      <x:c r="K6615" s="274" t="n">
        <x:v>388</x:v>
      </x:c>
      <x:c r="M6615" s="274" t="s">
        <x:v>6729</x:v>
      </x:c>
      <x:c r="N6615" s="274" t="s">
        <x:v>3671</x:v>
      </x:c>
    </x:row>
    <x:row r="6616" spans="1:14">
      <x:c r="A6616" s="274" t="s">
        <x:v>10879</x:v>
      </x:c>
      <x:c r="B6616" s="274" t="n">
        <x:v>11.19</x:v>
      </x:c>
      <x:c r="C6616" s="274" t="n">
        <x:v>0</x:v>
      </x:c>
      <x:c r="D6616" s="274" t="n">
        <x:v>45</x:v>
      </x:c>
      <x:c r="E6616" s="274" t="n">
        <x:v>40</x:v>
      </x:c>
      <x:c r="F6616" s="274" t="s">
        <x:v>333</x:v>
      </x:c>
      <x:c r="G6616" s="274" t="s">
        <x:v>124</x:v>
      </x:c>
      <x:c r="I6616" s="274" t="n">
        <x:v>1.4</x:v>
      </x:c>
      <x:c r="J6616" s="274" t="n">
        <x:v>1135</x:v>
      </x:c>
      <x:c r="K6616" s="274" t="n">
        <x:v>897</x:v>
      </x:c>
      <x:c r="N6616" s="274" t="s">
        <x:v>3671</x:v>
      </x:c>
    </x:row>
    <x:row r="6617" spans="1:14">
      <x:c r="A6617" s="274" t="s">
        <x:v>10880</x:v>
      </x:c>
      <x:c r="B6617" s="274" t="n">
        <x:v>6</x:v>
      </x:c>
      <x:c r="C6617" s="274" t="n">
        <x:v>0</x:v>
      </x:c>
      <x:c r="D6617" s="274" t="n">
        <x:v>45</x:v>
      </x:c>
      <x:c r="E6617" s="274" t="n">
        <x:v>40</x:v>
      </x:c>
      <x:c r="F6617" s="274" t="s">
        <x:v>133</x:v>
      </x:c>
      <x:c r="G6617" s="274" t="s">
        <x:v>144</x:v>
      </x:c>
      <x:c r="H6617" s="274" t="n">
        <x:v>45</x:v>
      </x:c>
      <x:c r="I6617" s="274" t="n">
        <x:v>2</x:v>
      </x:c>
      <x:c r="J6617" s="274" t="n">
        <x:v>1105</x:v>
      </x:c>
      <x:c r="K6617" s="274" t="n">
        <x:v>344</x:v>
      </x:c>
      <x:c r="N6617" s="274" t="s">
        <x:v>3671</x:v>
      </x:c>
    </x:row>
    <x:row r="6618" spans="1:14">
      <x:c r="A6618" s="274" t="s">
        <x:v>10881</x:v>
      </x:c>
      <x:c r="B6618" s="274" t="n">
        <x:v>7.35</x:v>
      </x:c>
      <x:c r="C6618" s="274" t="n">
        <x:v>0</x:v>
      </x:c>
      <x:c r="D6618" s="274" t="n">
        <x:v>45</x:v>
      </x:c>
      <x:c r="E6618" s="274" t="n">
        <x:v>40</x:v>
      </x:c>
      <x:c r="F6618" s="274" t="s">
        <x:v>133</x:v>
      </x:c>
      <x:c r="G6618" s="274" t="s">
        <x:v>136</x:v>
      </x:c>
      <x:c r="H6618" s="274" t="n">
        <x:v>45</x:v>
      </x:c>
      <x:c r="I6618" s="274" t="n">
        <x:v>1.2</x:v>
      </x:c>
      <x:c r="J6618" s="274" t="n">
        <x:v>952</x:v>
      </x:c>
      <x:c r="K6618" s="274" t="n">
        <x:v>812</x:v>
      </x:c>
      <x:c r="N6618" s="274" t="s">
        <x:v>3671</x:v>
      </x:c>
    </x:row>
    <x:row r="6619" spans="1:14">
      <x:c r="A6619" s="274" t="s">
        <x:v>10882</x:v>
      </x:c>
      <x:c r="B6619" s="274" t="n">
        <x:v>4.43</x:v>
      </x:c>
      <x:c r="C6619" s="274" t="n">
        <x:v>0</x:v>
      </x:c>
      <x:c r="D6619" s="274" t="n">
        <x:v>45</x:v>
      </x:c>
      <x:c r="E6619" s="274" t="n">
        <x:v>40</x:v>
      </x:c>
      <x:c r="F6619" s="274" t="s">
        <x:v>133</x:v>
      </x:c>
      <x:c r="G6619" s="274" t="s">
        <x:v>136</x:v>
      </x:c>
      <x:c r="H6619" s="274" t="n">
        <x:v>45</x:v>
      </x:c>
      <x:c r="I6619" s="274" t="n">
        <x:v>1.2</x:v>
      </x:c>
      <x:c r="J6619" s="274" t="n">
        <x:v>1227</x:v>
      </x:c>
      <x:c r="K6619" s="274" t="n">
        <x:v>380</x:v>
      </x:c>
      <x:c r="N6619" s="274" t="s">
        <x:v>3671</x:v>
      </x:c>
    </x:row>
    <x:row r="6620" spans="1:14">
      <x:c r="A6620" s="274" t="s">
        <x:v>10883</x:v>
      </x:c>
      <x:c r="B6620" s="274" t="n">
        <x:v>5.32</x:v>
      </x:c>
      <x:c r="C6620" s="274" t="n">
        <x:v>0</x:v>
      </x:c>
      <x:c r="D6620" s="274" t="n">
        <x:v>45</x:v>
      </x:c>
      <x:c r="E6620" s="274" t="n">
        <x:v>40</x:v>
      </x:c>
      <x:c r="F6620" s="274" t="s">
        <x:v>333</x:v>
      </x:c>
      <x:c r="G6620" s="274" t="s">
        <x:v>153</x:v>
      </x:c>
      <x:c r="I6620" s="274" t="n">
        <x:v>1.2</x:v>
      </x:c>
      <x:c r="J6620" s="274" t="n">
        <x:v>1290</x:v>
      </x:c>
      <x:c r="K6620" s="274" t="n">
        <x:v>438</x:v>
      </x:c>
      <x:c r="N6620" s="274" t="s">
        <x:v>3671</x:v>
      </x:c>
    </x:row>
    <x:row r="6621" spans="1:14">
      <x:c r="A6621" s="274" t="s">
        <x:v>10884</x:v>
      </x:c>
      <x:c r="B6621" s="274" t="n">
        <x:v>5.96</x:v>
      </x:c>
      <x:c r="C6621" s="274" t="n">
        <x:v>0</x:v>
      </x:c>
      <x:c r="D6621" s="274" t="n">
        <x:v>45</x:v>
      </x:c>
      <x:c r="E6621" s="274" t="n">
        <x:v>40</x:v>
      </x:c>
      <x:c r="F6621" s="274" t="s">
        <x:v>123</x:v>
      </x:c>
      <x:c r="G6621" s="274" t="s">
        <x:v>881</x:v>
      </x:c>
      <x:c r="H6621" s="274" t="n">
        <x:v>45</x:v>
      </x:c>
      <x:c r="I6621" s="274" t="n">
        <x:v>1.4</x:v>
      </x:c>
      <x:c r="J6621" s="274" t="n">
        <x:v>1140</x:v>
      </x:c>
      <x:c r="K6621" s="274" t="n">
        <x:v>472</x:v>
      </x:c>
      <x:c r="N6621" s="274" t="s">
        <x:v>3671</x:v>
      </x:c>
    </x:row>
    <x:row r="6622" spans="1:14">
      <x:c r="A6622" s="274" t="s">
        <x:v>10885</x:v>
      </x:c>
      <x:c r="B6622" s="274" t="n">
        <x:v>7.99</x:v>
      </x:c>
      <x:c r="C6622" s="274" t="n">
        <x:v>0</x:v>
      </x:c>
      <x:c r="D6622" s="274" t="n">
        <x:v>45</x:v>
      </x:c>
      <x:c r="E6622" s="274" t="n">
        <x:v>40</x:v>
      </x:c>
      <x:c r="F6622" s="274" t="s">
        <x:v>333</x:v>
      </x:c>
      <x:c r="G6622" s="274" t="s">
        <x:v>124</x:v>
      </x:c>
      <x:c r="I6622" s="274" t="n">
        <x:v>1.6</x:v>
      </x:c>
      <x:c r="J6622" s="274" t="n">
        <x:v>1120</x:v>
      </x:c>
      <x:c r="K6622" s="274" t="n">
        <x:v>568</x:v>
      </x:c>
      <x:c r="N6622" s="274" t="s">
        <x:v>3671</x:v>
      </x:c>
    </x:row>
    <x:row r="6623" spans="1:14">
      <x:c r="A6623" s="274" t="s">
        <x:v>10886</x:v>
      </x:c>
      <x:c r="B6623" s="274" t="n">
        <x:v>3.44</x:v>
      </x:c>
      <x:c r="C6623" s="274" t="n">
        <x:v>0</x:v>
      </x:c>
      <x:c r="D6623" s="274" t="n">
        <x:v>45</x:v>
      </x:c>
      <x:c r="E6623" s="274" t="n">
        <x:v>40</x:v>
      </x:c>
      <x:c r="F6623" s="274" t="s">
        <x:v>133</x:v>
      </x:c>
      <x:c r="G6623" s="274" t="s">
        <x:v>136</x:v>
      </x:c>
      <x:c r="H6623" s="274" t="n">
        <x:v>45</x:v>
      </x:c>
      <x:c r="I6623" s="274" t="n">
        <x:v>1.2</x:v>
      </x:c>
      <x:c r="J6623" s="274" t="n">
        <x:v>990</x:v>
      </x:c>
      <x:c r="K6623" s="274" t="n">
        <x:v>365</x:v>
      </x:c>
      <x:c r="N6623" s="274" t="s">
        <x:v>3671</x:v>
      </x:c>
    </x:row>
    <x:row r="6624" spans="1:14">
      <x:c r="A6624" s="274" t="s">
        <x:v>10887</x:v>
      </x:c>
      <x:c r="B6624" s="274" t="n">
        <x:v>4.11</x:v>
      </x:c>
      <x:c r="C6624" s="274" t="n">
        <x:v>0</x:v>
      </x:c>
      <x:c r="D6624" s="274" t="n">
        <x:v>45</x:v>
      </x:c>
      <x:c r="E6624" s="274" t="n">
        <x:v>40</x:v>
      </x:c>
      <x:c r="F6624" s="274" t="s">
        <x:v>133</x:v>
      </x:c>
      <x:c r="G6624" s="274" t="s">
        <x:v>136</x:v>
      </x:c>
      <x:c r="H6624" s="274" t="n">
        <x:v>45</x:v>
      </x:c>
      <x:c r="I6624" s="274" t="n">
        <x:v>1.2</x:v>
      </x:c>
      <x:c r="J6624" s="274" t="n">
        <x:v>1150</x:v>
      </x:c>
      <x:c r="K6624" s="274" t="n">
        <x:v>376</x:v>
      </x:c>
      <x:c r="N6624" s="274" t="s">
        <x:v>3671</x:v>
      </x:c>
    </x:row>
    <x:row r="6625" spans="1:14">
      <x:c r="A6625" s="274" t="s">
        <x:v>10888</x:v>
      </x:c>
      <x:c r="B6625" s="274" t="n">
        <x:v>4.48</x:v>
      </x:c>
      <x:c r="C6625" s="274" t="n">
        <x:v>0</x:v>
      </x:c>
      <x:c r="D6625" s="274" t="n">
        <x:v>45</x:v>
      </x:c>
      <x:c r="E6625" s="274" t="n">
        <x:v>40</x:v>
      </x:c>
      <x:c r="F6625" s="274" t="s">
        <x:v>133</x:v>
      </x:c>
      <x:c r="G6625" s="274" t="s">
        <x:v>136</x:v>
      </x:c>
      <x:c r="H6625" s="274" t="n">
        <x:v>45</x:v>
      </x:c>
      <x:c r="I6625" s="274" t="n">
        <x:v>1.2</x:v>
      </x:c>
      <x:c r="J6625" s="274" t="n">
        <x:v>1150</x:v>
      </x:c>
      <x:c r="K6625" s="274" t="n">
        <x:v>410</x:v>
      </x:c>
      <x:c r="N6625" s="274" t="s">
        <x:v>3671</x:v>
      </x:c>
    </x:row>
    <x:row r="6626" spans="1:14">
      <x:c r="A6626" s="274" t="s">
        <x:v>10889</x:v>
      </x:c>
      <x:c r="B6626" s="274" t="n">
        <x:v>4.71</x:v>
      </x:c>
      <x:c r="C6626" s="274" t="n">
        <x:v>0</x:v>
      </x:c>
      <x:c r="D6626" s="274" t="n">
        <x:v>45</x:v>
      </x:c>
      <x:c r="E6626" s="274" t="n">
        <x:v>40</x:v>
      </x:c>
      <x:c r="F6626" s="274" t="s">
        <x:v>133</x:v>
      </x:c>
      <x:c r="G6626" s="274" t="s">
        <x:v>136</x:v>
      </x:c>
      <x:c r="H6626" s="274" t="n">
        <x:v>45</x:v>
      </x:c>
      <x:c r="I6626" s="274" t="n">
        <x:v>1.2</x:v>
      </x:c>
      <x:c r="J6626" s="274" t="n">
        <x:v>1227</x:v>
      </x:c>
      <x:c r="K6626" s="274" t="n">
        <x:v>404</x:v>
      </x:c>
      <x:c r="N6626" s="274" t="s">
        <x:v>3671</x:v>
      </x:c>
    </x:row>
    <x:row r="6627" spans="1:14">
      <x:c r="A6627" s="274" t="s">
        <x:v>10890</x:v>
      </x:c>
      <x:c r="B6627" s="274" t="n">
        <x:v>5.43</x:v>
      </x:c>
      <x:c r="C6627" s="274" t="n">
        <x:v>0</x:v>
      </x:c>
      <x:c r="D6627" s="274" t="n">
        <x:v>45</x:v>
      </x:c>
      <x:c r="E6627" s="274" t="n">
        <x:v>40</x:v>
      </x:c>
      <x:c r="F6627" s="274" t="s">
        <x:v>333</x:v>
      </x:c>
      <x:c r="G6627" s="274" t="s">
        <x:v>153</x:v>
      </x:c>
      <x:c r="I6627" s="274" t="n">
        <x:v>1.4</x:v>
      </x:c>
      <x:c r="J6627" s="274" t="n">
        <x:v>810</x:v>
      </x:c>
      <x:c r="K6627" s="274" t="n">
        <x:v>610</x:v>
      </x:c>
      <x:c r="N6627" s="274" t="s">
        <x:v>3671</x:v>
      </x:c>
    </x:row>
    <x:row r="6628" spans="1:14">
      <x:c r="A6628" s="274" t="s">
        <x:v>10891</x:v>
      </x:c>
      <x:c r="B6628" s="274" t="n">
        <x:v>5.99</x:v>
      </x:c>
      <x:c r="C6628" s="274" t="n">
        <x:v>0</x:v>
      </x:c>
      <x:c r="D6628" s="274" t="n">
        <x:v>45</x:v>
      </x:c>
      <x:c r="E6628" s="274" t="n">
        <x:v>40</x:v>
      </x:c>
      <x:c r="F6628" s="274" t="s">
        <x:v>333</x:v>
      </x:c>
      <x:c r="G6628" s="274" t="s">
        <x:v>124</x:v>
      </x:c>
      <x:c r="I6628" s="274" t="n">
        <x:v>1.4</x:v>
      </x:c>
      <x:c r="J6628" s="274" t="n">
        <x:v>1135</x:v>
      </x:c>
      <x:c r="K6628" s="274" t="n">
        <x:v>480</x:v>
      </x:c>
      <x:c r="N6628" s="274" t="s">
        <x:v>3671</x:v>
      </x:c>
    </x:row>
    <x:row r="6629" spans="1:14">
      <x:c r="A6629" s="274" t="s">
        <x:v>10892</x:v>
      </x:c>
      <x:c r="B6629" s="274" t="n">
        <x:v>5.92</x:v>
      </x:c>
      <x:c r="C6629" s="274" t="n">
        <x:v>0</x:v>
      </x:c>
      <x:c r="D6629" s="274" t="n">
        <x:v>45</x:v>
      </x:c>
      <x:c r="E6629" s="274" t="n">
        <x:v>40</x:v>
      </x:c>
      <x:c r="F6629" s="274" t="s">
        <x:v>133</x:v>
      </x:c>
      <x:c r="G6629" s="274" t="s">
        <x:v>136</x:v>
      </x:c>
      <x:c r="H6629" s="274" t="n">
        <x:v>45</x:v>
      </x:c>
      <x:c r="I6629" s="274" t="n">
        <x:v>1.4</x:v>
      </x:c>
      <x:c r="J6629" s="274" t="n">
        <x:v>1185</x:v>
      </x:c>
      <x:c r="K6629" s="274" t="n">
        <x:v>451</x:v>
      </x:c>
      <x:c r="N6629" s="274" t="s">
        <x:v>3671</x:v>
      </x:c>
    </x:row>
    <x:row r="6630" spans="1:14">
      <x:c r="A6630" s="274" t="s">
        <x:v>10893</x:v>
      </x:c>
      <x:c r="B6630" s="274" t="n">
        <x:v>3.57</x:v>
      </x:c>
      <x:c r="C6630" s="274" t="n">
        <x:v>0</x:v>
      </x:c>
      <x:c r="D6630" s="274" t="n">
        <x:v>45</x:v>
      </x:c>
      <x:c r="F6630" s="274" t="s">
        <x:v>333</x:v>
      </x:c>
      <x:c r="G6630" s="274" t="s">
        <x:v>334</x:v>
      </x:c>
      <x:c r="I6630" s="274" t="n">
        <x:v>1.4</x:v>
      </x:c>
      <x:c r="J6630" s="274" t="n">
        <x:v>325</x:v>
      </x:c>
      <x:c r="K6630" s="274" t="n">
        <x:v>1000</x:v>
      </x:c>
      <x:c r="M6630" s="274" t="s">
        <x:v>3450</x:v>
      </x:c>
      <x:c r="N6630" s="274" t="s">
        <x:v>299</x:v>
      </x:c>
    </x:row>
    <x:row r="6631" spans="1:14">
      <x:c r="A6631" s="274" t="s">
        <x:v>10894</x:v>
      </x:c>
      <x:c r="B6631" s="274" t="n">
        <x:v>5.79</x:v>
      </x:c>
      <x:c r="C6631" s="274" t="n">
        <x:v>0</x:v>
      </x:c>
      <x:c r="D6631" s="274" t="n">
        <x:v>45</x:v>
      </x:c>
      <x:c r="E6631" s="274" t="n">
        <x:v>40</x:v>
      </x:c>
      <x:c r="F6631" s="274" t="s">
        <x:v>123</x:v>
      </x:c>
      <x:c r="G6631" s="274" t="s">
        <x:v>129</x:v>
      </x:c>
      <x:c r="H6631" s="274" t="n">
        <x:v>45</x:v>
      </x:c>
      <x:c r="I6631" s="274" t="n">
        <x:v>1.6</x:v>
      </x:c>
      <x:c r="J6631" s="274" t="n">
        <x:v>1260</x:v>
      </x:c>
      <x:c r="K6631" s="274" t="n">
        <x:v>363</x:v>
      </x:c>
      <x:c r="N6631" s="274" t="s">
        <x:v>3671</x:v>
      </x:c>
    </x:row>
    <x:row r="6632" spans="1:14">
      <x:c r="A6632" s="274" t="s">
        <x:v>10895</x:v>
      </x:c>
      <x:c r="B6632" s="274" t="n">
        <x:v>6.48</x:v>
      </x:c>
      <x:c r="C6632" s="274" t="n">
        <x:v>0</x:v>
      </x:c>
      <x:c r="D6632" s="274" t="n">
        <x:v>45</x:v>
      </x:c>
      <x:c r="E6632" s="274" t="n">
        <x:v>40</x:v>
      </x:c>
      <x:c r="F6632" s="274" t="s">
        <x:v>333</x:v>
      </x:c>
      <x:c r="G6632" s="274" t="s">
        <x:v>153</x:v>
      </x:c>
      <x:c r="I6632" s="274" t="n">
        <x:v>2</x:v>
      </x:c>
      <x:c r="J6632" s="274" t="n">
        <x:v>860</x:v>
      </x:c>
      <x:c r="K6632" s="274" t="n">
        <x:v>480</x:v>
      </x:c>
      <x:c r="N6632" s="274" t="s">
        <x:v>3671</x:v>
      </x:c>
    </x:row>
    <x:row r="6633" spans="1:14">
      <x:c r="A6633" s="274" t="s">
        <x:v>10896</x:v>
      </x:c>
      <x:c r="B6633" s="274" t="n">
        <x:v>11.42</x:v>
      </x:c>
      <x:c r="C6633" s="274" t="n">
        <x:v>0</x:v>
      </x:c>
      <x:c r="D6633" s="274" t="n">
        <x:v>45</x:v>
      </x:c>
      <x:c r="E6633" s="274" t="n">
        <x:v>40</x:v>
      </x:c>
      <x:c r="F6633" s="274" t="s">
        <x:v>184</x:v>
      </x:c>
      <x:c r="G6633" s="274" t="s">
        <x:v>144</x:v>
      </x:c>
      <x:c r="H6633" s="274" t="n">
        <x:v>45</x:v>
      </x:c>
      <x:c r="I6633" s="274" t="n">
        <x:v>2.3</x:v>
      </x:c>
      <x:c r="J6633" s="274" t="n">
        <x:v>1170</x:v>
      </x:c>
      <x:c r="K6633" s="274" t="n">
        <x:v>538</x:v>
      </x:c>
      <x:c r="N6633" s="274" t="s">
        <x:v>3671</x:v>
      </x:c>
    </x:row>
    <x:row r="6634" spans="1:14">
      <x:c r="A6634" s="274" t="s">
        <x:v>10897</x:v>
      </x:c>
      <x:c r="B6634" s="274" t="n">
        <x:v>9.53</x:v>
      </x:c>
      <x:c r="C6634" s="274" t="n">
        <x:v>0</x:v>
      </x:c>
      <x:c r="D6634" s="274" t="n">
        <x:v>45</x:v>
      </x:c>
      <x:c r="E6634" s="274" t="n">
        <x:v>40</x:v>
      </x:c>
      <x:c r="F6634" s="274" t="s">
        <x:v>123</x:v>
      </x:c>
      <x:c r="G6634" s="274" t="s">
        <x:v>136</x:v>
      </x:c>
      <x:c r="H6634" s="274" t="n">
        <x:v>45</x:v>
      </x:c>
      <x:c r="I6634" s="274" t="n">
        <x:v>2.3</x:v>
      </x:c>
      <x:c r="J6634" s="274" t="n">
        <x:v>1285</x:v>
      </x:c>
      <x:c r="K6634" s="274" t="n">
        <x:v>409</x:v>
      </x:c>
      <x:c r="N6634" s="274" t="s">
        <x:v>3671</x:v>
      </x:c>
    </x:row>
    <x:row r="6635" spans="1:14">
      <x:c r="A6635" s="274" t="s">
        <x:v>10898</x:v>
      </x:c>
      <x:c r="B6635" s="274" t="n">
        <x:v>24.86</x:v>
      </x:c>
      <x:c r="C6635" s="274" t="n">
        <x:v>0</x:v>
      </x:c>
      <x:c r="D6635" s="274" t="n">
        <x:v>30</x:v>
      </x:c>
      <x:c r="E6635" s="274" t="n">
        <x:v>25</x:v>
      </x:c>
      <x:c r="F6635" s="274" t="s">
        <x:v>133</x:v>
      </x:c>
      <x:c r="G6635" s="274" t="s">
        <x:v>134</x:v>
      </x:c>
      <x:c r="I6635" s="274" t="n">
        <x:v>2.6</x:v>
      </x:c>
      <x:c r="J6635" s="274" t="n">
        <x:v>1015</x:v>
      </x:c>
      <x:c r="K6635" s="274" t="n">
        <x:v>1200</x:v>
      </x:c>
      <x:c r="N6635" s="274" t="s">
        <x:v>3671</x:v>
      </x:c>
    </x:row>
    <x:row r="6636" spans="1:14">
      <x:c r="A6636" s="274" t="s">
        <x:v>10899</x:v>
      </x:c>
      <x:c r="B6636" s="274" t="n">
        <x:v>24.98</x:v>
      </x:c>
      <x:c r="C6636" s="274" t="n">
        <x:v>0</x:v>
      </x:c>
      <x:c r="D6636" s="274" t="n">
        <x:v>30</x:v>
      </x:c>
      <x:c r="E6636" s="274" t="n">
        <x:v>25</x:v>
      </x:c>
      <x:c r="F6636" s="274" t="s">
        <x:v>133</x:v>
      </x:c>
      <x:c r="G6636" s="274" t="s">
        <x:v>148</x:v>
      </x:c>
      <x:c r="I6636" s="274" t="n">
        <x:v>2.6</x:v>
      </x:c>
      <x:c r="J6636" s="274" t="n">
        <x:v>1020</x:v>
      </x:c>
      <x:c r="K6636" s="274" t="n">
        <x:v>1200</x:v>
      </x:c>
      <x:c r="N6636" s="274" t="s">
        <x:v>3671</x:v>
      </x:c>
    </x:row>
    <x:row r="6637" spans="1:14">
      <x:c r="A6637" s="274" t="s">
        <x:v>10900</x:v>
      </x:c>
      <x:c r="B6637" s="274" t="n">
        <x:v>4.31</x:v>
      </x:c>
      <x:c r="C6637" s="274" t="n">
        <x:v>0</x:v>
      </x:c>
      <x:c r="D6637" s="274" t="n">
        <x:v>45</x:v>
      </x:c>
      <x:c r="E6637" s="274" t="n">
        <x:v>40</x:v>
      </x:c>
      <x:c r="F6637" s="274" t="s">
        <x:v>333</x:v>
      </x:c>
      <x:c r="G6637" s="274" t="s">
        <x:v>2468</x:v>
      </x:c>
      <x:c r="I6637" s="274" t="n">
        <x:v>0.9</x:v>
      </x:c>
      <x:c r="J6637" s="274" t="n">
        <x:v>1035</x:v>
      </x:c>
      <x:c r="K6637" s="274" t="n">
        <x:v>590</x:v>
      </x:c>
      <x:c r="M6637" s="274" t="s">
        <x:v>7458</x:v>
      </x:c>
      <x:c r="N6637" s="274" t="s">
        <x:v>7439</x:v>
      </x:c>
    </x:row>
    <x:row r="6638" spans="1:14">
      <x:c r="A6638" s="274" t="s">
        <x:v>10901</x:v>
      </x:c>
      <x:c r="B6638" s="274" t="n">
        <x:v>10.8</x:v>
      </x:c>
      <x:c r="C6638" s="274" t="n">
        <x:v>0</x:v>
      </x:c>
      <x:c r="D6638" s="274" t="n">
        <x:v>45</x:v>
      </x:c>
      <x:c r="E6638" s="274" t="n">
        <x:v>40</x:v>
      </x:c>
      <x:c r="F6638" s="274" t="s">
        <x:v>133</x:v>
      </x:c>
      <x:c r="G6638" s="274" t="s">
        <x:v>148</x:v>
      </x:c>
      <x:c r="I6638" s="274" t="n">
        <x:v>3.2</x:v>
      </x:c>
      <x:c r="J6638" s="274" t="n">
        <x:v>1125</x:v>
      </x:c>
      <x:c r="K6638" s="274" t="n">
        <x:v>382</x:v>
      </x:c>
      <x:c r="M6638" s="274" t="s">
        <x:v>8278</x:v>
      </x:c>
      <x:c r="N6638" s="274" t="s">
        <x:v>155</x:v>
      </x:c>
    </x:row>
    <x:row r="6639" spans="1:14">
      <x:c r="A6639" s="274" t="s">
        <x:v>10902</x:v>
      </x:c>
      <x:c r="B6639" s="274" t="n">
        <x:v>17.04</x:v>
      </x:c>
      <x:c r="C6639" s="274" t="n">
        <x:v>0</x:v>
      </x:c>
      <x:c r="D6639" s="274" t="n">
        <x:v>45</x:v>
      </x:c>
      <x:c r="E6639" s="274" t="n">
        <x:v>40</x:v>
      </x:c>
      <x:c r="F6639" s="274" t="s">
        <x:v>133</x:v>
      </x:c>
      <x:c r="G6639" s="274" t="s">
        <x:v>148</x:v>
      </x:c>
      <x:c r="I6639" s="274" t="n">
        <x:v>3.2</x:v>
      </x:c>
      <x:c r="J6639" s="274" t="n">
        <x:v>1125</x:v>
      </x:c>
      <x:c r="K6639" s="274" t="n">
        <x:v>603</x:v>
      </x:c>
      <x:c r="M6639" s="274" t="s">
        <x:v>199</x:v>
      </x:c>
      <x:c r="N6639" s="274" t="s">
        <x:v>155</x:v>
      </x:c>
    </x:row>
    <x:row r="6640" spans="1:14">
      <x:c r="A6640" s="274" t="s">
        <x:v>10903</x:v>
      </x:c>
      <x:c r="B6640" s="274" t="n">
        <x:v>33.63</x:v>
      </x:c>
      <x:c r="C6640" s="274" t="n">
        <x:v>0</x:v>
      </x:c>
      <x:c r="D6640" s="274" t="n">
        <x:v>25</x:v>
      </x:c>
      <x:c r="E6640" s="274" t="n">
        <x:v>20</x:v>
      </x:c>
      <x:c r="F6640" s="274" t="s">
        <x:v>184</x:v>
      </x:c>
      <x:c r="G6640" s="274" t="s">
        <x:v>334</x:v>
      </x:c>
      <x:c r="I6640" s="274" t="n">
        <x:v>1.4</x:v>
      </x:c>
      <x:c r="J6640" s="274" t="n">
        <x:v>1530</x:v>
      </x:c>
      <x:c r="K6640" s="274" t="n">
        <x:v>2000</x:v>
      </x:c>
      <x:c r="M6640" s="274" t="s">
        <x:v>8283</x:v>
      </x:c>
      <x:c r="N6640" s="274" t="s">
        <x:v>155</x:v>
      </x:c>
    </x:row>
    <x:row r="6641" spans="1:14">
      <x:c r="A6641" s="274" t="s">
        <x:v>10904</x:v>
      </x:c>
      <x:c r="B6641" s="274" t="n">
        <x:v>7.79</x:v>
      </x:c>
      <x:c r="C6641" s="274" t="n">
        <x:v>0</x:v>
      </x:c>
      <x:c r="D6641" s="274" t="n">
        <x:v>45</x:v>
      </x:c>
      <x:c r="E6641" s="274" t="n">
        <x:v>40</x:v>
      </x:c>
      <x:c r="F6641" s="274" t="s">
        <x:v>184</x:v>
      </x:c>
      <x:c r="G6641" s="274" t="s">
        <x:v>334</x:v>
      </x:c>
      <x:c r="I6641" s="274" t="n">
        <x:v>1.4</x:v>
      </x:c>
      <x:c r="J6641" s="274" t="n">
        <x:v>1530</x:v>
      </x:c>
      <x:c r="K6641" s="274" t="n">
        <x:v>463</x:v>
      </x:c>
      <x:c r="M6641" s="274" t="s">
        <x:v>8285</x:v>
      </x:c>
      <x:c r="N6641" s="274" t="s">
        <x:v>299</x:v>
      </x:c>
    </x:row>
    <x:row r="6642" spans="1:14">
      <x:c r="A6642" s="274" t="s">
        <x:v>10905</x:v>
      </x:c>
      <x:c r="B6642" s="274" t="n">
        <x:v>9.19</x:v>
      </x:c>
      <x:c r="C6642" s="274" t="n">
        <x:v>0</x:v>
      </x:c>
      <x:c r="D6642" s="274" t="n">
        <x:v>45</x:v>
      </x:c>
      <x:c r="E6642" s="274" t="n">
        <x:v>40</x:v>
      </x:c>
      <x:c r="F6642" s="274" t="s">
        <x:v>184</x:v>
      </x:c>
      <x:c r="G6642" s="274" t="s">
        <x:v>334</x:v>
      </x:c>
      <x:c r="I6642" s="274" t="n">
        <x:v>1.6</x:v>
      </x:c>
      <x:c r="J6642" s="274" t="n">
        <x:v>1330</x:v>
      </x:c>
      <x:c r="K6642" s="274" t="n">
        <x:v>550</x:v>
      </x:c>
      <x:c r="M6642" s="274" t="s">
        <x:v>8287</x:v>
      </x:c>
      <x:c r="N6642" s="274" t="s">
        <x:v>299</x:v>
      </x:c>
    </x:row>
    <x:row r="6643" spans="1:14">
      <x:c r="A6643" s="274" t="s">
        <x:v>10906</x:v>
      </x:c>
      <x:c r="B6643" s="274" t="n">
        <x:v>8.74</x:v>
      </x:c>
      <x:c r="C6643" s="274" t="n">
        <x:v>0</x:v>
      </x:c>
      <x:c r="D6643" s="274" t="n">
        <x:v>45</x:v>
      </x:c>
      <x:c r="E6643" s="274" t="n">
        <x:v>40</x:v>
      </x:c>
      <x:c r="F6643" s="274" t="s">
        <x:v>184</x:v>
      </x:c>
      <x:c r="G6643" s="274" t="s">
        <x:v>334</x:v>
      </x:c>
      <x:c r="I6643" s="274" t="n">
        <x:v>1.4</x:v>
      </x:c>
      <x:c r="J6643" s="274" t="n">
        <x:v>1530</x:v>
      </x:c>
      <x:c r="K6643" s="274" t="n">
        <x:v>520</x:v>
      </x:c>
      <x:c r="M6643" s="274" t="s">
        <x:v>335</x:v>
      </x:c>
      <x:c r="N6643" s="274" t="s">
        <x:v>299</x:v>
      </x:c>
    </x:row>
    <x:row r="6644" spans="1:14">
      <x:c r="A6644" s="274" t="s">
        <x:v>10907</x:v>
      </x:c>
      <x:c r="B6644" s="274" t="n">
        <x:v>16.81</x:v>
      </x:c>
      <x:c r="C6644" s="274" t="n">
        <x:v>0</x:v>
      </x:c>
      <x:c r="D6644" s="274" t="n">
        <x:v>42</x:v>
      </x:c>
      <x:c r="E6644" s="274" t="n">
        <x:v>37</x:v>
      </x:c>
      <x:c r="F6644" s="274" t="s">
        <x:v>184</x:v>
      </x:c>
      <x:c r="G6644" s="274" t="s">
        <x:v>334</x:v>
      </x:c>
      <x:c r="I6644" s="274" t="n">
        <x:v>1.4</x:v>
      </x:c>
      <x:c r="J6644" s="274" t="n">
        <x:v>1530</x:v>
      </x:c>
      <x:c r="K6644" s="274" t="n">
        <x:v>1000</x:v>
      </x:c>
      <x:c r="M6644" s="274" t="s">
        <x:v>3450</x:v>
      </x:c>
      <x:c r="N6644" s="274" t="s">
        <x:v>299</x:v>
      </x:c>
    </x:row>
    <x:row r="6645" spans="1:14">
      <x:c r="A6645" s="274" t="s">
        <x:v>10908</x:v>
      </x:c>
      <x:c r="B6645" s="274" t="n">
        <x:v>6.51</x:v>
      </x:c>
      <x:c r="C6645" s="274" t="n">
        <x:v>0</x:v>
      </x:c>
      <x:c r="D6645" s="274" t="n">
        <x:v>45</x:v>
      </x:c>
      <x:c r="E6645" s="274" t="n">
        <x:v>40</x:v>
      </x:c>
      <x:c r="F6645" s="274" t="s">
        <x:v>184</x:v>
      </x:c>
      <x:c r="G6645" s="274" t="s">
        <x:v>334</x:v>
      </x:c>
      <x:c r="I6645" s="274" t="n">
        <x:v>1.6</x:v>
      </x:c>
      <x:c r="J6645" s="274" t="n">
        <x:v>1330</x:v>
      </x:c>
      <x:c r="K6645" s="274" t="n">
        <x:v>390</x:v>
      </x:c>
      <x:c r="M6645" s="274" t="s">
        <x:v>1092</x:v>
      </x:c>
      <x:c r="N6645" s="274" t="s">
        <x:v>299</x:v>
      </x:c>
    </x:row>
    <x:row r="6646" spans="1:14">
      <x:c r="A6646" s="274" t="s">
        <x:v>10909</x:v>
      </x:c>
      <x:c r="B6646" s="274" t="n">
        <x:v>8.49</x:v>
      </x:c>
      <x:c r="C6646" s="274" t="n">
        <x:v>0</x:v>
      </x:c>
      <x:c r="D6646" s="274" t="n">
        <x:v>45</x:v>
      </x:c>
      <x:c r="E6646" s="274" t="n">
        <x:v>40</x:v>
      </x:c>
      <x:c r="F6646" s="274" t="s">
        <x:v>184</x:v>
      </x:c>
      <x:c r="G6646" s="274" t="s">
        <x:v>334</x:v>
      </x:c>
      <x:c r="I6646" s="274" t="n">
        <x:v>1.4</x:v>
      </x:c>
      <x:c r="J6646" s="274" t="n">
        <x:v>1530</x:v>
      </x:c>
      <x:c r="K6646" s="274" t="n">
        <x:v>505</x:v>
      </x:c>
      <x:c r="M6646" s="274" t="s">
        <x:v>8292</x:v>
      </x:c>
      <x:c r="N6646" s="274" t="s">
        <x:v>155</x:v>
      </x:c>
    </x:row>
    <x:row r="6647" spans="1:14">
      <x:c r="A6647" s="274" t="s">
        <x:v>10910</x:v>
      </x:c>
      <x:c r="B6647" s="274" t="n">
        <x:v>33.41</x:v>
      </x:c>
      <x:c r="C6647" s="274" t="n">
        <x:v>0</x:v>
      </x:c>
      <x:c r="D6647" s="274" t="n">
        <x:v>25</x:v>
      </x:c>
      <x:c r="E6647" s="274" t="n">
        <x:v>20</x:v>
      </x:c>
      <x:c r="F6647" s="274" t="s">
        <x:v>184</x:v>
      </x:c>
      <x:c r="G6647" s="274" t="s">
        <x:v>334</x:v>
      </x:c>
      <x:c r="I6647" s="274" t="n">
        <x:v>1.6</x:v>
      </x:c>
      <x:c r="J6647" s="274" t="n">
        <x:v>1330</x:v>
      </x:c>
      <x:c r="K6647" s="274" t="n">
        <x:v>2000</x:v>
      </x:c>
      <x:c r="M6647" s="274" t="s">
        <x:v>8294</x:v>
      </x:c>
      <x:c r="N6647" s="274" t="s">
        <x:v>155</x:v>
      </x:c>
    </x:row>
    <x:row r="6648" spans="1:14">
      <x:c r="A6648" s="274" t="s">
        <x:v>10911</x:v>
      </x:c>
      <x:c r="B6648" s="274" t="n">
        <x:v>6.31</x:v>
      </x:c>
      <x:c r="C6648" s="274" t="n">
        <x:v>0</x:v>
      </x:c>
      <x:c r="D6648" s="274" t="n">
        <x:v>45</x:v>
      </x:c>
      <x:c r="E6648" s="274" t="n">
        <x:v>40</x:v>
      </x:c>
      <x:c r="F6648" s="274" t="s">
        <x:v>333</x:v>
      </x:c>
      <x:c r="G6648" s="274" t="s">
        <x:v>153</x:v>
      </x:c>
      <x:c r="I6648" s="274" t="n">
        <x:v>1.6</x:v>
      </x:c>
      <x:c r="J6648" s="274" t="n">
        <x:v>1100</x:v>
      </x:c>
      <x:c r="K6648" s="274" t="n">
        <x:v>457</x:v>
      </x:c>
      <x:c r="M6648" s="274" t="s">
        <x:v>2333</x:v>
      </x:c>
      <x:c r="N6648" s="274" t="s">
        <x:v>299</x:v>
      </x:c>
    </x:row>
    <x:row r="6649" spans="1:14">
      <x:c r="A6649" s="274" t="s">
        <x:v>10912</x:v>
      </x:c>
      <x:c r="B6649" s="274" t="n">
        <x:v>9.38</x:v>
      </x:c>
      <x:c r="C6649" s="274" t="n">
        <x:v>35</x:v>
      </x:c>
      <x:c r="D6649" s="274" t="n">
        <x:v>45</x:v>
      </x:c>
      <x:c r="E6649" s="274" t="n">
        <x:v>40</x:v>
      </x:c>
      <x:c r="F6649" s="274" t="s">
        <x:v>123</x:v>
      </x:c>
      <x:c r="G6649" s="274" t="s">
        <x:v>209</x:v>
      </x:c>
      <x:c r="I6649" s="274" t="n">
        <x:v>2.3</x:v>
      </x:c>
      <x:c r="J6649" s="274" t="n">
        <x:v>1115</x:v>
      </x:c>
      <x:c r="K6649" s="274" t="n">
        <x:v>466</x:v>
      </x:c>
      <x:c r="M6649" s="274" t="s">
        <x:v>8422</x:v>
      </x:c>
      <x:c r="N6649" s="274" t="s">
        <x:v>3671</x:v>
      </x:c>
    </x:row>
    <x:row r="6650" spans="1:14">
      <x:c r="A6650" s="274" t="s">
        <x:v>10913</x:v>
      </x:c>
      <x:c r="B6650" s="274" t="n">
        <x:v>6.56</x:v>
      </x:c>
      <x:c r="C6650" s="274" t="n">
        <x:v>0</x:v>
      </x:c>
      <x:c r="D6650" s="274" t="n">
        <x:v>45</x:v>
      </x:c>
      <x:c r="E6650" s="274" t="n">
        <x:v>40</x:v>
      </x:c>
      <x:c r="F6650" s="274" t="s">
        <x:v>128</x:v>
      </x:c>
      <x:c r="G6650" s="274" t="s">
        <x:v>496</x:v>
      </x:c>
      <x:c r="H6650" s="274" t="n">
        <x:v>45</x:v>
      </x:c>
      <x:c r="I6650" s="274" t="n">
        <x:v>2.9</x:v>
      </x:c>
      <x:c r="J6650" s="274" t="n">
        <x:v>920</x:v>
      </x:c>
      <x:c r="K6650" s="274" t="n">
        <x:v>312</x:v>
      </x:c>
      <x:c r="N6650" s="274" t="s">
        <x:v>3671</x:v>
      </x:c>
    </x:row>
    <x:row r="6651" spans="1:14">
      <x:c r="A6651" s="274" t="s">
        <x:v>10914</x:v>
      </x:c>
      <x:c r="B6651" s="274" t="n">
        <x:v>11.19</x:v>
      </x:c>
      <x:c r="C6651" s="274" t="n">
        <x:v>0</x:v>
      </x:c>
      <x:c r="D6651" s="274" t="n">
        <x:v>45</x:v>
      </x:c>
      <x:c r="E6651" s="274" t="n">
        <x:v>40</x:v>
      </x:c>
      <x:c r="F6651" s="274" t="s">
        <x:v>184</x:v>
      </x:c>
      <x:c r="G6651" s="274" t="s">
        <x:v>144</x:v>
      </x:c>
      <x:c r="H6651" s="274" t="n">
        <x:v>45</x:v>
      </x:c>
      <x:c r="I6651" s="274" t="n">
        <x:v>2.3</x:v>
      </x:c>
      <x:c r="J6651" s="274" t="n">
        <x:v>1170</x:v>
      </x:c>
      <x:c r="K6651" s="274" t="n">
        <x:v>527</x:v>
      </x:c>
      <x:c r="N6651" s="274" t="s">
        <x:v>3671</x:v>
      </x:c>
    </x:row>
    <x:row r="6652" spans="1:14">
      <x:c r="A6652" s="274" t="s">
        <x:v>10915</x:v>
      </x:c>
      <x:c r="B6652" s="274" t="n">
        <x:v>9.07</x:v>
      </x:c>
      <x:c r="C6652" s="274" t="n">
        <x:v>0</x:v>
      </x:c>
      <x:c r="D6652" s="274" t="n">
        <x:v>45</x:v>
      </x:c>
      <x:c r="E6652" s="274" t="n">
        <x:v>40</x:v>
      </x:c>
      <x:c r="F6652" s="274" t="s">
        <x:v>123</x:v>
      </x:c>
      <x:c r="G6652" s="274" t="s">
        <x:v>136</x:v>
      </x:c>
      <x:c r="H6652" s="274" t="n">
        <x:v>45</x:v>
      </x:c>
      <x:c r="I6652" s="274" t="n">
        <x:v>2.3</x:v>
      </x:c>
      <x:c r="J6652" s="274" t="n">
        <x:v>1285</x:v>
      </x:c>
      <x:c r="K6652" s="274" t="n">
        <x:v>389</x:v>
      </x:c>
      <x:c r="N6652" s="274" t="s">
        <x:v>3671</x:v>
      </x:c>
    </x:row>
    <x:row r="6653" spans="1:14">
      <x:c r="A6653" s="274" t="s">
        <x:v>10916</x:v>
      </x:c>
      <x:c r="B6653" s="274" t="n">
        <x:v>26.78</x:v>
      </x:c>
      <x:c r="C6653" s="274" t="n">
        <x:v>0</x:v>
      </x:c>
      <x:c r="D6653" s="274" t="n">
        <x:v>35</x:v>
      </x:c>
      <x:c r="E6653" s="274" t="n">
        <x:v>30</x:v>
      </x:c>
      <x:c r="F6653" s="274" t="s">
        <x:v>123</x:v>
      </x:c>
      <x:c r="G6653" s="274" t="s">
        <x:v>8372</x:v>
      </x:c>
      <x:c r="I6653" s="274" t="n">
        <x:v>2.6</x:v>
      </x:c>
      <x:c r="J6653" s="274" t="n">
        <x:v>1050</x:v>
      </x:c>
      <x:c r="K6653" s="274" t="n">
        <x:v>1250</x:v>
      </x:c>
      <x:c r="N6653" s="274" t="s">
        <x:v>4258</x:v>
      </x:c>
    </x:row>
    <x:row r="6654" spans="1:14">
      <x:c r="A6654" s="274" t="s">
        <x:v>10917</x:v>
      </x:c>
      <x:c r="B6654" s="274" t="n">
        <x:v>7.79</x:v>
      </x:c>
      <x:c r="C6654" s="274" t="n">
        <x:v>0</x:v>
      </x:c>
      <x:c r="D6654" s="274" t="n">
        <x:v>42</x:v>
      </x:c>
      <x:c r="E6654" s="274" t="n">
        <x:v>37</x:v>
      </x:c>
      <x:c r="F6654" s="274" t="s">
        <x:v>3412</x:v>
      </x:c>
      <x:c r="G6654" s="274" t="s">
        <x:v>5370</x:v>
      </x:c>
      <x:c r="H6654" s="274" t="s">
        <x:v>4471</x:v>
      </x:c>
      <x:c r="I6654" s="274" t="n">
        <x:v>2</x:v>
      </x:c>
      <x:c r="J6654" s="274" t="n">
        <x:v>715</x:v>
      </x:c>
      <x:c r="K6654" s="274" t="n">
        <x:v>690</x:v>
      </x:c>
      <x:c r="M6654" s="274" t="s">
        <x:v>8388</x:v>
      </x:c>
      <x:c r="N6654" s="274" t="s">
        <x:v>4258</x:v>
      </x:c>
    </x:row>
    <x:row r="6655" spans="1:14">
      <x:c r="A6655" s="274" t="s">
        <x:v>10918</x:v>
      </x:c>
      <x:c r="B6655" s="274" t="n">
        <x:v>6.47</x:v>
      </x:c>
      <x:c r="C6655" s="274" t="n">
        <x:v>0</x:v>
      </x:c>
      <x:c r="D6655" s="274" t="n">
        <x:v>45</x:v>
      </x:c>
      <x:c r="E6655" s="274" t="n">
        <x:v>40</x:v>
      </x:c>
      <x:c r="F6655" s="274" t="s">
        <x:v>123</x:v>
      </x:c>
      <x:c r="G6655" s="274" t="s">
        <x:v>4256</x:v>
      </x:c>
      <x:c r="I6655" s="274" t="n">
        <x:v>1.2</x:v>
      </x:c>
      <x:c r="J6655" s="274" t="n">
        <x:v>1185</x:v>
      </x:c>
      <x:c r="K6655" s="274" t="n">
        <x:v>580</x:v>
      </x:c>
      <x:c r="M6655" s="274" t="s">
        <x:v>8390</x:v>
      </x:c>
      <x:c r="N6655" s="274" t="s">
        <x:v>4258</x:v>
      </x:c>
    </x:row>
    <x:row r="6656" spans="1:14">
      <x:c r="A6656" s="274" t="s">
        <x:v>10919</x:v>
      </x:c>
      <x:c r="B6656" s="274" t="n">
        <x:v>3.57</x:v>
      </x:c>
      <x:c r="C6656" s="274" t="n">
        <x:v>0</x:v>
      </x:c>
      <x:c r="D6656" s="274" t="n">
        <x:v>45</x:v>
      </x:c>
      <x:c r="F6656" s="274" t="s">
        <x:v>333</x:v>
      </x:c>
      <x:c r="G6656" s="274" t="s">
        <x:v>334</x:v>
      </x:c>
      <x:c r="I6656" s="274" t="n">
        <x:v>1.4</x:v>
      </x:c>
      <x:c r="J6656" s="274" t="n">
        <x:v>325</x:v>
      </x:c>
      <x:c r="K6656" s="274" t="n">
        <x:v>1000</x:v>
      </x:c>
      <x:c r="M6656" s="274" t="s">
        <x:v>3450</x:v>
      </x:c>
      <x:c r="N6656" s="274" t="s">
        <x:v>299</x:v>
      </x:c>
    </x:row>
    <x:row r="6657" spans="1:14">
      <x:c r="A6657" s="274" t="s">
        <x:v>10920</x:v>
      </x:c>
      <x:c r="B6657" s="274" t="n">
        <x:v>0</x:v>
      </x:c>
      <x:c r="C6657" s="274" t="n">
        <x:v>0</x:v>
      </x:c>
      <x:c r="D6657" s="274" t="n">
        <x:v>32</x:v>
      </x:c>
      <x:c r="E6657" s="274" t="n">
        <x:v>37</x:v>
      </x:c>
      <x:c r="F6657" s="274" t="s">
        <x:v>311</x:v>
      </x:c>
      <x:c r="G6657" s="274" t="s">
        <x:v>1728</x:v>
      </x:c>
      <x:c r="H6657" s="274" t="s">
        <x:v>1732</x:v>
      </x:c>
      <x:c r="I6657" s="274" t="n">
        <x:v>0.7</x:v>
      </x:c>
      <x:c r="J6657" s="274" t="n">
        <x:v>510</x:v>
      </x:c>
      <x:c r="K6657" s="274" t="n">
        <x:v>1010</x:v>
      </x:c>
      <x:c r="M6657" s="274" t="s">
        <x:v>9744</x:v>
      </x:c>
    </x:row>
    <x:row r="6658" spans="1:14">
      <x:c r="A6658" s="274" t="s">
        <x:v>10921</x:v>
      </x:c>
      <x:c r="B6658" s="274" t="n">
        <x:v>0</x:v>
      </x:c>
      <x:c r="C6658" s="274" t="n">
        <x:v>0</x:v>
      </x:c>
      <x:c r="D6658" s="274" t="n">
        <x:v>32</x:v>
      </x:c>
      <x:c r="E6658" s="274" t="n">
        <x:v>37</x:v>
      </x:c>
      <x:c r="F6658" s="274" t="s">
        <x:v>311</x:v>
      </x:c>
      <x:c r="G6658" s="274" t="s">
        <x:v>1728</x:v>
      </x:c>
      <x:c r="H6658" s="274" t="s">
        <x:v>1729</x:v>
      </x:c>
      <x:c r="I6658" s="274" t="n">
        <x:v>0.7</x:v>
      </x:c>
      <x:c r="J6658" s="274" t="n">
        <x:v>510</x:v>
      </x:c>
      <x:c r="K6658" s="274" t="n">
        <x:v>1010</x:v>
      </x:c>
      <x:c r="M6658" s="274" t="s">
        <x:v>9746</x:v>
      </x:c>
      <x:c r="N6658" s="274" t="s">
        <x:v>299</x:v>
      </x:c>
    </x:row>
    <x:row r="6659" spans="1:14">
      <x:c r="A6659" s="274" t="s">
        <x:v>10922</x:v>
      </x:c>
      <x:c r="B6659" s="274" t="n">
        <x:v>2.84</x:v>
      </x:c>
      <x:c r="C6659" s="274" t="n">
        <x:v>0</x:v>
      </x:c>
      <x:c r="D6659" s="274" t="n">
        <x:v>45</x:v>
      </x:c>
      <x:c r="E6659" s="274" t="n">
        <x:v>40</x:v>
      </x:c>
      <x:c r="F6659" s="274" t="s">
        <x:v>333</x:v>
      </x:c>
      <x:c r="G6659" s="274" t="s">
        <x:v>4663</x:v>
      </x:c>
      <x:c r="I6659" s="274" t="n">
        <x:v>0.65</x:v>
      </x:c>
      <x:c r="J6659" s="274" t="n">
        <x:v>1100</x:v>
      </x:c>
      <x:c r="K6659" s="274" t="n">
        <x:v>506</x:v>
      </x:c>
      <x:c r="N6659" s="274" t="s">
        <x:v>4258</x:v>
      </x:c>
    </x:row>
    <x:row r="6660" spans="1:14">
      <x:c r="A6660" s="274" t="s">
        <x:v>10923</x:v>
      </x:c>
      <x:c r="B6660" s="274" t="n">
        <x:v>5.73</x:v>
      </x:c>
      <x:c r="C6660" s="274" t="n">
        <x:v>0</x:v>
      </x:c>
      <x:c r="D6660" s="274" t="n">
        <x:v>45</x:v>
      </x:c>
      <x:c r="E6660" s="274" t="n">
        <x:v>40</x:v>
      </x:c>
      <x:c r="F6660" s="274" t="s">
        <x:v>333</x:v>
      </x:c>
      <x:c r="G6660" s="274" t="s">
        <x:v>4663</x:v>
      </x:c>
      <x:c r="I6660" s="274" t="n">
        <x:v>1</x:v>
      </x:c>
      <x:c r="J6660" s="274" t="n">
        <x:v>1110</x:v>
      </x:c>
      <x:c r="K6660" s="274" t="n">
        <x:v>658</x:v>
      </x:c>
      <x:c r="N6660" s="274" t="s">
        <x:v>4258</x:v>
      </x:c>
    </x:row>
    <x:row r="6661" spans="1:14">
      <x:c r="A6661" s="274" t="s">
        <x:v>10924</x:v>
      </x:c>
      <x:c r="B6661" s="274" t="n">
        <x:v>5.78</x:v>
      </x:c>
      <x:c r="C6661" s="274" t="n">
        <x:v>0</x:v>
      </x:c>
      <x:c r="D6661" s="274" t="n">
        <x:v>45</x:v>
      </x:c>
      <x:c r="E6661" s="274" t="n">
        <x:v>40</x:v>
      </x:c>
      <x:c r="F6661" s="274" t="s">
        <x:v>333</x:v>
      </x:c>
      <x:c r="G6661" s="274" t="s">
        <x:v>4663</x:v>
      </x:c>
      <x:c r="I6661" s="274" t="n">
        <x:v>1.2</x:v>
      </x:c>
      <x:c r="J6661" s="274" t="n">
        <x:v>1100</x:v>
      </x:c>
      <x:c r="K6661" s="274" t="n">
        <x:v>558</x:v>
      </x:c>
      <x:c r="N6661" s="274" t="s">
        <x:v>4258</x:v>
      </x:c>
    </x:row>
    <x:row r="6662" spans="1:14">
      <x:c r="A6662" s="274" t="s">
        <x:v>10925</x:v>
      </x:c>
      <x:c r="B6662" s="274" t="n">
        <x:v>16.01</x:v>
      </x:c>
      <x:c r="C6662" s="274" t="n">
        <x:v>0</x:v>
      </x:c>
      <x:c r="D6662" s="274" t="n">
        <x:v>35</x:v>
      </x:c>
      <x:c r="E6662" s="274" t="n">
        <x:v>30</x:v>
      </x:c>
      <x:c r="F6662" s="274" t="s">
        <x:v>133</x:v>
      </x:c>
      <x:c r="G6662" s="274" t="s">
        <x:v>4329</x:v>
      </x:c>
      <x:c r="I6662" s="274" t="n">
        <x:v>1.6</x:v>
      </x:c>
      <x:c r="J6662" s="274" t="n">
        <x:v>1020</x:v>
      </x:c>
      <x:c r="K6662" s="274" t="n">
        <x:v>1250</x:v>
      </x:c>
      <x:c r="N6662" s="274" t="s">
        <x:v>4258</x:v>
      </x:c>
    </x:row>
    <x:row r="6663" spans="1:14">
      <x:c r="A6663" s="274" t="s">
        <x:v>10926</x:v>
      </x:c>
      <x:c r="B6663" s="274" t="n">
        <x:v>7.53</x:v>
      </x:c>
      <x:c r="C6663" s="274" t="n">
        <x:v>0</x:v>
      </x:c>
      <x:c r="D6663" s="274" t="n">
        <x:v>45</x:v>
      </x:c>
      <x:c r="E6663" s="274" t="n">
        <x:v>40</x:v>
      </x:c>
      <x:c r="F6663" s="274" t="s">
        <x:v>133</x:v>
      </x:c>
      <x:c r="G6663" s="274" t="s">
        <x:v>4329</x:v>
      </x:c>
      <x:c r="I6663" s="274" t="n">
        <x:v>1.6</x:v>
      </x:c>
      <x:c r="J6663" s="274" t="n">
        <x:v>1020</x:v>
      </x:c>
      <x:c r="K6663" s="274" t="n">
        <x:v>588</x:v>
      </x:c>
      <x:c r="N6663" s="274" t="s">
        <x:v>4258</x:v>
      </x:c>
    </x:row>
    <x:row r="6664" spans="1:14">
      <x:c r="A6664" s="274" t="s">
        <x:v>10927</x:v>
      </x:c>
      <x:c r="B6664" s="274" t="n">
        <x:v>6.16</x:v>
      </x:c>
      <x:c r="C6664" s="274" t="n">
        <x:v>0</x:v>
      </x:c>
      <x:c r="D6664" s="274" t="n">
        <x:v>45</x:v>
      </x:c>
      <x:c r="E6664" s="274" t="n">
        <x:v>40</x:v>
      </x:c>
      <x:c r="F6664" s="274" t="s">
        <x:v>133</x:v>
      </x:c>
      <x:c r="G6664" s="274" t="s">
        <x:v>4329</x:v>
      </x:c>
      <x:c r="I6664" s="274" t="n">
        <x:v>1.6</x:v>
      </x:c>
      <x:c r="J6664" s="274" t="n">
        <x:v>1020</x:v>
      </x:c>
      <x:c r="K6664" s="274" t="n">
        <x:v>481</x:v>
      </x:c>
      <x:c r="N6664" s="274" t="s">
        <x:v>4258</x:v>
      </x:c>
    </x:row>
    <x:row r="6665" spans="1:14">
      <x:c r="A6665" s="274" t="s">
        <x:v>10928</x:v>
      </x:c>
      <x:c r="B6665" s="274" t="n">
        <x:v>4.13</x:v>
      </x:c>
      <x:c r="C6665" s="274" t="n">
        <x:v>0</x:v>
      </x:c>
      <x:c r="D6665" s="274" t="n">
        <x:v>45</x:v>
      </x:c>
      <x:c r="E6665" s="274" t="n">
        <x:v>40</x:v>
      </x:c>
      <x:c r="F6665" s="274" t="s">
        <x:v>133</x:v>
      </x:c>
      <x:c r="G6665" s="274" t="s">
        <x:v>136</x:v>
      </x:c>
      <x:c r="H6665" s="274" t="n">
        <x:v>45</x:v>
      </x:c>
      <x:c r="I6665" s="274" t="n">
        <x:v>1.2</x:v>
      </x:c>
      <x:c r="J6665" s="274" t="n">
        <x:v>1227</x:v>
      </x:c>
      <x:c r="K6665" s="274" t="n">
        <x:v>354</x:v>
      </x:c>
      <x:c r="N6665" s="274" t="s">
        <x:v>3671</x:v>
      </x:c>
    </x:row>
    <x:row r="6666" spans="1:14">
      <x:c r="A6666" s="274" t="s">
        <x:v>10929</x:v>
      </x:c>
      <x:c r="B6666" s="274" t="n">
        <x:v>6.93</x:v>
      </x:c>
      <x:c r="C6666" s="274" t="n">
        <x:v>0</x:v>
      </x:c>
      <x:c r="D6666" s="274" t="n">
        <x:v>45</x:v>
      </x:c>
      <x:c r="E6666" s="274" t="n">
        <x:v>40</x:v>
      </x:c>
      <x:c r="F6666" s="274" t="s">
        <x:v>128</x:v>
      </x:c>
      <x:c r="G6666" s="274" t="s">
        <x:v>177</x:v>
      </x:c>
      <x:c r="H6666" s="274" t="n">
        <x:v>45</x:v>
      </x:c>
      <x:c r="I6666" s="274" t="n">
        <x:v>2.6</x:v>
      </x:c>
      <x:c r="J6666" s="274" t="n">
        <x:v>825</x:v>
      </x:c>
      <x:c r="K6666" s="274" t="n">
        <x:v>410</x:v>
      </x:c>
      <x:c r="N6666" s="274" t="s">
        <x:v>3671</x:v>
      </x:c>
    </x:row>
    <x:row r="6667" spans="1:14">
      <x:c r="A6667" s="274" t="s">
        <x:v>10930</x:v>
      </x:c>
      <x:c r="B6667" s="274" t="n">
        <x:v>7.61</x:v>
      </x:c>
      <x:c r="C6667" s="274" t="n">
        <x:v>0</x:v>
      </x:c>
      <x:c r="D6667" s="274" t="n">
        <x:v>45</x:v>
      </x:c>
      <x:c r="E6667" s="274" t="n">
        <x:v>40</x:v>
      </x:c>
      <x:c r="F6667" s="274" t="s">
        <x:v>128</x:v>
      </x:c>
      <x:c r="G6667" s="274" t="s">
        <x:v>177</x:v>
      </x:c>
      <x:c r="H6667" s="274" t="n">
        <x:v>45</x:v>
      </x:c>
      <x:c r="I6667" s="274" t="n">
        <x:v>2.6</x:v>
      </x:c>
      <x:c r="J6667" s="274" t="n">
        <x:v>825</x:v>
      </x:c>
      <x:c r="K6667" s="274" t="n">
        <x:v>450</x:v>
      </x:c>
      <x:c r="N6667" s="274" t="s">
        <x:v>3671</x:v>
      </x:c>
    </x:row>
    <x:row r="6668" spans="1:14">
      <x:c r="A6668" s="274" t="s">
        <x:v>10931</x:v>
      </x:c>
      <x:c r="B6668" s="274" t="n">
        <x:v>4.12</x:v>
      </x:c>
      <x:c r="C6668" s="274" t="n">
        <x:v>0</x:v>
      </x:c>
      <x:c r="D6668" s="274" t="n">
        <x:v>45</x:v>
      </x:c>
      <x:c r="E6668" s="274" t="n">
        <x:v>40</x:v>
      </x:c>
      <x:c r="F6668" s="274" t="s">
        <x:v>333</x:v>
      </x:c>
      <x:c r="G6668" s="274" t="s">
        <x:v>5164</x:v>
      </x:c>
      <x:c r="I6668" s="274" t="n">
        <x:v>0.65</x:v>
      </x:c>
      <x:c r="J6668" s="274" t="n">
        <x:v>1380</x:v>
      </x:c>
      <x:c r="K6668" s="274" t="n">
        <x:v>585</x:v>
      </x:c>
      <x:c r="M6668" s="274" t="s">
        <x:v>5165</x:v>
      </x:c>
      <x:c r="N6668" s="274" t="s">
        <x:v>4258</x:v>
      </x:c>
    </x:row>
    <x:row r="6669" spans="1:14">
      <x:c r="A6669" s="274" t="s">
        <x:v>10932</x:v>
      </x:c>
      <x:c r="B6669" s="274" t="n">
        <x:v>2.19</x:v>
      </x:c>
      <x:c r="C6669" s="274" t="n">
        <x:v>0</x:v>
      </x:c>
      <x:c r="D6669" s="274" t="n">
        <x:v>45</x:v>
      </x:c>
      <x:c r="E6669" s="274" t="n">
        <x:v>40</x:v>
      </x:c>
      <x:c r="F6669" s="274" t="s">
        <x:v>333</x:v>
      </x:c>
      <x:c r="G6669" s="274" t="s">
        <x:v>2157</x:v>
      </x:c>
      <x:c r="I6669" s="274" t="n">
        <x:v>0.6</x:v>
      </x:c>
      <x:c r="J6669" s="274" t="n">
        <x:v>1110</x:v>
      </x:c>
      <x:c r="K6669" s="274" t="n">
        <x:v>418</x:v>
      </x:c>
      <x:c r="M6669" s="274" t="s">
        <x:v>3626</x:v>
      </x:c>
      <x:c r="N6669" s="274" t="s">
        <x:v>3586</x:v>
      </x:c>
    </x:row>
    <x:row r="6670" spans="1:14">
      <x:c r="A6670" s="274" t="s">
        <x:v>10933</x:v>
      </x:c>
      <x:c r="B6670" s="274" t="n">
        <x:v>5.5</x:v>
      </x:c>
      <x:c r="C6670" s="274" t="n">
        <x:v>0</x:v>
      </x:c>
      <x:c r="D6670" s="274" t="n">
        <x:v>45</x:v>
      </x:c>
      <x:c r="E6670" s="274" t="n">
        <x:v>40</x:v>
      </x:c>
      <x:c r="F6670" s="274" t="s">
        <x:v>3412</x:v>
      </x:c>
      <x:c r="G6670" s="274" t="s">
        <x:v>6312</x:v>
      </x:c>
      <x:c r="I6670" s="274" t="n">
        <x:v>1.2</x:v>
      </x:c>
      <x:c r="J6670" s="274" t="n">
        <x:v>1260</x:v>
      </x:c>
      <x:c r="K6670" s="274" t="n">
        <x:v>470.1</x:v>
      </x:c>
      <x:c r="M6670" s="274" t="s">
        <x:v>7755</x:v>
      </x:c>
      <x:c r="N6670" s="274" t="s">
        <x:v>3671</x:v>
      </x:c>
    </x:row>
    <x:row r="6671" spans="1:14">
      <x:c r="A6671" s="274" t="s">
        <x:v>10934</x:v>
      </x:c>
      <x:c r="B6671" s="274" t="n">
        <x:v>7.79</x:v>
      </x:c>
      <x:c r="C6671" s="274" t="n">
        <x:v>0</x:v>
      </x:c>
      <x:c r="D6671" s="274" t="n">
        <x:v>45</x:v>
      </x:c>
      <x:c r="E6671" s="274" t="n">
        <x:v>40</x:v>
      </x:c>
      <x:c r="F6671" s="274" t="s">
        <x:v>3412</x:v>
      </x:c>
      <x:c r="G6671" s="274" t="s">
        <x:v>6312</x:v>
      </x:c>
      <x:c r="I6671" s="274" t="n">
        <x:v>1.2</x:v>
      </x:c>
      <x:c r="J6671" s="274" t="n">
        <x:v>1260</x:v>
      </x:c>
      <x:c r="K6671" s="274" t="n">
        <x:v>665.5</x:v>
      </x:c>
      <x:c r="M6671" s="274" t="s">
        <x:v>7753</x:v>
      </x:c>
      <x:c r="N6671" s="274" t="s">
        <x:v>3671</x:v>
      </x:c>
    </x:row>
    <x:row r="6672" spans="1:14">
      <x:c r="A6672" s="274" t="s">
        <x:v>10935</x:v>
      </x:c>
      <x:c r="B6672" s="274" t="n">
        <x:v>32.64</x:v>
      </x:c>
      <x:c r="C6672" s="274" t="n">
        <x:v>0</x:v>
      </x:c>
      <x:c r="D6672" s="274" t="n">
        <x:v>28</x:v>
      </x:c>
      <x:c r="E6672" s="274" t="n">
        <x:v>23</x:v>
      </x:c>
      <x:c r="F6672" s="274" t="s">
        <x:v>123</x:v>
      </x:c>
      <x:c r="G6672" s="274" t="s">
        <x:v>153</x:v>
      </x:c>
      <x:c r="I6672" s="274" t="n">
        <x:v>2.6</x:v>
      </x:c>
      <x:c r="J6672" s="274" t="n">
        <x:v>1230</x:v>
      </x:c>
      <x:c r="K6672" s="274" t="n">
        <x:v>1300</x:v>
      </x:c>
      <x:c r="M6672" s="274" t="s">
        <x:v>6395</x:v>
      </x:c>
      <x:c r="N6672" s="274" t="s">
        <x:v>421</x:v>
      </x:c>
    </x:row>
    <x:row r="6673" spans="1:14">
      <x:c r="A6673" s="274" t="s">
        <x:v>10936</x:v>
      </x:c>
      <x:c r="B6673" s="274" t="n">
        <x:v>6.96</x:v>
      </x:c>
      <x:c r="C6673" s="274" t="n">
        <x:v>0</x:v>
      </x:c>
      <x:c r="D6673" s="274" t="n">
        <x:v>45</x:v>
      </x:c>
      <x:c r="E6673" s="274" t="n">
        <x:v>40</x:v>
      </x:c>
      <x:c r="F6673" s="274" t="s">
        <x:v>184</x:v>
      </x:c>
      <x:c r="G6673" s="274" t="s">
        <x:v>334</x:v>
      </x:c>
      <x:c r="I6673" s="274" t="n">
        <x:v>1.4</x:v>
      </x:c>
      <x:c r="J6673" s="274" t="n">
        <x:v>1368</x:v>
      </x:c>
      <x:c r="K6673" s="274" t="n">
        <x:v>463</x:v>
      </x:c>
      <x:c r="N6673" s="274" t="s">
        <x:v>299</x:v>
      </x:c>
    </x:row>
    <x:row r="6674" spans="1:14">
      <x:c r="A6674" s="274" t="s">
        <x:v>10937</x:v>
      </x:c>
      <x:c r="B6674" s="274" t="n">
        <x:v>3.57</x:v>
      </x:c>
      <x:c r="C6674" s="274" t="n">
        <x:v>35</x:v>
      </x:c>
      <x:c r="D6674" s="274" t="n">
        <x:v>35</x:v>
      </x:c>
      <x:c r="E6674" s="274" t="n">
        <x:v>30</x:v>
      </x:c>
      <x:c r="F6674" s="274" t="s">
        <x:v>184</x:v>
      </x:c>
      <x:c r="G6674" s="274" t="s">
        <x:v>334</x:v>
      </x:c>
      <x:c r="I6674" s="274" t="n">
        <x:v>1.4</x:v>
      </x:c>
      <x:c r="J6674" s="274" t="n">
        <x:v>325</x:v>
      </x:c>
      <x:c r="K6674" s="274" t="n">
        <x:v>1000</x:v>
      </x:c>
      <x:c r="M6674" s="274" t="s">
        <x:v>3450</x:v>
      </x:c>
      <x:c r="N6674" s="274" t="s">
        <x:v>299</x:v>
      </x:c>
    </x:row>
    <x:row r="6675" spans="1:14">
      <x:c r="A6675" s="274" t="s">
        <x:v>10938</x:v>
      </x:c>
      <x:c r="B6675" s="274" t="n">
        <x:v>7.82</x:v>
      </x:c>
      <x:c r="C6675" s="274" t="n">
        <x:v>0</x:v>
      </x:c>
      <x:c r="D6675" s="274" t="n">
        <x:v>45</x:v>
      </x:c>
      <x:c r="E6675" s="274" t="n">
        <x:v>40</x:v>
      </x:c>
      <x:c r="F6675" s="274" t="s">
        <x:v>184</x:v>
      </x:c>
      <x:c r="G6675" s="274" t="s">
        <x:v>334</x:v>
      </x:c>
      <x:c r="I6675" s="274" t="n">
        <x:v>1.4</x:v>
      </x:c>
      <x:c r="J6675" s="274" t="n">
        <x:v>1368</x:v>
      </x:c>
      <x:c r="K6675" s="274" t="n">
        <x:v>520</x:v>
      </x:c>
      <x:c r="M6675" s="274" t="s">
        <x:v>335</x:v>
      </x:c>
      <x:c r="N6675" s="274" t="s">
        <x:v>299</x:v>
      </x:c>
    </x:row>
    <x:row r="6676" spans="1:14">
      <x:c r="A6676" s="274" t="s">
        <x:v>10939</x:v>
      </x:c>
      <x:c r="B6676" s="274" t="n">
        <x:v>30.07</x:v>
      </x:c>
      <x:c r="C6676" s="274" t="n">
        <x:v>0</x:v>
      </x:c>
      <x:c r="D6676" s="274" t="n">
        <x:v>25</x:v>
      </x:c>
      <x:c r="E6676" s="274" t="n">
        <x:v>20</x:v>
      </x:c>
      <x:c r="F6676" s="274" t="s">
        <x:v>184</x:v>
      </x:c>
      <x:c r="G6676" s="274" t="s">
        <x:v>334</x:v>
      </x:c>
      <x:c r="I6676" s="274" t="n">
        <x:v>1.4</x:v>
      </x:c>
      <x:c r="J6676" s="274" t="n">
        <x:v>1368</x:v>
      </x:c>
      <x:c r="K6676" s="274" t="n">
        <x:v>2000</x:v>
      </x:c>
      <x:c r="M6676" s="274" t="s">
        <x:v>8283</x:v>
      </x:c>
      <x:c r="N6676" s="274" t="s">
        <x:v>155</x:v>
      </x:c>
    </x:row>
    <x:row r="6677" spans="1:14">
      <x:c r="A6677" s="274" t="s">
        <x:v>10940</x:v>
      </x:c>
      <x:c r="B6677" s="274" t="n">
        <x:v>7.59</x:v>
      </x:c>
      <x:c r="C6677" s="274" t="n">
        <x:v>0</x:v>
      </x:c>
      <x:c r="D6677" s="274" t="n">
        <x:v>45</x:v>
      </x:c>
      <x:c r="E6677" s="274" t="n">
        <x:v>40</x:v>
      </x:c>
      <x:c r="F6677" s="274" t="s">
        <x:v>184</x:v>
      </x:c>
      <x:c r="G6677" s="274" t="s">
        <x:v>334</x:v>
      </x:c>
      <x:c r="I6677" s="274" t="n">
        <x:v>1.4</x:v>
      </x:c>
      <x:c r="J6677" s="274" t="n">
        <x:v>1368</x:v>
      </x:c>
      <x:c r="K6677" s="274" t="n">
        <x:v>505</x:v>
      </x:c>
      <x:c r="M6677" s="274" t="s">
        <x:v>8292</x:v>
      </x:c>
      <x:c r="N6677" s="274" t="s">
        <x:v>155</x:v>
      </x:c>
    </x:row>
    <x:row r="6678" spans="1:14">
      <x:c r="A6678" s="274" t="s">
        <x:v>10941</x:v>
      </x:c>
      <x:c r="B6678" s="274" t="n">
        <x:v>2.27</x:v>
      </x:c>
      <x:c r="C6678" s="274" t="n">
        <x:v>0</x:v>
      </x:c>
      <x:c r="D6678" s="274" t="n">
        <x:v>45</x:v>
      </x:c>
      <x:c r="E6678" s="274" t="n">
        <x:v>40</x:v>
      </x:c>
      <x:c r="F6678" s="274" t="s">
        <x:v>333</x:v>
      </x:c>
      <x:c r="G6678" s="274" t="s">
        <x:v>153</x:v>
      </x:c>
      <x:c r="I6678" s="274" t="n">
        <x:v>0.8</x:v>
      </x:c>
      <x:c r="J6678" s="274" t="n">
        <x:v>1000</x:v>
      </x:c>
      <x:c r="K6678" s="274" t="n">
        <x:v>361</x:v>
      </x:c>
      <x:c r="M6678" s="274" t="s">
        <x:v>8449</x:v>
      </x:c>
      <x:c r="N6678" s="274" t="s">
        <x:v>5222</x:v>
      </x:c>
    </x:row>
    <x:row r="6679" spans="1:14">
      <x:c r="A6679" s="274" t="s">
        <x:v>10942</x:v>
      </x:c>
      <x:c r="B6679" s="274" t="n">
        <x:v>17.13</x:v>
      </x:c>
      <x:c r="C6679" s="274" t="n">
        <x:v>0</x:v>
      </x:c>
      <x:c r="D6679" s="274" t="n">
        <x:v>32</x:v>
      </x:c>
      <x:c r="E6679" s="274" t="n">
        <x:v>26</x:v>
      </x:c>
      <x:c r="F6679" s="274" t="s">
        <x:v>333</x:v>
      </x:c>
      <x:c r="G6679" s="274" t="s">
        <x:v>334</x:v>
      </x:c>
      <x:c r="I6679" s="274" t="n">
        <x:v>2</x:v>
      </x:c>
      <x:c r="J6679" s="274" t="n">
        <x:v>1040</x:v>
      </x:c>
      <x:c r="K6679" s="274" t="n">
        <x:v>1049</x:v>
      </x:c>
      <x:c r="M6679" s="274" t="s">
        <x:v>8473</x:v>
      </x:c>
      <x:c r="N6679" s="274" t="s">
        <x:v>3671</x:v>
      </x:c>
    </x:row>
    <x:row r="6680" spans="1:14">
      <x:c r="A6680" s="274" t="s">
        <x:v>10943</x:v>
      </x:c>
      <x:c r="B6680" s="274" t="n">
        <x:v>4.07</x:v>
      </x:c>
      <x:c r="C6680" s="274" t="n">
        <x:v>0</x:v>
      </x:c>
      <x:c r="D6680" s="274" t="n">
        <x:v>45</x:v>
      </x:c>
      <x:c r="E6680" s="274" t="n">
        <x:v>40</x:v>
      </x:c>
      <x:c r="F6680" s="274" t="s">
        <x:v>184</x:v>
      </x:c>
      <x:c r="G6680" s="274" t="s">
        <x:v>334</x:v>
      </x:c>
      <x:c r="I6680" s="274" t="n">
        <x:v>1.4</x:v>
      </x:c>
      <x:c r="J6680" s="274" t="n">
        <x:v>800</x:v>
      </x:c>
      <x:c r="K6680" s="274" t="n">
        <x:v>463</x:v>
      </x:c>
      <x:c r="M6680" s="274" t="s">
        <x:v>663</x:v>
      </x:c>
      <x:c r="N6680" s="274" t="s">
        <x:v>299</x:v>
      </x:c>
    </x:row>
    <x:row r="6681" spans="1:14">
      <x:c r="A6681" s="274" t="s">
        <x:v>10944</x:v>
      </x:c>
      <x:c r="B6681" s="274" t="n">
        <x:v>5.63</x:v>
      </x:c>
      <x:c r="C6681" s="274" t="n">
        <x:v>0</x:v>
      </x:c>
      <x:c r="D6681" s="274" t="n">
        <x:v>35</x:v>
      </x:c>
      <x:c r="E6681" s="274" t="n">
        <x:v>30</x:v>
      </x:c>
      <x:c r="F6681" s="274" t="s">
        <x:v>333</x:v>
      </x:c>
      <x:c r="G6681" s="274" t="s">
        <x:v>2157</x:v>
      </x:c>
      <x:c r="I6681" s="274" t="n">
        <x:v>0.6</x:v>
      </x:c>
      <x:c r="J6681" s="274" t="n">
        <x:v>1058</x:v>
      </x:c>
      <x:c r="K6681" s="274" t="n">
        <x:v>1130</x:v>
      </x:c>
      <x:c r="M6681" s="274" t="s">
        <x:v>7438</x:v>
      </x:c>
      <x:c r="N6681" s="274" t="s">
        <x:v>7439</x:v>
      </x:c>
    </x:row>
    <x:row r="6682" spans="1:14">
      <x:c r="A6682" s="274" t="s">
        <x:v>10945</x:v>
      </x:c>
      <x:c r="B6682" s="274" t="n">
        <x:v>3.07</x:v>
      </x:c>
      <x:c r="C6682" s="274" t="n">
        <x:v>0</x:v>
      </x:c>
      <x:c r="D6682" s="274" t="n">
        <x:v>40</x:v>
      </x:c>
      <x:c r="E6682" s="274" t="n">
        <x:v>56</x:v>
      </x:c>
      <x:c r="F6682" s="274" t="s">
        <x:v>333</x:v>
      </x:c>
      <x:c r="G6682" s="274" t="s">
        <x:v>124</x:v>
      </x:c>
      <x:c r="I6682" s="274" t="n">
        <x:v>1.2</x:v>
      </x:c>
      <x:c r="J6682" s="274" t="n">
        <x:v>1020</x:v>
      </x:c>
      <x:c r="K6682" s="274" t="n">
        <x:v>319</x:v>
      </x:c>
      <x:c r="M6682" s="274" t="s">
        <x:v>6662</x:v>
      </x:c>
      <x:c r="N6682" s="274" t="s">
        <x:v>3671</x:v>
      </x:c>
    </x:row>
    <x:row r="6683" spans="1:14">
      <x:c r="A6683" s="274" t="s">
        <x:v>10946</x:v>
      </x:c>
      <x:c r="B6683" s="274" t="n">
        <x:v>6.67</x:v>
      </x:c>
      <x:c r="C6683" s="274" t="n">
        <x:v>0</x:v>
      </x:c>
      <x:c r="D6683" s="274" t="n">
        <x:v>40</x:v>
      </x:c>
      <x:c r="E6683" s="274" t="n">
        <x:v>42</x:v>
      </x:c>
      <x:c r="F6683" s="274" t="s">
        <x:v>123</x:v>
      </x:c>
      <x:c r="G6683" s="274" t="s">
        <x:v>129</x:v>
      </x:c>
      <x:c r="H6683" s="274" t="n">
        <x:v>45</x:v>
      </x:c>
      <x:c r="I6683" s="274" t="n">
        <x:v>1.2</x:v>
      </x:c>
      <x:c r="J6683" s="274" t="n">
        <x:v>1040</x:v>
      </x:c>
      <x:c r="K6683" s="274" t="n">
        <x:v>674</x:v>
      </x:c>
      <x:c r="M6683" s="274" t="s">
        <x:v>6943</x:v>
      </x:c>
      <x:c r="N6683" s="274" t="s">
        <x:v>3671</x:v>
      </x:c>
    </x:row>
    <x:row r="6684" spans="1:14">
      <x:c r="A6684" s="274" t="s">
        <x:v>10947</x:v>
      </x:c>
      <x:c r="B6684" s="274" t="n">
        <x:v>4.15</x:v>
      </x:c>
      <x:c r="C6684" s="274" t="n">
        <x:v>0</x:v>
      </x:c>
      <x:c r="D6684" s="274" t="n">
        <x:v>40</x:v>
      </x:c>
      <x:c r="E6684" s="274" t="n">
        <x:v>42</x:v>
      </x:c>
      <x:c r="F6684" s="274" t="s">
        <x:v>123</x:v>
      </x:c>
      <x:c r="G6684" s="274" t="s">
        <x:v>129</x:v>
      </x:c>
      <x:c r="H6684" s="274" t="n">
        <x:v>45</x:v>
      </x:c>
      <x:c r="I6684" s="274" t="n">
        <x:v>1.2</x:v>
      </x:c>
      <x:c r="J6684" s="274" t="n">
        <x:v>1040</x:v>
      </x:c>
      <x:c r="K6684" s="274" t="n">
        <x:v>420</x:v>
      </x:c>
      <x:c r="M6684" s="274" t="s">
        <x:v>5760</x:v>
      </x:c>
      <x:c r="N6684" s="274" t="s">
        <x:v>3671</x:v>
      </x:c>
    </x:row>
    <x:row r="6685" spans="1:14">
      <x:c r="A6685" s="274" t="s">
        <x:v>10948</x:v>
      </x:c>
      <x:c r="B6685" s="274" t="n">
        <x:v>13.04</x:v>
      </x:c>
      <x:c r="C6685" s="274" t="n">
        <x:v>0</x:v>
      </x:c>
      <x:c r="D6685" s="274" t="n">
        <x:v>30</x:v>
      </x:c>
      <x:c r="E6685" s="274" t="n">
        <x:v>30</x:v>
      </x:c>
      <x:c r="F6685" s="274" t="s">
        <x:v>133</x:v>
      </x:c>
      <x:c r="G6685" s="274" t="s">
        <x:v>144</x:v>
      </x:c>
      <x:c r="H6685" s="274" t="n">
        <x:v>45</x:v>
      </x:c>
      <x:c r="I6685" s="274" t="n">
        <x:v>1.2</x:v>
      </x:c>
      <x:c r="J6685" s="274" t="n">
        <x:v>1110</x:v>
      </x:c>
      <x:c r="K6685" s="274" t="n">
        <x:v>1235</x:v>
      </x:c>
      <x:c r="M6685" s="274" t="s">
        <x:v>4853</x:v>
      </x:c>
      <x:c r="N6685" s="274" t="s">
        <x:v>3671</x:v>
      </x:c>
    </x:row>
    <x:row r="6686" spans="1:14">
      <x:c r="A6686" s="274" t="s">
        <x:v>10949</x:v>
      </x:c>
      <x:c r="B6686" s="274" t="n">
        <x:v>11.93</x:v>
      </x:c>
      <x:c r="C6686" s="274" t="n">
        <x:v>0</x:v>
      </x:c>
      <x:c r="D6686" s="274" t="n">
        <x:v>32</x:v>
      </x:c>
      <x:c r="E6686" s="274" t="n">
        <x:v>32</x:v>
      </x:c>
      <x:c r="F6686" s="274" t="s">
        <x:v>133</x:v>
      </x:c>
      <x:c r="G6686" s="274" t="s">
        <x:v>144</x:v>
      </x:c>
      <x:c r="H6686" s="274" t="n">
        <x:v>45</x:v>
      </x:c>
      <x:c r="I6686" s="274" t="n">
        <x:v>1.2</x:v>
      </x:c>
      <x:c r="J6686" s="274" t="n">
        <x:v>1110</x:v>
      </x:c>
      <x:c r="K6686" s="274" t="n">
        <x:v>1130</x:v>
      </x:c>
      <x:c r="M6686" s="274" t="s">
        <x:v>4317</x:v>
      </x:c>
      <x:c r="N6686" s="274" t="s">
        <x:v>3671</x:v>
      </x:c>
    </x:row>
    <x:row r="6687" spans="1:14">
      <x:c r="A6687" s="274" t="s">
        <x:v>10950</x:v>
      </x:c>
      <x:c r="B6687" s="274" t="n">
        <x:v>12.67</x:v>
      </x:c>
      <x:c r="C6687" s="274" t="n">
        <x:v>0</x:v>
      </x:c>
      <x:c r="D6687" s="274" t="n">
        <x:v>32</x:v>
      </x:c>
      <x:c r="E6687" s="274" t="n">
        <x:v>32</x:v>
      </x:c>
      <x:c r="F6687" s="274" t="s">
        <x:v>133</x:v>
      </x:c>
      <x:c r="G6687" s="274" t="s">
        <x:v>144</x:v>
      </x:c>
      <x:c r="H6687" s="274" t="n">
        <x:v>45</x:v>
      </x:c>
      <x:c r="I6687" s="274" t="n">
        <x:v>1.2</x:v>
      </x:c>
      <x:c r="J6687" s="274" t="n">
        <x:v>1110</x:v>
      </x:c>
      <x:c r="K6687" s="274" t="n">
        <x:v>1200</x:v>
      </x:c>
      <x:c r="M6687" s="274" t="s">
        <x:v>4855</x:v>
      </x:c>
      <x:c r="N6687" s="274" t="s">
        <x:v>3671</x:v>
      </x:c>
    </x:row>
    <x:row r="6688" spans="1:14">
      <x:c r="A6688" s="274" t="s">
        <x:v>10951</x:v>
      </x:c>
      <x:c r="B6688" s="274" t="n">
        <x:v>4.67</x:v>
      </x:c>
      <x:c r="C6688" s="274" t="n">
        <x:v>0</x:v>
      </x:c>
      <x:c r="D6688" s="274" t="n">
        <x:v>40</x:v>
      </x:c>
      <x:c r="E6688" s="274" t="n">
        <x:v>50</x:v>
      </x:c>
      <x:c r="F6688" s="274" t="s">
        <x:v>333</x:v>
      </x:c>
      <x:c r="G6688" s="274" t="s">
        <x:v>209</x:v>
      </x:c>
      <x:c r="I6688" s="274" t="n">
        <x:v>1.2</x:v>
      </x:c>
      <x:c r="J6688" s="274" t="n">
        <x:v>1170</x:v>
      </x:c>
      <x:c r="K6688" s="274" t="n">
        <x:v>424</x:v>
      </x:c>
      <x:c r="M6688" s="274" t="s">
        <x:v>5873</x:v>
      </x:c>
      <x:c r="N6688" s="274" t="s">
        <x:v>3671</x:v>
      </x:c>
    </x:row>
    <x:row r="6689" spans="1:14">
      <x:c r="A6689" s="274" t="s">
        <x:v>10952</x:v>
      </x:c>
      <x:c r="B6689" s="274" t="n">
        <x:v>5.05</x:v>
      </x:c>
      <x:c r="C6689" s="274" t="n">
        <x:v>0</x:v>
      </x:c>
      <x:c r="D6689" s="274" t="n">
        <x:v>40</x:v>
      </x:c>
      <x:c r="E6689" s="274" t="n">
        <x:v>50</x:v>
      </x:c>
      <x:c r="F6689" s="274" t="s">
        <x:v>133</x:v>
      </x:c>
      <x:c r="G6689" s="274" t="s">
        <x:v>144</x:v>
      </x:c>
      <x:c r="H6689" s="274" t="n">
        <x:v>45</x:v>
      </x:c>
      <x:c r="I6689" s="274" t="n">
        <x:v>1.2</x:v>
      </x:c>
      <x:c r="J6689" s="274" t="n">
        <x:v>1210</x:v>
      </x:c>
      <x:c r="K6689" s="274" t="n">
        <x:v>439</x:v>
      </x:c>
      <x:c r="M6689" s="274" t="s">
        <x:v>4851</x:v>
      </x:c>
      <x:c r="N6689" s="274" t="s">
        <x:v>3671</x:v>
      </x:c>
    </x:row>
    <x:row r="6690" spans="1:14">
      <x:c r="A6690" s="274" t="s">
        <x:v>10953</x:v>
      </x:c>
      <x:c r="B6690" s="274" t="n">
        <x:v>2.09</x:v>
      </x:c>
      <x:c r="C6690" s="274" t="n">
        <x:v>0</x:v>
      </x:c>
      <x:c r="D6690" s="274" t="n">
        <x:v>32</x:v>
      </x:c>
      <x:c r="E6690" s="274" t="n">
        <x:v>40</x:v>
      </x:c>
      <x:c r="F6690" s="274" t="s">
        <x:v>333</x:v>
      </x:c>
      <x:c r="G6690" s="274" t="s">
        <x:v>153</x:v>
      </x:c>
      <x:c r="I6690" s="274" t="n">
        <x:v>0.6</x:v>
      </x:c>
      <x:c r="J6690" s="274" t="n">
        <x:v>1175</x:v>
      </x:c>
      <x:c r="K6690" s="274" t="n">
        <x:v>378</x:v>
      </x:c>
      <x:c r="M6690" s="274" t="s">
        <x:v>5485</x:v>
      </x:c>
      <x:c r="N6690" s="274" t="s">
        <x:v>3671</x:v>
      </x:c>
    </x:row>
    <x:row r="6691" spans="1:14">
      <x:c r="A6691" s="274" t="s">
        <x:v>10954</x:v>
      </x:c>
      <x:c r="B6691" s="274" t="n">
        <x:v>6.78</x:v>
      </x:c>
      <x:c r="C6691" s="274" t="n">
        <x:v>0</x:v>
      </x:c>
      <x:c r="D6691" s="274" t="n">
        <x:v>32</x:v>
      </x:c>
      <x:c r="E6691" s="274" t="n">
        <x:v>32</x:v>
      </x:c>
      <x:c r="F6691" s="274" t="s">
        <x:v>333</x:v>
      </x:c>
      <x:c r="G6691" s="274" t="s">
        <x:v>209</x:v>
      </x:c>
      <x:c r="I6691" s="274" t="n">
        <x:v>0.6</x:v>
      </x:c>
      <x:c r="J6691" s="274" t="n">
        <x:v>1200</x:v>
      </x:c>
      <x:c r="K6691" s="274" t="n">
        <x:v>1200</x:v>
      </x:c>
      <x:c r="M6691" s="274" t="s">
        <x:v>8493</x:v>
      </x:c>
      <x:c r="N6691" s="274" t="s">
        <x:v>3671</x:v>
      </x:c>
    </x:row>
    <x:row r="6692" spans="1:14">
      <x:c r="A6692" s="274" t="s">
        <x:v>10955</x:v>
      </x:c>
      <x:c r="B6692" s="274" t="n">
        <x:v>6.5</x:v>
      </x:c>
      <x:c r="C6692" s="274" t="n">
        <x:v>0</x:v>
      </x:c>
      <x:c r="D6692" s="274" t="n">
        <x:v>32</x:v>
      </x:c>
      <x:c r="E6692" s="274" t="n">
        <x:v>32</x:v>
      </x:c>
      <x:c r="F6692" s="274" t="s">
        <x:v>333</x:v>
      </x:c>
      <x:c r="G6692" s="274" t="s">
        <x:v>209</x:v>
      </x:c>
      <x:c r="I6692" s="274" t="n">
        <x:v>0.6</x:v>
      </x:c>
      <x:c r="J6692" s="274" t="n">
        <x:v>1200</x:v>
      </x:c>
      <x:c r="K6692" s="274" t="n">
        <x:v>1150</x:v>
      </x:c>
      <x:c r="M6692" s="274" t="s">
        <x:v>5487</x:v>
      </x:c>
      <x:c r="N6692" s="274" t="s">
        <x:v>3671</x:v>
      </x:c>
    </x:row>
    <x:row r="6693" spans="1:14">
      <x:c r="A6693" s="274" t="s">
        <x:v>10956</x:v>
      </x:c>
      <x:c r="B6693" s="274" t="n">
        <x:v>2.81</x:v>
      </x:c>
      <x:c r="C6693" s="274" t="n">
        <x:v>0</x:v>
      </x:c>
      <x:c r="D6693" s="274" t="n">
        <x:v>30</x:v>
      </x:c>
      <x:c r="E6693" s="274" t="n">
        <x:v>30</x:v>
      </x:c>
      <x:c r="F6693" s="274" t="s">
        <x:v>333</x:v>
      </x:c>
      <x:c r="G6693" s="274" t="s">
        <x:v>209</x:v>
      </x:c>
      <x:c r="I6693" s="274" t="n">
        <x:v>0.65</x:v>
      </x:c>
      <x:c r="J6693" s="274" t="n">
        <x:v>935</x:v>
      </x:c>
      <x:c r="K6693" s="274" t="n">
        <x:v>590</x:v>
      </x:c>
      <x:c r="M6693" s="274" t="s">
        <x:v>8496</x:v>
      </x:c>
      <x:c r="N6693" s="274" t="s">
        <x:v>3671</x:v>
      </x:c>
    </x:row>
    <x:row r="6694" spans="1:14">
      <x:c r="A6694" s="274" t="s">
        <x:v>10957</x:v>
      </x:c>
      <x:c r="B6694" s="274" t="n">
        <x:v>8.68</x:v>
      </x:c>
      <x:c r="C6694" s="274" t="n">
        <x:v>0</x:v>
      </x:c>
      <x:c r="D6694" s="274" t="n">
        <x:v>30</x:v>
      </x:c>
      <x:c r="E6694" s="274" t="n">
        <x:v>30</x:v>
      </x:c>
      <x:c r="F6694" s="274" t="s">
        <x:v>133</x:v>
      </x:c>
      <x:c r="G6694" s="274" t="s">
        <x:v>136</x:v>
      </x:c>
      <x:c r="H6694" s="274" t="n">
        <x:v>45</x:v>
      </x:c>
      <x:c r="I6694" s="274" t="n">
        <x:v>0.65</x:v>
      </x:c>
      <x:c r="J6694" s="274" t="n">
        <x:v>1085</x:v>
      </x:c>
      <x:c r="K6694" s="274" t="n">
        <x:v>1540</x:v>
      </x:c>
      <x:c r="M6694" s="274" t="s">
        <x:v>8498</x:v>
      </x:c>
      <x:c r="N6694" s="274" t="s">
        <x:v>3671</x:v>
      </x:c>
    </x:row>
    <x:row r="6695" spans="1:14">
      <x:c r="A6695" s="274" t="s">
        <x:v>10958</x:v>
      </x:c>
      <x:c r="B6695" s="274" t="n">
        <x:v>8.33</x:v>
      </x:c>
      <x:c r="C6695" s="274" t="n">
        <x:v>0</x:v>
      </x:c>
      <x:c r="D6695" s="274" t="n">
        <x:v>30</x:v>
      </x:c>
      <x:c r="E6695" s="274" t="n">
        <x:v>30</x:v>
      </x:c>
      <x:c r="F6695" s="274" t="s">
        <x:v>133</x:v>
      </x:c>
      <x:c r="G6695" s="274" t="s">
        <x:v>136</x:v>
      </x:c>
      <x:c r="H6695" s="274" t="n">
        <x:v>45</x:v>
      </x:c>
      <x:c r="I6695" s="274" t="n">
        <x:v>0.65</x:v>
      </x:c>
      <x:c r="J6695" s="274" t="n">
        <x:v>1085</x:v>
      </x:c>
      <x:c r="K6695" s="274" t="n">
        <x:v>1478</x:v>
      </x:c>
      <x:c r="M6695" s="274" t="s">
        <x:v>8500</x:v>
      </x:c>
      <x:c r="N6695" s="274" t="s">
        <x:v>3671</x:v>
      </x:c>
    </x:row>
    <x:row r="6696" spans="1:14">
      <x:c r="A6696" s="274" t="s">
        <x:v>10959</x:v>
      </x:c>
      <x:c r="B6696" s="274" t="n">
        <x:v>4.31</x:v>
      </x:c>
      <x:c r="C6696" s="274" t="n">
        <x:v>0</x:v>
      </x:c>
      <x:c r="D6696" s="274" t="n">
        <x:v>40</x:v>
      </x:c>
      <x:c r="E6696" s="274" t="n">
        <x:v>50</x:v>
      </x:c>
      <x:c r="F6696" s="274" t="s">
        <x:v>333</x:v>
      </x:c>
      <x:c r="G6696" s="274" t="s">
        <x:v>209</x:v>
      </x:c>
      <x:c r="I6696" s="274" t="n">
        <x:v>1.2</x:v>
      </x:c>
      <x:c r="J6696" s="274" t="n">
        <x:v>1250</x:v>
      </x:c>
      <x:c r="K6696" s="274" t="n">
        <x:v>366</x:v>
      </x:c>
      <x:c r="M6696" s="274" t="s">
        <x:v>8502</x:v>
      </x:c>
      <x:c r="N6696" s="274" t="s">
        <x:v>3671</x:v>
      </x:c>
    </x:row>
    <x:row r="6697" spans="1:14">
      <x:c r="A6697" s="274" t="s">
        <x:v>10960</x:v>
      </x:c>
      <x:c r="B6697" s="274" t="n">
        <x:v>4.84</x:v>
      </x:c>
      <x:c r="C6697" s="274" t="n">
        <x:v>0</x:v>
      </x:c>
      <x:c r="D6697" s="274" t="n">
        <x:v>40</x:v>
      </x:c>
      <x:c r="E6697" s="274" t="n">
        <x:v>50</x:v>
      </x:c>
      <x:c r="F6697" s="274" t="s">
        <x:v>123</x:v>
      </x:c>
      <x:c r="G6697" s="274" t="s">
        <x:v>129</x:v>
      </x:c>
      <x:c r="H6697" s="274" t="n">
        <x:v>45</x:v>
      </x:c>
      <x:c r="I6697" s="274" t="n">
        <x:v>1.4</x:v>
      </x:c>
      <x:c r="J6697" s="274" t="n">
        <x:v>1040</x:v>
      </x:c>
      <x:c r="K6697" s="274" t="n">
        <x:v>420</x:v>
      </x:c>
      <x:c r="M6697" s="274" t="s">
        <x:v>5958</x:v>
      </x:c>
      <x:c r="N6697" s="274" t="s">
        <x:v>3671</x:v>
      </x:c>
    </x:row>
    <x:row r="6698" spans="1:14">
      <x:c r="A6698" s="274" t="s">
        <x:v>10961</x:v>
      </x:c>
      <x:c r="B6698" s="274" t="n">
        <x:v>4.72</x:v>
      </x:c>
      <x:c r="C6698" s="274" t="n">
        <x:v>0</x:v>
      </x:c>
      <x:c r="D6698" s="274" t="n">
        <x:v>40</x:v>
      </x:c>
      <x:c r="E6698" s="274" t="n">
        <x:v>50</x:v>
      </x:c>
      <x:c r="F6698" s="274" t="s">
        <x:v>123</x:v>
      </x:c>
      <x:c r="G6698" s="274" t="s">
        <x:v>129</x:v>
      </x:c>
      <x:c r="H6698" s="274" t="n">
        <x:v>45</x:v>
      </x:c>
      <x:c r="I6698" s="274" t="n">
        <x:v>1.4</x:v>
      </x:c>
      <x:c r="J6698" s="274" t="n">
        <x:v>1040</x:v>
      </x:c>
      <x:c r="K6698" s="274" t="n">
        <x:v>410</x:v>
      </x:c>
      <x:c r="M6698" s="274" t="s">
        <x:v>6715</x:v>
      </x:c>
      <x:c r="N6698" s="274" t="s">
        <x:v>3671</x:v>
      </x:c>
    </x:row>
    <x:row r="6699" spans="1:14">
      <x:c r="A6699" s="274" t="s">
        <x:v>10962</x:v>
      </x:c>
      <x:c r="B6699" s="274" t="n">
        <x:v>5.42</x:v>
      </x:c>
      <x:c r="C6699" s="274" t="n">
        <x:v>0</x:v>
      </x:c>
      <x:c r="D6699" s="274" t="n">
        <x:v>40</x:v>
      </x:c>
      <x:c r="E6699" s="274" t="n">
        <x:v>50</x:v>
      </x:c>
      <x:c r="F6699" s="274" t="s">
        <x:v>123</x:v>
      </x:c>
      <x:c r="G6699" s="274" t="s">
        <x:v>129</x:v>
      </x:c>
      <x:c r="H6699" s="274" t="n">
        <x:v>45</x:v>
      </x:c>
      <x:c r="I6699" s="274" t="n">
        <x:v>1.4</x:v>
      </x:c>
      <x:c r="J6699" s="274" t="n">
        <x:v>1040</x:v>
      </x:c>
      <x:c r="K6699" s="274" t="n">
        <x:v>470</x:v>
      </x:c>
      <x:c r="M6699" s="274" t="s">
        <x:v>5956</x:v>
      </x:c>
      <x:c r="N6699" s="274" t="s">
        <x:v>3671</x:v>
      </x:c>
    </x:row>
    <x:row r="6700" spans="1:14">
      <x:c r="A6700" s="274" t="s">
        <x:v>10963</x:v>
      </x:c>
      <x:c r="B6700" s="274" t="n">
        <x:v>4.75</x:v>
      </x:c>
      <x:c r="C6700" s="274" t="n">
        <x:v>0</x:v>
      </x:c>
      <x:c r="D6700" s="274" t="n">
        <x:v>40</x:v>
      </x:c>
      <x:c r="E6700" s="274" t="n">
        <x:v>50</x:v>
      </x:c>
      <x:c r="F6700" s="274" t="s">
        <x:v>123</x:v>
      </x:c>
      <x:c r="G6700" s="274" t="s">
        <x:v>129</x:v>
      </x:c>
      <x:c r="H6700" s="274" t="n">
        <x:v>45</x:v>
      </x:c>
      <x:c r="I6700" s="274" t="n">
        <x:v>1.4</x:v>
      </x:c>
      <x:c r="J6700" s="274" t="n">
        <x:v>1040</x:v>
      </x:c>
      <x:c r="K6700" s="274" t="n">
        <x:v>412</x:v>
      </x:c>
      <x:c r="M6700" s="274" t="s">
        <x:v>5968</x:v>
      </x:c>
      <x:c r="N6700" s="274" t="s">
        <x:v>3671</x:v>
      </x:c>
    </x:row>
    <x:row r="6701" spans="1:14">
      <x:c r="A6701" s="274" t="s">
        <x:v>10964</x:v>
      </x:c>
      <x:c r="B6701" s="274" t="n">
        <x:v>10.71</x:v>
      </x:c>
      <x:c r="C6701" s="274" t="n">
        <x:v>0</x:v>
      </x:c>
      <x:c r="D6701" s="274" t="n">
        <x:v>40</x:v>
      </x:c>
      <x:c r="E6701" s="274" t="n">
        <x:v>38</x:v>
      </x:c>
      <x:c r="F6701" s="274" t="s">
        <x:v>123</x:v>
      </x:c>
      <x:c r="G6701" s="274" t="s">
        <x:v>881</x:v>
      </x:c>
      <x:c r="H6701" s="274" t="n">
        <x:v>45</x:v>
      </x:c>
      <x:c r="I6701" s="274" t="n">
        <x:v>1.4</x:v>
      </x:c>
      <x:c r="J6701" s="274" t="n">
        <x:v>1140</x:v>
      </x:c>
      <x:c r="K6701" s="274" t="n">
        <x:v>848</x:v>
      </x:c>
      <x:c r="M6701" s="274" t="s">
        <x:v>5974</x:v>
      </x:c>
      <x:c r="N6701" s="274" t="s">
        <x:v>3671</x:v>
      </x:c>
    </x:row>
    <x:row r="6702" spans="1:14">
      <x:c r="A6702" s="274" t="s">
        <x:v>10965</x:v>
      </x:c>
      <x:c r="B6702" s="274" t="n">
        <x:v>6.88</x:v>
      </x:c>
      <x:c r="C6702" s="274" t="n">
        <x:v>0</x:v>
      </x:c>
      <x:c r="D6702" s="274" t="n">
        <x:v>40</x:v>
      </x:c>
      <x:c r="E6702" s="274" t="n">
        <x:v>50</x:v>
      </x:c>
      <x:c r="F6702" s="274" t="s">
        <x:v>133</x:v>
      </x:c>
      <x:c r="G6702" s="274" t="s">
        <x:v>136</x:v>
      </x:c>
      <x:c r="H6702" s="274" t="n">
        <x:v>45</x:v>
      </x:c>
      <x:c r="I6702" s="274" t="n">
        <x:v>1.4</x:v>
      </x:c>
      <x:c r="J6702" s="274" t="n">
        <x:v>1425</x:v>
      </x:c>
      <x:c r="K6702" s="274" t="n">
        <x:v>436</x:v>
      </x:c>
      <x:c r="M6702" s="274" t="s">
        <x:v>5618</x:v>
      </x:c>
      <x:c r="N6702" s="274" t="s">
        <x:v>3671</x:v>
      </x:c>
    </x:row>
    <x:row r="6703" spans="1:14">
      <x:c r="A6703" s="274" t="s">
        <x:v>10966</x:v>
      </x:c>
      <x:c r="B6703" s="274" t="n">
        <x:v>5.98</x:v>
      </x:c>
      <x:c r="C6703" s="274" t="n">
        <x:v>0</x:v>
      </x:c>
      <x:c r="D6703" s="274" t="n">
        <x:v>40</x:v>
      </x:c>
      <x:c r="E6703" s="274" t="n">
        <x:v>50</x:v>
      </x:c>
      <x:c r="F6703" s="274" t="s">
        <x:v>133</x:v>
      </x:c>
      <x:c r="G6703" s="274" t="s">
        <x:v>136</x:v>
      </x:c>
      <x:c r="H6703" s="274" t="n">
        <x:v>45</x:v>
      </x:c>
      <x:c r="I6703" s="274" t="n">
        <x:v>1.4</x:v>
      </x:c>
      <x:c r="J6703" s="274" t="n">
        <x:v>1425</x:v>
      </x:c>
      <x:c r="K6703" s="274" t="n">
        <x:v>379</x:v>
      </x:c>
      <x:c r="M6703" s="274" t="s">
        <x:v>5398</x:v>
      </x:c>
      <x:c r="N6703" s="274" t="s">
        <x:v>3671</x:v>
      </x:c>
    </x:row>
    <x:row r="6704" spans="1:14">
      <x:c r="A6704" s="274" t="s">
        <x:v>10967</x:v>
      </x:c>
      <x:c r="B6704" s="274" t="n">
        <x:v>7.03</x:v>
      </x:c>
      <x:c r="C6704" s="274" t="n">
        <x:v>0</x:v>
      </x:c>
      <x:c r="D6704" s="274" t="n">
        <x:v>40</x:v>
      </x:c>
      <x:c r="E6704" s="274" t="n">
        <x:v>50</x:v>
      </x:c>
      <x:c r="F6704" s="274" t="s">
        <x:v>133</x:v>
      </x:c>
      <x:c r="G6704" s="274" t="s">
        <x:v>136</x:v>
      </x:c>
      <x:c r="H6704" s="274" t="n">
        <x:v>45</x:v>
      </x:c>
      <x:c r="I6704" s="274" t="n">
        <x:v>1.4</x:v>
      </x:c>
      <x:c r="J6704" s="274" t="n">
        <x:v>1425</x:v>
      </x:c>
      <x:c r="K6704" s="274" t="n">
        <x:v>445</x:v>
      </x:c>
      <x:c r="M6704" s="274" t="s">
        <x:v>6670</x:v>
      </x:c>
      <x:c r="N6704" s="274" t="s">
        <x:v>3671</x:v>
      </x:c>
    </x:row>
    <x:row r="6705" spans="1:14">
      <x:c r="A6705" s="274" t="s">
        <x:v>10968</x:v>
      </x:c>
      <x:c r="B6705" s="274" t="n">
        <x:v>5.62</x:v>
      </x:c>
      <x:c r="C6705" s="274" t="n">
        <x:v>0</x:v>
      </x:c>
      <x:c r="D6705" s="274" t="n">
        <x:v>40</x:v>
      </x:c>
      <x:c r="E6705" s="274" t="n">
        <x:v>50</x:v>
      </x:c>
      <x:c r="F6705" s="274" t="s">
        <x:v>133</x:v>
      </x:c>
      <x:c r="G6705" s="274" t="s">
        <x:v>136</x:v>
      </x:c>
      <x:c r="H6705" s="274" t="n">
        <x:v>45</x:v>
      </x:c>
      <x:c r="I6705" s="274" t="n">
        <x:v>1.4</x:v>
      </x:c>
      <x:c r="J6705" s="274" t="n">
        <x:v>1425</x:v>
      </x:c>
      <x:c r="K6705" s="274" t="n">
        <x:v>356</x:v>
      </x:c>
      <x:c r="M6705" s="274" t="s">
        <x:v>6668</x:v>
      </x:c>
      <x:c r="N6705" s="274" t="s">
        <x:v>3671</x:v>
      </x:c>
    </x:row>
    <x:row r="6706" spans="1:14">
      <x:c r="A6706" s="274" t="s">
        <x:v>10969</x:v>
      </x:c>
      <x:c r="B6706" s="274" t="n">
        <x:v>6.36</x:v>
      </x:c>
      <x:c r="C6706" s="274" t="n">
        <x:v>0</x:v>
      </x:c>
      <x:c r="D6706" s="274" t="n">
        <x:v>0</x:v>
      </x:c>
      <x:c r="E6706" s="274" t="n">
        <x:v>0</x:v>
      </x:c>
      <x:c r="F6706" s="274" t="s">
        <x:v>184</x:v>
      </x:c>
      <x:c r="G6706" s="274" t="s">
        <x:v>3413</x:v>
      </x:c>
      <x:c r="H6706" s="274" t="n">
        <x:v>45</x:v>
      </x:c>
      <x:c r="I6706" s="274" t="n">
        <x:v>1.4</x:v>
      </x:c>
      <x:c r="J6706" s="274" t="n">
        <x:v>1110</x:v>
      </x:c>
      <x:c r="K6706" s="274" t="n">
        <x:v>517</x:v>
      </x:c>
      <x:c r="M6706" s="274" t="s">
        <x:v>6320</x:v>
      </x:c>
      <x:c r="N6706" s="274" t="s">
        <x:v>3671</x:v>
      </x:c>
    </x:row>
    <x:row r="6707" spans="1:14">
      <x:c r="A6707" s="274" t="s">
        <x:v>10970</x:v>
      </x:c>
      <x:c r="B6707" s="274" t="n">
        <x:v>4.3</x:v>
      </x:c>
      <x:c r="C6707" s="274" t="n">
        <x:v>0</x:v>
      </x:c>
      <x:c r="D6707" s="274" t="n">
        <x:v>0</x:v>
      </x:c>
      <x:c r="F6707" s="274" t="s">
        <x:v>184</x:v>
      </x:c>
      <x:c r="G6707" s="274" t="s">
        <x:v>3413</x:v>
      </x:c>
      <x:c r="H6707" s="274" t="n">
        <x:v>45</x:v>
      </x:c>
      <x:c r="I6707" s="274" t="n">
        <x:v>1.4</x:v>
      </x:c>
      <x:c r="J6707" s="274" t="n">
        <x:v>1110</x:v>
      </x:c>
      <x:c r="K6707" s="274" t="n">
        <x:v>350</x:v>
      </x:c>
      <x:c r="M6707" s="274" t="s">
        <x:v>6320</x:v>
      </x:c>
      <x:c r="N6707" s="274" t="s">
        <x:v>3671</x:v>
      </x:c>
    </x:row>
    <x:row r="6708" spans="1:14">
      <x:c r="A6708" s="274" t="s">
        <x:v>10971</x:v>
      </x:c>
      <x:c r="B6708" s="274" t="n">
        <x:v>5.02</x:v>
      </x:c>
      <x:c r="C6708" s="274" t="n">
        <x:v>0</x:v>
      </x:c>
      <x:c r="D6708" s="274" t="n">
        <x:v>40</x:v>
      </x:c>
      <x:c r="E6708" s="274" t="n">
        <x:v>50</x:v>
      </x:c>
      <x:c r="F6708" s="274" t="s">
        <x:v>123</x:v>
      </x:c>
      <x:c r="G6708" s="274" t="s">
        <x:v>881</x:v>
      </x:c>
      <x:c r="H6708" s="274" t="n">
        <x:v>45</x:v>
      </x:c>
      <x:c r="I6708" s="274" t="n">
        <x:v>1.2</x:v>
      </x:c>
      <x:c r="J6708" s="274" t="n">
        <x:v>1100</x:v>
      </x:c>
      <x:c r="K6708" s="274" t="n">
        <x:v>480</x:v>
      </x:c>
      <x:c r="M6708" s="274" t="s">
        <x:v>8043</x:v>
      </x:c>
      <x:c r="N6708" s="274" t="s">
        <x:v>3671</x:v>
      </x:c>
    </x:row>
    <x:row r="6709" spans="1:14">
      <x:c r="A6709" s="274" t="s">
        <x:v>10972</x:v>
      </x:c>
      <x:c r="B6709" s="274" t="n">
        <x:v>3.93</x:v>
      </x:c>
      <x:c r="C6709" s="274" t="n">
        <x:v>0</x:v>
      </x:c>
      <x:c r="D6709" s="274" t="n">
        <x:v>40</x:v>
      </x:c>
      <x:c r="E6709" s="274" t="n">
        <x:v>50</x:v>
      </x:c>
      <x:c r="F6709" s="274" t="s">
        <x:v>133</x:v>
      </x:c>
      <x:c r="G6709" s="274" t="s">
        <x:v>144</x:v>
      </x:c>
      <x:c r="H6709" s="274" t="n">
        <x:v>45</x:v>
      </x:c>
      <x:c r="I6709" s="274" t="n">
        <x:v>1.2</x:v>
      </x:c>
      <x:c r="J6709" s="274" t="n">
        <x:v>1110</x:v>
      </x:c>
      <x:c r="K6709" s="274" t="n">
        <x:v>372</x:v>
      </x:c>
      <x:c r="M6709" s="274" t="s">
        <x:v>4857</x:v>
      </x:c>
      <x:c r="N6709" s="274" t="s">
        <x:v>3671</x:v>
      </x:c>
    </x:row>
    <x:row r="6710" spans="1:14">
      <x:c r="A6710" s="274" t="s">
        <x:v>10973</x:v>
      </x:c>
      <x:c r="B6710" s="274" t="n">
        <x:v>5.49</x:v>
      </x:c>
      <x:c r="C6710" s="274" t="n">
        <x:v>0</x:v>
      </x:c>
      <x:c r="D6710" s="274" t="n">
        <x:v>40</x:v>
      </x:c>
      <x:c r="E6710" s="274" t="n">
        <x:v>42</x:v>
      </x:c>
      <x:c r="F6710" s="274" t="s">
        <x:v>133</x:v>
      </x:c>
      <x:c r="G6710" s="274" t="s">
        <x:v>144</x:v>
      </x:c>
      <x:c r="H6710" s="274" t="n">
        <x:v>45</x:v>
      </x:c>
      <x:c r="I6710" s="274" t="n">
        <x:v>1.2</x:v>
      </x:c>
      <x:c r="J6710" s="274" t="n">
        <x:v>1110</x:v>
      </x:c>
      <x:c r="K6710" s="274" t="n">
        <x:v>520</x:v>
      </x:c>
      <x:c r="M6710" s="274" t="s">
        <x:v>4849</x:v>
      </x:c>
      <x:c r="N6710" s="274" t="s">
        <x:v>3671</x:v>
      </x:c>
    </x:row>
    <x:row r="6711" spans="1:14">
      <x:c r="A6711" s="274" t="s">
        <x:v>10974</x:v>
      </x:c>
      <x:c r="B6711" s="274" t="n">
        <x:v>4.7</x:v>
      </x:c>
      <x:c r="C6711" s="274" t="n">
        <x:v>0</x:v>
      </x:c>
      <x:c r="D6711" s="274" t="n">
        <x:v>40</x:v>
      </x:c>
      <x:c r="E6711" s="274" t="n">
        <x:v>50</x:v>
      </x:c>
      <x:c r="F6711" s="274" t="s">
        <x:v>133</x:v>
      </x:c>
      <x:c r="G6711" s="274" t="s">
        <x:v>144</x:v>
      </x:c>
      <x:c r="H6711" s="274" t="n">
        <x:v>45</x:v>
      </x:c>
      <x:c r="I6711" s="274" t="n">
        <x:v>1.2</x:v>
      </x:c>
      <x:c r="J6711" s="274" t="n">
        <x:v>1110</x:v>
      </x:c>
      <x:c r="K6711" s="274" t="n">
        <x:v>445</x:v>
      </x:c>
      <x:c r="M6711" s="274" t="s">
        <x:v>8523</x:v>
      </x:c>
      <x:c r="N6711" s="274" t="s">
        <x:v>3671</x:v>
      </x:c>
    </x:row>
    <x:row r="6712" spans="1:14">
      <x:c r="A6712" s="274" t="s">
        <x:v>10975</x:v>
      </x:c>
      <x:c r="B6712" s="274" t="n">
        <x:v>9.95</x:v>
      </x:c>
      <x:c r="C6712" s="274" t="n">
        <x:v>0</x:v>
      </x:c>
      <x:c r="D6712" s="274" t="n">
        <x:v>37</x:v>
      </x:c>
      <x:c r="E6712" s="274" t="n">
        <x:v>36</x:v>
      </x:c>
      <x:c r="F6712" s="274" t="s">
        <x:v>133</x:v>
      </x:c>
      <x:c r="G6712" s="274" t="s">
        <x:v>136</x:v>
      </x:c>
      <x:c r="H6712" s="274" t="n">
        <x:v>45</x:v>
      </x:c>
      <x:c r="I6712" s="274" t="n">
        <x:v>1.2</x:v>
      </x:c>
      <x:c r="J6712" s="274" t="n">
        <x:v>1150</x:v>
      </x:c>
      <x:c r="K6712" s="274" t="n">
        <x:v>910</x:v>
      </x:c>
      <x:c r="M6712" s="274" t="s">
        <x:v>4847</x:v>
      </x:c>
      <x:c r="N6712" s="274" t="s">
        <x:v>3671</x:v>
      </x:c>
    </x:row>
    <x:row r="6713" spans="1:14">
      <x:c r="A6713" s="274" t="s">
        <x:v>10976</x:v>
      </x:c>
      <x:c r="B6713" s="274" t="n">
        <x:v>7.27</x:v>
      </x:c>
      <x:c r="C6713" s="274" t="n">
        <x:v>0</x:v>
      </x:c>
      <x:c r="D6713" s="274" t="n">
        <x:v>40</x:v>
      </x:c>
      <x:c r="E6713" s="274" t="n">
        <x:v>42</x:v>
      </x:c>
      <x:c r="F6713" s="274" t="s">
        <x:v>333</x:v>
      </x:c>
      <x:c r="G6713" s="274" t="s">
        <x:v>209</x:v>
      </x:c>
      <x:c r="I6713" s="274" t="n">
        <x:v>1.2</x:v>
      </x:c>
      <x:c r="J6713" s="274" t="n">
        <x:v>1170</x:v>
      </x:c>
      <x:c r="K6713" s="274" t="n">
        <x:v>660</x:v>
      </x:c>
      <x:c r="M6713" s="274" t="s">
        <x:v>10977</x:v>
      </x:c>
      <x:c r="N6713" s="274" t="s">
        <x:v>3671</x:v>
      </x:c>
    </x:row>
    <x:row r="6714" spans="1:14">
      <x:c r="A6714" s="274" t="s">
        <x:v>10978</x:v>
      </x:c>
      <x:c r="B6714" s="274" t="n">
        <x:v>2.56</x:v>
      </x:c>
      <x:c r="C6714" s="274" t="n">
        <x:v>0</x:v>
      </x:c>
      <x:c r="D6714" s="274" t="n">
        <x:v>30</x:v>
      </x:c>
      <x:c r="E6714" s="274" t="n">
        <x:v>30</x:v>
      </x:c>
      <x:c r="F6714" s="274" t="s">
        <x:v>123</x:v>
      </x:c>
      <x:c r="G6714" s="274" t="s">
        <x:v>129</x:v>
      </x:c>
      <x:c r="H6714" s="274" t="n">
        <x:v>45</x:v>
      </x:c>
      <x:c r="I6714" s="274" t="n">
        <x:v>0.65</x:v>
      </x:c>
      <x:c r="J6714" s="274" t="n">
        <x:v>1496</x:v>
      </x:c>
      <x:c r="K6714" s="274" t="n">
        <x:v>330</x:v>
      </x:c>
      <x:c r="M6714" s="274" t="s">
        <x:v>5939</x:v>
      </x:c>
      <x:c r="N6714" s="274" t="s">
        <x:v>3671</x:v>
      </x:c>
    </x:row>
    <x:row r="6715" spans="1:14">
      <x:c r="A6715" s="274" t="s">
        <x:v>10979</x:v>
      </x:c>
      <x:c r="B6715" s="274" t="n">
        <x:v>4.07</x:v>
      </x:c>
      <x:c r="C6715" s="274" t="n">
        <x:v>0</x:v>
      </x:c>
      <x:c r="D6715" s="274" t="n">
        <x:v>40</x:v>
      </x:c>
      <x:c r="E6715" s="274" t="n">
        <x:v>50</x:v>
      </x:c>
      <x:c r="F6715" s="274" t="s">
        <x:v>128</x:v>
      </x:c>
      <x:c r="G6715" s="274" t="s">
        <x:v>334</x:v>
      </x:c>
      <x:c r="I6715" s="274" t="n">
        <x:v>1.2</x:v>
      </x:c>
      <x:c r="J6715" s="274" t="n">
        <x:v>1270</x:v>
      </x:c>
      <x:c r="K6715" s="274" t="n">
        <x:v>340</x:v>
      </x:c>
      <x:c r="M6715" s="274" t="s">
        <x:v>8531</x:v>
      </x:c>
      <x:c r="N6715" s="274" t="s">
        <x:v>3671</x:v>
      </x:c>
    </x:row>
    <x:row r="6716" spans="1:14">
      <x:c r="A6716" s="274" t="s">
        <x:v>10980</x:v>
      </x:c>
      <x:c r="B6716" s="274" t="n">
        <x:v>5.22</x:v>
      </x:c>
      <x:c r="C6716" s="274" t="n">
        <x:v>0</x:v>
      </x:c>
      <x:c r="D6716" s="274" t="n">
        <x:v>40</x:v>
      </x:c>
      <x:c r="E6716" s="274" t="n">
        <x:v>50</x:v>
      </x:c>
      <x:c r="F6716" s="274" t="s">
        <x:v>333</x:v>
      </x:c>
      <x:c r="G6716" s="274" t="s">
        <x:v>334</x:v>
      </x:c>
      <x:c r="I6716" s="274" t="n">
        <x:v>1.4</x:v>
      </x:c>
      <x:c r="J6716" s="274" t="n">
        <x:v>864</x:v>
      </x:c>
      <x:c r="K6716" s="274" t="n">
        <x:v>550</x:v>
      </x:c>
      <x:c r="M6716" s="274" t="s">
        <x:v>8211</x:v>
      </x:c>
      <x:c r="N6716" s="274" t="s">
        <x:v>3671</x:v>
      </x:c>
    </x:row>
    <x:row r="6717" spans="1:14">
      <x:c r="A6717" s="274" t="s">
        <x:v>10981</x:v>
      </x:c>
      <x:c r="B6717" s="274" t="n">
        <x:v>3.28</x:v>
      </x:c>
      <x:c r="C6717" s="274" t="n">
        <x:v>0</x:v>
      </x:c>
      <x:c r="D6717" s="274" t="n">
        <x:v>40</x:v>
      </x:c>
      <x:c r="E6717" s="274" t="n">
        <x:v>50</x:v>
      </x:c>
      <x:c r="F6717" s="274" t="s">
        <x:v>333</x:v>
      </x:c>
      <x:c r="G6717" s="274" t="s">
        <x:v>334</x:v>
      </x:c>
      <x:c r="I6717" s="274" t="n">
        <x:v>1.4</x:v>
      </x:c>
      <x:c r="J6717" s="274" t="n">
        <x:v>864</x:v>
      </x:c>
      <x:c r="K6717" s="274" t="n">
        <x:v>346</x:v>
      </x:c>
      <x:c r="M6717" s="274" t="s">
        <x:v>4339</x:v>
      </x:c>
      <x:c r="N6717" s="274" t="s">
        <x:v>3671</x:v>
      </x:c>
    </x:row>
    <x:row r="6718" spans="1:14">
      <x:c r="A6718" s="274" t="s">
        <x:v>10982</x:v>
      </x:c>
      <x:c r="B6718" s="274" t="n">
        <x:v>3.14</x:v>
      </x:c>
      <x:c r="C6718" s="274" t="n">
        <x:v>0</x:v>
      </x:c>
      <x:c r="D6718" s="274" t="n">
        <x:v>40</x:v>
      </x:c>
      <x:c r="E6718" s="274" t="n">
        <x:v>50</x:v>
      </x:c>
      <x:c r="F6718" s="274" t="s">
        <x:v>133</x:v>
      </x:c>
      <x:c r="G6718" s="274" t="s">
        <x:v>144</x:v>
      </x:c>
      <x:c r="H6718" s="274" t="n">
        <x:v>45</x:v>
      </x:c>
      <x:c r="I6718" s="274" t="n">
        <x:v>1.4</x:v>
      </x:c>
      <x:c r="J6718" s="274" t="n">
        <x:v>890</x:v>
      </x:c>
      <x:c r="K6718" s="274" t="n">
        <x:v>318</x:v>
      </x:c>
      <x:c r="M6718" s="274" t="s">
        <x:v>5396</x:v>
      </x:c>
      <x:c r="N6718" s="274" t="s">
        <x:v>3671</x:v>
      </x:c>
    </x:row>
    <x:row r="6719" spans="1:14">
      <x:c r="A6719" s="274" t="s">
        <x:v>10983</x:v>
      </x:c>
      <x:c r="B6719" s="274" t="n">
        <x:v>5.86</x:v>
      </x:c>
      <x:c r="C6719" s="274" t="n">
        <x:v>0</x:v>
      </x:c>
      <x:c r="D6719" s="274" t="n">
        <x:v>40</x:v>
      </x:c>
      <x:c r="E6719" s="274" t="n">
        <x:v>50</x:v>
      </x:c>
      <x:c r="F6719" s="274" t="s">
        <x:v>333</x:v>
      </x:c>
      <x:c r="G6719" s="274" t="s">
        <x:v>124</x:v>
      </x:c>
      <x:c r="I6719" s="274" t="n">
        <x:v>1.4</x:v>
      </x:c>
      <x:c r="J6719" s="274" t="n">
        <x:v>1135</x:v>
      </x:c>
      <x:c r="K6719" s="274" t="n">
        <x:v>470</x:v>
      </x:c>
      <x:c r="M6719" s="274" t="s">
        <x:v>5400</x:v>
      </x:c>
      <x:c r="N6719" s="274" t="s">
        <x:v>3671</x:v>
      </x:c>
    </x:row>
    <x:row r="6720" spans="1:14">
      <x:c r="A6720" s="274" t="s">
        <x:v>10984</x:v>
      </x:c>
      <x:c r="B6720" s="274" t="n">
        <x:v>15.16</x:v>
      </x:c>
      <x:c r="C6720" s="274" t="n">
        <x:v>0</x:v>
      </x:c>
      <x:c r="D6720" s="274" t="n">
        <x:v>37</x:v>
      </x:c>
      <x:c r="E6720" s="274" t="n">
        <x:v>35</x:v>
      </x:c>
      <x:c r="F6720" s="274" t="s">
        <x:v>133</x:v>
      </x:c>
      <x:c r="G6720" s="274" t="s">
        <x:v>136</x:v>
      </x:c>
      <x:c r="H6720" s="274" t="n">
        <x:v>45</x:v>
      </x:c>
      <x:c r="I6720" s="274" t="n">
        <x:v>1.4</x:v>
      </x:c>
      <x:c r="J6720" s="274" t="n">
        <x:v>1425</x:v>
      </x:c>
      <x:c r="K6720" s="274" t="n">
        <x:v>960</x:v>
      </x:c>
      <x:c r="M6720" s="274" t="s">
        <x:v>5394</x:v>
      </x:c>
      <x:c r="N6720" s="274" t="s">
        <x:v>3671</x:v>
      </x:c>
    </x:row>
    <x:row r="6721" spans="1:14">
      <x:c r="A6721" s="274" t="s">
        <x:v>10985</x:v>
      </x:c>
      <x:c r="B6721" s="274" t="n">
        <x:v>4.57</x:v>
      </x:c>
      <x:c r="C6721" s="274" t="n">
        <x:v>0</x:v>
      </x:c>
      <x:c r="D6721" s="274" t="n">
        <x:v>40</x:v>
      </x:c>
      <x:c r="E6721" s="274" t="n">
        <x:v>50</x:v>
      </x:c>
      <x:c r="F6721" s="274" t="s">
        <x:v>333</x:v>
      </x:c>
      <x:c r="G6721" s="274" t="s">
        <x:v>334</x:v>
      </x:c>
      <x:c r="I6721" s="274" t="n">
        <x:v>1.6</x:v>
      </x:c>
      <x:c r="J6721" s="274" t="n">
        <x:v>910</x:v>
      </x:c>
      <x:c r="K6721" s="274" t="n">
        <x:v>400</x:v>
      </x:c>
      <x:c r="M6721" s="274" t="s">
        <x:v>8540</x:v>
      </x:c>
      <x:c r="N6721" s="274" t="s">
        <x:v>3671</x:v>
      </x:c>
    </x:row>
    <x:row r="6722" spans="1:14">
      <x:c r="A6722" s="274" t="s">
        <x:v>10986</x:v>
      </x:c>
      <x:c r="B6722" s="274" t="n">
        <x:v>5.07</x:v>
      </x:c>
      <x:c r="C6722" s="274" t="n">
        <x:v>0</x:v>
      </x:c>
      <x:c r="D6722" s="274" t="n">
        <x:v>40</x:v>
      </x:c>
      <x:c r="E6722" s="274" t="n">
        <x:v>50</x:v>
      </x:c>
      <x:c r="F6722" s="274" t="s">
        <x:v>133</x:v>
      </x:c>
      <x:c r="G6722" s="274" t="s">
        <x:v>144</x:v>
      </x:c>
      <x:c r="H6722" s="274" t="n">
        <x:v>45</x:v>
      </x:c>
      <x:c r="I6722" s="274" t="n">
        <x:v>1.6</x:v>
      </x:c>
      <x:c r="J6722" s="274" t="n">
        <x:v>920</x:v>
      </x:c>
      <x:c r="K6722" s="274" t="n">
        <x:v>436</x:v>
      </x:c>
      <x:c r="M6722" s="274" t="s">
        <x:v>5419</x:v>
      </x:c>
      <x:c r="N6722" s="274" t="s">
        <x:v>3671</x:v>
      </x:c>
    </x:row>
    <x:row r="6723" spans="1:14">
      <x:c r="A6723" s="274" t="s">
        <x:v>10987</x:v>
      </x:c>
      <x:c r="B6723" s="274" t="n">
        <x:v>20.03</x:v>
      </x:c>
      <x:c r="C6723" s="274" t="n">
        <x:v>0</x:v>
      </x:c>
      <x:c r="D6723" s="274" t="n">
        <x:v>35</x:v>
      </x:c>
      <x:c r="E6723" s="274" t="n">
        <x:v>30</x:v>
      </x:c>
      <x:c r="F6723" s="274" t="s">
        <x:v>333</x:v>
      </x:c>
      <x:c r="G6723" s="274" t="s">
        <x:v>124</x:v>
      </x:c>
      <x:c r="I6723" s="274" t="n">
        <x:v>2</x:v>
      </x:c>
      <x:c r="J6723" s="274" t="n">
        <x:v>1055</x:v>
      </x:c>
      <x:c r="K6723" s="274" t="n">
        <x:v>1210</x:v>
      </x:c>
      <x:c r="M6723" s="274" t="s">
        <x:v>301</x:v>
      </x:c>
      <x:c r="N6723" s="274" t="s">
        <x:v>299</x:v>
      </x:c>
    </x:row>
    <x:row r="6724" spans="1:14">
      <x:c r="A6724" s="274" t="s">
        <x:v>10988</x:v>
      </x:c>
      <x:c r="B6724" s="274" t="n">
        <x:v>4.91</x:v>
      </x:c>
      <x:c r="C6724" s="274" t="n">
        <x:v>0</x:v>
      </x:c>
      <x:c r="D6724" s="274" t="n">
        <x:v>30</x:v>
      </x:c>
      <x:c r="E6724" s="274" t="n">
        <x:v>30</x:v>
      </x:c>
      <x:c r="F6724" s="274" t="s">
        <x:v>333</x:v>
      </x:c>
      <x:c r="G6724" s="274" t="s">
        <x:v>209</x:v>
      </x:c>
      <x:c r="I6724" s="274" t="n">
        <x:v>0.7</x:v>
      </x:c>
      <x:c r="J6724" s="274" t="n">
        <x:v>1160</x:v>
      </x:c>
      <x:c r="K6724" s="274" t="n">
        <x:v>770</x:v>
      </x:c>
      <x:c r="M6724" s="274" t="s">
        <x:v>5937</x:v>
      </x:c>
    </x:row>
    <x:row r="6725" spans="1:14">
      <x:c r="A6725" s="274" t="s">
        <x:v>10989</x:v>
      </x:c>
      <x:c r="B6725" s="274" t="n">
        <x:v>2.91</x:v>
      </x:c>
      <x:c r="C6725" s="274" t="n">
        <x:v>0</x:v>
      </x:c>
      <x:c r="D6725" s="274" t="n">
        <x:v>30</x:v>
      </x:c>
      <x:c r="E6725" s="274" t="n">
        <x:v>30</x:v>
      </x:c>
      <x:c r="F6725" s="274" t="s">
        <x:v>333</x:v>
      </x:c>
      <x:c r="G6725" s="274" t="s">
        <x:v>153</x:v>
      </x:c>
      <x:c r="I6725" s="274" t="n">
        <x:v>0.7</x:v>
      </x:c>
      <x:c r="J6725" s="274" t="n">
        <x:v>1200</x:v>
      </x:c>
      <x:c r="K6725" s="274" t="n">
        <x:v>442</x:v>
      </x:c>
      <x:c r="M6725" s="274" t="s">
        <x:v>5494</x:v>
      </x:c>
    </x:row>
    <x:row r="6726" spans="1:14">
      <x:c r="A6726" s="274" t="s">
        <x:v>10990</x:v>
      </x:c>
      <x:c r="B6726" s="274" t="n">
        <x:v>2.21</x:v>
      </x:c>
      <x:c r="C6726" s="274" t="n">
        <x:v>0</x:v>
      </x:c>
      <x:c r="D6726" s="274" t="n">
        <x:v>30</x:v>
      </x:c>
      <x:c r="E6726" s="274" t="n">
        <x:v>30</x:v>
      </x:c>
      <x:c r="F6726" s="274" t="s">
        <x:v>133</x:v>
      </x:c>
      <x:c r="G6726" s="274" t="s">
        <x:v>136</x:v>
      </x:c>
      <x:c r="H6726" s="274" t="n">
        <x:v>45</x:v>
      </x:c>
      <x:c r="I6726" s="274" t="n">
        <x:v>0.75</x:v>
      </x:c>
      <x:c r="J6726" s="274" t="n">
        <x:v>935</x:v>
      </x:c>
      <x:c r="K6726" s="274" t="n">
        <x:v>395</x:v>
      </x:c>
      <x:c r="M6726" s="274" t="s">
        <x:v>8549</x:v>
      </x:c>
      <x:c r="N6726" s="274" t="s">
        <x:v>3671</x:v>
      </x:c>
    </x:row>
    <x:row r="6727" spans="1:14">
      <x:c r="A6727" s="274" t="s">
        <x:v>10991</x:v>
      </x:c>
      <x:c r="B6727" s="274" t="n">
        <x:v>2.3</x:v>
      </x:c>
      <x:c r="C6727" s="274" t="n">
        <x:v>0</x:v>
      </x:c>
      <x:c r="D6727" s="274" t="n">
        <x:v>30</x:v>
      </x:c>
      <x:c r="E6727" s="274" t="n">
        <x:v>30</x:v>
      </x:c>
      <x:c r="F6727" s="274" t="s">
        <x:v>133</x:v>
      </x:c>
      <x:c r="G6727" s="274" t="s">
        <x:v>136</x:v>
      </x:c>
      <x:c r="H6727" s="274" t="n">
        <x:v>45</x:v>
      </x:c>
      <x:c r="I6727" s="274" t="n">
        <x:v>0.75</x:v>
      </x:c>
      <x:c r="J6727" s="274" t="n">
        <x:v>935</x:v>
      </x:c>
      <x:c r="K6727" s="274" t="n">
        <x:v>412</x:v>
      </x:c>
      <x:c r="M6727" s="274" t="s">
        <x:v>5517</x:v>
      </x:c>
      <x:c r="N6727" s="274" t="s">
        <x:v>3671</x:v>
      </x:c>
    </x:row>
    <x:row r="6728" spans="1:14">
      <x:c r="A6728" s="274" t="s">
        <x:v>10992</x:v>
      </x:c>
      <x:c r="B6728" s="274" t="n">
        <x:v>2.95</x:v>
      </x:c>
      <x:c r="C6728" s="274" t="n">
        <x:v>0</x:v>
      </x:c>
      <x:c r="D6728" s="274" t="n">
        <x:v>30</x:v>
      </x:c>
      <x:c r="E6728" s="274" t="n">
        <x:v>30</x:v>
      </x:c>
      <x:c r="F6728" s="274" t="s">
        <x:v>133</x:v>
      </x:c>
      <x:c r="G6728" s="274" t="s">
        <x:v>136</x:v>
      </x:c>
      <x:c r="H6728" s="274" t="n">
        <x:v>45</x:v>
      </x:c>
      <x:c r="I6728" s="274" t="n">
        <x:v>0.75</x:v>
      </x:c>
      <x:c r="J6728" s="274" t="n">
        <x:v>1040</x:v>
      </x:c>
      <x:c r="K6728" s="274" t="n">
        <x:v>474</x:v>
      </x:c>
      <x:c r="M6728" s="274" t="s">
        <x:v>5511</x:v>
      </x:c>
      <x:c r="N6728" s="274" t="s">
        <x:v>3671</x:v>
      </x:c>
    </x:row>
    <x:row r="6729" spans="1:14">
      <x:c r="A6729" s="274" t="s">
        <x:v>10993</x:v>
      </x:c>
      <x:c r="B6729" s="274" t="n">
        <x:v>3.08</x:v>
      </x:c>
      <x:c r="C6729" s="274" t="n">
        <x:v>0</x:v>
      </x:c>
      <x:c r="D6729" s="274" t="n">
        <x:v>30</x:v>
      </x:c>
      <x:c r="E6729" s="274" t="n">
        <x:v>30</x:v>
      </x:c>
      <x:c r="F6729" s="274" t="s">
        <x:v>133</x:v>
      </x:c>
      <x:c r="G6729" s="274" t="s">
        <x:v>136</x:v>
      </x:c>
      <x:c r="H6729" s="274" t="n">
        <x:v>45</x:v>
      </x:c>
      <x:c r="I6729" s="274" t="n">
        <x:v>0.75</x:v>
      </x:c>
      <x:c r="J6729" s="274" t="n">
        <x:v>1040</x:v>
      </x:c>
      <x:c r="K6729" s="274" t="n">
        <x:v>495</x:v>
      </x:c>
      <x:c r="M6729" s="274" t="s">
        <x:v>5513</x:v>
      </x:c>
      <x:c r="N6729" s="274" t="s">
        <x:v>3671</x:v>
      </x:c>
    </x:row>
    <x:row r="6730" spans="1:14">
      <x:c r="A6730" s="274" t="s">
        <x:v>10994</x:v>
      </x:c>
      <x:c r="B6730" s="274" t="n">
        <x:v>2.25</x:v>
      </x:c>
      <x:c r="C6730" s="274" t="n">
        <x:v>0</x:v>
      </x:c>
      <x:c r="D6730" s="274" t="n">
        <x:v>32</x:v>
      </x:c>
      <x:c r="E6730" s="274" t="n">
        <x:v>32</x:v>
      </x:c>
      <x:c r="F6730" s="274" t="s">
        <x:v>133</x:v>
      </x:c>
      <x:c r="G6730" s="274" t="s">
        <x:v>136</x:v>
      </x:c>
      <x:c r="H6730" s="274" t="n">
        <x:v>45</x:v>
      </x:c>
      <x:c r="I6730" s="274" t="n">
        <x:v>0.8</x:v>
      </x:c>
      <x:c r="J6730" s="274" t="n">
        <x:v>1010</x:v>
      </x:c>
      <x:c r="K6730" s="274" t="n">
        <x:v>349</x:v>
      </x:c>
      <x:c r="M6730" s="274" t="s">
        <x:v>5582</x:v>
      </x:c>
      <x:c r="N6730" s="274" t="s">
        <x:v>3671</x:v>
      </x:c>
    </x:row>
    <x:row r="6731" spans="1:14">
      <x:c r="A6731" s="274" t="s">
        <x:v>10995</x:v>
      </x:c>
      <x:c r="B6731" s="274" t="n">
        <x:v>4.8</x:v>
      </x:c>
      <x:c r="C6731" s="274" t="n">
        <x:v>0</x:v>
      </x:c>
      <x:c r="D6731" s="274" t="n">
        <x:v>32</x:v>
      </x:c>
      <x:c r="E6731" s="274" t="n">
        <x:v>32</x:v>
      </x:c>
      <x:c r="F6731" s="274" t="s">
        <x:v>333</x:v>
      </x:c>
      <x:c r="G6731" s="274" t="s">
        <x:v>124</x:v>
      </x:c>
      <x:c r="I6731" s="274" t="n">
        <x:v>0.8</x:v>
      </x:c>
      <x:c r="J6731" s="274" t="n">
        <x:v>1275</x:v>
      </x:c>
      <x:c r="K6731" s="274" t="n">
        <x:v>600</x:v>
      </x:c>
      <x:c r="M6731" s="274" t="s">
        <x:v>4985</x:v>
      </x:c>
      <x:c r="N6731" s="274" t="s">
        <x:v>3671</x:v>
      </x:c>
    </x:row>
    <x:row r="6732" spans="1:14">
      <x:c r="A6732" s="274" t="s">
        <x:v>10996</x:v>
      </x:c>
      <x:c r="B6732" s="274" t="n">
        <x:v>2.52</x:v>
      </x:c>
      <x:c r="C6732" s="274" t="n">
        <x:v>0</x:v>
      </x:c>
      <x:c r="D6732" s="274" t="n">
        <x:v>32</x:v>
      </x:c>
      <x:c r="E6732" s="274" t="n">
        <x:v>32</x:v>
      </x:c>
      <x:c r="F6732" s="274" t="s">
        <x:v>333</x:v>
      </x:c>
      <x:c r="G6732" s="274" t="s">
        <x:v>124</x:v>
      </x:c>
      <x:c r="I6732" s="274" t="n">
        <x:v>0.8</x:v>
      </x:c>
      <x:c r="J6732" s="274" t="n">
        <x:v>1275</x:v>
      </x:c>
      <x:c r="K6732" s="274" t="n">
        <x:v>315</x:v>
      </x:c>
      <x:c r="M6732" s="274" t="s">
        <x:v>4987</x:v>
      </x:c>
      <x:c r="N6732" s="274" t="s">
        <x:v>3671</x:v>
      </x:c>
    </x:row>
    <x:row r="6733" spans="1:14">
      <x:c r="A6733" s="274" t="s">
        <x:v>10997</x:v>
      </x:c>
      <x:c r="B6733" s="274" t="n">
        <x:v>2</x:v>
      </x:c>
      <x:c r="C6733" s="274" t="n">
        <x:v>0</x:v>
      </x:c>
      <x:c r="D6733" s="274" t="n">
        <x:v>0</x:v>
      </x:c>
      <x:c r="F6733" s="274" t="s">
        <x:v>133</x:v>
      </x:c>
      <x:c r="G6733" s="274" t="s">
        <x:v>136</x:v>
      </x:c>
      <x:c r="H6733" s="274" t="n">
        <x:v>45</x:v>
      </x:c>
      <x:c r="I6733" s="274" t="n">
        <x:v>0.9</x:v>
      </x:c>
      <x:c r="J6733" s="274" t="n">
        <x:v>765</x:v>
      </x:c>
      <x:c r="K6733" s="274" t="n">
        <x:v>365</x:v>
      </x:c>
      <x:c r="M6733" s="274" t="s">
        <x:v>4319</x:v>
      </x:c>
    </x:row>
    <x:row r="6734" spans="1:14">
      <x:c r="A6734" s="274" t="s">
        <x:v>10998</x:v>
      </x:c>
      <x:c r="B6734" s="274" t="n">
        <x:v>2.79</x:v>
      </x:c>
      <x:c r="C6734" s="274" t="n">
        <x:v>0</x:v>
      </x:c>
      <x:c r="D6734" s="274" t="n">
        <x:v>0</x:v>
      </x:c>
      <x:c r="F6734" s="274" t="s">
        <x:v>123</x:v>
      </x:c>
      <x:c r="G6734" s="274" t="s">
        <x:v>129</x:v>
      </x:c>
      <x:c r="H6734" s="274" t="n">
        <x:v>45</x:v>
      </x:c>
      <x:c r="I6734" s="274" t="n">
        <x:v>0.9</x:v>
      </x:c>
      <x:c r="J6734" s="274" t="n">
        <x:v>1050</x:v>
      </x:c>
      <x:c r="K6734" s="274" t="n">
        <x:v>372</x:v>
      </x:c>
      <x:c r="M6734" s="274" t="s">
        <x:v>6919</x:v>
      </x:c>
    </x:row>
    <x:row r="6735" spans="1:14">
      <x:c r="A6735" s="274" t="s">
        <x:v>10999</x:v>
      </x:c>
      <x:c r="B6735" s="274" t="n">
        <x:v>3.98</x:v>
      </x:c>
      <x:c r="C6735" s="274" t="n">
        <x:v>0</x:v>
      </x:c>
      <x:c r="D6735" s="274" t="n">
        <x:v>30</x:v>
      </x:c>
      <x:c r="E6735" s="274" t="n">
        <x:v>32</x:v>
      </x:c>
      <x:c r="F6735" s="274" t="s">
        <x:v>123</x:v>
      </x:c>
      <x:c r="G6735" s="274" t="s">
        <x:v>129</x:v>
      </x:c>
      <x:c r="H6735" s="274" t="n">
        <x:v>45</x:v>
      </x:c>
      <x:c r="I6735" s="274" t="n">
        <x:v>0.9</x:v>
      </x:c>
      <x:c r="J6735" s="274" t="n">
        <x:v>1050</x:v>
      </x:c>
      <x:c r="K6735" s="274" t="n">
        <x:v>530</x:v>
      </x:c>
      <x:c r="M6735" s="274" t="s">
        <x:v>8559</x:v>
      </x:c>
    </x:row>
    <x:row r="6736" spans="1:14">
      <x:c r="A6736" s="274" t="s">
        <x:v>11000</x:v>
      </x:c>
      <x:c r="B6736" s="274" t="n">
        <x:v>5.53</x:v>
      </x:c>
      <x:c r="C6736" s="274" t="n">
        <x:v>0</x:v>
      </x:c>
      <x:c r="D6736" s="274" t="n">
        <x:v>30</x:v>
      </x:c>
      <x:c r="E6736" s="274" t="n">
        <x:v>32</x:v>
      </x:c>
      <x:c r="F6736" s="274" t="s">
        <x:v>123</x:v>
      </x:c>
      <x:c r="G6736" s="274" t="s">
        <x:v>129</x:v>
      </x:c>
      <x:c r="H6736" s="274" t="n">
        <x:v>45</x:v>
      </x:c>
      <x:c r="I6736" s="274" t="n">
        <x:v>0.9</x:v>
      </x:c>
      <x:c r="J6736" s="274" t="n">
        <x:v>1050</x:v>
      </x:c>
      <x:c r="K6736" s="274" t="n">
        <x:v>736</x:v>
      </x:c>
      <x:c r="M6736" s="274" t="s">
        <x:v>8034</x:v>
      </x:c>
    </x:row>
    <x:row r="6737" spans="1:14">
      <x:c r="A6737" s="274" t="s">
        <x:v>11001</x:v>
      </x:c>
      <x:c r="B6737" s="274" t="n">
        <x:v>5.1</x:v>
      </x:c>
      <x:c r="C6737" s="274" t="n">
        <x:v>40</x:v>
      </x:c>
      <x:c r="D6737" s="274" t="n">
        <x:v>45</x:v>
      </x:c>
      <x:c r="E6737" s="274" t="n">
        <x:v>40</x:v>
      </x:c>
      <x:c r="F6737" s="274" t="s">
        <x:v>123</x:v>
      </x:c>
      <x:c r="G6737" s="274" t="s">
        <x:v>3410</x:v>
      </x:c>
      <x:c r="I6737" s="274" t="n">
        <x:v>1.6</x:v>
      </x:c>
      <x:c r="J6737" s="274" t="n">
        <x:v>1010</x:v>
      </x:c>
      <x:c r="K6737" s="274" t="n">
        <x:v>402</x:v>
      </x:c>
      <x:c r="M6737" s="274" t="s">
        <x:v>8562</x:v>
      </x:c>
      <x:c r="N6737" s="274" t="s">
        <x:v>3671</x:v>
      </x:c>
    </x:row>
    <x:row r="6738" spans="1:14">
      <x:c r="A6738" s="274" t="s">
        <x:v>11002</x:v>
      </x:c>
      <x:c r="B6738" s="274" t="n">
        <x:v>7.52</x:v>
      </x:c>
      <x:c r="C6738" s="274" t="n">
        <x:v>35</x:v>
      </x:c>
      <x:c r="D6738" s="274" t="n">
        <x:v>45</x:v>
      </x:c>
      <x:c r="E6738" s="274" t="n">
        <x:v>40</x:v>
      </x:c>
      <x:c r="F6738" s="274" t="s">
        <x:v>123</x:v>
      </x:c>
      <x:c r="G6738" s="274" t="s">
        <x:v>881</x:v>
      </x:c>
      <x:c r="H6738" s="274" t="n">
        <x:v>45</x:v>
      </x:c>
      <x:c r="I6738" s="274" t="n">
        <x:v>1.6</x:v>
      </x:c>
      <x:c r="J6738" s="274" t="n">
        <x:v>1085</x:v>
      </x:c>
      <x:c r="K6738" s="274" t="n">
        <x:v>548</x:v>
      </x:c>
      <x:c r="M6738" s="274" t="s">
        <x:v>8564</x:v>
      </x:c>
      <x:c r="N6738" s="274" t="s">
        <x:v>3671</x:v>
      </x:c>
    </x:row>
    <x:row r="6739" spans="1:14">
      <x:c r="A6739" s="274" t="s">
        <x:v>11003</x:v>
      </x:c>
      <x:c r="B6739" s="274" t="n">
        <x:v>4.36</x:v>
      </x:c>
      <x:c r="C6739" s="274" t="n">
        <x:v>35</x:v>
      </x:c>
      <x:c r="D6739" s="274" t="n">
        <x:v>45</x:v>
      </x:c>
      <x:c r="E6739" s="274" t="n">
        <x:v>40</x:v>
      </x:c>
      <x:c r="F6739" s="274" t="s">
        <x:v>123</x:v>
      </x:c>
      <x:c r="G6739" s="274" t="s">
        <x:v>881</x:v>
      </x:c>
      <x:c r="H6739" s="274" t="n">
        <x:v>45</x:v>
      </x:c>
      <x:c r="I6739" s="274" t="n">
        <x:v>1.6</x:v>
      </x:c>
      <x:c r="J6739" s="274" t="n">
        <x:v>1085</x:v>
      </x:c>
      <x:c r="K6739" s="274" t="n">
        <x:v>318</x:v>
      </x:c>
      <x:c r="M6739" s="274" t="s">
        <x:v>11004</x:v>
      </x:c>
      <x:c r="N6739" s="274" t="s">
        <x:v>3671</x:v>
      </x:c>
    </x:row>
    <x:row r="6740" spans="1:14">
      <x:c r="A6740" s="274" t="s">
        <x:v>11005</x:v>
      </x:c>
      <x:c r="B6740" s="274" t="n">
        <x:v>2.64</x:v>
      </x:c>
      <x:c r="C6740" s="274" t="n">
        <x:v>0</x:v>
      </x:c>
      <x:c r="D6740" s="274" t="n">
        <x:v>0</x:v>
      </x:c>
      <x:c r="F6740" s="274" t="s">
        <x:v>123</x:v>
      </x:c>
      <x:c r="G6740" s="274" t="s">
        <x:v>881</x:v>
      </x:c>
      <x:c r="H6740" s="274" t="n">
        <x:v>45</x:v>
      </x:c>
      <x:c r="I6740" s="274" t="n">
        <x:v>1.6</x:v>
      </x:c>
      <x:c r="J6740" s="274" t="n">
        <x:v>631</x:v>
      </x:c>
      <x:c r="K6740" s="274" t="n">
        <x:v>331</x:v>
      </x:c>
      <x:c r="M6740" s="274" t="s">
        <x:v>11004</x:v>
      </x:c>
      <x:c r="N6740" s="274" t="s">
        <x:v>3671</x:v>
      </x:c>
    </x:row>
    <x:row r="6741" spans="1:14">
      <x:c r="A6741" s="274" t="s">
        <x:v>11006</x:v>
      </x:c>
      <x:c r="B6741" s="274" t="n">
        <x:v>4.84</x:v>
      </x:c>
      <x:c r="C6741" s="274" t="n">
        <x:v>35</x:v>
      </x:c>
      <x:c r="D6741" s="274" t="n">
        <x:v>45</x:v>
      </x:c>
      <x:c r="E6741" s="274" t="n">
        <x:v>40</x:v>
      </x:c>
      <x:c r="F6741" s="274" t="s">
        <x:v>333</x:v>
      </x:c>
      <x:c r="G6741" s="274" t="s">
        <x:v>153</x:v>
      </x:c>
      <x:c r="I6741" s="274" t="n">
        <x:v>1.6</x:v>
      </x:c>
      <x:c r="J6741" s="274" t="n">
        <x:v>1100</x:v>
      </x:c>
      <x:c r="K6741" s="274" t="n">
        <x:v>350</x:v>
      </x:c>
      <x:c r="M6741" s="274" t="s">
        <x:v>5423</x:v>
      </x:c>
      <x:c r="N6741" s="274" t="s">
        <x:v>3671</x:v>
      </x:c>
    </x:row>
    <x:row r="6742" spans="1:14">
      <x:c r="A6742" s="274" t="s">
        <x:v>11007</x:v>
      </x:c>
      <x:c r="B6742" s="274" t="n">
        <x:v>8.62</x:v>
      </x:c>
      <x:c r="C6742" s="274" t="n">
        <x:v>35</x:v>
      </x:c>
      <x:c r="D6742" s="274" t="n">
        <x:v>45</x:v>
      </x:c>
      <x:c r="E6742" s="274" t="n">
        <x:v>40</x:v>
      </x:c>
      <x:c r="F6742" s="274" t="s">
        <x:v>333</x:v>
      </x:c>
      <x:c r="G6742" s="274" t="s">
        <x:v>124</x:v>
      </x:c>
      <x:c r="I6742" s="274" t="n">
        <x:v>1.6</x:v>
      </x:c>
      <x:c r="J6742" s="274" t="n">
        <x:v>1120</x:v>
      </x:c>
      <x:c r="K6742" s="274" t="n">
        <x:v>613</x:v>
      </x:c>
      <x:c r="M6742" s="274" t="s">
        <x:v>5427</x:v>
      </x:c>
    </x:row>
    <x:row r="6743" spans="1:14">
      <x:c r="A6743" s="274" t="s">
        <x:v>11008</x:v>
      </x:c>
      <x:c r="B6743" s="274" t="n">
        <x:v>15.05</x:v>
      </x:c>
      <x:c r="C6743" s="274" t="n">
        <x:v>35</x:v>
      </x:c>
      <x:c r="D6743" s="274" t="n">
        <x:v>45</x:v>
      </x:c>
      <x:c r="E6743" s="274" t="n">
        <x:v>40</x:v>
      </x:c>
      <x:c r="F6743" s="274" t="s">
        <x:v>333</x:v>
      </x:c>
      <x:c r="G6743" s="274" t="s">
        <x:v>124</x:v>
      </x:c>
      <x:c r="I6743" s="274" t="n">
        <x:v>1.6</x:v>
      </x:c>
      <x:c r="J6743" s="274" t="n">
        <x:v>1120</x:v>
      </x:c>
      <x:c r="K6743" s="274" t="n">
        <x:v>1070</x:v>
      </x:c>
      <x:c r="M6743" s="274" t="s">
        <x:v>5427</x:v>
      </x:c>
    </x:row>
    <x:row r="6744" spans="1:14">
      <x:c r="A6744" s="274" t="s">
        <x:v>11009</x:v>
      </x:c>
      <x:c r="B6744" s="274" t="n">
        <x:v>8.95</x:v>
      </x:c>
      <x:c r="C6744" s="274" t="n">
        <x:v>35</x:v>
      </x:c>
      <x:c r="D6744" s="274" t="n">
        <x:v>45</x:v>
      </x:c>
      <x:c r="E6744" s="274" t="n">
        <x:v>40</x:v>
      </x:c>
      <x:c r="F6744" s="274" t="s">
        <x:v>333</x:v>
      </x:c>
      <x:c r="G6744" s="274" t="s">
        <x:v>334</x:v>
      </x:c>
      <x:c r="I6744" s="274" t="n">
        <x:v>1.6</x:v>
      </x:c>
      <x:c r="J6744" s="274" t="n">
        <x:v>1187</x:v>
      </x:c>
      <x:c r="K6744" s="274" t="n">
        <x:v>600</x:v>
      </x:c>
      <x:c r="M6744" s="274" t="s">
        <x:v>5992</x:v>
      </x:c>
      <x:c r="N6744" s="274" t="s">
        <x:v>3671</x:v>
      </x:c>
    </x:row>
    <x:row r="6745" spans="1:14">
      <x:c r="A6745" s="274" t="s">
        <x:v>11010</x:v>
      </x:c>
      <x:c r="B6745" s="274" t="n">
        <x:v>7.9</x:v>
      </x:c>
      <x:c r="C6745" s="274" t="n">
        <x:v>35</x:v>
      </x:c>
      <x:c r="D6745" s="274" t="n">
        <x:v>45</x:v>
      </x:c>
      <x:c r="E6745" s="274" t="n">
        <x:v>40</x:v>
      </x:c>
      <x:c r="F6745" s="274" t="s">
        <x:v>333</x:v>
      </x:c>
      <x:c r="G6745" s="274" t="s">
        <x:v>334</x:v>
      </x:c>
      <x:c r="I6745" s="274" t="n">
        <x:v>1.6</x:v>
      </x:c>
      <x:c r="J6745" s="274" t="n">
        <x:v>1187</x:v>
      </x:c>
      <x:c r="K6745" s="274" t="n">
        <x:v>530</x:v>
      </x:c>
      <x:c r="M6745" s="274" t="s">
        <x:v>5994</x:v>
      </x:c>
      <x:c r="N6745" s="274" t="s">
        <x:v>3671</x:v>
      </x:c>
    </x:row>
    <x:row r="6746" spans="1:14">
      <x:c r="A6746" s="274" t="s">
        <x:v>11011</x:v>
      </x:c>
      <x:c r="B6746" s="274" t="n">
        <x:v>6.04</x:v>
      </x:c>
      <x:c r="C6746" s="274" t="n">
        <x:v>40</x:v>
      </x:c>
      <x:c r="D6746" s="274" t="n">
        <x:v>45</x:v>
      </x:c>
      <x:c r="E6746" s="274" t="n">
        <x:v>40</x:v>
      </x:c>
      <x:c r="F6746" s="274" t="s">
        <x:v>123</x:v>
      </x:c>
      <x:c r="G6746" s="274" t="s">
        <x:v>129</x:v>
      </x:c>
      <x:c r="H6746" s="274" t="n">
        <x:v>45</x:v>
      </x:c>
      <x:c r="I6746" s="274" t="n">
        <x:v>1.6</x:v>
      </x:c>
      <x:c r="J6746" s="274" t="n">
        <x:v>1260</x:v>
      </x:c>
      <x:c r="K6746" s="274" t="n">
        <x:v>379</x:v>
      </x:c>
      <x:c r="M6746" s="274" t="s">
        <x:v>5986</x:v>
      </x:c>
      <x:c r="N6746" s="274" t="s">
        <x:v>3671</x:v>
      </x:c>
    </x:row>
    <x:row r="6747" spans="1:14">
      <x:c r="A6747" s="274" t="s">
        <x:v>11012</x:v>
      </x:c>
      <x:c r="B6747" s="274" t="n">
        <x:v>5.75</x:v>
      </x:c>
      <x:c r="C6747" s="274" t="n">
        <x:v>40</x:v>
      </x:c>
      <x:c r="D6747" s="274" t="n">
        <x:v>45</x:v>
      </x:c>
      <x:c r="E6747" s="274" t="n">
        <x:v>40</x:v>
      </x:c>
      <x:c r="F6747" s="274" t="s">
        <x:v>123</x:v>
      </x:c>
      <x:c r="G6747" s="274" t="s">
        <x:v>129</x:v>
      </x:c>
      <x:c r="H6747" s="274" t="n">
        <x:v>45</x:v>
      </x:c>
      <x:c r="I6747" s="274" t="n">
        <x:v>1.6</x:v>
      </x:c>
      <x:c r="J6747" s="274" t="n">
        <x:v>1260</x:v>
      </x:c>
      <x:c r="K6747" s="274" t="n">
        <x:v>361</x:v>
      </x:c>
      <x:c r="M6747" s="274" t="s">
        <x:v>6000</x:v>
      </x:c>
      <x:c r="N6747" s="274" t="s">
        <x:v>3671</x:v>
      </x:c>
    </x:row>
    <x:row r="6748" spans="1:14">
      <x:c r="A6748" s="274" t="s">
        <x:v>11013</x:v>
      </x:c>
      <x:c r="B6748" s="274" t="n">
        <x:v>8.47</x:v>
      </x:c>
      <x:c r="C6748" s="274" t="n">
        <x:v>35</x:v>
      </x:c>
      <x:c r="D6748" s="274" t="n">
        <x:v>45</x:v>
      </x:c>
      <x:c r="E6748" s="274" t="n">
        <x:v>40</x:v>
      </x:c>
      <x:c r="F6748" s="274" t="s">
        <x:v>133</x:v>
      </x:c>
      <x:c r="G6748" s="274" t="s">
        <x:v>136</x:v>
      </x:c>
      <x:c r="H6748" s="274" t="n">
        <x:v>45</x:v>
      </x:c>
      <x:c r="I6748" s="274" t="n">
        <x:v>1.6</x:v>
      </x:c>
      <x:c r="J6748" s="274" t="n">
        <x:v>1485</x:v>
      </x:c>
      <x:c r="K6748" s="274" t="n">
        <x:v>451</x:v>
      </x:c>
      <x:c r="M6748" s="274" t="s">
        <x:v>6006</x:v>
      </x:c>
      <x:c r="N6748" s="274" t="s">
        <x:v>3671</x:v>
      </x:c>
    </x:row>
    <x:row r="6749" spans="1:14">
      <x:c r="A6749" s="274" t="s">
        <x:v>11014</x:v>
      </x:c>
      <x:c r="B6749" s="274" t="n">
        <x:v>11.46</x:v>
      </x:c>
      <x:c r="C6749" s="274" t="n">
        <x:v>35</x:v>
      </x:c>
      <x:c r="D6749" s="274" t="n">
        <x:v>45</x:v>
      </x:c>
      <x:c r="E6749" s="274" t="n">
        <x:v>40</x:v>
      </x:c>
      <x:c r="F6749" s="274" t="s">
        <x:v>133</x:v>
      </x:c>
      <x:c r="G6749" s="274" t="s">
        <x:v>136</x:v>
      </x:c>
      <x:c r="H6749" s="274" t="n">
        <x:v>45</x:v>
      </x:c>
      <x:c r="I6749" s="274" t="n">
        <x:v>1.6</x:v>
      </x:c>
      <x:c r="J6749" s="274" t="n">
        <x:v>1485</x:v>
      </x:c>
      <x:c r="K6749" s="274" t="n">
        <x:v>610</x:v>
      </x:c>
      <x:c r="M6749" s="274" t="s">
        <x:v>5411</x:v>
      </x:c>
      <x:c r="N6749" s="274" t="s">
        <x:v>3671</x:v>
      </x:c>
    </x:row>
    <x:row r="6750" spans="1:14">
      <x:c r="A6750" s="274" t="s">
        <x:v>11015</x:v>
      </x:c>
      <x:c r="B6750" s="274" t="n">
        <x:v>8.42</x:v>
      </x:c>
      <x:c r="C6750" s="274" t="n">
        <x:v>35</x:v>
      </x:c>
      <x:c r="D6750" s="274" t="n">
        <x:v>45</x:v>
      </x:c>
      <x:c r="E6750" s="274" t="n">
        <x:v>40</x:v>
      </x:c>
      <x:c r="F6750" s="274" t="s">
        <x:v>133</x:v>
      </x:c>
      <x:c r="G6750" s="274" t="s">
        <x:v>136</x:v>
      </x:c>
      <x:c r="H6750" s="274" t="n">
        <x:v>45</x:v>
      </x:c>
      <x:c r="I6750" s="274" t="n">
        <x:v>1.6</x:v>
      </x:c>
      <x:c r="J6750" s="274" t="n">
        <x:v>1485</x:v>
      </x:c>
      <x:c r="K6750" s="274" t="n">
        <x:v>448</x:v>
      </x:c>
      <x:c r="M6750" s="274" t="s">
        <x:v>5413</x:v>
      </x:c>
      <x:c r="N6750" s="274" t="s">
        <x:v>3671</x:v>
      </x:c>
    </x:row>
    <x:row r="6751" spans="1:14">
      <x:c r="A6751" s="274" t="s">
        <x:v>11016</x:v>
      </x:c>
      <x:c r="B6751" s="274" t="n">
        <x:v>6.58</x:v>
      </x:c>
      <x:c r="C6751" s="274" t="n">
        <x:v>35</x:v>
      </x:c>
      <x:c r="D6751" s="274" t="n">
        <x:v>45</x:v>
      </x:c>
      <x:c r="E6751" s="274" t="n">
        <x:v>40</x:v>
      </x:c>
      <x:c r="F6751" s="274" t="s">
        <x:v>133</x:v>
      </x:c>
      <x:c r="G6751" s="274" t="s">
        <x:v>136</x:v>
      </x:c>
      <x:c r="H6751" s="274" t="n">
        <x:v>45</x:v>
      </x:c>
      <x:c r="I6751" s="274" t="n">
        <x:v>1.6</x:v>
      </x:c>
      <x:c r="J6751" s="274" t="n">
        <x:v>1485</x:v>
      </x:c>
      <x:c r="K6751" s="274" t="n">
        <x:v>350</x:v>
      </x:c>
      <x:c r="M6751" s="274" t="s">
        <x:v>6004</x:v>
      </x:c>
      <x:c r="N6751" s="274" t="s">
        <x:v>3671</x:v>
      </x:c>
    </x:row>
    <x:row r="6752" spans="1:14">
      <x:c r="A6752" s="274" t="s">
        <x:v>11017</x:v>
      </x:c>
      <x:c r="B6752" s="274" t="n">
        <x:v>9.2</x:v>
      </x:c>
      <x:c r="C6752" s="274" t="n">
        <x:v>35</x:v>
      </x:c>
      <x:c r="D6752" s="274" t="n">
        <x:v>45</x:v>
      </x:c>
      <x:c r="E6752" s="274" t="n">
        <x:v>40</x:v>
      </x:c>
      <x:c r="F6752" s="274" t="s">
        <x:v>133</x:v>
      </x:c>
      <x:c r="G6752" s="274" t="s">
        <x:v>144</x:v>
      </x:c>
      <x:c r="H6752" s="274" t="n">
        <x:v>45</x:v>
      </x:c>
      <x:c r="I6752" s="274" t="n">
        <x:v>2</x:v>
      </x:c>
      <x:c r="J6752" s="274" t="n">
        <x:v>1125</x:v>
      </x:c>
      <x:c r="K6752" s="274" t="n">
        <x:v>518</x:v>
      </x:c>
      <x:c r="M6752" s="274" t="s">
        <x:v>4327</x:v>
      </x:c>
      <x:c r="N6752" s="274" t="s">
        <x:v>3671</x:v>
      </x:c>
    </x:row>
    <x:row r="6753" spans="1:14">
      <x:c r="A6753" s="274" t="s">
        <x:v>11018</x:v>
      </x:c>
      <x:c r="B6753" s="274" t="n">
        <x:v>3.89</x:v>
      </x:c>
      <x:c r="C6753" s="274" t="n">
        <x:v>0</x:v>
      </x:c>
      <x:c r="D6753" s="274" t="n">
        <x:v>32</x:v>
      </x:c>
      <x:c r="E6753" s="274" t="n">
        <x:v>40</x:v>
      </x:c>
      <x:c r="F6753" s="274" t="s">
        <x:v>333</x:v>
      </x:c>
      <x:c r="G6753" s="274" t="s">
        <x:v>334</x:v>
      </x:c>
      <x:c r="I6753" s="274" t="n">
        <x:v>1.2</x:v>
      </x:c>
      <x:c r="J6753" s="274" t="n">
        <x:v>1011</x:v>
      </x:c>
      <x:c r="K6753" s="274" t="n">
        <x:v>408</x:v>
      </x:c>
      <x:c r="M6753" s="274" t="s">
        <x:v>8582</x:v>
      </x:c>
    </x:row>
    <x:row r="6754" spans="1:14">
      <x:c r="A6754" s="274" t="s">
        <x:v>11019</x:v>
      </x:c>
      <x:c r="B6754" s="274" t="n">
        <x:v>1.72</x:v>
      </x:c>
      <x:c r="C6754" s="274" t="n">
        <x:v>0</x:v>
      </x:c>
      <x:c r="D6754" s="274" t="n">
        <x:v>0</x:v>
      </x:c>
      <x:c r="F6754" s="274" t="s">
        <x:v>133</x:v>
      </x:c>
      <x:c r="G6754" s="274" t="s">
        <x:v>144</x:v>
      </x:c>
      <x:c r="H6754" s="274" t="n">
        <x:v>45</x:v>
      </x:c>
      <x:c r="I6754" s="274" t="n">
        <x:v>2</x:v>
      </x:c>
      <x:c r="J6754" s="274" t="n">
        <x:v>210</x:v>
      </x:c>
      <x:c r="K6754" s="274" t="n">
        <x:v>518</x:v>
      </x:c>
      <x:c r="M6754" s="274" t="s">
        <x:v>4327</x:v>
      </x:c>
      <x:c r="N6754" s="274" t="s">
        <x:v>3671</x:v>
      </x:c>
    </x:row>
    <x:row r="6755" spans="1:14">
      <x:c r="A6755" s="274" t="s">
        <x:v>11020</x:v>
      </x:c>
      <x:c r="B6755" s="274" t="n">
        <x:v>3.31</x:v>
      </x:c>
      <x:c r="C6755" s="274" t="n">
        <x:v>0</x:v>
      </x:c>
      <x:c r="D6755" s="274" t="n">
        <x:v>32</x:v>
      </x:c>
      <x:c r="E6755" s="274" t="n">
        <x:v>40</x:v>
      </x:c>
      <x:c r="F6755" s="274" t="s">
        <x:v>333</x:v>
      </x:c>
      <x:c r="G6755" s="274" t="s">
        <x:v>124</x:v>
      </x:c>
      <x:c r="I6755" s="274" t="n">
        <x:v>1.2</x:v>
      </x:c>
      <x:c r="J6755" s="274" t="n">
        <x:v>1020</x:v>
      </x:c>
      <x:c r="K6755" s="274" t="n">
        <x:v>344</x:v>
      </x:c>
      <x:c r="M6755" s="274" t="s">
        <x:v>4841</x:v>
      </x:c>
    </x:row>
    <x:row r="6756" spans="1:14">
      <x:c r="A6756" s="274" t="s">
        <x:v>11021</x:v>
      </x:c>
      <x:c r="B6756" s="274" t="n">
        <x:v>4.96</x:v>
      </x:c>
      <x:c r="C6756" s="274" t="n">
        <x:v>0</x:v>
      </x:c>
      <x:c r="D6756" s="274" t="n">
        <x:v>32</x:v>
      </x:c>
      <x:c r="E6756" s="274" t="n">
        <x:v>40</x:v>
      </x:c>
      <x:c r="F6756" s="274" t="s">
        <x:v>333</x:v>
      </x:c>
      <x:c r="G6756" s="274" t="s">
        <x:v>124</x:v>
      </x:c>
      <x:c r="I6756" s="274" t="n">
        <x:v>1.2</x:v>
      </x:c>
      <x:c r="J6756" s="274" t="n">
        <x:v>1020</x:v>
      </x:c>
      <x:c r="K6756" s="274" t="n">
        <x:v>516</x:v>
      </x:c>
      <x:c r="M6756" s="274" t="s">
        <x:v>4843</x:v>
      </x:c>
    </x:row>
    <x:row r="6757" spans="1:14">
      <x:c r="A6757" s="274" t="s">
        <x:v>11022</x:v>
      </x:c>
      <x:c r="B6757" s="274" t="n">
        <x:v>5.25</x:v>
      </x:c>
      <x:c r="C6757" s="274" t="n">
        <x:v>0</x:v>
      </x:c>
      <x:c r="D6757" s="274" t="n">
        <x:v>32</x:v>
      </x:c>
      <x:c r="E6757" s="274" t="n">
        <x:v>40</x:v>
      </x:c>
      <x:c r="F6757" s="274" t="s">
        <x:v>333</x:v>
      </x:c>
      <x:c r="G6757" s="274" t="s">
        <x:v>124</x:v>
      </x:c>
      <x:c r="I6757" s="274" t="n">
        <x:v>1.2</x:v>
      </x:c>
      <x:c r="J6757" s="274" t="n">
        <x:v>1020</x:v>
      </x:c>
      <x:c r="K6757" s="274" t="n">
        <x:v>546</x:v>
      </x:c>
      <x:c r="M6757" s="274" t="s">
        <x:v>8586</x:v>
      </x:c>
      <x:c r="N6757" s="274" t="s">
        <x:v>3671</x:v>
      </x:c>
    </x:row>
    <x:row r="6758" spans="1:14">
      <x:c r="A6758" s="274" t="s">
        <x:v>11023</x:v>
      </x:c>
      <x:c r="B6758" s="274" t="n">
        <x:v>3.79</x:v>
      </x:c>
      <x:c r="C6758" s="274" t="n">
        <x:v>0</x:v>
      </x:c>
      <x:c r="D6758" s="274" t="n">
        <x:v>32</x:v>
      </x:c>
      <x:c r="E6758" s="274" t="n">
        <x:v>40</x:v>
      </x:c>
      <x:c r="F6758" s="274" t="s">
        <x:v>333</x:v>
      </x:c>
      <x:c r="G6758" s="274" t="s">
        <x:v>124</x:v>
      </x:c>
      <x:c r="I6758" s="274" t="n">
        <x:v>1.2</x:v>
      </x:c>
      <x:c r="J6758" s="274" t="n">
        <x:v>1020</x:v>
      </x:c>
      <x:c r="K6758" s="274" t="n">
        <x:v>394</x:v>
      </x:c>
      <x:c r="M6758" s="274" t="s">
        <x:v>4839</x:v>
      </x:c>
      <x:c r="N6758" s="274" t="s">
        <x:v>3671</x:v>
      </x:c>
    </x:row>
    <x:row r="6759" spans="1:14">
      <x:c r="A6759" s="274" t="s">
        <x:v>11024</x:v>
      </x:c>
      <x:c r="B6759" s="274" t="n">
        <x:v>7.46</x:v>
      </x:c>
      <x:c r="C6759" s="274" t="n">
        <x:v>35</x:v>
      </x:c>
      <x:c r="D6759" s="274" t="n">
        <x:v>45</x:v>
      </x:c>
      <x:c r="E6759" s="274" t="n">
        <x:v>40</x:v>
      </x:c>
      <x:c r="F6759" s="274" t="s">
        <x:v>123</x:v>
      </x:c>
      <x:c r="G6759" s="274" t="s">
        <x:v>881</x:v>
      </x:c>
      <x:c r="H6759" s="274" t="n">
        <x:v>45</x:v>
      </x:c>
      <x:c r="I6759" s="274" t="n">
        <x:v>2</x:v>
      </x:c>
      <x:c r="J6759" s="274" t="n">
        <x:v>1050</x:v>
      </x:c>
      <x:c r="K6759" s="274" t="n">
        <x:v>450</x:v>
      </x:c>
      <x:c r="M6759" s="274" t="s">
        <x:v>6020</x:v>
      </x:c>
      <x:c r="N6759" s="274" t="s">
        <x:v>3671</x:v>
      </x:c>
    </x:row>
    <x:row r="6760" spans="1:14">
      <x:c r="A6760" s="274" t="s">
        <x:v>11025</x:v>
      </x:c>
      <x:c r="B6760" s="274" t="n">
        <x:v>6.73</x:v>
      </x:c>
      <x:c r="C6760" s="274" t="n">
        <x:v>35</x:v>
      </x:c>
      <x:c r="D6760" s="274" t="n">
        <x:v>45</x:v>
      </x:c>
      <x:c r="E6760" s="274" t="n">
        <x:v>40</x:v>
      </x:c>
      <x:c r="F6760" s="274" t="s">
        <x:v>123</x:v>
      </x:c>
      <x:c r="G6760" s="274" t="s">
        <x:v>881</x:v>
      </x:c>
      <x:c r="H6760" s="274" t="n">
        <x:v>45</x:v>
      </x:c>
      <x:c r="I6760" s="274" t="n">
        <x:v>2</x:v>
      </x:c>
      <x:c r="J6760" s="274" t="n">
        <x:v>1050</x:v>
      </x:c>
      <x:c r="K6760" s="274" t="n">
        <x:v>406</x:v>
      </x:c>
      <x:c r="M6760" s="274" t="s">
        <x:v>6018</x:v>
      </x:c>
      <x:c r="N6760" s="274" t="s">
        <x:v>3671</x:v>
      </x:c>
    </x:row>
    <x:row r="6761" spans="1:14">
      <x:c r="A6761" s="274" t="s">
        <x:v>11026</x:v>
      </x:c>
      <x:c r="B6761" s="274" t="n">
        <x:v>5.41</x:v>
      </x:c>
      <x:c r="C6761" s="274" t="n">
        <x:v>35</x:v>
      </x:c>
      <x:c r="D6761" s="274" t="n">
        <x:v>45</x:v>
      </x:c>
      <x:c r="E6761" s="274" t="n">
        <x:v>40</x:v>
      </x:c>
      <x:c r="F6761" s="274" t="s">
        <x:v>133</x:v>
      </x:c>
      <x:c r="G6761" s="274" t="s">
        <x:v>144</x:v>
      </x:c>
      <x:c r="H6761" s="274" t="n">
        <x:v>45</x:v>
      </x:c>
      <x:c r="I6761" s="274" t="n">
        <x:v>2</x:v>
      </x:c>
      <x:c r="J6761" s="274" t="n">
        <x:v>1105</x:v>
      </x:c>
      <x:c r="K6761" s="274" t="n">
        <x:v>310</x:v>
      </x:c>
      <x:c r="M6761" s="274" t="s">
        <x:v>5435</x:v>
      </x:c>
    </x:row>
    <x:row r="6762" spans="1:14">
      <x:c r="A6762" s="274" t="s">
        <x:v>11027</x:v>
      </x:c>
      <x:c r="B6762" s="274" t="n">
        <x:v>5.58</x:v>
      </x:c>
      <x:c r="C6762" s="274" t="n">
        <x:v>35</x:v>
      </x:c>
      <x:c r="D6762" s="274" t="n">
        <x:v>45</x:v>
      </x:c>
      <x:c r="E6762" s="274" t="n">
        <x:v>40</x:v>
      </x:c>
      <x:c r="F6762" s="274" t="s">
        <x:v>133</x:v>
      </x:c>
      <x:c r="G6762" s="274" t="s">
        <x:v>144</x:v>
      </x:c>
      <x:c r="H6762" s="274" t="n">
        <x:v>45</x:v>
      </x:c>
      <x:c r="I6762" s="274" t="n">
        <x:v>2</x:v>
      </x:c>
      <x:c r="J6762" s="274" t="n">
        <x:v>1105</x:v>
      </x:c>
      <x:c r="K6762" s="274" t="n">
        <x:v>320</x:v>
      </x:c>
      <x:c r="M6762" s="274" t="s">
        <x:v>6888</x:v>
      </x:c>
      <x:c r="N6762" s="274" t="s">
        <x:v>3671</x:v>
      </x:c>
    </x:row>
    <x:row r="6763" spans="1:14">
      <x:c r="A6763" s="274" t="s">
        <x:v>11028</x:v>
      </x:c>
      <x:c r="B6763" s="274" t="n">
        <x:v>5.78</x:v>
      </x:c>
      <x:c r="C6763" s="274" t="n">
        <x:v>35</x:v>
      </x:c>
      <x:c r="D6763" s="274" t="n">
        <x:v>45</x:v>
      </x:c>
      <x:c r="E6763" s="274" t="n">
        <x:v>40</x:v>
      </x:c>
      <x:c r="F6763" s="274" t="s">
        <x:v>133</x:v>
      </x:c>
      <x:c r="G6763" s="274" t="s">
        <x:v>144</x:v>
      </x:c>
      <x:c r="H6763" s="274" t="n">
        <x:v>45</x:v>
      </x:c>
      <x:c r="I6763" s="274" t="n">
        <x:v>2</x:v>
      </x:c>
      <x:c r="J6763" s="274" t="n">
        <x:v>1105</x:v>
      </x:c>
      <x:c r="K6763" s="274" t="n">
        <x:v>331</x:v>
      </x:c>
      <x:c r="M6763" s="274" t="s">
        <x:v>6727</x:v>
      </x:c>
      <x:c r="N6763" s="274" t="s">
        <x:v>3671</x:v>
      </x:c>
    </x:row>
    <x:row r="6764" spans="1:14">
      <x:c r="A6764" s="274" t="s">
        <x:v>11029</x:v>
      </x:c>
      <x:c r="B6764" s="274" t="n">
        <x:v>6.04</x:v>
      </x:c>
      <x:c r="C6764" s="274" t="n">
        <x:v>35</x:v>
      </x:c>
      <x:c r="D6764" s="274" t="n">
        <x:v>45</x:v>
      </x:c>
      <x:c r="E6764" s="274" t="n">
        <x:v>40</x:v>
      </x:c>
      <x:c r="F6764" s="274" t="s">
        <x:v>133</x:v>
      </x:c>
      <x:c r="G6764" s="274" t="s">
        <x:v>144</x:v>
      </x:c>
      <x:c r="H6764" s="274" t="n">
        <x:v>45</x:v>
      </x:c>
      <x:c r="I6764" s="274" t="n">
        <x:v>2</x:v>
      </x:c>
      <x:c r="J6764" s="274" t="n">
        <x:v>1105</x:v>
      </x:c>
      <x:c r="K6764" s="274" t="n">
        <x:v>346</x:v>
      </x:c>
      <x:c r="M6764" s="274" t="s">
        <x:v>6729</x:v>
      </x:c>
    </x:row>
    <x:row r="6765" spans="1:14">
      <x:c r="A6765" s="274" t="s">
        <x:v>11030</x:v>
      </x:c>
      <x:c r="B6765" s="274" t="n">
        <x:v>26.71</x:v>
      </x:c>
      <x:c r="C6765" s="274" t="n">
        <x:v>18</x:v>
      </x:c>
      <x:c r="D6765" s="274" t="n">
        <x:v>27</x:v>
      </x:c>
      <x:c r="E6765" s="274" t="n">
        <x:v>23</x:v>
      </x:c>
      <x:c r="F6765" s="274" t="s">
        <x:v>128</x:v>
      </x:c>
      <x:c r="G6765" s="274" t="s">
        <x:v>3410</x:v>
      </x:c>
      <x:c r="I6765" s="274" t="n">
        <x:v>2</x:v>
      </x:c>
      <x:c r="J6765" s="274" t="n">
        <x:v>1350</x:v>
      </x:c>
      <x:c r="K6765" s="274" t="n">
        <x:v>1260</x:v>
      </x:c>
      <x:c r="M6765" s="274" t="s">
        <x:v>8596</x:v>
      </x:c>
    </x:row>
    <x:row r="6766" spans="1:14">
      <x:c r="A6766" s="274" t="s">
        <x:v>11031</x:v>
      </x:c>
      <x:c r="B6766" s="274" t="n">
        <x:v>8.92</x:v>
      </x:c>
      <x:c r="C6766" s="274" t="n">
        <x:v>32</x:v>
      </x:c>
      <x:c r="D6766" s="274" t="n">
        <x:v>42</x:v>
      </x:c>
      <x:c r="E6766" s="274" t="n">
        <x:v>37</x:v>
      </x:c>
      <x:c r="F6766" s="274" t="s">
        <x:v>333</x:v>
      </x:c>
      <x:c r="G6766" s="274" t="s">
        <x:v>334</x:v>
      </x:c>
      <x:c r="I6766" s="274" t="n">
        <x:v>1.8</x:v>
      </x:c>
      <x:c r="J6766" s="274" t="n">
        <x:v>922</x:v>
      </x:c>
      <x:c r="K6766" s="274" t="n">
        <x:v>685</x:v>
      </x:c>
      <x:c r="M6766" s="274" t="s">
        <x:v>5431</x:v>
      </x:c>
    </x:row>
    <x:row r="6767" spans="1:14">
      <x:c r="A6767" s="274" t="s">
        <x:v>11032</x:v>
      </x:c>
      <x:c r="B6767" s="274" t="n">
        <x:v>11.01</x:v>
      </x:c>
      <x:c r="C6767" s="274" t="n">
        <x:v>35</x:v>
      </x:c>
      <x:c r="D6767" s="274" t="n">
        <x:v>45</x:v>
      </x:c>
      <x:c r="E6767" s="274" t="n">
        <x:v>40</x:v>
      </x:c>
      <x:c r="F6767" s="274" t="s">
        <x:v>123</x:v>
      </x:c>
      <x:c r="G6767" s="274" t="s">
        <x:v>129</x:v>
      </x:c>
      <x:c r="H6767" s="274" t="n">
        <x:v>45</x:v>
      </x:c>
      <x:c r="I6767" s="274" t="n">
        <x:v>1.8</x:v>
      </x:c>
      <x:c r="J6767" s="274" t="n">
        <x:v>1075</x:v>
      </x:c>
      <x:c r="K6767" s="274" t="n">
        <x:v>720</x:v>
      </x:c>
      <x:c r="M6767" s="274" t="s">
        <x:v>8599</x:v>
      </x:c>
      <x:c r="N6767" s="274" t="s">
        <x:v>3671</x:v>
      </x:c>
    </x:row>
    <x:row r="6768" spans="1:14">
      <x:c r="A6768" s="274" t="s">
        <x:v>11033</x:v>
      </x:c>
      <x:c r="B6768" s="274" t="n">
        <x:v>7.46</x:v>
      </x:c>
      <x:c r="C6768" s="274" t="n">
        <x:v>35</x:v>
      </x:c>
      <x:c r="D6768" s="274" t="n">
        <x:v>45</x:v>
      </x:c>
      <x:c r="E6768" s="274" t="n">
        <x:v>40</x:v>
      </x:c>
      <x:c r="F6768" s="274" t="s">
        <x:v>333</x:v>
      </x:c>
      <x:c r="G6768" s="274" t="s">
        <x:v>153</x:v>
      </x:c>
      <x:c r="I6768" s="274" t="n">
        <x:v>1.8</x:v>
      </x:c>
      <x:c r="J6768" s="274" t="n">
        <x:v>1100</x:v>
      </x:c>
      <x:c r="K6768" s="274" t="n">
        <x:v>480</x:v>
      </x:c>
      <x:c r="M6768" s="274" t="s">
        <x:v>5433</x:v>
      </x:c>
      <x:c r="N6768" s="274" t="s">
        <x:v>3671</x:v>
      </x:c>
    </x:row>
    <x:row r="6769" spans="1:14">
      <x:c r="A6769" s="274" t="s">
        <x:v>11034</x:v>
      </x:c>
      <x:c r="B6769" s="274" t="n">
        <x:v>9.71</x:v>
      </x:c>
      <x:c r="C6769" s="274" t="n">
        <x:v>35</x:v>
      </x:c>
      <x:c r="D6769" s="274" t="n">
        <x:v>45</x:v>
      </x:c>
      <x:c r="E6769" s="274" t="n">
        <x:v>40</x:v>
      </x:c>
      <x:c r="F6769" s="274" t="s">
        <x:v>123</x:v>
      </x:c>
      <x:c r="G6769" s="274" t="s">
        <x:v>129</x:v>
      </x:c>
      <x:c r="H6769" s="274" t="n">
        <x:v>45</x:v>
      </x:c>
      <x:c r="I6769" s="274" t="n">
        <x:v>1.8</x:v>
      </x:c>
      <x:c r="J6769" s="274" t="n">
        <x:v>1075</x:v>
      </x:c>
      <x:c r="K6769" s="274" t="n">
        <x:v>635</x:v>
      </x:c>
      <x:c r="M6769" s="274" t="s">
        <x:v>8599</x:v>
      </x:c>
      <x:c r="N6769" s="274" t="s">
        <x:v>3671</x:v>
      </x:c>
    </x:row>
    <x:row r="6770" spans="1:14">
      <x:c r="A6770" s="274" t="s">
        <x:v>11035</x:v>
      </x:c>
      <x:c r="B6770" s="274" t="n">
        <x:v>10.68</x:v>
      </x:c>
      <x:c r="C6770" s="274" t="n">
        <x:v>35</x:v>
      </x:c>
      <x:c r="D6770" s="274" t="n">
        <x:v>45</x:v>
      </x:c>
      <x:c r="E6770" s="274" t="n">
        <x:v>40</x:v>
      </x:c>
      <x:c r="F6770" s="274" t="s">
        <x:v>123</x:v>
      </x:c>
      <x:c r="G6770" s="274" t="s">
        <x:v>136</x:v>
      </x:c>
      <x:c r="H6770" s="274" t="n">
        <x:v>45</x:v>
      </x:c>
      <x:c r="I6770" s="274" t="n">
        <x:v>2.3</x:v>
      </x:c>
      <x:c r="J6770" s="274" t="n">
        <x:v>1285</x:v>
      </x:c>
      <x:c r="K6770" s="274" t="n">
        <x:v>458</x:v>
      </x:c>
      <x:c r="M6770" s="274" t="s">
        <x:v>8605</x:v>
      </x:c>
      <x:c r="N6770" s="274" t="s">
        <x:v>3671</x:v>
      </x:c>
    </x:row>
    <x:row r="6771" spans="1:14">
      <x:c r="A6771" s="274" t="s">
        <x:v>11036</x:v>
      </x:c>
      <x:c r="B6771" s="274" t="n">
        <x:v>6.36</x:v>
      </x:c>
      <x:c r="C6771" s="274" t="n">
        <x:v>35</x:v>
      </x:c>
      <x:c r="D6771" s="274" t="n">
        <x:v>40</x:v>
      </x:c>
      <x:c r="E6771" s="274" t="n">
        <x:v>45</x:v>
      </x:c>
      <x:c r="F6771" s="274" t="s">
        <x:v>128</x:v>
      </x:c>
      <x:c r="G6771" s="274" t="s">
        <x:v>153</x:v>
      </x:c>
      <x:c r="I6771" s="274" t="n">
        <x:v>2.6</x:v>
      </x:c>
      <x:c r="J6771" s="274" t="n">
        <x:v>900</x:v>
      </x:c>
      <x:c r="K6771" s="274" t="n">
        <x:v>346</x:v>
      </x:c>
      <x:c r="M6771" s="274" t="s">
        <x:v>8607</x:v>
      </x:c>
      <x:c r="N6771" s="274" t="s">
        <x:v>3671</x:v>
      </x:c>
    </x:row>
    <x:row r="6772" spans="1:14">
      <x:c r="A6772" s="274" t="s">
        <x:v>11037</x:v>
      </x:c>
      <x:c r="B6772" s="274" t="n">
        <x:v>8.5</x:v>
      </x:c>
      <x:c r="C6772" s="274" t="n">
        <x:v>0</x:v>
      </x:c>
      <x:c r="D6772" s="274" t="n">
        <x:v>0</x:v>
      </x:c>
      <x:c r="F6772" s="274" t="s">
        <x:v>128</x:v>
      </x:c>
      <x:c r="G6772" s="274" t="s">
        <x:v>3314</x:v>
      </x:c>
      <x:c r="H6772" s="274" t="n">
        <x:v>45</x:v>
      </x:c>
      <x:c r="I6772" s="274" t="n">
        <x:v>2.6</x:v>
      </x:c>
      <x:c r="J6772" s="274" t="n">
        <x:v>1320</x:v>
      </x:c>
      <x:c r="K6772" s="274" t="n">
        <x:v>314</x:v>
      </x:c>
      <x:c r="M6772" s="274" t="s">
        <x:v>4337</x:v>
      </x:c>
    </x:row>
    <x:row r="6773" spans="1:14">
      <x:c r="A6773" s="274" t="s">
        <x:v>11038</x:v>
      </x:c>
      <x:c r="B6773" s="274" t="n">
        <x:v>7.95</x:v>
      </x:c>
      <x:c r="C6773" s="274" t="n">
        <x:v>0</x:v>
      </x:c>
      <x:c r="D6773" s="274" t="n">
        <x:v>0</x:v>
      </x:c>
      <x:c r="F6773" s="274" t="s">
        <x:v>133</x:v>
      </x:c>
      <x:c r="G6773" s="274" t="s">
        <x:v>134</x:v>
      </x:c>
      <x:c r="I6773" s="274" t="n">
        <x:v>2.8</x:v>
      </x:c>
      <x:c r="J6773" s="274" t="n">
        <x:v>1145</x:v>
      </x:c>
      <x:c r="K6773" s="274" t="n">
        <x:v>316</x:v>
      </x:c>
      <x:c r="M6773" s="274" t="s">
        <x:v>8609</x:v>
      </x:c>
    </x:row>
    <x:row r="6774" spans="1:14">
      <x:c r="A6774" s="274" t="s">
        <x:v>11039</x:v>
      </x:c>
      <x:c r="B6774" s="274" t="n">
        <x:v>5.06</x:v>
      </x:c>
      <x:c r="C6774" s="274" t="n">
        <x:v>0</x:v>
      </x:c>
      <x:c r="D6774" s="274" t="n">
        <x:v>40</x:v>
      </x:c>
      <x:c r="F6774" s="274" t="s">
        <x:v>184</x:v>
      </x:c>
      <x:c r="G6774" s="274" t="s">
        <x:v>334</x:v>
      </x:c>
      <x:c r="I6774" s="274" t="n">
        <x:v>1.4</x:v>
      </x:c>
      <x:c r="J6774" s="274" t="n">
        <x:v>460.6</x:v>
      </x:c>
      <x:c r="K6774" s="274" t="n">
        <x:v>1000</x:v>
      </x:c>
      <x:c r="N6774" s="274" t="s">
        <x:v>299</x:v>
      </x:c>
    </x:row>
    <x:row r="6775" spans="1:14">
      <x:c r="A6775" s="274" t="s">
        <x:v>11040</x:v>
      </x:c>
      <x:c r="B6775" s="274" t="n">
        <x:v>2.15</x:v>
      </x:c>
      <x:c r="C6775" s="274" t="n">
        <x:v>0</x:v>
      </x:c>
      <x:c r="D6775" s="274" t="n">
        <x:v>45</x:v>
      </x:c>
      <x:c r="E6775" s="274" t="n">
        <x:v>40</x:v>
      </x:c>
      <x:c r="F6775" s="274" t="s">
        <x:v>133</x:v>
      </x:c>
      <x:c r="G6775" s="274" t="s">
        <x:v>2157</x:v>
      </x:c>
      <x:c r="I6775" s="274" t="n">
        <x:v>0.6</x:v>
      </x:c>
      <x:c r="J6775" s="274" t="n">
        <x:v>1090</x:v>
      </x:c>
      <x:c r="K6775" s="274" t="n">
        <x:v>418</x:v>
      </x:c>
      <x:c r="M6775" s="274" t="s">
        <x:v>3626</x:v>
      </x:c>
      <x:c r="N6775" s="274" t="s">
        <x:v>3586</x:v>
      </x:c>
    </x:row>
    <x:row r="6776" spans="1:14">
      <x:c r="A6776" s="274" t="s">
        <x:v>11041</x:v>
      </x:c>
      <x:c r="B6776" s="274" t="n">
        <x:v>4.64</x:v>
      </x:c>
      <x:c r="C6776" s="274" t="n">
        <x:v>0</x:v>
      </x:c>
      <x:c r="D6776" s="274" t="n">
        <x:v>32</x:v>
      </x:c>
      <x:c r="E6776" s="274" t="n">
        <x:v>40</x:v>
      </x:c>
      <x:c r="F6776" s="274" t="s">
        <x:v>333</x:v>
      </x:c>
      <x:c r="G6776" s="274" t="s">
        <x:v>153</x:v>
      </x:c>
      <x:c r="I6776" s="274" t="n">
        <x:v>1</x:v>
      </x:c>
      <x:c r="J6776" s="274" t="n">
        <x:v>985</x:v>
      </x:c>
      <x:c r="K6776" s="274" t="n">
        <x:v>600</x:v>
      </x:c>
      <x:c r="M6776" s="274" t="s">
        <x:v>5590</x:v>
      </x:c>
      <x:c r="N6776" s="274" t="s">
        <x:v>3671</x:v>
      </x:c>
    </x:row>
    <x:row r="6777" spans="1:14">
      <x:c r="A6777" s="274" t="s">
        <x:v>11042</x:v>
      </x:c>
      <x:c r="B6777" s="274" t="n">
        <x:v>6.61</x:v>
      </x:c>
      <x:c r="C6777" s="274" t="n">
        <x:v>0</x:v>
      </x:c>
      <x:c r="D6777" s="274" t="n">
        <x:v>0</x:v>
      </x:c>
      <x:c r="F6777" s="274" t="s">
        <x:v>133</x:v>
      </x:c>
      <x:c r="G6777" s="274" t="s">
        <x:v>136</x:v>
      </x:c>
      <x:c r="H6777" s="274" t="n">
        <x:v>45</x:v>
      </x:c>
      <x:c r="I6777" s="274" t="n">
        <x:v>1</x:v>
      </x:c>
      <x:c r="J6777" s="274" t="n">
        <x:v>1040</x:v>
      </x:c>
      <x:c r="K6777" s="274" t="n">
        <x:v>800</x:v>
      </x:c>
      <x:c r="M6777" s="274" t="s">
        <x:v>5596</x:v>
      </x:c>
      <x:c r="N6777" s="274" t="s">
        <x:v>3671</x:v>
      </x:c>
    </x:row>
    <x:row r="6778" spans="1:14">
      <x:c r="A6778" s="274" t="s">
        <x:v>11043</x:v>
      </x:c>
      <x:c r="B6778" s="274" t="n">
        <x:v>3.28</x:v>
      </x:c>
      <x:c r="C6778" s="274" t="n">
        <x:v>0</x:v>
      </x:c>
      <x:c r="D6778" s="274" t="n">
        <x:v>32</x:v>
      </x:c>
      <x:c r="E6778" s="274" t="n">
        <x:v>40</x:v>
      </x:c>
      <x:c r="F6778" s="274" t="s">
        <x:v>133</x:v>
      </x:c>
      <x:c r="G6778" s="274" t="s">
        <x:v>136</x:v>
      </x:c>
      <x:c r="H6778" s="274" t="n">
        <x:v>45</x:v>
      </x:c>
      <x:c r="I6778" s="274" t="n">
        <x:v>1</x:v>
      </x:c>
      <x:c r="J6778" s="274" t="n">
        <x:v>1040</x:v>
      </x:c>
      <x:c r="K6778" s="274" t="n">
        <x:v>397</x:v>
      </x:c>
      <x:c r="M6778" s="274" t="s">
        <x:v>5598</x:v>
      </x:c>
      <x:c r="N6778" s="274" t="s">
        <x:v>3671</x:v>
      </x:c>
    </x:row>
    <x:row r="6779" spans="1:14">
      <x:c r="A6779" s="274" t="s">
        <x:v>11044</x:v>
      </x:c>
      <x:c r="B6779" s="274" t="n">
        <x:v>5.95</x:v>
      </x:c>
      <x:c r="C6779" s="274" t="n">
        <x:v>0</x:v>
      </x:c>
      <x:c r="D6779" s="274" t="n">
        <x:v>0</x:v>
      </x:c>
      <x:c r="F6779" s="274" t="s">
        <x:v>133</x:v>
      </x:c>
      <x:c r="G6779" s="274" t="s">
        <x:v>136</x:v>
      </x:c>
      <x:c r="H6779" s="274" t="n">
        <x:v>45</x:v>
      </x:c>
      <x:c r="I6779" s="274" t="n">
        <x:v>1</x:v>
      </x:c>
      <x:c r="J6779" s="274" t="n">
        <x:v>1040</x:v>
      </x:c>
      <x:c r="K6779" s="274" t="n">
        <x:v>720</x:v>
      </x:c>
      <x:c r="M6779" s="274" t="s">
        <x:v>5592</x:v>
      </x:c>
      <x:c r="N6779" s="274" t="s">
        <x:v>3671</x:v>
      </x:c>
    </x:row>
    <x:row r="6780" spans="1:14">
      <x:c r="A6780" s="274" t="s">
        <x:v>11045</x:v>
      </x:c>
      <x:c r="B6780" s="274" t="n">
        <x:v>11.06</x:v>
      </x:c>
      <x:c r="C6780" s="274" t="n">
        <x:v>0</x:v>
      </x:c>
      <x:c r="D6780" s="274" t="n">
        <x:v>32</x:v>
      </x:c>
      <x:c r="E6780" s="274" t="n">
        <x:v>40</x:v>
      </x:c>
      <x:c r="F6780" s="274" t="s">
        <x:v>133</x:v>
      </x:c>
      <x:c r="G6780" s="274" t="s">
        <x:v>144</x:v>
      </x:c>
      <x:c r="H6780" s="274" t="n">
        <x:v>45</x:v>
      </x:c>
      <x:c r="I6780" s="274" t="n">
        <x:v>1</x:v>
      </x:c>
      <x:c r="J6780" s="274" t="n">
        <x:v>1128</x:v>
      </x:c>
      <x:c r="K6780" s="274" t="n">
        <x:v>1235</x:v>
      </x:c>
      <x:c r="M6780" s="274" t="s">
        <x:v>5594</x:v>
      </x:c>
      <x:c r="N6780" s="274" t="s">
        <x:v>3671</x:v>
      </x:c>
    </x:row>
    <x:row r="6781" spans="1:14">
      <x:c r="A6781" s="274" t="s">
        <x:v>11046</x:v>
      </x:c>
      <x:c r="B6781" s="274" t="n">
        <x:v>3.68</x:v>
      </x:c>
      <x:c r="C6781" s="274" t="n">
        <x:v>0</x:v>
      </x:c>
      <x:c r="D6781" s="274" t="n">
        <x:v>32</x:v>
      </x:c>
      <x:c r="E6781" s="274" t="n">
        <x:v>40</x:v>
      </x:c>
      <x:c r="F6781" s="274" t="s">
        <x:v>123</x:v>
      </x:c>
      <x:c r="G6781" s="274" t="s">
        <x:v>881</x:v>
      </x:c>
      <x:c r="H6781" s="274" t="n">
        <x:v>45</x:v>
      </x:c>
      <x:c r="I6781" s="274" t="n">
        <x:v>1</x:v>
      </x:c>
      <x:c r="J6781" s="274" t="n">
        <x:v>1170</x:v>
      </x:c>
      <x:c r="K6781" s="274" t="n">
        <x:v>396</x:v>
      </x:c>
      <x:c r="M6781" s="274" t="s">
        <x:v>8016</x:v>
      </x:c>
      <x:c r="N6781" s="274" t="s">
        <x:v>3671</x:v>
      </x:c>
    </x:row>
    <x:row r="6782" spans="1:14">
      <x:c r="A6782" s="274" t="s">
        <x:v>11047</x:v>
      </x:c>
      <x:c r="B6782" s="274" t="n">
        <x:v>4.54</x:v>
      </x:c>
      <x:c r="C6782" s="274" t="n">
        <x:v>35</x:v>
      </x:c>
      <x:c r="D6782" s="274" t="n">
        <x:v>45</x:v>
      </x:c>
      <x:c r="E6782" s="274" t="n">
        <x:v>40</x:v>
      </x:c>
      <x:c r="F6782" s="274" t="s">
        <x:v>123</x:v>
      </x:c>
      <x:c r="G6782" s="274" t="s">
        <x:v>881</x:v>
      </x:c>
      <x:c r="H6782" s="274" t="n">
        <x:v>45</x:v>
      </x:c>
      <x:c r="I6782" s="274" t="n">
        <x:v>1.6</x:v>
      </x:c>
      <x:c r="J6782" s="274" t="n">
        <x:v>1085</x:v>
      </x:c>
      <x:c r="K6782" s="274" t="n">
        <x:v>331</x:v>
      </x:c>
      <x:c r="M6782" s="274" t="s">
        <x:v>11004</x:v>
      </x:c>
      <x:c r="N6782" s="274" t="s">
        <x:v>3671</x:v>
      </x:c>
    </x:row>
    <x:row r="6783" spans="1:14">
      <x:c r="A6783" s="274" t="s">
        <x:v>11048</x:v>
      </x:c>
      <x:c r="B6783" s="274" t="n">
        <x:v>5.17</x:v>
      </x:c>
      <x:c r="C6783" s="274" t="n">
        <x:v>0</x:v>
      </x:c>
      <x:c r="D6783" s="274" t="n">
        <x:v>32</x:v>
      </x:c>
      <x:c r="E6783" s="274" t="n">
        <x:v>40</x:v>
      </x:c>
      <x:c r="F6783" s="274" t="s">
        <x:v>133</x:v>
      </x:c>
      <x:c r="G6783" s="274" t="s">
        <x:v>136</x:v>
      </x:c>
      <x:c r="H6783" s="274" t="n">
        <x:v>45</x:v>
      </x:c>
      <x:c r="I6783" s="274" t="n">
        <x:v>1</x:v>
      </x:c>
      <x:c r="J6783" s="274" t="n">
        <x:v>1195</x:v>
      </x:c>
      <x:c r="K6783" s="274" t="n">
        <x:v>545</x:v>
      </x:c>
      <x:c r="M6783" s="274" t="s">
        <x:v>5602</x:v>
      </x:c>
      <x:c r="N6783" s="274" t="s">
        <x:v>3671</x:v>
      </x:c>
    </x:row>
    <x:row r="6784" spans="1:14">
      <x:c r="A6784" s="274" t="s">
        <x:v>11049</x:v>
      </x:c>
      <x:c r="B6784" s="274" t="n">
        <x:v>3.32</x:v>
      </x:c>
      <x:c r="C6784" s="274" t="n">
        <x:v>0</x:v>
      </x:c>
      <x:c r="D6784" s="274" t="n">
        <x:v>32</x:v>
      </x:c>
      <x:c r="E6784" s="274" t="n">
        <x:v>40</x:v>
      </x:c>
      <x:c r="F6784" s="274" t="s">
        <x:v>133</x:v>
      </x:c>
      <x:c r="G6784" s="274" t="s">
        <x:v>136</x:v>
      </x:c>
      <x:c r="H6784" s="274" t="n">
        <x:v>45</x:v>
      </x:c>
      <x:c r="I6784" s="274" t="n">
        <x:v>1</x:v>
      </x:c>
      <x:c r="J6784" s="274" t="n">
        <x:v>1195</x:v>
      </x:c>
      <x:c r="K6784" s="274" t="n">
        <x:v>350</x:v>
      </x:c>
      <x:c r="M6784" s="274" t="s">
        <x:v>5600</x:v>
      </x:c>
      <x:c r="N6784" s="274" t="s">
        <x:v>3671</x:v>
      </x:c>
    </x:row>
    <x:row r="6785" spans="1:14">
      <x:c r="A6785" s="274" t="s">
        <x:v>11050</x:v>
      </x:c>
      <x:c r="B6785" s="274" t="n">
        <x:v>3.77</x:v>
      </x:c>
      <x:c r="C6785" s="274" t="n">
        <x:v>0</x:v>
      </x:c>
      <x:c r="D6785" s="274" t="n">
        <x:v>0</x:v>
      </x:c>
      <x:c r="F6785" s="274" t="s">
        <x:v>133</x:v>
      </x:c>
      <x:c r="G6785" s="274" t="s">
        <x:v>136</x:v>
      </x:c>
      <x:c r="H6785" s="274" t="n">
        <x:v>45</x:v>
      </x:c>
      <x:c r="I6785" s="274" t="n">
        <x:v>1</x:v>
      </x:c>
      <x:c r="J6785" s="274" t="n">
        <x:v>1195</x:v>
      </x:c>
      <x:c r="K6785" s="274" t="n">
        <x:v>397</x:v>
      </x:c>
      <x:c r="M6785" s="274" t="s">
        <x:v>8625</x:v>
      </x:c>
      <x:c r="N6785" s="274" t="s">
        <x:v>3671</x:v>
      </x:c>
    </x:row>
    <x:row r="6786" spans="1:14">
      <x:c r="A6786" s="274" t="s">
        <x:v>11051</x:v>
      </x:c>
      <x:c r="B6786" s="274" t="n">
        <x:v>4.95</x:v>
      </x:c>
      <x:c r="C6786" s="274" t="n">
        <x:v>0</x:v>
      </x:c>
      <x:c r="D6786" s="274" t="n">
        <x:v>32</x:v>
      </x:c>
      <x:c r="E6786" s="274" t="n">
        <x:v>40</x:v>
      </x:c>
      <x:c r="F6786" s="274" t="s">
        <x:v>333</x:v>
      </x:c>
      <x:c r="G6786" s="274" t="s">
        <x:v>209</x:v>
      </x:c>
      <x:c r="I6786" s="274" t="n">
        <x:v>1</x:v>
      </x:c>
      <x:c r="J6786" s="274" t="n">
        <x:v>1200</x:v>
      </x:c>
      <x:c r="K6786" s="274" t="n">
        <x:v>525</x:v>
      </x:c>
      <x:c r="M6786" s="274" t="s">
        <x:v>6935</x:v>
      </x:c>
      <x:c r="N6786" s="274" t="s">
        <x:v>3671</x:v>
      </x:c>
    </x:row>
    <x:row r="6787" spans="1:14">
      <x:c r="A6787" s="274" t="s">
        <x:v>11052</x:v>
      </x:c>
      <x:c r="B6787" s="274" t="n">
        <x:v>4.33</x:v>
      </x:c>
      <x:c r="C6787" s="274" t="n">
        <x:v>0</x:v>
      </x:c>
      <x:c r="D6787" s="274" t="n">
        <x:v>32</x:v>
      </x:c>
      <x:c r="E6787" s="274" t="n">
        <x:v>40</x:v>
      </x:c>
      <x:c r="F6787" s="274" t="s">
        <x:v>333</x:v>
      </x:c>
      <x:c r="G6787" s="274" t="s">
        <x:v>209</x:v>
      </x:c>
      <x:c r="I6787" s="274" t="n">
        <x:v>1</x:v>
      </x:c>
      <x:c r="J6787" s="274" t="n">
        <x:v>1200</x:v>
      </x:c>
      <x:c r="K6787" s="274" t="n">
        <x:v>460</x:v>
      </x:c>
      <x:c r="M6787" s="274" t="s">
        <x:v>5636</x:v>
      </x:c>
      <x:c r="N6787" s="274" t="s">
        <x:v>3671</x:v>
      </x:c>
    </x:row>
    <x:row r="6788" spans="1:14">
      <x:c r="A6788" s="274" t="s">
        <x:v>11053</x:v>
      </x:c>
      <x:c r="B6788" s="274" t="n">
        <x:v>11.3</x:v>
      </x:c>
      <x:c r="C6788" s="274" t="n">
        <x:v>0</x:v>
      </x:c>
      <x:c r="D6788" s="274" t="n">
        <x:v>32</x:v>
      </x:c>
      <x:c r="E6788" s="274" t="n">
        <x:v>40</x:v>
      </x:c>
      <x:c r="F6788" s="274" t="s">
        <x:v>333</x:v>
      </x:c>
      <x:c r="G6788" s="274" t="s">
        <x:v>209</x:v>
      </x:c>
      <x:c r="I6788" s="274" t="n">
        <x:v>1</x:v>
      </x:c>
      <x:c r="J6788" s="274" t="n">
        <x:v>1200</x:v>
      </x:c>
      <x:c r="K6788" s="274" t="n">
        <x:v>1200</x:v>
      </x:c>
      <x:c r="M6788" s="274" t="s">
        <x:v>5634</x:v>
      </x:c>
      <x:c r="N6788" s="274" t="s">
        <x:v>3671</x:v>
      </x:c>
    </x:row>
    <x:row r="6789" spans="1:14">
      <x:c r="A6789" s="274" t="s">
        <x:v>11054</x:v>
      </x:c>
      <x:c r="B6789" s="274" t="n">
        <x:v>5.98</x:v>
      </x:c>
      <x:c r="C6789" s="274" t="n">
        <x:v>0</x:v>
      </x:c>
      <x:c r="D6789" s="274" t="n">
        <x:v>32</x:v>
      </x:c>
      <x:c r="E6789" s="274" t="n">
        <x:v>40</x:v>
      </x:c>
      <x:c r="F6789" s="274" t="s">
        <x:v>123</x:v>
      </x:c>
      <x:c r="G6789" s="274" t="s">
        <x:v>129</x:v>
      </x:c>
      <x:c r="H6789" s="274" t="n">
        <x:v>45</x:v>
      </x:c>
      <x:c r="I6789" s="274" t="n">
        <x:v>1</x:v>
      </x:c>
      <x:c r="J6789" s="274" t="n">
        <x:v>1115</x:v>
      </x:c>
      <x:c r="K6789" s="274" t="n">
        <x:v>675</x:v>
      </x:c>
      <x:c r="M6789" s="274" t="s">
        <x:v>5859</x:v>
      </x:c>
      <x:c r="N6789" s="274" t="s">
        <x:v>3671</x:v>
      </x:c>
    </x:row>
    <x:row r="6790" spans="1:14">
      <x:c r="A6790" s="274" t="s">
        <x:v>11055</x:v>
      </x:c>
      <x:c r="B6790" s="274" t="n">
        <x:v>3.73</x:v>
      </x:c>
      <x:c r="C6790" s="274" t="n">
        <x:v>0</x:v>
      </x:c>
      <x:c r="D6790" s="274" t="n">
        <x:v>32</x:v>
      </x:c>
      <x:c r="E6790" s="274" t="n">
        <x:v>40</x:v>
      </x:c>
      <x:c r="F6790" s="274" t="s">
        <x:v>123</x:v>
      </x:c>
      <x:c r="G6790" s="274" t="s">
        <x:v>129</x:v>
      </x:c>
      <x:c r="H6790" s="274" t="n">
        <x:v>45</x:v>
      </x:c>
      <x:c r="I6790" s="274" t="n">
        <x:v>1</x:v>
      </x:c>
      <x:c r="J6790" s="274" t="n">
        <x:v>1115</x:v>
      </x:c>
      <x:c r="K6790" s="274" t="n">
        <x:v>421</x:v>
      </x:c>
      <x:c r="M6790" s="274" t="s">
        <x:v>5865</x:v>
      </x:c>
      <x:c r="N6790" s="274" t="s">
        <x:v>3671</x:v>
      </x:c>
    </x:row>
    <x:row r="6791" spans="1:14">
      <x:c r="A6791" s="274" t="s">
        <x:v>11056</x:v>
      </x:c>
      <x:c r="B6791" s="274" t="n">
        <x:v>5.31</x:v>
      </x:c>
      <x:c r="C6791" s="274" t="n">
        <x:v>0</x:v>
      </x:c>
      <x:c r="D6791" s="274" t="n">
        <x:v>32</x:v>
      </x:c>
      <x:c r="E6791" s="274" t="n">
        <x:v>40</x:v>
      </x:c>
      <x:c r="F6791" s="274" t="s">
        <x:v>123</x:v>
      </x:c>
      <x:c r="G6791" s="274" t="s">
        <x:v>129</x:v>
      </x:c>
      <x:c r="H6791" s="274" t="n">
        <x:v>45</x:v>
      </x:c>
      <x:c r="I6791" s="274" t="n">
        <x:v>1</x:v>
      </x:c>
      <x:c r="J6791" s="274" t="n">
        <x:v>1115</x:v>
      </x:c>
      <x:c r="K6791" s="274" t="n">
        <x:v>600</x:v>
      </x:c>
      <x:c r="M6791" s="274" t="s">
        <x:v>6288</x:v>
      </x:c>
      <x:c r="N6791" s="274" t="s">
        <x:v>3671</x:v>
      </x:c>
    </x:row>
    <x:row r="6792" spans="1:14">
      <x:c r="A6792" s="274" t="s">
        <x:v>11057</x:v>
      </x:c>
      <x:c r="B6792" s="274" t="n">
        <x:v>3.28</x:v>
      </x:c>
      <x:c r="C6792" s="274" t="n">
        <x:v>0</x:v>
      </x:c>
      <x:c r="D6792" s="274" t="n">
        <x:v>32</x:v>
      </x:c>
      <x:c r="E6792" s="274" t="n">
        <x:v>40</x:v>
      </x:c>
      <x:c r="F6792" s="274" t="s">
        <x:v>123</x:v>
      </x:c>
      <x:c r="G6792" s="274" t="s">
        <x:v>129</x:v>
      </x:c>
      <x:c r="H6792" s="274" t="n">
        <x:v>45</x:v>
      </x:c>
      <x:c r="I6792" s="274" t="n">
        <x:v>1</x:v>
      </x:c>
      <x:c r="J6792" s="274" t="n">
        <x:v>1115</x:v>
      </x:c>
      <x:c r="K6792" s="274" t="n">
        <x:v>370</x:v>
      </x:c>
      <x:c r="M6792" s="274" t="s">
        <x:v>5774</x:v>
      </x:c>
      <x:c r="N6792" s="274" t="s">
        <x:v>3671</x:v>
      </x:c>
    </x:row>
    <x:row r="6793" spans="1:14">
      <x:c r="A6793" s="274" t="s">
        <x:v>11058</x:v>
      </x:c>
      <x:c r="B6793" s="274" t="n">
        <x:v>4.45</x:v>
      </x:c>
      <x:c r="C6793" s="274" t="n">
        <x:v>0</x:v>
      </x:c>
      <x:c r="D6793" s="274" t="n">
        <x:v>45</x:v>
      </x:c>
      <x:c r="E6793" s="274" t="n">
        <x:v>40</x:v>
      </x:c>
      <x:c r="F6793" s="274" t="s">
        <x:v>133</x:v>
      </x:c>
      <x:c r="G6793" s="274" t="s">
        <x:v>144</x:v>
      </x:c>
      <x:c r="H6793" s="274" t="n">
        <x:v>45</x:v>
      </x:c>
      <x:c r="I6793" s="274" t="n">
        <x:v>1.4</x:v>
      </x:c>
      <x:c r="J6793" s="274" t="n">
        <x:v>703</x:v>
      </x:c>
      <x:c r="K6793" s="274" t="n">
        <x:v>571</x:v>
      </x:c>
      <x:c r="M6793" s="274" t="s">
        <x:v>890</x:v>
      </x:c>
      <x:c r="N6793" s="274" t="s">
        <x:v>4481</x:v>
      </x:c>
    </x:row>
    <x:row r="6794" spans="1:14">
      <x:c r="A6794" s="274" t="s">
        <x:v>11059</x:v>
      </x:c>
      <x:c r="B6794" s="274" t="n">
        <x:v>2.06</x:v>
      </x:c>
      <x:c r="C6794" s="274" t="n">
        <x:v>0</x:v>
      </x:c>
      <x:c r="D6794" s="274" t="n">
        <x:v>45</x:v>
      </x:c>
      <x:c r="E6794" s="274" t="n">
        <x:v>40</x:v>
      </x:c>
      <x:c r="F6794" s="274" t="s">
        <x:v>133</x:v>
      </x:c>
      <x:c r="G6794" s="274" t="s">
        <x:v>2157</x:v>
      </x:c>
      <x:c r="I6794" s="274" t="n">
        <x:v>0.6</x:v>
      </x:c>
      <x:c r="J6794" s="274" t="n">
        <x:v>1090</x:v>
      </x:c>
      <x:c r="K6794" s="274" t="n">
        <x:v>402</x:v>
      </x:c>
      <x:c r="M6794" s="274" t="s">
        <x:v>3628</x:v>
      </x:c>
      <x:c r="N6794" s="274" t="s">
        <x:v>3586</x:v>
      </x:c>
    </x:row>
    <x:row r="6795" spans="1:14">
      <x:c r="A6795" s="274" t="s">
        <x:v>11060</x:v>
      </x:c>
      <x:c r="B6795" s="274" t="n">
        <x:v>5.43</x:v>
      </x:c>
      <x:c r="C6795" s="274" t="n">
        <x:v>0</x:v>
      </x:c>
      <x:c r="D6795" s="274" t="n">
        <x:v>35</x:v>
      </x:c>
      <x:c r="E6795" s="274" t="n">
        <x:v>30</x:v>
      </x:c>
      <x:c r="F6795" s="274" t="s">
        <x:v>133</x:v>
      </x:c>
      <x:c r="G6795" s="274" t="s">
        <x:v>2157</x:v>
      </x:c>
      <x:c r="I6795" s="274" t="n">
        <x:v>0.6</x:v>
      </x:c>
      <x:c r="J6795" s="274" t="n">
        <x:v>1020</x:v>
      </x:c>
      <x:c r="K6795" s="274" t="n">
        <x:v>1130</x:v>
      </x:c>
      <x:c r="M6795" s="274" t="s">
        <x:v>7438</x:v>
      </x:c>
      <x:c r="N6795" s="274" t="s">
        <x:v>7439</x:v>
      </x:c>
    </x:row>
    <x:row r="6796" spans="1:14">
      <x:c r="A6796" s="274" t="s">
        <x:v>11061</x:v>
      </x:c>
      <x:c r="B6796" s="274" t="n">
        <x:v>1.93</x:v>
      </x:c>
      <x:c r="C6796" s="274" t="n">
        <x:v>0</x:v>
      </x:c>
      <x:c r="D6796" s="274" t="n">
        <x:v>45</x:v>
      </x:c>
      <x:c r="E6796" s="274" t="n">
        <x:v>40</x:v>
      </x:c>
      <x:c r="F6796" s="274" t="s">
        <x:v>133</x:v>
      </x:c>
      <x:c r="G6796" s="274" t="s">
        <x:v>2157</x:v>
      </x:c>
      <x:c r="I6796" s="274" t="n">
        <x:v>0.6</x:v>
      </x:c>
      <x:c r="J6796" s="274" t="n">
        <x:v>1020</x:v>
      </x:c>
      <x:c r="K6796" s="274" t="n">
        <x:v>402</x:v>
      </x:c>
      <x:c r="M6796" s="274" t="s">
        <x:v>3628</x:v>
      </x:c>
      <x:c r="N6796" s="274" t="s">
        <x:v>3586</x:v>
      </x:c>
    </x:row>
    <x:row r="6797" spans="1:14">
      <x:c r="A6797" s="274" t="s">
        <x:v>11062</x:v>
      </x:c>
      <x:c r="B6797" s="274" t="n">
        <x:v>1.85</x:v>
      </x:c>
      <x:c r="C6797" s="274" t="n">
        <x:v>0</x:v>
      </x:c>
      <x:c r="D6797" s="274" t="n">
        <x:v>45</x:v>
      </x:c>
      <x:c r="E6797" s="274" t="n">
        <x:v>40</x:v>
      </x:c>
      <x:c r="F6797" s="274" t="s">
        <x:v>133</x:v>
      </x:c>
      <x:c r="G6797" s="274" t="s">
        <x:v>2157</x:v>
      </x:c>
      <x:c r="I6797" s="274" t="n">
        <x:v>0.6</x:v>
      </x:c>
      <x:c r="J6797" s="274" t="n">
        <x:v>1110</x:v>
      </x:c>
      <x:c r="K6797" s="274" t="n">
        <x:v>354</x:v>
      </x:c>
      <x:c r="M6797" s="274" t="s">
        <x:v>3659</x:v>
      </x:c>
      <x:c r="N6797" s="274" t="s">
        <x:v>3654</x:v>
      </x:c>
    </x:row>
    <x:row r="6798" spans="1:14">
      <x:c r="A6798" s="274" t="s">
        <x:v>11063</x:v>
      </x:c>
      <x:c r="B6798" s="274" t="n">
        <x:v>9.82</x:v>
      </x:c>
      <x:c r="C6798" s="274" t="n">
        <x:v>0</x:v>
      </x:c>
      <x:c r="D6798" s="274" t="n">
        <x:v>40</x:v>
      </x:c>
      <x:c r="E6798" s="274" t="n">
        <x:v>35</x:v>
      </x:c>
      <x:c r="F6798" s="274" t="s">
        <x:v>123</x:v>
      </x:c>
      <x:c r="G6798" s="274" t="s">
        <x:v>153</x:v>
      </x:c>
      <x:c r="I6798" s="274" t="n">
        <x:v>2.6</x:v>
      </x:c>
      <x:c r="J6798" s="274" t="n">
        <x:v>1230</x:v>
      </x:c>
      <x:c r="K6798" s="274" t="n">
        <x:v>391</x:v>
      </x:c>
      <x:c r="M6798" s="274" t="s">
        <x:v>7585</x:v>
      </x:c>
      <x:c r="N6798" s="274" t="s">
        <x:v>299</x:v>
      </x:c>
    </x:row>
    <x:row r="6799" spans="1:14">
      <x:c r="A6799" s="274" t="s">
        <x:v>11064</x:v>
      </x:c>
      <x:c r="B6799" s="274" t="n">
        <x:v>4.99</x:v>
      </x:c>
      <x:c r="C6799" s="274" t="n">
        <x:v>0</x:v>
      </x:c>
      <x:c r="D6799" s="274" t="n">
        <x:v>32</x:v>
      </x:c>
      <x:c r="E6799" s="274" t="n">
        <x:v>27</x:v>
      </x:c>
      <x:c r="F6799" s="274" t="s">
        <x:v>133</x:v>
      </x:c>
      <x:c r="G6799" s="274" t="s">
        <x:v>153</x:v>
      </x:c>
      <x:c r="I6799" s="274" t="n">
        <x:v>0.7</x:v>
      </x:c>
      <x:c r="J6799" s="274" t="n">
        <x:v>595</x:v>
      </x:c>
      <x:c r="K6799" s="274" t="n">
        <x:v>1526</x:v>
      </x:c>
      <x:c r="M6799" s="274" t="s">
        <x:v>1364</x:v>
      </x:c>
      <x:c r="N6799" s="274" t="s">
        <x:v>5222</x:v>
      </x:c>
    </x:row>
    <x:row r="6800" spans="1:14">
      <x:c r="A6800" s="274" t="s">
        <x:v>11065</x:v>
      </x:c>
      <x:c r="B6800" s="274" t="n">
        <x:v>17.7</x:v>
      </x:c>
      <x:c r="C6800" s="274" t="n">
        <x:v>0</x:v>
      </x:c>
      <x:c r="D6800" s="274" t="n">
        <x:v>32</x:v>
      </x:c>
      <x:c r="E6800" s="274" t="n">
        <x:v>27</x:v>
      </x:c>
      <x:c r="F6800" s="274" t="s">
        <x:v>123</x:v>
      </x:c>
      <x:c r="G6800" s="274" t="s">
        <x:v>881</x:v>
      </x:c>
      <x:c r="H6800" s="274" t="n">
        <x:v>45</x:v>
      </x:c>
      <x:c r="I6800" s="274" t="n">
        <x:v>1.2</x:v>
      </x:c>
      <x:c r="J6800" s="274" t="n">
        <x:v>1100</x:v>
      </x:c>
      <x:c r="K6800" s="274" t="n">
        <x:v>1692</x:v>
      </x:c>
      <x:c r="N6800" s="274" t="s">
        <x:v>3671</x:v>
      </x:c>
    </x:row>
    <x:row r="6801" spans="1:14">
      <x:c r="A6801" s="274" t="s">
        <x:v>11066</x:v>
      </x:c>
      <x:c r="B6801" s="274" t="n">
        <x:v>4.29</x:v>
      </x:c>
      <x:c r="C6801" s="274" t="n">
        <x:v>0</x:v>
      </x:c>
      <x:c r="D6801" s="274" t="n">
        <x:v>45</x:v>
      </x:c>
      <x:c r="E6801" s="274" t="n">
        <x:v>40</x:v>
      </x:c>
      <x:c r="F6801" s="274" t="s">
        <x:v>133</x:v>
      </x:c>
      <x:c r="G6801" s="274" t="s">
        <x:v>153</x:v>
      </x:c>
      <x:c r="I6801" s="274" t="n">
        <x:v>1.4</x:v>
      </x:c>
      <x:c r="J6801" s="274" t="n">
        <x:v>1000</x:v>
      </x:c>
      <x:c r="K6801" s="274" t="n">
        <x:v>390</x:v>
      </x:c>
      <x:c r="N6801" s="274" t="s">
        <x:v>131</x:v>
      </x:c>
    </x:row>
    <x:row r="6802" spans="1:14">
      <x:c r="A6802" s="274" t="s">
        <x:v>11067</x:v>
      </x:c>
      <x:c r="B6802" s="274" t="n">
        <x:v>4.29</x:v>
      </x:c>
      <x:c r="C6802" s="274" t="n">
        <x:v>0</x:v>
      </x:c>
      <x:c r="D6802" s="274" t="n">
        <x:v>45</x:v>
      </x:c>
      <x:c r="E6802" s="274" t="n">
        <x:v>40</x:v>
      </x:c>
      <x:c r="F6802" s="274" t="s">
        <x:v>133</x:v>
      </x:c>
      <x:c r="G6802" s="274" t="s">
        <x:v>124</x:v>
      </x:c>
      <x:c r="I6802" s="274" t="n">
        <x:v>1</x:v>
      </x:c>
      <x:c r="J6802" s="274" t="n">
        <x:v>975</x:v>
      </x:c>
      <x:c r="K6802" s="274" t="n">
        <x:v>560</x:v>
      </x:c>
      <x:c r="M6802" s="274" t="s">
        <x:v>2096</x:v>
      </x:c>
      <x:c r="N6802" s="274" t="s">
        <x:v>299</x:v>
      </x:c>
    </x:row>
    <x:row r="6803" spans="1:14">
      <x:c r="A6803" s="274" t="s">
        <x:v>11068</x:v>
      </x:c>
      <x:c r="B6803" s="274" t="n">
        <x:v>7.99</x:v>
      </x:c>
      <x:c r="C6803" s="274" t="n">
        <x:v>0</x:v>
      </x:c>
      <x:c r="D6803" s="274" t="n">
        <x:v>40</x:v>
      </x:c>
      <x:c r="E6803" s="274" t="n">
        <x:v>40</x:v>
      </x:c>
      <x:c r="F6803" s="274" t="s">
        <x:v>133</x:v>
      </x:c>
      <x:c r="G6803" s="274" t="s">
        <x:v>1728</x:v>
      </x:c>
      <x:c r="H6803" s="274" t="n">
        <x:v>45</x:v>
      </x:c>
      <x:c r="I6803" s="274" t="n">
        <x:v>1</x:v>
      </x:c>
      <x:c r="J6803" s="274" t="n">
        <x:v>1195</x:v>
      </x:c>
      <x:c r="K6803" s="274" t="n">
        <x:v>842</x:v>
      </x:c>
      <x:c r="M6803" s="274" t="s">
        <x:v>164</x:v>
      </x:c>
      <x:c r="N6803" s="274" t="s">
        <x:v>1157</x:v>
      </x:c>
    </x:row>
    <x:row r="6804" spans="1:14">
      <x:c r="A6804" s="274" t="s">
        <x:v>11069</x:v>
      </x:c>
      <x:c r="B6804" s="274" t="n">
        <x:v>3.99</x:v>
      </x:c>
      <x:c r="C6804" s="274" t="n">
        <x:v>0</x:v>
      </x:c>
      <x:c r="D6804" s="274" t="n">
        <x:v>40</x:v>
      </x:c>
      <x:c r="E6804" s="274" t="n">
        <x:v>40</x:v>
      </x:c>
      <x:c r="F6804" s="274" t="s">
        <x:v>133</x:v>
      </x:c>
      <x:c r="G6804" s="274" t="s">
        <x:v>1728</x:v>
      </x:c>
      <x:c r="H6804" s="274" t="n">
        <x:v>45</x:v>
      </x:c>
      <x:c r="I6804" s="274" t="n">
        <x:v>1.2</x:v>
      </x:c>
      <x:c r="J6804" s="274" t="n">
        <x:v>925</x:v>
      </x:c>
      <x:c r="K6804" s="274" t="n">
        <x:v>454</x:v>
      </x:c>
      <x:c r="M6804" s="274" t="s">
        <x:v>3460</x:v>
      </x:c>
      <x:c r="N6804" s="274" t="s">
        <x:v>1157</x:v>
      </x:c>
    </x:row>
    <x:row r="6805" spans="1:14">
      <x:c r="A6805" s="274" t="s">
        <x:v>11070</x:v>
      </x:c>
      <x:c r="B6805" s="274" t="n">
        <x:v>5.28</x:v>
      </x:c>
      <x:c r="C6805" s="274" t="n">
        <x:v>0</x:v>
      </x:c>
      <x:c r="D6805" s="274" t="n">
        <x:v>40</x:v>
      </x:c>
      <x:c r="E6805" s="274" t="n">
        <x:v>40</x:v>
      </x:c>
      <x:c r="F6805" s="274" t="s">
        <x:v>133</x:v>
      </x:c>
      <x:c r="G6805" s="274" t="s">
        <x:v>1728</x:v>
      </x:c>
      <x:c r="H6805" s="274" t="n">
        <x:v>45</x:v>
      </x:c>
      <x:c r="I6805" s="274" t="n">
        <x:v>1</x:v>
      </x:c>
      <x:c r="J6805" s="274" t="n">
        <x:v>1195</x:v>
      </x:c>
      <x:c r="K6805" s="274" t="n">
        <x:v>556</x:v>
      </x:c>
      <x:c r="M6805" s="274" t="s">
        <x:v>8694</x:v>
      </x:c>
      <x:c r="N6805" s="274" t="s">
        <x:v>1157</x:v>
      </x:c>
    </x:row>
    <x:row r="6806" spans="1:14">
      <x:c r="A6806" s="274" t="s">
        <x:v>11071</x:v>
      </x:c>
      <x:c r="B6806" s="274" t="n">
        <x:v>2.92</x:v>
      </x:c>
      <x:c r="C6806" s="274" t="n">
        <x:v>0</x:v>
      </x:c>
      <x:c r="D6806" s="274" t="n">
        <x:v>40</x:v>
      </x:c>
      <x:c r="E6806" s="274" t="n">
        <x:v>40</x:v>
      </x:c>
      <x:c r="F6806" s="274" t="s">
        <x:v>133</x:v>
      </x:c>
      <x:c r="G6806" s="274" t="s">
        <x:v>1728</x:v>
      </x:c>
      <x:c r="H6806" s="274" t="n">
        <x:v>45</x:v>
      </x:c>
      <x:c r="I6806" s="274" t="n">
        <x:v>0.6</x:v>
      </x:c>
      <x:c r="J6806" s="274" t="n">
        <x:v>1050</x:v>
      </x:c>
      <x:c r="K6806" s="274" t="n">
        <x:v>580</x:v>
      </x:c>
      <x:c r="M6806" s="274" t="s">
        <x:v>8696</x:v>
      </x:c>
      <x:c r="N6806" s="274" t="s">
        <x:v>299</x:v>
      </x:c>
    </x:row>
    <x:row r="6807" spans="1:14">
      <x:c r="A6807" s="274" t="s">
        <x:v>11072</x:v>
      </x:c>
      <x:c r="B6807" s="274" t="n">
        <x:v>2.72</x:v>
      </x:c>
      <x:c r="C6807" s="274" t="n">
        <x:v>0</x:v>
      </x:c>
      <x:c r="D6807" s="274" t="n">
        <x:v>40</x:v>
      </x:c>
      <x:c r="E6807" s="274" t="n">
        <x:v>40</x:v>
      </x:c>
      <x:c r="F6807" s="274" t="s">
        <x:v>133</x:v>
      </x:c>
      <x:c r="G6807" s="274" t="s">
        <x:v>1728</x:v>
      </x:c>
      <x:c r="H6807" s="274" t="n">
        <x:v>45</x:v>
      </x:c>
      <x:c r="I6807" s="274" t="n">
        <x:v>0.6</x:v>
      </x:c>
      <x:c r="J6807" s="274" t="n">
        <x:v>1050</x:v>
      </x:c>
      <x:c r="K6807" s="274" t="n">
        <x:v>540</x:v>
      </x:c>
      <x:c r="M6807" s="274" t="s">
        <x:v>545</x:v>
      </x:c>
      <x:c r="N6807" s="274" t="s">
        <x:v>299</x:v>
      </x:c>
    </x:row>
    <x:row r="6808" spans="1:14">
      <x:c r="A6808" s="274" t="s">
        <x:v>11073</x:v>
      </x:c>
      <x:c r="B6808" s="274" t="n">
        <x:v>13.22</x:v>
      </x:c>
      <x:c r="C6808" s="274" t="n">
        <x:v>0</x:v>
      </x:c>
      <x:c r="D6808" s="274" t="n">
        <x:v>32</x:v>
      </x:c>
      <x:c r="E6808" s="274" t="n">
        <x:v>0</x:v>
      </x:c>
      <x:c r="F6808" s="274" t="s">
        <x:v>128</x:v>
      </x:c>
      <x:c r="G6808" s="274" t="s">
        <x:v>136</x:v>
      </x:c>
      <x:c r="H6808" s="274" t="s">
        <x:v>397</x:v>
      </x:c>
      <x:c r="I6808" s="274" t="n">
        <x:v>0.75</x:v>
      </x:c>
      <x:c r="J6808" s="274" t="n">
        <x:v>1675</x:v>
      </x:c>
      <x:c r="K6808" s="274" t="n">
        <x:v>1320</x:v>
      </x:c>
      <x:c r="M6808" s="274" t="s">
        <x:v>11074</x:v>
      </x:c>
    </x:row>
    <x:row r="6809" spans="1:14">
      <x:c r="A6809" s="274" t="s">
        <x:v>11075</x:v>
      </x:c>
      <x:c r="B6809" s="274" t="n">
        <x:v>12.15</x:v>
      </x:c>
      <x:c r="C6809" s="274" t="n">
        <x:v>0</x:v>
      </x:c>
      <x:c r="D6809" s="274" t="n">
        <x:v>32</x:v>
      </x:c>
      <x:c r="E6809" s="274" t="n">
        <x:v>28</x:v>
      </x:c>
      <x:c r="F6809" s="274" t="s">
        <x:v>128</x:v>
      </x:c>
      <x:c r="G6809" s="274" t="s">
        <x:v>8751</x:v>
      </x:c>
      <x:c r="H6809" s="274" t="s">
        <x:v>4179</x:v>
      </x:c>
      <x:c r="I6809" s="274" t="n">
        <x:v>0.9</x:v>
      </x:c>
      <x:c r="J6809" s="274" t="n">
        <x:v>1100</x:v>
      </x:c>
      <x:c r="K6809" s="274" t="n">
        <x:v>1550</x:v>
      </x:c>
      <x:c r="M6809" s="274" t="s">
        <x:v>11076</x:v>
      </x:c>
      <x:c r="N6809" s="274" t="s">
        <x:v>126</x:v>
      </x:c>
    </x:row>
    <x:row r="6810" spans="1:14">
      <x:c r="A6810" s="274" t="s">
        <x:v>11077</x:v>
      </x:c>
      <x:c r="B6810" s="274" t="n">
        <x:v>12.52</x:v>
      </x:c>
      <x:c r="C6810" s="274" t="n">
        <x:v>0</x:v>
      </x:c>
      <x:c r="D6810" s="274" t="n">
        <x:v>30</x:v>
      </x:c>
      <x:c r="E6810" s="274" t="n">
        <x:v>40</x:v>
      </x:c>
      <x:c r="F6810" s="274" t="s">
        <x:v>128</x:v>
      </x:c>
      <x:c r="G6810" s="274" t="s">
        <x:v>3314</x:v>
      </x:c>
      <x:c r="H6810" s="274" t="n">
        <x:v>45</x:v>
      </x:c>
      <x:c r="I6810" s="274" t="n">
        <x:v>2.3</x:v>
      </x:c>
      <x:c r="J6810" s="274" t="n">
        <x:v>1135</x:v>
      </x:c>
      <x:c r="K6810" s="274" t="n">
        <x:v>608</x:v>
      </x:c>
      <x:c r="M6810" s="274" t="s">
        <x:v>11078</x:v>
      </x:c>
    </x:row>
    <x:row r="6811" spans="1:14">
      <x:c r="A6811" s="274" t="s">
        <x:v>11079</x:v>
      </x:c>
      <x:c r="B6811" s="274" t="n">
        <x:v>16.29</x:v>
      </x:c>
      <x:c r="C6811" s="274" t="n">
        <x:v>0</x:v>
      </x:c>
      <x:c r="D6811" s="274" t="n">
        <x:v>30</x:v>
      </x:c>
      <x:c r="E6811" s="274" t="n">
        <x:v>27</x:v>
      </x:c>
      <x:c r="F6811" s="274" t="s">
        <x:v>128</x:v>
      </x:c>
      <x:c r="G6811" s="274" t="s">
        <x:v>8761</x:v>
      </x:c>
      <x:c r="I6811" s="274" t="n">
        <x:v>1.8</x:v>
      </x:c>
      <x:c r="J6811" s="274" t="n">
        <x:v>900</x:v>
      </x:c>
      <x:c r="K6811" s="274" t="n">
        <x:v>1281</x:v>
      </x:c>
      <x:c r="M6811" s="274" t="s">
        <x:v>11080</x:v>
      </x:c>
    </x:row>
    <x:row r="6812" spans="1:14">
      <x:c r="A6812" s="274" t="s">
        <x:v>11081</x:v>
      </x:c>
      <x:c r="B6812" s="274" t="n">
        <x:v>4.39</x:v>
      </x:c>
      <x:c r="C6812" s="274" t="n">
        <x:v>0</x:v>
      </x:c>
      <x:c r="D6812" s="274" t="n">
        <x:v>32</x:v>
      </x:c>
      <x:c r="E6812" s="274" t="n">
        <x:v>40</x:v>
      </x:c>
      <x:c r="F6812" s="274" t="s">
        <x:v>133</x:v>
      </x:c>
      <x:c r="G6812" s="274" t="s">
        <x:v>136</x:v>
      </x:c>
      <x:c r="H6812" s="274" t="n">
        <x:v>45</x:v>
      </x:c>
      <x:c r="I6812" s="274" t="n">
        <x:v>0.65</x:v>
      </x:c>
      <x:c r="J6812" s="274" t="n">
        <x:v>1085</x:v>
      </x:c>
      <x:c r="K6812" s="274" t="n">
        <x:v>780</x:v>
      </x:c>
      <x:c r="M6812" s="274" t="s">
        <x:v>11082</x:v>
      </x:c>
      <x:c r="N6812" s="274" t="s">
        <x:v>202</x:v>
      </x:c>
    </x:row>
    <x:row r="6813" spans="1:14">
      <x:c r="A6813" s="274" t="s">
        <x:v>11083</x:v>
      </x:c>
      <x:c r="B6813" s="274" t="n">
        <x:v>5.21</x:v>
      </x:c>
      <x:c r="C6813" s="274" t="n">
        <x:v>0</x:v>
      </x:c>
      <x:c r="D6813" s="274" t="n">
        <x:v>32</x:v>
      </x:c>
      <x:c r="E6813" s="274" t="n">
        <x:v>40</x:v>
      </x:c>
      <x:c r="F6813" s="274" t="s">
        <x:v>133</x:v>
      </x:c>
      <x:c r="G6813" s="274" t="s">
        <x:v>136</x:v>
      </x:c>
      <x:c r="H6813" s="274" t="n">
        <x:v>45</x:v>
      </x:c>
      <x:c r="I6813" s="274" t="n">
        <x:v>0.65</x:v>
      </x:c>
      <x:c r="J6813" s="274" t="n">
        <x:v>1085</x:v>
      </x:c>
      <x:c r="K6813" s="274" t="n">
        <x:v>925</x:v>
      </x:c>
      <x:c r="M6813" s="274" t="s">
        <x:v>11084</x:v>
      </x:c>
      <x:c r="N6813" s="274" t="s">
        <x:v>421</x:v>
      </x:c>
    </x:row>
    <x:row r="6814" spans="1:14">
      <x:c r="A6814" s="274" t="s">
        <x:v>11085</x:v>
      </x:c>
      <x:c r="B6814" s="274" t="n">
        <x:v>4.33</x:v>
      </x:c>
      <x:c r="C6814" s="274" t="n">
        <x:v>0</x:v>
      </x:c>
      <x:c r="D6814" s="274" t="n">
        <x:v>32</x:v>
      </x:c>
      <x:c r="E6814" s="274" t="n">
        <x:v>40</x:v>
      </x:c>
      <x:c r="F6814" s="274" t="s">
        <x:v>133</x:v>
      </x:c>
      <x:c r="G6814" s="274" t="s">
        <x:v>136</x:v>
      </x:c>
      <x:c r="H6814" s="274" t="n">
        <x:v>45</x:v>
      </x:c>
      <x:c r="I6814" s="274" t="n">
        <x:v>0.9</x:v>
      </x:c>
      <x:c r="J6814" s="274" t="n">
        <x:v>1210</x:v>
      </x:c>
      <x:c r="K6814" s="274" t="n">
        <x:v>500</x:v>
      </x:c>
      <x:c r="M6814" s="274" t="s">
        <x:v>11086</x:v>
      </x:c>
      <x:c r="N6814" s="274" t="s">
        <x:v>421</x:v>
      </x:c>
    </x:row>
    <x:row r="6815" spans="1:14">
      <x:c r="A6815" s="274" t="s">
        <x:v>11087</x:v>
      </x:c>
      <x:c r="B6815" s="274" t="n">
        <x:v>16.63</x:v>
      </x:c>
      <x:c r="C6815" s="274" t="n">
        <x:v>0</x:v>
      </x:c>
      <x:c r="D6815" s="274" t="n">
        <x:v>32</x:v>
      </x:c>
      <x:c r="E6815" s="274" t="n">
        <x:v>29</x:v>
      </x:c>
      <x:c r="F6815" s="274" t="s">
        <x:v>123</x:v>
      </x:c>
      <x:c r="G6815" s="274" t="s">
        <x:v>209</x:v>
      </x:c>
      <x:c r="I6815" s="274" t="n">
        <x:v>1.2</x:v>
      </x:c>
      <x:c r="J6815" s="274" t="n">
        <x:v>1200</x:v>
      </x:c>
      <x:c r="K6815" s="274" t="n">
        <x:v>1471</x:v>
      </x:c>
      <x:c r="M6815" s="274" t="s">
        <x:v>11088</x:v>
      </x:c>
    </x:row>
    <x:row r="6816" spans="1:14">
      <x:c r="A6816" s="274" t="s">
        <x:v>11089</x:v>
      </x:c>
      <x:c r="B6816" s="274" t="n">
        <x:v>12.43</x:v>
      </x:c>
      <x:c r="C6816" s="274" t="n">
        <x:v>0</x:v>
      </x:c>
      <x:c r="D6816" s="274" t="n">
        <x:v>30</x:v>
      </x:c>
      <x:c r="E6816" s="274" t="n">
        <x:v>40</x:v>
      </x:c>
      <x:c r="F6816" s="274" t="s">
        <x:v>123</x:v>
      </x:c>
      <x:c r="G6816" s="274" t="s">
        <x:v>209</x:v>
      </x:c>
      <x:c r="I6816" s="274" t="n">
        <x:v>1.4</x:v>
      </x:c>
      <x:c r="J6816" s="274" t="n">
        <x:v>1250</x:v>
      </x:c>
      <x:c r="K6816" s="274" t="n">
        <x:v>905</x:v>
      </x:c>
      <x:c r="M6816" s="274" t="s">
        <x:v>11090</x:v>
      </x:c>
    </x:row>
    <x:row r="6817" spans="1:14">
      <x:c r="A6817" s="274" t="s">
        <x:v>11091</x:v>
      </x:c>
      <x:c r="B6817" s="274" t="n">
        <x:v>16.01</x:v>
      </x:c>
      <x:c r="C6817" s="274" t="n">
        <x:v>0</x:v>
      </x:c>
      <x:c r="D6817" s="274" t="n">
        <x:v>30</x:v>
      </x:c>
      <x:c r="E6817" s="274" t="n">
        <x:v>32</x:v>
      </x:c>
      <x:c r="F6817" s="274" t="s">
        <x:v>133</x:v>
      </x:c>
      <x:c r="G6817" s="274" t="s">
        <x:v>134</x:v>
      </x:c>
      <x:c r="I6817" s="274" t="n">
        <x:v>1.6</x:v>
      </x:c>
      <x:c r="J6817" s="274" t="n">
        <x:v>1020</x:v>
      </x:c>
      <x:c r="K6817" s="274" t="n">
        <x:v>1250</x:v>
      </x:c>
      <x:c r="M6817" s="274" t="s">
        <x:v>11092</x:v>
      </x:c>
      <x:c r="N6817" s="274" t="s">
        <x:v>155</x:v>
      </x:c>
    </x:row>
    <x:row r="6818" spans="1:14">
      <x:c r="A6818" s="274" t="s">
        <x:v>11093</x:v>
      </x:c>
      <x:c r="B6818" s="274" t="n">
        <x:v>10.95</x:v>
      </x:c>
      <x:c r="C6818" s="274" t="n">
        <x:v>0</x:v>
      </x:c>
      <x:c r="D6818" s="274" t="n">
        <x:v>30</x:v>
      </x:c>
      <x:c r="E6818" s="274" t="n">
        <x:v>37</x:v>
      </x:c>
      <x:c r="F6818" s="274" t="s">
        <x:v>133</x:v>
      </x:c>
      <x:c r="G6818" s="274" t="s">
        <x:v>148</x:v>
      </x:c>
      <x:c r="I6818" s="274" t="n">
        <x:v>3.2</x:v>
      </x:c>
      <x:c r="J6818" s="274" t="n">
        <x:v>1095</x:v>
      </x:c>
      <x:c r="K6818" s="274" t="n">
        <x:v>398</x:v>
      </x:c>
      <x:c r="M6818" s="274" t="s">
        <x:v>11094</x:v>
      </x:c>
    </x:row>
    <x:row r="6819" spans="1:14">
      <x:c r="A6819" s="274" t="s">
        <x:v>11095</x:v>
      </x:c>
      <x:c r="B6819" s="274" t="n">
        <x:v>34.39</x:v>
      </x:c>
      <x:c r="C6819" s="274" t="n">
        <x:v>0</x:v>
      </x:c>
      <x:c r="D6819" s="274" t="n">
        <x:v>30</x:v>
      </x:c>
      <x:c r="E6819" s="274" t="n">
        <x:v>25</x:v>
      </x:c>
      <x:c r="F6819" s="274" t="s">
        <x:v>133</x:v>
      </x:c>
      <x:c r="G6819" s="274" t="s">
        <x:v>148</x:v>
      </x:c>
      <x:c r="I6819" s="274" t="n">
        <x:v>3.2</x:v>
      </x:c>
      <x:c r="J6819" s="274" t="n">
        <x:v>1095</x:v>
      </x:c>
      <x:c r="K6819" s="274" t="n">
        <x:v>1250</x:v>
      </x:c>
      <x:c r="M6819" s="274" t="s">
        <x:v>11096</x:v>
      </x:c>
    </x:row>
    <x:row r="6820" spans="1:14">
      <x:c r="A6820" s="274" t="s">
        <x:v>11097</x:v>
      </x:c>
      <x:c r="B6820" s="274" t="n">
        <x:v>5.46</x:v>
      </x:c>
      <x:c r="C6820" s="274" t="n">
        <x:v>0</x:v>
      </x:c>
      <x:c r="D6820" s="274" t="n">
        <x:v>32</x:v>
      </x:c>
      <x:c r="E6820" s="274" t="n">
        <x:v>40</x:v>
      </x:c>
      <x:c r="F6820" s="274" t="s">
        <x:v>133</x:v>
      </x:c>
      <x:c r="G6820" s="274" t="s">
        <x:v>136</x:v>
      </x:c>
      <x:c r="H6820" s="274" t="n">
        <x:v>45</x:v>
      </x:c>
      <x:c r="I6820" s="274" t="n">
        <x:v>0.65</x:v>
      </x:c>
      <x:c r="J6820" s="274" t="n">
        <x:v>1085</x:v>
      </x:c>
      <x:c r="K6820" s="274" t="n">
        <x:v>969</x:v>
      </x:c>
      <x:c r="M6820" s="274" t="s">
        <x:v>11098</x:v>
      </x:c>
    </x:row>
    <x:row r="6821" spans="1:14">
      <x:c r="A6821" s="274" t="s">
        <x:v>11099</x:v>
      </x:c>
      <x:c r="B6821" s="274" t="n">
        <x:v>11.93</x:v>
      </x:c>
      <x:c r="C6821" s="274" t="n">
        <x:v>0</x:v>
      </x:c>
      <x:c r="D6821" s="274" t="n">
        <x:v>30</x:v>
      </x:c>
      <x:c r="E6821" s="274" t="n">
        <x:v>40</x:v>
      </x:c>
      <x:c r="F6821" s="274" t="s">
        <x:v>133</x:v>
      </x:c>
      <x:c r="G6821" s="274" t="s">
        <x:v>148</x:v>
      </x:c>
      <x:c r="I6821" s="274" t="n">
        <x:v>2.3</x:v>
      </x:c>
      <x:c r="J6821" s="274" t="n">
        <x:v>1120</x:v>
      </x:c>
      <x:c r="K6821" s="274" t="n">
        <x:v>590</x:v>
      </x:c>
      <x:c r="N6821" s="274" t="s">
        <x:v>11100</x:v>
      </x:c>
    </x:row>
    <x:row r="6822" spans="1:14">
      <x:c r="A6822" s="274" t="s">
        <x:v>11101</x:v>
      </x:c>
      <x:c r="B6822" s="274" t="n">
        <x:v>8.42</x:v>
      </x:c>
      <x:c r="C6822" s="274" t="n">
        <x:v>0</x:v>
      </x:c>
      <x:c r="D6822" s="274" t="n">
        <x:v>32</x:v>
      </x:c>
      <x:c r="E6822" s="274" t="n">
        <x:v>29</x:v>
      </x:c>
      <x:c r="F6822" s="274" t="s">
        <x:v>133</x:v>
      </x:c>
      <x:c r="G6822" s="274" t="s">
        <x:v>136</x:v>
      </x:c>
      <x:c r="H6822" s="274" t="n">
        <x:v>45</x:v>
      </x:c>
      <x:c r="I6822" s="274" t="n">
        <x:v>0.65</x:v>
      </x:c>
      <x:c r="J6822" s="274" t="n">
        <x:v>1085</x:v>
      </x:c>
      <x:c r="K6822" s="274" t="n">
        <x:v>1495</x:v>
      </x:c>
      <x:c r="M6822" s="274" t="s">
        <x:v>11102</x:v>
      </x:c>
      <x:c r="N6822" s="274" t="s">
        <x:v>202</x:v>
      </x:c>
    </x:row>
    <x:row r="6823" spans="1:14">
      <x:c r="A6823" s="274" t="s">
        <x:v>11103</x:v>
      </x:c>
      <x:c r="B6823" s="274" t="n">
        <x:v>8.65</x:v>
      </x:c>
      <x:c r="C6823" s="274" t="n">
        <x:v>0</x:v>
      </x:c>
      <x:c r="D6823" s="274" t="n">
        <x:v>30</x:v>
      </x:c>
      <x:c r="E6823" s="274" t="n">
        <x:v>40</x:v>
      </x:c>
      <x:c r="F6823" s="274" t="s">
        <x:v>133</x:v>
      </x:c>
      <x:c r="G6823" s="274" t="s">
        <x:v>134</x:v>
      </x:c>
      <x:c r="I6823" s="274" t="n">
        <x:v>1.6</x:v>
      </x:c>
      <x:c r="J6823" s="274" t="n">
        <x:v>1020</x:v>
      </x:c>
      <x:c r="K6823" s="274" t="n">
        <x:v>675</x:v>
      </x:c>
      <x:c r="M6823" s="274" t="s">
        <x:v>11104</x:v>
      </x:c>
    </x:row>
    <x:row r="6824" spans="1:14">
      <x:c r="A6824" s="274" t="s">
        <x:v>11105</x:v>
      </x:c>
      <x:c r="B6824" s="274" t="n">
        <x:v>18.48</x:v>
      </x:c>
      <x:c r="C6824" s="274" t="n">
        <x:v>0</x:v>
      </x:c>
      <x:c r="D6824" s="274" t="n">
        <x:v>30</x:v>
      </x:c>
      <x:c r="E6824" s="274" t="n">
        <x:v>28</x:v>
      </x:c>
      <x:c r="F6824" s="274" t="s">
        <x:v>133</x:v>
      </x:c>
      <x:c r="G6824" s="274" t="s">
        <x:v>134</x:v>
      </x:c>
      <x:c r="I6824" s="274" t="n">
        <x:v>2</x:v>
      </x:c>
      <x:c r="J6824" s="274" t="n">
        <x:v>1085</x:v>
      </x:c>
      <x:c r="K6824" s="274" t="n">
        <x:v>1085</x:v>
      </x:c>
      <x:c r="M6824" s="274" t="s">
        <x:v>11106</x:v>
      </x:c>
      <x:c r="N6824" s="274" t="s">
        <x:v>4250</x:v>
      </x:c>
    </x:row>
    <x:row r="6825" spans="1:14">
      <x:c r="A6825" s="274" t="s">
        <x:v>11107</x:v>
      </x:c>
      <x:c r="B6825" s="274" t="n">
        <x:v>34.96</x:v>
      </x:c>
      <x:c r="C6825" s="274" t="n">
        <x:v>0</x:v>
      </x:c>
      <x:c r="D6825" s="274" t="n">
        <x:v>30</x:v>
      </x:c>
      <x:c r="E6825" s="274" t="n">
        <x:v>26</x:v>
      </x:c>
      <x:c r="F6825" s="274" t="s">
        <x:v>133</x:v>
      </x:c>
      <x:c r="G6825" s="274" t="s">
        <x:v>148</x:v>
      </x:c>
      <x:c r="I6825" s="274" t="n">
        <x:v>3.6</x:v>
      </x:c>
      <x:c r="J6825" s="274" t="n">
        <x:v>1080</x:v>
      </x:c>
      <x:c r="K6825" s="274" t="n">
        <x:v>1145</x:v>
      </x:c>
      <x:c r="M6825" s="274" t="s">
        <x:v>11108</x:v>
      </x:c>
    </x:row>
    <x:row r="6826" spans="1:14">
      <x:c r="A6826" s="274" t="s">
        <x:v>11109</x:v>
      </x:c>
      <x:c r="B6826" s="274" t="n">
        <x:v>39.37</x:v>
      </x:c>
      <x:c r="C6826" s="274" t="n">
        <x:v>0</x:v>
      </x:c>
      <x:c r="D6826" s="274" t="n">
        <x:v>30</x:v>
      </x:c>
      <x:c r="E6826" s="274" t="n">
        <x:v>25</x:v>
      </x:c>
      <x:c r="F6826" s="274" t="s">
        <x:v>133</x:v>
      </x:c>
      <x:c r="G6826" s="274" t="s">
        <x:v>148</x:v>
      </x:c>
      <x:c r="I6826" s="274" t="n">
        <x:v>3.6</x:v>
      </x:c>
      <x:c r="J6826" s="274" t="n">
        <x:v>1080</x:v>
      </x:c>
      <x:c r="K6826" s="274" t="n">
        <x:v>1290</x:v>
      </x:c>
      <x:c r="M6826" s="274" t="s">
        <x:v>11108</x:v>
      </x:c>
    </x:row>
    <x:row r="6827" spans="1:14">
      <x:c r="A6827" s="274" t="s">
        <x:v>11110</x:v>
      </x:c>
      <x:c r="B6827" s="274" t="n">
        <x:v>6.41</x:v>
      </x:c>
      <x:c r="C6827" s="274" t="n">
        <x:v>0</x:v>
      </x:c>
      <x:c r="D6827" s="274" t="n">
        <x:v>30</x:v>
      </x:c>
      <x:c r="E6827" s="274" t="n">
        <x:v>40</x:v>
      </x:c>
      <x:c r="F6827" s="274" t="s">
        <x:v>123</x:v>
      </x:c>
      <x:c r="G6827" s="274" t="s">
        <x:v>209</x:v>
      </x:c>
      <x:c r="I6827" s="274" t="n">
        <x:v>1.6</x:v>
      </x:c>
      <x:c r="J6827" s="274" t="n">
        <x:v>1085</x:v>
      </x:c>
      <x:c r="K6827" s="274" t="n">
        <x:v>470</x:v>
      </x:c>
      <x:c r="M6827" s="274" t="s">
        <x:v>11111</x:v>
      </x:c>
    </x:row>
    <x:row r="6828" spans="1:14">
      <x:c r="A6828" s="274" t="s">
        <x:v>11112</x:v>
      </x:c>
      <x:c r="B6828" s="274" t="n">
        <x:v>0.82</x:v>
      </x:c>
      <x:c r="C6828" s="274" t="n">
        <x:v>0</x:v>
      </x:c>
      <x:c r="D6828" s="274" t="n">
        <x:v>0</x:v>
      </x:c>
      <x:c r="E6828" s="274" t="n">
        <x:v>0</x:v>
      </x:c>
      <x:c r="F6828" s="274" t="s">
        <x:v>133</x:v>
      </x:c>
      <x:c r="G6828" s="274" t="s">
        <x:v>136</x:v>
      </x:c>
      <x:c r="H6828" s="274" t="n">
        <x:v>45</x:v>
      </x:c>
      <x:c r="I6828" s="274" t="n">
        <x:v>1.6</x:v>
      </x:c>
      <x:c r="J6828" s="274" t="n">
        <x:v>245</x:v>
      </x:c>
      <x:c r="K6828" s="274" t="n">
        <x:v>264</x:v>
      </x:c>
      <x:c r="M6828" s="274" t="s">
        <x:v>11113</x:v>
      </x:c>
      <x:c r="N6828" s="274" t="s">
        <x:v>162</x:v>
      </x:c>
    </x:row>
    <x:row r="6829" spans="1:14">
      <x:c r="A6829" s="274" t="s">
        <x:v>11114</x:v>
      </x:c>
      <x:c r="B6829" s="274" t="n">
        <x:v>4.85</x:v>
      </x:c>
      <x:c r="C6829" s="274" t="n">
        <x:v>0</x:v>
      </x:c>
      <x:c r="D6829" s="274" t="n">
        <x:v>32</x:v>
      </x:c>
      <x:c r="E6829" s="274" t="n">
        <x:v>37</x:v>
      </x:c>
      <x:c r="F6829" s="274" t="s">
        <x:v>133</x:v>
      </x:c>
      <x:c r="G6829" s="274" t="s">
        <x:v>136</x:v>
      </x:c>
      <x:c r="H6829" s="274" t="n">
        <x:v>45</x:v>
      </x:c>
      <x:c r="I6829" s="274" t="n">
        <x:v>0.65</x:v>
      </x:c>
      <x:c r="J6829" s="274" t="n">
        <x:v>935</x:v>
      </x:c>
      <x:c r="K6829" s="274" t="n">
        <x:v>1000</x:v>
      </x:c>
      <x:c r="M6829" s="274" t="s">
        <x:v>11115</x:v>
      </x:c>
    </x:row>
    <x:row r="6830" spans="1:14">
      <x:c r="A6830" s="274" t="s">
        <x:v>11116</x:v>
      </x:c>
      <x:c r="B6830" s="274" t="n">
        <x:v>18.38</x:v>
      </x:c>
      <x:c r="C6830" s="274" t="n">
        <x:v>0</x:v>
      </x:c>
      <x:c r="D6830" s="274" t="n">
        <x:v>30</x:v>
      </x:c>
      <x:c r="E6830" s="274" t="n">
        <x:v>28</x:v>
      </x:c>
      <x:c r="F6830" s="274" t="s">
        <x:v>133</x:v>
      </x:c>
      <x:c r="G6830" s="274" t="s">
        <x:v>134</x:v>
      </x:c>
      <x:c r="I6830" s="274" t="n">
        <x:v>2</x:v>
      </x:c>
      <x:c r="J6830" s="274" t="n">
        <x:v>1085</x:v>
      </x:c>
      <x:c r="K6830" s="274" t="n">
        <x:v>1079</x:v>
      </x:c>
      <x:c r="M6830" s="274" t="s">
        <x:v>11117</x:v>
      </x:c>
    </x:row>
    <x:row r="6831" spans="1:14">
      <x:c r="A6831" s="274" t="s">
        <x:v>11118</x:v>
      </x:c>
      <x:c r="B6831" s="274" t="n">
        <x:v>5</x:v>
      </x:c>
      <x:c r="C6831" s="274" t="n">
        <x:v>0</x:v>
      </x:c>
      <x:c r="D6831" s="274" t="n">
        <x:v>32</x:v>
      </x:c>
      <x:c r="E6831" s="274" t="n">
        <x:v>40</x:v>
      </x:c>
      <x:c r="F6831" s="274" t="s">
        <x:v>123</x:v>
      </x:c>
      <x:c r="G6831" s="274" t="s">
        <x:v>209</x:v>
      </x:c>
      <x:c r="I6831" s="274" t="n">
        <x:v>1</x:v>
      </x:c>
      <x:c r="J6831" s="274" t="n">
        <x:v>1180</x:v>
      </x:c>
      <x:c r="K6831" s="274" t="n">
        <x:v>540</x:v>
      </x:c>
      <x:c r="M6831" s="274" t="s">
        <x:v>11119</x:v>
      </x:c>
      <x:c r="N6831" s="274" t="s">
        <x:v>1233</x:v>
      </x:c>
    </x:row>
    <x:row r="6832" spans="1:14">
      <x:c r="A6832" s="274" t="s">
        <x:v>11120</x:v>
      </x:c>
      <x:c r="B6832" s="274" t="n">
        <x:v>5.89</x:v>
      </x:c>
      <x:c r="C6832" s="274" t="n">
        <x:v>0</x:v>
      </x:c>
      <x:c r="D6832" s="274" t="n">
        <x:v>32</x:v>
      </x:c>
      <x:c r="E6832" s="274" t="n">
        <x:v>40</x:v>
      </x:c>
      <x:c r="F6832" s="274" t="s">
        <x:v>133</x:v>
      </x:c>
      <x:c r="G6832" s="274" t="s">
        <x:v>136</x:v>
      </x:c>
      <x:c r="H6832" s="274" t="n">
        <x:v>45</x:v>
      </x:c>
      <x:c r="I6832" s="274" t="n">
        <x:v>0.9</x:v>
      </x:c>
      <x:c r="J6832" s="274" t="n">
        <x:v>1210</x:v>
      </x:c>
      <x:c r="K6832" s="274" t="n">
        <x:v>680</x:v>
      </x:c>
      <x:c r="M6832" s="274" t="s">
        <x:v>11121</x:v>
      </x:c>
      <x:c r="N6832" s="274" t="s">
        <x:v>421</x:v>
      </x:c>
    </x:row>
    <x:row r="6833" spans="1:14">
      <x:c r="A6833" s="274" t="s">
        <x:v>11122</x:v>
      </x:c>
      <x:c r="B6833" s="274" t="n">
        <x:v>4.2</x:v>
      </x:c>
      <x:c r="C6833" s="274" t="n">
        <x:v>0</x:v>
      </x:c>
      <x:c r="D6833" s="274" t="n">
        <x:v>38</x:v>
      </x:c>
      <x:c r="E6833" s="274" t="n">
        <x:v>40</x:v>
      </x:c>
      <x:c r="F6833" s="274" t="s">
        <x:v>133</x:v>
      </x:c>
      <x:c r="G6833" s="274" t="s">
        <x:v>136</x:v>
      </x:c>
      <x:c r="H6833" s="274" t="n">
        <x:v>45</x:v>
      </x:c>
      <x:c r="I6833" s="274" t="n">
        <x:v>0.9</x:v>
      </x:c>
      <x:c r="J6833" s="274" t="n">
        <x:v>860</x:v>
      </x:c>
      <x:c r="K6833" s="274" t="n">
        <x:v>682</x:v>
      </x:c>
      <x:c r="N6833" s="274" t="s">
        <x:v>421</x:v>
      </x:c>
    </x:row>
    <x:row r="6834" spans="1:14">
      <x:c r="A6834" s="274" t="s">
        <x:v>11123</x:v>
      </x:c>
      <x:c r="B6834" s="274" t="n">
        <x:v>11.58</x:v>
      </x:c>
      <x:c r="C6834" s="274" t="n">
        <x:v>0</x:v>
      </x:c>
      <x:c r="D6834" s="274" t="n">
        <x:v>32</x:v>
      </x:c>
      <x:c r="E6834" s="274" t="n">
        <x:v>29</x:v>
      </x:c>
      <x:c r="F6834" s="274" t="s">
        <x:v>123</x:v>
      </x:c>
      <x:c r="G6834" s="274" t="s">
        <x:v>153</x:v>
      </x:c>
      <x:c r="I6834" s="274" t="n">
        <x:v>0.9</x:v>
      </x:c>
      <x:c r="J6834" s="274" t="n">
        <x:v>1150</x:v>
      </x:c>
      <x:c r="K6834" s="274" t="n">
        <x:v>1425</x:v>
      </x:c>
      <x:c r="M6834" s="274" t="s">
        <x:v>11124</x:v>
      </x:c>
      <x:c r="N6834" s="274" t="s">
        <x:v>465</x:v>
      </x:c>
    </x:row>
    <x:row r="6835" spans="1:14">
      <x:c r="A6835" s="274" t="s">
        <x:v>11125</x:v>
      </x:c>
      <x:c r="B6835" s="274" t="n">
        <x:v>1.06</x:v>
      </x:c>
      <x:c r="C6835" s="274" t="n">
        <x:v>0</x:v>
      </x:c>
      <x:c r="D6835" s="274" t="n">
        <x:v>0</x:v>
      </x:c>
      <x:c r="E6835" s="274" t="n">
        <x:v>0</x:v>
      </x:c>
      <x:c r="F6835" s="274" t="s">
        <x:v>133</x:v>
      </x:c>
      <x:c r="G6835" s="274" t="s">
        <x:v>136</x:v>
      </x:c>
      <x:c r="H6835" s="274" t="n">
        <x:v>45</x:v>
      </x:c>
      <x:c r="I6835" s="274" t="n">
        <x:v>0.65</x:v>
      </x:c>
      <x:c r="J6835" s="274" t="n">
        <x:v>217</x:v>
      </x:c>
      <x:c r="K6835" s="274" t="n">
        <x:v>945</x:v>
      </x:c>
      <x:c r="M6835" s="274" t="s">
        <x:v>11126</x:v>
      </x:c>
    </x:row>
    <x:row r="6836" spans="1:14">
      <x:c r="A6836" s="274" t="s">
        <x:v>11127</x:v>
      </x:c>
      <x:c r="B6836" s="274" t="n">
        <x:v>1.04</x:v>
      </x:c>
      <x:c r="C6836" s="274" t="n">
        <x:v>0</x:v>
      </x:c>
      <x:c r="D6836" s="274" t="n">
        <x:v>0</x:v>
      </x:c>
      <x:c r="E6836" s="274" t="n">
        <x:v>0</x:v>
      </x:c>
      <x:c r="F6836" s="274" t="s">
        <x:v>133</x:v>
      </x:c>
      <x:c r="G6836" s="274" t="s">
        <x:v>136</x:v>
      </x:c>
      <x:c r="H6836" s="274" t="n">
        <x:v>45</x:v>
      </x:c>
      <x:c r="I6836" s="274" t="n">
        <x:v>0.65</x:v>
      </x:c>
      <x:c r="J6836" s="274" t="n">
        <x:v>217</x:v>
      </x:c>
      <x:c r="K6836" s="274" t="n">
        <x:v>925</x:v>
      </x:c>
      <x:c r="M6836" s="274" t="s">
        <x:v>11128</x:v>
      </x:c>
    </x:row>
    <x:row r="6837" spans="1:14">
      <x:c r="A6837" s="274" t="s">
        <x:v>11129</x:v>
      </x:c>
      <x:c r="B6837" s="274" t="n">
        <x:v>4.63</x:v>
      </x:c>
      <x:c r="C6837" s="274" t="n">
        <x:v>0</x:v>
      </x:c>
      <x:c r="D6837" s="274" t="n">
        <x:v>32</x:v>
      </x:c>
      <x:c r="E6837" s="274" t="n">
        <x:v>40</x:v>
      </x:c>
      <x:c r="F6837" s="274" t="s">
        <x:v>123</x:v>
      </x:c>
      <x:c r="G6837" s="274" t="s">
        <x:v>153</x:v>
      </x:c>
      <x:c r="I6837" s="274" t="n">
        <x:v>0.9</x:v>
      </x:c>
      <x:c r="J6837" s="274" t="n">
        <x:v>1150</x:v>
      </x:c>
      <x:c r="K6837" s="274" t="n">
        <x:v>570</x:v>
      </x:c>
      <x:c r="M6837" s="274" t="s">
        <x:v>11130</x:v>
      </x:c>
      <x:c r="N6837" s="274" t="s">
        <x:v>1274</x:v>
      </x:c>
    </x:row>
    <x:row r="6838" spans="1:14">
      <x:c r="A6838" s="274" t="s">
        <x:v>11131</x:v>
      </x:c>
      <x:c r="B6838" s="274" t="n">
        <x:v>21.36</x:v>
      </x:c>
      <x:c r="C6838" s="274" t="n">
        <x:v>0</x:v>
      </x:c>
      <x:c r="D6838" s="274" t="n">
        <x:v>30</x:v>
      </x:c>
      <x:c r="E6838" s="274" t="n">
        <x:v>28</x:v>
      </x:c>
      <x:c r="F6838" s="274" t="s">
        <x:v>123</x:v>
      </x:c>
      <x:c r="G6838" s="274" t="s">
        <x:v>209</x:v>
      </x:c>
      <x:c r="I6838" s="274" t="n">
        <x:v>1.4</x:v>
      </x:c>
      <x:c r="J6838" s="274" t="n">
        <x:v>1250</x:v>
      </x:c>
      <x:c r="K6838" s="274" t="n">
        <x:v>1555</x:v>
      </x:c>
      <x:c r="M6838" s="274" t="s">
        <x:v>11132</x:v>
      </x:c>
    </x:row>
    <x:row r="6839" spans="1:14">
      <x:c r="A6839" s="274" t="s">
        <x:v>11133</x:v>
      </x:c>
      <x:c r="B6839" s="274" t="n">
        <x:v>9.99</x:v>
      </x:c>
      <x:c r="C6839" s="274" t="n">
        <x:v>0</x:v>
      </x:c>
      <x:c r="D6839" s="274" t="n">
        <x:v>32</x:v>
      </x:c>
      <x:c r="E6839" s="274" t="n">
        <x:v>37</x:v>
      </x:c>
      <x:c r="F6839" s="274" t="s">
        <x:v>123</x:v>
      </x:c>
      <x:c r="G6839" s="274" t="s">
        <x:v>153</x:v>
      </x:c>
      <x:c r="I6839" s="274" t="n">
        <x:v>1.2</x:v>
      </x:c>
      <x:c r="J6839" s="274" t="n">
        <x:v>1005</x:v>
      </x:c>
      <x:c r="K6839" s="274" t="n">
        <x:v>1055</x:v>
      </x:c>
      <x:c r="M6839" s="274" t="s">
        <x:v>11134</x:v>
      </x:c>
    </x:row>
    <x:row r="6840" spans="1:14">
      <x:c r="A6840" s="274" t="s">
        <x:v>11135</x:v>
      </x:c>
      <x:c r="B6840" s="274" t="n">
        <x:v>0.35</x:v>
      </x:c>
      <x:c r="C6840" s="274" t="n">
        <x:v>0</x:v>
      </x:c>
      <x:c r="D6840" s="274" t="n">
        <x:v>0</x:v>
      </x:c>
      <x:c r="E6840" s="274" t="n">
        <x:v>0</x:v>
      </x:c>
      <x:c r="F6840" s="274" t="s">
        <x:v>123</x:v>
      </x:c>
      <x:c r="G6840" s="274" t="s">
        <x:v>209</x:v>
      </x:c>
      <x:c r="I6840" s="274" t="n">
        <x:v>1.8</x:v>
      </x:c>
      <x:c r="J6840" s="274" t="n">
        <x:v>115</x:v>
      </x:c>
      <x:c r="K6840" s="274" t="n">
        <x:v>217</x:v>
      </x:c>
      <x:c r="M6840" s="274" t="s">
        <x:v>11136</x:v>
      </x:c>
      <x:c r="N6840" s="274" t="s">
        <x:v>162</x:v>
      </x:c>
    </x:row>
    <x:row r="6841" spans="1:14">
      <x:c r="A6841" s="274" t="s">
        <x:v>11137</x:v>
      </x:c>
      <x:c r="B6841" s="274" t="n">
        <x:v>0.59</x:v>
      </x:c>
      <x:c r="C6841" s="274" t="n">
        <x:v>0</x:v>
      </x:c>
      <x:c r="D6841" s="274" t="n">
        <x:v>0</x:v>
      </x:c>
      <x:c r="E6841" s="274" t="n">
        <x:v>0</x:v>
      </x:c>
      <x:c r="F6841" s="274" t="s">
        <x:v>123</x:v>
      </x:c>
      <x:c r="G6841" s="274" t="s">
        <x:v>209</x:v>
      </x:c>
      <x:c r="I6841" s="274" t="n">
        <x:v>1.8</x:v>
      </x:c>
      <x:c r="J6841" s="274" t="n">
        <x:v>205</x:v>
      </x:c>
      <x:c r="K6841" s="274" t="n">
        <x:v>205</x:v>
      </x:c>
      <x:c r="M6841" s="274" t="s">
        <x:v>11138</x:v>
      </x:c>
      <x:c r="N6841" s="274" t="s">
        <x:v>162</x:v>
      </x:c>
    </x:row>
    <x:row r="6842" spans="1:14">
      <x:c r="A6842" s="274" t="s">
        <x:v>11139</x:v>
      </x:c>
      <x:c r="B6842" s="274" t="n">
        <x:v>1.58</x:v>
      </x:c>
      <x:c r="C6842" s="274" t="n">
        <x:v>0</x:v>
      </x:c>
      <x:c r="D6842" s="274" t="n">
        <x:v>0</x:v>
      </x:c>
      <x:c r="E6842" s="274" t="n">
        <x:v>0</x:v>
      </x:c>
      <x:c r="F6842" s="274" t="s">
        <x:v>133</x:v>
      </x:c>
      <x:c r="G6842" s="274" t="s">
        <x:v>153</x:v>
      </x:c>
      <x:c r="I6842" s="274" t="n">
        <x:v>1.6</x:v>
      </x:c>
      <x:c r="J6842" s="274" t="n">
        <x:v>270</x:v>
      </x:c>
      <x:c r="K6842" s="274" t="n">
        <x:v>465</x:v>
      </x:c>
      <x:c r="M6842" s="274" t="s">
        <x:v>11140</x:v>
      </x:c>
      <x:c r="N6842" s="274" t="s">
        <x:v>162</x:v>
      </x:c>
    </x:row>
    <x:row r="6843" spans="1:14">
      <x:c r="A6843" s="274" t="s">
        <x:v>11141</x:v>
      </x:c>
      <x:c r="B6843" s="274" t="n">
        <x:v>10.56</x:v>
      </x:c>
      <x:c r="C6843" s="274" t="n">
        <x:v>0</x:v>
      </x:c>
      <x:c r="D6843" s="274" t="n">
        <x:v>32</x:v>
      </x:c>
      <x:c r="E6843" s="274" t="n">
        <x:v>35</x:v>
      </x:c>
      <x:c r="F6843" s="274" t="s">
        <x:v>123</x:v>
      </x:c>
      <x:c r="G6843" s="274" t="s">
        <x:v>209</x:v>
      </x:c>
      <x:c r="I6843" s="274" t="n">
        <x:v>1</x:v>
      </x:c>
      <x:c r="J6843" s="274" t="n">
        <x:v>1180</x:v>
      </x:c>
      <x:c r="K6843" s="274" t="n">
        <x:v>1140</x:v>
      </x:c>
    </x:row>
    <x:row r="6844" spans="1:14">
      <x:c r="A6844" s="274" t="s">
        <x:v>11142</x:v>
      </x:c>
      <x:c r="B6844" s="274" t="n">
        <x:v>22.9</x:v>
      </x:c>
      <x:c r="C6844" s="274" t="n">
        <x:v>0</x:v>
      </x:c>
      <x:c r="D6844" s="274" t="n">
        <x:v>30</x:v>
      </x:c>
      <x:c r="E6844" s="274" t="n">
        <x:v>31</x:v>
      </x:c>
      <x:c r="F6844" s="274" t="s">
        <x:v>133</x:v>
      </x:c>
      <x:c r="G6844" s="274" t="s">
        <x:v>148</x:v>
      </x:c>
      <x:c r="I6844" s="274" t="n">
        <x:v>3.2</x:v>
      </x:c>
      <x:c r="J6844" s="274" t="n">
        <x:v>975</x:v>
      </x:c>
      <x:c r="K6844" s="274" t="n">
        <x:v>935</x:v>
      </x:c>
    </x:row>
    <x:row r="6845" spans="1:14">
      <x:c r="A6845" s="274" t="s">
        <x:v>11143</x:v>
      </x:c>
      <x:c r="B6845" s="274" t="n">
        <x:v>14.6</x:v>
      </x:c>
      <x:c r="C6845" s="274" t="n">
        <x:v>0</x:v>
      </x:c>
      <x:c r="D6845" s="274" t="n">
        <x:v>30</x:v>
      </x:c>
      <x:c r="E6845" s="274" t="n">
        <x:v>32</x:v>
      </x:c>
      <x:c r="F6845" s="274" t="s">
        <x:v>133</x:v>
      </x:c>
      <x:c r="G6845" s="274" t="s">
        <x:v>136</x:v>
      </x:c>
      <x:c r="H6845" s="274" t="n">
        <x:v>45</x:v>
      </x:c>
      <x:c r="I6845" s="274" t="n">
        <x:v>1.4</x:v>
      </x:c>
      <x:c r="J6845" s="274" t="n">
        <x:v>1070</x:v>
      </x:c>
      <x:c r="K6845" s="274" t="n">
        <x:v>1232</x:v>
      </x:c>
    </x:row>
    <x:row r="6846" spans="1:14">
      <x:c r="A6846" s="274" t="s">
        <x:v>11144</x:v>
      </x:c>
      <x:c r="B6846" s="274" t="n">
        <x:v>4.27</x:v>
      </x:c>
      <x:c r="C6846" s="274" t="n">
        <x:v>0</x:v>
      </x:c>
      <x:c r="D6846" s="274" t="n">
        <x:v>32</x:v>
      </x:c>
      <x:c r="E6846" s="274" t="n">
        <x:v>40</x:v>
      </x:c>
      <x:c r="F6846" s="274" t="s">
        <x:v>123</x:v>
      </x:c>
      <x:c r="G6846" s="274" t="s">
        <x:v>153</x:v>
      </x:c>
      <x:c r="I6846" s="274" t="n">
        <x:v>1</x:v>
      </x:c>
      <x:c r="J6846" s="274" t="n">
        <x:v>1205</x:v>
      </x:c>
      <x:c r="K6846" s="274" t="n">
        <x:v>451</x:v>
      </x:c>
      <x:c r="M6846" s="274" t="s">
        <x:v>11145</x:v>
      </x:c>
    </x:row>
    <x:row r="6847" spans="1:14">
      <x:c r="A6847" s="274" t="s">
        <x:v>11146</x:v>
      </x:c>
      <x:c r="B6847" s="274" t="n">
        <x:v>14.13</x:v>
      </x:c>
      <x:c r="C6847" s="274" t="n">
        <x:v>0</x:v>
      </x:c>
      <x:c r="D6847" s="274" t="n">
        <x:v>32</x:v>
      </x:c>
      <x:c r="E6847" s="274" t="n">
        <x:v>32</x:v>
      </x:c>
      <x:c r="F6847" s="274" t="s">
        <x:v>123</x:v>
      </x:c>
      <x:c r="G6847" s="274" t="s">
        <x:v>209</x:v>
      </x:c>
      <x:c r="I6847" s="274" t="n">
        <x:v>1.2</x:v>
      </x:c>
      <x:c r="J6847" s="274" t="n">
        <x:v>1200</x:v>
      </x:c>
      <x:c r="K6847" s="274" t="n">
        <x:v>1250</x:v>
      </x:c>
      <x:c r="N6847" s="274" t="s">
        <x:v>4250</x:v>
      </x:c>
    </x:row>
    <x:row r="6848" spans="1:14">
      <x:c r="A6848" s="274" t="s">
        <x:v>11147</x:v>
      </x:c>
      <x:c r="B6848" s="274" t="n">
        <x:v>4.08</x:v>
      </x:c>
      <x:c r="C6848" s="274" t="n">
        <x:v>0</x:v>
      </x:c>
      <x:c r="D6848" s="274" t="n">
        <x:v>32</x:v>
      </x:c>
      <x:c r="E6848" s="274" t="n">
        <x:v>40</x:v>
      </x:c>
      <x:c r="F6848" s="274" t="s">
        <x:v>133</x:v>
      </x:c>
      <x:c r="G6848" s="274" t="s">
        <x:v>136</x:v>
      </x:c>
      <x:c r="H6848" s="274" t="n">
        <x:v>45</x:v>
      </x:c>
      <x:c r="I6848" s="274" t="n">
        <x:v>0.8</x:v>
      </x:c>
      <x:c r="J6848" s="274" t="n">
        <x:v>850</x:v>
      </x:c>
      <x:c r="K6848" s="274" t="n">
        <x:v>754</x:v>
      </x:c>
      <x:c r="M6848" s="274" t="s">
        <x:v>4253</x:v>
      </x:c>
    </x:row>
    <x:row r="6849" spans="1:14">
      <x:c r="A6849" s="274" t="s">
        <x:v>11148</x:v>
      </x:c>
      <x:c r="B6849" s="274" t="n">
        <x:v>9.42</x:v>
      </x:c>
      <x:c r="C6849" s="274" t="n">
        <x:v>0</x:v>
      </x:c>
      <x:c r="D6849" s="274" t="n">
        <x:v>30</x:v>
      </x:c>
      <x:c r="E6849" s="274" t="n">
        <x:v>40</x:v>
      </x:c>
      <x:c r="F6849" s="274" t="s">
        <x:v>133</x:v>
      </x:c>
      <x:c r="G6849" s="274" t="s">
        <x:v>144</x:v>
      </x:c>
      <x:c r="H6849" s="274" t="n">
        <x:v>45</x:v>
      </x:c>
      <x:c r="I6849" s="274" t="n">
        <x:v>2</x:v>
      </x:c>
      <x:c r="J6849" s="274" t="n">
        <x:v>1105</x:v>
      </x:c>
      <x:c r="K6849" s="274" t="n">
        <x:v>540</x:v>
      </x:c>
      <x:c r="M6849" s="274" t="s">
        <x:v>11149</x:v>
      </x:c>
    </x:row>
    <x:row r="6850" spans="1:14">
      <x:c r="A6850" s="274" t="s">
        <x:v>11150</x:v>
      </x:c>
      <x:c r="B6850" s="274" t="n">
        <x:v>8.99</x:v>
      </x:c>
      <x:c r="C6850" s="274" t="n">
        <x:v>0</x:v>
      </x:c>
      <x:c r="D6850" s="274" t="n">
        <x:v>30</x:v>
      </x:c>
      <x:c r="E6850" s="274" t="n">
        <x:v>40</x:v>
      </x:c>
      <x:c r="F6850" s="274" t="s">
        <x:v>133</x:v>
      </x:c>
      <x:c r="G6850" s="274" t="s">
        <x:v>136</x:v>
      </x:c>
      <x:c r="H6850" s="274" t="n">
        <x:v>45</x:v>
      </x:c>
      <x:c r="I6850" s="274" t="n">
        <x:v>1.6</x:v>
      </x:c>
      <x:c r="J6850" s="274" t="n">
        <x:v>1205</x:v>
      </x:c>
      <x:c r="K6850" s="274" t="n">
        <x:v>590</x:v>
      </x:c>
      <x:c r="M6850" s="274" t="s">
        <x:v>11151</x:v>
      </x:c>
    </x:row>
    <x:row r="6851" spans="1:14">
      <x:c r="A6851" s="274" t="s">
        <x:v>11152</x:v>
      </x:c>
      <x:c r="B6851" s="274" t="n">
        <x:v>24.76</x:v>
      </x:c>
      <x:c r="C6851" s="274" t="n">
        <x:v>0</x:v>
      </x:c>
      <x:c r="D6851" s="274" t="n">
        <x:v>30</x:v>
      </x:c>
      <x:c r="E6851" s="274" t="n">
        <x:v>25</x:v>
      </x:c>
      <x:c r="F6851" s="274" t="s">
        <x:v>123</x:v>
      </x:c>
      <x:c r="G6851" s="274" t="s">
        <x:v>209</x:v>
      </x:c>
      <x:c r="I6851" s="274" t="n">
        <x:v>2.3</x:v>
      </x:c>
      <x:c r="J6851" s="274" t="n">
        <x:v>1115</x:v>
      </x:c>
      <x:c r="K6851" s="274" t="n">
        <x:v>1230</x:v>
      </x:c>
      <x:c r="M6851" s="274" t="s">
        <x:v>11153</x:v>
      </x:c>
    </x:row>
    <x:row r="6852" spans="1:14">
      <x:c r="A6852" s="274" t="s">
        <x:v>11154</x:v>
      </x:c>
      <x:c r="B6852" s="274" t="n">
        <x:v>0.72</x:v>
      </x:c>
      <x:c r="C6852" s="274" t="n">
        <x:v>0</x:v>
      </x:c>
      <x:c r="D6852" s="274" t="n">
        <x:v>0</x:v>
      </x:c>
      <x:c r="E6852" s="274" t="n">
        <x:v>0</x:v>
      </x:c>
      <x:c r="F6852" s="274" t="s">
        <x:v>123</x:v>
      </x:c>
      <x:c r="G6852" s="274" t="s">
        <x:v>209</x:v>
      </x:c>
      <x:c r="I6852" s="274" t="n">
        <x:v>1</x:v>
      </x:c>
      <x:c r="J6852" s="274" t="n">
        <x:v>218</x:v>
      </x:c>
      <x:c r="K6852" s="274" t="n">
        <x:v>420</x:v>
      </x:c>
      <x:c r="M6852" s="274" t="s">
        <x:v>11155</x:v>
      </x:c>
    </x:row>
    <x:row r="6853" spans="1:14">
      <x:c r="A6853" s="274" t="s">
        <x:v>11156</x:v>
      </x:c>
      <x:c r="B6853" s="274" t="n">
        <x:v>0.76</x:v>
      </x:c>
      <x:c r="C6853" s="274" t="n">
        <x:v>0</x:v>
      </x:c>
      <x:c r="D6853" s="274" t="n">
        <x:v>0</x:v>
      </x:c>
      <x:c r="E6853" s="274" t="n">
        <x:v>0</x:v>
      </x:c>
      <x:c r="F6853" s="274" t="s">
        <x:v>123</x:v>
      </x:c>
      <x:c r="G6853" s="274" t="s">
        <x:v>209</x:v>
      </x:c>
      <x:c r="I6853" s="274" t="n">
        <x:v>1</x:v>
      </x:c>
      <x:c r="J6853" s="274" t="n">
        <x:v>218</x:v>
      </x:c>
      <x:c r="K6853" s="274" t="n">
        <x:v>445</x:v>
      </x:c>
      <x:c r="M6853" s="274" t="s">
        <x:v>11157</x:v>
      </x:c>
    </x:row>
    <x:row r="6854" spans="1:14">
      <x:c r="A6854" s="274" t="s">
        <x:v>11158</x:v>
      </x:c>
      <x:c r="B6854" s="274" t="n">
        <x:v>5.74</x:v>
      </x:c>
      <x:c r="C6854" s="274" t="n">
        <x:v>0</x:v>
      </x:c>
      <x:c r="D6854" s="274" t="n">
        <x:v>32</x:v>
      </x:c>
      <x:c r="E6854" s="274" t="n">
        <x:v>0</x:v>
      </x:c>
      <x:c r="F6854" s="274" t="s">
        <x:v>133</x:v>
      </x:c>
      <x:c r="G6854" s="274" t="s">
        <x:v>136</x:v>
      </x:c>
      <x:c r="H6854" s="274" t="n">
        <x:v>45</x:v>
      </x:c>
      <x:c r="I6854" s="274" t="n">
        <x:v>0.8</x:v>
      </x:c>
      <x:c r="J6854" s="274" t="n">
        <x:v>1085</x:v>
      </x:c>
      <x:c r="K6854" s="274" t="n">
        <x:v>969.6</x:v>
      </x:c>
      <x:c r="L6854" s="274" t="n">
        <x:v>690.3</x:v>
      </x:c>
      <x:c r="M6854" s="274" t="s">
        <x:v>11159</x:v>
      </x:c>
    </x:row>
    <x:row r="6855" spans="1:14">
      <x:c r="A6855" s="274" t="s">
        <x:v>11160</x:v>
      </x:c>
      <x:c r="B6855" s="274" t="n">
        <x:v>11.01</x:v>
      </x:c>
      <x:c r="C6855" s="274" t="n">
        <x:v>0</x:v>
      </x:c>
      <x:c r="D6855" s="274" t="n">
        <x:v>32</x:v>
      </x:c>
      <x:c r="E6855" s="274" t="n">
        <x:v>40</x:v>
      </x:c>
      <x:c r="F6855" s="274" t="s">
        <x:v>133</x:v>
      </x:c>
      <x:c r="G6855" s="274" t="s">
        <x:v>136</x:v>
      </x:c>
      <x:c r="H6855" s="274" t="n">
        <x:v>45</x:v>
      </x:c>
      <x:c r="I6855" s="274" t="n">
        <x:v>1.2</x:v>
      </x:c>
      <x:c r="J6855" s="274" t="n">
        <x:v>1346</x:v>
      </x:c>
      <x:c r="K6855" s="274" t="n">
        <x:v>860</x:v>
      </x:c>
      <x:c r="M6855" s="274" t="s">
        <x:v>11161</x:v>
      </x:c>
      <x:c r="N6855" s="274" t="s">
        <x:v>126</x:v>
      </x:c>
    </x:row>
    <x:row r="6856" spans="1:14">
      <x:c r="A6856" s="274" t="s">
        <x:v>11162</x:v>
      </x:c>
      <x:c r="B6856" s="274" t="n">
        <x:v>3.48</x:v>
      </x:c>
      <x:c r="C6856" s="274" t="n">
        <x:v>0</x:v>
      </x:c>
      <x:c r="D6856" s="274" t="n">
        <x:v>32</x:v>
      </x:c>
      <x:c r="E6856" s="274" t="n">
        <x:v>40</x:v>
      </x:c>
      <x:c r="F6856" s="274" t="s">
        <x:v>133</x:v>
      </x:c>
      <x:c r="G6856" s="274" t="s">
        <x:v>136</x:v>
      </x:c>
      <x:c r="H6856" s="274" t="n">
        <x:v>45</x:v>
      </x:c>
      <x:c r="I6856" s="274" t="n">
        <x:v>0.9</x:v>
      </x:c>
      <x:c r="J6856" s="274" t="n">
        <x:v>765</x:v>
      </x:c>
      <x:c r="K6856" s="274" t="n">
        <x:v>635</x:v>
      </x:c>
      <x:c r="M6856" s="274" t="s">
        <x:v>11163</x:v>
      </x:c>
    </x:row>
    <x:row r="6857" spans="1:14">
      <x:c r="A6857" s="274" t="s">
        <x:v>11164</x:v>
      </x:c>
      <x:c r="B6857" s="274" t="n">
        <x:v>2.78</x:v>
      </x:c>
      <x:c r="C6857" s="274" t="n">
        <x:v>0</x:v>
      </x:c>
      <x:c r="D6857" s="274" t="n">
        <x:v>32</x:v>
      </x:c>
      <x:c r="E6857" s="274" t="n">
        <x:v>40</x:v>
      </x:c>
      <x:c r="F6857" s="274" t="s">
        <x:v>128</x:v>
      </x:c>
      <x:c r="G6857" s="274" t="s">
        <x:v>129</x:v>
      </x:c>
      <x:c r="H6857" s="274" t="n">
        <x:v>45</x:v>
      </x:c>
      <x:c r="I6857" s="274" t="n">
        <x:v>0.8</x:v>
      </x:c>
      <x:c r="J6857" s="274" t="n">
        <x:v>970</x:v>
      </x:c>
      <x:c r="K6857" s="274" t="n">
        <x:v>450</x:v>
      </x:c>
      <x:c r="M6857" s="274" t="s">
        <x:v>11165</x:v>
      </x:c>
    </x:row>
    <x:row r="6858" spans="1:14">
      <x:c r="A6858" s="274" t="s">
        <x:v>11166</x:v>
      </x:c>
      <x:c r="B6858" s="274" t="n">
        <x:v>13.37</x:v>
      </x:c>
      <x:c r="C6858" s="274" t="n">
        <x:v>0</x:v>
      </x:c>
      <x:c r="D6858" s="274" t="n">
        <x:v>32</x:v>
      </x:c>
      <x:c r="E6858" s="274" t="n">
        <x:v>32</x:v>
      </x:c>
      <x:c r="F6858" s="274" t="s">
        <x:v>133</x:v>
      </x:c>
      <x:c r="G6858" s="274" t="s">
        <x:v>209</x:v>
      </x:c>
      <x:c r="I6858" s="274" t="n">
        <x:v>1.2</x:v>
      </x:c>
      <x:c r="J6858" s="274" t="n">
        <x:v>1135</x:v>
      </x:c>
      <x:c r="K6858" s="274" t="n">
        <x:v>1250</x:v>
      </x:c>
      <x:c r="M6858" s="274" t="s">
        <x:v>11167</x:v>
      </x:c>
    </x:row>
    <x:row r="6859" spans="1:14">
      <x:c r="A6859" s="274" t="s">
        <x:v>11168</x:v>
      </x:c>
      <x:c r="B6859" s="274" t="n">
        <x:v>2.91</x:v>
      </x:c>
      <x:c r="C6859" s="274" t="n">
        <x:v>0</x:v>
      </x:c>
      <x:c r="D6859" s="274" t="n">
        <x:v>0</x:v>
      </x:c>
      <x:c r="E6859" s="274" t="n">
        <x:v>0</x:v>
      </x:c>
      <x:c r="F6859" s="274" t="s">
        <x:v>133</x:v>
      </x:c>
      <x:c r="G6859" s="274" t="s">
        <x:v>136</x:v>
      </x:c>
      <x:c r="H6859" s="274" t="n">
        <x:v>45</x:v>
      </x:c>
      <x:c r="I6859" s="274" t="n">
        <x:v>1.2</x:v>
      </x:c>
      <x:c r="J6859" s="274" t="n">
        <x:v>256</x:v>
      </x:c>
      <x:c r="K6859" s="274" t="n">
        <x:v>1195</x:v>
      </x:c>
      <x:c r="M6859" s="274" t="s">
        <x:v>507</x:v>
      </x:c>
      <x:c r="N6859" s="274" t="s">
        <x:v>229</x:v>
      </x:c>
    </x:row>
    <x:row r="6860" spans="1:14">
      <x:c r="A6860" s="274" t="s">
        <x:v>11169</x:v>
      </x:c>
      <x:c r="B6860" s="274" t="n">
        <x:v>0.2</x:v>
      </x:c>
      <x:c r="C6860" s="274" t="n">
        <x:v>0</x:v>
      </x:c>
      <x:c r="D6860" s="274" t="n">
        <x:v>0</x:v>
      </x:c>
      <x:c r="E6860" s="274" t="n">
        <x:v>0</x:v>
      </x:c>
      <x:c r="F6860" s="274" t="s">
        <x:v>133</x:v>
      </x:c>
      <x:c r="G6860" s="274" t="s">
        <x:v>134</x:v>
      </x:c>
      <x:c r="I6860" s="274" t="n">
        <x:v>1.6</x:v>
      </x:c>
      <x:c r="J6860" s="274" t="n">
        <x:v>116</x:v>
      </x:c>
      <x:c r="K6860" s="274" t="n">
        <x:v>140</x:v>
      </x:c>
      <x:c r="M6860" s="274" t="s">
        <x:v>11170</x:v>
      </x:c>
      <x:c r="N6860" s="274" t="s">
        <x:v>11171</x:v>
      </x:c>
    </x:row>
    <x:row r="6861" spans="1:14">
      <x:c r="A6861" s="274" t="s">
        <x:v>11172</x:v>
      </x:c>
      <x:c r="B6861" s="274" t="n">
        <x:v>0.93</x:v>
      </x:c>
      <x:c r="C6861" s="274" t="n">
        <x:v>0</x:v>
      </x:c>
      <x:c r="D6861" s="274" t="n">
        <x:v>0</x:v>
      </x:c>
      <x:c r="E6861" s="274" t="n">
        <x:v>0</x:v>
      </x:c>
      <x:c r="F6861" s="274" t="s">
        <x:v>133</x:v>
      </x:c>
      <x:c r="G6861" s="274" t="s">
        <x:v>153</x:v>
      </x:c>
      <x:c r="I6861" s="274" t="n">
        <x:v>2.3</x:v>
      </x:c>
      <x:c r="J6861" s="274" t="n">
        <x:v>220</x:v>
      </x:c>
      <x:c r="K6861" s="274" t="n">
        <x:v>235</x:v>
      </x:c>
      <x:c r="N6861" s="274" t="s">
        <x:v>126</x:v>
      </x:c>
    </x:row>
    <x:row r="6862" spans="1:14">
      <x:c r="A6862" s="274" t="s">
        <x:v>11173</x:v>
      </x:c>
      <x:c r="B6862" s="274" t="n">
        <x:v>15.75</x:v>
      </x:c>
      <x:c r="C6862" s="274" t="n">
        <x:v>0</x:v>
      </x:c>
      <x:c r="D6862" s="274" t="n">
        <x:v>30</x:v>
      </x:c>
      <x:c r="E6862" s="274" t="n">
        <x:v>28</x:v>
      </x:c>
      <x:c r="F6862" s="274" t="s">
        <x:v>133</x:v>
      </x:c>
      <x:c r="G6862" s="274" t="s">
        <x:v>134</x:v>
      </x:c>
      <x:c r="I6862" s="274" t="n">
        <x:v>1.8</x:v>
      </x:c>
      <x:c r="J6862" s="274" t="n">
        <x:v>1115</x:v>
      </x:c>
      <x:c r="K6862" s="274" t="n">
        <x:v>1000</x:v>
      </x:c>
      <x:c r="N6862" s="274" t="s">
        <x:v>229</x:v>
      </x:c>
    </x:row>
    <x:row r="6863" spans="1:14">
      <x:c r="A6863" s="274" t="s">
        <x:v>11174</x:v>
      </x:c>
      <x:c r="B6863" s="274" t="n">
        <x:v>13.22</x:v>
      </x:c>
      <x:c r="C6863" s="274" t="n">
        <x:v>0</x:v>
      </x:c>
      <x:c r="D6863" s="274" t="n">
        <x:v>32</x:v>
      </x:c>
      <x:c r="E6863" s="274" t="n">
        <x:v>0</x:v>
      </x:c>
      <x:c r="F6863" s="274" t="s">
        <x:v>184</x:v>
      </x:c>
      <x:c r="G6863" s="274" t="s">
        <x:v>136</x:v>
      </x:c>
      <x:c r="H6863" s="274" t="s">
        <x:v>285</x:v>
      </x:c>
      <x:c r="I6863" s="274" t="n">
        <x:v>0.75</x:v>
      </x:c>
      <x:c r="J6863" s="274" t="n">
        <x:v>1675</x:v>
      </x:c>
      <x:c r="K6863" s="274" t="n">
        <x:v>1320</x:v>
      </x:c>
      <x:c r="N6863" s="274" t="s">
        <x:v>126</x:v>
      </x:c>
    </x:row>
    <x:row r="6864" spans="1:14">
      <x:c r="A6864" s="274" t="s">
        <x:v>11175</x:v>
      </x:c>
      <x:c r="B6864" s="274" t="n">
        <x:v>4.4</x:v>
      </x:c>
      <x:c r="C6864" s="274" t="n">
        <x:v>0</x:v>
      </x:c>
      <x:c r="D6864" s="274" t="n">
        <x:v>32</x:v>
      </x:c>
      <x:c r="E6864" s="274" t="n">
        <x:v>40</x:v>
      </x:c>
      <x:c r="F6864" s="274" t="s">
        <x:v>133</x:v>
      </x:c>
      <x:c r="G6864" s="274" t="s">
        <x:v>153</x:v>
      </x:c>
      <x:c r="I6864" s="274" t="n">
        <x:v>1</x:v>
      </x:c>
      <x:c r="J6864" s="274" t="n">
        <x:v>1145</x:v>
      </x:c>
      <x:c r="K6864" s="274" t="n">
        <x:v>490</x:v>
      </x:c>
      <x:c r="N6864" s="274" t="s">
        <x:v>155</x:v>
      </x:c>
    </x:row>
    <x:row r="6865" spans="1:14">
      <x:c r="A6865" s="274" t="s">
        <x:v>11176</x:v>
      </x:c>
      <x:c r="B6865" s="274" t="n">
        <x:v>21.81</x:v>
      </x:c>
      <x:c r="C6865" s="274" t="n">
        <x:v>0</x:v>
      </x:c>
      <x:c r="D6865" s="274" t="n">
        <x:v>30</x:v>
      </x:c>
      <x:c r="E6865" s="274" t="n">
        <x:v>25</x:v>
      </x:c>
      <x:c r="F6865" s="274" t="s">
        <x:v>133</x:v>
      </x:c>
      <x:c r="G6865" s="274" t="s">
        <x:v>144</x:v>
      </x:c>
      <x:c r="H6865" s="274" t="n">
        <x:v>45</x:v>
      </x:c>
      <x:c r="I6865" s="274" t="n">
        <x:v>2</x:v>
      </x:c>
      <x:c r="J6865" s="274" t="n">
        <x:v>1105</x:v>
      </x:c>
      <x:c r="K6865" s="274" t="n">
        <x:v>1250</x:v>
      </x:c>
    </x:row>
    <x:row r="6866" spans="1:14">
      <x:c r="A6866" s="274" t="s">
        <x:v>11177</x:v>
      </x:c>
      <x:c r="B6866" s="274" t="n">
        <x:v>0.63</x:v>
      </x:c>
      <x:c r="C6866" s="274" t="n">
        <x:v>0</x:v>
      </x:c>
      <x:c r="D6866" s="274" t="n">
        <x:v>0</x:v>
      </x:c>
      <x:c r="E6866" s="274" t="n">
        <x:v>0</x:v>
      </x:c>
      <x:c r="F6866" s="274" t="s">
        <x:v>123</x:v>
      </x:c>
      <x:c r="G6866" s="274" t="s">
        <x:v>209</x:v>
      </x:c>
      <x:c r="I6866" s="274" t="n">
        <x:v>0.6</x:v>
      </x:c>
      <x:c r="J6866" s="274" t="n">
        <x:v>117</x:v>
      </x:c>
      <x:c r="K6866" s="274" t="n">
        <x:v>1145</x:v>
      </x:c>
      <x:c r="M6866" s="274" t="s">
        <x:v>11178</x:v>
      </x:c>
      <x:c r="N6866" s="274" t="s">
        <x:v>162</x:v>
      </x:c>
    </x:row>
    <x:row r="6867" spans="1:14">
      <x:c r="A6867" s="274" t="s">
        <x:v>11179</x:v>
      </x:c>
      <x:c r="B6867" s="274" t="n">
        <x:v>1.85</x:v>
      </x:c>
      <x:c r="C6867" s="274" t="n">
        <x:v>0</x:v>
      </x:c>
      <x:c r="D6867" s="274" t="n">
        <x:v>0</x:v>
      </x:c>
      <x:c r="E6867" s="274" t="n">
        <x:v>0</x:v>
      </x:c>
      <x:c r="F6867" s="274" t="s">
        <x:v>128</x:v>
      </x:c>
      <x:c r="G6867" s="274" t="s">
        <x:v>136</x:v>
      </x:c>
      <x:c r="H6867" s="274" t="s">
        <x:v>397</x:v>
      </x:c>
      <x:c r="I6867" s="274" t="n">
        <x:v>0.75</x:v>
      </x:c>
      <x:c r="J6867" s="274" t="n">
        <x:v>235</x:v>
      </x:c>
      <x:c r="K6867" s="274" t="n">
        <x:v>1320</x:v>
      </x:c>
      <x:c r="M6867" s="274" t="s">
        <x:v>9228</x:v>
      </x:c>
      <x:c r="N6867" s="274" t="s">
        <x:v>126</x:v>
      </x:c>
    </x:row>
    <x:row r="6868" spans="1:14">
      <x:c r="A6868" s="274" t="s">
        <x:v>11180</x:v>
      </x:c>
      <x:c r="B6868" s="274" t="n">
        <x:v>2.12</x:v>
      </x:c>
      <x:c r="C6868" s="274" t="n">
        <x:v>0</x:v>
      </x:c>
      <x:c r="D6868" s="274" t="n">
        <x:v>0</x:v>
      </x:c>
      <x:c r="E6868" s="274" t="n">
        <x:v>0</x:v>
      </x:c>
      <x:c r="F6868" s="274" t="s">
        <x:v>133</x:v>
      </x:c>
      <x:c r="G6868" s="274" t="s">
        <x:v>134</x:v>
      </x:c>
      <x:c r="I6868" s="274" t="n">
        <x:v>1.6</x:v>
      </x:c>
      <x:c r="J6868" s="274" t="n">
        <x:v>135</x:v>
      </x:c>
      <x:c r="K6868" s="274" t="n">
        <x:v>1250</x:v>
      </x:c>
      <x:c r="M6868" s="274" t="s">
        <x:v>11181</x:v>
      </x:c>
      <x:c r="N6868" s="274" t="s">
        <x:v>11182</x:v>
      </x:c>
    </x:row>
    <x:row r="6869" spans="1:14">
      <x:c r="A6869" s="274" t="s">
        <x:v>11183</x:v>
      </x:c>
      <x:c r="B6869" s="274" t="n">
        <x:v>0.95</x:v>
      </x:c>
      <x:c r="C6869" s="274" t="n">
        <x:v>0</x:v>
      </x:c>
      <x:c r="D6869" s="274" t="n">
        <x:v>0</x:v>
      </x:c>
      <x:c r="E6869" s="274" t="n">
        <x:v>0</x:v>
      </x:c>
      <x:c r="F6869" s="274" t="s">
        <x:v>133</x:v>
      </x:c>
      <x:c r="G6869" s="274" t="s">
        <x:v>153</x:v>
      </x:c>
      <x:c r="I6869" s="274" t="n">
        <x:v>1.4</x:v>
      </x:c>
      <x:c r="J6869" s="274" t="n">
        <x:v>130</x:v>
      </x:c>
      <x:c r="K6869" s="274" t="n">
        <x:v>665</x:v>
      </x:c>
      <x:c r="M6869" s="274" t="s">
        <x:v>11184</x:v>
      </x:c>
    </x:row>
    <x:row r="6870" spans="1:14">
      <x:c r="A6870" s="274" t="s">
        <x:v>11185</x:v>
      </x:c>
      <x:c r="B6870" s="274" t="n">
        <x:v>9.15</x:v>
      </x:c>
      <x:c r="C6870" s="274" t="n">
        <x:v>0</x:v>
      </x:c>
      <x:c r="D6870" s="274" t="n">
        <x:v>32</x:v>
      </x:c>
      <x:c r="E6870" s="274" t="n">
        <x:v>29</x:v>
      </x:c>
      <x:c r="F6870" s="274" t="s">
        <x:v>123</x:v>
      </x:c>
      <x:c r="G6870" s="274" t="s">
        <x:v>153</x:v>
      </x:c>
      <x:c r="I6870" s="274" t="n">
        <x:v>0.7</x:v>
      </x:c>
      <x:c r="J6870" s="274" t="n">
        <x:v>1125</x:v>
      </x:c>
      <x:c r="K6870" s="274" t="n">
        <x:v>1480</x:v>
      </x:c>
      <x:c r="N6870" s="274" t="s">
        <x:v>1233</x:v>
      </x:c>
    </x:row>
    <x:row r="6871" spans="1:14">
      <x:c r="A6871" s="274" t="s">
        <x:v>11186</x:v>
      </x:c>
      <x:c r="B6871" s="274" t="n">
        <x:v>1.85</x:v>
      </x:c>
      <x:c r="C6871" s="274" t="n">
        <x:v>0</x:v>
      </x:c>
      <x:c r="D6871" s="274" t="n">
        <x:v>0</x:v>
      </x:c>
      <x:c r="E6871" s="274" t="n">
        <x:v>0</x:v>
      </x:c>
      <x:c r="F6871" s="274" t="s">
        <x:v>184</x:v>
      </x:c>
      <x:c r="G6871" s="274" t="s">
        <x:v>136</x:v>
      </x:c>
      <x:c r="H6871" s="274" t="s">
        <x:v>285</x:v>
      </x:c>
      <x:c r="I6871" s="274" t="n">
        <x:v>0.75</x:v>
      </x:c>
      <x:c r="J6871" s="274" t="n">
        <x:v>235</x:v>
      </x:c>
      <x:c r="K6871" s="274" t="n">
        <x:v>1320</x:v>
      </x:c>
      <x:c r="M6871" s="274" t="s">
        <x:v>9228</x:v>
      </x:c>
      <x:c r="N6871" s="274" t="s">
        <x:v>126</x:v>
      </x:c>
    </x:row>
    <x:row r="6872" spans="1:14">
      <x:c r="A6872" s="274" t="s">
        <x:v>11187</x:v>
      </x:c>
      <x:c r="B6872" s="274" t="n">
        <x:v>22.87</x:v>
      </x:c>
      <x:c r="C6872" s="274" t="n">
        <x:v>0</x:v>
      </x:c>
      <x:c r="D6872" s="274" t="n">
        <x:v>30</x:v>
      </x:c>
      <x:c r="E6872" s="274" t="n">
        <x:v>28</x:v>
      </x:c>
      <x:c r="F6872" s="274" t="s">
        <x:v>133</x:v>
      </x:c>
      <x:c r="G6872" s="274" t="s">
        <x:v>136</x:v>
      </x:c>
      <x:c r="H6872" s="274" t="n">
        <x:v>45</x:v>
      </x:c>
      <x:c r="I6872" s="274" t="n">
        <x:v>1.6</x:v>
      </x:c>
      <x:c r="J6872" s="274" t="n">
        <x:v>1205</x:v>
      </x:c>
      <x:c r="K6872" s="274" t="n">
        <x:v>1500</x:v>
      </x:c>
      <x:c r="M6872" s="274" t="s">
        <x:v>11188</x:v>
      </x:c>
      <x:c r="N6872" s="274" t="s">
        <x:v>155</x:v>
      </x:c>
    </x:row>
    <x:row r="6873" spans="1:14">
      <x:c r="A6873" s="274" t="s">
        <x:v>11189</x:v>
      </x:c>
      <x:c r="B6873" s="274" t="n">
        <x:v>13.19</x:v>
      </x:c>
      <x:c r="C6873" s="274" t="n">
        <x:v>0</x:v>
      </x:c>
      <x:c r="D6873" s="274" t="n">
        <x:v>32</x:v>
      </x:c>
      <x:c r="E6873" s="274" t="n">
        <x:v>32</x:v>
      </x:c>
      <x:c r="F6873" s="274" t="s">
        <x:v>133</x:v>
      </x:c>
      <x:c r="G6873" s="274" t="s">
        <x:v>209</x:v>
      </x:c>
      <x:c r="I6873" s="274" t="n">
        <x:v>1.2</x:v>
      </x:c>
      <x:c r="J6873" s="274" t="n">
        <x:v>1135</x:v>
      </x:c>
      <x:c r="K6873" s="274" t="n">
        <x:v>1234</x:v>
      </x:c>
      <x:c r="N6873" s="274" t="s">
        <x:v>173</x:v>
      </x:c>
    </x:row>
    <x:row r="6874" spans="1:14">
      <x:c r="A6874" s="274" t="s">
        <x:v>11190</x:v>
      </x:c>
      <x:c r="B6874" s="274" t="n">
        <x:v>13.12</x:v>
      </x:c>
      <x:c r="C6874" s="274" t="n">
        <x:v>0</x:v>
      </x:c>
      <x:c r="D6874" s="274" t="n">
        <x:v>32</x:v>
      </x:c>
      <x:c r="E6874" s="274" t="n">
        <x:v>32</x:v>
      </x:c>
      <x:c r="F6874" s="274" t="s">
        <x:v>133</x:v>
      </x:c>
      <x:c r="G6874" s="274" t="s">
        <x:v>209</x:v>
      </x:c>
      <x:c r="I6874" s="274" t="n">
        <x:v>1.2</x:v>
      </x:c>
      <x:c r="J6874" s="274" t="n">
        <x:v>1135</x:v>
      </x:c>
      <x:c r="K6874" s="274" t="n">
        <x:v>1227</x:v>
      </x:c>
      <x:c r="N6874" s="274" t="s">
        <x:v>173</x:v>
      </x:c>
    </x:row>
    <x:row r="6875" spans="1:14">
      <x:c r="A6875" s="274" t="s">
        <x:v>11191</x:v>
      </x:c>
      <x:c r="B6875" s="274" t="n">
        <x:v>7.03</x:v>
      </x:c>
      <x:c r="C6875" s="274" t="n">
        <x:v>0</x:v>
      </x:c>
      <x:c r="D6875" s="274" t="n">
        <x:v>32</x:v>
      </x:c>
      <x:c r="E6875" s="274" t="n">
        <x:v>32</x:v>
      </x:c>
      <x:c r="F6875" s="274" t="s">
        <x:v>123</x:v>
      </x:c>
      <x:c r="G6875" s="274" t="s">
        <x:v>209</x:v>
      </x:c>
      <x:c r="I6875" s="274" t="n">
        <x:v>0.6</x:v>
      </x:c>
      <x:c r="J6875" s="274" t="n">
        <x:v>1180</x:v>
      </x:c>
      <x:c r="K6875" s="274" t="n">
        <x:v>1265</x:v>
      </x:c>
      <x:c r="M6875" s="274" t="s">
        <x:v>11192</x:v>
      </x:c>
      <x:c r="N6875" s="274" t="s">
        <x:v>299</x:v>
      </x:c>
    </x:row>
    <x:row r="6876" spans="1:14">
      <x:c r="A6876" s="274" t="s">
        <x:v>11193</x:v>
      </x:c>
      <x:c r="B6876" s="274" t="n">
        <x:v>11.01</x:v>
      </x:c>
      <x:c r="C6876" s="274" t="n">
        <x:v>0</x:v>
      </x:c>
      <x:c r="D6876" s="274" t="n">
        <x:v>32</x:v>
      </x:c>
      <x:c r="E6876" s="274" t="n">
        <x:v>37</x:v>
      </x:c>
      <x:c r="F6876" s="274" t="s">
        <x:v>133</x:v>
      </x:c>
      <x:c r="G6876" s="274" t="s">
        <x:v>209</x:v>
      </x:c>
      <x:c r="I6876" s="274" t="n">
        <x:v>1.2</x:v>
      </x:c>
      <x:c r="J6876" s="274" t="n">
        <x:v>1135</x:v>
      </x:c>
      <x:c r="K6876" s="274" t="n">
        <x:v>1030</x:v>
      </x:c>
      <x:c r="N6876" s="274" t="s">
        <x:v>2111</x:v>
      </x:c>
    </x:row>
    <x:row r="6877" spans="1:14">
      <x:c r="A6877" s="274" t="s">
        <x:v>11194</x:v>
      </x:c>
      <x:c r="B6877" s="274" t="n">
        <x:v>6.77</x:v>
      </x:c>
      <x:c r="C6877" s="274" t="n">
        <x:v>0</x:v>
      </x:c>
      <x:c r="D6877" s="274" t="n">
        <x:v>32</x:v>
      </x:c>
      <x:c r="E6877" s="274" t="n">
        <x:v>40</x:v>
      </x:c>
      <x:c r="F6877" s="274" t="s">
        <x:v>133</x:v>
      </x:c>
      <x:c r="G6877" s="274" t="s">
        <x:v>209</x:v>
      </x:c>
      <x:c r="I6877" s="274" t="n">
        <x:v>1.2</x:v>
      </x:c>
      <x:c r="J6877" s="274" t="n">
        <x:v>1135</x:v>
      </x:c>
      <x:c r="K6877" s="274" t="n">
        <x:v>633</x:v>
      </x:c>
    </x:row>
    <x:row r="6878" spans="1:14">
      <x:c r="A6878" s="274" t="s">
        <x:v>11195</x:v>
      </x:c>
      <x:c r="B6878" s="274" t="n">
        <x:v>2.84</x:v>
      </x:c>
      <x:c r="C6878" s="274" t="n">
        <x:v>0</x:v>
      </x:c>
      <x:c r="D6878" s="274" t="n">
        <x:v>0</x:v>
      </x:c>
      <x:c r="E6878" s="274" t="n">
        <x:v>0</x:v>
      </x:c>
      <x:c r="F6878" s="274" t="s">
        <x:v>133</x:v>
      </x:c>
      <x:c r="G6878" s="274" t="s">
        <x:v>124</x:v>
      </x:c>
      <x:c r="I6878" s="274" t="n">
        <x:v>1.6</x:v>
      </x:c>
      <x:c r="J6878" s="274" t="n">
        <x:v>181</x:v>
      </x:c>
      <x:c r="K6878" s="274" t="n">
        <x:v>1250</x:v>
      </x:c>
      <x:c r="M6878" s="274" t="s">
        <x:v>11196</x:v>
      </x:c>
      <x:c r="N6878" s="274" t="s">
        <x:v>458</x:v>
      </x:c>
    </x:row>
    <x:row r="6879" spans="1:14">
      <x:c r="A6879" s="274" t="s">
        <x:v>11197</x:v>
      </x:c>
      <x:c r="B6879" s="274" t="n">
        <x:v>5.42</x:v>
      </x:c>
      <x:c r="C6879" s="274" t="n">
        <x:v>0</x:v>
      </x:c>
      <x:c r="D6879" s="274" t="n">
        <x:v>32</x:v>
      </x:c>
      <x:c r="E6879" s="274" t="n">
        <x:v>40</x:v>
      </x:c>
      <x:c r="F6879" s="274" t="s">
        <x:v>123</x:v>
      </x:c>
      <x:c r="G6879" s="274" t="s">
        <x:v>153</x:v>
      </x:c>
      <x:c r="I6879" s="274" t="n">
        <x:v>1.2</x:v>
      </x:c>
      <x:c r="J6879" s="274" t="n">
        <x:v>1065</x:v>
      </x:c>
      <x:c r="K6879" s="274" t="n">
        <x:v>540</x:v>
      </x:c>
      <x:c r="N6879" s="274" t="s">
        <x:v>787</x:v>
      </x:c>
    </x:row>
    <x:row r="6880" spans="1:14">
      <x:c r="A6880" s="274" t="s">
        <x:v>11198</x:v>
      </x:c>
      <x:c r="B6880" s="274" t="n">
        <x:v>9.27</x:v>
      </x:c>
      <x:c r="C6880" s="274" t="n">
        <x:v>0</x:v>
      </x:c>
      <x:c r="D6880" s="274" t="n">
        <x:v>30</x:v>
      </x:c>
      <x:c r="E6880" s="274" t="n">
        <x:v>40</x:v>
      </x:c>
      <x:c r="F6880" s="274" t="s">
        <x:v>128</x:v>
      </x:c>
      <x:c r="G6880" s="274" t="s">
        <x:v>496</x:v>
      </x:c>
      <x:c r="H6880" s="274" t="n">
        <x:v>45</x:v>
      </x:c>
      <x:c r="I6880" s="274" t="n">
        <x:v>2.9</x:v>
      </x:c>
      <x:c r="J6880" s="274" t="n">
        <x:v>920</x:v>
      </x:c>
      <x:c r="K6880" s="274" t="n">
        <x:v>441</x:v>
      </x:c>
      <x:c r="N6880" s="274" t="s">
        <x:v>11199</x:v>
      </x:c>
    </x:row>
    <x:row r="6881" spans="1:14">
      <x:c r="A6881" s="274" t="s">
        <x:v>11200</x:v>
      </x:c>
      <x:c r="B6881" s="274" t="n">
        <x:v>15.49</x:v>
      </x:c>
      <x:c r="C6881" s="274" t="n">
        <x:v>0</x:v>
      </x:c>
      <x:c r="D6881" s="274" t="n">
        <x:v>30</x:v>
      </x:c>
      <x:c r="E6881" s="274" t="n">
        <x:v>31</x:v>
      </x:c>
      <x:c r="F6881" s="274" t="s">
        <x:v>128</x:v>
      </x:c>
      <x:c r="G6881" s="274" t="s">
        <x:v>496</x:v>
      </x:c>
      <x:c r="H6881" s="274" t="n">
        <x:v>45</x:v>
      </x:c>
      <x:c r="I6881" s="274" t="n">
        <x:v>2.3</x:v>
      </x:c>
      <x:c r="J6881" s="274" t="n">
        <x:v>920</x:v>
      </x:c>
      <x:c r="K6881" s="274" t="n">
        <x:v>928</x:v>
      </x:c>
      <x:c r="N6881" s="274" t="s">
        <x:v>126</x:v>
      </x:c>
    </x:row>
    <x:row r="6882" spans="1:14">
      <x:c r="A6882" s="274" t="s">
        <x:v>11201</x:v>
      </x:c>
      <x:c r="B6882" s="274" t="n">
        <x:v>14.13</x:v>
      </x:c>
      <x:c r="C6882" s="274" t="n">
        <x:v>0</x:v>
      </x:c>
      <x:c r="D6882" s="274" t="n">
        <x:v>32</x:v>
      </x:c>
      <x:c r="E6882" s="274" t="n">
        <x:v>32</x:v>
      </x:c>
      <x:c r="F6882" s="274" t="s">
        <x:v>123</x:v>
      </x:c>
      <x:c r="G6882" s="274" t="s">
        <x:v>209</x:v>
      </x:c>
      <x:c r="I6882" s="274" t="n">
        <x:v>1.2</x:v>
      </x:c>
      <x:c r="J6882" s="274" t="n">
        <x:v>1200</x:v>
      </x:c>
      <x:c r="K6882" s="274" t="n">
        <x:v>1250</x:v>
      </x:c>
    </x:row>
    <x:row r="6883" spans="1:14">
      <x:c r="A6883" s="274" t="s">
        <x:v>11202</x:v>
      </x:c>
      <x:c r="B6883" s="274" t="n">
        <x:v>30.95</x:v>
      </x:c>
      <x:c r="C6883" s="274" t="n">
        <x:v>0</x:v>
      </x:c>
      <x:c r="D6883" s="274" t="n">
        <x:v>30</x:v>
      </x:c>
      <x:c r="E6883" s="274" t="n">
        <x:v>25</x:v>
      </x:c>
      <x:c r="F6883" s="274" t="s">
        <x:v>133</x:v>
      </x:c>
      <x:c r="G6883" s="274" t="s">
        <x:v>134</x:v>
      </x:c>
      <x:c r="I6883" s="274" t="n">
        <x:v>2.8</x:v>
      </x:c>
      <x:c r="J6883" s="274" t="n">
        <x:v>1145</x:v>
      </x:c>
      <x:c r="K6883" s="274" t="n">
        <x:v>1230</x:v>
      </x:c>
      <x:c r="N6883" s="274" t="s">
        <x:v>155</x:v>
      </x:c>
    </x:row>
    <x:row r="6884" spans="1:14">
      <x:c r="A6884" s="274" t="s">
        <x:v>11203</x:v>
      </x:c>
      <x:c r="B6884" s="274" t="n">
        <x:v>10.53</x:v>
      </x:c>
      <x:c r="C6884" s="274" t="n">
        <x:v>0</x:v>
      </x:c>
      <x:c r="D6884" s="274" t="n">
        <x:v>32</x:v>
      </x:c>
      <x:c r="E6884" s="274" t="n">
        <x:v>37</x:v>
      </x:c>
      <x:c r="F6884" s="274" t="s">
        <x:v>123</x:v>
      </x:c>
      <x:c r="G6884" s="274" t="s">
        <x:v>153</x:v>
      </x:c>
      <x:c r="I6884" s="274" t="n">
        <x:v>1.2</x:v>
      </x:c>
      <x:c r="J6884" s="274" t="n">
        <x:v>1065</x:v>
      </x:c>
      <x:c r="K6884" s="274" t="n">
        <x:v>1050</x:v>
      </x:c>
    </x:row>
    <x:row r="6885" spans="1:14">
      <x:c r="A6885" s="274" t="s">
        <x:v>11204</x:v>
      </x:c>
      <x:c r="B6885" s="274" t="n">
        <x:v>1.05</x:v>
      </x:c>
      <x:c r="C6885" s="274" t="n">
        <x:v>0</x:v>
      </x:c>
      <x:c r="D6885" s="274" t="n">
        <x:v>0</x:v>
      </x:c>
      <x:c r="E6885" s="274" t="n">
        <x:v>0</x:v>
      </x:c>
      <x:c r="F6885" s="274" t="s">
        <x:v>133</x:v>
      </x:c>
      <x:c r="G6885" s="274" t="s">
        <x:v>124</x:v>
      </x:c>
      <x:c r="I6885" s="274" t="n">
        <x:v>1.6</x:v>
      </x:c>
      <x:c r="J6885" s="274" t="n">
        <x:v>235</x:v>
      </x:c>
      <x:c r="K6885" s="274" t="n">
        <x:v>357</x:v>
      </x:c>
      <x:c r="M6885" s="274" t="s">
        <x:v>11205</x:v>
      </x:c>
      <x:c r="N6885" s="274" t="s">
        <x:v>299</x:v>
      </x:c>
    </x:row>
    <x:row r="6886" spans="1:14">
      <x:c r="A6886" s="274" t="s">
        <x:v>11206</x:v>
      </x:c>
      <x:c r="B6886" s="274" t="n">
        <x:v>15.81</x:v>
      </x:c>
      <x:c r="C6886" s="274" t="n">
        <x:v>0</x:v>
      </x:c>
      <x:c r="D6886" s="274" t="n">
        <x:v>30</x:v>
      </x:c>
      <x:c r="E6886" s="274" t="n">
        <x:v>32</x:v>
      </x:c>
      <x:c r="F6886" s="274" t="s">
        <x:v>133</x:v>
      </x:c>
      <x:c r="G6886" s="274" t="s">
        <x:v>134</x:v>
      </x:c>
      <x:c r="I6886" s="274" t="n">
        <x:v>1.6</x:v>
      </x:c>
      <x:c r="J6886" s="274" t="n">
        <x:v>1020</x:v>
      </x:c>
      <x:c r="K6886" s="274" t="n">
        <x:v>1234</x:v>
      </x:c>
    </x:row>
    <x:row r="6887" spans="1:14">
      <x:c r="A6887" s="274" t="s">
        <x:v>11207</x:v>
      </x:c>
      <x:c r="B6887" s="274" t="n">
        <x:v>12.93</x:v>
      </x:c>
      <x:c r="C6887" s="274" t="n">
        <x:v>0</x:v>
      </x:c>
      <x:c r="D6887" s="274" t="n">
        <x:v>32</x:v>
      </x:c>
      <x:c r="E6887" s="274" t="n">
        <x:v>32</x:v>
      </x:c>
      <x:c r="F6887" s="274" t="s">
        <x:v>133</x:v>
      </x:c>
      <x:c r="G6887" s="274" t="s">
        <x:v>209</x:v>
      </x:c>
      <x:c r="I6887" s="274" t="n">
        <x:v>1.2</x:v>
      </x:c>
      <x:c r="J6887" s="274" t="n">
        <x:v>1135</x:v>
      </x:c>
      <x:c r="K6887" s="274" t="n">
        <x:v>1210</x:v>
      </x:c>
      <x:c r="M6887" s="274" t="s">
        <x:v>11208</x:v>
      </x:c>
      <x:c r="N6887" s="274" t="s">
        <x:v>155</x:v>
      </x:c>
    </x:row>
    <x:row r="6888" spans="1:14">
      <x:c r="A6888" s="274" t="s">
        <x:v>11209</x:v>
      </x:c>
      <x:c r="B6888" s="274" t="n">
        <x:v>5.99</x:v>
      </x:c>
      <x:c r="C6888" s="274" t="n">
        <x:v>0</x:v>
      </x:c>
      <x:c r="D6888" s="274" t="n">
        <x:v>45</x:v>
      </x:c>
      <x:c r="E6888" s="274" t="n">
        <x:v>40</x:v>
      </x:c>
      <x:c r="F6888" s="274" t="s">
        <x:v>128</x:v>
      </x:c>
      <x:c r="G6888" s="274" t="s">
        <x:v>177</x:v>
      </x:c>
      <x:c r="H6888" s="274" t="n">
        <x:v>45</x:v>
      </x:c>
      <x:c r="I6888" s="274" t="n">
        <x:v>2</x:v>
      </x:c>
      <x:c r="J6888" s="274" t="n">
        <x:v>925</x:v>
      </x:c>
      <x:c r="K6888" s="274" t="n">
        <x:v>410</x:v>
      </x:c>
    </x:row>
    <x:row r="6889" spans="1:14">
      <x:c r="A6889" s="274" t="s">
        <x:v>11210</x:v>
      </x:c>
      <x:c r="B6889" s="274" t="n">
        <x:v>7.3</x:v>
      </x:c>
      <x:c r="C6889" s="274" t="n">
        <x:v>0</x:v>
      </x:c>
      <x:c r="D6889" s="274" t="n">
        <x:v>32</x:v>
      </x:c>
      <x:c r="E6889" s="274" t="n">
        <x:v>35</x:v>
      </x:c>
      <x:c r="F6889" s="274" t="s">
        <x:v>128</x:v>
      </x:c>
      <x:c r="G6889" s="274" t="s">
        <x:v>129</x:v>
      </x:c>
      <x:c r="H6889" s="274" t="n">
        <x:v>45</x:v>
      </x:c>
      <x:c r="I6889" s="274" t="n">
        <x:v>0.8</x:v>
      </x:c>
      <x:c r="J6889" s="274" t="n">
        <x:v>970</x:v>
      </x:c>
      <x:c r="K6889" s="274" t="n">
        <x:v>1181</x:v>
      </x:c>
      <x:c r="M6889" s="274" t="s">
        <x:v>11211</x:v>
      </x:c>
      <x:c r="N6889" s="274" t="s">
        <x:v>4250</x:v>
      </x:c>
    </x:row>
    <x:row r="6890" spans="1:14">
      <x:c r="A6890" s="274" t="s">
        <x:v>11212</x:v>
      </x:c>
      <x:c r="B6890" s="274" t="n">
        <x:v>13.62</x:v>
      </x:c>
      <x:c r="C6890" s="274" t="n">
        <x:v>0</x:v>
      </x:c>
      <x:c r="D6890" s="274" t="n">
        <x:v>30</x:v>
      </x:c>
      <x:c r="E6890" s="274" t="n">
        <x:v>31</x:v>
      </x:c>
      <x:c r="F6890" s="274" t="s">
        <x:v>133</x:v>
      </x:c>
      <x:c r="G6890" s="274" t="s">
        <x:v>148</x:v>
      </x:c>
      <x:c r="I6890" s="274" t="n">
        <x:v>3.2</x:v>
      </x:c>
      <x:c r="J6890" s="274" t="n">
        <x:v>1095</x:v>
      </x:c>
      <x:c r="K6890" s="274" t="n">
        <x:v>495</x:v>
      </x:c>
    </x:row>
    <x:row r="6891" spans="1:14">
      <x:c r="A6891" s="274" t="s">
        <x:v>11213</x:v>
      </x:c>
      <x:c r="B6891" s="274" t="n">
        <x:v>19.55</x:v>
      </x:c>
      <x:c r="C6891" s="274" t="n">
        <x:v>0</x:v>
      </x:c>
      <x:c r="D6891" s="274" t="n">
        <x:v>30</x:v>
      </x:c>
      <x:c r="E6891" s="274" t="n">
        <x:v>28</x:v>
      </x:c>
      <x:c r="F6891" s="274" t="s">
        <x:v>128</x:v>
      </x:c>
      <x:c r="G6891" s="274" t="s">
        <x:v>136</x:v>
      </x:c>
      <x:c r="H6891" s="274" t="n">
        <x:v>45</x:v>
      </x:c>
      <x:c r="I6891" s="274" t="n">
        <x:v>2.3</x:v>
      </x:c>
      <x:c r="J6891" s="274" t="n">
        <x:v>1010</x:v>
      </x:c>
      <x:c r="K6891" s="274" t="n">
        <x:v>1067</x:v>
      </x:c>
      <x:c r="N6891" s="274" t="s">
        <x:v>155</x:v>
      </x:c>
    </x:row>
    <x:row r="6892" spans="1:14">
      <x:c r="A6892" s="274" t="s">
        <x:v>11214</x:v>
      </x:c>
      <x:c r="B6892" s="274" t="n">
        <x:v>4.13</x:v>
      </x:c>
      <x:c r="C6892" s="274" t="n">
        <x:v>0</x:v>
      </x:c>
      <x:c r="D6892" s="274" t="n">
        <x:v>32</x:v>
      </x:c>
      <x:c r="E6892" s="274" t="n">
        <x:v>40</x:v>
      </x:c>
      <x:c r="F6892" s="274" t="s">
        <x:v>133</x:v>
      </x:c>
      <x:c r="G6892" s="274" t="s">
        <x:v>136</x:v>
      </x:c>
      <x:c r="H6892" s="274" t="n">
        <x:v>45</x:v>
      </x:c>
      <x:c r="I6892" s="274" t="n">
        <x:v>0.8</x:v>
      </x:c>
      <x:c r="J6892" s="274" t="n">
        <x:v>1010</x:v>
      </x:c>
      <x:c r="K6892" s="274" t="n">
        <x:v>642</x:v>
      </x:c>
      <x:c r="M6892" s="274" t="s">
        <x:v>11215</x:v>
      </x:c>
      <x:c r="N6892" s="274" t="s">
        <x:v>131</x:v>
      </x:c>
    </x:row>
    <x:row r="6893" spans="1:14">
      <x:c r="A6893" s="274" t="s">
        <x:v>11216</x:v>
      </x:c>
      <x:c r="B6893" s="274" t="n">
        <x:v>5.87</x:v>
      </x:c>
      <x:c r="C6893" s="274" t="n">
        <x:v>0</x:v>
      </x:c>
      <x:c r="D6893" s="274" t="n">
        <x:v>32</x:v>
      </x:c>
      <x:c r="E6893" s="274" t="n">
        <x:v>40</x:v>
      </x:c>
      <x:c r="F6893" s="274" t="s">
        <x:v>133</x:v>
      </x:c>
      <x:c r="G6893" s="274" t="s">
        <x:v>136</x:v>
      </x:c>
      <x:c r="H6893" s="274" t="n">
        <x:v>45</x:v>
      </x:c>
      <x:c r="I6893" s="274" t="n">
        <x:v>0.8</x:v>
      </x:c>
      <x:c r="J6893" s="274" t="n">
        <x:v>1085</x:v>
      </x:c>
      <x:c r="K6893" s="274" t="n">
        <x:v>850</x:v>
      </x:c>
      <x:c r="N6893" s="274" t="s">
        <x:v>299</x:v>
      </x:c>
    </x:row>
    <x:row r="6894" spans="1:14">
      <x:c r="A6894" s="274" t="s">
        <x:v>11217</x:v>
      </x:c>
      <x:c r="B6894" s="274" t="n">
        <x:v>20.3</x:v>
      </x:c>
      <x:c r="C6894" s="274" t="n">
        <x:v>0</x:v>
      </x:c>
      <x:c r="D6894" s="274" t="n">
        <x:v>30</x:v>
      </x:c>
      <x:c r="E6894" s="274" t="n">
        <x:v>26</x:v>
      </x:c>
      <x:c r="F6894" s="274" t="s">
        <x:v>128</x:v>
      </x:c>
      <x:c r="G6894" s="274" t="s">
        <x:v>437</x:v>
      </x:c>
      <x:c r="I6894" s="274" t="n">
        <x:v>2</x:v>
      </x:c>
      <x:c r="J6894" s="274" t="n">
        <x:v>1115</x:v>
      </x:c>
      <x:c r="K6894" s="274" t="n">
        <x:v>1160</x:v>
      </x:c>
      <x:c r="N6894" s="274" t="s">
        <x:v>155</x:v>
      </x:c>
    </x:row>
    <x:row r="6895" spans="1:14">
      <x:c r="A6895" s="274" t="s">
        <x:v>11218</x:v>
      </x:c>
      <x:c r="B6895" s="274" t="n">
        <x:v>19.61</x:v>
      </x:c>
      <x:c r="C6895" s="274" t="n">
        <x:v>0</x:v>
      </x:c>
      <x:c r="D6895" s="274" t="n">
        <x:v>30</x:v>
      </x:c>
      <x:c r="E6895" s="274" t="n">
        <x:v>26</x:v>
      </x:c>
      <x:c r="F6895" s="274" t="s">
        <x:v>128</x:v>
      </x:c>
      <x:c r="G6895" s="274" t="s">
        <x:v>437</x:v>
      </x:c>
      <x:c r="I6895" s="274" t="n">
        <x:v>2</x:v>
      </x:c>
      <x:c r="J6895" s="274" t="n">
        <x:v>1115</x:v>
      </x:c>
      <x:c r="K6895" s="274" t="n">
        <x:v>1120</x:v>
      </x:c>
      <x:c r="N6895" s="274" t="s">
        <x:v>155</x:v>
      </x:c>
    </x:row>
    <x:row r="6896" spans="1:14">
      <x:c r="A6896" s="274" t="s">
        <x:v>11219</x:v>
      </x:c>
      <x:c r="B6896" s="274" t="n">
        <x:v>15.79</x:v>
      </x:c>
      <x:c r="C6896" s="274" t="n">
        <x:v>0</x:v>
      </x:c>
      <x:c r="D6896" s="274" t="n">
        <x:v>30</x:v>
      </x:c>
      <x:c r="E6896" s="274" t="n">
        <x:v>31</x:v>
      </x:c>
      <x:c r="F6896" s="274" t="s">
        <x:v>128</x:v>
      </x:c>
      <x:c r="G6896" s="274" t="s">
        <x:v>437</x:v>
      </x:c>
      <x:c r="I6896" s="274" t="n">
        <x:v>2</x:v>
      </x:c>
      <x:c r="J6896" s="274" t="n">
        <x:v>1115</x:v>
      </x:c>
      <x:c r="K6896" s="274" t="n">
        <x:v>902</x:v>
      </x:c>
      <x:c r="N6896" s="274" t="s">
        <x:v>155</x:v>
      </x:c>
    </x:row>
    <x:row r="6897" spans="1:14">
      <x:c r="A6897" s="274" t="s">
        <x:v>11220</x:v>
      </x:c>
      <x:c r="B6897" s="274" t="n">
        <x:v>13.42</x:v>
      </x:c>
      <x:c r="C6897" s="274" t="n">
        <x:v>0</x:v>
      </x:c>
      <x:c r="D6897" s="274" t="n">
        <x:v>30</x:v>
      </x:c>
      <x:c r="E6897" s="274" t="n">
        <x:v>40</x:v>
      </x:c>
      <x:c r="F6897" s="274" t="s">
        <x:v>184</x:v>
      </x:c>
      <x:c r="G6897" s="274" t="s">
        <x:v>129</x:v>
      </x:c>
      <x:c r="H6897" s="274" t="n">
        <x:v>45</x:v>
      </x:c>
      <x:c r="I6897" s="274" t="n">
        <x:v>2</x:v>
      </x:c>
      <x:c r="J6897" s="274" t="n">
        <x:v>1218</x:v>
      </x:c>
      <x:c r="K6897" s="274" t="n">
        <x:v>698</x:v>
      </x:c>
      <x:c r="N6897" s="274" t="s">
        <x:v>299</x:v>
      </x:c>
    </x:row>
    <x:row r="6898" spans="1:14">
      <x:c r="A6898" s="274" t="s">
        <x:v>11221</x:v>
      </x:c>
      <x:c r="B6898" s="274" t="n">
        <x:v>13.29</x:v>
      </x:c>
      <x:c r="C6898" s="274" t="n">
        <x:v>0</x:v>
      </x:c>
      <x:c r="D6898" s="274" t="n">
        <x:v>30</x:v>
      </x:c>
      <x:c r="E6898" s="274" t="n">
        <x:v>0</x:v>
      </x:c>
      <x:c r="F6898" s="274" t="s">
        <x:v>133</x:v>
      </x:c>
      <x:c r="G6898" s="274" t="s">
        <x:v>153</x:v>
      </x:c>
      <x:c r="I6898" s="274" t="n">
        <x:v>1.8</x:v>
      </x:c>
      <x:c r="J6898" s="274" t="n">
        <x:v>770</x:v>
      </x:c>
      <x:c r="K6898" s="274" t="n">
        <x:v>1150</x:v>
      </x:c>
      <x:c r="L6898" s="274" t="n">
        <x:v>1294</x:v>
      </x:c>
      <x:c r="M6898" s="274" t="s">
        <x:v>11222</x:v>
      </x:c>
      <x:c r="N6898" s="274" t="s">
        <x:v>126</x:v>
      </x:c>
    </x:row>
    <x:row r="6899" spans="1:14">
      <x:c r="A6899" s="274" t="s">
        <x:v>11223</x:v>
      </x:c>
      <x:c r="B6899" s="274" t="n">
        <x:v>9.64</x:v>
      </x:c>
      <x:c r="C6899" s="274" t="n">
        <x:v>0</x:v>
      </x:c>
      <x:c r="D6899" s="274" t="n">
        <x:v>32</x:v>
      </x:c>
      <x:c r="E6899" s="274" t="n">
        <x:v>40</x:v>
      </x:c>
      <x:c r="F6899" s="274" t="s">
        <x:v>184</x:v>
      </x:c>
      <x:c r="G6899" s="274" t="s">
        <x:v>129</x:v>
      </x:c>
      <x:c r="H6899" s="274" t="n">
        <x:v>45</x:v>
      </x:c>
      <x:c r="I6899" s="274" t="n">
        <x:v>1.2</x:v>
      </x:c>
      <x:c r="J6899" s="274" t="n">
        <x:v>1135</x:v>
      </x:c>
      <x:c r="K6899" s="274" t="n">
        <x:v>893</x:v>
      </x:c>
      <x:c r="M6899" s="274" t="s">
        <x:v>11224</x:v>
      </x:c>
    </x:row>
    <x:row r="6900" spans="1:14">
      <x:c r="A6900" s="274" t="s">
        <x:v>11225</x:v>
      </x:c>
      <x:c r="B6900" s="274" t="n">
        <x:v>10.31</x:v>
      </x:c>
      <x:c r="C6900" s="274" t="n">
        <x:v>0</x:v>
      </x:c>
      <x:c r="D6900" s="274" t="n">
        <x:v>32</x:v>
      </x:c>
      <x:c r="E6900" s="274" t="n">
        <x:v>40</x:v>
      </x:c>
      <x:c r="F6900" s="274" t="s">
        <x:v>184</x:v>
      </x:c>
      <x:c r="G6900" s="274" t="s">
        <x:v>129</x:v>
      </x:c>
      <x:c r="H6900" s="274" t="n">
        <x:v>45</x:v>
      </x:c>
      <x:c r="I6900" s="274" t="n">
        <x:v>1.2</x:v>
      </x:c>
      <x:c r="J6900" s="274" t="n">
        <x:v>1135</x:v>
      </x:c>
      <x:c r="K6900" s="274" t="n">
        <x:v>955</x:v>
      </x:c>
      <x:c r="M6900" s="274" t="s">
        <x:v>11224</x:v>
      </x:c>
    </x:row>
    <x:row r="6901" spans="1:14">
      <x:c r="A6901" s="274" t="s">
        <x:v>11226</x:v>
      </x:c>
      <x:c r="B6901" s="274" t="n">
        <x:v>11.87</x:v>
      </x:c>
      <x:c r="C6901" s="274" t="n">
        <x:v>0</x:v>
      </x:c>
      <x:c r="D6901" s="274" t="n">
        <x:v>30</x:v>
      </x:c>
      <x:c r="E6901" s="274" t="n">
        <x:v>40</x:v>
      </x:c>
      <x:c r="F6901" s="274" t="s">
        <x:v>184</x:v>
      </x:c>
      <x:c r="G6901" s="274" t="s">
        <x:v>1614</x:v>
      </x:c>
      <x:c r="H6901" s="274" t="n">
        <x:v>45</x:v>
      </x:c>
      <x:c r="I6901" s="274" t="n">
        <x:v>1.8</x:v>
      </x:c>
      <x:c r="J6901" s="274" t="n">
        <x:v>1575</x:v>
      </x:c>
      <x:c r="K6901" s="274" t="n">
        <x:v>530</x:v>
      </x:c>
      <x:c r="M6901" s="274" t="s">
        <x:v>10492</x:v>
      </x:c>
      <x:c r="N6901" s="274" t="s">
        <x:v>155</x:v>
      </x:c>
    </x:row>
    <x:row r="6902" spans="1:14">
      <x:c r="A6902" s="274" t="s">
        <x:v>11227</x:v>
      </x:c>
      <x:c r="B6902" s="274" t="n">
        <x:v>20.76</x:v>
      </x:c>
      <x:c r="C6902" s="274" t="n">
        <x:v>0</x:v>
      </x:c>
      <x:c r="D6902" s="274" t="n">
        <x:v>30</x:v>
      </x:c>
      <x:c r="E6902" s="274" t="n">
        <x:v>28</x:v>
      </x:c>
      <x:c r="F6902" s="274" t="s">
        <x:v>184</x:v>
      </x:c>
      <x:c r="G6902" s="274" t="s">
        <x:v>129</x:v>
      </x:c>
      <x:c r="H6902" s="274" t="n">
        <x:v>45</x:v>
      </x:c>
      <x:c r="I6902" s="274" t="n">
        <x:v>2</x:v>
      </x:c>
      <x:c r="J6902" s="274" t="n">
        <x:v>1218</x:v>
      </x:c>
      <x:c r="K6902" s="274" t="n">
        <x:v>1080</x:v>
      </x:c>
      <x:c r="N6902" s="274" t="s">
        <x:v>299</x:v>
      </x:c>
    </x:row>
    <x:row r="6903" spans="1:14">
      <x:c r="A6903" s="274" t="s">
        <x:v>11228</x:v>
      </x:c>
      <x:c r="B6903" s="274" t="n">
        <x:v>14.29</x:v>
      </x:c>
      <x:c r="C6903" s="274" t="n">
        <x:v>0</x:v>
      </x:c>
      <x:c r="D6903" s="274" t="n">
        <x:v>30</x:v>
      </x:c>
      <x:c r="E6903" s="274" t="n">
        <x:v>37</x:v>
      </x:c>
      <x:c r="F6903" s="274" t="s">
        <x:v>184</x:v>
      </x:c>
      <x:c r="G6903" s="274" t="s">
        <x:v>129</x:v>
      </x:c>
      <x:c r="H6903" s="274" t="n">
        <x:v>45</x:v>
      </x:c>
      <x:c r="I6903" s="274" t="n">
        <x:v>2</x:v>
      </x:c>
      <x:c r="J6903" s="274" t="n">
        <x:v>1218</x:v>
      </x:c>
      <x:c r="K6903" s="274" t="n">
        <x:v>743</x:v>
      </x:c>
      <x:c r="N6903" s="274" t="s">
        <x:v>299</x:v>
      </x:c>
    </x:row>
    <x:row r="6904" spans="1:14">
      <x:c r="A6904" s="274" t="s">
        <x:v>11229</x:v>
      </x:c>
      <x:c r="B6904" s="274" t="n">
        <x:v>3.1</x:v>
      </x:c>
      <x:c r="C6904" s="274" t="n">
        <x:v>0</x:v>
      </x:c>
      <x:c r="D6904" s="274" t="n">
        <x:v>32</x:v>
      </x:c>
      <x:c r="E6904" s="274" t="n">
        <x:v>40</x:v>
      </x:c>
      <x:c r="F6904" s="274" t="s">
        <x:v>133</x:v>
      </x:c>
      <x:c r="G6904" s="274" t="s">
        <x:v>136</x:v>
      </x:c>
      <x:c r="H6904" s="274" t="n">
        <x:v>45</x:v>
      </x:c>
      <x:c r="I6904" s="274" t="n">
        <x:v>0.6</x:v>
      </x:c>
      <x:c r="J6904" s="274" t="n">
        <x:v>1075</x:v>
      </x:c>
      <x:c r="K6904" s="274" t="n">
        <x:v>600</x:v>
      </x:c>
      <x:c r="N6904" s="274" t="s">
        <x:v>131</x:v>
      </x:c>
    </x:row>
    <x:row r="6905" spans="1:14">
      <x:c r="A6905" s="274" t="s">
        <x:v>11230</x:v>
      </x:c>
      <x:c r="B6905" s="274" t="n">
        <x:v>13.8</x:v>
      </x:c>
      <x:c r="C6905" s="274" t="n">
        <x:v>0</x:v>
      </x:c>
      <x:c r="D6905" s="274" t="n">
        <x:v>30</x:v>
      </x:c>
      <x:c r="E6905" s="274" t="n">
        <x:v>40</x:v>
      </x:c>
      <x:c r="F6905" s="274" t="s">
        <x:v>133</x:v>
      </x:c>
      <x:c r="G6905" s="274" t="s">
        <x:v>148</x:v>
      </x:c>
      <x:c r="I6905" s="274" t="n">
        <x:v>2.6</x:v>
      </x:c>
      <x:c r="J6905" s="274" t="n">
        <x:v>1087</x:v>
      </x:c>
      <x:c r="K6905" s="274" t="n">
        <x:v>622</x:v>
      </x:c>
      <x:c r="M6905" s="274" t="s">
        <x:v>11231</x:v>
      </x:c>
      <x:c r="N6905" s="274" t="s">
        <x:v>4250</x:v>
      </x:c>
    </x:row>
    <x:row r="6906" spans="1:14">
      <x:c r="A6906" s="274" t="s">
        <x:v>11232</x:v>
      </x:c>
      <x:c r="B6906" s="274" t="n">
        <x:v>6.5</x:v>
      </x:c>
      <x:c r="C6906" s="274" t="n">
        <x:v>0</x:v>
      </x:c>
      <x:c r="D6906" s="274" t="n">
        <x:v>30</x:v>
      </x:c>
      <x:c r="E6906" s="274" t="n">
        <x:v>40</x:v>
      </x:c>
      <x:c r="F6906" s="274" t="s">
        <x:v>133</x:v>
      </x:c>
      <x:c r="G6906" s="274" t="s">
        <x:v>144</x:v>
      </x:c>
      <x:c r="H6906" s="274" t="n">
        <x:v>45</x:v>
      </x:c>
      <x:c r="I6906" s="274" t="n">
        <x:v>1.4</x:v>
      </x:c>
      <x:c r="J6906" s="274" t="n">
        <x:v>1047</x:v>
      </x:c>
      <x:c r="K6906" s="274" t="n">
        <x:v>560</x:v>
      </x:c>
      <x:c r="N6906" s="274" t="s">
        <x:v>131</x:v>
      </x:c>
    </x:row>
    <x:row r="6907" spans="1:14">
      <x:c r="A6907" s="274" t="s">
        <x:v>11233</x:v>
      </x:c>
      <x:c r="B6907" s="274" t="n">
        <x:v>2.93</x:v>
      </x:c>
      <x:c r="C6907" s="274" t="n">
        <x:v>0</x:v>
      </x:c>
      <x:c r="D6907" s="274" t="n">
        <x:v>32</x:v>
      </x:c>
      <x:c r="E6907" s="274" t="n">
        <x:v>40</x:v>
      </x:c>
      <x:c r="F6907" s="274" t="s">
        <x:v>123</x:v>
      </x:c>
      <x:c r="G6907" s="274" t="s">
        <x:v>124</x:v>
      </x:c>
      <x:c r="I6907" s="274" t="n">
        <x:v>0.8</x:v>
      </x:c>
      <x:c r="J6907" s="274" t="n">
        <x:v>1035</x:v>
      </x:c>
      <x:c r="K6907" s="274" t="n">
        <x:v>450</x:v>
      </x:c>
      <x:c r="N6907" s="274" t="s">
        <x:v>155</x:v>
      </x:c>
    </x:row>
    <x:row r="6908" spans="1:14">
      <x:c r="A6908" s="274" t="s">
        <x:v>11234</x:v>
      </x:c>
      <x:c r="B6908" s="274" t="n">
        <x:v>4.22</x:v>
      </x:c>
      <x:c r="C6908" s="274" t="n">
        <x:v>0</x:v>
      </x:c>
      <x:c r="D6908" s="274" t="n">
        <x:v>32</x:v>
      </x:c>
      <x:c r="E6908" s="274" t="n">
        <x:v>40</x:v>
      </x:c>
      <x:c r="F6908" s="274" t="s">
        <x:v>184</x:v>
      </x:c>
      <x:c r="G6908" s="274" t="s">
        <x:v>136</x:v>
      </x:c>
      <x:c r="H6908" s="274" t="n">
        <x:v>45</x:v>
      </x:c>
      <x:c r="I6908" s="274" t="n">
        <x:v>0.65</x:v>
      </x:c>
      <x:c r="J6908" s="274" t="n">
        <x:v>1456</x:v>
      </x:c>
      <x:c r="K6908" s="274" t="n">
        <x:v>558</x:v>
      </x:c>
    </x:row>
    <x:row r="6909" spans="1:14">
      <x:c r="A6909" s="274" t="s">
        <x:v>11235</x:v>
      </x:c>
      <x:c r="B6909" s="274" t="n">
        <x:v>27.86</x:v>
      </x:c>
      <x:c r="C6909" s="274" t="n">
        <x:v>0</x:v>
      </x:c>
      <x:c r="D6909" s="274" t="n">
        <x:v>30</x:v>
      </x:c>
      <x:c r="E6909" s="274" t="n">
        <x:v>25</x:v>
      </x:c>
      <x:c r="F6909" s="274" t="s">
        <x:v>128</x:v>
      </x:c>
      <x:c r="G6909" s="274" t="s">
        <x:v>139</x:v>
      </x:c>
      <x:c r="I6909" s="274" t="n">
        <x:v>2.6</x:v>
      </x:c>
      <x:c r="J6909" s="274" t="n">
        <x:v>1110</x:v>
      </x:c>
      <x:c r="K6909" s="274" t="n">
        <x:v>1230</x:v>
      </x:c>
      <x:c r="N6909" s="274" t="s">
        <x:v>4250</x:v>
      </x:c>
    </x:row>
    <x:row r="6910" spans="1:14">
      <x:c r="A6910" s="274" t="s">
        <x:v>11236</x:v>
      </x:c>
      <x:c r="B6910" s="274" t="n">
        <x:v>27.86</x:v>
      </x:c>
      <x:c r="C6910" s="274" t="n">
        <x:v>0</x:v>
      </x:c>
      <x:c r="D6910" s="274" t="n">
        <x:v>30</x:v>
      </x:c>
      <x:c r="E6910" s="274" t="n">
        <x:v>26</x:v>
      </x:c>
      <x:c r="F6910" s="274" t="s">
        <x:v>133</x:v>
      </x:c>
      <x:c r="G6910" s="274" t="s">
        <x:v>134</x:v>
      </x:c>
      <x:c r="I6910" s="274" t="n">
        <x:v>3.2</x:v>
      </x:c>
      <x:c r="J6910" s="274" t="n">
        <x:v>990</x:v>
      </x:c>
      <x:c r="K6910" s="274" t="n">
        <x:v>1120</x:v>
      </x:c>
    </x:row>
    <x:row r="6911" spans="1:14">
      <x:c r="A6911" s="274" t="s">
        <x:v>11237</x:v>
      </x:c>
      <x:c r="B6911" s="274" t="n">
        <x:v>20.01</x:v>
      </x:c>
      <x:c r="C6911" s="274" t="n">
        <x:v>0</x:v>
      </x:c>
      <x:c r="D6911" s="274" t="n">
        <x:v>30</x:v>
      </x:c>
      <x:c r="E6911" s="274" t="n">
        <x:v>28</x:v>
      </x:c>
      <x:c r="F6911" s="274" t="s">
        <x:v>133</x:v>
      </x:c>
      <x:c r="G6911" s="274" t="s">
        <x:v>136</x:v>
      </x:c>
      <x:c r="H6911" s="274" t="n">
        <x:v>45</x:v>
      </x:c>
      <x:c r="I6911" s="274" t="n">
        <x:v>1.6</x:v>
      </x:c>
      <x:c r="J6911" s="274" t="n">
        <x:v>1055</x:v>
      </x:c>
      <x:c r="K6911" s="274" t="n">
        <x:v>1500</x:v>
      </x:c>
      <x:c r="M6911" s="274" t="s">
        <x:v>11238</x:v>
      </x:c>
    </x:row>
    <x:row r="6912" spans="1:14">
      <x:c r="A6912" s="274" t="s">
        <x:v>11239</x:v>
      </x:c>
      <x:c r="B6912" s="274" t="n">
        <x:v>15.79</x:v>
      </x:c>
      <x:c r="C6912" s="274" t="n">
        <x:v>0</x:v>
      </x:c>
      <x:c r="D6912" s="274" t="n">
        <x:v>30</x:v>
      </x:c>
      <x:c r="E6912" s="274" t="n">
        <x:v>32</x:v>
      </x:c>
      <x:c r="F6912" s="274" t="s">
        <x:v>133</x:v>
      </x:c>
      <x:c r="G6912" s="274" t="s">
        <x:v>134</x:v>
      </x:c>
      <x:c r="I6912" s="274" t="n">
        <x:v>1.6</x:v>
      </x:c>
      <x:c r="J6912" s="274" t="n">
        <x:v>1020</x:v>
      </x:c>
      <x:c r="K6912" s="274" t="n">
        <x:v>1232</x:v>
      </x:c>
      <x:c r="N6912" s="274" t="s">
        <x:v>4250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3">
    <x:outlinePr summaryBelow="1" summaryRight="1"/>
  </x:sheetPr>
  <x:dimension ref="A1:AC26"/>
  <x:sheetViews>
    <x:sheetView workbookViewId="0"/>
  </x:sheetViews>
  <x:sheetFormatPr defaultRowHeight="15"/>
  <x:cols>
    <x:col min="1" max="1" width="23.140625" style="274" customWidth="1"/>
    <x:col min="2" max="3" width="9.140625" style="274" customWidth="1"/>
    <x:col min="4" max="4" width="6.570312" style="274" customWidth="1"/>
    <x:col min="5" max="5" width="11.425781" style="274" customWidth="1"/>
    <x:col min="6" max="6" width="27" style="274" customWidth="1"/>
    <x:col min="7" max="12" width="9.140625" style="274" customWidth="1"/>
    <x:col min="13" max="13" width="14.570312" style="274" customWidth="1"/>
    <x:col min="14" max="21" width="9.140625" style="274" customWidth="1"/>
    <x:col min="22" max="22" width="23.855469" style="274" customWidth="1"/>
    <x:col min="23" max="24" width="9.140625" style="274" customWidth="1"/>
    <x:col min="25" max="25" width="21.425781" style="274" customWidth="1"/>
    <x:col min="26" max="26" width="20.140625" style="274" customWidth="1"/>
  </x:cols>
  <x:sheetData>
    <x:row r="1" spans="1:29" s="451" customFormat="1">
      <x:c r="A1" s="451" t="s">
        <x:v>11240</x:v>
      </x:c>
      <x:c r="B1" s="451" t="s">
        <x:v>11241</x:v>
      </x:c>
      <x:c r="C1" s="451" t="s">
        <x:v>11242</x:v>
      </x:c>
      <x:c r="D1" s="451" t="s">
        <x:v>11243</x:v>
      </x:c>
      <x:c r="E1" s="451" t="s">
        <x:v>11244</x:v>
      </x:c>
      <x:c r="F1" s="451" t="s">
        <x:v>11245</x:v>
      </x:c>
      <x:c r="G1" s="451" t="s">
        <x:v>11246</x:v>
      </x:c>
      <x:c r="H1" s="451" t="s">
        <x:v>11247</x:v>
      </x:c>
      <x:c r="I1" s="451" t="s">
        <x:v>11248</x:v>
      </x:c>
      <x:c r="J1" s="453" t="s">
        <x:v>11249</x:v>
      </x:c>
      <x:c r="K1" s="451" t="s">
        <x:v>11250</x:v>
      </x:c>
      <x:c r="L1" s="451" t="s">
        <x:v>11251</x:v>
      </x:c>
      <x:c r="M1" s="451" t="s">
        <x:v>11252</x:v>
      </x:c>
      <x:c r="N1" s="451" t="s">
        <x:v>11253</x:v>
      </x:c>
      <x:c r="O1" s="453" t="s">
        <x:v>11254</x:v>
      </x:c>
      <x:c r="P1" s="451" t="s">
        <x:v>11255</x:v>
      </x:c>
      <x:c r="Q1" s="451" t="s">
        <x:v>11256</x:v>
      </x:c>
      <x:c r="R1" s="453" t="s">
        <x:v>11257</x:v>
      </x:c>
      <x:c r="S1" s="451" t="s">
        <x:v>11258</x:v>
      </x:c>
      <x:c r="T1" s="451" t="s">
        <x:v>11259</x:v>
      </x:c>
      <x:c r="U1" s="451" t="s">
        <x:v>11260</x:v>
      </x:c>
      <x:c r="V1" s="451" t="s">
        <x:v>11261</x:v>
      </x:c>
      <x:c r="W1" s="451" t="s">
        <x:v>11262</x:v>
      </x:c>
      <x:c r="X1" s="451" t="s">
        <x:v>11263</x:v>
      </x:c>
      <x:c r="Y1" s="451" t="s">
        <x:v>11264</x:v>
      </x:c>
      <x:c r="Z1" s="451" t="s">
        <x:v>11265</x:v>
      </x:c>
      <x:c r="AA1" s="451" t="s">
        <x:v>11266</x:v>
      </x:c>
      <x:c r="AB1" s="451" t="s">
        <x:v>11267</x:v>
      </x:c>
      <x:c r="AC1" s="451" t="s">
        <x:v>11268</x:v>
      </x:c>
    </x:row>
    <x:row r="2" spans="1:29">
      <x:c r="B2" s="454" t="str">
        <x:f>UPPER(TRIM('ME-3'!BB2))</x:f>
      </x:c>
      <x:c r="C2" s="274" t="str">
        <x:f>TRIM('ME-3'!V3)</x:f>
      </x:c>
      <x:c r="D2" s="455">
        <x:f>'ME-3'!BO2</x:f>
      </x:c>
      <x:c r="F2" s="456" t="s"/>
      <x:c r="H2" s="457" t="s"/>
      <x:c r="I2" s="457" t="s"/>
      <x:c r="J2" s="458">
        <x:f>IF('ME-3'!BR21="",0,'ME-3'!BR21)</x:f>
      </x:c>
      <x:c r="K2" s="458" t="s"/>
      <x:c r="L2" s="457" t="s"/>
      <x:c r="M2" s="457" t="s"/>
    </x:row>
    <x:row r="3" spans="1:29">
      <x:c r="A3" s="274" t="str">
        <x:f>IF('ME-3'!AN6="","",UPPER(TRIM('ME-3'!AN6)))</x:f>
      </x:c>
      <x:c r="B3" s="454" t="str">
        <x:f>UPPER(TRIM('ME-3'!BB2))</x:f>
      </x:c>
      <x:c r="C3" s="456" t="str">
        <x:f>TRIM('ME-3'!V3)</x:f>
      </x:c>
      <x:c r="D3" s="455">
        <x:f>'ME-3'!BO2</x:f>
      </x:c>
      <x:c r="E3" s="454" t="str">
        <x:f>IF('ME-3'!AQ6="","",UPPER(TRIM('ME-3'!AQ6)))</x:f>
      </x:c>
      <x:c r="F3" s="456" t="str">
        <x:f>IF('ME-3'!BK6="","",LOWER(TRIM('ME-3'!BK6)))</x:f>
      </x:c>
      <x:c r="G3" s="274" t="e">
        <x:f>IF((M3-L3)*1440&lt;0,(((M3-L3)*1440)+1440),((M3-L3)*1440))</x:f>
      </x:c>
      <x:c r="H3" s="457" t="str">
        <x:f>IF('ME-3'!AX6="","",'ME-3'!AX6)</x:f>
      </x:c>
      <x:c r="I3" s="457" t="str">
        <x:f>IF('ME-3'!AY6="","",'ME-3'!AY6)</x:f>
      </x:c>
      <x:c r="J3" s="452">
        <x:f>IF('ME-3'!BQ6="",0,'ME-3'!BQ6)</x:f>
      </x:c>
      <x:c r="K3" s="458">
        <x:f>IF('ME-3'!BR17="",0,ROUND('ME-3'!BR17,0))</x:f>
      </x:c>
      <x:c r="L3" s="459" t="str">
        <x:f>'ME-3'!AV6</x:f>
      </x:c>
      <x:c r="M3" s="459" t="str">
        <x:f>'ME-3'!AW6</x:f>
      </x:c>
      <x:c r="N3" s="274">
        <x:f>IF('ME-3'!AZ6="",0,'ME-3'!AZ6)</x:f>
      </x:c>
      <x:c r="O3" s="274">
        <x:f>IF('ME-3'!BA6="",0,'ME-3'!BA6)</x:f>
      </x:c>
      <x:c r="P3" s="274">
        <x:f>IF('ME-3'!BB6="",0,'ME-3'!BB6)</x:f>
      </x:c>
      <x:c r="Q3" s="274">
        <x:f>IF('ME-3'!BC6="",0,'ME-3'!BC6)</x:f>
      </x:c>
      <x:c r="R3" s="452" t="s"/>
      <x:c r="S3" s="274">
        <x:f>IF('ME-3'!BP6="",0,'ME-3'!BP6)</x:f>
      </x:c>
      <x:c r="T3" s="274" t="str">
        <x:f>IF('ME-3'!BH6="","",TRIM('ME-3'!BH6))</x:f>
      </x:c>
      <x:c r="U3" s="274">
        <x:f>IF(OR('ME-3'!AP6=0,'ME-3'!AP6=""),0,1)</x:f>
      </x:c>
      <x:c r="V3" s="456" t="str">
        <x:f>IF('ME-3'!AM6="","",UPPER(TRIM('ME-3'!AM6)))</x:f>
      </x:c>
      <x:c r="W3" s="274" t="str">
        <x:f>IF(OR('ME-3'!H6=0,'ME-3'!H6=""),"",'ME-3'!H6)</x:f>
      </x:c>
      <x:c r="X3" s="274" t="str">
        <x:f>IF(OR('ME-3'!I6=0,'ME-3'!I6=""),"",'ME-3'!I6)</x:f>
      </x:c>
      <x:c r="Y3" s="274" t="str">
        <x:f>IF(V3="","",CONCATENATE(A3,"-",V3))</x:f>
      </x:c>
      <x:c r="Z3" s="274" t="str">
        <x:f>IF(Y3="","",CONCATENATE(Y3,"-",C3))</x:f>
      </x:c>
      <x:c r="AA3" s="274">
        <x:f>IF('ME-3'!BF6="",0,'ME-3'!BF6)</x:f>
      </x:c>
      <x:c r="AB3" s="274" t="e">
        <x:f>(IF((I3-H3)*1440&lt;0,(((I3-H3)*1440)+1440),((I3-H3)*1440)))-(S3+AA3)</x:f>
      </x:c>
      <x:c r="AC3" s="274" t="str">
        <x:f>IF('ME-3'!BR19="","",LOWER(TRIM('ME-3'!BR19)))</x:f>
      </x:c>
    </x:row>
    <x:row r="4" spans="1:29">
      <x:c r="A4" s="274" t="str">
        <x:f>IF('ME-3'!AN7="","",UPPER(TRIM('ME-3'!AN7)))</x:f>
      </x:c>
      <x:c r="B4" s="454" t="str">
        <x:f>UPPER(TRIM('ME-3'!BB2))</x:f>
      </x:c>
      <x:c r="C4" s="456" t="str">
        <x:f>TRIM('ME-3'!V3)</x:f>
      </x:c>
      <x:c r="D4" s="455">
        <x:f>'ME-3'!BO2</x:f>
      </x:c>
      <x:c r="E4" s="454" t="str">
        <x:f>IF('ME-3'!AQ7="","",UPPER(TRIM('ME-3'!AQ7)))</x:f>
      </x:c>
      <x:c r="F4" s="456" t="str">
        <x:f>IF('ME-3'!BK7="","",LOWER(TRIM('ME-3'!BK7)))</x:f>
      </x:c>
      <x:c r="G4" s="274" t="e">
        <x:f>IF((M4-L4)*1440&lt;0,(((M4-L4)*1440)+1440),((M4-L4)*1440))</x:f>
      </x:c>
      <x:c r="H4" s="457" t="str">
        <x:f>IF('ME-3'!AX7="","",'ME-3'!AX7)</x:f>
      </x:c>
      <x:c r="I4" s="457" t="str">
        <x:f>IF('ME-3'!AY7="","",'ME-3'!AY7)</x:f>
      </x:c>
      <x:c r="J4" s="452">
        <x:f>IF('ME-3'!BQ7="",0,'ME-3'!BQ7)</x:f>
      </x:c>
      <x:c r="K4" s="458" t="s"/>
      <x:c r="L4" s="459" t="str">
        <x:f>'ME-3'!AV7</x:f>
      </x:c>
      <x:c r="M4" s="459" t="str">
        <x:f>'ME-3'!AW7</x:f>
      </x:c>
      <x:c r="N4" s="274">
        <x:f>IF('ME-3'!AZ7="",0,'ME-3'!AZ7)</x:f>
      </x:c>
      <x:c r="O4" s="274">
        <x:f>IF('ME-3'!BA7="",0,'ME-3'!BA7)</x:f>
      </x:c>
      <x:c r="P4" s="274">
        <x:f>IF('ME-3'!BB7="",0,'ME-3'!BB7)</x:f>
      </x:c>
      <x:c r="Q4" s="274">
        <x:f>IF('ME-3'!BC7="",0,'ME-3'!BC7)</x:f>
      </x:c>
      <x:c r="R4" s="452" t="s"/>
      <x:c r="S4" s="274">
        <x:f>IF('ME-3'!BP7="",0,'ME-3'!BP7)</x:f>
      </x:c>
      <x:c r="T4" s="274" t="str">
        <x:f>IF('ME-3'!BH7="","",TRIM('ME-3'!BH7))</x:f>
      </x:c>
      <x:c r="U4" s="274">
        <x:f>IF(OR('ME-3'!AP7=0,'ME-3'!AP7=""),0,1)</x:f>
      </x:c>
      <x:c r="V4" s="456" t="str">
        <x:f>IF('ME-3'!AM7="","",UPPER(TRIM('ME-3'!AM7)))</x:f>
      </x:c>
      <x:c r="W4" s="274" t="str">
        <x:f>IF(OR('ME-3'!H7=0,'ME-3'!H7=""),"",'ME-3'!H7)</x:f>
      </x:c>
      <x:c r="X4" s="274" t="str">
        <x:f>IF(OR('ME-3'!I7=0,'ME-3'!I7=""),"",'ME-3'!I7)</x:f>
      </x:c>
      <x:c r="Y4" s="274" t="str">
        <x:f>IF(V4="","",CONCATENATE(A4,"-",V4))</x:f>
      </x:c>
      <x:c r="Z4" s="274" t="str">
        <x:f>IF(Y4="","",CONCATENATE(Y4,"-",C4))</x:f>
      </x:c>
      <x:c r="AA4" s="274">
        <x:f>IF('ME-3'!BF7="",0,'ME-3'!BF7)</x:f>
      </x:c>
      <x:c r="AB4" s="274" t="e">
        <x:f>(IF((I4-H4)*1440&lt;0,(((I4-H4)*1440)+1440),((I4-H4)*1440)))-(S4+AA4)</x:f>
      </x:c>
    </x:row>
    <x:row r="5" spans="1:29">
      <x:c r="A5" s="274" t="str">
        <x:f>IF('ME-3'!AN8="","",UPPER(TRIM('ME-3'!AN8)))</x:f>
      </x:c>
      <x:c r="B5" s="454" t="str">
        <x:f>UPPER(TRIM('ME-3'!BB2))</x:f>
      </x:c>
      <x:c r="C5" s="456" t="str">
        <x:f>TRIM('ME-3'!V3)</x:f>
      </x:c>
      <x:c r="D5" s="455">
        <x:f>'ME-3'!BO2</x:f>
      </x:c>
      <x:c r="E5" s="454" t="str">
        <x:f>IF('ME-3'!AQ8="","",UPPER(TRIM('ME-3'!AQ8)))</x:f>
      </x:c>
      <x:c r="F5" s="456" t="str">
        <x:f>IF('ME-3'!BK8="","",LOWER(TRIM('ME-3'!BK8)))</x:f>
      </x:c>
      <x:c r="G5" s="274" t="e">
        <x:f>IF((M5-L5)*1440&lt;0,(((M5-L5)*1440)+1440),((M5-L5)*1440))</x:f>
      </x:c>
      <x:c r="H5" s="457" t="str">
        <x:f>IF('ME-3'!AX8="","",'ME-3'!AX8)</x:f>
      </x:c>
      <x:c r="I5" s="457" t="str">
        <x:f>IF('ME-3'!AY8="","",'ME-3'!AY8)</x:f>
      </x:c>
      <x:c r="J5" s="452">
        <x:f>IF('ME-3'!BQ8="",0,'ME-3'!BQ8)</x:f>
      </x:c>
      <x:c r="K5" s="458" t="s"/>
      <x:c r="L5" s="459" t="str">
        <x:f>'ME-3'!AV8</x:f>
      </x:c>
      <x:c r="M5" s="459" t="str">
        <x:f>'ME-3'!AW8</x:f>
      </x:c>
      <x:c r="N5" s="274">
        <x:f>IF('ME-3'!AZ8="",0,'ME-3'!AZ8)</x:f>
      </x:c>
      <x:c r="O5" s="274">
        <x:f>IF('ME-3'!BA8="",0,'ME-3'!BA8)</x:f>
      </x:c>
      <x:c r="P5" s="274">
        <x:f>IF('ME-3'!BB8="",0,'ME-3'!BB8)</x:f>
      </x:c>
      <x:c r="Q5" s="274">
        <x:f>IF('ME-3'!BC8="",0,'ME-3'!BC8)</x:f>
      </x:c>
      <x:c r="R5" s="452" t="s"/>
      <x:c r="S5" s="274">
        <x:f>IF('ME-3'!BP8="",0,'ME-3'!BP8)</x:f>
      </x:c>
      <x:c r="T5" s="274" t="str">
        <x:f>IF('ME-3'!BH8="","",TRIM('ME-3'!BH8))</x:f>
      </x:c>
      <x:c r="U5" s="274">
        <x:f>IF(OR('ME-3'!AP8=0,'ME-3'!AP8=""),0,1)</x:f>
      </x:c>
      <x:c r="V5" s="456" t="str">
        <x:f>IF('ME-3'!AM8="","",UPPER(TRIM('ME-3'!AM8)))</x:f>
      </x:c>
      <x:c r="W5" s="274" t="str">
        <x:f>IF(OR('ME-3'!H8=0,'ME-3'!H8=""),"",'ME-3'!H8)</x:f>
      </x:c>
      <x:c r="X5" s="274" t="str">
        <x:f>IF(OR('ME-3'!I8=0,'ME-3'!I8=""),"",'ME-3'!I8)</x:f>
      </x:c>
      <x:c r="Y5" s="274" t="str">
        <x:f>IF(V5="","",CONCATENATE(A5,"-",V5))</x:f>
      </x:c>
      <x:c r="Z5" s="274" t="str">
        <x:f>IF(Y5="","",CONCATENATE(Y5,"-",C5))</x:f>
      </x:c>
      <x:c r="AA5" s="274">
        <x:f>IF('ME-3'!BF8="",0,'ME-3'!BF8)</x:f>
      </x:c>
      <x:c r="AB5" s="274" t="e">
        <x:f>(IF((I5-H5)*1440&lt;0,(((I5-H5)*1440)+1440),((I5-H5)*1440)))-(S5+AA5)</x:f>
      </x:c>
    </x:row>
    <x:row r="6" spans="1:29">
      <x:c r="A6" s="274" t="str">
        <x:f>IF('ME-3'!AN9="","",UPPER(TRIM('ME-3'!AN9)))</x:f>
      </x:c>
      <x:c r="B6" s="454" t="str">
        <x:f>UPPER(TRIM('ME-3'!BB2))</x:f>
      </x:c>
      <x:c r="C6" s="456" t="str">
        <x:f>TRIM('ME-3'!V3)</x:f>
      </x:c>
      <x:c r="D6" s="455">
        <x:f>'ME-3'!BO2</x:f>
      </x:c>
      <x:c r="E6" s="454" t="str">
        <x:f>IF('ME-3'!AQ9="","",UPPER(TRIM('ME-3'!AQ9)))</x:f>
      </x:c>
      <x:c r="F6" s="456" t="str">
        <x:f>IF('ME-3'!BK9="","",LOWER(TRIM('ME-3'!BK9)))</x:f>
      </x:c>
      <x:c r="G6" s="274" t="e">
        <x:f>IF((M6-L6)*1440&lt;0,(((M6-L6)*1440)+1440),((M6-L6)*1440))</x:f>
      </x:c>
      <x:c r="H6" s="457" t="str">
        <x:f>IF('ME-3'!AX9="","",'ME-3'!AX9)</x:f>
      </x:c>
      <x:c r="I6" s="457" t="str">
        <x:f>IF('ME-3'!AY9="","",'ME-3'!AY9)</x:f>
      </x:c>
      <x:c r="J6" s="452">
        <x:f>IF('ME-3'!BQ9="",0,'ME-3'!BQ9)</x:f>
      </x:c>
      <x:c r="K6" s="458" t="s"/>
      <x:c r="L6" s="459" t="str">
        <x:f>'ME-3'!AV9</x:f>
      </x:c>
      <x:c r="M6" s="459" t="str">
        <x:f>'ME-3'!AW9</x:f>
      </x:c>
      <x:c r="N6" s="274">
        <x:f>IF('ME-3'!AZ9="",0,'ME-3'!AZ9)</x:f>
      </x:c>
      <x:c r="O6" s="274">
        <x:f>IF('ME-3'!BA9="",0,'ME-3'!BA9)</x:f>
      </x:c>
      <x:c r="P6" s="274">
        <x:f>IF('ME-3'!BB9="",0,'ME-3'!BB9)</x:f>
      </x:c>
      <x:c r="Q6" s="274">
        <x:f>IF('ME-3'!BC9="",0,'ME-3'!BC9)</x:f>
      </x:c>
      <x:c r="R6" s="452" t="s"/>
      <x:c r="S6" s="274">
        <x:f>IF('ME-3'!BP9="",0,'ME-3'!BP9)</x:f>
      </x:c>
      <x:c r="T6" s="274" t="str">
        <x:f>IF('ME-3'!BH9="","",TRIM('ME-3'!BH9))</x:f>
      </x:c>
      <x:c r="U6" s="274">
        <x:f>IF(OR('ME-3'!AP9=0,'ME-3'!AP9=""),0,1)</x:f>
      </x:c>
      <x:c r="V6" s="456" t="str">
        <x:f>IF('ME-3'!AM9="","",UPPER(TRIM('ME-3'!AM9)))</x:f>
      </x:c>
      <x:c r="W6" s="274" t="str">
        <x:f>IF(OR('ME-3'!H9=0,'ME-3'!H9=""),"",'ME-3'!H9)</x:f>
      </x:c>
      <x:c r="X6" s="274" t="str">
        <x:f>IF(OR('ME-3'!I9=0,'ME-3'!I9=""),"",'ME-3'!I9)</x:f>
      </x:c>
      <x:c r="Y6" s="274" t="str">
        <x:f>IF(V6="","",CONCATENATE(A6,"-",V6))</x:f>
      </x:c>
      <x:c r="Z6" s="274" t="str">
        <x:f>IF(Y6="","",CONCATENATE(Y6,"-",C6))</x:f>
      </x:c>
      <x:c r="AA6" s="274">
        <x:f>IF('ME-3'!BF9="",0,'ME-3'!BF9)</x:f>
      </x:c>
      <x:c r="AB6" s="274" t="e">
        <x:f>(IF((I6-H6)*1440&lt;0,(((I6-H6)*1440)+1440),((I6-H6)*1440)))-(S6+AA6)</x:f>
      </x:c>
    </x:row>
    <x:row r="7" spans="1:29">
      <x:c r="A7" s="274" t="str">
        <x:f>IF('ME-3'!AN10="","",UPPER(TRIM('ME-3'!AN10)))</x:f>
      </x:c>
      <x:c r="B7" s="454" t="str">
        <x:f>UPPER(TRIM('ME-3'!BB2))</x:f>
      </x:c>
      <x:c r="C7" s="456" t="str">
        <x:f>TRIM('ME-3'!V3)</x:f>
      </x:c>
      <x:c r="D7" s="455">
        <x:f>'ME-3'!BO2</x:f>
      </x:c>
      <x:c r="E7" s="454" t="str">
        <x:f>IF('ME-3'!AQ10="","",UPPER(TRIM('ME-3'!AQ10)))</x:f>
      </x:c>
      <x:c r="F7" s="456" t="str">
        <x:f>IF('ME-3'!BK10="","",LOWER(TRIM('ME-3'!BK10)))</x:f>
      </x:c>
      <x:c r="G7" s="274" t="e">
        <x:f>IF((M7-L7)*1440&lt;0,(((M7-L7)*1440)+1440),((M7-L7)*1440))</x:f>
      </x:c>
      <x:c r="H7" s="457" t="str">
        <x:f>IF('ME-3'!AX10="","",'ME-3'!AX10)</x:f>
      </x:c>
      <x:c r="I7" s="457" t="str">
        <x:f>IF('ME-3'!AY10="","",'ME-3'!AY10)</x:f>
      </x:c>
      <x:c r="J7" s="452">
        <x:f>IF('ME-3'!BQ10="",0,'ME-3'!BQ10)</x:f>
      </x:c>
      <x:c r="K7" s="458" t="s"/>
      <x:c r="L7" s="459" t="str">
        <x:f>'ME-3'!AV10</x:f>
      </x:c>
      <x:c r="M7" s="459" t="str">
        <x:f>'ME-3'!AW10</x:f>
      </x:c>
      <x:c r="N7" s="274">
        <x:f>IF('ME-3'!AZ10="",0,'ME-3'!AZ10)</x:f>
      </x:c>
      <x:c r="O7" s="274">
        <x:f>IF('ME-3'!BA10="",0,'ME-3'!BA10)</x:f>
      </x:c>
      <x:c r="P7" s="274">
        <x:f>IF('ME-3'!BB10="",0,'ME-3'!BB10)</x:f>
      </x:c>
      <x:c r="Q7" s="274">
        <x:f>IF('ME-3'!BC10="",0,'ME-3'!BC10)</x:f>
      </x:c>
      <x:c r="R7" s="452" t="s"/>
      <x:c r="S7" s="274">
        <x:f>IF('ME-3'!BP10="",0,'ME-3'!BP10)</x:f>
      </x:c>
      <x:c r="T7" s="274" t="str">
        <x:f>IF('ME-3'!BH10="","",TRIM('ME-3'!BH10))</x:f>
      </x:c>
      <x:c r="U7" s="274">
        <x:f>IF(OR('ME-3'!AP10=0,'ME-3'!AP10=""),0,1)</x:f>
      </x:c>
      <x:c r="V7" s="456" t="str">
        <x:f>IF('ME-3'!AM10="","",UPPER(TRIM('ME-3'!AM10)))</x:f>
      </x:c>
      <x:c r="W7" s="274" t="str">
        <x:f>IF(OR('ME-3'!H10=0,'ME-3'!H10=""),"",'ME-3'!H10)</x:f>
      </x:c>
      <x:c r="X7" s="274" t="str">
        <x:f>IF(OR('ME-3'!I10=0,'ME-3'!I10=""),"",'ME-3'!I10)</x:f>
      </x:c>
      <x:c r="Y7" s="274" t="str">
        <x:f>IF(V7="","",CONCATENATE(A7,"-",V7))</x:f>
      </x:c>
      <x:c r="Z7" s="274" t="str">
        <x:f>IF(Y7="","",CONCATENATE(Y7,"-",C7))</x:f>
      </x:c>
      <x:c r="AA7" s="274">
        <x:f>IF('ME-3'!BF10="",0,'ME-3'!BF10)</x:f>
      </x:c>
      <x:c r="AB7" s="274" t="e">
        <x:f>(IF((I7-H7)*1440&lt;0,(((I7-H7)*1440)+1440),((I7-H7)*1440)))-(S7+AA7)</x:f>
      </x:c>
    </x:row>
    <x:row r="8" spans="1:29">
      <x:c r="A8" s="274" t="str">
        <x:f>IF('ME-3'!AN11="","",UPPER(TRIM('ME-3'!AN11)))</x:f>
      </x:c>
      <x:c r="B8" s="454" t="str">
        <x:f>UPPER(TRIM('ME-3'!BB2))</x:f>
      </x:c>
      <x:c r="C8" s="456" t="str">
        <x:f>TRIM('ME-3'!V3)</x:f>
      </x:c>
      <x:c r="D8" s="455">
        <x:f>'ME-3'!BO2</x:f>
      </x:c>
      <x:c r="E8" s="454" t="str">
        <x:f>IF('ME-3'!AQ11="","",UPPER(TRIM('ME-3'!AQ11)))</x:f>
      </x:c>
      <x:c r="F8" s="456" t="str">
        <x:f>IF('ME-3'!BK11="","",LOWER(TRIM('ME-3'!BK11)))</x:f>
      </x:c>
      <x:c r="G8" s="274" t="e">
        <x:f>IF((M8-L8)*1440&lt;0,(((M8-L8)*1440)+1440),((M8-L8)*1440))</x:f>
      </x:c>
      <x:c r="H8" s="457" t="str">
        <x:f>IF('ME-3'!AX11="","",'ME-3'!AX11)</x:f>
      </x:c>
      <x:c r="I8" s="457" t="str">
        <x:f>IF('ME-3'!AY11="","",'ME-3'!AY11)</x:f>
      </x:c>
      <x:c r="J8" s="452">
        <x:f>IF('ME-3'!BQ11="",0,'ME-3'!BQ11)</x:f>
      </x:c>
      <x:c r="K8" s="458" t="s"/>
      <x:c r="L8" s="459" t="str">
        <x:f>'ME-3'!AV11</x:f>
      </x:c>
      <x:c r="M8" s="459" t="str">
        <x:f>'ME-3'!AW11</x:f>
      </x:c>
      <x:c r="N8" s="274">
        <x:f>IF('ME-3'!AZ11="",0,'ME-3'!AZ11)</x:f>
      </x:c>
      <x:c r="O8" s="274">
        <x:f>IF('ME-3'!BA11="",0,'ME-3'!BA11)</x:f>
      </x:c>
      <x:c r="P8" s="274">
        <x:f>IF('ME-3'!BB11="",0,'ME-3'!BB11)</x:f>
      </x:c>
      <x:c r="Q8" s="274">
        <x:f>IF('ME-3'!BC11="",0,'ME-3'!BC11)</x:f>
      </x:c>
      <x:c r="R8" s="452" t="s"/>
      <x:c r="S8" s="274">
        <x:f>IF('ME-3'!BP11="",0,'ME-3'!BP11)</x:f>
      </x:c>
      <x:c r="T8" s="274" t="str">
        <x:f>IF('ME-3'!BH11="","",TRIM('ME-3'!BH11))</x:f>
      </x:c>
      <x:c r="U8" s="274">
        <x:f>IF(OR('ME-3'!AP11=0,'ME-3'!AP11=""),0,1)</x:f>
      </x:c>
      <x:c r="V8" s="456" t="str">
        <x:f>IF('ME-3'!AM11="","",UPPER(TRIM('ME-3'!AM11)))</x:f>
      </x:c>
      <x:c r="W8" s="274" t="str">
        <x:f>IF(OR('ME-3'!H11=0,'ME-3'!H11=""),"",'ME-3'!H11)</x:f>
      </x:c>
      <x:c r="X8" s="274" t="str">
        <x:f>IF(OR('ME-3'!I11=0,'ME-3'!I11=""),"",'ME-3'!I11)</x:f>
      </x:c>
      <x:c r="Y8" s="274" t="str">
        <x:f>IF(V8="","",CONCATENATE(A8,"-",V8))</x:f>
      </x:c>
      <x:c r="Z8" s="274" t="str">
        <x:f>IF(Y8="","",CONCATENATE(Y8,"-",C8))</x:f>
      </x:c>
      <x:c r="AA8" s="274">
        <x:f>IF('ME-3'!BF11="",0,'ME-3'!BF11)</x:f>
      </x:c>
      <x:c r="AB8" s="274" t="e">
        <x:f>(IF((I8-H8)*1440&lt;0,(((I8-H8)*1440)+1440),((I8-H8)*1440)))-(S8+AA8)</x:f>
      </x:c>
    </x:row>
    <x:row r="9" spans="1:29">
      <x:c r="A9" s="274" t="str">
        <x:f>IF('ME-3'!AN12="","",UPPER(TRIM('ME-3'!AN12)))</x:f>
      </x:c>
      <x:c r="B9" s="454" t="str">
        <x:f>UPPER(TRIM('ME-3'!BB2))</x:f>
      </x:c>
      <x:c r="C9" s="456" t="str">
        <x:f>TRIM('ME-3'!V3)</x:f>
      </x:c>
      <x:c r="D9" s="455">
        <x:f>'ME-3'!BO2</x:f>
      </x:c>
      <x:c r="E9" s="454" t="str">
        <x:f>IF('ME-3'!AQ12="","",UPPER(TRIM('ME-3'!AQ12)))</x:f>
      </x:c>
      <x:c r="F9" s="456" t="str">
        <x:f>IF('ME-3'!BK12="","",LOWER(TRIM('ME-3'!BK12)))</x:f>
      </x:c>
      <x:c r="G9" s="274" t="e">
        <x:f>IF((M9-L9)*1440&lt;0,(((M9-L9)*1440)+1440),((M9-L9)*1440))</x:f>
      </x:c>
      <x:c r="H9" s="457" t="str">
        <x:f>IF('ME-3'!AX12="","",'ME-3'!AX12)</x:f>
      </x:c>
      <x:c r="I9" s="457" t="str">
        <x:f>IF('ME-3'!AY12="","",'ME-3'!AY12)</x:f>
      </x:c>
      <x:c r="J9" s="452">
        <x:f>IF('ME-3'!BQ12="",0,'ME-3'!BQ12)</x:f>
      </x:c>
      <x:c r="K9" s="452" t="s"/>
      <x:c r="L9" s="459" t="str">
        <x:f>'ME-3'!AV12</x:f>
      </x:c>
      <x:c r="M9" s="459" t="str">
        <x:f>'ME-3'!AW12</x:f>
      </x:c>
      <x:c r="N9" s="274">
        <x:f>IF('ME-3'!AZ12="",0,'ME-3'!AZ12)</x:f>
      </x:c>
      <x:c r="O9" s="274">
        <x:f>IF('ME-3'!BA12="",0,'ME-3'!BA12)</x:f>
      </x:c>
      <x:c r="P9" s="274">
        <x:f>IF('ME-3'!BB12="",0,'ME-3'!BB12)</x:f>
      </x:c>
      <x:c r="Q9" s="274">
        <x:f>IF('ME-3'!BC12="",0,'ME-3'!BC12)</x:f>
      </x:c>
      <x:c r="R9" s="452" t="s"/>
      <x:c r="S9" s="274">
        <x:f>IF('ME-3'!BP12="",0,'ME-3'!BP12)</x:f>
      </x:c>
      <x:c r="T9" s="274" t="str">
        <x:f>IF('ME-3'!BH12="","",TRIM('ME-3'!BH12))</x:f>
      </x:c>
      <x:c r="U9" s="274">
        <x:f>IF(OR('ME-3'!AP12=0,'ME-3'!AP12=""),0,1)</x:f>
      </x:c>
      <x:c r="V9" s="456" t="str">
        <x:f>IF('ME-3'!AM12="","",UPPER(TRIM('ME-3'!AM12)))</x:f>
      </x:c>
      <x:c r="W9" s="274" t="str">
        <x:f>IF(OR('ME-3'!H12=0,'ME-3'!H12=""),"",'ME-3'!H12)</x:f>
      </x:c>
      <x:c r="X9" s="274" t="str">
        <x:f>IF(OR('ME-3'!I12=0,'ME-3'!I12=""),"",'ME-3'!I12)</x:f>
      </x:c>
      <x:c r="Y9" s="274" t="str">
        <x:f>IF(V9="","",CONCATENATE(A9,"-",V9))</x:f>
      </x:c>
      <x:c r="Z9" s="274" t="str">
        <x:f>IF(Y9="","",CONCATENATE(Y9,"-",C9))</x:f>
      </x:c>
      <x:c r="AA9" s="274">
        <x:f>IF('ME-3'!BF12="",0,'ME-3'!BF12)</x:f>
      </x:c>
      <x:c r="AB9" s="274" t="e">
        <x:f>(IF((I9-H9)*1440&lt;0,(((I9-H9)*1440)+1440),((I9-H9)*1440)))-(S9+AA9)</x:f>
      </x:c>
    </x:row>
    <x:row r="10" spans="1:29">
      <x:c r="A10" s="274" t="str">
        <x:f>IF('ME-3'!AN13="","",UPPER(TRIM('ME-3'!AN13)))</x:f>
      </x:c>
      <x:c r="B10" s="454" t="str">
        <x:f>UPPER(TRIM('ME-3'!BB2))</x:f>
      </x:c>
      <x:c r="C10" s="456" t="str">
        <x:f>TRIM('ME-3'!V3)</x:f>
      </x:c>
      <x:c r="D10" s="455">
        <x:f>'ME-3'!BO2</x:f>
      </x:c>
      <x:c r="E10" s="454" t="str">
        <x:f>IF('ME-3'!AQ13="","",UPPER(TRIM('ME-3'!AQ13)))</x:f>
      </x:c>
      <x:c r="F10" s="456" t="str">
        <x:f>IF('ME-3'!BK13="","",LOWER(TRIM('ME-3'!BK13)))</x:f>
      </x:c>
      <x:c r="G10" s="274" t="e">
        <x:f>IF((M10-L10)*1440&lt;0,(((M10-L10)*1440)+1440),((M10-L10)*1440))</x:f>
      </x:c>
      <x:c r="H10" s="457" t="str">
        <x:f>IF('ME-3'!AX13="","",'ME-3'!AX13)</x:f>
      </x:c>
      <x:c r="I10" s="457" t="str">
        <x:f>IF('ME-3'!AY13="","",'ME-3'!AY13)</x:f>
      </x:c>
      <x:c r="J10" s="452">
        <x:f>IF('ME-3'!BQ13="",0,'ME-3'!BQ13)</x:f>
      </x:c>
      <x:c r="K10" s="452" t="s"/>
      <x:c r="L10" s="459" t="str">
        <x:f>'ME-3'!AV13</x:f>
      </x:c>
      <x:c r="M10" s="459" t="str">
        <x:f>'ME-3'!AW13</x:f>
      </x:c>
      <x:c r="N10" s="274">
        <x:f>IF('ME-3'!AZ13="",0,'ME-3'!AZ13)</x:f>
      </x:c>
      <x:c r="O10" s="274">
        <x:f>IF('ME-3'!BA13="",0,'ME-3'!BA13)</x:f>
      </x:c>
      <x:c r="P10" s="274">
        <x:f>IF('ME-3'!BB13="",0,'ME-3'!BB13)</x:f>
      </x:c>
      <x:c r="Q10" s="274">
        <x:f>IF('ME-3'!BC13="",0,'ME-3'!BC13)</x:f>
      </x:c>
      <x:c r="R10" s="452" t="s"/>
      <x:c r="S10" s="274">
        <x:f>IF('ME-3'!BP13="",0,'ME-3'!BP13)</x:f>
      </x:c>
      <x:c r="T10" s="274" t="str">
        <x:f>IF('ME-3'!BH13="","",TRIM('ME-3'!BH13))</x:f>
      </x:c>
      <x:c r="U10" s="274">
        <x:f>IF(OR('ME-3'!AP13=0,'ME-3'!AP13=""),0,1)</x:f>
      </x:c>
      <x:c r="V10" s="456" t="str">
        <x:f>IF('ME-3'!AM13="","",UPPER(TRIM('ME-3'!AM13)))</x:f>
      </x:c>
      <x:c r="W10" s="274" t="str">
        <x:f>IF(OR('ME-3'!H13=0,'ME-3'!H13=""),"",'ME-3'!H13)</x:f>
      </x:c>
      <x:c r="X10" s="274" t="str">
        <x:f>IF(OR('ME-3'!I13=0,'ME-3'!I13=""),"",'ME-3'!I13)</x:f>
      </x:c>
      <x:c r="Y10" s="274" t="str">
        <x:f>IF(V10="","",CONCATENATE(A10,"-",V10))</x:f>
      </x:c>
      <x:c r="Z10" s="274" t="str">
        <x:f>IF(Y10="","",CONCATENATE(Y10,"-",C10))</x:f>
      </x:c>
      <x:c r="AA10" s="274">
        <x:f>IF('ME-3'!BF13="",0,'ME-3'!BF13)</x:f>
      </x:c>
      <x:c r="AB10" s="274" t="e">
        <x:f>(IF((I10-H10)*1440&lt;0,(((I10-H10)*1440)+1440),((I10-H10)*1440)))-(S10+AA10)</x:f>
      </x:c>
    </x:row>
    <x:row r="11" spans="1:29">
      <x:c r="A11" s="274" t="str">
        <x:f>IF('ME-3'!AN14="","",UPPER(TRIM('ME-3'!AN14)))</x:f>
      </x:c>
      <x:c r="B11" s="454" t="str">
        <x:f>UPPER(TRIM('ME-3'!BB2))</x:f>
      </x:c>
      <x:c r="C11" s="456" t="str">
        <x:f>TRIM('ME-3'!V3)</x:f>
      </x:c>
      <x:c r="D11" s="455">
        <x:f>'ME-3'!BO2</x:f>
      </x:c>
      <x:c r="E11" s="454" t="str">
        <x:f>IF('ME-3'!AQ14="","",UPPER(TRIM('ME-3'!AQ14)))</x:f>
      </x:c>
      <x:c r="F11" s="456" t="str">
        <x:f>IF('ME-3'!BK14="","",LOWER(TRIM('ME-3'!BK14)))</x:f>
      </x:c>
      <x:c r="G11" s="274" t="e">
        <x:f>IF((M11-L11)*1440&lt;0,(((M11-L11)*1440)+1440),((M11-L11)*1440))</x:f>
      </x:c>
      <x:c r="H11" s="457" t="str">
        <x:f>IF('ME-3'!AX14="","",'ME-3'!AX14)</x:f>
      </x:c>
      <x:c r="I11" s="457" t="str">
        <x:f>IF('ME-3'!AY14="","",'ME-3'!AY14)</x:f>
      </x:c>
      <x:c r="J11" s="452">
        <x:f>IF('ME-3'!BQ14="",0,'ME-3'!BQ14)</x:f>
      </x:c>
      <x:c r="K11" s="452" t="s"/>
      <x:c r="L11" s="459" t="str">
        <x:f>'ME-3'!AV14</x:f>
      </x:c>
      <x:c r="M11" s="459" t="str">
        <x:f>'ME-3'!AW14</x:f>
      </x:c>
      <x:c r="N11" s="274">
        <x:f>IF('ME-3'!AZ14="",0,'ME-3'!AZ14)</x:f>
      </x:c>
      <x:c r="O11" s="274">
        <x:f>IF('ME-3'!BA14="",0,'ME-3'!BA14)</x:f>
      </x:c>
      <x:c r="P11" s="274">
        <x:f>IF('ME-3'!BB14="",0,'ME-3'!BB14)</x:f>
      </x:c>
      <x:c r="Q11" s="274">
        <x:f>IF('ME-3'!BC14="",0,'ME-3'!BC14)</x:f>
      </x:c>
      <x:c r="R11" s="452" t="s"/>
      <x:c r="S11" s="274">
        <x:f>IF('ME-3'!BP14="",0,'ME-3'!BP14)</x:f>
      </x:c>
      <x:c r="T11" s="274" t="str">
        <x:f>IF('ME-3'!BH14="","",TRIM('ME-3'!BH14))</x:f>
      </x:c>
      <x:c r="U11" s="274">
        <x:f>IF(OR('ME-3'!AP14=0,'ME-3'!AP14=""),0,1)</x:f>
      </x:c>
      <x:c r="V11" s="456" t="str">
        <x:f>IF('ME-3'!AM14="","",UPPER(TRIM('ME-3'!AM14)))</x:f>
      </x:c>
      <x:c r="W11" s="274" t="str">
        <x:f>IF(OR('ME-3'!H14=0,'ME-3'!H14=""),"",'ME-3'!H14)</x:f>
      </x:c>
      <x:c r="X11" s="274" t="str">
        <x:f>IF(OR('ME-3'!I14=0,'ME-3'!I14=""),"",'ME-3'!I14)</x:f>
      </x:c>
      <x:c r="Y11" s="274" t="str">
        <x:f>IF(V11="","",CONCATENATE(A11,"-",V11))</x:f>
      </x:c>
      <x:c r="Z11" s="274" t="str">
        <x:f>IF(Y11="","",CONCATENATE(Y11,"-",C11))</x:f>
      </x:c>
      <x:c r="AA11" s="274">
        <x:f>IF('ME-3'!BF14="",0,'ME-3'!BF14)</x:f>
      </x:c>
      <x:c r="AB11" s="274" t="e">
        <x:f>(IF((I11-H11)*1440&lt;0,(((I11-H11)*1440)+1440),((I11-H11)*1440)))-(S11+AA11)</x:f>
      </x:c>
    </x:row>
    <x:row r="12" spans="1:29">
      <x:c r="A12" s="274" t="str">
        <x:f>IF('ME-3'!AN15="","",UPPER(TRIM('ME-3'!AN15)))</x:f>
      </x:c>
      <x:c r="B12" s="454" t="str">
        <x:f>UPPER(TRIM('ME-3'!BB2))</x:f>
      </x:c>
      <x:c r="C12" s="456" t="str">
        <x:f>TRIM('ME-3'!V3)</x:f>
      </x:c>
      <x:c r="D12" s="455">
        <x:f>'ME-3'!BO2</x:f>
      </x:c>
      <x:c r="E12" s="454" t="str">
        <x:f>IF('ME-3'!AQ15="","",UPPER(TRIM('ME-3'!AQ15)))</x:f>
      </x:c>
      <x:c r="F12" s="456" t="str">
        <x:f>IF('ME-3'!BK15="","",LOWER(TRIM('ME-3'!BK15)))</x:f>
      </x:c>
      <x:c r="G12" s="274" t="e">
        <x:f>IF((M12-L12)*1440&lt;0,(((M12-L12)*1440)+1440),((M12-L12)*1440))</x:f>
      </x:c>
      <x:c r="H12" s="457" t="str">
        <x:f>IF('ME-3'!AX15="","",'ME-3'!AX15)</x:f>
      </x:c>
      <x:c r="I12" s="457" t="str">
        <x:f>IF('ME-3'!AY15="","",'ME-3'!AY15)</x:f>
      </x:c>
      <x:c r="J12" s="452">
        <x:f>IF('ME-3'!BQ15="",0,'ME-3'!BQ15)</x:f>
      </x:c>
      <x:c r="K12" s="452" t="s"/>
      <x:c r="L12" s="459" t="str">
        <x:f>'ME-3'!AV15</x:f>
      </x:c>
      <x:c r="M12" s="459" t="str">
        <x:f>'ME-3'!AW15</x:f>
      </x:c>
      <x:c r="N12" s="274">
        <x:f>IF('ME-3'!AZ15="",0,'ME-3'!AZ15)</x:f>
      </x:c>
      <x:c r="O12" s="274">
        <x:f>IF('ME-3'!BA15="",0,'ME-3'!BA15)</x:f>
      </x:c>
      <x:c r="P12" s="274">
        <x:f>IF('ME-3'!BB15="",0,'ME-3'!BB15)</x:f>
      </x:c>
      <x:c r="Q12" s="274">
        <x:f>IF('ME-3'!BC15="",0,'ME-3'!BC15)</x:f>
      </x:c>
      <x:c r="R12" s="452" t="s"/>
      <x:c r="S12" s="274">
        <x:f>IF('ME-3'!BP15="",0,'ME-3'!BP15)</x:f>
      </x:c>
      <x:c r="T12" s="274" t="str">
        <x:f>IF('ME-3'!BH15="","",TRIM('ME-3'!BH15))</x:f>
      </x:c>
      <x:c r="U12" s="274">
        <x:f>IF(OR('ME-3'!AP15=0,'ME-3'!AP15=""),0,1)</x:f>
      </x:c>
      <x:c r="V12" s="456" t="str">
        <x:f>IF('ME-3'!AM15="","",UPPER(TRIM('ME-3'!AM15)))</x:f>
      </x:c>
      <x:c r="W12" s="274" t="str">
        <x:f>IF(OR('ME-3'!H15=0,'ME-3'!H15=""),"",'ME-3'!H15)</x:f>
      </x:c>
      <x:c r="X12" s="274" t="str">
        <x:f>IF(OR('ME-3'!I15=0,'ME-3'!I15=""),"",'ME-3'!I15)</x:f>
      </x:c>
      <x:c r="Y12" s="274" t="str">
        <x:f>IF(V12="","",CONCATENATE(A12,"-",V12))</x:f>
      </x:c>
      <x:c r="Z12" s="274" t="str">
        <x:f>IF(Y12="","",CONCATENATE(Y12,"-",C12))</x:f>
      </x:c>
      <x:c r="AA12" s="274">
        <x:f>IF('ME-3'!BF15="",0,'ME-3'!BF15)</x:f>
      </x:c>
      <x:c r="AB12" s="274" t="e">
        <x:f>(IF((I12-H12)*1440&lt;0,(((I12-H12)*1440)+1440),((I12-H12)*1440)))-(S12+AA12)</x:f>
      </x:c>
    </x:row>
    <x:row r="13" spans="1:29">
      <x:c r="A13" s="274" t="str">
        <x:f>IF('ME-3'!AN16="","",UPPER(TRIM('ME-3'!AN16)))</x:f>
      </x:c>
      <x:c r="B13" s="454" t="str">
        <x:f>UPPER(TRIM('ME-3'!BB2))</x:f>
      </x:c>
      <x:c r="C13" s="456" t="str">
        <x:f>TRIM('ME-3'!V3)</x:f>
      </x:c>
      <x:c r="D13" s="455">
        <x:f>'ME-3'!BO2</x:f>
      </x:c>
      <x:c r="E13" s="454" t="str">
        <x:f>IF('ME-3'!AQ16="","",UPPER(TRIM('ME-3'!AQ16)))</x:f>
      </x:c>
      <x:c r="F13" s="456" t="str">
        <x:f>IF('ME-3'!BK16="","",LOWER(TRIM('ME-3'!BK16)))</x:f>
      </x:c>
      <x:c r="G13" s="274" t="e">
        <x:f>IF((M13-L13)*1440&lt;0,(((M13-L13)*1440)+1440),((M13-L13)*1440))</x:f>
      </x:c>
      <x:c r="H13" s="457" t="str">
        <x:f>IF('ME-3'!AX16="","",'ME-3'!AX16)</x:f>
      </x:c>
      <x:c r="I13" s="457" t="str">
        <x:f>IF('ME-3'!AY16="","",'ME-3'!AY16)</x:f>
      </x:c>
      <x:c r="J13" s="452">
        <x:f>IF('ME-3'!BQ16="",0,'ME-3'!BQ16)</x:f>
      </x:c>
      <x:c r="K13" s="452" t="s"/>
      <x:c r="L13" s="459" t="str">
        <x:f>'ME-3'!AV16</x:f>
      </x:c>
      <x:c r="M13" s="459" t="str">
        <x:f>'ME-3'!AW16</x:f>
      </x:c>
      <x:c r="N13" s="274">
        <x:f>IF('ME-3'!AZ16="",0,'ME-3'!AZ16)</x:f>
      </x:c>
      <x:c r="O13" s="274">
        <x:f>IF('ME-3'!BA16="",0,'ME-3'!BA16)</x:f>
      </x:c>
      <x:c r="P13" s="274">
        <x:f>IF('ME-3'!BB16="",0,'ME-3'!BB16)</x:f>
      </x:c>
      <x:c r="Q13" s="274">
        <x:f>IF('ME-3'!BC16="",0,'ME-3'!BC16)</x:f>
      </x:c>
      <x:c r="R13" s="452" t="s"/>
      <x:c r="S13" s="274">
        <x:f>IF('ME-3'!BP16="",0,'ME-3'!BP16)</x:f>
      </x:c>
      <x:c r="T13" s="274" t="str">
        <x:f>IF('ME-3'!BH16="","",TRIM('ME-3'!BH16))</x:f>
      </x:c>
      <x:c r="U13" s="274">
        <x:f>IF(OR('ME-3'!AP16=0,'ME-3'!AP16=""),0,1)</x:f>
      </x:c>
      <x:c r="V13" s="456" t="str">
        <x:f>IF('ME-3'!AM16="","",UPPER(TRIM('ME-3'!AM16)))</x:f>
      </x:c>
      <x:c r="W13" s="274" t="str">
        <x:f>IF(OR('ME-3'!H16=0,'ME-3'!H16=""),"",'ME-3'!H16)</x:f>
      </x:c>
      <x:c r="X13" s="274" t="str">
        <x:f>IF(OR('ME-3'!I16=0,'ME-3'!I16=""),"",'ME-3'!I16)</x:f>
      </x:c>
      <x:c r="Y13" s="274" t="str">
        <x:f>IF(V13="","",CONCATENATE(A13,"-",V13))</x:f>
      </x:c>
      <x:c r="Z13" s="274" t="str">
        <x:f>IF(Y13="","",CONCATENATE(Y13,"-",C13))</x:f>
      </x:c>
      <x:c r="AA13" s="274">
        <x:f>IF('ME-3'!BF16="",0,'ME-3'!BF16)</x:f>
      </x:c>
      <x:c r="AB13" s="274" t="e">
        <x:f>(IF((I13-H13)*1440&lt;0,(((I13-H13)*1440)+1440),((I13-H13)*1440)))-(S13+AA13)</x:f>
      </x:c>
    </x:row>
    <x:row r="14" spans="1:29">
      <x:c r="A14" s="274" t="str">
        <x:f>IF('ME-3'!AN17="","",UPPER(TRIM('ME-3'!AN17)))</x:f>
      </x:c>
      <x:c r="B14" s="454" t="str">
        <x:f>UPPER(TRIM('ME-3'!BB2))</x:f>
      </x:c>
      <x:c r="C14" s="456" t="str">
        <x:f>TRIM('ME-3'!V3)</x:f>
      </x:c>
      <x:c r="D14" s="455">
        <x:f>'ME-3'!BO2</x:f>
      </x:c>
      <x:c r="E14" s="454" t="str">
        <x:f>IF('ME-3'!AQ17="","",UPPER(TRIM('ME-3'!AQ17)))</x:f>
      </x:c>
      <x:c r="F14" s="456" t="str">
        <x:f>IF('ME-3'!BK17="","",LOWER(TRIM('ME-3'!BK17)))</x:f>
      </x:c>
      <x:c r="G14" s="274" t="e">
        <x:f>IF((M14-L14)*1440&lt;0,(((M14-L14)*1440)+1440),((M14-L14)*1440))</x:f>
      </x:c>
      <x:c r="H14" s="457" t="str">
        <x:f>IF('ME-3'!AX17="","",'ME-3'!AX17)</x:f>
      </x:c>
      <x:c r="I14" s="457" t="str">
        <x:f>IF('ME-3'!AY17="","",'ME-3'!AY17)</x:f>
      </x:c>
      <x:c r="J14" s="452">
        <x:f>IF('ME-3'!BQ17="",0,'ME-3'!BQ17)</x:f>
      </x:c>
      <x:c r="K14" s="452" t="s"/>
      <x:c r="L14" s="459" t="str">
        <x:f>'ME-3'!AV17</x:f>
      </x:c>
      <x:c r="M14" s="459" t="str">
        <x:f>'ME-3'!AW17</x:f>
      </x:c>
      <x:c r="N14" s="274">
        <x:f>IF('ME-3'!AZ17="",0,'ME-3'!AZ17)</x:f>
      </x:c>
      <x:c r="O14" s="274">
        <x:f>IF('ME-3'!BA17="",0,'ME-3'!BA17)</x:f>
      </x:c>
      <x:c r="P14" s="274">
        <x:f>IF('ME-3'!BB17="",0,'ME-3'!BB17)</x:f>
      </x:c>
      <x:c r="Q14" s="274">
        <x:f>IF('ME-3'!BC17="",0,'ME-3'!BC17)</x:f>
      </x:c>
      <x:c r="R14" s="452" t="s"/>
      <x:c r="S14" s="274">
        <x:f>IF('ME-3'!BP17="",0,'ME-3'!BP17)</x:f>
      </x:c>
      <x:c r="T14" s="274" t="str">
        <x:f>IF('ME-3'!BH17="","",TRIM('ME-3'!BH17))</x:f>
      </x:c>
      <x:c r="U14" s="274">
        <x:f>IF(OR('ME-3'!AP17=0,'ME-3'!AP17=""),0,1)</x:f>
      </x:c>
      <x:c r="V14" s="456" t="str">
        <x:f>IF('ME-3'!AM17="","",UPPER(TRIM('ME-3'!AM17)))</x:f>
      </x:c>
      <x:c r="W14" s="274" t="str">
        <x:f>IF(OR('ME-3'!H17=0,'ME-3'!H17=""),"",'ME-3'!H17)</x:f>
      </x:c>
      <x:c r="X14" s="274" t="str">
        <x:f>IF(OR('ME-3'!I17=0,'ME-3'!I17=""),"",'ME-3'!I17)</x:f>
      </x:c>
      <x:c r="Y14" s="274" t="str">
        <x:f>IF(V14="","",CONCATENATE(A14,"-",V14))</x:f>
      </x:c>
      <x:c r="Z14" s="274" t="str">
        <x:f>IF(Y14="","",CONCATENATE(Y14,"-",C14))</x:f>
      </x:c>
      <x:c r="AA14" s="274">
        <x:f>IF('ME-3'!BF17="",0,'ME-3'!BF17)</x:f>
      </x:c>
      <x:c r="AB14" s="274" t="e">
        <x:f>(IF((I14-H14)*1440&lt;0,(((I14-H14)*1440)+1440),((I14-H14)*1440)))-(S14+AA14)</x:f>
      </x:c>
    </x:row>
    <x:row r="15" spans="1:29">
      <x:c r="A15" s="274" t="str">
        <x:f>IF('ME-3'!AN18="","",UPPER(TRIM('ME-3'!AN18)))</x:f>
      </x:c>
      <x:c r="B15" s="454" t="str">
        <x:f>UPPER(TRIM('ME-3'!BB2))</x:f>
      </x:c>
      <x:c r="C15" s="456" t="str">
        <x:f>TRIM('ME-3'!V3)</x:f>
      </x:c>
      <x:c r="D15" s="455">
        <x:f>'ME-3'!BO2</x:f>
      </x:c>
      <x:c r="E15" s="454" t="str">
        <x:f>IF('ME-3'!AQ18="","",UPPER(TRIM('ME-3'!AQ18)))</x:f>
      </x:c>
      <x:c r="F15" s="456" t="str">
        <x:f>IF('ME-3'!BK18="","",LOWER(TRIM('ME-3'!BK18)))</x:f>
      </x:c>
      <x:c r="G15" s="274" t="e">
        <x:f>IF((M15-L15)*1440&lt;0,(((M15-L15)*1440)+1440),((M15-L15)*1440))</x:f>
      </x:c>
      <x:c r="H15" s="457" t="str">
        <x:f>IF('ME-3'!AX18="","",'ME-3'!AX18)</x:f>
      </x:c>
      <x:c r="I15" s="457" t="str">
        <x:f>IF('ME-3'!AY18="","",'ME-3'!AY18)</x:f>
      </x:c>
      <x:c r="J15" s="452">
        <x:f>IF('ME-3'!BQ18="",0,'ME-3'!BQ18)</x:f>
      </x:c>
      <x:c r="K15" s="452" t="s"/>
      <x:c r="L15" s="459" t="str">
        <x:f>'ME-3'!AV18</x:f>
      </x:c>
      <x:c r="M15" s="459" t="str">
        <x:f>'ME-3'!AW18</x:f>
      </x:c>
      <x:c r="N15" s="274">
        <x:f>IF('ME-3'!AZ18="",0,'ME-3'!AZ18)</x:f>
      </x:c>
      <x:c r="O15" s="274">
        <x:f>IF('ME-3'!BA18="",0,'ME-3'!BA18)</x:f>
      </x:c>
      <x:c r="P15" s="274">
        <x:f>IF('ME-3'!BB18="",0,'ME-3'!BB18)</x:f>
      </x:c>
      <x:c r="Q15" s="274">
        <x:f>IF('ME-3'!BC18="",0,'ME-3'!BC18)</x:f>
      </x:c>
      <x:c r="R15" s="452" t="s"/>
      <x:c r="S15" s="274">
        <x:f>IF('ME-3'!BP18="",0,'ME-3'!BP18)</x:f>
      </x:c>
      <x:c r="T15" s="274" t="str">
        <x:f>IF('ME-3'!BH18="","",TRIM('ME-3'!BH18))</x:f>
      </x:c>
      <x:c r="U15" s="274">
        <x:f>IF(OR('ME-3'!AP18=0,'ME-3'!AP18=""),0,1)</x:f>
      </x:c>
      <x:c r="V15" s="456" t="str">
        <x:f>IF('ME-3'!AM18="","",UPPER(TRIM('ME-3'!AM18)))</x:f>
      </x:c>
      <x:c r="W15" s="274" t="str">
        <x:f>IF(OR('ME-3'!H18=0,'ME-3'!H18=""),"",'ME-3'!H18)</x:f>
      </x:c>
      <x:c r="X15" s="274" t="str">
        <x:f>IF(OR('ME-3'!I18=0,'ME-3'!I18=""),"",'ME-3'!I18)</x:f>
      </x:c>
      <x:c r="Y15" s="274" t="str">
        <x:f>IF(V15="","",CONCATENATE(A15,"-",V15))</x:f>
      </x:c>
      <x:c r="Z15" s="274" t="str">
        <x:f>IF(Y15="","",CONCATENATE(Y15,"-",C15))</x:f>
      </x:c>
      <x:c r="AA15" s="274">
        <x:f>IF('ME-3'!BF18="",0,'ME-3'!BF18)</x:f>
      </x:c>
      <x:c r="AB15" s="274" t="e">
        <x:f>(IF((I15-H15)*1440&lt;0,(((I15-H15)*1440)+1440),((I15-H15)*1440)))-(S15+AA15)</x:f>
      </x:c>
    </x:row>
    <x:row r="16" spans="1:29">
      <x:c r="A16" s="274" t="str">
        <x:f>IF('ME-3'!AN19="","",UPPER(TRIM('ME-3'!AN19)))</x:f>
      </x:c>
      <x:c r="B16" s="454" t="str">
        <x:f>UPPER(TRIM('ME-3'!BB2))</x:f>
      </x:c>
      <x:c r="C16" s="456" t="str">
        <x:f>TRIM('ME-3'!V3)</x:f>
      </x:c>
      <x:c r="D16" s="455">
        <x:f>'ME-3'!BO2</x:f>
      </x:c>
      <x:c r="E16" s="454" t="str">
        <x:f>IF('ME-3'!AQ19="","",UPPER(TRIM('ME-3'!AQ19)))</x:f>
      </x:c>
      <x:c r="F16" s="456" t="str">
        <x:f>IF('ME-3'!BK19="","",LOWER(TRIM('ME-3'!BK19)))</x:f>
      </x:c>
      <x:c r="G16" s="274" t="e">
        <x:f>IF((M16-L16)*1440&lt;0,(((M16-L16)*1440)+1440),((M16-L16)*1440))</x:f>
      </x:c>
      <x:c r="H16" s="457" t="str">
        <x:f>IF('ME-3'!AX19="","",'ME-3'!AX19)</x:f>
      </x:c>
      <x:c r="I16" s="457" t="str">
        <x:f>IF('ME-3'!AY19="","",'ME-3'!AY19)</x:f>
      </x:c>
      <x:c r="J16" s="452">
        <x:f>IF('ME-3'!BQ19="",0,'ME-3'!BQ19)</x:f>
      </x:c>
      <x:c r="K16" s="452" t="s"/>
      <x:c r="L16" s="459" t="str">
        <x:f>'ME-3'!AV19</x:f>
      </x:c>
      <x:c r="M16" s="459" t="str">
        <x:f>'ME-3'!AW19</x:f>
      </x:c>
      <x:c r="N16" s="274">
        <x:f>IF('ME-3'!AZ19="",0,'ME-3'!AZ19)</x:f>
      </x:c>
      <x:c r="O16" s="274">
        <x:f>IF('ME-3'!BA19="",0,'ME-3'!BA19)</x:f>
      </x:c>
      <x:c r="P16" s="274">
        <x:f>IF('ME-3'!BB19="",0,'ME-3'!BB19)</x:f>
      </x:c>
      <x:c r="Q16" s="274">
        <x:f>IF('ME-3'!BC19="",0,'ME-3'!BC19)</x:f>
      </x:c>
      <x:c r="R16" s="452" t="s"/>
      <x:c r="S16" s="274">
        <x:f>IF('ME-3'!BP19="",0,'ME-3'!BP19)</x:f>
      </x:c>
      <x:c r="T16" s="274" t="str">
        <x:f>IF('ME-3'!BH19="","",TRIM('ME-3'!BH19))</x:f>
      </x:c>
      <x:c r="U16" s="274">
        <x:f>IF(OR('ME-3'!AP19=0,'ME-3'!AP19=""),0,1)</x:f>
      </x:c>
      <x:c r="V16" s="456" t="str">
        <x:f>IF('ME-3'!AM19="","",UPPER(TRIM('ME-3'!AM19)))</x:f>
      </x:c>
      <x:c r="W16" s="274" t="str">
        <x:f>IF(OR('ME-3'!H19=0,'ME-3'!H19=""),"",'ME-3'!H19)</x:f>
      </x:c>
      <x:c r="X16" s="274" t="str">
        <x:f>IF(OR('ME-3'!I19=0,'ME-3'!I19=""),"",'ME-3'!I19)</x:f>
      </x:c>
      <x:c r="Y16" s="274" t="str">
        <x:f>IF(V16="","",CONCATENATE(A16,"-",V16))</x:f>
      </x:c>
      <x:c r="Z16" s="274" t="str">
        <x:f>IF(Y16="","",CONCATENATE(Y16,"-",C16))</x:f>
      </x:c>
      <x:c r="AA16" s="274">
        <x:f>IF('ME-3'!BF19="",0,'ME-3'!BF19)</x:f>
      </x:c>
      <x:c r="AB16" s="274" t="e">
        <x:f>(IF((I16-H16)*1440&lt;0,(((I16-H16)*1440)+1440),((I16-H16)*1440)))-(S16+AA16)</x:f>
      </x:c>
    </x:row>
    <x:row r="17" spans="1:29">
      <x:c r="A17" s="274" t="str">
        <x:f>IF('ME-3'!AN20="","",UPPER(TRIM('ME-3'!AN20)))</x:f>
      </x:c>
      <x:c r="B17" s="454" t="str">
        <x:f>UPPER(TRIM('ME-3'!BB2))</x:f>
      </x:c>
      <x:c r="C17" s="456" t="str">
        <x:f>TRIM('ME-3'!V3)</x:f>
      </x:c>
      <x:c r="D17" s="455">
        <x:f>'ME-3'!BO2</x:f>
      </x:c>
      <x:c r="E17" s="454" t="str">
        <x:f>IF('ME-3'!AQ20="","",UPPER(TRIM('ME-3'!AQ20)))</x:f>
      </x:c>
      <x:c r="F17" s="456" t="str">
        <x:f>IF('ME-3'!BK20="","",LOWER(TRIM('ME-3'!BK20)))</x:f>
      </x:c>
      <x:c r="G17" s="274" t="e">
        <x:f>IF((M17-L17)*1440&lt;0,(((M17-L17)*1440)+1440),((M17-L17)*1440))</x:f>
      </x:c>
      <x:c r="H17" s="457" t="str">
        <x:f>IF('ME-3'!AX20="","",'ME-3'!AX20)</x:f>
      </x:c>
      <x:c r="I17" s="457" t="str">
        <x:f>IF('ME-3'!AY20="","",'ME-3'!AY20)</x:f>
      </x:c>
      <x:c r="J17" s="452">
        <x:f>IF('ME-3'!BQ20="",0,'ME-3'!BQ20)</x:f>
      </x:c>
      <x:c r="K17" s="452" t="s"/>
      <x:c r="L17" s="459" t="str">
        <x:f>'ME-3'!AV20</x:f>
      </x:c>
      <x:c r="M17" s="459" t="str">
        <x:f>'ME-3'!AW20</x:f>
      </x:c>
      <x:c r="N17" s="274">
        <x:f>IF('ME-3'!AZ20="",0,'ME-3'!AZ20)</x:f>
      </x:c>
      <x:c r="O17" s="274">
        <x:f>IF('ME-3'!BA20="",0,'ME-3'!BA20)</x:f>
      </x:c>
      <x:c r="P17" s="274">
        <x:f>IF('ME-3'!BB20="",0,'ME-3'!BB20)</x:f>
      </x:c>
      <x:c r="Q17" s="274">
        <x:f>IF('ME-3'!BC20="",0,'ME-3'!BC20)</x:f>
      </x:c>
      <x:c r="R17" s="452" t="s"/>
      <x:c r="S17" s="274">
        <x:f>IF('ME-3'!BP20="",0,'ME-3'!BP20)</x:f>
      </x:c>
      <x:c r="T17" s="274" t="str">
        <x:f>IF('ME-3'!BH20="","",TRIM('ME-3'!BH20))</x:f>
      </x:c>
      <x:c r="U17" s="274">
        <x:f>IF(OR('ME-3'!AP20=0,'ME-3'!AP20=""),0,1)</x:f>
      </x:c>
      <x:c r="V17" s="456" t="str">
        <x:f>IF('ME-3'!AM20="","",UPPER(TRIM('ME-3'!AM20)))</x:f>
      </x:c>
      <x:c r="W17" s="274" t="str">
        <x:f>IF(OR('ME-3'!H20=0,'ME-3'!H20=""),"",'ME-3'!H20)</x:f>
      </x:c>
      <x:c r="X17" s="274" t="str">
        <x:f>IF(OR('ME-3'!I20=0,'ME-3'!I20=""),"",'ME-3'!I20)</x:f>
      </x:c>
      <x:c r="Y17" s="274" t="str">
        <x:f>IF(V17="","",CONCATENATE(A17,"-",V17))</x:f>
      </x:c>
      <x:c r="Z17" s="274" t="str">
        <x:f>IF(Y17="","",CONCATENATE(Y17,"-",C17))</x:f>
      </x:c>
      <x:c r="AA17" s="274">
        <x:f>IF('ME-3'!BF20="",0,'ME-3'!BF20)</x:f>
      </x:c>
      <x:c r="AB17" s="274" t="e">
        <x:f>(IF((I17-H17)*1440&lt;0,(((I17-H17)*1440)+1440),((I17-H17)*1440)))-(S17+AA17)</x:f>
      </x:c>
    </x:row>
    <x:row r="18" spans="1:29">
      <x:c r="A18" s="274" t="str">
        <x:f>IF('ME-3'!AN21="","",UPPER(TRIM('ME-3'!AN21)))</x:f>
      </x:c>
      <x:c r="B18" s="454" t="str">
        <x:f>UPPER(TRIM('ME-3'!BB2))</x:f>
      </x:c>
      <x:c r="C18" s="456" t="str">
        <x:f>TRIM('ME-3'!V3)</x:f>
      </x:c>
      <x:c r="D18" s="455">
        <x:f>'ME-3'!BO2</x:f>
      </x:c>
      <x:c r="E18" s="454" t="str">
        <x:f>IF('ME-3'!AQ21="","",UPPER(TRIM('ME-3'!AQ21)))</x:f>
      </x:c>
      <x:c r="F18" s="456" t="str">
        <x:f>IF('ME-3'!BK21="","",LOWER(TRIM('ME-3'!BK21)))</x:f>
      </x:c>
      <x:c r="G18" s="274" t="e">
        <x:f>IF((M18-L18)*1440&lt;0,(((M18-L18)*1440)+1440),((M18-L18)*1440))</x:f>
      </x:c>
      <x:c r="H18" s="457" t="str">
        <x:f>IF('ME-3'!AX21="","",'ME-3'!AX21)</x:f>
      </x:c>
      <x:c r="I18" s="457" t="str">
        <x:f>IF('ME-3'!AY21="","",'ME-3'!AY21)</x:f>
      </x:c>
      <x:c r="J18" s="452">
        <x:f>IF('ME-3'!BQ21="",0,'ME-3'!BQ21)</x:f>
      </x:c>
      <x:c r="K18" s="452" t="s"/>
      <x:c r="L18" s="459" t="str">
        <x:f>'ME-3'!AV21</x:f>
      </x:c>
      <x:c r="M18" s="459" t="str">
        <x:f>'ME-3'!AW21</x:f>
      </x:c>
      <x:c r="N18" s="274">
        <x:f>IF('ME-3'!AZ21="",0,'ME-3'!AZ21)</x:f>
      </x:c>
      <x:c r="O18" s="274">
        <x:f>IF('ME-3'!BA21="",0,'ME-3'!BA21)</x:f>
      </x:c>
      <x:c r="P18" s="274">
        <x:f>IF('ME-3'!BB21="",0,'ME-3'!BB21)</x:f>
      </x:c>
      <x:c r="Q18" s="274">
        <x:f>IF('ME-3'!BC21="",0,'ME-3'!BC21)</x:f>
      </x:c>
      <x:c r="R18" s="452" t="s"/>
      <x:c r="S18" s="274">
        <x:f>IF('ME-3'!BP21="",0,'ME-3'!BP21)</x:f>
      </x:c>
      <x:c r="T18" s="274" t="str">
        <x:f>IF('ME-3'!BH21="","",TRIM('ME-3'!BH21))</x:f>
      </x:c>
      <x:c r="U18" s="274">
        <x:f>IF(OR('ME-3'!AP21=0,'ME-3'!AP21=""),0,1)</x:f>
      </x:c>
      <x:c r="V18" s="456" t="str">
        <x:f>IF('ME-3'!AM21="","",UPPER(TRIM('ME-3'!AM21)))</x:f>
      </x:c>
      <x:c r="W18" s="274" t="str">
        <x:f>IF(OR('ME-3'!H21=0,'ME-3'!H21=""),"",'ME-3'!H21)</x:f>
      </x:c>
      <x:c r="X18" s="274" t="str">
        <x:f>IF(OR('ME-3'!I21=0,'ME-3'!I21=""),"",'ME-3'!I21)</x:f>
      </x:c>
      <x:c r="Y18" s="274" t="str">
        <x:f>IF(V18="","",CONCATENATE(A18,"-",V18))</x:f>
      </x:c>
      <x:c r="Z18" s="274" t="str">
        <x:f>IF(Y18="","",CONCATENATE(Y18,"-",C18))</x:f>
      </x:c>
      <x:c r="AA18" s="274">
        <x:f>IF('ME-3'!BF21="",0,'ME-3'!BF21)</x:f>
      </x:c>
      <x:c r="AB18" s="274" t="e">
        <x:f>(IF((I18-H18)*1440&lt;0,(((I18-H18)*1440)+1440),((I18-H18)*1440)))-(S18+AA18)</x:f>
      </x:c>
    </x:row>
    <x:row r="19" spans="1:29">
      <x:c r="A19" s="274" t="str">
        <x:f>IF('ME-3'!AN22="","",UPPER(TRIM('ME-3'!AN22)))</x:f>
      </x:c>
      <x:c r="B19" s="454" t="str">
        <x:f>UPPER(TRIM('ME-3'!BB2))</x:f>
      </x:c>
      <x:c r="C19" s="456" t="str">
        <x:f>TRIM('ME-3'!V3)</x:f>
      </x:c>
      <x:c r="D19" s="455">
        <x:f>'ME-3'!BO2</x:f>
      </x:c>
      <x:c r="E19" s="454" t="str">
        <x:f>IF('ME-3'!AQ22="","",UPPER(TRIM('ME-3'!AQ22)))</x:f>
      </x:c>
      <x:c r="F19" s="456" t="str">
        <x:f>IF('ME-3'!BK22="","",LOWER(TRIM('ME-3'!BK22)))</x:f>
      </x:c>
      <x:c r="G19" s="274" t="e">
        <x:f>IF((M19-L19)*1440&lt;0,(((M19-L19)*1440)+1440),((M19-L19)*1440))</x:f>
      </x:c>
      <x:c r="H19" s="457" t="str">
        <x:f>IF('ME-3'!AX22="","",'ME-3'!AX22)</x:f>
      </x:c>
      <x:c r="I19" s="457" t="str">
        <x:f>IF('ME-3'!AY22="","",'ME-3'!AY22)</x:f>
      </x:c>
      <x:c r="J19" s="452">
        <x:f>IF('ME-3'!BQ22="",0,'ME-3'!BQ22)</x:f>
      </x:c>
      <x:c r="K19" s="452" t="s"/>
      <x:c r="L19" s="459" t="str">
        <x:f>'ME-3'!AV22</x:f>
      </x:c>
      <x:c r="M19" s="459" t="str">
        <x:f>'ME-3'!AW22</x:f>
      </x:c>
      <x:c r="N19" s="274">
        <x:f>IF('ME-3'!AZ22="",0,'ME-3'!AZ22)</x:f>
      </x:c>
      <x:c r="O19" s="274">
        <x:f>IF('ME-3'!BA22="",0,'ME-3'!BA22)</x:f>
      </x:c>
      <x:c r="P19" s="274">
        <x:f>IF('ME-3'!BB22="",0,'ME-3'!BB22)</x:f>
      </x:c>
      <x:c r="Q19" s="274">
        <x:f>IF('ME-3'!BC22="",0,'ME-3'!BC22)</x:f>
      </x:c>
      <x:c r="R19" s="452" t="s"/>
      <x:c r="S19" s="274">
        <x:f>IF('ME-3'!BP22="",0,'ME-3'!BP22)</x:f>
      </x:c>
      <x:c r="T19" s="274" t="str">
        <x:f>IF('ME-3'!BH22="","",TRIM('ME-3'!BH22))</x:f>
      </x:c>
      <x:c r="U19" s="274">
        <x:f>IF(OR('ME-3'!AP22=0,'ME-3'!AP22=""),0,1)</x:f>
      </x:c>
      <x:c r="V19" s="456" t="str">
        <x:f>IF('ME-3'!AM22="","",UPPER(TRIM('ME-3'!AM22)))</x:f>
      </x:c>
      <x:c r="W19" s="274" t="str">
        <x:f>IF(OR('ME-3'!H22=0,'ME-3'!H22=""),"",'ME-3'!H22)</x:f>
      </x:c>
      <x:c r="X19" s="274" t="str">
        <x:f>IF(OR('ME-3'!I22=0,'ME-3'!I22=""),"",'ME-3'!I22)</x:f>
      </x:c>
      <x:c r="Y19" s="274" t="str">
        <x:f>IF(V19="","",CONCATENATE(A19,"-",V19))</x:f>
      </x:c>
      <x:c r="Z19" s="274" t="str">
        <x:f>IF(Y19="","",CONCATENATE(Y19,"-",C19))</x:f>
      </x:c>
      <x:c r="AA19" s="274">
        <x:f>IF('ME-3'!BF22="",0,'ME-3'!BF22)</x:f>
      </x:c>
      <x:c r="AB19" s="274" t="e">
        <x:f>(IF((I19-H19)*1440&lt;0,(((I19-H19)*1440)+1440),((I19-H19)*1440)))-(S19+AA19)</x:f>
      </x:c>
    </x:row>
    <x:row r="20" spans="1:29">
      <x:c r="A20" s="274" t="str">
        <x:f>IF('ME-3'!AN23="","",UPPER(TRIM('ME-3'!AN23)))</x:f>
      </x:c>
      <x:c r="B20" s="454" t="str">
        <x:f>UPPER(TRIM('ME-3'!BB2))</x:f>
      </x:c>
      <x:c r="C20" s="456" t="str">
        <x:f>TRIM('ME-3'!V3)</x:f>
      </x:c>
      <x:c r="D20" s="455">
        <x:f>'ME-3'!BO2</x:f>
      </x:c>
      <x:c r="E20" s="454" t="str">
        <x:f>IF('ME-3'!AQ23="","",UPPER(TRIM('ME-3'!AQ23)))</x:f>
      </x:c>
      <x:c r="F20" s="456" t="str">
        <x:f>IF('ME-3'!BK23="","",LOWER(TRIM('ME-3'!BK23)))</x:f>
      </x:c>
      <x:c r="G20" s="274" t="e">
        <x:f>IF((M20-L20)*1440&lt;0,(((M20-L20)*1440)+1440),((M20-L20)*1440))</x:f>
      </x:c>
      <x:c r="H20" s="457" t="str">
        <x:f>IF('ME-3'!AX23="","",'ME-3'!AX23)</x:f>
      </x:c>
      <x:c r="I20" s="457" t="str">
        <x:f>IF('ME-3'!AY23="","",'ME-3'!AY23)</x:f>
      </x:c>
      <x:c r="J20" s="452">
        <x:f>IF('ME-3'!BQ23="",0,'ME-3'!BQ23)</x:f>
      </x:c>
      <x:c r="K20" s="452" t="s"/>
      <x:c r="L20" s="459" t="str">
        <x:f>'ME-3'!AV23</x:f>
      </x:c>
      <x:c r="M20" s="459" t="str">
        <x:f>'ME-3'!AW23</x:f>
      </x:c>
      <x:c r="N20" s="274">
        <x:f>IF('ME-3'!AZ23="",0,'ME-3'!AZ23)</x:f>
      </x:c>
      <x:c r="O20" s="274">
        <x:f>IF('ME-3'!BA23="",0,'ME-3'!BA23)</x:f>
      </x:c>
      <x:c r="P20" s="274">
        <x:f>IF('ME-3'!BB23="",0,'ME-3'!BB23)</x:f>
      </x:c>
      <x:c r="Q20" s="274">
        <x:f>IF('ME-3'!BC23="",0,'ME-3'!BC23)</x:f>
      </x:c>
      <x:c r="R20" s="452" t="s"/>
      <x:c r="S20" s="274">
        <x:f>IF('ME-3'!BP23="",0,'ME-3'!BP23)</x:f>
      </x:c>
      <x:c r="T20" s="274" t="str">
        <x:f>IF('ME-3'!BH23="","",TRIM('ME-3'!BH23))</x:f>
      </x:c>
      <x:c r="U20" s="274">
        <x:f>IF(OR('ME-3'!AP23=0,'ME-3'!AP23=""),0,1)</x:f>
      </x:c>
      <x:c r="V20" s="456" t="str">
        <x:f>IF('ME-3'!AM23="","",UPPER(TRIM('ME-3'!AM23)))</x:f>
      </x:c>
      <x:c r="W20" s="274" t="str">
        <x:f>IF(OR('ME-3'!H23=0,'ME-3'!H23=""),"",'ME-3'!H23)</x:f>
      </x:c>
      <x:c r="X20" s="274" t="str">
        <x:f>IF(OR('ME-3'!I23=0,'ME-3'!I23=""),"",'ME-3'!I23)</x:f>
      </x:c>
      <x:c r="Y20" s="274" t="str">
        <x:f>IF(V20="","",CONCATENATE(A20,"-",V20))</x:f>
      </x:c>
      <x:c r="Z20" s="274" t="str">
        <x:f>IF(Y20="","",CONCATENATE(Y20,"-",C20))</x:f>
      </x:c>
      <x:c r="AA20" s="274">
        <x:f>IF('ME-3'!BF23="",0,'ME-3'!BF23)</x:f>
      </x:c>
      <x:c r="AB20" s="274" t="e">
        <x:f>(IF((I20-H20)*1440&lt;0,(((I20-H20)*1440)+1440),((I20-H20)*1440)))-(S20+AA20)</x:f>
      </x:c>
    </x:row>
    <x:row r="21" spans="1:29">
      <x:c r="A21" s="274" t="str">
        <x:f>IF('ME-3'!AN24="","",UPPER(TRIM('ME-3'!AN24)))</x:f>
      </x:c>
      <x:c r="B21" s="454" t="str">
        <x:f>UPPER(TRIM('ME-3'!BB2))</x:f>
      </x:c>
      <x:c r="C21" s="456" t="str">
        <x:f>TRIM('ME-3'!V3)</x:f>
      </x:c>
      <x:c r="D21" s="455">
        <x:f>'ME-3'!BO2</x:f>
      </x:c>
      <x:c r="E21" s="454" t="str">
        <x:f>IF('ME-3'!AQ24="","",UPPER(TRIM('ME-3'!AQ24)))</x:f>
      </x:c>
      <x:c r="F21" s="456" t="str">
        <x:f>IF('ME-3'!BK24="","",LOWER(TRIM('ME-3'!BK24)))</x:f>
      </x:c>
      <x:c r="G21" s="274" t="e">
        <x:f>IF((M21-L21)*1440&lt;0,(((M21-L21)*1440)+1440),((M21-L21)*1440))</x:f>
      </x:c>
      <x:c r="H21" s="457" t="str">
        <x:f>IF('ME-3'!AX24="","",'ME-3'!AX24)</x:f>
      </x:c>
      <x:c r="I21" s="457" t="str">
        <x:f>IF('ME-3'!AY24="","",'ME-3'!AY24)</x:f>
      </x:c>
      <x:c r="J21" s="452">
        <x:f>IF('ME-3'!BQ24="",0,'ME-3'!BQ24)</x:f>
      </x:c>
      <x:c r="K21" s="452" t="s"/>
      <x:c r="L21" s="459" t="str">
        <x:f>'ME-3'!AV24</x:f>
      </x:c>
      <x:c r="M21" s="459" t="str">
        <x:f>'ME-3'!AW24</x:f>
      </x:c>
      <x:c r="N21" s="274">
        <x:f>IF('ME-3'!AZ24="",0,'ME-3'!AZ24)</x:f>
      </x:c>
      <x:c r="O21" s="274">
        <x:f>IF('ME-3'!BA24="",0,'ME-3'!BA24)</x:f>
      </x:c>
      <x:c r="P21" s="274">
        <x:f>IF('ME-3'!BB24="",0,'ME-3'!BB24)</x:f>
      </x:c>
      <x:c r="Q21" s="274">
        <x:f>IF('ME-3'!BC24="",0,'ME-3'!BC24)</x:f>
      </x:c>
      <x:c r="R21" s="452" t="s"/>
      <x:c r="S21" s="274">
        <x:f>IF('ME-3'!BP24="",0,'ME-3'!BP24)</x:f>
      </x:c>
      <x:c r="T21" s="274" t="str">
        <x:f>IF('ME-3'!BH24="","",TRIM('ME-3'!BH24))</x:f>
      </x:c>
      <x:c r="U21" s="274">
        <x:f>IF(OR('ME-3'!AP24=0,'ME-3'!AP24=""),0,1)</x:f>
      </x:c>
      <x:c r="V21" s="456" t="str">
        <x:f>IF('ME-3'!AM24="","",UPPER(TRIM('ME-3'!AM24)))</x:f>
      </x:c>
      <x:c r="W21" s="274" t="str">
        <x:f>IF(OR('ME-3'!H24=0,'ME-3'!H24=""),"",'ME-3'!H24)</x:f>
      </x:c>
      <x:c r="X21" s="274" t="str">
        <x:f>IF(OR('ME-3'!I24=0,'ME-3'!I24=""),"",'ME-3'!I24)</x:f>
      </x:c>
      <x:c r="Y21" s="274" t="str">
        <x:f>IF(V21="","",CONCATENATE(A21,"-",V21))</x:f>
      </x:c>
      <x:c r="Z21" s="274" t="str">
        <x:f>IF(Y21="","",CONCATENATE(Y21,"-",C21))</x:f>
      </x:c>
      <x:c r="AA21" s="274">
        <x:f>IF('ME-3'!BF24="",0,'ME-3'!BF24)</x:f>
      </x:c>
      <x:c r="AB21" s="274" t="e">
        <x:f>(IF((I21-H21)*1440&lt;0,(((I21-H21)*1440)+1440),((I21-H21)*1440)))-(S21+AA21)</x:f>
      </x:c>
    </x:row>
    <x:row r="22" spans="1:29">
      <x:c r="A22" s="274" t="str">
        <x:f>IF('ME-3'!AN25="","",UPPER(TRIM('ME-3'!AN25)))</x:f>
      </x:c>
      <x:c r="B22" s="454" t="str">
        <x:f>UPPER(TRIM('ME-3'!BB2))</x:f>
      </x:c>
      <x:c r="C22" s="456" t="str">
        <x:f>TRIM('ME-3'!V3)</x:f>
      </x:c>
      <x:c r="D22" s="455">
        <x:f>'ME-3'!BO2</x:f>
      </x:c>
      <x:c r="E22" s="454" t="str">
        <x:f>IF('ME-3'!AQ25="","",UPPER(TRIM('ME-3'!AQ25)))</x:f>
      </x:c>
      <x:c r="F22" s="456" t="str">
        <x:f>IF('ME-3'!BK25="","",LOWER(TRIM('ME-3'!BK25)))</x:f>
      </x:c>
      <x:c r="G22" s="274" t="e">
        <x:f>IF((M22-L22)*1440&lt;0,(((M22-L22)*1440)+1440),((M22-L22)*1440))</x:f>
      </x:c>
      <x:c r="H22" s="457" t="str">
        <x:f>IF('ME-3'!AX25="","",'ME-3'!AX25)</x:f>
      </x:c>
      <x:c r="I22" s="457" t="str">
        <x:f>IF('ME-3'!AY25="","",'ME-3'!AY25)</x:f>
      </x:c>
      <x:c r="J22" s="452">
        <x:f>IF('ME-3'!BQ25="",0,'ME-3'!BQ25)</x:f>
      </x:c>
      <x:c r="K22" s="452" t="s"/>
      <x:c r="L22" s="459" t="str">
        <x:f>'ME-3'!AV25</x:f>
      </x:c>
      <x:c r="M22" s="459" t="str">
        <x:f>'ME-3'!AW25</x:f>
      </x:c>
      <x:c r="N22" s="274">
        <x:f>IF('ME-3'!AZ25="",0,'ME-3'!AZ25)</x:f>
      </x:c>
      <x:c r="O22" s="274">
        <x:f>IF('ME-3'!BA25="",0,'ME-3'!BA25)</x:f>
      </x:c>
      <x:c r="P22" s="274">
        <x:f>IF('ME-3'!BB25="",0,'ME-3'!BB25)</x:f>
      </x:c>
      <x:c r="Q22" s="274">
        <x:f>IF('ME-3'!BC25="",0,'ME-3'!BC25)</x:f>
      </x:c>
      <x:c r="R22" s="452" t="s"/>
      <x:c r="S22" s="274">
        <x:f>IF('ME-3'!BP25="",0,'ME-3'!BP25)</x:f>
      </x:c>
      <x:c r="T22" s="274" t="str">
        <x:f>IF('ME-3'!BH25="","",TRIM('ME-3'!BH25))</x:f>
      </x:c>
      <x:c r="U22" s="274">
        <x:f>IF(OR('ME-3'!AP25=0,'ME-3'!AP25=""),0,1)</x:f>
      </x:c>
      <x:c r="V22" s="456" t="str">
        <x:f>IF('ME-3'!AM25="","",UPPER(TRIM('ME-3'!AM25)))</x:f>
      </x:c>
      <x:c r="W22" s="274" t="str">
        <x:f>IF(OR('ME-3'!H25=0,'ME-3'!H25=""),"",'ME-3'!H25)</x:f>
      </x:c>
      <x:c r="X22" s="274" t="str">
        <x:f>IF(OR('ME-3'!I25=0,'ME-3'!I25=""),"",'ME-3'!I25)</x:f>
      </x:c>
      <x:c r="Y22" s="274" t="str">
        <x:f>IF(V22="","",CONCATENATE(A22,"-",V22))</x:f>
      </x:c>
      <x:c r="Z22" s="274" t="str">
        <x:f>IF(Y22="","",CONCATENATE(Y22,"-",C22))</x:f>
      </x:c>
      <x:c r="AA22" s="274">
        <x:f>IF('ME-3'!BF25="",0,'ME-3'!BF25)</x:f>
      </x:c>
      <x:c r="AB22" s="274" t="e">
        <x:f>(IF((I22-H22)*1440&lt;0,(((I22-H22)*1440)+1440),((I22-H22)*1440)))-(S22+AA22)</x:f>
      </x:c>
    </x:row>
    <x:row r="23" spans="1:29">
      <x:c r="A23" s="274" t="str">
        <x:f>IF('ME-3'!AN26="","",UPPER(TRIM('ME-3'!AN26)))</x:f>
      </x:c>
      <x:c r="B23" s="454" t="str">
        <x:f>UPPER(TRIM('ME-3'!BB2))</x:f>
      </x:c>
      <x:c r="C23" s="456" t="str">
        <x:f>TRIM('ME-3'!V3)</x:f>
      </x:c>
      <x:c r="D23" s="455">
        <x:f>'ME-3'!BO2</x:f>
      </x:c>
      <x:c r="E23" s="454" t="str">
        <x:f>IF('ME-3'!AQ26="","",UPPER(TRIM('ME-3'!AQ26)))</x:f>
      </x:c>
      <x:c r="F23" s="456" t="str">
        <x:f>IF('ME-3'!BK26="","",LOWER(TRIM('ME-3'!BK26)))</x:f>
      </x:c>
      <x:c r="G23" s="274" t="e">
        <x:f>IF((M23-L23)*1440&lt;0,(((M23-L23)*1440)+1440),((M23-L23)*1440))</x:f>
      </x:c>
      <x:c r="H23" s="457" t="str">
        <x:f>IF('ME-3'!AX26="","",'ME-3'!AX26)</x:f>
      </x:c>
      <x:c r="I23" s="457" t="str">
        <x:f>IF('ME-3'!AY26="","",'ME-3'!AY26)</x:f>
      </x:c>
      <x:c r="J23" s="452">
        <x:f>IF('ME-3'!BQ26="",0,'ME-3'!BQ26)</x:f>
      </x:c>
      <x:c r="K23" s="452" t="s"/>
      <x:c r="L23" s="459" t="str">
        <x:f>'ME-3'!AV26</x:f>
      </x:c>
      <x:c r="M23" s="459" t="str">
        <x:f>'ME-3'!AW26</x:f>
      </x:c>
      <x:c r="N23" s="274">
        <x:f>IF('ME-3'!AZ26="",0,'ME-3'!AZ26)</x:f>
      </x:c>
      <x:c r="O23" s="274">
        <x:f>IF('ME-3'!BA26="",0,'ME-3'!BA26)</x:f>
      </x:c>
      <x:c r="P23" s="274">
        <x:f>IF('ME-3'!BB26="",0,'ME-3'!BB26)</x:f>
      </x:c>
      <x:c r="Q23" s="274">
        <x:f>IF('ME-3'!BC26="",0,'ME-3'!BC26)</x:f>
      </x:c>
      <x:c r="R23" s="452" t="s"/>
      <x:c r="S23" s="274">
        <x:f>IF('ME-3'!BP26="",0,'ME-3'!BP26)</x:f>
      </x:c>
      <x:c r="T23" s="274" t="str">
        <x:f>IF('ME-3'!BH26="","",TRIM('ME-3'!BH26))</x:f>
      </x:c>
      <x:c r="U23" s="274">
        <x:f>IF(OR('ME-3'!AP26=0,'ME-3'!AP26=""),0,1)</x:f>
      </x:c>
      <x:c r="V23" s="456" t="str">
        <x:f>IF('ME-3'!AM26="","",UPPER(TRIM('ME-3'!AM26)))</x:f>
      </x:c>
      <x:c r="W23" s="274" t="str">
        <x:f>IF(OR('ME-3'!H26=0,'ME-3'!H26=""),"",'ME-3'!H26)</x:f>
      </x:c>
      <x:c r="X23" s="274" t="str">
        <x:f>IF(OR('ME-3'!I26=0,'ME-3'!I26=""),"",'ME-3'!I26)</x:f>
      </x:c>
      <x:c r="Y23" s="274" t="str">
        <x:f>IF(V23="","",CONCATENATE(A23,"-",V23))</x:f>
      </x:c>
      <x:c r="Z23" s="274" t="str">
        <x:f>IF(Y23="","",CONCATENATE(Y23,"-",C23))</x:f>
      </x:c>
      <x:c r="AA23" s="274">
        <x:f>IF('ME-3'!BF26="",0,'ME-3'!BF26)</x:f>
      </x:c>
      <x:c r="AB23" s="274" t="e">
        <x:f>(IF((I23-H23)*1440&lt;0,(((I23-H23)*1440)+1440),((I23-H23)*1440)))-(S23+AA23)</x:f>
      </x:c>
    </x:row>
    <x:row r="24" spans="1:29">
      <x:c r="A24" s="274" t="str">
        <x:f>IF('ME-3'!AN27="","",UPPER(TRIM('ME-3'!AN27)))</x:f>
      </x:c>
      <x:c r="B24" s="454" t="str">
        <x:f>UPPER(TRIM('ME-3'!BB2))</x:f>
      </x:c>
      <x:c r="C24" s="456" t="str">
        <x:f>TRIM('ME-3'!V3)</x:f>
      </x:c>
      <x:c r="D24" s="455">
        <x:f>'ME-3'!BO2</x:f>
      </x:c>
      <x:c r="E24" s="454" t="str">
        <x:f>IF('ME-3'!AQ27="","",UPPER(TRIM('ME-3'!AQ27)))</x:f>
      </x:c>
      <x:c r="F24" s="456" t="str">
        <x:f>IF('ME-3'!BK27="","",LOWER(TRIM('ME-3'!BK27)))</x:f>
      </x:c>
      <x:c r="G24" s="274" t="e">
        <x:f>IF((M24-L24)*1440&lt;0,(((M24-L24)*1440)+1440),((M24-L24)*1440))</x:f>
      </x:c>
      <x:c r="H24" s="457" t="str">
        <x:f>IF('ME-3'!AX27="","",'ME-3'!AX27)</x:f>
      </x:c>
      <x:c r="I24" s="457" t="str">
        <x:f>IF('ME-3'!AY27="","",'ME-3'!AY27)</x:f>
      </x:c>
      <x:c r="J24" s="452">
        <x:f>IF('ME-3'!BQ27="",0,'ME-3'!BQ27)</x:f>
      </x:c>
      <x:c r="K24" s="452" t="s"/>
      <x:c r="L24" s="459" t="str">
        <x:f>'ME-3'!AV27</x:f>
      </x:c>
      <x:c r="M24" s="459" t="str">
        <x:f>'ME-3'!AW27</x:f>
      </x:c>
      <x:c r="N24" s="274">
        <x:f>IF('ME-3'!AZ27="",0,'ME-3'!AZ27)</x:f>
      </x:c>
      <x:c r="O24" s="274">
        <x:f>IF('ME-3'!BA27="",0,'ME-3'!BA27)</x:f>
      </x:c>
      <x:c r="P24" s="274">
        <x:f>IF('ME-3'!BB27="",0,'ME-3'!BB27)</x:f>
      </x:c>
      <x:c r="Q24" s="274">
        <x:f>IF('ME-3'!BC27="",0,'ME-3'!BC27)</x:f>
      </x:c>
      <x:c r="R24" s="452" t="s"/>
      <x:c r="S24" s="274">
        <x:f>IF('ME-3'!BP27="",0,'ME-3'!BP27)</x:f>
      </x:c>
      <x:c r="T24" s="274" t="str">
        <x:f>IF('ME-3'!BH27="","",TRIM('ME-3'!BH27))</x:f>
      </x:c>
      <x:c r="U24" s="274">
        <x:f>IF(OR('ME-3'!AP27=0,'ME-3'!AP27=""),0,1)</x:f>
      </x:c>
      <x:c r="V24" s="456" t="str">
        <x:f>IF('ME-3'!AM27="","",UPPER(TRIM('ME-3'!AM27)))</x:f>
      </x:c>
      <x:c r="W24" s="274" t="str">
        <x:f>IF(OR('ME-3'!H27=0,'ME-3'!H27=""),"",'ME-3'!H27)</x:f>
      </x:c>
      <x:c r="X24" s="274" t="str">
        <x:f>IF(OR('ME-3'!I27=0,'ME-3'!I27=""),"",'ME-3'!I27)</x:f>
      </x:c>
      <x:c r="Y24" s="274" t="str">
        <x:f>IF(V24="","",CONCATENATE(A24,"-",V24))</x:f>
      </x:c>
      <x:c r="Z24" s="274" t="str">
        <x:f>IF(Y24="","",CONCATENATE(Y24,"-",C24))</x:f>
      </x:c>
      <x:c r="AA24" s="274">
        <x:f>IF('ME-3'!BF27="",0,'ME-3'!BF27)</x:f>
      </x:c>
      <x:c r="AB24" s="274" t="e">
        <x:f>(IF((I24-H24)*1440&lt;0,(((I24-H24)*1440)+1440),((I24-H24)*1440)))-(S24+AA24)</x:f>
      </x:c>
    </x:row>
    <x:row r="25" spans="1:29">
      <x:c r="A25" s="274" t="str">
        <x:f>IF('ME-3'!AN28="","",UPPER(TRIM('ME-3'!AN28)))</x:f>
      </x:c>
      <x:c r="B25" s="454" t="str">
        <x:f>UPPER(TRIM('ME-3'!BB2))</x:f>
      </x:c>
      <x:c r="C25" s="456" t="str">
        <x:f>TRIM('ME-3'!V3)</x:f>
      </x:c>
      <x:c r="D25" s="455">
        <x:f>'ME-3'!BO2</x:f>
      </x:c>
      <x:c r="E25" s="454" t="str">
        <x:f>IF('ME-3'!AQ28="","",UPPER(TRIM('ME-3'!AQ28)))</x:f>
      </x:c>
      <x:c r="F25" s="456" t="str">
        <x:f>IF('ME-3'!BK28="","",LOWER(TRIM('ME-3'!BK28)))</x:f>
      </x:c>
      <x:c r="G25" s="274" t="e">
        <x:f>IF((M25-L25)*1440&lt;0,(((M25-L25)*1440)+1440),((M25-L25)*1440))</x:f>
      </x:c>
      <x:c r="H25" s="457" t="str">
        <x:f>IF('ME-3'!AX28="","",'ME-3'!AX28)</x:f>
      </x:c>
      <x:c r="I25" s="457" t="str">
        <x:f>IF('ME-3'!AY28="","",'ME-3'!AY28)</x:f>
      </x:c>
      <x:c r="J25" s="452">
        <x:f>IF('ME-3'!BQ28="",0,'ME-3'!BQ28)</x:f>
      </x:c>
      <x:c r="K25" s="452" t="s"/>
      <x:c r="L25" s="459" t="str">
        <x:f>'ME-3'!AV28</x:f>
      </x:c>
      <x:c r="M25" s="459" t="str">
        <x:f>'ME-3'!AW28</x:f>
      </x:c>
      <x:c r="N25" s="274">
        <x:f>IF('ME-3'!AZ28="",0,'ME-3'!AZ28)</x:f>
      </x:c>
      <x:c r="O25" s="274">
        <x:f>IF('ME-3'!BA28="",0,'ME-3'!BA28)</x:f>
      </x:c>
      <x:c r="P25" s="274">
        <x:f>IF('ME-3'!BB28="",0,'ME-3'!BB28)</x:f>
      </x:c>
      <x:c r="Q25" s="274">
        <x:f>IF('ME-3'!BC28="",0,'ME-3'!BC28)</x:f>
      </x:c>
      <x:c r="R25" s="452" t="s"/>
      <x:c r="S25" s="274">
        <x:f>IF('ME-3'!BP28="",0,'ME-3'!BP28)</x:f>
      </x:c>
      <x:c r="T25" s="274" t="str">
        <x:f>IF('ME-3'!BH28="","",TRIM('ME-3'!BH28))</x:f>
      </x:c>
      <x:c r="U25" s="274">
        <x:f>IF(OR('ME-3'!AP28=0,'ME-3'!AP28=""),0,1)</x:f>
      </x:c>
      <x:c r="V25" s="456" t="str">
        <x:f>IF('ME-3'!AM28="","",UPPER(TRIM('ME-3'!AM28)))</x:f>
      </x:c>
      <x:c r="W25" s="274" t="str">
        <x:f>IF(OR('ME-3'!H28=0,'ME-3'!H28=""),"",'ME-3'!H28)</x:f>
      </x:c>
      <x:c r="X25" s="274" t="str">
        <x:f>IF(OR('ME-3'!I28=0,'ME-3'!I28=""),"",'ME-3'!I28)</x:f>
      </x:c>
      <x:c r="Y25" s="274" t="str">
        <x:f>IF(V25="","",CONCATENATE(A25,"-",V25))</x:f>
      </x:c>
      <x:c r="Z25" s="274" t="str">
        <x:f>IF(Y25="","",CONCATENATE(Y25,"-",C25))</x:f>
      </x:c>
      <x:c r="AA25" s="274">
        <x:f>IF('ME-3'!BF28="",0,'ME-3'!BF28)</x:f>
      </x:c>
      <x:c r="AB25" s="274" t="e">
        <x:f>(IF((I25-H25)*1440&lt;0,(((I25-H25)*1440)+1440),((I25-H25)*1440)))-(S25+AA25)</x:f>
      </x:c>
    </x:row>
    <x:row r="26" spans="1:29">
      <x:c r="A26" s="274" t="str">
        <x:f>IF('ME-3'!AN29="","",UPPER(TRIM('ME-3'!AN29)))</x:f>
      </x:c>
      <x:c r="B26" s="454" t="str">
        <x:f>UPPER(TRIM('ME-3'!BB2))</x:f>
      </x:c>
      <x:c r="C26" s="456" t="str">
        <x:f>TRIM('ME-3'!V3)</x:f>
      </x:c>
      <x:c r="D26" s="455">
        <x:f>'ME-3'!BO2</x:f>
      </x:c>
      <x:c r="E26" s="454" t="str">
        <x:f>IF('ME-3'!AQ29="","",UPPER(TRIM('ME-3'!AQ29)))</x:f>
      </x:c>
      <x:c r="F26" s="456" t="str">
        <x:f>IF('ME-3'!BK29="","",LOWER(TRIM('ME-3'!BK29)))</x:f>
      </x:c>
      <x:c r="G26" s="274" t="e">
        <x:f>IF((M26-L26)*1440&lt;0,(((M26-L26)*1440)+1440),((M26-L26)*1440))</x:f>
      </x:c>
      <x:c r="H26" s="457" t="str">
        <x:f>IF('ME-3'!AX29="","",'ME-3'!AX29)</x:f>
      </x:c>
      <x:c r="I26" s="457" t="str">
        <x:f>IF('ME-3'!AY29="","",'ME-3'!AY29)</x:f>
      </x:c>
      <x:c r="J26" s="452">
        <x:f>IF('ME-3'!BQ29="",0,'ME-3'!BQ29)</x:f>
      </x:c>
      <x:c r="K26" s="452" t="s"/>
      <x:c r="L26" s="459" t="str">
        <x:f>'ME-3'!AV29</x:f>
      </x:c>
      <x:c r="M26" s="459" t="str">
        <x:f>'ME-3'!AW29</x:f>
      </x:c>
      <x:c r="N26" s="274">
        <x:f>IF('ME-3'!AZ29="",0,'ME-3'!AZ29)</x:f>
      </x:c>
      <x:c r="O26" s="274">
        <x:f>IF('ME-3'!BA29="",0,'ME-3'!BA29)</x:f>
      </x:c>
      <x:c r="P26" s="274">
        <x:f>IF('ME-3'!BB29="",0,'ME-3'!BB29)</x:f>
      </x:c>
      <x:c r="Q26" s="274">
        <x:f>IF('ME-3'!BC29="",0,'ME-3'!BC29)</x:f>
      </x:c>
      <x:c r="R26" s="452" t="s"/>
      <x:c r="S26" s="274">
        <x:f>IF('ME-3'!BP29="",0,'ME-3'!BP29)</x:f>
      </x:c>
      <x:c r="T26" s="274" t="str">
        <x:f>IF('ME-3'!BH29="","",TRIM('ME-3'!BH29))</x:f>
      </x:c>
      <x:c r="U26" s="274">
        <x:f>IF(OR('ME-3'!AP29=0,'ME-3'!AP29=""),0,1)</x:f>
      </x:c>
      <x:c r="V26" s="456" t="str">
        <x:f>IF('ME-3'!AM29="","",UPPER(TRIM('ME-3'!AM29)))</x:f>
      </x:c>
      <x:c r="W26" s="274" t="str">
        <x:f>IF(OR('ME-3'!H29=0,'ME-3'!H29=""),"",'ME-3'!H29)</x:f>
      </x:c>
      <x:c r="X26" s="274" t="str">
        <x:f>IF(OR('ME-3'!I29=0,'ME-3'!I29=""),"",'ME-3'!I29)</x:f>
      </x:c>
      <x:c r="Y26" s="274" t="str">
        <x:f>IF(V26="","",CONCATENATE(A26,"-",V26))</x:f>
      </x:c>
      <x:c r="Z26" s="274" t="str">
        <x:f>IF(Y26="","",CONCATENATE(Y26,"-",C26))</x:f>
      </x:c>
      <x:c r="AA26" s="274">
        <x:f>IF('ME-3'!BF29="",0,'ME-3'!BF29)</x:f>
      </x:c>
      <x:c r="AB26" s="274" t="e">
        <x:f>(IF((I26-H26)*1440&lt;0,(((I26-H26)*1440)+1440),((I26-H26)*1440)))-(S26+AA26)</x:f>
      </x:c>
    </x:row>
  </x:sheetData>
  <x:sheetProtection algorithmName="SHA-512" hashValue="mgob7YhJI1bK0hKAsCpFlZuN3Xk6B0ldegiSMm0SILTYUwXVEBc7oPwXF8pxINKzfsHN8Xtj6MoxBGOreZE7AQ==" saltValue="gtI25SYSlKvVpCFo/Lppcw==" spinCount="100000" sheet="1" objects="1" scenarios="1"/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ap:HeadingPairs>
  <ap:TitlesOfParts>
    <vt:vector baseType="lpstr" size="12">
      <vt:lpstr>ME-3</vt:lpstr>
      <vt:lpstr>bgr</vt:lpstr>
      <vt:lpstr>Sheet_Master</vt:lpstr>
      <vt:lpstr>Consolidated</vt:lpstr>
      <vt:lpstr>ME-3!Print_Area</vt:lpstr>
      <vt:lpstr>ME-3!Print_Titles</vt:lpstr>
      <vt:lpstr>bgr!Print_Area</vt:lpstr>
      <vt:lpstr>bgr!Print_Titles</vt:lpstr>
      <vt:lpstr>Sheet_Master!Print_Area</vt:lpstr>
      <vt:lpstr>Sheet_Master!Print_Titles</vt:lpstr>
      <vt:lpstr>Consolidated!Print_Area</vt:lpstr>
      <vt:lpstr>Consolidated!Print_Titles</vt:lpstr>
    </vt:vector>
  </ap:TitlesOfParts>
  <ap:Company>HP Inc.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issac@ttssi.co.in</dc:creator>
  <lastModifiedBy>RPA-PC1</lastModifiedBy>
  <lastPrinted>2020-09-10T19:50:42.0000000Z</lastPrinted>
  <dcterms:created xsi:type="dcterms:W3CDTF">2020-03-23T07:27:12.0000000Z</dcterms:created>
  <dcterms:modified xsi:type="dcterms:W3CDTF">2022-05-09T18:47:50.0370216Z</dcterms:modified>
</coreProperties>
</file>