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Accounts Payable Booking\Data\Template\Invoice Convertor\"/>
    </mc:Choice>
  </mc:AlternateContent>
  <bookViews>
    <workbookView xWindow="0" yWindow="0" windowWidth="20490" windowHeight="7050" activeTab="3"/>
  </bookViews>
  <sheets>
    <sheet name="Processed" sheetId="4" r:id="rId1"/>
    <sheet name="Calc" sheetId="2" r:id="rId2"/>
    <sheet name="Final" sheetId="3" r:id="rId3"/>
    <sheet name="Config" sheetId="7" r:id="rId4"/>
    <sheet name="Data" sheetId="1" r:id="rId5"/>
    <sheet name="BOE" sheetId="6" r:id="rId6"/>
    <sheet name="PO NO" sheetId="8" r:id="rId7"/>
  </sheets>
  <functionGroups builtInGroupCount="18"/>
  <definedNames>
    <definedName name="_xlnm._FilterDatabase" localSheetId="2" hidden="1">Final!$A$1:$R$40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" i="3" l="1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" i="3"/>
  <c r="AJ3" i="3" l="1"/>
  <c r="AJ4" i="3"/>
  <c r="AJ5" i="3"/>
  <c r="AJ6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137" i="3"/>
  <c r="AJ138" i="3"/>
  <c r="AJ139" i="3"/>
  <c r="AJ140" i="3"/>
  <c r="AJ141" i="3"/>
  <c r="AJ142" i="3"/>
  <c r="AJ143" i="3"/>
  <c r="AJ144" i="3"/>
  <c r="AJ145" i="3"/>
  <c r="AJ146" i="3"/>
  <c r="AJ147" i="3"/>
  <c r="AJ148" i="3"/>
  <c r="AJ149" i="3"/>
  <c r="AJ150" i="3"/>
  <c r="AJ151" i="3"/>
  <c r="AJ152" i="3"/>
  <c r="AJ153" i="3"/>
  <c r="AJ154" i="3"/>
  <c r="AJ155" i="3"/>
  <c r="AJ156" i="3"/>
  <c r="AJ157" i="3"/>
  <c r="AJ158" i="3"/>
  <c r="AJ159" i="3"/>
  <c r="AJ160" i="3"/>
  <c r="AJ161" i="3"/>
  <c r="AJ162" i="3"/>
  <c r="AJ163" i="3"/>
  <c r="AJ164" i="3"/>
  <c r="AJ165" i="3"/>
  <c r="AJ166" i="3"/>
  <c r="AJ167" i="3"/>
  <c r="AJ168" i="3"/>
  <c r="AJ169" i="3"/>
  <c r="AJ170" i="3"/>
  <c r="AJ171" i="3"/>
  <c r="AJ172" i="3"/>
  <c r="AJ173" i="3"/>
  <c r="AJ174" i="3"/>
  <c r="AJ175" i="3"/>
  <c r="AJ176" i="3"/>
  <c r="AJ177" i="3"/>
  <c r="AJ178" i="3"/>
  <c r="AJ179" i="3"/>
  <c r="AJ180" i="3"/>
  <c r="AJ181" i="3"/>
  <c r="AJ182" i="3"/>
  <c r="AJ183" i="3"/>
  <c r="AJ184" i="3"/>
  <c r="AJ185" i="3"/>
  <c r="AJ186" i="3"/>
  <c r="AJ187" i="3"/>
  <c r="AJ188" i="3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201" i="3"/>
  <c r="AJ202" i="3"/>
  <c r="AJ203" i="3"/>
  <c r="AJ204" i="3"/>
  <c r="AJ205" i="3"/>
  <c r="AJ206" i="3"/>
  <c r="AJ207" i="3"/>
  <c r="AJ208" i="3"/>
  <c r="AJ209" i="3"/>
  <c r="AJ210" i="3"/>
  <c r="AJ211" i="3"/>
  <c r="AJ212" i="3"/>
  <c r="AJ213" i="3"/>
  <c r="AJ2" i="3"/>
  <c r="AK3" i="3" l="1"/>
  <c r="AK4" i="3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" i="3"/>
  <c r="B9" i="7" l="1"/>
  <c r="A4" i="3" l="1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3" i="3"/>
  <c r="A2" i="3"/>
  <c r="W18" i="3" l="1"/>
  <c r="W21" i="3"/>
  <c r="W44" i="3"/>
  <c r="W66" i="3"/>
  <c r="W114" i="3"/>
  <c r="W178" i="3"/>
  <c r="U3" i="3"/>
  <c r="W3" i="3" s="1"/>
  <c r="U4" i="3"/>
  <c r="W4" i="3" s="1"/>
  <c r="U5" i="3"/>
  <c r="W5" i="3" s="1"/>
  <c r="U6" i="3"/>
  <c r="W6" i="3" s="1"/>
  <c r="U7" i="3"/>
  <c r="W7" i="3" s="1"/>
  <c r="U8" i="3"/>
  <c r="W8" i="3" s="1"/>
  <c r="U9" i="3"/>
  <c r="W9" i="3" s="1"/>
  <c r="U10" i="3"/>
  <c r="V10" i="3" s="1"/>
  <c r="U11" i="3"/>
  <c r="W11" i="3" s="1"/>
  <c r="U12" i="3"/>
  <c r="W12" i="3" s="1"/>
  <c r="U13" i="3"/>
  <c r="W13" i="3" s="1"/>
  <c r="U14" i="3"/>
  <c r="W14" i="3" s="1"/>
  <c r="U15" i="3"/>
  <c r="W15" i="3" s="1"/>
  <c r="U16" i="3"/>
  <c r="W16" i="3" s="1"/>
  <c r="U17" i="3"/>
  <c r="W17" i="3" s="1"/>
  <c r="U18" i="3"/>
  <c r="V18" i="3" s="1"/>
  <c r="U19" i="3"/>
  <c r="W19" i="3" s="1"/>
  <c r="U20" i="3"/>
  <c r="W20" i="3" s="1"/>
  <c r="U21" i="3"/>
  <c r="U22" i="3"/>
  <c r="W22" i="3" s="1"/>
  <c r="U23" i="3"/>
  <c r="W23" i="3" s="1"/>
  <c r="U24" i="3"/>
  <c r="W24" i="3" s="1"/>
  <c r="U25" i="3"/>
  <c r="W25" i="3" s="1"/>
  <c r="U26" i="3"/>
  <c r="V26" i="3" s="1"/>
  <c r="U27" i="3"/>
  <c r="W27" i="3" s="1"/>
  <c r="U28" i="3"/>
  <c r="W28" i="3" s="1"/>
  <c r="U29" i="3"/>
  <c r="W29" i="3" s="1"/>
  <c r="U30" i="3"/>
  <c r="V30" i="3" s="1"/>
  <c r="U31" i="3"/>
  <c r="W31" i="3" s="1"/>
  <c r="U32" i="3"/>
  <c r="W32" i="3" s="1"/>
  <c r="U33" i="3"/>
  <c r="W33" i="3" s="1"/>
  <c r="U34" i="3"/>
  <c r="V34" i="3" s="1"/>
  <c r="U35" i="3"/>
  <c r="W35" i="3" s="1"/>
  <c r="U36" i="3"/>
  <c r="W36" i="3" s="1"/>
  <c r="U37" i="3"/>
  <c r="W37" i="3" s="1"/>
  <c r="U38" i="3"/>
  <c r="W38" i="3" s="1"/>
  <c r="U39" i="3"/>
  <c r="W39" i="3" s="1"/>
  <c r="U40" i="3"/>
  <c r="W40" i="3" s="1"/>
  <c r="U41" i="3"/>
  <c r="W41" i="3" s="1"/>
  <c r="U42" i="3"/>
  <c r="V42" i="3" s="1"/>
  <c r="U43" i="3"/>
  <c r="W43" i="3" s="1"/>
  <c r="U44" i="3"/>
  <c r="U45" i="3"/>
  <c r="W45" i="3" s="1"/>
  <c r="U46" i="3"/>
  <c r="W46" i="3" s="1"/>
  <c r="U47" i="3"/>
  <c r="W47" i="3" s="1"/>
  <c r="U48" i="3"/>
  <c r="W48" i="3" s="1"/>
  <c r="U49" i="3"/>
  <c r="W49" i="3" s="1"/>
  <c r="U50" i="3"/>
  <c r="V50" i="3" s="1"/>
  <c r="U51" i="3"/>
  <c r="W51" i="3" s="1"/>
  <c r="U52" i="3"/>
  <c r="W52" i="3" s="1"/>
  <c r="U53" i="3"/>
  <c r="W53" i="3" s="1"/>
  <c r="U54" i="3"/>
  <c r="W54" i="3" s="1"/>
  <c r="U55" i="3"/>
  <c r="W55" i="3" s="1"/>
  <c r="U56" i="3"/>
  <c r="W56" i="3" s="1"/>
  <c r="U57" i="3"/>
  <c r="W57" i="3" s="1"/>
  <c r="U58" i="3"/>
  <c r="V58" i="3" s="1"/>
  <c r="U59" i="3"/>
  <c r="W59" i="3" s="1"/>
  <c r="U60" i="3"/>
  <c r="W60" i="3" s="1"/>
  <c r="U61" i="3"/>
  <c r="W61" i="3" s="1"/>
  <c r="U62" i="3"/>
  <c r="W62" i="3" s="1"/>
  <c r="U63" i="3"/>
  <c r="W63" i="3" s="1"/>
  <c r="U64" i="3"/>
  <c r="W64" i="3" s="1"/>
  <c r="U65" i="3"/>
  <c r="W65" i="3" s="1"/>
  <c r="U66" i="3"/>
  <c r="V66" i="3" s="1"/>
  <c r="U67" i="3"/>
  <c r="W67" i="3" s="1"/>
  <c r="U68" i="3"/>
  <c r="W68" i="3" s="1"/>
  <c r="U69" i="3"/>
  <c r="W69" i="3" s="1"/>
  <c r="U70" i="3"/>
  <c r="W70" i="3" s="1"/>
  <c r="U71" i="3"/>
  <c r="W71" i="3" s="1"/>
  <c r="U72" i="3"/>
  <c r="W72" i="3" s="1"/>
  <c r="U73" i="3"/>
  <c r="W73" i="3" s="1"/>
  <c r="U74" i="3"/>
  <c r="V74" i="3" s="1"/>
  <c r="U75" i="3"/>
  <c r="W75" i="3" s="1"/>
  <c r="U76" i="3"/>
  <c r="W76" i="3" s="1"/>
  <c r="U77" i="3"/>
  <c r="W77" i="3" s="1"/>
  <c r="U78" i="3"/>
  <c r="W78" i="3" s="1"/>
  <c r="U79" i="3"/>
  <c r="W79" i="3" s="1"/>
  <c r="U80" i="3"/>
  <c r="V80" i="3" s="1"/>
  <c r="U81" i="3"/>
  <c r="W81" i="3" s="1"/>
  <c r="U82" i="3"/>
  <c r="V82" i="3" s="1"/>
  <c r="U83" i="3"/>
  <c r="W83" i="3" s="1"/>
  <c r="U84" i="3"/>
  <c r="W84" i="3" s="1"/>
  <c r="U85" i="3"/>
  <c r="W85" i="3" s="1"/>
  <c r="U86" i="3"/>
  <c r="W86" i="3" s="1"/>
  <c r="U87" i="3"/>
  <c r="W87" i="3" s="1"/>
  <c r="U88" i="3"/>
  <c r="V88" i="3" s="1"/>
  <c r="U89" i="3"/>
  <c r="W89" i="3" s="1"/>
  <c r="U90" i="3"/>
  <c r="V90" i="3" s="1"/>
  <c r="U91" i="3"/>
  <c r="W91" i="3" s="1"/>
  <c r="U92" i="3"/>
  <c r="W92" i="3" s="1"/>
  <c r="U93" i="3"/>
  <c r="W93" i="3" s="1"/>
  <c r="U94" i="3"/>
  <c r="V94" i="3" s="1"/>
  <c r="U95" i="3"/>
  <c r="W95" i="3" s="1"/>
  <c r="U96" i="3"/>
  <c r="W96" i="3" s="1"/>
  <c r="U97" i="3"/>
  <c r="W97" i="3" s="1"/>
  <c r="U98" i="3"/>
  <c r="V98" i="3" s="1"/>
  <c r="U99" i="3"/>
  <c r="W99" i="3" s="1"/>
  <c r="U100" i="3"/>
  <c r="W100" i="3" s="1"/>
  <c r="U101" i="3"/>
  <c r="W101" i="3" s="1"/>
  <c r="U102" i="3"/>
  <c r="W102" i="3" s="1"/>
  <c r="U103" i="3"/>
  <c r="W103" i="3" s="1"/>
  <c r="U104" i="3"/>
  <c r="W104" i="3" s="1"/>
  <c r="U105" i="3"/>
  <c r="W105" i="3" s="1"/>
  <c r="U106" i="3"/>
  <c r="V106" i="3" s="1"/>
  <c r="U107" i="3"/>
  <c r="W107" i="3" s="1"/>
  <c r="U108" i="3"/>
  <c r="W108" i="3" s="1"/>
  <c r="U109" i="3"/>
  <c r="W109" i="3" s="1"/>
  <c r="U110" i="3"/>
  <c r="W110" i="3" s="1"/>
  <c r="U111" i="3"/>
  <c r="W111" i="3" s="1"/>
  <c r="U112" i="3"/>
  <c r="V112" i="3" s="1"/>
  <c r="U113" i="3"/>
  <c r="W113" i="3" s="1"/>
  <c r="U114" i="3"/>
  <c r="V114" i="3" s="1"/>
  <c r="U115" i="3"/>
  <c r="W115" i="3" s="1"/>
  <c r="U116" i="3"/>
  <c r="W116" i="3" s="1"/>
  <c r="U117" i="3"/>
  <c r="W117" i="3" s="1"/>
  <c r="U118" i="3"/>
  <c r="W118" i="3" s="1"/>
  <c r="U119" i="3"/>
  <c r="W119" i="3" s="1"/>
  <c r="U120" i="3"/>
  <c r="W120" i="3" s="1"/>
  <c r="U121" i="3"/>
  <c r="V121" i="3" s="1"/>
  <c r="U122" i="3"/>
  <c r="V122" i="3" s="1"/>
  <c r="U123" i="3"/>
  <c r="W123" i="3" s="1"/>
  <c r="U124" i="3"/>
  <c r="W124" i="3" s="1"/>
  <c r="U125" i="3"/>
  <c r="W125" i="3" s="1"/>
  <c r="U126" i="3"/>
  <c r="W126" i="3" s="1"/>
  <c r="U127" i="3"/>
  <c r="W127" i="3" s="1"/>
  <c r="U128" i="3"/>
  <c r="W128" i="3" s="1"/>
  <c r="U129" i="3"/>
  <c r="W129" i="3" s="1"/>
  <c r="U130" i="3"/>
  <c r="V130" i="3" s="1"/>
  <c r="U131" i="3"/>
  <c r="W131" i="3" s="1"/>
  <c r="U132" i="3"/>
  <c r="W132" i="3" s="1"/>
  <c r="U133" i="3"/>
  <c r="W133" i="3" s="1"/>
  <c r="U134" i="3"/>
  <c r="W134" i="3" s="1"/>
  <c r="U135" i="3"/>
  <c r="W135" i="3" s="1"/>
  <c r="U136" i="3"/>
  <c r="W136" i="3" s="1"/>
  <c r="U137" i="3"/>
  <c r="W137" i="3" s="1"/>
  <c r="U138" i="3"/>
  <c r="V138" i="3" s="1"/>
  <c r="U139" i="3"/>
  <c r="W139" i="3" s="1"/>
  <c r="U140" i="3"/>
  <c r="W140" i="3" s="1"/>
  <c r="U141" i="3"/>
  <c r="W141" i="3" s="1"/>
  <c r="U142" i="3"/>
  <c r="W142" i="3" s="1"/>
  <c r="U143" i="3"/>
  <c r="W143" i="3" s="1"/>
  <c r="U144" i="3"/>
  <c r="V144" i="3" s="1"/>
  <c r="U145" i="3"/>
  <c r="V145" i="3" s="1"/>
  <c r="U146" i="3"/>
  <c r="V146" i="3" s="1"/>
  <c r="U147" i="3"/>
  <c r="W147" i="3" s="1"/>
  <c r="U148" i="3"/>
  <c r="W148" i="3" s="1"/>
  <c r="U149" i="3"/>
  <c r="W149" i="3" s="1"/>
  <c r="U150" i="3"/>
  <c r="W150" i="3" s="1"/>
  <c r="U151" i="3"/>
  <c r="W151" i="3" s="1"/>
  <c r="U152" i="3"/>
  <c r="V152" i="3" s="1"/>
  <c r="U153" i="3"/>
  <c r="V153" i="3" s="1"/>
  <c r="U154" i="3"/>
  <c r="V154" i="3" s="1"/>
  <c r="U155" i="3"/>
  <c r="W155" i="3" s="1"/>
  <c r="U156" i="3"/>
  <c r="W156" i="3" s="1"/>
  <c r="U157" i="3"/>
  <c r="W157" i="3" s="1"/>
  <c r="U158" i="3"/>
  <c r="V158" i="3" s="1"/>
  <c r="U159" i="3"/>
  <c r="W159" i="3" s="1"/>
  <c r="U160" i="3"/>
  <c r="W160" i="3" s="1"/>
  <c r="U161" i="3"/>
  <c r="V161" i="3" s="1"/>
  <c r="U162" i="3"/>
  <c r="V162" i="3" s="1"/>
  <c r="U163" i="3"/>
  <c r="W163" i="3" s="1"/>
  <c r="U164" i="3"/>
  <c r="W164" i="3" s="1"/>
  <c r="U165" i="3"/>
  <c r="W165" i="3" s="1"/>
  <c r="U166" i="3"/>
  <c r="W166" i="3" s="1"/>
  <c r="U167" i="3"/>
  <c r="W167" i="3" s="1"/>
  <c r="U168" i="3"/>
  <c r="W168" i="3" s="1"/>
  <c r="U169" i="3"/>
  <c r="W169" i="3" s="1"/>
  <c r="U170" i="3"/>
  <c r="V170" i="3" s="1"/>
  <c r="U171" i="3"/>
  <c r="W171" i="3" s="1"/>
  <c r="U172" i="3"/>
  <c r="W172" i="3" s="1"/>
  <c r="U173" i="3"/>
  <c r="W173" i="3" s="1"/>
  <c r="U174" i="3"/>
  <c r="W174" i="3" s="1"/>
  <c r="U175" i="3"/>
  <c r="W175" i="3" s="1"/>
  <c r="U176" i="3"/>
  <c r="V176" i="3" s="1"/>
  <c r="U177" i="3"/>
  <c r="W177" i="3" s="1"/>
  <c r="U178" i="3"/>
  <c r="V178" i="3" s="1"/>
  <c r="U179" i="3"/>
  <c r="W179" i="3" s="1"/>
  <c r="U180" i="3"/>
  <c r="W180" i="3" s="1"/>
  <c r="U181" i="3"/>
  <c r="W181" i="3" s="1"/>
  <c r="U182" i="3"/>
  <c r="W182" i="3" s="1"/>
  <c r="U183" i="3"/>
  <c r="W183" i="3" s="1"/>
  <c r="U184" i="3"/>
  <c r="W184" i="3" s="1"/>
  <c r="U185" i="3"/>
  <c r="V185" i="3" s="1"/>
  <c r="U186" i="3"/>
  <c r="V186" i="3" s="1"/>
  <c r="U187" i="3"/>
  <c r="W187" i="3" s="1"/>
  <c r="U188" i="3"/>
  <c r="W188" i="3" s="1"/>
  <c r="U189" i="3"/>
  <c r="W189" i="3" s="1"/>
  <c r="U190" i="3"/>
  <c r="W190" i="3" s="1"/>
  <c r="U191" i="3"/>
  <c r="W191" i="3" s="1"/>
  <c r="U192" i="3"/>
  <c r="W192" i="3" s="1"/>
  <c r="U193" i="3"/>
  <c r="W193" i="3" s="1"/>
  <c r="U194" i="3"/>
  <c r="V194" i="3" s="1"/>
  <c r="U195" i="3"/>
  <c r="W195" i="3" s="1"/>
  <c r="U196" i="3"/>
  <c r="W196" i="3" s="1"/>
  <c r="U197" i="3"/>
  <c r="W197" i="3" s="1"/>
  <c r="U198" i="3"/>
  <c r="W198" i="3" s="1"/>
  <c r="U199" i="3"/>
  <c r="W199" i="3" s="1"/>
  <c r="U200" i="3"/>
  <c r="W200" i="3" s="1"/>
  <c r="U201" i="3"/>
  <c r="W201" i="3" s="1"/>
  <c r="U202" i="3"/>
  <c r="V202" i="3" s="1"/>
  <c r="U203" i="3"/>
  <c r="W203" i="3" s="1"/>
  <c r="U204" i="3"/>
  <c r="W204" i="3" s="1"/>
  <c r="U205" i="3"/>
  <c r="W205" i="3" s="1"/>
  <c r="U206" i="3"/>
  <c r="W206" i="3" s="1"/>
  <c r="U207" i="3"/>
  <c r="W207" i="3" s="1"/>
  <c r="U208" i="3"/>
  <c r="V208" i="3" s="1"/>
  <c r="U209" i="3"/>
  <c r="V209" i="3" s="1"/>
  <c r="U210" i="3"/>
  <c r="V210" i="3" s="1"/>
  <c r="U211" i="3"/>
  <c r="W211" i="3" s="1"/>
  <c r="U212" i="3"/>
  <c r="W212" i="3" s="1"/>
  <c r="U213" i="3"/>
  <c r="W213" i="3" s="1"/>
  <c r="U2" i="3"/>
  <c r="V2" i="3" s="1"/>
  <c r="V3" i="3"/>
  <c r="V4" i="3"/>
  <c r="V5" i="3"/>
  <c r="V7" i="3"/>
  <c r="V8" i="3"/>
  <c r="V9" i="3"/>
  <c r="V11" i="3"/>
  <c r="V12" i="3"/>
  <c r="V13" i="3"/>
  <c r="V15" i="3"/>
  <c r="V16" i="3"/>
  <c r="V17" i="3"/>
  <c r="V19" i="3"/>
  <c r="V20" i="3"/>
  <c r="V21" i="3"/>
  <c r="V23" i="3"/>
  <c r="V24" i="3"/>
  <c r="V25" i="3"/>
  <c r="V27" i="3"/>
  <c r="V28" i="3"/>
  <c r="V29" i="3"/>
  <c r="V31" i="3"/>
  <c r="V32" i="3"/>
  <c r="V33" i="3"/>
  <c r="V35" i="3"/>
  <c r="V36" i="3"/>
  <c r="V37" i="3"/>
  <c r="V39" i="3"/>
  <c r="V40" i="3"/>
  <c r="V41" i="3"/>
  <c r="V43" i="3"/>
  <c r="V44" i="3"/>
  <c r="V45" i="3"/>
  <c r="V47" i="3"/>
  <c r="V48" i="3"/>
  <c r="V49" i="3"/>
  <c r="V51" i="3"/>
  <c r="V52" i="3"/>
  <c r="V53" i="3"/>
  <c r="V55" i="3"/>
  <c r="V56" i="3"/>
  <c r="V57" i="3"/>
  <c r="V59" i="3"/>
  <c r="V60" i="3"/>
  <c r="V61" i="3"/>
  <c r="V63" i="3"/>
  <c r="V65" i="3"/>
  <c r="V67" i="3"/>
  <c r="V68" i="3"/>
  <c r="V69" i="3"/>
  <c r="V71" i="3"/>
  <c r="V73" i="3"/>
  <c r="V75" i="3"/>
  <c r="V76" i="3"/>
  <c r="V77" i="3"/>
  <c r="V79" i="3"/>
  <c r="V81" i="3"/>
  <c r="V83" i="3"/>
  <c r="V84" i="3"/>
  <c r="V85" i="3"/>
  <c r="V87" i="3"/>
  <c r="V89" i="3"/>
  <c r="V91" i="3"/>
  <c r="V92" i="3"/>
  <c r="V93" i="3"/>
  <c r="V95" i="3"/>
  <c r="V96" i="3"/>
  <c r="V97" i="3"/>
  <c r="V99" i="3"/>
  <c r="V100" i="3"/>
  <c r="V101" i="3"/>
  <c r="V103" i="3"/>
  <c r="V104" i="3"/>
  <c r="V105" i="3"/>
  <c r="V107" i="3"/>
  <c r="V108" i="3"/>
  <c r="V109" i="3"/>
  <c r="V111" i="3"/>
  <c r="V113" i="3"/>
  <c r="V115" i="3"/>
  <c r="V116" i="3"/>
  <c r="V117" i="3"/>
  <c r="V119" i="3"/>
  <c r="V120" i="3"/>
  <c r="V123" i="3"/>
  <c r="V124" i="3"/>
  <c r="V125" i="3"/>
  <c r="V127" i="3"/>
  <c r="V129" i="3"/>
  <c r="V131" i="3"/>
  <c r="V132" i="3"/>
  <c r="V133" i="3"/>
  <c r="V135" i="3"/>
  <c r="V139" i="3"/>
  <c r="V140" i="3"/>
  <c r="V141" i="3"/>
  <c r="V143" i="3"/>
  <c r="V147" i="3"/>
  <c r="V148" i="3"/>
  <c r="V149" i="3"/>
  <c r="V151" i="3"/>
  <c r="V155" i="3"/>
  <c r="V156" i="3"/>
  <c r="V157" i="3"/>
  <c r="V159" i="3"/>
  <c r="V160" i="3"/>
  <c r="V163" i="3"/>
  <c r="V164" i="3"/>
  <c r="V165" i="3"/>
  <c r="V167" i="3"/>
  <c r="V168" i="3"/>
  <c r="V169" i="3"/>
  <c r="V171" i="3"/>
  <c r="V172" i="3"/>
  <c r="V173" i="3"/>
  <c r="V175" i="3"/>
  <c r="V177" i="3"/>
  <c r="V179" i="3"/>
  <c r="V180" i="3"/>
  <c r="V181" i="3"/>
  <c r="V183" i="3"/>
  <c r="V184" i="3"/>
  <c r="V188" i="3"/>
  <c r="V189" i="3"/>
  <c r="V191" i="3"/>
  <c r="V193" i="3"/>
  <c r="V195" i="3"/>
  <c r="V197" i="3"/>
  <c r="V199" i="3"/>
  <c r="V203" i="3"/>
  <c r="V204" i="3"/>
  <c r="V205" i="3"/>
  <c r="V206" i="3"/>
  <c r="V207" i="3"/>
  <c r="V213" i="3"/>
  <c r="V142" i="3" l="1"/>
  <c r="W170" i="3"/>
  <c r="W106" i="3"/>
  <c r="W42" i="3"/>
  <c r="W162" i="3"/>
  <c r="W98" i="3"/>
  <c r="W154" i="3"/>
  <c r="W90" i="3"/>
  <c r="W58" i="3"/>
  <c r="V102" i="3"/>
  <c r="V187" i="3"/>
  <c r="V150" i="3"/>
  <c r="W210" i="3"/>
  <c r="W146" i="3"/>
  <c r="W82" i="3"/>
  <c r="W34" i="3"/>
  <c r="V166" i="3"/>
  <c r="V38" i="3"/>
  <c r="V212" i="3"/>
  <c r="V78" i="3"/>
  <c r="W202" i="3"/>
  <c r="W138" i="3"/>
  <c r="W74" i="3"/>
  <c r="W10" i="3"/>
  <c r="V211" i="3"/>
  <c r="V196" i="3"/>
  <c r="V14" i="3"/>
  <c r="W194" i="3"/>
  <c r="W130" i="3"/>
  <c r="W50" i="3"/>
  <c r="V86" i="3"/>
  <c r="V22" i="3"/>
  <c r="W186" i="3"/>
  <c r="W122" i="3"/>
  <c r="W26" i="3"/>
  <c r="V201" i="3"/>
  <c r="V174" i="3"/>
  <c r="V137" i="3"/>
  <c r="V128" i="3"/>
  <c r="V110" i="3"/>
  <c r="V64" i="3"/>
  <c r="V46" i="3"/>
  <c r="W209" i="3"/>
  <c r="W185" i="3"/>
  <c r="W161" i="3"/>
  <c r="W153" i="3"/>
  <c r="W145" i="3"/>
  <c r="W121" i="3"/>
  <c r="V192" i="3"/>
  <c r="V200" i="3"/>
  <c r="V182" i="3"/>
  <c r="V136" i="3"/>
  <c r="V118" i="3"/>
  <c r="V72" i="3"/>
  <c r="V54" i="3"/>
  <c r="W208" i="3"/>
  <c r="W176" i="3"/>
  <c r="W152" i="3"/>
  <c r="W144" i="3"/>
  <c r="W112" i="3"/>
  <c r="W88" i="3"/>
  <c r="W80" i="3"/>
  <c r="V190" i="3"/>
  <c r="V126" i="3"/>
  <c r="V62" i="3"/>
  <c r="V198" i="3"/>
  <c r="V134" i="3"/>
  <c r="V70" i="3"/>
  <c r="V6" i="3"/>
  <c r="W2" i="3"/>
  <c r="W158" i="3"/>
  <c r="W94" i="3"/>
  <c r="W30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" i="3"/>
  <c r="X2" i="2" l="1"/>
  <c r="B2" i="8" l="1"/>
  <c r="T121" i="6"/>
  <c r="T120" i="6"/>
  <c r="T119" i="6"/>
  <c r="T118" i="6"/>
  <c r="T117" i="6"/>
  <c r="T116" i="6"/>
  <c r="T115" i="6"/>
  <c r="T114" i="6"/>
  <c r="T113" i="6"/>
  <c r="T112" i="6"/>
  <c r="T111" i="6"/>
  <c r="T110" i="6"/>
  <c r="T109" i="6"/>
  <c r="T108" i="6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T5" i="6"/>
  <c r="T4" i="6"/>
  <c r="T3" i="6"/>
  <c r="T2" i="6"/>
  <c r="AG213" i="3"/>
  <c r="AE213" i="3"/>
  <c r="AD213" i="3"/>
  <c r="AC213" i="3"/>
  <c r="AG212" i="3"/>
  <c r="AE212" i="3"/>
  <c r="AD212" i="3"/>
  <c r="AC212" i="3"/>
  <c r="AG211" i="3"/>
  <c r="AE211" i="3"/>
  <c r="AD211" i="3"/>
  <c r="AC211" i="3"/>
  <c r="AG210" i="3"/>
  <c r="AE210" i="3"/>
  <c r="AD210" i="3"/>
  <c r="AC210" i="3"/>
  <c r="AG209" i="3"/>
  <c r="AE209" i="3"/>
  <c r="AD209" i="3"/>
  <c r="AC209" i="3"/>
  <c r="AG208" i="3"/>
  <c r="AE208" i="3"/>
  <c r="AD208" i="3"/>
  <c r="AC208" i="3"/>
  <c r="AG207" i="3"/>
  <c r="AE207" i="3"/>
  <c r="AD207" i="3"/>
  <c r="AC207" i="3"/>
  <c r="AG206" i="3"/>
  <c r="AE206" i="3"/>
  <c r="AD206" i="3"/>
  <c r="AC206" i="3"/>
  <c r="AG205" i="3"/>
  <c r="AE205" i="3"/>
  <c r="AD205" i="3"/>
  <c r="AC205" i="3"/>
  <c r="AG204" i="3"/>
  <c r="AE204" i="3"/>
  <c r="AD204" i="3"/>
  <c r="AC204" i="3"/>
  <c r="AG203" i="3"/>
  <c r="AE203" i="3"/>
  <c r="AD203" i="3"/>
  <c r="AC203" i="3"/>
  <c r="AG202" i="3"/>
  <c r="AE202" i="3"/>
  <c r="AD202" i="3"/>
  <c r="AC202" i="3"/>
  <c r="AG201" i="3"/>
  <c r="AE201" i="3"/>
  <c r="AD201" i="3"/>
  <c r="AC201" i="3"/>
  <c r="AG200" i="3"/>
  <c r="AE200" i="3"/>
  <c r="AD200" i="3"/>
  <c r="AC200" i="3"/>
  <c r="AG199" i="3"/>
  <c r="AE199" i="3"/>
  <c r="AD199" i="3"/>
  <c r="AC199" i="3"/>
  <c r="AG198" i="3"/>
  <c r="AE198" i="3"/>
  <c r="AD198" i="3"/>
  <c r="AC198" i="3"/>
  <c r="AG197" i="3"/>
  <c r="AE197" i="3"/>
  <c r="AD197" i="3"/>
  <c r="AC197" i="3"/>
  <c r="AG196" i="3"/>
  <c r="AE196" i="3"/>
  <c r="AD196" i="3"/>
  <c r="AC196" i="3"/>
  <c r="AG195" i="3"/>
  <c r="AE195" i="3"/>
  <c r="AD195" i="3"/>
  <c r="AC195" i="3"/>
  <c r="AG194" i="3"/>
  <c r="AE194" i="3"/>
  <c r="AD194" i="3"/>
  <c r="AC194" i="3"/>
  <c r="AG193" i="3"/>
  <c r="AE193" i="3"/>
  <c r="AD193" i="3"/>
  <c r="AC193" i="3"/>
  <c r="AG192" i="3"/>
  <c r="AE192" i="3"/>
  <c r="AD192" i="3"/>
  <c r="AC192" i="3"/>
  <c r="AG191" i="3"/>
  <c r="AE191" i="3"/>
  <c r="AD191" i="3"/>
  <c r="AC191" i="3"/>
  <c r="AG190" i="3"/>
  <c r="AE190" i="3"/>
  <c r="AD190" i="3"/>
  <c r="AC190" i="3"/>
  <c r="AG189" i="3"/>
  <c r="AE189" i="3"/>
  <c r="AD189" i="3"/>
  <c r="AC189" i="3"/>
  <c r="AG188" i="3"/>
  <c r="AE188" i="3"/>
  <c r="AD188" i="3"/>
  <c r="AC188" i="3"/>
  <c r="AG187" i="3"/>
  <c r="AE187" i="3"/>
  <c r="AD187" i="3"/>
  <c r="AC187" i="3"/>
  <c r="AG186" i="3"/>
  <c r="AE186" i="3"/>
  <c r="AD186" i="3"/>
  <c r="AC186" i="3"/>
  <c r="AG185" i="3"/>
  <c r="AE185" i="3"/>
  <c r="AD185" i="3"/>
  <c r="AC185" i="3"/>
  <c r="AG184" i="3"/>
  <c r="AE184" i="3"/>
  <c r="AD184" i="3"/>
  <c r="AC184" i="3"/>
  <c r="AG183" i="3"/>
  <c r="AE183" i="3"/>
  <c r="AD183" i="3"/>
  <c r="AC183" i="3"/>
  <c r="AG182" i="3"/>
  <c r="AE182" i="3"/>
  <c r="AD182" i="3"/>
  <c r="AC182" i="3"/>
  <c r="AG181" i="3"/>
  <c r="AE181" i="3"/>
  <c r="AD181" i="3"/>
  <c r="AC181" i="3"/>
  <c r="AG180" i="3"/>
  <c r="AE180" i="3"/>
  <c r="AD180" i="3"/>
  <c r="AC180" i="3"/>
  <c r="AG179" i="3"/>
  <c r="AE179" i="3"/>
  <c r="AD179" i="3"/>
  <c r="AC179" i="3"/>
  <c r="AG178" i="3"/>
  <c r="AE178" i="3"/>
  <c r="AD178" i="3"/>
  <c r="AC178" i="3"/>
  <c r="AG177" i="3"/>
  <c r="AE177" i="3"/>
  <c r="AD177" i="3"/>
  <c r="AC177" i="3"/>
  <c r="AG176" i="3"/>
  <c r="AE176" i="3"/>
  <c r="AD176" i="3"/>
  <c r="AC176" i="3"/>
  <c r="AG175" i="3"/>
  <c r="AE175" i="3"/>
  <c r="AD175" i="3"/>
  <c r="AC175" i="3"/>
  <c r="AG174" i="3"/>
  <c r="AE174" i="3"/>
  <c r="AD174" i="3"/>
  <c r="AC174" i="3"/>
  <c r="AG173" i="3"/>
  <c r="AE173" i="3"/>
  <c r="AD173" i="3"/>
  <c r="AC173" i="3"/>
  <c r="AG172" i="3"/>
  <c r="AE172" i="3"/>
  <c r="AD172" i="3"/>
  <c r="AC172" i="3"/>
  <c r="AG171" i="3"/>
  <c r="AE171" i="3"/>
  <c r="AD171" i="3"/>
  <c r="AC171" i="3"/>
  <c r="AG170" i="3"/>
  <c r="AE170" i="3"/>
  <c r="AD170" i="3"/>
  <c r="AC170" i="3"/>
  <c r="AG169" i="3"/>
  <c r="AE169" i="3"/>
  <c r="AD169" i="3"/>
  <c r="AC169" i="3"/>
  <c r="AG168" i="3"/>
  <c r="AE168" i="3"/>
  <c r="AD168" i="3"/>
  <c r="AC168" i="3"/>
  <c r="AG167" i="3"/>
  <c r="AE167" i="3"/>
  <c r="AD167" i="3"/>
  <c r="AC167" i="3"/>
  <c r="AG166" i="3"/>
  <c r="AE166" i="3"/>
  <c r="AD166" i="3"/>
  <c r="AC166" i="3"/>
  <c r="AG165" i="3"/>
  <c r="AE165" i="3"/>
  <c r="AD165" i="3"/>
  <c r="AC165" i="3"/>
  <c r="AG164" i="3"/>
  <c r="AE164" i="3"/>
  <c r="AD164" i="3"/>
  <c r="AC164" i="3"/>
  <c r="AG163" i="3"/>
  <c r="AE163" i="3"/>
  <c r="AD163" i="3"/>
  <c r="AC163" i="3"/>
  <c r="AG162" i="3"/>
  <c r="AE162" i="3"/>
  <c r="AD162" i="3"/>
  <c r="AC162" i="3"/>
  <c r="AG161" i="3"/>
  <c r="AE161" i="3"/>
  <c r="AD161" i="3"/>
  <c r="AC161" i="3"/>
  <c r="AG160" i="3"/>
  <c r="AE160" i="3"/>
  <c r="AD160" i="3"/>
  <c r="AC160" i="3"/>
  <c r="AG159" i="3"/>
  <c r="AE159" i="3"/>
  <c r="AD159" i="3"/>
  <c r="AC159" i="3"/>
  <c r="AG158" i="3"/>
  <c r="AE158" i="3"/>
  <c r="AD158" i="3"/>
  <c r="AC158" i="3"/>
  <c r="AG157" i="3"/>
  <c r="AE157" i="3"/>
  <c r="AD157" i="3"/>
  <c r="AC157" i="3"/>
  <c r="AG156" i="3"/>
  <c r="AE156" i="3"/>
  <c r="AD156" i="3"/>
  <c r="AC156" i="3"/>
  <c r="AG155" i="3"/>
  <c r="AE155" i="3"/>
  <c r="AD155" i="3"/>
  <c r="AC155" i="3"/>
  <c r="AG154" i="3"/>
  <c r="AE154" i="3"/>
  <c r="AD154" i="3"/>
  <c r="AC154" i="3"/>
  <c r="AG153" i="3"/>
  <c r="AE153" i="3"/>
  <c r="AD153" i="3"/>
  <c r="AC153" i="3"/>
  <c r="AG152" i="3"/>
  <c r="AE152" i="3"/>
  <c r="AD152" i="3"/>
  <c r="AC152" i="3"/>
  <c r="AG151" i="3"/>
  <c r="AE151" i="3"/>
  <c r="AD151" i="3"/>
  <c r="AC151" i="3"/>
  <c r="AG150" i="3"/>
  <c r="AE150" i="3"/>
  <c r="AD150" i="3"/>
  <c r="AC150" i="3"/>
  <c r="AG149" i="3"/>
  <c r="AE149" i="3"/>
  <c r="AD149" i="3"/>
  <c r="AC149" i="3"/>
  <c r="AG148" i="3"/>
  <c r="AE148" i="3"/>
  <c r="AD148" i="3"/>
  <c r="AC148" i="3"/>
  <c r="AG147" i="3"/>
  <c r="AE147" i="3"/>
  <c r="AD147" i="3"/>
  <c r="AC147" i="3"/>
  <c r="AG146" i="3"/>
  <c r="AE146" i="3"/>
  <c r="AD146" i="3"/>
  <c r="AC146" i="3"/>
  <c r="AG145" i="3"/>
  <c r="AE145" i="3"/>
  <c r="AD145" i="3"/>
  <c r="AC145" i="3"/>
  <c r="AG144" i="3"/>
  <c r="AE144" i="3"/>
  <c r="AD144" i="3"/>
  <c r="AC144" i="3"/>
  <c r="AG143" i="3"/>
  <c r="AE143" i="3"/>
  <c r="AD143" i="3"/>
  <c r="AC143" i="3"/>
  <c r="AG142" i="3"/>
  <c r="AE142" i="3"/>
  <c r="AD142" i="3"/>
  <c r="AC142" i="3"/>
  <c r="AG141" i="3"/>
  <c r="AF141" i="3"/>
  <c r="AE141" i="3"/>
  <c r="AD141" i="3"/>
  <c r="AC141" i="3"/>
  <c r="AG140" i="3"/>
  <c r="AF140" i="3"/>
  <c r="AE140" i="3"/>
  <c r="AD140" i="3"/>
  <c r="AC140" i="3"/>
  <c r="AG139" i="3"/>
  <c r="AF139" i="3"/>
  <c r="AE139" i="3"/>
  <c r="AD139" i="3"/>
  <c r="AC139" i="3"/>
  <c r="AG138" i="3"/>
  <c r="AF138" i="3"/>
  <c r="AE138" i="3"/>
  <c r="AD138" i="3"/>
  <c r="AC138" i="3"/>
  <c r="AG137" i="3"/>
  <c r="AF137" i="3"/>
  <c r="AE137" i="3"/>
  <c r="AD137" i="3"/>
  <c r="AC137" i="3"/>
  <c r="AG136" i="3"/>
  <c r="AF136" i="3"/>
  <c r="AE136" i="3"/>
  <c r="AD136" i="3"/>
  <c r="AC136" i="3"/>
  <c r="AG135" i="3"/>
  <c r="AF135" i="3"/>
  <c r="AE135" i="3"/>
  <c r="AD135" i="3"/>
  <c r="AC135" i="3"/>
  <c r="AG134" i="3"/>
  <c r="AF134" i="3"/>
  <c r="AE134" i="3"/>
  <c r="AD134" i="3"/>
  <c r="AC134" i="3"/>
  <c r="AG133" i="3"/>
  <c r="AF133" i="3"/>
  <c r="AE133" i="3"/>
  <c r="AD133" i="3"/>
  <c r="AC133" i="3"/>
  <c r="AG132" i="3"/>
  <c r="AF132" i="3"/>
  <c r="AE132" i="3"/>
  <c r="AD132" i="3"/>
  <c r="AC132" i="3"/>
  <c r="AG131" i="3"/>
  <c r="AF131" i="3"/>
  <c r="AE131" i="3"/>
  <c r="AD131" i="3"/>
  <c r="AC131" i="3"/>
  <c r="AG130" i="3"/>
  <c r="AF130" i="3"/>
  <c r="AE130" i="3"/>
  <c r="AD130" i="3"/>
  <c r="AC130" i="3"/>
  <c r="AG129" i="3"/>
  <c r="AF129" i="3"/>
  <c r="AE129" i="3"/>
  <c r="AD129" i="3"/>
  <c r="AC129" i="3"/>
  <c r="AG128" i="3"/>
  <c r="AF128" i="3"/>
  <c r="AE128" i="3"/>
  <c r="AD128" i="3"/>
  <c r="AC128" i="3"/>
  <c r="AG127" i="3"/>
  <c r="AF127" i="3"/>
  <c r="AE127" i="3"/>
  <c r="AD127" i="3"/>
  <c r="AC127" i="3"/>
  <c r="AG126" i="3"/>
  <c r="AF126" i="3"/>
  <c r="AE126" i="3"/>
  <c r="AD126" i="3"/>
  <c r="AC126" i="3"/>
  <c r="AG125" i="3"/>
  <c r="AF125" i="3"/>
  <c r="AE125" i="3"/>
  <c r="AD125" i="3"/>
  <c r="AC125" i="3"/>
  <c r="AG124" i="3"/>
  <c r="AF124" i="3"/>
  <c r="AE124" i="3"/>
  <c r="AD124" i="3"/>
  <c r="AC124" i="3"/>
  <c r="AG123" i="3"/>
  <c r="AF123" i="3"/>
  <c r="AE123" i="3"/>
  <c r="AD123" i="3"/>
  <c r="AC123" i="3"/>
  <c r="AG122" i="3"/>
  <c r="AF122" i="3"/>
  <c r="AE122" i="3"/>
  <c r="AD122" i="3"/>
  <c r="AC122" i="3"/>
  <c r="AG121" i="3"/>
  <c r="AF121" i="3"/>
  <c r="AE121" i="3"/>
  <c r="AD121" i="3"/>
  <c r="AC121" i="3"/>
  <c r="AG120" i="3"/>
  <c r="AF120" i="3"/>
  <c r="AE120" i="3"/>
  <c r="AD120" i="3"/>
  <c r="AC120" i="3"/>
  <c r="AG119" i="3"/>
  <c r="AF119" i="3"/>
  <c r="AE119" i="3"/>
  <c r="AD119" i="3"/>
  <c r="AC119" i="3"/>
  <c r="AG118" i="3"/>
  <c r="AF118" i="3"/>
  <c r="AE118" i="3"/>
  <c r="AD118" i="3"/>
  <c r="AC118" i="3"/>
  <c r="AG117" i="3"/>
  <c r="AF117" i="3"/>
  <c r="AE117" i="3"/>
  <c r="AD117" i="3"/>
  <c r="AC117" i="3"/>
  <c r="AG116" i="3"/>
  <c r="AF116" i="3"/>
  <c r="AE116" i="3"/>
  <c r="AD116" i="3"/>
  <c r="AC116" i="3"/>
  <c r="AG115" i="3"/>
  <c r="AF115" i="3"/>
  <c r="AE115" i="3"/>
  <c r="AD115" i="3"/>
  <c r="AC115" i="3"/>
  <c r="AG114" i="3"/>
  <c r="AF114" i="3"/>
  <c r="AE114" i="3"/>
  <c r="AD114" i="3"/>
  <c r="AC114" i="3"/>
  <c r="AG113" i="3"/>
  <c r="AF113" i="3"/>
  <c r="AE113" i="3"/>
  <c r="AD113" i="3"/>
  <c r="AC113" i="3"/>
  <c r="AG112" i="3"/>
  <c r="AF112" i="3"/>
  <c r="AE112" i="3"/>
  <c r="AD112" i="3"/>
  <c r="AC112" i="3"/>
  <c r="AG111" i="3"/>
  <c r="AF111" i="3"/>
  <c r="AE111" i="3"/>
  <c r="AD111" i="3"/>
  <c r="AC111" i="3"/>
  <c r="AG110" i="3"/>
  <c r="AF110" i="3"/>
  <c r="AE110" i="3"/>
  <c r="AD110" i="3"/>
  <c r="AC110" i="3"/>
  <c r="AG109" i="3"/>
  <c r="AF109" i="3"/>
  <c r="AE109" i="3"/>
  <c r="AD109" i="3"/>
  <c r="AC109" i="3"/>
  <c r="AG108" i="3"/>
  <c r="AF108" i="3"/>
  <c r="AE108" i="3"/>
  <c r="AD108" i="3"/>
  <c r="AC108" i="3"/>
  <c r="AG107" i="3"/>
  <c r="AF107" i="3"/>
  <c r="AE107" i="3"/>
  <c r="AD107" i="3"/>
  <c r="AC107" i="3"/>
  <c r="AG106" i="3"/>
  <c r="AF106" i="3"/>
  <c r="AE106" i="3"/>
  <c r="AD106" i="3"/>
  <c r="AC106" i="3"/>
  <c r="AG105" i="3"/>
  <c r="AF105" i="3"/>
  <c r="AE105" i="3"/>
  <c r="AD105" i="3"/>
  <c r="AC105" i="3"/>
  <c r="AG104" i="3"/>
  <c r="AF104" i="3"/>
  <c r="AE104" i="3"/>
  <c r="AD104" i="3"/>
  <c r="AC104" i="3"/>
  <c r="AG103" i="3"/>
  <c r="AF103" i="3"/>
  <c r="AE103" i="3"/>
  <c r="AD103" i="3"/>
  <c r="AC103" i="3"/>
  <c r="AG102" i="3"/>
  <c r="AF102" i="3"/>
  <c r="AE102" i="3"/>
  <c r="AD102" i="3"/>
  <c r="AC102" i="3"/>
  <c r="AG101" i="3"/>
  <c r="AF101" i="3"/>
  <c r="AE101" i="3"/>
  <c r="AD101" i="3"/>
  <c r="AC101" i="3"/>
  <c r="AG100" i="3"/>
  <c r="AF100" i="3"/>
  <c r="AE100" i="3"/>
  <c r="AD100" i="3"/>
  <c r="AC100" i="3"/>
  <c r="AG99" i="3"/>
  <c r="AF99" i="3"/>
  <c r="AE99" i="3"/>
  <c r="AD99" i="3"/>
  <c r="AC99" i="3"/>
  <c r="AG98" i="3"/>
  <c r="AF98" i="3"/>
  <c r="AE98" i="3"/>
  <c r="AD98" i="3"/>
  <c r="AC98" i="3"/>
  <c r="AG97" i="3"/>
  <c r="AF97" i="3"/>
  <c r="AE97" i="3"/>
  <c r="AD97" i="3"/>
  <c r="AC97" i="3"/>
  <c r="AG96" i="3"/>
  <c r="AF96" i="3"/>
  <c r="AE96" i="3"/>
  <c r="AD96" i="3"/>
  <c r="AC96" i="3"/>
  <c r="AG95" i="3"/>
  <c r="AF95" i="3"/>
  <c r="AE95" i="3"/>
  <c r="AD95" i="3"/>
  <c r="AC95" i="3"/>
  <c r="AG94" i="3"/>
  <c r="AF94" i="3"/>
  <c r="AE94" i="3"/>
  <c r="AD94" i="3"/>
  <c r="AC94" i="3"/>
  <c r="AG93" i="3"/>
  <c r="AF93" i="3"/>
  <c r="AE93" i="3"/>
  <c r="AD93" i="3"/>
  <c r="AC93" i="3"/>
  <c r="AG92" i="3"/>
  <c r="AF92" i="3"/>
  <c r="AE92" i="3"/>
  <c r="AD92" i="3"/>
  <c r="AC92" i="3"/>
  <c r="AG91" i="3"/>
  <c r="AF91" i="3"/>
  <c r="AE91" i="3"/>
  <c r="AD91" i="3"/>
  <c r="AC91" i="3"/>
  <c r="AG90" i="3"/>
  <c r="AF90" i="3"/>
  <c r="AE90" i="3"/>
  <c r="AD90" i="3"/>
  <c r="AC90" i="3"/>
  <c r="AG89" i="3"/>
  <c r="AF89" i="3"/>
  <c r="AE89" i="3"/>
  <c r="AD89" i="3"/>
  <c r="AC89" i="3"/>
  <c r="AG88" i="3"/>
  <c r="AF88" i="3"/>
  <c r="AE88" i="3"/>
  <c r="AD88" i="3"/>
  <c r="AC88" i="3"/>
  <c r="AG87" i="3"/>
  <c r="AF87" i="3"/>
  <c r="AE87" i="3"/>
  <c r="AD87" i="3"/>
  <c r="AC87" i="3"/>
  <c r="AG86" i="3"/>
  <c r="AF86" i="3"/>
  <c r="AE86" i="3"/>
  <c r="AD86" i="3"/>
  <c r="AC86" i="3"/>
  <c r="AG85" i="3"/>
  <c r="AF85" i="3"/>
  <c r="AE85" i="3"/>
  <c r="AD85" i="3"/>
  <c r="AC85" i="3"/>
  <c r="AG84" i="3"/>
  <c r="AF84" i="3"/>
  <c r="AE84" i="3"/>
  <c r="AD84" i="3"/>
  <c r="AC84" i="3"/>
  <c r="AG83" i="3"/>
  <c r="AF83" i="3"/>
  <c r="AE83" i="3"/>
  <c r="AD83" i="3"/>
  <c r="AC83" i="3"/>
  <c r="AG82" i="3"/>
  <c r="AF82" i="3"/>
  <c r="AE82" i="3"/>
  <c r="AD82" i="3"/>
  <c r="AC82" i="3"/>
  <c r="AG81" i="3"/>
  <c r="AF81" i="3"/>
  <c r="AE81" i="3"/>
  <c r="AD81" i="3"/>
  <c r="AC81" i="3"/>
  <c r="AG80" i="3"/>
  <c r="AF80" i="3"/>
  <c r="AE80" i="3"/>
  <c r="AD80" i="3"/>
  <c r="AC80" i="3"/>
  <c r="AG79" i="3"/>
  <c r="AF79" i="3"/>
  <c r="AE79" i="3"/>
  <c r="AD79" i="3"/>
  <c r="AC79" i="3"/>
  <c r="AG78" i="3"/>
  <c r="AF78" i="3"/>
  <c r="AE78" i="3"/>
  <c r="AD78" i="3"/>
  <c r="AC78" i="3"/>
  <c r="AG77" i="3"/>
  <c r="AF77" i="3"/>
  <c r="AE77" i="3"/>
  <c r="AD77" i="3"/>
  <c r="AC77" i="3"/>
  <c r="AG76" i="3"/>
  <c r="AF76" i="3"/>
  <c r="AE76" i="3"/>
  <c r="AD76" i="3"/>
  <c r="AC76" i="3"/>
  <c r="AG75" i="3"/>
  <c r="AF75" i="3"/>
  <c r="AE75" i="3"/>
  <c r="AD75" i="3"/>
  <c r="AC75" i="3"/>
  <c r="AG74" i="3"/>
  <c r="AF74" i="3"/>
  <c r="AE74" i="3"/>
  <c r="AD74" i="3"/>
  <c r="AC74" i="3"/>
  <c r="AG73" i="3"/>
  <c r="AF73" i="3"/>
  <c r="AE73" i="3"/>
  <c r="AD73" i="3"/>
  <c r="AC73" i="3"/>
  <c r="AG72" i="3"/>
  <c r="AF72" i="3"/>
  <c r="AE72" i="3"/>
  <c r="AD72" i="3"/>
  <c r="AC72" i="3"/>
  <c r="AG71" i="3"/>
  <c r="AF71" i="3"/>
  <c r="AE71" i="3"/>
  <c r="AD71" i="3"/>
  <c r="AC71" i="3"/>
  <c r="AG70" i="3"/>
  <c r="AF70" i="3"/>
  <c r="AE70" i="3"/>
  <c r="AD70" i="3"/>
  <c r="AC70" i="3"/>
  <c r="AG69" i="3"/>
  <c r="AF69" i="3"/>
  <c r="AE69" i="3"/>
  <c r="AD69" i="3"/>
  <c r="AC69" i="3"/>
  <c r="AG68" i="3"/>
  <c r="AF68" i="3"/>
  <c r="AE68" i="3"/>
  <c r="AD68" i="3"/>
  <c r="AC68" i="3"/>
  <c r="AG67" i="3"/>
  <c r="AF67" i="3"/>
  <c r="AE67" i="3"/>
  <c r="AD67" i="3"/>
  <c r="AC67" i="3"/>
  <c r="AG66" i="3"/>
  <c r="AF66" i="3"/>
  <c r="AE66" i="3"/>
  <c r="AD66" i="3"/>
  <c r="AC66" i="3"/>
  <c r="AG65" i="3"/>
  <c r="AF65" i="3"/>
  <c r="AE65" i="3"/>
  <c r="AD65" i="3"/>
  <c r="AC65" i="3"/>
  <c r="AG64" i="3"/>
  <c r="AF64" i="3"/>
  <c r="AE64" i="3"/>
  <c r="AD64" i="3"/>
  <c r="AC64" i="3"/>
  <c r="AG63" i="3"/>
  <c r="AF63" i="3"/>
  <c r="AE63" i="3"/>
  <c r="AD63" i="3"/>
  <c r="AC63" i="3"/>
  <c r="AG62" i="3"/>
  <c r="AF62" i="3"/>
  <c r="AE62" i="3"/>
  <c r="AD62" i="3"/>
  <c r="AC62" i="3"/>
  <c r="AG61" i="3"/>
  <c r="AF61" i="3"/>
  <c r="AE61" i="3"/>
  <c r="AD61" i="3"/>
  <c r="AC61" i="3"/>
  <c r="AG60" i="3"/>
  <c r="AF60" i="3"/>
  <c r="AE60" i="3"/>
  <c r="AD60" i="3"/>
  <c r="AC60" i="3"/>
  <c r="AG59" i="3"/>
  <c r="AF59" i="3"/>
  <c r="AE59" i="3"/>
  <c r="AD59" i="3"/>
  <c r="AC59" i="3"/>
  <c r="AG58" i="3"/>
  <c r="AF58" i="3"/>
  <c r="AE58" i="3"/>
  <c r="AD58" i="3"/>
  <c r="AC58" i="3"/>
  <c r="AG57" i="3"/>
  <c r="AF57" i="3"/>
  <c r="AE57" i="3"/>
  <c r="AD57" i="3"/>
  <c r="AC57" i="3"/>
  <c r="AG56" i="3"/>
  <c r="AF56" i="3"/>
  <c r="AE56" i="3"/>
  <c r="AD56" i="3"/>
  <c r="AC56" i="3"/>
  <c r="AG55" i="3"/>
  <c r="AF55" i="3"/>
  <c r="AE55" i="3"/>
  <c r="AD55" i="3"/>
  <c r="AC55" i="3"/>
  <c r="AG54" i="3"/>
  <c r="AF54" i="3"/>
  <c r="AE54" i="3"/>
  <c r="AD54" i="3"/>
  <c r="AC54" i="3"/>
  <c r="AG53" i="3"/>
  <c r="AF53" i="3"/>
  <c r="AE53" i="3"/>
  <c r="AD53" i="3"/>
  <c r="AC53" i="3"/>
  <c r="AG52" i="3"/>
  <c r="AF52" i="3"/>
  <c r="AE52" i="3"/>
  <c r="AD52" i="3"/>
  <c r="AC52" i="3"/>
  <c r="AG51" i="3"/>
  <c r="AF51" i="3"/>
  <c r="AE51" i="3"/>
  <c r="AD51" i="3"/>
  <c r="AC51" i="3"/>
  <c r="AG50" i="3"/>
  <c r="AF50" i="3"/>
  <c r="AE50" i="3"/>
  <c r="AD50" i="3"/>
  <c r="AC50" i="3"/>
  <c r="AG49" i="3"/>
  <c r="AF49" i="3"/>
  <c r="AE49" i="3"/>
  <c r="AD49" i="3"/>
  <c r="AC49" i="3"/>
  <c r="AG48" i="3"/>
  <c r="AF48" i="3"/>
  <c r="AE48" i="3"/>
  <c r="AD48" i="3"/>
  <c r="AC48" i="3"/>
  <c r="AG47" i="3"/>
  <c r="AF47" i="3"/>
  <c r="AE47" i="3"/>
  <c r="AD47" i="3"/>
  <c r="AC47" i="3"/>
  <c r="AG46" i="3"/>
  <c r="AF46" i="3"/>
  <c r="AE46" i="3"/>
  <c r="AD46" i="3"/>
  <c r="AC46" i="3"/>
  <c r="AG45" i="3"/>
  <c r="AF45" i="3"/>
  <c r="AE45" i="3"/>
  <c r="AD45" i="3"/>
  <c r="AC45" i="3"/>
  <c r="AG44" i="3"/>
  <c r="AF44" i="3"/>
  <c r="AE44" i="3"/>
  <c r="AD44" i="3"/>
  <c r="AC44" i="3"/>
  <c r="AG43" i="3"/>
  <c r="AF43" i="3"/>
  <c r="AE43" i="3"/>
  <c r="AD43" i="3"/>
  <c r="AC43" i="3"/>
  <c r="AG42" i="3"/>
  <c r="AF42" i="3"/>
  <c r="AE42" i="3"/>
  <c r="AD42" i="3"/>
  <c r="AC42" i="3"/>
  <c r="AG41" i="3"/>
  <c r="AF41" i="3"/>
  <c r="AE41" i="3"/>
  <c r="AD41" i="3"/>
  <c r="AC41" i="3"/>
  <c r="AG40" i="3"/>
  <c r="AF40" i="3"/>
  <c r="AE40" i="3"/>
  <c r="AD40" i="3"/>
  <c r="AC40" i="3"/>
  <c r="AG39" i="3"/>
  <c r="AF39" i="3"/>
  <c r="AE39" i="3"/>
  <c r="AD39" i="3"/>
  <c r="AC39" i="3"/>
  <c r="AG38" i="3"/>
  <c r="AF38" i="3"/>
  <c r="AE38" i="3"/>
  <c r="AD38" i="3"/>
  <c r="AC38" i="3"/>
  <c r="AG37" i="3"/>
  <c r="AF37" i="3"/>
  <c r="AE37" i="3"/>
  <c r="AD37" i="3"/>
  <c r="AC37" i="3"/>
  <c r="AG36" i="3"/>
  <c r="AF36" i="3"/>
  <c r="AE36" i="3"/>
  <c r="AD36" i="3"/>
  <c r="AC36" i="3"/>
  <c r="AG35" i="3"/>
  <c r="AF35" i="3"/>
  <c r="AE35" i="3"/>
  <c r="AD35" i="3"/>
  <c r="AC35" i="3"/>
  <c r="AG34" i="3"/>
  <c r="AF34" i="3"/>
  <c r="AE34" i="3"/>
  <c r="AD34" i="3"/>
  <c r="AC34" i="3"/>
  <c r="AG33" i="3"/>
  <c r="AF33" i="3"/>
  <c r="AE33" i="3"/>
  <c r="AD33" i="3"/>
  <c r="AC33" i="3"/>
  <c r="AG32" i="3"/>
  <c r="AF32" i="3"/>
  <c r="AE32" i="3"/>
  <c r="AD32" i="3"/>
  <c r="AC32" i="3"/>
  <c r="AG31" i="3"/>
  <c r="AF31" i="3"/>
  <c r="AE31" i="3"/>
  <c r="AD31" i="3"/>
  <c r="AC31" i="3"/>
  <c r="AG30" i="3"/>
  <c r="AF30" i="3"/>
  <c r="AE30" i="3"/>
  <c r="AD30" i="3"/>
  <c r="AC30" i="3"/>
  <c r="AG29" i="3"/>
  <c r="AF29" i="3"/>
  <c r="AE29" i="3"/>
  <c r="AD29" i="3"/>
  <c r="AC29" i="3"/>
  <c r="AG28" i="3"/>
  <c r="AF28" i="3"/>
  <c r="AE28" i="3"/>
  <c r="AD28" i="3"/>
  <c r="AC28" i="3"/>
  <c r="AG27" i="3"/>
  <c r="AF27" i="3"/>
  <c r="AE27" i="3"/>
  <c r="AD27" i="3"/>
  <c r="AC27" i="3"/>
  <c r="AG26" i="3"/>
  <c r="AF26" i="3"/>
  <c r="AE26" i="3"/>
  <c r="AD26" i="3"/>
  <c r="AC26" i="3"/>
  <c r="AG25" i="3"/>
  <c r="AF25" i="3"/>
  <c r="AE25" i="3"/>
  <c r="AD25" i="3"/>
  <c r="AC25" i="3"/>
  <c r="AG24" i="3"/>
  <c r="AF24" i="3"/>
  <c r="AE24" i="3"/>
  <c r="AD24" i="3"/>
  <c r="AC24" i="3"/>
  <c r="AG23" i="3"/>
  <c r="AF23" i="3"/>
  <c r="AE23" i="3"/>
  <c r="AD23" i="3"/>
  <c r="AC23" i="3"/>
  <c r="AG22" i="3"/>
  <c r="AF22" i="3"/>
  <c r="AE22" i="3"/>
  <c r="AD22" i="3"/>
  <c r="AC22" i="3"/>
  <c r="AG21" i="3"/>
  <c r="AF21" i="3"/>
  <c r="AE21" i="3"/>
  <c r="AD21" i="3"/>
  <c r="AC21" i="3"/>
  <c r="AG20" i="3"/>
  <c r="AF20" i="3"/>
  <c r="AE20" i="3"/>
  <c r="AD20" i="3"/>
  <c r="AC20" i="3"/>
  <c r="AG19" i="3"/>
  <c r="AF19" i="3"/>
  <c r="AE19" i="3"/>
  <c r="AD19" i="3"/>
  <c r="AC19" i="3"/>
  <c r="AG18" i="3"/>
  <c r="AF18" i="3"/>
  <c r="AE18" i="3"/>
  <c r="AD18" i="3"/>
  <c r="AC18" i="3"/>
  <c r="AG17" i="3"/>
  <c r="AF17" i="3"/>
  <c r="AE17" i="3"/>
  <c r="AD17" i="3"/>
  <c r="AC17" i="3"/>
  <c r="AG16" i="3"/>
  <c r="AF16" i="3"/>
  <c r="AE16" i="3"/>
  <c r="AD16" i="3"/>
  <c r="AC16" i="3"/>
  <c r="AG15" i="3"/>
  <c r="AF15" i="3"/>
  <c r="AE15" i="3"/>
  <c r="AD15" i="3"/>
  <c r="AC15" i="3"/>
  <c r="AG14" i="3"/>
  <c r="AF14" i="3"/>
  <c r="AE14" i="3"/>
  <c r="AD14" i="3"/>
  <c r="AC14" i="3"/>
  <c r="AG13" i="3"/>
  <c r="AF13" i="3"/>
  <c r="AE13" i="3"/>
  <c r="AD13" i="3"/>
  <c r="AC13" i="3"/>
  <c r="AG12" i="3"/>
  <c r="AF12" i="3"/>
  <c r="AE12" i="3"/>
  <c r="AD12" i="3"/>
  <c r="AC12" i="3"/>
  <c r="AG11" i="3"/>
  <c r="AF11" i="3"/>
  <c r="AE11" i="3"/>
  <c r="AD11" i="3"/>
  <c r="AC11" i="3"/>
  <c r="AG10" i="3"/>
  <c r="AF10" i="3"/>
  <c r="AE10" i="3"/>
  <c r="AD10" i="3"/>
  <c r="AC10" i="3"/>
  <c r="AG9" i="3"/>
  <c r="AF9" i="3"/>
  <c r="AE9" i="3"/>
  <c r="AD9" i="3"/>
  <c r="AC9" i="3"/>
  <c r="AG8" i="3"/>
  <c r="AF8" i="3"/>
  <c r="AE8" i="3"/>
  <c r="AD8" i="3"/>
  <c r="AC8" i="3"/>
  <c r="AG7" i="3"/>
  <c r="AF7" i="3"/>
  <c r="AE7" i="3"/>
  <c r="AD7" i="3"/>
  <c r="AC7" i="3"/>
  <c r="AG6" i="3"/>
  <c r="AF6" i="3"/>
  <c r="AE6" i="3"/>
  <c r="AD6" i="3"/>
  <c r="AC6" i="3"/>
  <c r="AG5" i="3"/>
  <c r="AF5" i="3"/>
  <c r="AE5" i="3"/>
  <c r="AD5" i="3"/>
  <c r="AC5" i="3"/>
  <c r="AG4" i="3"/>
  <c r="AF4" i="3"/>
  <c r="AE4" i="3"/>
  <c r="AD4" i="3"/>
  <c r="AC4" i="3"/>
  <c r="AG3" i="3"/>
  <c r="AF3" i="3"/>
  <c r="AE3" i="3"/>
  <c r="AD3" i="3"/>
  <c r="AC3" i="3"/>
  <c r="AG2" i="3"/>
  <c r="AF2" i="3"/>
  <c r="AE2" i="3"/>
  <c r="AD2" i="3"/>
  <c r="AC2" i="3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2" i="6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2" i="6"/>
  <c r="B4" i="7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2" i="6"/>
  <c r="J3" i="6"/>
  <c r="J4" i="6"/>
  <c r="J5" i="6"/>
  <c r="J6" i="6"/>
  <c r="J7" i="6"/>
  <c r="AA74" i="3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2" i="6"/>
  <c r="AA6" i="3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O1" i="6"/>
  <c r="Z193" i="3"/>
  <c r="Z137" i="3"/>
  <c r="Z89" i="3"/>
  <c r="Z33" i="3"/>
  <c r="AA194" i="3"/>
  <c r="AA162" i="3"/>
  <c r="AA122" i="3"/>
  <c r="AA82" i="3"/>
  <c r="AA58" i="3"/>
  <c r="AA42" i="3"/>
  <c r="AA26" i="3"/>
  <c r="AA10" i="3"/>
  <c r="Y11" i="3"/>
  <c r="Z208" i="3"/>
  <c r="Z200" i="3"/>
  <c r="Z192" i="3"/>
  <c r="Z184" i="3"/>
  <c r="Z176" i="3"/>
  <c r="Z168" i="3"/>
  <c r="Z160" i="3"/>
  <c r="Z152" i="3"/>
  <c r="Z144" i="3"/>
  <c r="Z136" i="3"/>
  <c r="Z128" i="3"/>
  <c r="Z120" i="3"/>
  <c r="Z112" i="3"/>
  <c r="Z104" i="3"/>
  <c r="Z96" i="3"/>
  <c r="Z88" i="3"/>
  <c r="Z80" i="3"/>
  <c r="Z72" i="3"/>
  <c r="Z64" i="3"/>
  <c r="Z56" i="3"/>
  <c r="Z48" i="3"/>
  <c r="Z40" i="3"/>
  <c r="Z32" i="3"/>
  <c r="Z24" i="3"/>
  <c r="Z16" i="3"/>
  <c r="Z5" i="3"/>
  <c r="AA209" i="3"/>
  <c r="AA201" i="3"/>
  <c r="AA193" i="3"/>
  <c r="AA185" i="3"/>
  <c r="AA177" i="3"/>
  <c r="AA169" i="3"/>
  <c r="AA161" i="3"/>
  <c r="AA153" i="3"/>
  <c r="AA145" i="3"/>
  <c r="AA137" i="3"/>
  <c r="AA129" i="3"/>
  <c r="AA121" i="3"/>
  <c r="AA113" i="3"/>
  <c r="AA105" i="3"/>
  <c r="AA97" i="3"/>
  <c r="AA89" i="3"/>
  <c r="AA81" i="3"/>
  <c r="AA73" i="3"/>
  <c r="AA65" i="3"/>
  <c r="AA57" i="3"/>
  <c r="AA49" i="3"/>
  <c r="AA41" i="3"/>
  <c r="AA33" i="3"/>
  <c r="AA25" i="3"/>
  <c r="AA17" i="3"/>
  <c r="AA9" i="3"/>
  <c r="Z9" i="3"/>
  <c r="Z169" i="3"/>
  <c r="Z121" i="3"/>
  <c r="Z73" i="3"/>
  <c r="Z25" i="3"/>
  <c r="AA186" i="3"/>
  <c r="AA154" i="3"/>
  <c r="AA114" i="3"/>
  <c r="AA66" i="3"/>
  <c r="AA50" i="3"/>
  <c r="AA34" i="3"/>
  <c r="AA18" i="3"/>
  <c r="Z10" i="3"/>
  <c r="Y10" i="3"/>
  <c r="Z207" i="3"/>
  <c r="Z199" i="3"/>
  <c r="Z191" i="3"/>
  <c r="Z183" i="3"/>
  <c r="Z175" i="3"/>
  <c r="Z167" i="3"/>
  <c r="Z159" i="3"/>
  <c r="Z151" i="3"/>
  <c r="Z143" i="3"/>
  <c r="Z135" i="3"/>
  <c r="Z127" i="3"/>
  <c r="Z119" i="3"/>
  <c r="Z111" i="3"/>
  <c r="Z103" i="3"/>
  <c r="Z95" i="3"/>
  <c r="Z87" i="3"/>
  <c r="Z79" i="3"/>
  <c r="Z71" i="3"/>
  <c r="Z63" i="3"/>
  <c r="Z55" i="3"/>
  <c r="Z47" i="3"/>
  <c r="Z39" i="3"/>
  <c r="Z31" i="3"/>
  <c r="Z23" i="3"/>
  <c r="Z15" i="3"/>
  <c r="Z4" i="3"/>
  <c r="AA208" i="3"/>
  <c r="AA200" i="3"/>
  <c r="AA192" i="3"/>
  <c r="AA184" i="3"/>
  <c r="AA176" i="3"/>
  <c r="AA168" i="3"/>
  <c r="AA160" i="3"/>
  <c r="AA152" i="3"/>
  <c r="AA144" i="3"/>
  <c r="AA136" i="3"/>
  <c r="AA128" i="3"/>
  <c r="AA120" i="3"/>
  <c r="AA112" i="3"/>
  <c r="AA104" i="3"/>
  <c r="AA96" i="3"/>
  <c r="AA88" i="3"/>
  <c r="AA80" i="3"/>
  <c r="AA72" i="3"/>
  <c r="AA64" i="3"/>
  <c r="AA56" i="3"/>
  <c r="AA48" i="3"/>
  <c r="AA40" i="3"/>
  <c r="AA32" i="3"/>
  <c r="AA24" i="3"/>
  <c r="AA16" i="3"/>
  <c r="AA8" i="3"/>
  <c r="Z161" i="3"/>
  <c r="Z105" i="3"/>
  <c r="Z57" i="3"/>
  <c r="AA210" i="3"/>
  <c r="AA138" i="3"/>
  <c r="AA90" i="3"/>
  <c r="Z2" i="3"/>
  <c r="Z206" i="3"/>
  <c r="Z198" i="3"/>
  <c r="Z190" i="3"/>
  <c r="Z182" i="3"/>
  <c r="Z174" i="3"/>
  <c r="Z166" i="3"/>
  <c r="Z158" i="3"/>
  <c r="Z150" i="3"/>
  <c r="Z142" i="3"/>
  <c r="Z134" i="3"/>
  <c r="Z126" i="3"/>
  <c r="Z118" i="3"/>
  <c r="Z110" i="3"/>
  <c r="Z102" i="3"/>
  <c r="Z94" i="3"/>
  <c r="Z86" i="3"/>
  <c r="Z78" i="3"/>
  <c r="Z70" i="3"/>
  <c r="Z62" i="3"/>
  <c r="Z54" i="3"/>
  <c r="Z46" i="3"/>
  <c r="Z38" i="3"/>
  <c r="Z30" i="3"/>
  <c r="Z22" i="3"/>
  <c r="Z14" i="3"/>
  <c r="Z3" i="3"/>
  <c r="AA207" i="3"/>
  <c r="AA199" i="3"/>
  <c r="AA191" i="3"/>
  <c r="AA183" i="3"/>
  <c r="AA175" i="3"/>
  <c r="AA167" i="3"/>
  <c r="AA159" i="3"/>
  <c r="AA151" i="3"/>
  <c r="AA143" i="3"/>
  <c r="AA135" i="3"/>
  <c r="AA127" i="3"/>
  <c r="AA119" i="3"/>
  <c r="AA111" i="3"/>
  <c r="AA103" i="3"/>
  <c r="AA95" i="3"/>
  <c r="AA87" i="3"/>
  <c r="AA79" i="3"/>
  <c r="AA71" i="3"/>
  <c r="AA63" i="3"/>
  <c r="AA55" i="3"/>
  <c r="AA47" i="3"/>
  <c r="AA39" i="3"/>
  <c r="AA31" i="3"/>
  <c r="AA23" i="3"/>
  <c r="AA15" i="3"/>
  <c r="AA7" i="3"/>
  <c r="Z7" i="3"/>
  <c r="Z177" i="3"/>
  <c r="Z129" i="3"/>
  <c r="Z65" i="3"/>
  <c r="Z6" i="3"/>
  <c r="AA170" i="3"/>
  <c r="AA106" i="3"/>
  <c r="Y8" i="3"/>
  <c r="Z213" i="3"/>
  <c r="Z205" i="3"/>
  <c r="Z197" i="3"/>
  <c r="Z189" i="3"/>
  <c r="Z181" i="3"/>
  <c r="Z173" i="3"/>
  <c r="Z165" i="3"/>
  <c r="Z157" i="3"/>
  <c r="Z149" i="3"/>
  <c r="Z141" i="3"/>
  <c r="Z133" i="3"/>
  <c r="Z125" i="3"/>
  <c r="Z117" i="3"/>
  <c r="Z109" i="3"/>
  <c r="Z101" i="3"/>
  <c r="Z93" i="3"/>
  <c r="Z85" i="3"/>
  <c r="Z77" i="3"/>
  <c r="Z69" i="3"/>
  <c r="Z61" i="3"/>
  <c r="Z53" i="3"/>
  <c r="Z45" i="3"/>
  <c r="Z37" i="3"/>
  <c r="Z29" i="3"/>
  <c r="Z21" i="3"/>
  <c r="Z13" i="3"/>
  <c r="AA2" i="3"/>
  <c r="AA206" i="3"/>
  <c r="AA198" i="3"/>
  <c r="AA190" i="3"/>
  <c r="AA182" i="3"/>
  <c r="AA174" i="3"/>
  <c r="AA166" i="3"/>
  <c r="AA158" i="3"/>
  <c r="AA150" i="3"/>
  <c r="AA142" i="3"/>
  <c r="AA134" i="3"/>
  <c r="AA126" i="3"/>
  <c r="AA118" i="3"/>
  <c r="AA110" i="3"/>
  <c r="AA102" i="3"/>
  <c r="AA94" i="3"/>
  <c r="AA86" i="3"/>
  <c r="AA78" i="3"/>
  <c r="AA70" i="3"/>
  <c r="AA62" i="3"/>
  <c r="AA54" i="3"/>
  <c r="AA46" i="3"/>
  <c r="AA38" i="3"/>
  <c r="AA30" i="3"/>
  <c r="AA22" i="3"/>
  <c r="AA14" i="3"/>
  <c r="Z185" i="3"/>
  <c r="Z113" i="3"/>
  <c r="Z41" i="3"/>
  <c r="AA130" i="3"/>
  <c r="AB9" i="3"/>
  <c r="AB17" i="3"/>
  <c r="AB25" i="3"/>
  <c r="AB33" i="3"/>
  <c r="AB41" i="3"/>
  <c r="AB49" i="3"/>
  <c r="AB57" i="3"/>
  <c r="AB65" i="3"/>
  <c r="AB73" i="3"/>
  <c r="AB81" i="3"/>
  <c r="AB89" i="3"/>
  <c r="AB97" i="3"/>
  <c r="AB105" i="3"/>
  <c r="AB113" i="3"/>
  <c r="AB121" i="3"/>
  <c r="AB129" i="3"/>
  <c r="AB137" i="3"/>
  <c r="AB145" i="3"/>
  <c r="AB153" i="3"/>
  <c r="AB161" i="3"/>
  <c r="AB169" i="3"/>
  <c r="AB177" i="3"/>
  <c r="AB185" i="3"/>
  <c r="AB193" i="3"/>
  <c r="AB201" i="3"/>
  <c r="AB209" i="3"/>
  <c r="AB18" i="3"/>
  <c r="AB26" i="3"/>
  <c r="AB34" i="3"/>
  <c r="AB50" i="3"/>
  <c r="AB82" i="3"/>
  <c r="AB130" i="3"/>
  <c r="AB170" i="3"/>
  <c r="AB210" i="3"/>
  <c r="AB10" i="3"/>
  <c r="AB42" i="3"/>
  <c r="AB90" i="3"/>
  <c r="AB98" i="3"/>
  <c r="AB122" i="3"/>
  <c r="AB178" i="3"/>
  <c r="AB3" i="3"/>
  <c r="AB11" i="3"/>
  <c r="AB19" i="3"/>
  <c r="AB27" i="3"/>
  <c r="AB35" i="3"/>
  <c r="AB43" i="3"/>
  <c r="AB51" i="3"/>
  <c r="AB59" i="3"/>
  <c r="AB67" i="3"/>
  <c r="AB75" i="3"/>
  <c r="AB83" i="3"/>
  <c r="AB91" i="3"/>
  <c r="AB99" i="3"/>
  <c r="AB107" i="3"/>
  <c r="AB115" i="3"/>
  <c r="AB123" i="3"/>
  <c r="AB131" i="3"/>
  <c r="AB139" i="3"/>
  <c r="AB147" i="3"/>
  <c r="AB155" i="3"/>
  <c r="AB163" i="3"/>
  <c r="AB171" i="3"/>
  <c r="AB179" i="3"/>
  <c r="AB187" i="3"/>
  <c r="AB195" i="3"/>
  <c r="AB203" i="3"/>
  <c r="AB211" i="3"/>
  <c r="AB4" i="3"/>
  <c r="AB12" i="3"/>
  <c r="AB20" i="3"/>
  <c r="AB28" i="3"/>
  <c r="AB36" i="3"/>
  <c r="AB44" i="3"/>
  <c r="AB52" i="3"/>
  <c r="AB68" i="3"/>
  <c r="AB76" i="3"/>
  <c r="AB84" i="3"/>
  <c r="AB92" i="3"/>
  <c r="AB100" i="3"/>
  <c r="AB116" i="3"/>
  <c r="AB124" i="3"/>
  <c r="AB156" i="3"/>
  <c r="AB180" i="3"/>
  <c r="AB196" i="3"/>
  <c r="AB60" i="3"/>
  <c r="AB108" i="3"/>
  <c r="AB132" i="3"/>
  <c r="AB140" i="3"/>
  <c r="AB148" i="3"/>
  <c r="AB164" i="3"/>
  <c r="AB172" i="3"/>
  <c r="AB188" i="3"/>
  <c r="AB204" i="3"/>
  <c r="AB212" i="3"/>
  <c r="AB5" i="3"/>
  <c r="AB13" i="3"/>
  <c r="AB21" i="3"/>
  <c r="AB29" i="3"/>
  <c r="AB37" i="3"/>
  <c r="AB45" i="3"/>
  <c r="AB53" i="3"/>
  <c r="AB61" i="3"/>
  <c r="AB69" i="3"/>
  <c r="AB77" i="3"/>
  <c r="AB85" i="3"/>
  <c r="AB93" i="3"/>
  <c r="AB101" i="3"/>
  <c r="AB109" i="3"/>
  <c r="AB117" i="3"/>
  <c r="AB125" i="3"/>
  <c r="AB133" i="3"/>
  <c r="AB141" i="3"/>
  <c r="AB149" i="3"/>
  <c r="AB157" i="3"/>
  <c r="AB165" i="3"/>
  <c r="AB173" i="3"/>
  <c r="AB181" i="3"/>
  <c r="AB189" i="3"/>
  <c r="AB197" i="3"/>
  <c r="AB205" i="3"/>
  <c r="AB213" i="3"/>
  <c r="AB58" i="3"/>
  <c r="AB146" i="3"/>
  <c r="AB186" i="3"/>
  <c r="AB6" i="3"/>
  <c r="AB14" i="3"/>
  <c r="AB22" i="3"/>
  <c r="AB30" i="3"/>
  <c r="AB38" i="3"/>
  <c r="AB46" i="3"/>
  <c r="AB54" i="3"/>
  <c r="AB62" i="3"/>
  <c r="AB70" i="3"/>
  <c r="AB78" i="3"/>
  <c r="AB86" i="3"/>
  <c r="AB94" i="3"/>
  <c r="AB102" i="3"/>
  <c r="AB110" i="3"/>
  <c r="AB118" i="3"/>
  <c r="AB126" i="3"/>
  <c r="AB134" i="3"/>
  <c r="AB142" i="3"/>
  <c r="AB150" i="3"/>
  <c r="AB158" i="3"/>
  <c r="AB166" i="3"/>
  <c r="AB174" i="3"/>
  <c r="AB182" i="3"/>
  <c r="AB190" i="3"/>
  <c r="AB198" i="3"/>
  <c r="AB206" i="3"/>
  <c r="AB2" i="3"/>
  <c r="AB8" i="3"/>
  <c r="AB24" i="3"/>
  <c r="AB40" i="3"/>
  <c r="AB56" i="3"/>
  <c r="AB80" i="3"/>
  <c r="AB104" i="3"/>
  <c r="AB120" i="3"/>
  <c r="AB136" i="3"/>
  <c r="AB152" i="3"/>
  <c r="AB168" i="3"/>
  <c r="AB184" i="3"/>
  <c r="AB200" i="3"/>
  <c r="AB66" i="3"/>
  <c r="AB106" i="3"/>
  <c r="AB138" i="3"/>
  <c r="AB162" i="3"/>
  <c r="AB202" i="3"/>
  <c r="AB7" i="3"/>
  <c r="AB15" i="3"/>
  <c r="AB23" i="3"/>
  <c r="AB31" i="3"/>
  <c r="AB39" i="3"/>
  <c r="AB47" i="3"/>
  <c r="AB55" i="3"/>
  <c r="AB63" i="3"/>
  <c r="AB71" i="3"/>
  <c r="AB79" i="3"/>
  <c r="AB87" i="3"/>
  <c r="AB95" i="3"/>
  <c r="AB103" i="3"/>
  <c r="AB111" i="3"/>
  <c r="AB119" i="3"/>
  <c r="AB127" i="3"/>
  <c r="AB135" i="3"/>
  <c r="AB143" i="3"/>
  <c r="AB151" i="3"/>
  <c r="AB159" i="3"/>
  <c r="AB167" i="3"/>
  <c r="AB175" i="3"/>
  <c r="AB183" i="3"/>
  <c r="AB191" i="3"/>
  <c r="AB199" i="3"/>
  <c r="AB207" i="3"/>
  <c r="AB16" i="3"/>
  <c r="AB32" i="3"/>
  <c r="AB48" i="3"/>
  <c r="AB64" i="3"/>
  <c r="AB72" i="3"/>
  <c r="AB88" i="3"/>
  <c r="AB96" i="3"/>
  <c r="AB112" i="3"/>
  <c r="AB128" i="3"/>
  <c r="AB144" i="3"/>
  <c r="AB160" i="3"/>
  <c r="AB176" i="3"/>
  <c r="AB192" i="3"/>
  <c r="AB208" i="3"/>
  <c r="AB74" i="3"/>
  <c r="AB114" i="3"/>
  <c r="AB154" i="3"/>
  <c r="AB194" i="3"/>
  <c r="Y7" i="3"/>
  <c r="Z212" i="3"/>
  <c r="Z204" i="3"/>
  <c r="Z196" i="3"/>
  <c r="Z188" i="3"/>
  <c r="Z180" i="3"/>
  <c r="Z172" i="3"/>
  <c r="Z164" i="3"/>
  <c r="Z156" i="3"/>
  <c r="Z148" i="3"/>
  <c r="Z140" i="3"/>
  <c r="Z132" i="3"/>
  <c r="Z124" i="3"/>
  <c r="Z116" i="3"/>
  <c r="Z108" i="3"/>
  <c r="Z100" i="3"/>
  <c r="Z92" i="3"/>
  <c r="Z84" i="3"/>
  <c r="Z76" i="3"/>
  <c r="Z68" i="3"/>
  <c r="Z60" i="3"/>
  <c r="Z52" i="3"/>
  <c r="Z44" i="3"/>
  <c r="Z36" i="3"/>
  <c r="Z28" i="3"/>
  <c r="Z20" i="3"/>
  <c r="Z12" i="3"/>
  <c r="AA213" i="3"/>
  <c r="AA205" i="3"/>
  <c r="AA197" i="3"/>
  <c r="AA189" i="3"/>
  <c r="AA181" i="3"/>
  <c r="AA173" i="3"/>
  <c r="AA165" i="3"/>
  <c r="AA157" i="3"/>
  <c r="AA149" i="3"/>
  <c r="AA141" i="3"/>
  <c r="AA133" i="3"/>
  <c r="AA125" i="3"/>
  <c r="AA117" i="3"/>
  <c r="AA109" i="3"/>
  <c r="AA101" i="3"/>
  <c r="AA93" i="3"/>
  <c r="AA85" i="3"/>
  <c r="AA77" i="3"/>
  <c r="AA69" i="3"/>
  <c r="AA61" i="3"/>
  <c r="AA53" i="3"/>
  <c r="AA45" i="3"/>
  <c r="AA37" i="3"/>
  <c r="AA29" i="3"/>
  <c r="AA21" i="3"/>
  <c r="AA13" i="3"/>
  <c r="AA5" i="3"/>
  <c r="Z201" i="3"/>
  <c r="Z145" i="3"/>
  <c r="Z81" i="3"/>
  <c r="Z17" i="3"/>
  <c r="AA178" i="3"/>
  <c r="AA98" i="3"/>
  <c r="Y14" i="3"/>
  <c r="Z211" i="3"/>
  <c r="Z203" i="3"/>
  <c r="Z195" i="3"/>
  <c r="Z187" i="3"/>
  <c r="Z179" i="3"/>
  <c r="Z171" i="3"/>
  <c r="Z163" i="3"/>
  <c r="Z155" i="3"/>
  <c r="Z147" i="3"/>
  <c r="Z139" i="3"/>
  <c r="Z131" i="3"/>
  <c r="Z123" i="3"/>
  <c r="Z115" i="3"/>
  <c r="Z107" i="3"/>
  <c r="Z99" i="3"/>
  <c r="Z91" i="3"/>
  <c r="Z83" i="3"/>
  <c r="Z75" i="3"/>
  <c r="Z67" i="3"/>
  <c r="Z59" i="3"/>
  <c r="Z51" i="3"/>
  <c r="Z43" i="3"/>
  <c r="Z35" i="3"/>
  <c r="Z27" i="3"/>
  <c r="Z19" i="3"/>
  <c r="Z11" i="3"/>
  <c r="AA212" i="3"/>
  <c r="AA204" i="3"/>
  <c r="AA196" i="3"/>
  <c r="AA188" i="3"/>
  <c r="AA180" i="3"/>
  <c r="AA172" i="3"/>
  <c r="AA164" i="3"/>
  <c r="AA156" i="3"/>
  <c r="AA148" i="3"/>
  <c r="AA140" i="3"/>
  <c r="AA132" i="3"/>
  <c r="AA124" i="3"/>
  <c r="AA116" i="3"/>
  <c r="AA108" i="3"/>
  <c r="AA100" i="3"/>
  <c r="AA92" i="3"/>
  <c r="AA84" i="3"/>
  <c r="AA76" i="3"/>
  <c r="AA68" i="3"/>
  <c r="AA60" i="3"/>
  <c r="AA52" i="3"/>
  <c r="AA44" i="3"/>
  <c r="AA36" i="3"/>
  <c r="AA28" i="3"/>
  <c r="AA20" i="3"/>
  <c r="AA12" i="3"/>
  <c r="AA4" i="3"/>
  <c r="Z209" i="3"/>
  <c r="Z153" i="3"/>
  <c r="Z97" i="3"/>
  <c r="Z49" i="3"/>
  <c r="AA202" i="3"/>
  <c r="AA146" i="3"/>
  <c r="Z210" i="3"/>
  <c r="Z202" i="3"/>
  <c r="Z194" i="3"/>
  <c r="Z186" i="3"/>
  <c r="Z178" i="3"/>
  <c r="Z170" i="3"/>
  <c r="Z162" i="3"/>
  <c r="Z154" i="3"/>
  <c r="Z146" i="3"/>
  <c r="Z138" i="3"/>
  <c r="Z130" i="3"/>
  <c r="Z122" i="3"/>
  <c r="Z114" i="3"/>
  <c r="Z106" i="3"/>
  <c r="Z98" i="3"/>
  <c r="Z90" i="3"/>
  <c r="Z82" i="3"/>
  <c r="Z74" i="3"/>
  <c r="Z66" i="3"/>
  <c r="Z58" i="3"/>
  <c r="Z50" i="3"/>
  <c r="Z42" i="3"/>
  <c r="Z34" i="3"/>
  <c r="Z26" i="3"/>
  <c r="Z18" i="3"/>
  <c r="Z8" i="3"/>
  <c r="AA211" i="3"/>
  <c r="AA203" i="3"/>
  <c r="AA195" i="3"/>
  <c r="AA187" i="3"/>
  <c r="AA179" i="3"/>
  <c r="AA171" i="3"/>
  <c r="AA163" i="3"/>
  <c r="AA155" i="3"/>
  <c r="AA147" i="3"/>
  <c r="AA139" i="3"/>
  <c r="AA131" i="3"/>
  <c r="AA123" i="3"/>
  <c r="AA115" i="3"/>
  <c r="AA107" i="3"/>
  <c r="AA99" i="3"/>
  <c r="AA91" i="3"/>
  <c r="AA83" i="3"/>
  <c r="AA75" i="3"/>
  <c r="AA67" i="3"/>
  <c r="AA59" i="3"/>
  <c r="AA51" i="3"/>
  <c r="AA43" i="3"/>
  <c r="AA35" i="3"/>
  <c r="AA27" i="3"/>
  <c r="AA19" i="3"/>
  <c r="AA11" i="3"/>
  <c r="AA3" i="3"/>
  <c r="Y4" i="3"/>
  <c r="Y13" i="3"/>
  <c r="Y5" i="3"/>
  <c r="Y9" i="3"/>
  <c r="Y12" i="3"/>
  <c r="Y3" i="3"/>
  <c r="Y2" i="3"/>
  <c r="Y43" i="3"/>
  <c r="Y50" i="3"/>
  <c r="Y202" i="3"/>
  <c r="Y106" i="3"/>
  <c r="Y74" i="3"/>
  <c r="Y201" i="3"/>
  <c r="Y129" i="3"/>
  <c r="Y192" i="3"/>
  <c r="Y184" i="3"/>
  <c r="Y120" i="3"/>
  <c r="Y104" i="3"/>
  <c r="Y72" i="3"/>
  <c r="Y29" i="3"/>
  <c r="Y36" i="3"/>
  <c r="Y71" i="3"/>
  <c r="Y28" i="3"/>
  <c r="Y198" i="3"/>
  <c r="Y166" i="3"/>
  <c r="Y126" i="3"/>
  <c r="Y118" i="3"/>
  <c r="Y62" i="3"/>
  <c r="Y54" i="3"/>
  <c r="Y141" i="3"/>
  <c r="Y93" i="3"/>
  <c r="Y69" i="3"/>
  <c r="Y45" i="3"/>
  <c r="Y180" i="3"/>
  <c r="Y92" i="3"/>
  <c r="Y33" i="3"/>
  <c r="Y163" i="3"/>
  <c r="W2" i="2"/>
  <c r="Y124" i="3"/>
  <c r="Y102" i="3"/>
  <c r="Y30" i="3"/>
  <c r="Y105" i="3"/>
  <c r="Y169" i="3"/>
  <c r="Y31" i="3"/>
  <c r="Y170" i="3"/>
  <c r="Y32" i="3"/>
  <c r="Y83" i="3"/>
  <c r="Y147" i="3"/>
  <c r="Y211" i="3"/>
  <c r="Y68" i="3"/>
  <c r="Y132" i="3"/>
  <c r="Y196" i="3"/>
  <c r="Y53" i="3"/>
  <c r="Y117" i="3"/>
  <c r="Y181" i="3"/>
  <c r="Y46" i="3"/>
  <c r="Y110" i="3"/>
  <c r="Y174" i="3"/>
  <c r="Y47" i="3"/>
  <c r="Y111" i="3"/>
  <c r="Y175" i="3"/>
  <c r="Y48" i="3"/>
  <c r="Y112" i="3"/>
  <c r="Y176" i="3"/>
  <c r="Y49" i="3"/>
  <c r="Y113" i="3"/>
  <c r="Y177" i="3"/>
  <c r="Y15" i="3"/>
  <c r="Y114" i="3"/>
  <c r="Y178" i="3"/>
  <c r="Y16" i="3"/>
  <c r="Y60" i="3"/>
  <c r="Y19" i="3"/>
  <c r="Y61" i="3"/>
  <c r="Y99" i="3"/>
  <c r="Y84" i="3"/>
  <c r="Y148" i="3"/>
  <c r="Y212" i="3"/>
  <c r="Y133" i="3"/>
  <c r="Y197" i="3"/>
  <c r="Y63" i="3"/>
  <c r="Y127" i="3"/>
  <c r="Y64" i="3"/>
  <c r="Y128" i="3"/>
  <c r="Y193" i="3"/>
  <c r="Y66" i="3"/>
  <c r="Y130" i="3"/>
  <c r="Y194" i="3"/>
  <c r="Y75" i="3"/>
  <c r="Y168" i="3"/>
  <c r="Y107" i="3"/>
  <c r="Y171" i="3"/>
  <c r="Y156" i="3"/>
  <c r="Y41" i="3"/>
  <c r="Y77" i="3"/>
  <c r="Y205" i="3"/>
  <c r="Y70" i="3"/>
  <c r="Y134" i="3"/>
  <c r="Y135" i="3"/>
  <c r="Y199" i="3"/>
  <c r="Y136" i="3"/>
  <c r="Y200" i="3"/>
  <c r="Y73" i="3"/>
  <c r="Y137" i="3"/>
  <c r="Y138" i="3"/>
  <c r="Y139" i="3"/>
  <c r="Y109" i="3"/>
  <c r="Y167" i="3"/>
  <c r="Y189" i="3"/>
  <c r="Y119" i="3"/>
  <c r="Y51" i="3"/>
  <c r="Y115" i="3"/>
  <c r="Y179" i="3"/>
  <c r="Y17" i="3"/>
  <c r="Y100" i="3"/>
  <c r="Y164" i="3"/>
  <c r="Y26" i="3"/>
  <c r="Y85" i="3"/>
  <c r="Y149" i="3"/>
  <c r="Y213" i="3"/>
  <c r="Y78" i="3"/>
  <c r="Y142" i="3"/>
  <c r="Y206" i="3"/>
  <c r="Y79" i="3"/>
  <c r="Y143" i="3"/>
  <c r="Y207" i="3"/>
  <c r="Y80" i="3"/>
  <c r="Y144" i="3"/>
  <c r="Y208" i="3"/>
  <c r="Y81" i="3"/>
  <c r="Y145" i="3"/>
  <c r="Y209" i="3"/>
  <c r="Y82" i="3"/>
  <c r="Y146" i="3"/>
  <c r="Y210" i="3"/>
  <c r="Y188" i="3"/>
  <c r="Y91" i="3"/>
  <c r="Y123" i="3"/>
  <c r="Y172" i="3"/>
  <c r="Y86" i="3"/>
  <c r="Y151" i="3"/>
  <c r="Y152" i="3"/>
  <c r="Y37" i="3"/>
  <c r="Y38" i="3"/>
  <c r="Y90" i="3"/>
  <c r="Y154" i="3"/>
  <c r="Y203" i="3"/>
  <c r="Y173" i="3"/>
  <c r="Y125" i="3"/>
  <c r="Y55" i="3"/>
  <c r="Y57" i="3"/>
  <c r="Y44" i="3"/>
  <c r="Y67" i="3"/>
  <c r="Y52" i="3"/>
  <c r="Y101" i="3"/>
  <c r="Y165" i="3"/>
  <c r="Y158" i="3"/>
  <c r="Y95" i="3"/>
  <c r="Y21" i="3"/>
  <c r="Y96" i="3"/>
  <c r="Y161" i="3"/>
  <c r="Y23" i="3"/>
  <c r="Y98" i="3"/>
  <c r="Y24" i="3"/>
  <c r="F3" i="2"/>
  <c r="F4" i="2"/>
  <c r="F5" i="2"/>
  <c r="F6" i="2"/>
  <c r="F7" i="2"/>
  <c r="G2" i="2"/>
  <c r="F2" i="2"/>
  <c r="U2" i="2"/>
  <c r="AA2" i="2"/>
  <c r="V2" i="2"/>
  <c r="J2" i="2"/>
  <c r="K2" i="2"/>
  <c r="Q2" i="2"/>
  <c r="P2" i="2"/>
  <c r="O2" i="2"/>
  <c r="M2" i="2"/>
  <c r="L2" i="2"/>
  <c r="R2" i="2"/>
  <c r="N2" i="2"/>
  <c r="T2" i="2"/>
  <c r="S2" i="2"/>
  <c r="B7" i="7" l="1"/>
  <c r="B8" i="7"/>
  <c r="B6" i="7"/>
  <c r="Y59" i="3"/>
  <c r="Y131" i="3"/>
  <c r="Y155" i="3"/>
  <c r="Y187" i="3"/>
  <c r="Y195" i="3"/>
  <c r="Y40" i="3"/>
  <c r="Y76" i="3"/>
  <c r="Y108" i="3"/>
  <c r="Y116" i="3"/>
  <c r="Y140" i="3"/>
  <c r="Y204" i="3"/>
  <c r="Y34" i="3"/>
  <c r="Y18" i="3"/>
  <c r="Y157" i="3"/>
  <c r="Y42" i="3"/>
  <c r="Y27" i="3"/>
  <c r="Y94" i="3"/>
  <c r="Y150" i="3"/>
  <c r="Y182" i="3"/>
  <c r="Y35" i="3"/>
  <c r="Y20" i="3"/>
  <c r="Y87" i="3"/>
  <c r="Y159" i="3"/>
  <c r="Y183" i="3"/>
  <c r="Y56" i="3"/>
  <c r="Y88" i="3"/>
  <c r="Y160" i="3"/>
  <c r="Y22" i="3"/>
  <c r="Y89" i="3"/>
  <c r="Y97" i="3"/>
  <c r="Y121" i="3"/>
  <c r="Y153" i="3"/>
  <c r="Y185" i="3"/>
  <c r="Y58" i="3"/>
  <c r="Y122" i="3"/>
  <c r="Y162" i="3"/>
  <c r="Y186" i="3"/>
  <c r="Y39" i="3"/>
  <c r="Y6" i="3"/>
  <c r="C3" i="7"/>
  <c r="Y65" i="3"/>
  <c r="Y25" i="3"/>
  <c r="Y191" i="3"/>
  <c r="Y190" i="3"/>
  <c r="Y103" i="3"/>
  <c r="B5" i="7" l="1"/>
  <c r="H2" i="7" s="1"/>
</calcChain>
</file>

<file path=xl/sharedStrings.xml><?xml version="1.0" encoding="utf-8"?>
<sst xmlns="http://schemas.openxmlformats.org/spreadsheetml/2006/main" count="437" uniqueCount="62">
  <si>
    <t>SALES NO</t>
  </si>
  <si>
    <t xml:space="preserve">COIL NO </t>
  </si>
  <si>
    <t>SPEC</t>
  </si>
  <si>
    <t>COAT</t>
  </si>
  <si>
    <t xml:space="preserve">THICK </t>
  </si>
  <si>
    <t xml:space="preserve">WIDTH </t>
  </si>
  <si>
    <t>LENGTH</t>
  </si>
  <si>
    <t xml:space="preserve">WT </t>
  </si>
  <si>
    <t xml:space="preserve">unit price </t>
  </si>
  <si>
    <t>INVOICE NO</t>
  </si>
  <si>
    <t>S.NO</t>
  </si>
  <si>
    <t>SPEC COAT</t>
  </si>
  <si>
    <t>First Space</t>
  </si>
  <si>
    <t>Second Space</t>
  </si>
  <si>
    <t>Third Space</t>
  </si>
  <si>
    <t>Fourth Space</t>
  </si>
  <si>
    <t>Fifth space</t>
  </si>
  <si>
    <t>sixth Space</t>
  </si>
  <si>
    <t>Total Value</t>
  </si>
  <si>
    <t>No of Coil</t>
  </si>
  <si>
    <t>Date</t>
  </si>
  <si>
    <t>Unit Price</t>
  </si>
  <si>
    <t>Invoice No</t>
  </si>
  <si>
    <t>Pallet</t>
  </si>
  <si>
    <t>Coil No</t>
  </si>
  <si>
    <t>BOE SPEC</t>
  </si>
  <si>
    <t>IGST</t>
  </si>
  <si>
    <t>S.No</t>
  </si>
  <si>
    <t>HSN</t>
  </si>
  <si>
    <t>ITEM</t>
  </si>
  <si>
    <t>Price</t>
  </si>
  <si>
    <t>NetWT</t>
  </si>
  <si>
    <t>Total Amount</t>
  </si>
  <si>
    <t>SWS</t>
  </si>
  <si>
    <t>BCD</t>
  </si>
  <si>
    <t>Status</t>
  </si>
  <si>
    <t>Invoice Spec</t>
  </si>
  <si>
    <t>Invoice Size</t>
  </si>
  <si>
    <t>BOE Netwt Status</t>
  </si>
  <si>
    <t>BOE Price</t>
  </si>
  <si>
    <t>Specification</t>
  </si>
  <si>
    <t>Line Items</t>
  </si>
  <si>
    <t>Size</t>
  </si>
  <si>
    <t>Total Price</t>
  </si>
  <si>
    <t>Net Wt</t>
  </si>
  <si>
    <t>BOE Total Price</t>
  </si>
  <si>
    <t>Parameter</t>
  </si>
  <si>
    <t>Final BOE VS Invoice Validation Status</t>
  </si>
  <si>
    <t>BOE IGST</t>
  </si>
  <si>
    <t>BOE SWS</t>
  </si>
  <si>
    <t>BOE BCD</t>
  </si>
  <si>
    <t>BOE EXCHANGE RATE</t>
  </si>
  <si>
    <t>BOE HSN</t>
  </si>
  <si>
    <t>PO No</t>
  </si>
  <si>
    <t>Invoice Spec Status</t>
  </si>
  <si>
    <t>Invoice Size Status</t>
  </si>
  <si>
    <t/>
  </si>
  <si>
    <t>IGST PERCENT</t>
  </si>
  <si>
    <t>SWS Percent</t>
  </si>
  <si>
    <t>BCD Percent</t>
  </si>
  <si>
    <t>TAX CODE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</si>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</sst>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i/>
      <sz val="12"/>
      <color rgb="FFDD0055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 indent="1"/>
    </xf>
    <xf numFmtId="14" fontId="2" fillId="0" borderId="0" xfId="0" applyNumberFormat="1" applyFont="1" applyAlignment="1">
      <alignment horizontal="left" vertical="center" indent="1"/>
    </xf>
    <xf numFmtId="0" fontId="3" fillId="0" borderId="0" xfId="0" applyFont="1"/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 vertical="center"/>
    </xf>
    <xf numFmtId="4" fontId="0" fillId="0" borderId="0" xfId="0" applyNumberFormat="1"/>
    <xf numFmtId="0" fontId="0" fillId="2" borderId="1" xfId="0" applyFill="1" applyBorder="1"/>
    <xf numFmtId="0" fontId="1" fillId="2" borderId="1" xfId="0" applyFont="1" applyFill="1" applyBorder="1"/>
    <xf numFmtId="0" fontId="0" fillId="4" borderId="1" xfId="0" applyFill="1" applyBorder="1"/>
    <xf numFmtId="0" fontId="0" fillId="2" borderId="1" xfId="0" applyFont="1" applyFill="1" applyBorder="1"/>
    <xf numFmtId="0" fontId="1" fillId="3" borderId="1" xfId="0" applyFont="1" applyFill="1" applyBorder="1"/>
    <xf numFmtId="0" fontId="1" fillId="5" borderId="1" xfId="0" applyFont="1" applyFill="1" applyBorder="1"/>
    <xf numFmtId="0" fontId="0" fillId="0" borderId="0" xfId="1" applyNumberFormat="1" applyFont="1"/>
    <xf numFmtId="0" fontId="0" fillId="2" borderId="2" xfId="0" applyFont="1" applyFill="1" applyBorder="1"/>
  </cellXfs>
  <cellStyles count="2">
    <cellStyle name="Normal" xfId="0" builtinId="0"/>
    <cellStyle name="Percent" xfId="1" builtinId="5"/>
  </cellStyles>
  <dxfs count="1"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6"/>
  <sheetViews>
    <sheetView workbookViewId="0"/>
  </sheetViews>
  <sheetFormatPr defaultRowHeight="15" x14ac:dyDescent="0.25"/>
  <cols>
    <col min="1" max="1" width="96" bestFit="1" customWidth="1"/>
    <col min="2" max="2" width="37.140625" bestFit="1" customWidth="1"/>
  </cols>
  <sheetData>
    <row r="1" spans="2:4" x14ac:dyDescent="0.25">
      <c r="B1" s="3"/>
    </row>
    <row r="6" spans="2:4" x14ac:dyDescent="0.25">
      <c r="D6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AA7"/>
  <sheetViews>
    <sheetView workbookViewId="0"/>
  </sheetViews>
  <sheetFormatPr defaultRowHeight="15" x14ac:dyDescent="0.25"/>
  <cols>
    <col min="1" max="1" width="32.7109375" bestFit="1" customWidth="1"/>
    <col min="5" max="5" width="13.140625" bestFit="1" customWidth="1"/>
    <col min="6" max="6" width="31.28515625" bestFit="1" customWidth="1"/>
    <col min="10" max="10" width="30.7109375" bestFit="1" customWidth="1"/>
    <col min="11" max="11" width="30.7109375" customWidth="1"/>
    <col min="13" max="13" width="10.85546875" bestFit="1" customWidth="1"/>
    <col min="21" max="21" width="11.7109375" bestFit="1" customWidth="1"/>
    <col min="22" max="22" width="19.28515625" bestFit="1" customWidth="1"/>
    <col min="24" max="24" width="12.42578125" bestFit="1" customWidth="1"/>
    <col min="31" max="31" width="10.42578125" bestFit="1" customWidth="1"/>
  </cols>
  <sheetData>
    <row r="1" spans="5:27" x14ac:dyDescent="0.25">
      <c r="G1" t="s">
        <v>11</v>
      </c>
      <c r="I1" s="1"/>
      <c r="J1" s="1" t="s">
        <v>0</v>
      </c>
      <c r="K1" s="1" t="s">
        <v>19</v>
      </c>
      <c r="L1" s="1" t="s">
        <v>1</v>
      </c>
      <c r="M1" s="1" t="s">
        <v>2</v>
      </c>
      <c r="N1" s="1" t="s">
        <v>3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18</v>
      </c>
      <c r="U1" s="1" t="s">
        <v>9</v>
      </c>
      <c r="V1" s="1" t="s">
        <v>23</v>
      </c>
      <c r="W1" s="1" t="s">
        <v>24</v>
      </c>
      <c r="X1" s="1" t="s">
        <v>20</v>
      </c>
    </row>
    <row r="2" spans="5:27" x14ac:dyDescent="0.25">
      <c r="E2" t="s">
        <v>12</v>
      </c>
      <c r="F2" t="e">
        <f>LEFT(A8,(FIND(" ",A8,1)-1))</f>
        <v>#VALUE!</v>
      </c>
      <c r="G2" t="e">
        <f>LEFT(A5,(FIND(" (",A5,1)-1))</f>
        <v>#VALUE!</v>
      </c>
      <c r="J2" t="str">
        <f>REPLACE(A2,1,10,"")</f>
        <v/>
      </c>
      <c r="K2" t="e">
        <f>F2</f>
        <v>#VALUE!</v>
      </c>
      <c r="L2">
        <f>A4</f>
        <v>0</v>
      </c>
      <c r="M2" t="e">
        <f>IFERROR(LEFT(G2,(FIND(" ",G2,1)-1)),LEFT(A5,(FIND(" (",A5,1)-1)))</f>
        <v>#VALUE!</v>
      </c>
      <c r="N2" t="str">
        <f>IFERROR(MID(G2,FIND(" ",G2)+1,256),"")</f>
        <v/>
      </c>
      <c r="O2">
        <f>A6</f>
        <v>0</v>
      </c>
      <c r="P2">
        <f>B6</f>
        <v>0</v>
      </c>
      <c r="Q2">
        <f>IF(C6="C","Coil",C6)</f>
        <v>0</v>
      </c>
      <c r="R2" t="e">
        <f>LEFT(F4,(FIND(" ",F4,1)-1))</f>
        <v>#VALUE!</v>
      </c>
      <c r="S2" t="e">
        <f>LEFT(F6,(FIND(" ",F6,1)-1))</f>
        <v>#VALUE!</v>
      </c>
      <c r="T2" t="e">
        <f>F7</f>
        <v>#VALUE!</v>
      </c>
      <c r="U2" t="e">
        <f>LEFT(Z2,(FIND(" ",Z2,1)-1))</f>
        <v>#VALUE!</v>
      </c>
      <c r="V2" t="e">
        <f>RIGHT(A7,(FIND("MC",A7,1)-10))</f>
        <v>#VALUE!</v>
      </c>
      <c r="W2">
        <f>A4</f>
        <v>0</v>
      </c>
      <c r="X2" t="str">
        <f>"'"&amp;TEXT(AE2&amp;"-"&amp;MONTH(AD2&amp;" 1")&amp;"-"&amp;AF2,"dd-MM-yyyy")</f>
        <v>'-1-</v>
      </c>
      <c r="AA2" t="e">
        <f>RIGHT(Z2,LEN(Z2)-FIND("JAPAN",Z2)+1-6)</f>
        <v>#VALUE!</v>
      </c>
    </row>
    <row r="3" spans="5:27" x14ac:dyDescent="0.25">
      <c r="E3" t="s">
        <v>13</v>
      </c>
      <c r="F3" t="e">
        <f>MID(A8,FIND(" ",A8)+1,256)</f>
        <v>#VALUE!</v>
      </c>
    </row>
    <row r="4" spans="5:27" ht="15.75" x14ac:dyDescent="0.25">
      <c r="E4" t="s">
        <v>14</v>
      </c>
      <c r="F4" t="e">
        <f>MID(F3,FIND(" ",F3)+1,256)</f>
        <v>#VALUE!</v>
      </c>
      <c r="X4" s="4"/>
    </row>
    <row r="5" spans="5:27" x14ac:dyDescent="0.25">
      <c r="E5" t="s">
        <v>15</v>
      </c>
      <c r="F5" t="e">
        <f>MID(F4,FIND(" ",F4)+1,256)</f>
        <v>#VALUE!</v>
      </c>
    </row>
    <row r="6" spans="5:27" x14ac:dyDescent="0.25">
      <c r="E6" t="s">
        <v>16</v>
      </c>
      <c r="F6" t="e">
        <f>MID(F5,FIND(" ",F5)+1,256)</f>
        <v>#VALUE!</v>
      </c>
    </row>
    <row r="7" spans="5:27" x14ac:dyDescent="0.25">
      <c r="E7" t="s">
        <v>17</v>
      </c>
      <c r="F7" t="e">
        <f>MID(F6,FIND(" ",F6)+1,256)</f>
        <v>#VALUE!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13"/>
  <sheetViews>
    <sheetView topLeftCell="AD3" workbookViewId="0">
      <selection activeCell="AG24" sqref="AG24"/>
    </sheetView>
  </sheetViews>
  <sheetFormatPr defaultRowHeight="15" x14ac:dyDescent="0.25"/>
  <cols>
    <col min="2" max="2" width="11.140625" bestFit="1" customWidth="1"/>
    <col min="5" max="5" width="11.140625" bestFit="1" customWidth="1"/>
    <col min="7" max="7" width="12" bestFit="1" customWidth="1"/>
    <col min="12" max="12" width="13.28515625" bestFit="1" customWidth="1"/>
    <col min="13" max="13" width="11.7109375" bestFit="1" customWidth="1"/>
    <col min="14" max="15" width="11.7109375" customWidth="1"/>
    <col min="17" max="17" width="16.140625" bestFit="1" customWidth="1"/>
    <col min="21" max="21" width="79.42578125" bestFit="1" customWidth="1"/>
    <col min="22" max="22" width="18.28515625" bestFit="1" customWidth="1"/>
    <col min="24" max="24" width="12" bestFit="1" customWidth="1"/>
    <col min="26" max="26" width="16.5703125" bestFit="1" customWidth="1"/>
    <col min="32" max="32" width="19.7109375" bestFit="1" customWidth="1"/>
    <col min="34" max="34" width="13.28515625" bestFit="1" customWidth="1"/>
    <col min="37" max="37" width="19.42578125" bestFit="1" customWidth="1"/>
  </cols>
  <sheetData>
    <row r="1" spans="1:37" x14ac:dyDescent="0.25">
      <c r="A1" t="s">
        <v>10</v>
      </c>
      <c r="B1" s="1" t="s">
        <v>0</v>
      </c>
      <c r="C1" s="1" t="s">
        <v>19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21</v>
      </c>
      <c r="L1" s="1" t="s">
        <v>18</v>
      </c>
      <c r="M1" s="1" t="s">
        <v>22</v>
      </c>
      <c r="N1" s="1" t="s">
        <v>23</v>
      </c>
      <c r="O1" s="1" t="s">
        <v>24</v>
      </c>
      <c r="P1" s="1" t="s">
        <v>20</v>
      </c>
      <c r="Q1" s="1" t="s">
        <v>53</v>
      </c>
      <c r="U1" t="s">
        <v>25</v>
      </c>
      <c r="V1" t="s">
        <v>36</v>
      </c>
      <c r="W1" t="s">
        <v>54</v>
      </c>
      <c r="X1" t="s">
        <v>37</v>
      </c>
      <c r="Y1" t="s">
        <v>55</v>
      </c>
      <c r="Z1" t="s">
        <v>38</v>
      </c>
      <c r="AA1" t="s">
        <v>39</v>
      </c>
      <c r="AB1" t="s">
        <v>45</v>
      </c>
      <c r="AC1" t="s">
        <v>48</v>
      </c>
      <c r="AD1" t="s">
        <v>49</v>
      </c>
      <c r="AE1" t="s">
        <v>50</v>
      </c>
      <c r="AF1" t="s">
        <v>51</v>
      </c>
      <c r="AG1" t="s">
        <v>52</v>
      </c>
      <c r="AH1" t="s">
        <v>57</v>
      </c>
      <c r="AI1" t="s">
        <v>58</v>
      </c>
      <c r="AJ1" t="s">
        <v>59</v>
      </c>
      <c r="AK1" t="s">
        <v>60</v>
      </c>
    </row>
    <row r="2" spans="1:37" x14ac:dyDescent="0.25">
      <c r="A2" t="str">
        <f>IF(B2&lt;&gt;"",1,"")</f>
        <v/>
      </c>
      <c r="L2" s="7"/>
      <c r="Q2" t="str">
        <f>IF(E2&lt;&gt;"","'"&amp;'PO NO'!$B$2,"")</f>
        <v/>
      </c>
      <c r="U2" t="str">
        <f>IFERROR(CLEAN(VLOOKUP(N2,BOE!J:P,7,FALSE)),"")</f>
        <v/>
      </c>
      <c r="V2" t="str">
        <f>IF(U2&lt;&gt;"",E2,"")</f>
        <v/>
      </c>
      <c r="W2" t="str">
        <f>IF(U2&lt;&gt;"",IF(AND(ISNUMBER(SEARCH(TRIM(V2),U2)),ISNUMBER(SEARCH(TRIM(F2),U2))),"Pass","Mismatch"),"")</f>
        <v/>
      </c>
      <c r="Y2" t="str">
        <f>IF(U2&lt;&gt;"",IF(ISNUMBER(SEARCH(X2,U2)),"Pass","Mismatch"),"")</f>
        <v/>
      </c>
      <c r="Z2" t="str">
        <f>IFERROR(IF(VLOOKUP(N2,BOE!J:Q,8,FALSE)=J2,"Pass","Mismatch"),"")</f>
        <v/>
      </c>
      <c r="AA2" t="str">
        <f>IFERROR(IF(ABS(VLOOKUP(N2,BOE!J:R,9,FALSE)-K2)&lt;0.2,"Pass","Mismatch"),"")</f>
        <v/>
      </c>
      <c r="AB2" t="str">
        <f>IFERROR(IF(ABS(VLOOKUP(N2,BOE!J:T,10,FALSE)-L2)&lt;0.2,"Pass","Mismatch"),"")</f>
        <v/>
      </c>
      <c r="AC2" t="str">
        <f>IFERROR(VLOOKUP(N2,BOE!J:N,2,FALSE),"")</f>
        <v/>
      </c>
      <c r="AD2" t="str">
        <f>IFERROR(VLOOKUP(N2,BOE!J:N,4,FALSE),"")</f>
        <v/>
      </c>
      <c r="AE2" t="str">
        <f>IFERROR(VLOOKUP(N2,BOE!J:N,5,FALSE),"")</f>
        <v/>
      </c>
      <c r="AF2" t="str">
        <f>IF(E2&lt;&gt;"",BOE!$I$1,"")</f>
        <v/>
      </c>
      <c r="AG2" t="str">
        <f>IFERROR(VLOOKUP(N2,BOE!J:T,11,FALSE),"")</f>
        <v/>
      </c>
      <c r="AH2" s="14" t="str">
        <f>IFERROR(AC2/((L2*AF2)+AD2+AE2)*100,"")</f>
        <v/>
      </c>
      <c r="AI2" s="14" t="str">
        <f>IFERROR(AD2/($L2*$AF$2)*100,"")</f>
        <v/>
      </c>
      <c r="AJ2" s="14">
        <f>IFERROR(AE2/(AD2)*100,0)</f>
        <v>0</v>
      </c>
      <c r="AK2" t="str">
        <f>IF(E2="","",IFERROR(IF(AND(OR(ROUNDUP(AH2,0)=18,ROUNDDOWN(AH2,0)=18),OR(ROUNDUP(AI2,0)=0,ROUNDDOWN(AI2,0)=0),OR(ROUNDUP(AJ2,0)=0,ROUNDDOWN(AJ2,0)=0)),"RIG_I@18",IF(AND(OR(ROUNDUP(AH2,0)=18,ROUNDDOWN(AH2,0)=18),OR(ROUNDUP(AI2,0)=8,ROUNDDOWN(AI2,0)=8),OR(ROUNDUP(AJ2,0)=10,ROUNDDOWN(AJ2,0)=1)),"RGBCD42",IF(AND(OR(ROUNDUP(AH2,0)=18,ROUNDDOWN(AH2,0)=18),OR(ROUNDUP(AI2,0)=13,ROUNDDOWN(AI2,0)=13),OR(ROUNDUP(AJ2,0)=10,ROUNDDOWN(AJ2,0)=1)),"RGBCDSW",IF(AND(OR(ROUNDUP(AH2,0)=18,ROUNDDOWN(AH2,0)=18),OR(ROUNDUP(AI2,0)=15,ROUNDDOWN(AI2,0)=15),OR(ROUNDUP(AJ2,0)=10,ROUNDDOWN(AJ2,0)=1)),"BSWIGST","NA")))),"NA"))</f>
        <v/>
      </c>
    </row>
    <row r="3" spans="1:37" x14ac:dyDescent="0.25">
      <c r="A3" t="str">
        <f>IF(B3&lt;&gt;"",A2+1,"")</f>
        <v/>
      </c>
      <c r="L3" s="7"/>
      <c r="Q3" t="str">
        <f>IF(E3&lt;&gt;"","'"&amp;'PO NO'!$B$2,"")</f>
        <v/>
      </c>
      <c r="U3" t="str">
        <f>IFERROR(CLEAN(VLOOKUP(N3,BOE!J:P,7,FALSE)),"")</f>
        <v/>
      </c>
      <c r="V3" t="str">
        <f t="shared" ref="V3:V66" si="0">IF(U3&lt;&gt;"",E3,"")</f>
        <v/>
      </c>
      <c r="W3" t="str">
        <f t="shared" ref="W3:W66" si="1">IF(U3&lt;&gt;"",IF(AND(ISNUMBER(SEARCH(TRIM(V3),U3)),ISNUMBER(SEARCH(TRIM(F3),U3))),"Pass","Mismatch"),"")</f>
        <v/>
      </c>
      <c r="Y3" t="str">
        <f t="shared" ref="Y3:Y66" si="2">IF(U3&lt;&gt;"",IF(ISNUMBER(SEARCH(X3,U3)),"Pass","Mismatch"),"")</f>
        <v/>
      </c>
      <c r="Z3" t="str">
        <f>IFERROR(IF(VLOOKUP(N3,BOE!J:Q,8,FALSE)=J3,"Pass","Mismatch"),"")</f>
        <v/>
      </c>
      <c r="AA3" t="str">
        <f>IFERROR(IF(ABS(VLOOKUP(N3,BOE!J:R,9,FALSE)-K3)&lt;0.2,"Pass","Mismatch"),"")</f>
        <v/>
      </c>
      <c r="AB3" t="str">
        <f>IFERROR(IF(ABS(VLOOKUP(N3,BOE!J:T,10,FALSE)-L3)&lt;0.2,"Pass","Mismatch"),"")</f>
        <v/>
      </c>
      <c r="AC3" t="str">
        <f>IFERROR(VLOOKUP(N3,BOE!J:N,2,FALSE),"")</f>
        <v/>
      </c>
      <c r="AD3" t="str">
        <f>IFERROR(VLOOKUP(N3,BOE!J:N,4,FALSE),"")</f>
        <v/>
      </c>
      <c r="AE3" t="str">
        <f>IFERROR(VLOOKUP(N3,BOE!J:N,5,FALSE),"")</f>
        <v/>
      </c>
      <c r="AF3" t="str">
        <f>IF(E3&lt;&gt;"",BOE!$I$1,"")</f>
        <v/>
      </c>
      <c r="AG3" t="str">
        <f>IFERROR(VLOOKUP(N3,BOE!J:T,11,FALSE),"")</f>
        <v/>
      </c>
      <c r="AH3" s="14" t="str">
        <f t="shared" ref="AH3:AH66" si="3">IFERROR(AC3/((L3*AF3)+AD3+AE3)*100,"")</f>
        <v/>
      </c>
      <c r="AI3" s="14" t="str">
        <f t="shared" ref="AI3:AI66" si="4">IFERROR(AD3/($L3*$AF$2)*100,"")</f>
        <v/>
      </c>
      <c r="AJ3" s="14">
        <f t="shared" ref="AJ3:AJ66" si="5">IFERROR(AE3/(AD3)*100,0)</f>
        <v>0</v>
      </c>
      <c r="AK3" t="str">
        <f t="shared" ref="AK3:AK66" si="6">IF(E3="","",IFERROR(IF(AND(OR(ROUNDUP(AH3,0)=18,ROUNDDOWN(AH3,0)=18),OR(ROUNDUP(AI3,0)=0,ROUNDDOWN(AI3,0)=0),OR(ROUNDUP(AJ3,0)=0,ROUNDDOWN(AJ3,0)=0)),"RIG_I@18",IF(AND(OR(ROUNDUP(AH3,0)=18,ROUNDDOWN(AH3,0)=18),OR(ROUNDUP(AI3,0)=8,ROUNDDOWN(AI3,0)=8),OR(ROUNDUP(AJ3,0)=10,ROUNDDOWN(AJ3,0)=1)),"RGBCD42",IF(AND(OR(ROUNDUP(AH3,0)=18,ROUNDDOWN(AH3,0)=18),OR(ROUNDUP(AI3,0)=13,ROUNDDOWN(AI3,0)=13),OR(ROUNDUP(AJ3,0)=10,ROUNDDOWN(AJ3,0)=1)),"RGBCDSW",IF(AND(OR(ROUNDUP(AH3,0)=18,ROUNDDOWN(AH3,0)=18),OR(ROUNDUP(AI3,0)=15,ROUNDDOWN(AI3,0)=15),OR(ROUNDUP(AJ3,0)=10,ROUNDDOWN(AJ3,0)=1)),"BSWIGST","NA")))),"NA"))</f>
        <v/>
      </c>
    </row>
    <row r="4" spans="1:37" x14ac:dyDescent="0.25">
      <c r="A4" t="str">
        <f t="shared" ref="A4:A67" si="7">IF(B4&lt;&gt;"",A3+1,"")</f>
        <v/>
      </c>
      <c r="L4" s="7"/>
      <c r="Q4" t="str">
        <f>IF(E4&lt;&gt;"","'"&amp;'PO NO'!$B$2,"")</f>
        <v/>
      </c>
      <c r="U4" t="str">
        <f>IFERROR(CLEAN(VLOOKUP(N4,BOE!J:P,7,FALSE)),"")</f>
        <v/>
      </c>
      <c r="V4" t="str">
        <f t="shared" si="0"/>
        <v/>
      </c>
      <c r="W4" t="str">
        <f t="shared" si="1"/>
        <v/>
      </c>
      <c r="Y4" t="str">
        <f t="shared" si="2"/>
        <v/>
      </c>
      <c r="Z4" t="str">
        <f>IFERROR(IF(VLOOKUP(N4,BOE!J:Q,8,FALSE)=J4,"Pass","Mismatch"),"")</f>
        <v/>
      </c>
      <c r="AA4" t="str">
        <f>IFERROR(IF(ABS(VLOOKUP(N4,BOE!J:R,9,FALSE)-K4)&lt;0.2,"Pass","Mismatch"),"")</f>
        <v/>
      </c>
      <c r="AB4" t="str">
        <f>IFERROR(IF(ABS(VLOOKUP(N4,BOE!J:T,10,FALSE)-L4)&lt;0.2,"Pass","Mismatch"),"")</f>
        <v/>
      </c>
      <c r="AC4" t="str">
        <f>IFERROR(VLOOKUP(N4,BOE!J:N,2,FALSE),"")</f>
        <v/>
      </c>
      <c r="AD4" t="str">
        <f>IFERROR(VLOOKUP(N4,BOE!J:N,4,FALSE),"")</f>
        <v/>
      </c>
      <c r="AE4" t="str">
        <f>IFERROR(VLOOKUP(N4,BOE!J:N,5,FALSE),"")</f>
        <v/>
      </c>
      <c r="AF4" t="str">
        <f>IF(E4&lt;&gt;"",BOE!$I$1,"")</f>
        <v/>
      </c>
      <c r="AG4" t="str">
        <f>IFERROR(VLOOKUP(N4,BOE!J:T,11,FALSE),"")</f>
        <v/>
      </c>
      <c r="AH4" s="14" t="str">
        <f t="shared" si="3"/>
        <v/>
      </c>
      <c r="AI4" s="14" t="str">
        <f t="shared" si="4"/>
        <v/>
      </c>
      <c r="AJ4" s="14">
        <f t="shared" si="5"/>
        <v>0</v>
      </c>
      <c r="AK4" t="str">
        <f t="shared" si="6"/>
        <v/>
      </c>
    </row>
    <row r="5" spans="1:37" x14ac:dyDescent="0.25">
      <c r="A5" t="str">
        <f t="shared" si="7"/>
        <v/>
      </c>
      <c r="L5" s="7"/>
      <c r="Q5" t="str">
        <f>IF(E5&lt;&gt;"","'"&amp;'PO NO'!$B$2,"")</f>
        <v/>
      </c>
      <c r="U5" t="str">
        <f>IFERROR(CLEAN(VLOOKUP(N5,BOE!J:P,7,FALSE)),"")</f>
        <v/>
      </c>
      <c r="V5" t="str">
        <f t="shared" si="0"/>
        <v/>
      </c>
      <c r="W5" t="str">
        <f t="shared" si="1"/>
        <v/>
      </c>
      <c r="Y5" t="str">
        <f t="shared" si="2"/>
        <v/>
      </c>
      <c r="Z5" t="str">
        <f>IFERROR(IF(VLOOKUP(N5,BOE!J:Q,8,FALSE)=J5,"Pass","Mismatch"),"")</f>
        <v/>
      </c>
      <c r="AA5" t="str">
        <f>IFERROR(IF(ABS(VLOOKUP(N5,BOE!J:R,9,FALSE)-K5)&lt;0.2,"Pass","Mismatch"),"")</f>
        <v/>
      </c>
      <c r="AB5" t="str">
        <f>IFERROR(IF(ABS(VLOOKUP(N5,BOE!J:T,10,FALSE)-L5)&lt;0.2,"Pass","Mismatch"),"")</f>
        <v/>
      </c>
      <c r="AC5" t="str">
        <f>IFERROR(VLOOKUP(N5,BOE!J:N,2,FALSE),"")</f>
        <v/>
      </c>
      <c r="AD5" t="str">
        <f>IFERROR(VLOOKUP(N5,BOE!J:N,4,FALSE),"")</f>
        <v/>
      </c>
      <c r="AE5" t="str">
        <f>IFERROR(VLOOKUP(N5,BOE!J:N,5,FALSE),"")</f>
        <v/>
      </c>
      <c r="AF5" t="str">
        <f>IF(E5&lt;&gt;"",BOE!$I$1,"")</f>
        <v/>
      </c>
      <c r="AG5" t="str">
        <f>IFERROR(VLOOKUP(N5,BOE!J:T,11,FALSE),"")</f>
        <v/>
      </c>
      <c r="AH5" s="14" t="str">
        <f t="shared" si="3"/>
        <v/>
      </c>
      <c r="AI5" s="14" t="str">
        <f t="shared" si="4"/>
        <v/>
      </c>
      <c r="AJ5" s="14">
        <f t="shared" si="5"/>
        <v>0</v>
      </c>
      <c r="AK5" t="str">
        <f t="shared" si="6"/>
        <v/>
      </c>
    </row>
    <row r="6" spans="1:37" x14ac:dyDescent="0.25">
      <c r="A6" t="str">
        <f t="shared" si="7"/>
        <v/>
      </c>
      <c r="L6" s="7"/>
      <c r="Q6" t="str">
        <f>IF(E6&lt;&gt;"","'"&amp;'PO NO'!$B$2,"")</f>
        <v/>
      </c>
      <c r="U6" t="str">
        <f>IFERROR(CLEAN(VLOOKUP(N6,BOE!J:P,7,FALSE)),"")</f>
        <v/>
      </c>
      <c r="V6" t="str">
        <f t="shared" si="0"/>
        <v/>
      </c>
      <c r="W6" t="str">
        <f t="shared" si="1"/>
        <v/>
      </c>
      <c r="Y6" t="str">
        <f t="shared" si="2"/>
        <v/>
      </c>
      <c r="Z6" t="str">
        <f>IFERROR(IF(VLOOKUP(N6,BOE!J:Q,8,FALSE)=J6,"Pass","Mismatch"),"")</f>
        <v/>
      </c>
      <c r="AA6" t="str">
        <f>IFERROR(IF(ABS(VLOOKUP(N6,BOE!J:R,9,FALSE)-K6)&lt;0.2,"Pass","Mismatch"),"")</f>
        <v/>
      </c>
      <c r="AB6" t="str">
        <f>IFERROR(IF(ABS(VLOOKUP(N6,BOE!J:T,10,FALSE)-L6)&lt;0.2,"Pass","Mismatch"),"")</f>
        <v/>
      </c>
      <c r="AC6" t="str">
        <f>IFERROR(VLOOKUP(N6,BOE!J:N,2,FALSE),"")</f>
        <v/>
      </c>
      <c r="AD6" t="str">
        <f>IFERROR(VLOOKUP(N6,BOE!J:N,4,FALSE),"")</f>
        <v/>
      </c>
      <c r="AE6" t="str">
        <f>IFERROR(VLOOKUP(N6,BOE!J:N,5,FALSE),"")</f>
        <v/>
      </c>
      <c r="AF6" t="str">
        <f>IF(E6&lt;&gt;"",BOE!$I$1,"")</f>
        <v/>
      </c>
      <c r="AG6" t="str">
        <f>IFERROR(VLOOKUP(N6,BOE!J:T,11,FALSE),"")</f>
        <v/>
      </c>
      <c r="AH6" s="14" t="str">
        <f t="shared" si="3"/>
        <v/>
      </c>
      <c r="AI6" s="14" t="str">
        <f t="shared" si="4"/>
        <v/>
      </c>
      <c r="AJ6" s="14">
        <f t="shared" si="5"/>
        <v>0</v>
      </c>
      <c r="AK6" t="str">
        <f t="shared" si="6"/>
        <v/>
      </c>
    </row>
    <row r="7" spans="1:37" x14ac:dyDescent="0.25">
      <c r="A7" t="str">
        <f t="shared" si="7"/>
        <v/>
      </c>
      <c r="L7" s="7"/>
      <c r="Q7" t="str">
        <f>IF(E7&lt;&gt;"","'"&amp;'PO NO'!$B$2,"")</f>
        <v/>
      </c>
      <c r="U7" t="str">
        <f>IFERROR(CLEAN(VLOOKUP(N7,BOE!J:P,7,FALSE)),"")</f>
        <v/>
      </c>
      <c r="V7" t="str">
        <f t="shared" si="0"/>
        <v/>
      </c>
      <c r="W7" t="str">
        <f t="shared" si="1"/>
        <v/>
      </c>
      <c r="Y7" t="str">
        <f t="shared" si="2"/>
        <v/>
      </c>
      <c r="Z7" t="str">
        <f>IFERROR(IF(VLOOKUP(N7,BOE!J:Q,8,FALSE)=J7,"Pass","Mismatch"),"")</f>
        <v/>
      </c>
      <c r="AA7" t="str">
        <f>IFERROR(IF(ABS(VLOOKUP(N7,BOE!J:R,9,FALSE)-K7)&lt;0.2,"Pass","Mismatch"),"")</f>
        <v/>
      </c>
      <c r="AB7" t="str">
        <f>IFERROR(IF(ABS(VLOOKUP(N7,BOE!J:T,10,FALSE)-L7)&lt;0.2,"Pass","Mismatch"),"")</f>
        <v/>
      </c>
      <c r="AC7" t="str">
        <f>IFERROR(VLOOKUP(N7,BOE!J:N,2,FALSE),"")</f>
        <v/>
      </c>
      <c r="AD7" t="str">
        <f>IFERROR(VLOOKUP(N7,BOE!J:N,4,FALSE),"")</f>
        <v/>
      </c>
      <c r="AE7" t="str">
        <f>IFERROR(VLOOKUP(N7,BOE!J:N,5,FALSE),"")</f>
        <v/>
      </c>
      <c r="AF7" t="str">
        <f>IF(E7&lt;&gt;"",BOE!$I$1,"")</f>
        <v/>
      </c>
      <c r="AG7" t="str">
        <f>IFERROR(VLOOKUP(N7,BOE!J:T,11,FALSE),"")</f>
        <v/>
      </c>
      <c r="AH7" s="14" t="str">
        <f t="shared" si="3"/>
        <v/>
      </c>
      <c r="AI7" s="14" t="str">
        <f t="shared" si="4"/>
        <v/>
      </c>
      <c r="AJ7" s="14">
        <f t="shared" si="5"/>
        <v>0</v>
      </c>
      <c r="AK7" t="str">
        <f t="shared" si="6"/>
        <v/>
      </c>
    </row>
    <row r="8" spans="1:37" x14ac:dyDescent="0.25">
      <c r="A8" t="str">
        <f t="shared" si="7"/>
        <v/>
      </c>
      <c r="L8" s="7"/>
      <c r="Q8" t="str">
        <f>IF(E8&lt;&gt;"","'"&amp;'PO NO'!$B$2,"")</f>
        <v/>
      </c>
      <c r="U8" t="str">
        <f>IFERROR(CLEAN(VLOOKUP(N8,BOE!J:P,7,FALSE)),"")</f>
        <v/>
      </c>
      <c r="V8" t="str">
        <f t="shared" si="0"/>
        <v/>
      </c>
      <c r="W8" t="str">
        <f t="shared" si="1"/>
        <v/>
      </c>
      <c r="Y8" t="str">
        <f t="shared" si="2"/>
        <v/>
      </c>
      <c r="Z8" t="str">
        <f>IFERROR(IF(VLOOKUP(N8,BOE!J:Q,8,FALSE)=J8,"Pass","Mismatch"),"")</f>
        <v/>
      </c>
      <c r="AA8" t="str">
        <f>IFERROR(IF(ABS(VLOOKUP(N8,BOE!J:R,9,FALSE)-K8)&lt;0.2,"Pass","Mismatch"),"")</f>
        <v/>
      </c>
      <c r="AB8" t="str">
        <f>IFERROR(IF(ABS(VLOOKUP(N8,BOE!J:T,10,FALSE)-L8)&lt;0.2,"Pass","Mismatch"),"")</f>
        <v/>
      </c>
      <c r="AC8" t="str">
        <f>IFERROR(VLOOKUP(N8,BOE!J:N,2,FALSE),"")</f>
        <v/>
      </c>
      <c r="AD8" t="str">
        <f>IFERROR(VLOOKUP(N8,BOE!J:N,4,FALSE),"")</f>
        <v/>
      </c>
      <c r="AE8" t="str">
        <f>IFERROR(VLOOKUP(N8,BOE!J:N,5,FALSE),"")</f>
        <v/>
      </c>
      <c r="AF8" t="str">
        <f>IF(E8&lt;&gt;"",BOE!$I$1,"")</f>
        <v/>
      </c>
      <c r="AG8" t="str">
        <f>IFERROR(VLOOKUP(N8,BOE!J:T,11,FALSE),"")</f>
        <v/>
      </c>
      <c r="AH8" s="14" t="str">
        <f t="shared" si="3"/>
        <v/>
      </c>
      <c r="AI8" s="14" t="str">
        <f t="shared" si="4"/>
        <v/>
      </c>
      <c r="AJ8" s="14">
        <f t="shared" si="5"/>
        <v>0</v>
      </c>
      <c r="AK8" t="str">
        <f t="shared" si="6"/>
        <v/>
      </c>
    </row>
    <row r="9" spans="1:37" x14ac:dyDescent="0.25">
      <c r="A9" t="str">
        <f t="shared" si="7"/>
        <v/>
      </c>
      <c r="L9" s="7"/>
      <c r="Q9" t="str">
        <f>IF(E9&lt;&gt;"","'"&amp;'PO NO'!$B$2,"")</f>
        <v/>
      </c>
      <c r="U9" t="str">
        <f>IFERROR(CLEAN(VLOOKUP(N9,BOE!J:P,7,FALSE)),"")</f>
        <v/>
      </c>
      <c r="V9" t="str">
        <f t="shared" si="0"/>
        <v/>
      </c>
      <c r="W9" t="str">
        <f t="shared" si="1"/>
        <v/>
      </c>
      <c r="Y9" t="str">
        <f t="shared" si="2"/>
        <v/>
      </c>
      <c r="Z9" t="str">
        <f>IFERROR(IF(VLOOKUP(N9,BOE!J:Q,8,FALSE)=J9,"Pass","Mismatch"),"")</f>
        <v/>
      </c>
      <c r="AA9" t="str">
        <f>IFERROR(IF(ABS(VLOOKUP(N9,BOE!J:R,9,FALSE)-K9)&lt;0.2,"Pass","Mismatch"),"")</f>
        <v/>
      </c>
      <c r="AB9" t="str">
        <f>IFERROR(IF(ABS(VLOOKUP(N9,BOE!J:T,10,FALSE)-L9)&lt;0.2,"Pass","Mismatch"),"")</f>
        <v/>
      </c>
      <c r="AC9" t="str">
        <f>IFERROR(VLOOKUP(N9,BOE!J:N,2,FALSE),"")</f>
        <v/>
      </c>
      <c r="AD9" t="str">
        <f>IFERROR(VLOOKUP(N9,BOE!J:N,4,FALSE),"")</f>
        <v/>
      </c>
      <c r="AE9" t="str">
        <f>IFERROR(VLOOKUP(N9,BOE!J:N,5,FALSE),"")</f>
        <v/>
      </c>
      <c r="AF9" t="str">
        <f>IF(E9&lt;&gt;"",BOE!$I$1,"")</f>
        <v/>
      </c>
      <c r="AG9" t="str">
        <f>IFERROR(VLOOKUP(N9,BOE!J:T,11,FALSE),"")</f>
        <v/>
      </c>
      <c r="AH9" s="14" t="str">
        <f t="shared" si="3"/>
        <v/>
      </c>
      <c r="AI9" s="14" t="str">
        <f t="shared" si="4"/>
        <v/>
      </c>
      <c r="AJ9" s="14">
        <f t="shared" si="5"/>
        <v>0</v>
      </c>
      <c r="AK9" t="str">
        <f t="shared" si="6"/>
        <v/>
      </c>
    </row>
    <row r="10" spans="1:37" x14ac:dyDescent="0.25">
      <c r="A10" t="str">
        <f t="shared" si="7"/>
        <v/>
      </c>
      <c r="L10" s="7"/>
      <c r="Q10" t="str">
        <f>IF(E10&lt;&gt;"","'"&amp;'PO NO'!$B$2,"")</f>
        <v/>
      </c>
      <c r="U10" t="str">
        <f>IFERROR(CLEAN(VLOOKUP(N10,BOE!J:P,7,FALSE)),"")</f>
        <v/>
      </c>
      <c r="V10" t="str">
        <f t="shared" si="0"/>
        <v/>
      </c>
      <c r="W10" t="str">
        <f t="shared" si="1"/>
        <v/>
      </c>
      <c r="Y10" t="str">
        <f t="shared" si="2"/>
        <v/>
      </c>
      <c r="Z10" t="str">
        <f>IFERROR(IF(VLOOKUP(N10,BOE!J:Q,8,FALSE)=J10,"Pass","Mismatch"),"")</f>
        <v/>
      </c>
      <c r="AA10" t="str">
        <f>IFERROR(IF(ABS(VLOOKUP(N10,BOE!J:R,9,FALSE)-K10)&lt;0.2,"Pass","Mismatch"),"")</f>
        <v/>
      </c>
      <c r="AB10" t="str">
        <f>IFERROR(IF(ABS(VLOOKUP(N10,BOE!J:T,10,FALSE)-L10)&lt;0.2,"Pass","Mismatch"),"")</f>
        <v/>
      </c>
      <c r="AC10" t="str">
        <f>IFERROR(VLOOKUP(N10,BOE!J:N,2,FALSE),"")</f>
        <v/>
      </c>
      <c r="AD10" t="str">
        <f>IFERROR(VLOOKUP(N10,BOE!J:N,4,FALSE),"")</f>
        <v/>
      </c>
      <c r="AE10" t="str">
        <f>IFERROR(VLOOKUP(N10,BOE!J:N,5,FALSE),"")</f>
        <v/>
      </c>
      <c r="AF10" t="str">
        <f>IF(E10&lt;&gt;"",BOE!$I$1,"")</f>
        <v/>
      </c>
      <c r="AG10" t="str">
        <f>IFERROR(VLOOKUP(N10,BOE!J:T,11,FALSE),"")</f>
        <v/>
      </c>
      <c r="AH10" s="14" t="str">
        <f t="shared" si="3"/>
        <v/>
      </c>
      <c r="AI10" s="14" t="str">
        <f t="shared" si="4"/>
        <v/>
      </c>
      <c r="AJ10" s="14">
        <f t="shared" si="5"/>
        <v>0</v>
      </c>
      <c r="AK10" t="str">
        <f t="shared" si="6"/>
        <v/>
      </c>
    </row>
    <row r="11" spans="1:37" x14ac:dyDescent="0.25">
      <c r="A11" t="str">
        <f t="shared" si="7"/>
        <v/>
      </c>
      <c r="L11" s="7"/>
      <c r="Q11" t="str">
        <f>IF(E11&lt;&gt;"","'"&amp;'PO NO'!$B$2,"")</f>
        <v/>
      </c>
      <c r="U11" t="str">
        <f>IFERROR(CLEAN(VLOOKUP(N11,BOE!J:P,7,FALSE)),"")</f>
        <v/>
      </c>
      <c r="V11" t="str">
        <f t="shared" si="0"/>
        <v/>
      </c>
      <c r="W11" t="str">
        <f t="shared" si="1"/>
        <v/>
      </c>
      <c r="Y11" t="str">
        <f t="shared" si="2"/>
        <v/>
      </c>
      <c r="Z11" t="str">
        <f>IFERROR(IF(VLOOKUP(N11,BOE!J:Q,8,FALSE)=J11,"Pass","Mismatch"),"")</f>
        <v/>
      </c>
      <c r="AA11" t="str">
        <f>IFERROR(IF(ABS(VLOOKUP(N11,BOE!J:R,9,FALSE)-K11)&lt;0.2,"Pass","Mismatch"),"")</f>
        <v/>
      </c>
      <c r="AB11" t="str">
        <f>IFERROR(IF(ABS(VLOOKUP(N11,BOE!J:T,10,FALSE)-L11)&lt;0.2,"Pass","Mismatch"),"")</f>
        <v/>
      </c>
      <c r="AC11" t="str">
        <f>IFERROR(VLOOKUP(N11,BOE!J:N,2,FALSE),"")</f>
        <v/>
      </c>
      <c r="AD11" t="str">
        <f>IFERROR(VLOOKUP(N11,BOE!J:N,4,FALSE),"")</f>
        <v/>
      </c>
      <c r="AE11" t="str">
        <f>IFERROR(VLOOKUP(N11,BOE!J:N,5,FALSE),"")</f>
        <v/>
      </c>
      <c r="AF11" t="str">
        <f>IF(E11&lt;&gt;"",BOE!$I$1,"")</f>
        <v/>
      </c>
      <c r="AG11" t="str">
        <f>IFERROR(VLOOKUP(N11,BOE!J:T,11,FALSE),"")</f>
        <v/>
      </c>
      <c r="AH11" s="14" t="str">
        <f t="shared" si="3"/>
        <v/>
      </c>
      <c r="AI11" s="14" t="str">
        <f t="shared" si="4"/>
        <v/>
      </c>
      <c r="AJ11" s="14">
        <f t="shared" si="5"/>
        <v>0</v>
      </c>
      <c r="AK11" t="str">
        <f t="shared" si="6"/>
        <v/>
      </c>
    </row>
    <row r="12" spans="1:37" x14ac:dyDescent="0.25">
      <c r="A12" t="str">
        <f t="shared" si="7"/>
        <v/>
      </c>
      <c r="L12" s="7"/>
      <c r="Q12" t="str">
        <f>IF(E12&lt;&gt;"","'"&amp;'PO NO'!$B$2,"")</f>
        <v/>
      </c>
      <c r="U12" t="str">
        <f>IFERROR(CLEAN(VLOOKUP(N12,BOE!J:P,7,FALSE)),"")</f>
        <v/>
      </c>
      <c r="V12" t="str">
        <f t="shared" si="0"/>
        <v/>
      </c>
      <c r="W12" t="str">
        <f t="shared" si="1"/>
        <v/>
      </c>
      <c r="Y12" t="str">
        <f t="shared" si="2"/>
        <v/>
      </c>
      <c r="Z12" t="str">
        <f>IFERROR(IF(VLOOKUP(N12,BOE!J:Q,8,FALSE)=J12,"Pass","Mismatch"),"")</f>
        <v/>
      </c>
      <c r="AA12" t="str">
        <f>IFERROR(IF(ABS(VLOOKUP(N12,BOE!J:R,9,FALSE)-K12)&lt;0.2,"Pass","Mismatch"),"")</f>
        <v/>
      </c>
      <c r="AB12" t="str">
        <f>IFERROR(IF(ABS(VLOOKUP(N12,BOE!J:T,10,FALSE)-L12)&lt;0.2,"Pass","Mismatch"),"")</f>
        <v/>
      </c>
      <c r="AC12" t="str">
        <f>IFERROR(VLOOKUP(N12,BOE!J:N,2,FALSE),"")</f>
        <v/>
      </c>
      <c r="AD12" t="str">
        <f>IFERROR(VLOOKUP(N12,BOE!J:N,4,FALSE),"")</f>
        <v/>
      </c>
      <c r="AE12" t="str">
        <f>IFERROR(VLOOKUP(N12,BOE!J:N,5,FALSE),"")</f>
        <v/>
      </c>
      <c r="AF12" t="str">
        <f>IF(E12&lt;&gt;"",BOE!$I$1,"")</f>
        <v/>
      </c>
      <c r="AG12" t="str">
        <f>IFERROR(VLOOKUP(N12,BOE!J:T,11,FALSE),"")</f>
        <v/>
      </c>
      <c r="AH12" s="14" t="str">
        <f t="shared" si="3"/>
        <v/>
      </c>
      <c r="AI12" s="14" t="str">
        <f t="shared" si="4"/>
        <v/>
      </c>
      <c r="AJ12" s="14">
        <f t="shared" si="5"/>
        <v>0</v>
      </c>
      <c r="AK12" t="str">
        <f t="shared" si="6"/>
        <v/>
      </c>
    </row>
    <row r="13" spans="1:37" x14ac:dyDescent="0.25">
      <c r="A13" t="str">
        <f t="shared" si="7"/>
        <v/>
      </c>
      <c r="L13" s="7"/>
      <c r="Q13" t="str">
        <f>IF(E13&lt;&gt;"","'"&amp;'PO NO'!$B$2,"")</f>
        <v/>
      </c>
      <c r="U13" t="str">
        <f>IFERROR(CLEAN(VLOOKUP(N13,BOE!J:P,7,FALSE)),"")</f>
        <v/>
      </c>
      <c r="V13" t="str">
        <f t="shared" si="0"/>
        <v/>
      </c>
      <c r="W13" t="str">
        <f t="shared" si="1"/>
        <v/>
      </c>
      <c r="Y13" t="str">
        <f t="shared" si="2"/>
        <v/>
      </c>
      <c r="Z13" t="str">
        <f>IFERROR(IF(VLOOKUP(N13,BOE!J:Q,8,FALSE)=J13,"Pass","Mismatch"),"")</f>
        <v/>
      </c>
      <c r="AA13" t="str">
        <f>IFERROR(IF(ABS(VLOOKUP(N13,BOE!J:R,9,FALSE)-K13)&lt;0.2,"Pass","Mismatch"),"")</f>
        <v/>
      </c>
      <c r="AB13" t="str">
        <f>IFERROR(IF(ABS(VLOOKUP(N13,BOE!J:T,10,FALSE)-L13)&lt;0.2,"Pass","Mismatch"),"")</f>
        <v/>
      </c>
      <c r="AC13" t="str">
        <f>IFERROR(VLOOKUP(N13,BOE!J:N,2,FALSE),"")</f>
        <v/>
      </c>
      <c r="AD13" t="str">
        <f>IFERROR(VLOOKUP(N13,BOE!J:N,4,FALSE),"")</f>
        <v/>
      </c>
      <c r="AE13" t="str">
        <f>IFERROR(VLOOKUP(N13,BOE!J:N,5,FALSE),"")</f>
        <v/>
      </c>
      <c r="AF13" t="str">
        <f>IF(E13&lt;&gt;"",BOE!$I$1,"")</f>
        <v/>
      </c>
      <c r="AG13" t="str">
        <f>IFERROR(VLOOKUP(N13,BOE!J:T,11,FALSE),"")</f>
        <v/>
      </c>
      <c r="AH13" s="14" t="str">
        <f t="shared" si="3"/>
        <v/>
      </c>
      <c r="AI13" s="14" t="str">
        <f t="shared" si="4"/>
        <v/>
      </c>
      <c r="AJ13" s="14">
        <f t="shared" si="5"/>
        <v>0</v>
      </c>
      <c r="AK13" t="str">
        <f t="shared" si="6"/>
        <v/>
      </c>
    </row>
    <row r="14" spans="1:37" x14ac:dyDescent="0.25">
      <c r="A14" t="str">
        <f t="shared" si="7"/>
        <v/>
      </c>
      <c r="L14" s="7"/>
      <c r="Q14" t="str">
        <f>IF(E14&lt;&gt;"","'"&amp;'PO NO'!$B$2,"")</f>
        <v/>
      </c>
      <c r="U14" t="str">
        <f>IFERROR(CLEAN(VLOOKUP(N14,BOE!J:P,7,FALSE)),"")</f>
        <v/>
      </c>
      <c r="V14" t="str">
        <f t="shared" si="0"/>
        <v/>
      </c>
      <c r="W14" t="str">
        <f t="shared" si="1"/>
        <v/>
      </c>
      <c r="Y14" t="str">
        <f t="shared" si="2"/>
        <v/>
      </c>
      <c r="Z14" t="str">
        <f>IFERROR(IF(VLOOKUP(N14,BOE!J:Q,8,FALSE)=J14,"Pass","Mismatch"),"")</f>
        <v/>
      </c>
      <c r="AA14" t="str">
        <f>IFERROR(IF(ABS(VLOOKUP(N14,BOE!J:R,9,FALSE)-K14)&lt;0.2,"Pass","Mismatch"),"")</f>
        <v/>
      </c>
      <c r="AB14" t="str">
        <f>IFERROR(IF(ABS(VLOOKUP(N14,BOE!J:T,10,FALSE)-L14)&lt;0.2,"Pass","Mismatch"),"")</f>
        <v/>
      </c>
      <c r="AC14" t="str">
        <f>IFERROR(VLOOKUP(N14,BOE!J:N,2,FALSE),"")</f>
        <v/>
      </c>
      <c r="AD14" t="str">
        <f>IFERROR(VLOOKUP(N14,BOE!J:N,4,FALSE),"")</f>
        <v/>
      </c>
      <c r="AE14" t="str">
        <f>IFERROR(VLOOKUP(N14,BOE!J:N,5,FALSE),"")</f>
        <v/>
      </c>
      <c r="AF14" t="str">
        <f>IF(E14&lt;&gt;"",BOE!$I$1,"")</f>
        <v/>
      </c>
      <c r="AG14" t="str">
        <f>IFERROR(VLOOKUP(N14,BOE!J:T,11,FALSE),"")</f>
        <v/>
      </c>
      <c r="AH14" s="14" t="str">
        <f t="shared" si="3"/>
        <v/>
      </c>
      <c r="AI14" s="14" t="str">
        <f t="shared" si="4"/>
        <v/>
      </c>
      <c r="AJ14" s="14">
        <f t="shared" si="5"/>
        <v>0</v>
      </c>
      <c r="AK14" t="str">
        <f t="shared" si="6"/>
        <v/>
      </c>
    </row>
    <row r="15" spans="1:37" x14ac:dyDescent="0.25">
      <c r="A15" t="str">
        <f t="shared" si="7"/>
        <v/>
      </c>
      <c r="Q15" t="str">
        <f>IF(E15&lt;&gt;"","'"&amp;'PO NO'!$B$2,"")</f>
        <v/>
      </c>
      <c r="U15" t="str">
        <f>IFERROR(CLEAN(VLOOKUP(N15,BOE!J:P,7,FALSE)),"")</f>
        <v/>
      </c>
      <c r="V15" t="str">
        <f t="shared" si="0"/>
        <v/>
      </c>
      <c r="W15" t="str">
        <f t="shared" si="1"/>
        <v/>
      </c>
      <c r="Y15" t="str">
        <f t="shared" si="2"/>
        <v/>
      </c>
      <c r="Z15" t="str">
        <f>IFERROR(IF(VLOOKUP(N15,BOE!J:Q,8,FALSE)=J15,"Pass","Mismatch"),"")</f>
        <v/>
      </c>
      <c r="AA15" t="str">
        <f>IFERROR(IF(ABS(VLOOKUP(N15,BOE!J:R,9,FALSE)-K15)&lt;0.2,"Pass","Mismatch"),"")</f>
        <v/>
      </c>
      <c r="AB15" t="str">
        <f>IFERROR(IF(ABS(VLOOKUP(N15,BOE!J:T,10,FALSE)-L15)&lt;0.2,"Pass","Mismatch"),"")</f>
        <v/>
      </c>
      <c r="AC15" t="str">
        <f>IFERROR(VLOOKUP(N15,BOE!J:N,2,FALSE),"")</f>
        <v/>
      </c>
      <c r="AD15" t="str">
        <f>IFERROR(VLOOKUP(N15,BOE!J:N,4,FALSE),"")</f>
        <v/>
      </c>
      <c r="AE15" t="str">
        <f>IFERROR(VLOOKUP(N15,BOE!J:N,5,FALSE),"")</f>
        <v/>
      </c>
      <c r="AF15" t="str">
        <f>IF(E15&lt;&gt;"",BOE!$I$1,"")</f>
        <v/>
      </c>
      <c r="AG15" t="str">
        <f>IFERROR(VLOOKUP(N15,BOE!J:T,11,FALSE),"")</f>
        <v/>
      </c>
      <c r="AH15" s="14" t="str">
        <f t="shared" si="3"/>
        <v/>
      </c>
      <c r="AI15" s="14" t="str">
        <f t="shared" si="4"/>
        <v/>
      </c>
      <c r="AJ15" s="14">
        <f t="shared" si="5"/>
        <v>0</v>
      </c>
      <c r="AK15" t="str">
        <f t="shared" si="6"/>
        <v/>
      </c>
    </row>
    <row r="16" spans="1:37" x14ac:dyDescent="0.25">
      <c r="A16" t="str">
        <f t="shared" si="7"/>
        <v/>
      </c>
      <c r="Q16" t="str">
        <f>IF(E16&lt;&gt;"","'"&amp;'PO NO'!$B$2,"")</f>
        <v/>
      </c>
      <c r="U16" t="str">
        <f>IFERROR(CLEAN(VLOOKUP(N16,BOE!J:P,7,FALSE)),"")</f>
        <v/>
      </c>
      <c r="V16" t="str">
        <f t="shared" si="0"/>
        <v/>
      </c>
      <c r="W16" t="str">
        <f t="shared" si="1"/>
        <v/>
      </c>
      <c r="Y16" t="str">
        <f t="shared" si="2"/>
        <v/>
      </c>
      <c r="Z16" t="str">
        <f>IFERROR(IF(VLOOKUP(N16,BOE!J:Q,8,FALSE)=J16,"Pass","Mismatch"),"")</f>
        <v/>
      </c>
      <c r="AA16" t="str">
        <f>IFERROR(IF(ABS(VLOOKUP(N16,BOE!J:R,9,FALSE)-K16)&lt;0.2,"Pass","Mismatch"),"")</f>
        <v/>
      </c>
      <c r="AB16" t="str">
        <f>IFERROR(IF(ABS(VLOOKUP(N16,BOE!J:T,10,FALSE)-L16)&lt;0.2,"Pass","Mismatch"),"")</f>
        <v/>
      </c>
      <c r="AC16" t="str">
        <f>IFERROR(VLOOKUP(N16,BOE!J:N,2,FALSE),"")</f>
        <v/>
      </c>
      <c r="AD16" t="str">
        <f>IFERROR(VLOOKUP(N16,BOE!J:N,4,FALSE),"")</f>
        <v/>
      </c>
      <c r="AE16" t="str">
        <f>IFERROR(VLOOKUP(N16,BOE!J:N,5,FALSE),"")</f>
        <v/>
      </c>
      <c r="AF16" t="str">
        <f>IF(E16&lt;&gt;"",BOE!$I$1,"")</f>
        <v/>
      </c>
      <c r="AG16" t="str">
        <f>IFERROR(VLOOKUP(N16,BOE!J:T,11,FALSE),"")</f>
        <v/>
      </c>
      <c r="AH16" s="14" t="str">
        <f t="shared" si="3"/>
        <v/>
      </c>
      <c r="AI16" s="14" t="str">
        <f t="shared" si="4"/>
        <v/>
      </c>
      <c r="AJ16" s="14">
        <f t="shared" si="5"/>
        <v>0</v>
      </c>
      <c r="AK16" t="str">
        <f t="shared" si="6"/>
        <v/>
      </c>
    </row>
    <row r="17" spans="1:37" x14ac:dyDescent="0.25">
      <c r="A17" t="str">
        <f t="shared" si="7"/>
        <v/>
      </c>
      <c r="Q17" t="str">
        <f>IF(E17&lt;&gt;"","'"&amp;'PO NO'!$B$2,"")</f>
        <v/>
      </c>
      <c r="U17" t="str">
        <f>IFERROR(CLEAN(VLOOKUP(N17,BOE!J:P,7,FALSE)),"")</f>
        <v/>
      </c>
      <c r="V17" t="str">
        <f t="shared" si="0"/>
        <v/>
      </c>
      <c r="W17" t="str">
        <f t="shared" si="1"/>
        <v/>
      </c>
      <c r="Y17" t="str">
        <f t="shared" si="2"/>
        <v/>
      </c>
      <c r="Z17" t="str">
        <f>IFERROR(IF(VLOOKUP(N17,BOE!J:Q,8,FALSE)=J17,"Pass","Mismatch"),"")</f>
        <v/>
      </c>
      <c r="AA17" t="str">
        <f>IFERROR(IF(ABS(VLOOKUP(N17,BOE!J:R,9,FALSE)-K17)&lt;0.2,"Pass","Mismatch"),"")</f>
        <v/>
      </c>
      <c r="AB17" t="str">
        <f>IFERROR(IF(ABS(VLOOKUP(N17,BOE!J:T,10,FALSE)-L17)&lt;0.2,"Pass","Mismatch"),"")</f>
        <v/>
      </c>
      <c r="AC17" t="str">
        <f>IFERROR(VLOOKUP(N17,BOE!J:N,2,FALSE),"")</f>
        <v/>
      </c>
      <c r="AD17" t="str">
        <f>IFERROR(VLOOKUP(N17,BOE!J:N,4,FALSE),"")</f>
        <v/>
      </c>
      <c r="AE17" t="str">
        <f>IFERROR(VLOOKUP(N17,BOE!J:N,5,FALSE),"")</f>
        <v/>
      </c>
      <c r="AF17" t="str">
        <f>IF(E17&lt;&gt;"",BOE!$I$1,"")</f>
        <v/>
      </c>
      <c r="AG17" t="str">
        <f>IFERROR(VLOOKUP(N17,BOE!J:T,11,FALSE),"")</f>
        <v/>
      </c>
      <c r="AH17" s="14" t="str">
        <f t="shared" si="3"/>
        <v/>
      </c>
      <c r="AI17" s="14" t="str">
        <f t="shared" si="4"/>
        <v/>
      </c>
      <c r="AJ17" s="14">
        <f t="shared" si="5"/>
        <v>0</v>
      </c>
      <c r="AK17" t="str">
        <f t="shared" si="6"/>
        <v/>
      </c>
    </row>
    <row r="18" spans="1:37" x14ac:dyDescent="0.25">
      <c r="A18" t="str">
        <f t="shared" si="7"/>
        <v/>
      </c>
      <c r="Q18" t="str">
        <f>IF(E18&lt;&gt;"","'"&amp;'PO NO'!$B$2,"")</f>
        <v/>
      </c>
      <c r="U18" t="str">
        <f>IFERROR(CLEAN(VLOOKUP(N18,BOE!J:P,7,FALSE)),"")</f>
        <v/>
      </c>
      <c r="V18" t="str">
        <f t="shared" si="0"/>
        <v/>
      </c>
      <c r="W18" t="str">
        <f t="shared" si="1"/>
        <v/>
      </c>
      <c r="Y18" t="str">
        <f t="shared" si="2"/>
        <v/>
      </c>
      <c r="Z18" t="str">
        <f>IFERROR(IF(VLOOKUP(N18,BOE!J:Q,8,FALSE)=J18,"Pass","Mismatch"),"")</f>
        <v/>
      </c>
      <c r="AA18" t="str">
        <f>IFERROR(IF(ABS(VLOOKUP(N18,BOE!J:R,9,FALSE)-K18)&lt;0.2,"Pass","Mismatch"),"")</f>
        <v/>
      </c>
      <c r="AB18" t="str">
        <f>IFERROR(IF(ABS(VLOOKUP(N18,BOE!J:T,10,FALSE)-L18)&lt;0.2,"Pass","Mismatch"),"")</f>
        <v/>
      </c>
      <c r="AC18" t="str">
        <f>IFERROR(VLOOKUP(N18,BOE!J:N,2,FALSE),"")</f>
        <v/>
      </c>
      <c r="AD18" t="str">
        <f>IFERROR(VLOOKUP(N18,BOE!J:N,4,FALSE),"")</f>
        <v/>
      </c>
      <c r="AE18" t="str">
        <f>IFERROR(VLOOKUP(N18,BOE!J:N,5,FALSE),"")</f>
        <v/>
      </c>
      <c r="AF18" t="str">
        <f>IF(E18&lt;&gt;"",BOE!$I$1,"")</f>
        <v/>
      </c>
      <c r="AG18" t="str">
        <f>IFERROR(VLOOKUP(N18,BOE!J:T,11,FALSE),"")</f>
        <v/>
      </c>
      <c r="AH18" s="14" t="str">
        <f t="shared" si="3"/>
        <v/>
      </c>
      <c r="AI18" s="14" t="str">
        <f t="shared" si="4"/>
        <v/>
      </c>
      <c r="AJ18" s="14">
        <f t="shared" si="5"/>
        <v>0</v>
      </c>
      <c r="AK18" t="str">
        <f t="shared" si="6"/>
        <v/>
      </c>
    </row>
    <row r="19" spans="1:37" x14ac:dyDescent="0.25">
      <c r="A19" t="str">
        <f t="shared" si="7"/>
        <v/>
      </c>
      <c r="Q19" t="str">
        <f>IF(E19&lt;&gt;"","'"&amp;'PO NO'!$B$2,"")</f>
        <v/>
      </c>
      <c r="U19" t="str">
        <f>IFERROR(CLEAN(VLOOKUP(N19,BOE!J:P,7,FALSE)),"")</f>
        <v/>
      </c>
      <c r="V19" t="str">
        <f t="shared" si="0"/>
        <v/>
      </c>
      <c r="W19" t="str">
        <f t="shared" si="1"/>
        <v/>
      </c>
      <c r="Y19" t="str">
        <f t="shared" si="2"/>
        <v/>
      </c>
      <c r="Z19" t="str">
        <f>IFERROR(IF(VLOOKUP(N19,BOE!J:Q,8,FALSE)=J19,"Pass","Mismatch"),"")</f>
        <v/>
      </c>
      <c r="AA19" t="str">
        <f>IFERROR(IF(ABS(VLOOKUP(N19,BOE!J:R,9,FALSE)-K19)&lt;0.2,"Pass","Mismatch"),"")</f>
        <v/>
      </c>
      <c r="AB19" t="str">
        <f>IFERROR(IF(ABS(VLOOKUP(N19,BOE!J:T,10,FALSE)-L19)&lt;0.2,"Pass","Mismatch"),"")</f>
        <v/>
      </c>
      <c r="AC19" t="str">
        <f>IFERROR(VLOOKUP(N19,BOE!J:N,2,FALSE),"")</f>
        <v/>
      </c>
      <c r="AD19" t="str">
        <f>IFERROR(VLOOKUP(N19,BOE!J:N,4,FALSE),"")</f>
        <v/>
      </c>
      <c r="AE19" t="str">
        <f>IFERROR(VLOOKUP(N19,BOE!J:N,5,FALSE),"")</f>
        <v/>
      </c>
      <c r="AF19" t="str">
        <f>IF(E19&lt;&gt;"",BOE!$I$1,"")</f>
        <v/>
      </c>
      <c r="AG19" t="str">
        <f>IFERROR(VLOOKUP(N19,BOE!J:T,11,FALSE),"")</f>
        <v/>
      </c>
      <c r="AH19" s="14" t="str">
        <f t="shared" si="3"/>
        <v/>
      </c>
      <c r="AI19" s="14" t="str">
        <f t="shared" si="4"/>
        <v/>
      </c>
      <c r="AJ19" s="14">
        <f t="shared" si="5"/>
        <v>0</v>
      </c>
      <c r="AK19" t="str">
        <f t="shared" si="6"/>
        <v/>
      </c>
    </row>
    <row r="20" spans="1:37" x14ac:dyDescent="0.25">
      <c r="A20" t="str">
        <f t="shared" si="7"/>
        <v/>
      </c>
      <c r="Q20" t="str">
        <f>IF(E20&lt;&gt;"","'"&amp;'PO NO'!$B$2,"")</f>
        <v/>
      </c>
      <c r="U20" t="str">
        <f>IFERROR(CLEAN(VLOOKUP(N20,BOE!J:P,7,FALSE)),"")</f>
        <v/>
      </c>
      <c r="V20" t="str">
        <f t="shared" si="0"/>
        <v/>
      </c>
      <c r="W20" t="str">
        <f t="shared" si="1"/>
        <v/>
      </c>
      <c r="Y20" t="str">
        <f t="shared" si="2"/>
        <v/>
      </c>
      <c r="Z20" t="str">
        <f>IFERROR(IF(VLOOKUP(N20,BOE!J:Q,8,FALSE)=J20,"Pass","Mismatch"),"")</f>
        <v/>
      </c>
      <c r="AA20" t="str">
        <f>IFERROR(IF(ABS(VLOOKUP(N20,BOE!J:R,9,FALSE)-K20)&lt;0.2,"Pass","Mismatch"),"")</f>
        <v/>
      </c>
      <c r="AB20" t="str">
        <f>IFERROR(IF(ABS(VLOOKUP(N20,BOE!J:T,10,FALSE)-L20)&lt;0.2,"Pass","Mismatch"),"")</f>
        <v/>
      </c>
      <c r="AC20" t="str">
        <f>IFERROR(VLOOKUP(N20,BOE!J:N,2,FALSE),"")</f>
        <v/>
      </c>
      <c r="AD20" t="str">
        <f>IFERROR(VLOOKUP(N20,BOE!J:N,4,FALSE),"")</f>
        <v/>
      </c>
      <c r="AE20" t="str">
        <f>IFERROR(VLOOKUP(N20,BOE!J:N,5,FALSE),"")</f>
        <v/>
      </c>
      <c r="AF20" t="str">
        <f>IF(E20&lt;&gt;"",BOE!$I$1,"")</f>
        <v/>
      </c>
      <c r="AG20" t="str">
        <f>IFERROR(VLOOKUP(N20,BOE!J:T,11,FALSE),"")</f>
        <v/>
      </c>
      <c r="AH20" s="14" t="str">
        <f t="shared" si="3"/>
        <v/>
      </c>
      <c r="AI20" s="14" t="str">
        <f t="shared" si="4"/>
        <v/>
      </c>
      <c r="AJ20" s="14">
        <f t="shared" si="5"/>
        <v>0</v>
      </c>
      <c r="AK20" t="str">
        <f t="shared" si="6"/>
        <v/>
      </c>
    </row>
    <row r="21" spans="1:37" x14ac:dyDescent="0.25">
      <c r="A21" t="str">
        <f t="shared" si="7"/>
        <v/>
      </c>
      <c r="Q21" t="str">
        <f>IF(E21&lt;&gt;"","'"&amp;'PO NO'!$B$2,"")</f>
        <v/>
      </c>
      <c r="U21" t="str">
        <f>IFERROR(CLEAN(VLOOKUP(N21,BOE!J:P,7,FALSE)),"")</f>
        <v/>
      </c>
      <c r="V21" t="str">
        <f t="shared" si="0"/>
        <v/>
      </c>
      <c r="W21" t="str">
        <f t="shared" si="1"/>
        <v/>
      </c>
      <c r="Y21" t="str">
        <f t="shared" si="2"/>
        <v/>
      </c>
      <c r="Z21" t="str">
        <f>IFERROR(IF(VLOOKUP(N21,BOE!J:Q,8,FALSE)=J21,"Pass","Mismatch"),"")</f>
        <v/>
      </c>
      <c r="AA21" t="str">
        <f>IFERROR(IF(ABS(VLOOKUP(N21,BOE!J:R,9,FALSE)-K21)&lt;0.2,"Pass","Mismatch"),"")</f>
        <v/>
      </c>
      <c r="AB21" t="str">
        <f>IFERROR(IF(ABS(VLOOKUP(N21,BOE!J:T,10,FALSE)-L21)&lt;0.2,"Pass","Mismatch"),"")</f>
        <v/>
      </c>
      <c r="AC21" t="str">
        <f>IFERROR(VLOOKUP(N21,BOE!J:N,2,FALSE),"")</f>
        <v/>
      </c>
      <c r="AD21" t="str">
        <f>IFERROR(VLOOKUP(N21,BOE!J:N,4,FALSE),"")</f>
        <v/>
      </c>
      <c r="AE21" t="str">
        <f>IFERROR(VLOOKUP(N21,BOE!J:N,5,FALSE),"")</f>
        <v/>
      </c>
      <c r="AF21" t="str">
        <f>IF(E21&lt;&gt;"",BOE!$I$1,"")</f>
        <v/>
      </c>
      <c r="AG21" t="str">
        <f>IFERROR(VLOOKUP(N21,BOE!J:T,11,FALSE),"")</f>
        <v/>
      </c>
      <c r="AH21" s="14" t="str">
        <f t="shared" si="3"/>
        <v/>
      </c>
      <c r="AI21" s="14" t="str">
        <f t="shared" si="4"/>
        <v/>
      </c>
      <c r="AJ21" s="14">
        <f t="shared" si="5"/>
        <v>0</v>
      </c>
      <c r="AK21" t="str">
        <f t="shared" si="6"/>
        <v/>
      </c>
    </row>
    <row r="22" spans="1:37" x14ac:dyDescent="0.25">
      <c r="A22" t="str">
        <f t="shared" si="7"/>
        <v/>
      </c>
      <c r="Q22" t="str">
        <f>IF(E22&lt;&gt;"","'"&amp;'PO NO'!$B$2,"")</f>
        <v/>
      </c>
      <c r="U22" t="str">
        <f>IFERROR(CLEAN(VLOOKUP(N22,BOE!J:P,7,FALSE)),"")</f>
        <v/>
      </c>
      <c r="V22" t="str">
        <f t="shared" si="0"/>
        <v/>
      </c>
      <c r="W22" t="str">
        <f t="shared" si="1"/>
        <v/>
      </c>
      <c r="Y22" t="str">
        <f t="shared" si="2"/>
        <v/>
      </c>
      <c r="Z22" t="str">
        <f>IFERROR(IF(VLOOKUP(N22,BOE!J:Q,8,FALSE)=J22,"Pass","Mismatch"),"")</f>
        <v/>
      </c>
      <c r="AA22" t="str">
        <f>IFERROR(IF(ABS(VLOOKUP(N22,BOE!J:R,9,FALSE)-K22)&lt;0.2,"Pass","Mismatch"),"")</f>
        <v/>
      </c>
      <c r="AB22" t="str">
        <f>IFERROR(IF(ABS(VLOOKUP(N22,BOE!J:T,10,FALSE)-L22)&lt;0.2,"Pass","Mismatch"),"")</f>
        <v/>
      </c>
      <c r="AC22" t="str">
        <f>IFERROR(VLOOKUP(N22,BOE!J:N,2,FALSE),"")</f>
        <v/>
      </c>
      <c r="AD22" t="str">
        <f>IFERROR(VLOOKUP(N22,BOE!J:N,4,FALSE),"")</f>
        <v/>
      </c>
      <c r="AE22" t="str">
        <f>IFERROR(VLOOKUP(N22,BOE!J:N,5,FALSE),"")</f>
        <v/>
      </c>
      <c r="AF22" t="str">
        <f>IF(E22&lt;&gt;"",BOE!$I$1,"")</f>
        <v/>
      </c>
      <c r="AG22" t="str">
        <f>IFERROR(VLOOKUP(N22,BOE!J:T,11,FALSE),"")</f>
        <v/>
      </c>
      <c r="AH22" s="14" t="str">
        <f t="shared" si="3"/>
        <v/>
      </c>
      <c r="AI22" s="14" t="str">
        <f t="shared" si="4"/>
        <v/>
      </c>
      <c r="AJ22" s="14">
        <f t="shared" si="5"/>
        <v>0</v>
      </c>
      <c r="AK22" t="str">
        <f t="shared" si="6"/>
        <v/>
      </c>
    </row>
    <row r="23" spans="1:37" x14ac:dyDescent="0.25">
      <c r="A23" t="str">
        <f t="shared" si="7"/>
        <v/>
      </c>
      <c r="Q23" t="str">
        <f>IF(E23&lt;&gt;"","'"&amp;'PO NO'!$B$2,"")</f>
        <v/>
      </c>
      <c r="U23" t="str">
        <f>IFERROR(CLEAN(VLOOKUP(N23,BOE!J:P,7,FALSE)),"")</f>
        <v/>
      </c>
      <c r="V23" t="str">
        <f t="shared" si="0"/>
        <v/>
      </c>
      <c r="W23" t="str">
        <f t="shared" si="1"/>
        <v/>
      </c>
      <c r="Y23" t="str">
        <f t="shared" si="2"/>
        <v/>
      </c>
      <c r="Z23" t="str">
        <f>IFERROR(IF(VLOOKUP(N23,BOE!J:Q,8,FALSE)=J23,"Pass","Mismatch"),"")</f>
        <v/>
      </c>
      <c r="AA23" t="str">
        <f>IFERROR(IF(ABS(VLOOKUP(N23,BOE!J:R,9,FALSE)-K23)&lt;0.2,"Pass","Mismatch"),"")</f>
        <v/>
      </c>
      <c r="AB23" t="str">
        <f>IFERROR(IF(ABS(VLOOKUP(N23,BOE!J:T,10,FALSE)-L23)&lt;0.2,"Pass","Mismatch"),"")</f>
        <v/>
      </c>
      <c r="AC23" t="str">
        <f>IFERROR(VLOOKUP(N23,BOE!J:N,2,FALSE),"")</f>
        <v/>
      </c>
      <c r="AD23" t="str">
        <f>IFERROR(VLOOKUP(N23,BOE!J:N,4,FALSE),"")</f>
        <v/>
      </c>
      <c r="AE23" t="str">
        <f>IFERROR(VLOOKUP(N23,BOE!J:N,5,FALSE),"")</f>
        <v/>
      </c>
      <c r="AF23" t="str">
        <f>IF(E23&lt;&gt;"",BOE!$I$1,"")</f>
        <v/>
      </c>
      <c r="AG23" t="str">
        <f>IFERROR(VLOOKUP(N23,BOE!J:T,11,FALSE),"")</f>
        <v/>
      </c>
      <c r="AH23" s="14" t="str">
        <f t="shared" si="3"/>
        <v/>
      </c>
      <c r="AI23" s="14" t="str">
        <f t="shared" si="4"/>
        <v/>
      </c>
      <c r="AJ23" s="14">
        <f t="shared" si="5"/>
        <v>0</v>
      </c>
      <c r="AK23" t="str">
        <f t="shared" si="6"/>
        <v/>
      </c>
    </row>
    <row r="24" spans="1:37" x14ac:dyDescent="0.25">
      <c r="A24" t="str">
        <f t="shared" si="7"/>
        <v/>
      </c>
      <c r="Q24" t="str">
        <f>IF(E24&lt;&gt;"","'"&amp;'PO NO'!$B$2,"")</f>
        <v/>
      </c>
      <c r="U24" t="str">
        <f>IFERROR(CLEAN(VLOOKUP(N24,BOE!J:P,7,FALSE)),"")</f>
        <v/>
      </c>
      <c r="V24" t="str">
        <f t="shared" si="0"/>
        <v/>
      </c>
      <c r="W24" t="str">
        <f t="shared" si="1"/>
        <v/>
      </c>
      <c r="Y24" t="str">
        <f t="shared" si="2"/>
        <v/>
      </c>
      <c r="Z24" t="str">
        <f>IFERROR(IF(VLOOKUP(N24,BOE!J:Q,8,FALSE)=J24,"Pass","Mismatch"),"")</f>
        <v/>
      </c>
      <c r="AA24" t="str">
        <f>IFERROR(IF(ABS(VLOOKUP(N24,BOE!J:R,9,FALSE)-K24)&lt;0.2,"Pass","Mismatch"),"")</f>
        <v/>
      </c>
      <c r="AB24" t="str">
        <f>IFERROR(IF(ABS(VLOOKUP(N24,BOE!J:T,10,FALSE)-L24)&lt;0.2,"Pass","Mismatch"),"")</f>
        <v/>
      </c>
      <c r="AC24" t="str">
        <f>IFERROR(VLOOKUP(N24,BOE!J:N,2,FALSE),"")</f>
        <v/>
      </c>
      <c r="AD24" t="str">
        <f>IFERROR(VLOOKUP(N24,BOE!J:N,4,FALSE),"")</f>
        <v/>
      </c>
      <c r="AE24" t="str">
        <f>IFERROR(VLOOKUP(N24,BOE!J:N,5,FALSE),"")</f>
        <v/>
      </c>
      <c r="AF24" t="str">
        <f>IF(E24&lt;&gt;"",BOE!$I$1,"")</f>
        <v/>
      </c>
      <c r="AG24" t="str">
        <f>IFERROR(VLOOKUP(N24,BOE!J:T,11,FALSE),"")</f>
        <v/>
      </c>
      <c r="AH24" s="14" t="str">
        <f t="shared" si="3"/>
        <v/>
      </c>
      <c r="AI24" s="14" t="str">
        <f t="shared" si="4"/>
        <v/>
      </c>
      <c r="AJ24" s="14">
        <f t="shared" si="5"/>
        <v>0</v>
      </c>
      <c r="AK24" t="str">
        <f t="shared" si="6"/>
        <v/>
      </c>
    </row>
    <row r="25" spans="1:37" x14ac:dyDescent="0.25">
      <c r="A25" t="str">
        <f t="shared" si="7"/>
        <v/>
      </c>
      <c r="Q25" t="str">
        <f>IF(E25&lt;&gt;"","'"&amp;'PO NO'!$B$2,"")</f>
        <v/>
      </c>
      <c r="U25" t="str">
        <f>IFERROR(CLEAN(VLOOKUP(N25,BOE!J:P,7,FALSE)),"")</f>
        <v/>
      </c>
      <c r="V25" t="str">
        <f t="shared" si="0"/>
        <v/>
      </c>
      <c r="W25" t="str">
        <f t="shared" si="1"/>
        <v/>
      </c>
      <c r="Y25" t="str">
        <f t="shared" si="2"/>
        <v/>
      </c>
      <c r="Z25" t="str">
        <f>IFERROR(IF(VLOOKUP(N25,BOE!J:Q,8,FALSE)=J25,"Pass","Mismatch"),"")</f>
        <v/>
      </c>
      <c r="AA25" t="str">
        <f>IFERROR(IF(ABS(VLOOKUP(N25,BOE!J:R,9,FALSE)-K25)&lt;0.2,"Pass","Mismatch"),"")</f>
        <v/>
      </c>
      <c r="AB25" t="str">
        <f>IFERROR(IF(ABS(VLOOKUP(N25,BOE!J:T,10,FALSE)-L25)&lt;0.2,"Pass","Mismatch"),"")</f>
        <v/>
      </c>
      <c r="AC25" t="str">
        <f>IFERROR(VLOOKUP(N25,BOE!J:N,2,FALSE),"")</f>
        <v/>
      </c>
      <c r="AD25" t="str">
        <f>IFERROR(VLOOKUP(N25,BOE!J:N,4,FALSE),"")</f>
        <v/>
      </c>
      <c r="AE25" t="str">
        <f>IFERROR(VLOOKUP(N25,BOE!J:N,5,FALSE),"")</f>
        <v/>
      </c>
      <c r="AF25" t="str">
        <f>IF(E25&lt;&gt;"",BOE!$I$1,"")</f>
        <v/>
      </c>
      <c r="AG25" t="str">
        <f>IFERROR(VLOOKUP(N25,BOE!J:T,11,FALSE),"")</f>
        <v/>
      </c>
      <c r="AH25" s="14" t="str">
        <f t="shared" si="3"/>
        <v/>
      </c>
      <c r="AI25" s="14" t="str">
        <f t="shared" si="4"/>
        <v/>
      </c>
      <c r="AJ25" s="14">
        <f t="shared" si="5"/>
        <v>0</v>
      </c>
      <c r="AK25" t="str">
        <f t="shared" si="6"/>
        <v/>
      </c>
    </row>
    <row r="26" spans="1:37" x14ac:dyDescent="0.25">
      <c r="A26" t="str">
        <f t="shared" si="7"/>
        <v/>
      </c>
      <c r="Q26" t="str">
        <f>IF(E26&lt;&gt;"","'"&amp;'PO NO'!$B$2,"")</f>
        <v/>
      </c>
      <c r="U26" t="str">
        <f>IFERROR(CLEAN(VLOOKUP(N26,BOE!J:P,7,FALSE)),"")</f>
        <v/>
      </c>
      <c r="V26" t="str">
        <f t="shared" si="0"/>
        <v/>
      </c>
      <c r="W26" t="str">
        <f t="shared" si="1"/>
        <v/>
      </c>
      <c r="Y26" t="str">
        <f t="shared" si="2"/>
        <v/>
      </c>
      <c r="Z26" t="str">
        <f>IFERROR(IF(VLOOKUP(N26,BOE!J:Q,8,FALSE)=J26,"Pass","Mismatch"),"")</f>
        <v/>
      </c>
      <c r="AA26" t="str">
        <f>IFERROR(IF(ABS(VLOOKUP(N26,BOE!J:R,9,FALSE)-K26)&lt;0.2,"Pass","Mismatch"),"")</f>
        <v/>
      </c>
      <c r="AB26" t="str">
        <f>IFERROR(IF(ABS(VLOOKUP(N26,BOE!J:T,10,FALSE)-L26)&lt;0.2,"Pass","Mismatch"),"")</f>
        <v/>
      </c>
      <c r="AC26" t="str">
        <f>IFERROR(VLOOKUP(N26,BOE!J:N,2,FALSE),"")</f>
        <v/>
      </c>
      <c r="AD26" t="str">
        <f>IFERROR(VLOOKUP(N26,BOE!J:N,4,FALSE),"")</f>
        <v/>
      </c>
      <c r="AE26" t="str">
        <f>IFERROR(VLOOKUP(N26,BOE!J:N,5,FALSE),"")</f>
        <v/>
      </c>
      <c r="AF26" t="str">
        <f>IF(E26&lt;&gt;"",BOE!$I$1,"")</f>
        <v/>
      </c>
      <c r="AG26" t="str">
        <f>IFERROR(VLOOKUP(N26,BOE!J:T,11,FALSE),"")</f>
        <v/>
      </c>
      <c r="AH26" s="14" t="str">
        <f t="shared" si="3"/>
        <v/>
      </c>
      <c r="AI26" s="14" t="str">
        <f t="shared" si="4"/>
        <v/>
      </c>
      <c r="AJ26" s="14">
        <f t="shared" si="5"/>
        <v>0</v>
      </c>
      <c r="AK26" t="str">
        <f t="shared" si="6"/>
        <v/>
      </c>
    </row>
    <row r="27" spans="1:37" x14ac:dyDescent="0.25">
      <c r="A27" t="str">
        <f t="shared" si="7"/>
        <v/>
      </c>
      <c r="Q27" t="str">
        <f>IF(E27&lt;&gt;"","'"&amp;'PO NO'!$B$2,"")</f>
        <v/>
      </c>
      <c r="U27" t="str">
        <f>IFERROR(CLEAN(VLOOKUP(N27,BOE!J:P,7,FALSE)),"")</f>
        <v/>
      </c>
      <c r="V27" t="str">
        <f t="shared" si="0"/>
        <v/>
      </c>
      <c r="W27" t="str">
        <f t="shared" si="1"/>
        <v/>
      </c>
      <c r="Y27" t="str">
        <f t="shared" si="2"/>
        <v/>
      </c>
      <c r="Z27" t="str">
        <f>IFERROR(IF(VLOOKUP(N27,BOE!J:Q,8,FALSE)=J27,"Pass","Mismatch"),"")</f>
        <v/>
      </c>
      <c r="AA27" t="str">
        <f>IFERROR(IF(ABS(VLOOKUP(N27,BOE!J:R,9,FALSE)-K27)&lt;0.2,"Pass","Mismatch"),"")</f>
        <v/>
      </c>
      <c r="AB27" t="str">
        <f>IFERROR(IF(ABS(VLOOKUP(N27,BOE!J:T,10,FALSE)-L27)&lt;0.2,"Pass","Mismatch"),"")</f>
        <v/>
      </c>
      <c r="AC27" t="str">
        <f>IFERROR(VLOOKUP(N27,BOE!J:N,2,FALSE),"")</f>
        <v/>
      </c>
      <c r="AD27" t="str">
        <f>IFERROR(VLOOKUP(N27,BOE!J:N,4,FALSE),"")</f>
        <v/>
      </c>
      <c r="AE27" t="str">
        <f>IFERROR(VLOOKUP(N27,BOE!J:N,5,FALSE),"")</f>
        <v/>
      </c>
      <c r="AF27" t="str">
        <f>IF(E27&lt;&gt;"",BOE!$I$1,"")</f>
        <v/>
      </c>
      <c r="AG27" t="str">
        <f>IFERROR(VLOOKUP(N27,BOE!J:T,11,FALSE),"")</f>
        <v/>
      </c>
      <c r="AH27" s="14" t="str">
        <f t="shared" si="3"/>
        <v/>
      </c>
      <c r="AI27" s="14" t="str">
        <f t="shared" si="4"/>
        <v/>
      </c>
      <c r="AJ27" s="14">
        <f t="shared" si="5"/>
        <v>0</v>
      </c>
      <c r="AK27" t="str">
        <f t="shared" si="6"/>
        <v/>
      </c>
    </row>
    <row r="28" spans="1:37" x14ac:dyDescent="0.25">
      <c r="A28" t="str">
        <f t="shared" si="7"/>
        <v/>
      </c>
      <c r="Q28" t="str">
        <f>IF(E28&lt;&gt;"","'"&amp;'PO NO'!$B$2,"")</f>
        <v/>
      </c>
      <c r="U28" t="str">
        <f>IFERROR(CLEAN(VLOOKUP(N28,BOE!J:P,7,FALSE)),"")</f>
        <v/>
      </c>
      <c r="V28" t="str">
        <f t="shared" si="0"/>
        <v/>
      </c>
      <c r="W28" t="str">
        <f t="shared" si="1"/>
        <v/>
      </c>
      <c r="Y28" t="str">
        <f t="shared" si="2"/>
        <v/>
      </c>
      <c r="Z28" t="str">
        <f>IFERROR(IF(VLOOKUP(N28,BOE!J:Q,8,FALSE)=J28,"Pass","Mismatch"),"")</f>
        <v/>
      </c>
      <c r="AA28" t="str">
        <f>IFERROR(IF(ABS(VLOOKUP(N28,BOE!J:R,9,FALSE)-K28)&lt;0.2,"Pass","Mismatch"),"")</f>
        <v/>
      </c>
      <c r="AB28" t="str">
        <f>IFERROR(IF(ABS(VLOOKUP(N28,BOE!J:T,10,FALSE)-L28)&lt;0.2,"Pass","Mismatch"),"")</f>
        <v/>
      </c>
      <c r="AC28" t="str">
        <f>IFERROR(VLOOKUP(N28,BOE!J:N,2,FALSE),"")</f>
        <v/>
      </c>
      <c r="AD28" t="str">
        <f>IFERROR(VLOOKUP(N28,BOE!J:N,4,FALSE),"")</f>
        <v/>
      </c>
      <c r="AE28" t="str">
        <f>IFERROR(VLOOKUP(N28,BOE!J:N,5,FALSE),"")</f>
        <v/>
      </c>
      <c r="AF28" t="str">
        <f>IF(E28&lt;&gt;"",BOE!$I$1,"")</f>
        <v/>
      </c>
      <c r="AG28" t="str">
        <f>IFERROR(VLOOKUP(N28,BOE!J:T,11,FALSE),"")</f>
        <v/>
      </c>
      <c r="AH28" s="14" t="str">
        <f t="shared" si="3"/>
        <v/>
      </c>
      <c r="AI28" s="14" t="str">
        <f t="shared" si="4"/>
        <v/>
      </c>
      <c r="AJ28" s="14">
        <f t="shared" si="5"/>
        <v>0</v>
      </c>
      <c r="AK28" t="str">
        <f t="shared" si="6"/>
        <v/>
      </c>
    </row>
    <row r="29" spans="1:37" x14ac:dyDescent="0.25">
      <c r="A29" t="str">
        <f t="shared" si="7"/>
        <v/>
      </c>
      <c r="Q29" t="str">
        <f>IF(E29&lt;&gt;"","'"&amp;'PO NO'!$B$2,"")</f>
        <v/>
      </c>
      <c r="U29" t="str">
        <f>IFERROR(CLEAN(VLOOKUP(N29,BOE!J:P,7,FALSE)),"")</f>
        <v/>
      </c>
      <c r="V29" t="str">
        <f t="shared" si="0"/>
        <v/>
      </c>
      <c r="W29" t="str">
        <f t="shared" si="1"/>
        <v/>
      </c>
      <c r="Y29" t="str">
        <f t="shared" si="2"/>
        <v/>
      </c>
      <c r="Z29" t="str">
        <f>IFERROR(IF(VLOOKUP(N29,BOE!J:Q,8,FALSE)=J29,"Pass","Mismatch"),"")</f>
        <v/>
      </c>
      <c r="AA29" t="str">
        <f>IFERROR(IF(ABS(VLOOKUP(N29,BOE!J:R,9,FALSE)-K29)&lt;0.2,"Pass","Mismatch"),"")</f>
        <v/>
      </c>
      <c r="AB29" t="str">
        <f>IFERROR(IF(ABS(VLOOKUP(N29,BOE!J:T,10,FALSE)-L29)&lt;0.2,"Pass","Mismatch"),"")</f>
        <v/>
      </c>
      <c r="AC29" t="str">
        <f>IFERROR(VLOOKUP(N29,BOE!J:N,2,FALSE),"")</f>
        <v/>
      </c>
      <c r="AD29" t="str">
        <f>IFERROR(VLOOKUP(N29,BOE!J:N,4,FALSE),"")</f>
        <v/>
      </c>
      <c r="AE29" t="str">
        <f>IFERROR(VLOOKUP(N29,BOE!J:N,5,FALSE),"")</f>
        <v/>
      </c>
      <c r="AF29" t="str">
        <f>IF(E29&lt;&gt;"",BOE!$I$1,"")</f>
        <v/>
      </c>
      <c r="AG29" t="str">
        <f>IFERROR(VLOOKUP(N29,BOE!J:T,11,FALSE),"")</f>
        <v/>
      </c>
      <c r="AH29" s="14" t="str">
        <f t="shared" si="3"/>
        <v/>
      </c>
      <c r="AI29" s="14" t="str">
        <f t="shared" si="4"/>
        <v/>
      </c>
      <c r="AJ29" s="14">
        <f t="shared" si="5"/>
        <v>0</v>
      </c>
      <c r="AK29" t="str">
        <f t="shared" si="6"/>
        <v/>
      </c>
    </row>
    <row r="30" spans="1:37" x14ac:dyDescent="0.25">
      <c r="A30" t="str">
        <f t="shared" si="7"/>
        <v/>
      </c>
      <c r="Q30" t="str">
        <f>IF(E30&lt;&gt;"","'"&amp;'PO NO'!$B$2,"")</f>
        <v/>
      </c>
      <c r="U30" t="str">
        <f>IFERROR(CLEAN(VLOOKUP(N30,BOE!J:P,7,FALSE)),"")</f>
        <v/>
      </c>
      <c r="V30" t="str">
        <f t="shared" si="0"/>
        <v/>
      </c>
      <c r="W30" t="str">
        <f t="shared" si="1"/>
        <v/>
      </c>
      <c r="Y30" t="str">
        <f t="shared" si="2"/>
        <v/>
      </c>
      <c r="Z30" t="str">
        <f>IFERROR(IF(VLOOKUP(N30,BOE!J:Q,8,FALSE)=J30,"Pass","Mismatch"),"")</f>
        <v/>
      </c>
      <c r="AA30" t="str">
        <f>IFERROR(IF(ABS(VLOOKUP(N30,BOE!J:R,9,FALSE)-K30)&lt;0.2,"Pass","Mismatch"),"")</f>
        <v/>
      </c>
      <c r="AB30" t="str">
        <f>IFERROR(IF(ABS(VLOOKUP(N30,BOE!J:T,10,FALSE)-L30)&lt;0.2,"Pass","Mismatch"),"")</f>
        <v/>
      </c>
      <c r="AC30" t="str">
        <f>IFERROR(VLOOKUP(N30,BOE!J:N,2,FALSE),"")</f>
        <v/>
      </c>
      <c r="AD30" t="str">
        <f>IFERROR(VLOOKUP(N30,BOE!J:N,4,FALSE),"")</f>
        <v/>
      </c>
      <c r="AE30" t="str">
        <f>IFERROR(VLOOKUP(N30,BOE!J:N,5,FALSE),"")</f>
        <v/>
      </c>
      <c r="AF30" t="str">
        <f>IF(E30&lt;&gt;"",BOE!$I$1,"")</f>
        <v/>
      </c>
      <c r="AG30" t="str">
        <f>IFERROR(VLOOKUP(N30,BOE!J:T,11,FALSE),"")</f>
        <v/>
      </c>
      <c r="AH30" s="14" t="str">
        <f t="shared" si="3"/>
        <v/>
      </c>
      <c r="AI30" s="14" t="str">
        <f t="shared" si="4"/>
        <v/>
      </c>
      <c r="AJ30" s="14">
        <f t="shared" si="5"/>
        <v>0</v>
      </c>
      <c r="AK30" t="str">
        <f t="shared" si="6"/>
        <v/>
      </c>
    </row>
    <row r="31" spans="1:37" x14ac:dyDescent="0.25">
      <c r="A31" t="str">
        <f t="shared" si="7"/>
        <v/>
      </c>
      <c r="Q31" t="str">
        <f>IF(E31&lt;&gt;"","'"&amp;'PO NO'!$B$2,"")</f>
        <v/>
      </c>
      <c r="U31" t="str">
        <f>IFERROR(CLEAN(VLOOKUP(N31,BOE!J:P,7,FALSE)),"")</f>
        <v/>
      </c>
      <c r="V31" t="str">
        <f t="shared" si="0"/>
        <v/>
      </c>
      <c r="W31" t="str">
        <f t="shared" si="1"/>
        <v/>
      </c>
      <c r="Y31" t="str">
        <f t="shared" si="2"/>
        <v/>
      </c>
      <c r="Z31" t="str">
        <f>IFERROR(IF(VLOOKUP(N31,BOE!J:Q,8,FALSE)=J31,"Pass","Mismatch"),"")</f>
        <v/>
      </c>
      <c r="AA31" t="str">
        <f>IFERROR(IF(ABS(VLOOKUP(N31,BOE!J:R,9,FALSE)-K31)&lt;0.2,"Pass","Mismatch"),"")</f>
        <v/>
      </c>
      <c r="AB31" t="str">
        <f>IFERROR(IF(ABS(VLOOKUP(N31,BOE!J:T,10,FALSE)-L31)&lt;0.2,"Pass","Mismatch"),"")</f>
        <v/>
      </c>
      <c r="AC31" t="str">
        <f>IFERROR(VLOOKUP(N31,BOE!J:N,2,FALSE),"")</f>
        <v/>
      </c>
      <c r="AD31" t="str">
        <f>IFERROR(VLOOKUP(N31,BOE!J:N,4,FALSE),"")</f>
        <v/>
      </c>
      <c r="AE31" t="str">
        <f>IFERROR(VLOOKUP(N31,BOE!J:N,5,FALSE),"")</f>
        <v/>
      </c>
      <c r="AF31" t="str">
        <f>IF(E31&lt;&gt;"",BOE!$I$1,"")</f>
        <v/>
      </c>
      <c r="AG31" t="str">
        <f>IFERROR(VLOOKUP(N31,BOE!J:T,11,FALSE),"")</f>
        <v/>
      </c>
      <c r="AH31" s="14" t="str">
        <f t="shared" si="3"/>
        <v/>
      </c>
      <c r="AI31" s="14" t="str">
        <f t="shared" si="4"/>
        <v/>
      </c>
      <c r="AJ31" s="14">
        <f t="shared" si="5"/>
        <v>0</v>
      </c>
      <c r="AK31" t="str">
        <f t="shared" si="6"/>
        <v/>
      </c>
    </row>
    <row r="32" spans="1:37" x14ac:dyDescent="0.25">
      <c r="A32" t="str">
        <f t="shared" si="7"/>
        <v/>
      </c>
      <c r="Q32" t="str">
        <f>IF(E32&lt;&gt;"","'"&amp;'PO NO'!$B$2,"")</f>
        <v/>
      </c>
      <c r="U32" t="str">
        <f>IFERROR(CLEAN(VLOOKUP(N32,BOE!J:P,7,FALSE)),"")</f>
        <v/>
      </c>
      <c r="V32" t="str">
        <f t="shared" si="0"/>
        <v/>
      </c>
      <c r="W32" t="str">
        <f t="shared" si="1"/>
        <v/>
      </c>
      <c r="Y32" t="str">
        <f t="shared" si="2"/>
        <v/>
      </c>
      <c r="Z32" t="str">
        <f>IFERROR(IF(VLOOKUP(N32,BOE!J:Q,8,FALSE)=J32,"Pass","Mismatch"),"")</f>
        <v/>
      </c>
      <c r="AA32" t="str">
        <f>IFERROR(IF(ABS(VLOOKUP(N32,BOE!J:R,9,FALSE)-K32)&lt;0.2,"Pass","Mismatch"),"")</f>
        <v/>
      </c>
      <c r="AB32" t="str">
        <f>IFERROR(IF(ABS(VLOOKUP(N32,BOE!J:T,10,FALSE)-L32)&lt;0.2,"Pass","Mismatch"),"")</f>
        <v/>
      </c>
      <c r="AC32" t="str">
        <f>IFERROR(VLOOKUP(N32,BOE!J:N,2,FALSE),"")</f>
        <v/>
      </c>
      <c r="AD32" t="str">
        <f>IFERROR(VLOOKUP(N32,BOE!J:N,4,FALSE),"")</f>
        <v/>
      </c>
      <c r="AE32" t="str">
        <f>IFERROR(VLOOKUP(N32,BOE!J:N,5,FALSE),"")</f>
        <v/>
      </c>
      <c r="AF32" t="str">
        <f>IF(E32&lt;&gt;"",BOE!$I$1,"")</f>
        <v/>
      </c>
      <c r="AG32" t="str">
        <f>IFERROR(VLOOKUP(N32,BOE!J:T,11,FALSE),"")</f>
        <v/>
      </c>
      <c r="AH32" s="14" t="str">
        <f t="shared" si="3"/>
        <v/>
      </c>
      <c r="AI32" s="14" t="str">
        <f t="shared" si="4"/>
        <v/>
      </c>
      <c r="AJ32" s="14">
        <f t="shared" si="5"/>
        <v>0</v>
      </c>
      <c r="AK32" t="str">
        <f t="shared" si="6"/>
        <v/>
      </c>
    </row>
    <row r="33" spans="1:37" x14ac:dyDescent="0.25">
      <c r="A33" t="str">
        <f t="shared" si="7"/>
        <v/>
      </c>
      <c r="Q33" t="str">
        <f>IF(E33&lt;&gt;"","'"&amp;'PO NO'!$B$2,"")</f>
        <v/>
      </c>
      <c r="U33" t="str">
        <f>IFERROR(CLEAN(VLOOKUP(N33,BOE!J:P,7,FALSE)),"")</f>
        <v/>
      </c>
      <c r="V33" t="str">
        <f t="shared" si="0"/>
        <v/>
      </c>
      <c r="W33" t="str">
        <f t="shared" si="1"/>
        <v/>
      </c>
      <c r="Y33" t="str">
        <f t="shared" si="2"/>
        <v/>
      </c>
      <c r="Z33" t="str">
        <f>IFERROR(IF(VLOOKUP(N33,BOE!J:Q,8,FALSE)=J33,"Pass","Mismatch"),"")</f>
        <v/>
      </c>
      <c r="AA33" t="str">
        <f>IFERROR(IF(ABS(VLOOKUP(N33,BOE!J:R,9,FALSE)-K33)&lt;0.2,"Pass","Mismatch"),"")</f>
        <v/>
      </c>
      <c r="AB33" t="str">
        <f>IFERROR(IF(ABS(VLOOKUP(N33,BOE!J:T,10,FALSE)-L33)&lt;0.2,"Pass","Mismatch"),"")</f>
        <v/>
      </c>
      <c r="AC33" t="str">
        <f>IFERROR(VLOOKUP(N33,BOE!J:N,2,FALSE),"")</f>
        <v/>
      </c>
      <c r="AD33" t="str">
        <f>IFERROR(VLOOKUP(N33,BOE!J:N,4,FALSE),"")</f>
        <v/>
      </c>
      <c r="AE33" t="str">
        <f>IFERROR(VLOOKUP(N33,BOE!J:N,5,FALSE),"")</f>
        <v/>
      </c>
      <c r="AF33" t="str">
        <f>IF(E33&lt;&gt;"",BOE!$I$1,"")</f>
        <v/>
      </c>
      <c r="AG33" t="str">
        <f>IFERROR(VLOOKUP(N33,BOE!J:T,11,FALSE),"")</f>
        <v/>
      </c>
      <c r="AH33" s="14" t="str">
        <f t="shared" si="3"/>
        <v/>
      </c>
      <c r="AI33" s="14" t="str">
        <f t="shared" si="4"/>
        <v/>
      </c>
      <c r="AJ33" s="14">
        <f t="shared" si="5"/>
        <v>0</v>
      </c>
      <c r="AK33" t="str">
        <f t="shared" si="6"/>
        <v/>
      </c>
    </row>
    <row r="34" spans="1:37" x14ac:dyDescent="0.25">
      <c r="A34" t="str">
        <f t="shared" si="7"/>
        <v/>
      </c>
      <c r="Q34" t="str">
        <f>IF(E34&lt;&gt;"","'"&amp;'PO NO'!$B$2,"")</f>
        <v/>
      </c>
      <c r="U34" t="str">
        <f>IFERROR(CLEAN(VLOOKUP(N34,BOE!J:P,7,FALSE)),"")</f>
        <v/>
      </c>
      <c r="V34" t="str">
        <f t="shared" si="0"/>
        <v/>
      </c>
      <c r="W34" t="str">
        <f t="shared" si="1"/>
        <v/>
      </c>
      <c r="Y34" t="str">
        <f t="shared" si="2"/>
        <v/>
      </c>
      <c r="Z34" t="str">
        <f>IFERROR(IF(VLOOKUP(N34,BOE!J:Q,8,FALSE)=J34,"Pass","Mismatch"),"")</f>
        <v/>
      </c>
      <c r="AA34" t="str">
        <f>IFERROR(IF(ABS(VLOOKUP(N34,BOE!J:R,9,FALSE)-K34)&lt;0.2,"Pass","Mismatch"),"")</f>
        <v/>
      </c>
      <c r="AB34" t="str">
        <f>IFERROR(IF(ABS(VLOOKUP(N34,BOE!J:T,10,FALSE)-L34)&lt;0.2,"Pass","Mismatch"),"")</f>
        <v/>
      </c>
      <c r="AC34" t="str">
        <f>IFERROR(VLOOKUP(N34,BOE!J:N,2,FALSE),"")</f>
        <v/>
      </c>
      <c r="AD34" t="str">
        <f>IFERROR(VLOOKUP(N34,BOE!J:N,4,FALSE),"")</f>
        <v/>
      </c>
      <c r="AE34" t="str">
        <f>IFERROR(VLOOKUP(N34,BOE!J:N,5,FALSE),"")</f>
        <v/>
      </c>
      <c r="AF34" t="str">
        <f>IF(E34&lt;&gt;"",BOE!$I$1,"")</f>
        <v/>
      </c>
      <c r="AG34" t="str">
        <f>IFERROR(VLOOKUP(N34,BOE!J:T,11,FALSE),"")</f>
        <v/>
      </c>
      <c r="AH34" s="14" t="str">
        <f t="shared" si="3"/>
        <v/>
      </c>
      <c r="AI34" s="14" t="str">
        <f t="shared" si="4"/>
        <v/>
      </c>
      <c r="AJ34" s="14">
        <f t="shared" si="5"/>
        <v>0</v>
      </c>
      <c r="AK34" t="str">
        <f t="shared" si="6"/>
        <v/>
      </c>
    </row>
    <row r="35" spans="1:37" x14ac:dyDescent="0.25">
      <c r="A35" t="str">
        <f t="shared" si="7"/>
        <v/>
      </c>
      <c r="Q35" t="str">
        <f>IF(E35&lt;&gt;"","'"&amp;'PO NO'!$B$2,"")</f>
        <v/>
      </c>
      <c r="U35" t="str">
        <f>IFERROR(CLEAN(VLOOKUP(N35,BOE!J:P,7,FALSE)),"")</f>
        <v/>
      </c>
      <c r="V35" t="str">
        <f t="shared" si="0"/>
        <v/>
      </c>
      <c r="W35" t="str">
        <f t="shared" si="1"/>
        <v/>
      </c>
      <c r="Y35" t="str">
        <f t="shared" si="2"/>
        <v/>
      </c>
      <c r="Z35" t="str">
        <f>IFERROR(IF(VLOOKUP(N35,BOE!J:Q,8,FALSE)=J35,"Pass","Mismatch"),"")</f>
        <v/>
      </c>
      <c r="AA35" t="str">
        <f>IFERROR(IF(ABS(VLOOKUP(N35,BOE!J:R,9,FALSE)-K35)&lt;0.2,"Pass","Mismatch"),"")</f>
        <v/>
      </c>
      <c r="AB35" t="str">
        <f>IFERROR(IF(ABS(VLOOKUP(N35,BOE!J:T,10,FALSE)-L35)&lt;0.2,"Pass","Mismatch"),"")</f>
        <v/>
      </c>
      <c r="AC35" t="str">
        <f>IFERROR(VLOOKUP(N35,BOE!J:N,2,FALSE),"")</f>
        <v/>
      </c>
      <c r="AD35" t="str">
        <f>IFERROR(VLOOKUP(N35,BOE!J:N,4,FALSE),"")</f>
        <v/>
      </c>
      <c r="AE35" t="str">
        <f>IFERROR(VLOOKUP(N35,BOE!J:N,5,FALSE),"")</f>
        <v/>
      </c>
      <c r="AF35" t="str">
        <f>IF(E35&lt;&gt;"",BOE!$I$1,"")</f>
        <v/>
      </c>
      <c r="AG35" t="str">
        <f>IFERROR(VLOOKUP(N35,BOE!J:T,11,FALSE),"")</f>
        <v/>
      </c>
      <c r="AH35" s="14" t="str">
        <f t="shared" si="3"/>
        <v/>
      </c>
      <c r="AI35" s="14" t="str">
        <f t="shared" si="4"/>
        <v/>
      </c>
      <c r="AJ35" s="14">
        <f t="shared" si="5"/>
        <v>0</v>
      </c>
      <c r="AK35" t="str">
        <f t="shared" si="6"/>
        <v/>
      </c>
    </row>
    <row r="36" spans="1:37" x14ac:dyDescent="0.25">
      <c r="A36" t="str">
        <f t="shared" si="7"/>
        <v/>
      </c>
      <c r="Q36" t="str">
        <f>IF(E36&lt;&gt;"","'"&amp;'PO NO'!$B$2,"")</f>
        <v/>
      </c>
      <c r="U36" t="str">
        <f>IFERROR(CLEAN(VLOOKUP(N36,BOE!J:P,7,FALSE)),"")</f>
        <v/>
      </c>
      <c r="V36" t="str">
        <f t="shared" si="0"/>
        <v/>
      </c>
      <c r="W36" t="str">
        <f t="shared" si="1"/>
        <v/>
      </c>
      <c r="Y36" t="str">
        <f t="shared" si="2"/>
        <v/>
      </c>
      <c r="Z36" t="str">
        <f>IFERROR(IF(VLOOKUP(N36,BOE!J:Q,8,FALSE)=J36,"Pass","Mismatch"),"")</f>
        <v/>
      </c>
      <c r="AA36" t="str">
        <f>IFERROR(IF(ABS(VLOOKUP(N36,BOE!J:R,9,FALSE)-K36)&lt;0.2,"Pass","Mismatch"),"")</f>
        <v/>
      </c>
      <c r="AB36" t="str">
        <f>IFERROR(IF(ABS(VLOOKUP(N36,BOE!J:T,10,FALSE)-L36)&lt;0.2,"Pass","Mismatch"),"")</f>
        <v/>
      </c>
      <c r="AC36" t="str">
        <f>IFERROR(VLOOKUP(N36,BOE!J:N,2,FALSE),"")</f>
        <v/>
      </c>
      <c r="AD36" t="str">
        <f>IFERROR(VLOOKUP(N36,BOE!J:N,4,FALSE),"")</f>
        <v/>
      </c>
      <c r="AE36" t="str">
        <f>IFERROR(VLOOKUP(N36,BOE!J:N,5,FALSE),"")</f>
        <v/>
      </c>
      <c r="AF36" t="str">
        <f>IF(E36&lt;&gt;"",BOE!$I$1,"")</f>
        <v/>
      </c>
      <c r="AG36" t="str">
        <f>IFERROR(VLOOKUP(N36,BOE!J:T,11,FALSE),"")</f>
        <v/>
      </c>
      <c r="AH36" s="14" t="str">
        <f t="shared" si="3"/>
        <v/>
      </c>
      <c r="AI36" s="14" t="str">
        <f t="shared" si="4"/>
        <v/>
      </c>
      <c r="AJ36" s="14">
        <f t="shared" si="5"/>
        <v>0</v>
      </c>
      <c r="AK36" t="str">
        <f t="shared" si="6"/>
        <v/>
      </c>
    </row>
    <row r="37" spans="1:37" x14ac:dyDescent="0.25">
      <c r="A37" t="str">
        <f t="shared" si="7"/>
        <v/>
      </c>
      <c r="Q37" t="str">
        <f>IF(E37&lt;&gt;"","'"&amp;'PO NO'!$B$2,"")</f>
        <v/>
      </c>
      <c r="U37" t="str">
        <f>IFERROR(CLEAN(VLOOKUP(N37,BOE!J:P,7,FALSE)),"")</f>
        <v/>
      </c>
      <c r="V37" t="str">
        <f t="shared" si="0"/>
        <v/>
      </c>
      <c r="W37" t="str">
        <f t="shared" si="1"/>
        <v/>
      </c>
      <c r="Y37" t="str">
        <f t="shared" si="2"/>
        <v/>
      </c>
      <c r="Z37" t="str">
        <f>IFERROR(IF(VLOOKUP(N37,BOE!J:Q,8,FALSE)=J37,"Pass","Mismatch"),"")</f>
        <v/>
      </c>
      <c r="AA37" t="str">
        <f>IFERROR(IF(ABS(VLOOKUP(N37,BOE!J:R,9,FALSE)-K37)&lt;0.2,"Pass","Mismatch"),"")</f>
        <v/>
      </c>
      <c r="AB37" t="str">
        <f>IFERROR(IF(ABS(VLOOKUP(N37,BOE!J:T,10,FALSE)-L37)&lt;0.2,"Pass","Mismatch"),"")</f>
        <v/>
      </c>
      <c r="AC37" t="str">
        <f>IFERROR(VLOOKUP(N37,BOE!J:N,2,FALSE),"")</f>
        <v/>
      </c>
      <c r="AD37" t="str">
        <f>IFERROR(VLOOKUP(N37,BOE!J:N,4,FALSE),"")</f>
        <v/>
      </c>
      <c r="AE37" t="str">
        <f>IFERROR(VLOOKUP(N37,BOE!J:N,5,FALSE),"")</f>
        <v/>
      </c>
      <c r="AF37" t="str">
        <f>IF(E37&lt;&gt;"",BOE!$I$1,"")</f>
        <v/>
      </c>
      <c r="AG37" t="str">
        <f>IFERROR(VLOOKUP(N37,BOE!J:T,11,FALSE),"")</f>
        <v/>
      </c>
      <c r="AH37" s="14" t="str">
        <f t="shared" si="3"/>
        <v/>
      </c>
      <c r="AI37" s="14" t="str">
        <f t="shared" si="4"/>
        <v/>
      </c>
      <c r="AJ37" s="14">
        <f t="shared" si="5"/>
        <v>0</v>
      </c>
      <c r="AK37" t="str">
        <f t="shared" si="6"/>
        <v/>
      </c>
    </row>
    <row r="38" spans="1:37" x14ac:dyDescent="0.25">
      <c r="A38" t="str">
        <f t="shared" si="7"/>
        <v/>
      </c>
      <c r="Q38" t="str">
        <f>IF(E38&lt;&gt;"","'"&amp;'PO NO'!$B$2,"")</f>
        <v/>
      </c>
      <c r="U38" t="str">
        <f>IFERROR(CLEAN(VLOOKUP(N38,BOE!J:P,7,FALSE)),"")</f>
        <v/>
      </c>
      <c r="V38" t="str">
        <f t="shared" si="0"/>
        <v/>
      </c>
      <c r="W38" t="str">
        <f t="shared" si="1"/>
        <v/>
      </c>
      <c r="Y38" t="str">
        <f t="shared" si="2"/>
        <v/>
      </c>
      <c r="Z38" t="str">
        <f>IFERROR(IF(VLOOKUP(N38,BOE!J:Q,8,FALSE)=J38,"Pass","Mismatch"),"")</f>
        <v/>
      </c>
      <c r="AA38" t="str">
        <f>IFERROR(IF(ABS(VLOOKUP(N38,BOE!J:R,9,FALSE)-K38)&lt;0.2,"Pass","Mismatch"),"")</f>
        <v/>
      </c>
      <c r="AB38" t="str">
        <f>IFERROR(IF(ABS(VLOOKUP(N38,BOE!J:T,10,FALSE)-L38)&lt;0.2,"Pass","Mismatch"),"")</f>
        <v/>
      </c>
      <c r="AC38" t="str">
        <f>IFERROR(VLOOKUP(N38,BOE!J:N,2,FALSE),"")</f>
        <v/>
      </c>
      <c r="AD38" t="str">
        <f>IFERROR(VLOOKUP(N38,BOE!J:N,4,FALSE),"")</f>
        <v/>
      </c>
      <c r="AE38" t="str">
        <f>IFERROR(VLOOKUP(N38,BOE!J:N,5,FALSE),"")</f>
        <v/>
      </c>
      <c r="AF38" t="str">
        <f>IF(E38&lt;&gt;"",BOE!$I$1,"")</f>
        <v/>
      </c>
      <c r="AG38" t="str">
        <f>IFERROR(VLOOKUP(N38,BOE!J:T,11,FALSE),"")</f>
        <v/>
      </c>
      <c r="AH38" s="14" t="str">
        <f t="shared" si="3"/>
        <v/>
      </c>
      <c r="AI38" s="14" t="str">
        <f t="shared" si="4"/>
        <v/>
      </c>
      <c r="AJ38" s="14">
        <f t="shared" si="5"/>
        <v>0</v>
      </c>
      <c r="AK38" t="str">
        <f t="shared" si="6"/>
        <v/>
      </c>
    </row>
    <row r="39" spans="1:37" x14ac:dyDescent="0.25">
      <c r="A39" t="str">
        <f t="shared" si="7"/>
        <v/>
      </c>
      <c r="Q39" t="str">
        <f>IF(E39&lt;&gt;"","'"&amp;'PO NO'!$B$2,"")</f>
        <v/>
      </c>
      <c r="U39" t="str">
        <f>IFERROR(CLEAN(VLOOKUP(N39,BOE!J:P,7,FALSE)),"")</f>
        <v/>
      </c>
      <c r="V39" t="str">
        <f t="shared" si="0"/>
        <v/>
      </c>
      <c r="W39" t="str">
        <f t="shared" si="1"/>
        <v/>
      </c>
      <c r="Y39" t="str">
        <f t="shared" si="2"/>
        <v/>
      </c>
      <c r="Z39" t="str">
        <f>IFERROR(IF(VLOOKUP(N39,BOE!J:Q,8,FALSE)=J39,"Pass","Mismatch"),"")</f>
        <v/>
      </c>
      <c r="AA39" t="str">
        <f>IFERROR(IF(ABS(VLOOKUP(N39,BOE!J:R,9,FALSE)-K39)&lt;0.2,"Pass","Mismatch"),"")</f>
        <v/>
      </c>
      <c r="AB39" t="str">
        <f>IFERROR(IF(ABS(VLOOKUP(N39,BOE!J:T,10,FALSE)-L39)&lt;0.2,"Pass","Mismatch"),"")</f>
        <v/>
      </c>
      <c r="AC39" t="str">
        <f>IFERROR(VLOOKUP(N39,BOE!J:N,2,FALSE),"")</f>
        <v/>
      </c>
      <c r="AD39" t="str">
        <f>IFERROR(VLOOKUP(N39,BOE!J:N,4,FALSE),"")</f>
        <v/>
      </c>
      <c r="AE39" t="str">
        <f>IFERROR(VLOOKUP(N39,BOE!J:N,5,FALSE),"")</f>
        <v/>
      </c>
      <c r="AF39" t="str">
        <f>IF(E39&lt;&gt;"",BOE!$I$1,"")</f>
        <v/>
      </c>
      <c r="AG39" t="str">
        <f>IFERROR(VLOOKUP(N39,BOE!J:T,11,FALSE),"")</f>
        <v/>
      </c>
      <c r="AH39" s="14" t="str">
        <f t="shared" si="3"/>
        <v/>
      </c>
      <c r="AI39" s="14" t="str">
        <f t="shared" si="4"/>
        <v/>
      </c>
      <c r="AJ39" s="14">
        <f t="shared" si="5"/>
        <v>0</v>
      </c>
      <c r="AK39" t="str">
        <f t="shared" si="6"/>
        <v/>
      </c>
    </row>
    <row r="40" spans="1:37" x14ac:dyDescent="0.25">
      <c r="A40" t="str">
        <f t="shared" si="7"/>
        <v/>
      </c>
      <c r="Q40" t="str">
        <f>IF(E40&lt;&gt;"","'"&amp;'PO NO'!$B$2,"")</f>
        <v/>
      </c>
      <c r="U40" t="str">
        <f>IFERROR(CLEAN(VLOOKUP(N40,BOE!J:P,7,FALSE)),"")</f>
        <v/>
      </c>
      <c r="V40" t="str">
        <f t="shared" si="0"/>
        <v/>
      </c>
      <c r="W40" t="str">
        <f t="shared" si="1"/>
        <v/>
      </c>
      <c r="Y40" t="str">
        <f t="shared" si="2"/>
        <v/>
      </c>
      <c r="Z40" t="str">
        <f>IFERROR(IF(VLOOKUP(N40,BOE!J:Q,8,FALSE)=J40,"Pass","Mismatch"),"")</f>
        <v/>
      </c>
      <c r="AA40" t="str">
        <f>IFERROR(IF(ABS(VLOOKUP(N40,BOE!J:R,9,FALSE)-K40)&lt;0.2,"Pass","Mismatch"),"")</f>
        <v/>
      </c>
      <c r="AB40" t="str">
        <f>IFERROR(IF(ABS(VLOOKUP(N40,BOE!J:T,10,FALSE)-L40)&lt;0.2,"Pass","Mismatch"),"")</f>
        <v/>
      </c>
      <c r="AC40" t="str">
        <f>IFERROR(VLOOKUP(N40,BOE!J:N,2,FALSE),"")</f>
        <v/>
      </c>
      <c r="AD40" t="str">
        <f>IFERROR(VLOOKUP(N40,BOE!J:N,4,FALSE),"")</f>
        <v/>
      </c>
      <c r="AE40" t="str">
        <f>IFERROR(VLOOKUP(N40,BOE!J:N,5,FALSE),"")</f>
        <v/>
      </c>
      <c r="AF40" t="str">
        <f>IF(E40&lt;&gt;"",BOE!$I$1,"")</f>
        <v/>
      </c>
      <c r="AG40" t="str">
        <f>IFERROR(VLOOKUP(N40,BOE!J:T,11,FALSE),"")</f>
        <v/>
      </c>
      <c r="AH40" s="14" t="str">
        <f t="shared" si="3"/>
        <v/>
      </c>
      <c r="AI40" s="14" t="str">
        <f t="shared" si="4"/>
        <v/>
      </c>
      <c r="AJ40" s="14">
        <f t="shared" si="5"/>
        <v>0</v>
      </c>
      <c r="AK40" t="str">
        <f t="shared" si="6"/>
        <v/>
      </c>
    </row>
    <row r="41" spans="1:37" x14ac:dyDescent="0.25">
      <c r="A41" t="str">
        <f t="shared" si="7"/>
        <v/>
      </c>
      <c r="Q41" t="str">
        <f>IF(E41&lt;&gt;"","'"&amp;'PO NO'!$B$2,"")</f>
        <v/>
      </c>
      <c r="U41" t="str">
        <f>IFERROR(CLEAN(VLOOKUP(N41,BOE!J:P,7,FALSE)),"")</f>
        <v/>
      </c>
      <c r="V41" t="str">
        <f t="shared" si="0"/>
        <v/>
      </c>
      <c r="W41" t="str">
        <f t="shared" si="1"/>
        <v/>
      </c>
      <c r="Y41" t="str">
        <f t="shared" si="2"/>
        <v/>
      </c>
      <c r="Z41" t="str">
        <f>IFERROR(IF(VLOOKUP(N41,BOE!J:Q,8,FALSE)=J41,"Pass","Mismatch"),"")</f>
        <v/>
      </c>
      <c r="AA41" t="str">
        <f>IFERROR(IF(ABS(VLOOKUP(N41,BOE!J:R,9,FALSE)-K41)&lt;0.2,"Pass","Mismatch"),"")</f>
        <v/>
      </c>
      <c r="AB41" t="str">
        <f>IFERROR(IF(ABS(VLOOKUP(N41,BOE!J:T,10,FALSE)-L41)&lt;0.2,"Pass","Mismatch"),"")</f>
        <v/>
      </c>
      <c r="AC41" t="str">
        <f>IFERROR(VLOOKUP(N41,BOE!J:N,2,FALSE),"")</f>
        <v/>
      </c>
      <c r="AD41" t="str">
        <f>IFERROR(VLOOKUP(N41,BOE!J:N,4,FALSE),"")</f>
        <v/>
      </c>
      <c r="AE41" t="str">
        <f>IFERROR(VLOOKUP(N41,BOE!J:N,5,FALSE),"")</f>
        <v/>
      </c>
      <c r="AF41" t="str">
        <f>IF(E41&lt;&gt;"",BOE!$I$1,"")</f>
        <v/>
      </c>
      <c r="AG41" t="str">
        <f>IFERROR(VLOOKUP(N41,BOE!J:T,11,FALSE),"")</f>
        <v/>
      </c>
      <c r="AH41" s="14" t="str">
        <f t="shared" si="3"/>
        <v/>
      </c>
      <c r="AI41" s="14" t="str">
        <f t="shared" si="4"/>
        <v/>
      </c>
      <c r="AJ41" s="14">
        <f t="shared" si="5"/>
        <v>0</v>
      </c>
      <c r="AK41" t="str">
        <f t="shared" si="6"/>
        <v/>
      </c>
    </row>
    <row r="42" spans="1:37" x14ac:dyDescent="0.25">
      <c r="A42" t="str">
        <f t="shared" si="7"/>
        <v/>
      </c>
      <c r="Q42" t="str">
        <f>IF(E42&lt;&gt;"","'"&amp;'PO NO'!$B$2,"")</f>
        <v/>
      </c>
      <c r="U42" t="str">
        <f>IFERROR(CLEAN(VLOOKUP(N42,BOE!J:P,7,FALSE)),"")</f>
        <v/>
      </c>
      <c r="V42" t="str">
        <f t="shared" si="0"/>
        <v/>
      </c>
      <c r="W42" t="str">
        <f t="shared" si="1"/>
        <v/>
      </c>
      <c r="Y42" t="str">
        <f t="shared" si="2"/>
        <v/>
      </c>
      <c r="Z42" t="str">
        <f>IFERROR(IF(VLOOKUP(N42,BOE!J:Q,8,FALSE)=J42,"Pass","Mismatch"),"")</f>
        <v/>
      </c>
      <c r="AA42" t="str">
        <f>IFERROR(IF(ABS(VLOOKUP(N42,BOE!J:R,9,FALSE)-K42)&lt;0.2,"Pass","Mismatch"),"")</f>
        <v/>
      </c>
      <c r="AB42" t="str">
        <f>IFERROR(IF(ABS(VLOOKUP(N42,BOE!J:T,10,FALSE)-L42)&lt;0.2,"Pass","Mismatch"),"")</f>
        <v/>
      </c>
      <c r="AC42" t="str">
        <f>IFERROR(VLOOKUP(N42,BOE!J:N,2,FALSE),"")</f>
        <v/>
      </c>
      <c r="AD42" t="str">
        <f>IFERROR(VLOOKUP(N42,BOE!J:N,4,FALSE),"")</f>
        <v/>
      </c>
      <c r="AE42" t="str">
        <f>IFERROR(VLOOKUP(N42,BOE!J:N,5,FALSE),"")</f>
        <v/>
      </c>
      <c r="AF42" t="str">
        <f>IF(E42&lt;&gt;"",BOE!$I$1,"")</f>
        <v/>
      </c>
      <c r="AG42" t="str">
        <f>IFERROR(VLOOKUP(N42,BOE!J:T,11,FALSE),"")</f>
        <v/>
      </c>
      <c r="AH42" s="14" t="str">
        <f t="shared" si="3"/>
        <v/>
      </c>
      <c r="AI42" s="14" t="str">
        <f t="shared" si="4"/>
        <v/>
      </c>
      <c r="AJ42" s="14">
        <f t="shared" si="5"/>
        <v>0</v>
      </c>
      <c r="AK42" t="str">
        <f t="shared" si="6"/>
        <v/>
      </c>
    </row>
    <row r="43" spans="1:37" x14ac:dyDescent="0.25">
      <c r="A43" t="str">
        <f t="shared" si="7"/>
        <v/>
      </c>
      <c r="Q43" t="str">
        <f>IF(E43&lt;&gt;"","'"&amp;'PO NO'!$B$2,"")</f>
        <v/>
      </c>
      <c r="U43" t="str">
        <f>IFERROR(CLEAN(VLOOKUP(N43,BOE!J:P,7,FALSE)),"")</f>
        <v/>
      </c>
      <c r="V43" t="str">
        <f t="shared" si="0"/>
        <v/>
      </c>
      <c r="W43" t="str">
        <f t="shared" si="1"/>
        <v/>
      </c>
      <c r="Y43" t="str">
        <f t="shared" si="2"/>
        <v/>
      </c>
      <c r="Z43" t="str">
        <f>IFERROR(IF(VLOOKUP(N43,BOE!J:Q,8,FALSE)=J43,"Pass","Mismatch"),"")</f>
        <v/>
      </c>
      <c r="AA43" t="str">
        <f>IFERROR(IF(ABS(VLOOKUP(N43,BOE!J:R,9,FALSE)-K43)&lt;0.2,"Pass","Mismatch"),"")</f>
        <v/>
      </c>
      <c r="AB43" t="str">
        <f>IFERROR(IF(ABS(VLOOKUP(N43,BOE!J:T,10,FALSE)-L43)&lt;0.2,"Pass","Mismatch"),"")</f>
        <v/>
      </c>
      <c r="AC43" t="str">
        <f>IFERROR(VLOOKUP(N43,BOE!J:N,2,FALSE),"")</f>
        <v/>
      </c>
      <c r="AD43" t="str">
        <f>IFERROR(VLOOKUP(N43,BOE!J:N,4,FALSE),"")</f>
        <v/>
      </c>
      <c r="AE43" t="str">
        <f>IFERROR(VLOOKUP(N43,BOE!J:N,5,FALSE),"")</f>
        <v/>
      </c>
      <c r="AF43" t="str">
        <f>IF(E43&lt;&gt;"",BOE!$I$1,"")</f>
        <v/>
      </c>
      <c r="AG43" t="str">
        <f>IFERROR(VLOOKUP(N43,BOE!J:T,11,FALSE),"")</f>
        <v/>
      </c>
      <c r="AH43" s="14" t="str">
        <f t="shared" si="3"/>
        <v/>
      </c>
      <c r="AI43" s="14" t="str">
        <f t="shared" si="4"/>
        <v/>
      </c>
      <c r="AJ43" s="14">
        <f t="shared" si="5"/>
        <v>0</v>
      </c>
      <c r="AK43" t="str">
        <f t="shared" si="6"/>
        <v/>
      </c>
    </row>
    <row r="44" spans="1:37" x14ac:dyDescent="0.25">
      <c r="A44" t="str">
        <f t="shared" si="7"/>
        <v/>
      </c>
      <c r="Q44" t="str">
        <f>IF(E44&lt;&gt;"","'"&amp;'PO NO'!$B$2,"")</f>
        <v/>
      </c>
      <c r="U44" t="str">
        <f>IFERROR(CLEAN(VLOOKUP(N44,BOE!J:P,7,FALSE)),"")</f>
        <v/>
      </c>
      <c r="V44" t="str">
        <f t="shared" si="0"/>
        <v/>
      </c>
      <c r="W44" t="str">
        <f t="shared" si="1"/>
        <v/>
      </c>
      <c r="Y44" t="str">
        <f t="shared" si="2"/>
        <v/>
      </c>
      <c r="Z44" t="str">
        <f>IFERROR(IF(VLOOKUP(N44,BOE!J:Q,8,FALSE)=J44,"Pass","Mismatch"),"")</f>
        <v/>
      </c>
      <c r="AA44" t="str">
        <f>IFERROR(IF(ABS(VLOOKUP(N44,BOE!J:R,9,FALSE)-K44)&lt;0.2,"Pass","Mismatch"),"")</f>
        <v/>
      </c>
      <c r="AB44" t="str">
        <f>IFERROR(IF(ABS(VLOOKUP(N44,BOE!J:T,10,FALSE)-L44)&lt;0.2,"Pass","Mismatch"),"")</f>
        <v/>
      </c>
      <c r="AC44" t="str">
        <f>IFERROR(VLOOKUP(N44,BOE!J:N,2,FALSE),"")</f>
        <v/>
      </c>
      <c r="AD44" t="str">
        <f>IFERROR(VLOOKUP(N44,BOE!J:N,4,FALSE),"")</f>
        <v/>
      </c>
      <c r="AE44" t="str">
        <f>IFERROR(VLOOKUP(N44,BOE!J:N,5,FALSE),"")</f>
        <v/>
      </c>
      <c r="AF44" t="str">
        <f>IF(E44&lt;&gt;"",BOE!$I$1,"")</f>
        <v/>
      </c>
      <c r="AG44" t="str">
        <f>IFERROR(VLOOKUP(N44,BOE!J:T,11,FALSE),"")</f>
        <v/>
      </c>
      <c r="AH44" s="14" t="str">
        <f t="shared" si="3"/>
        <v/>
      </c>
      <c r="AI44" s="14" t="str">
        <f t="shared" si="4"/>
        <v/>
      </c>
      <c r="AJ44" s="14">
        <f t="shared" si="5"/>
        <v>0</v>
      </c>
      <c r="AK44" t="str">
        <f t="shared" si="6"/>
        <v/>
      </c>
    </row>
    <row r="45" spans="1:37" x14ac:dyDescent="0.25">
      <c r="A45" t="str">
        <f t="shared" si="7"/>
        <v/>
      </c>
      <c r="Q45" t="str">
        <f>IF(E45&lt;&gt;"","'"&amp;'PO NO'!$B$2,"")</f>
        <v/>
      </c>
      <c r="U45" t="str">
        <f>IFERROR(CLEAN(VLOOKUP(N45,BOE!J:P,7,FALSE)),"")</f>
        <v/>
      </c>
      <c r="V45" t="str">
        <f t="shared" si="0"/>
        <v/>
      </c>
      <c r="W45" t="str">
        <f t="shared" si="1"/>
        <v/>
      </c>
      <c r="Y45" t="str">
        <f t="shared" si="2"/>
        <v/>
      </c>
      <c r="Z45" t="str">
        <f>IFERROR(IF(VLOOKUP(N45,BOE!J:Q,8,FALSE)=J45,"Pass","Mismatch"),"")</f>
        <v/>
      </c>
      <c r="AA45" t="str">
        <f>IFERROR(IF(ABS(VLOOKUP(N45,BOE!J:R,9,FALSE)-K45)&lt;0.2,"Pass","Mismatch"),"")</f>
        <v/>
      </c>
      <c r="AB45" t="str">
        <f>IFERROR(IF(ABS(VLOOKUP(N45,BOE!J:T,10,FALSE)-L45)&lt;0.2,"Pass","Mismatch"),"")</f>
        <v/>
      </c>
      <c r="AC45" t="str">
        <f>IFERROR(VLOOKUP(N45,BOE!J:N,2,FALSE),"")</f>
        <v/>
      </c>
      <c r="AD45" t="str">
        <f>IFERROR(VLOOKUP(N45,BOE!J:N,4,FALSE),"")</f>
        <v/>
      </c>
      <c r="AE45" t="str">
        <f>IFERROR(VLOOKUP(N45,BOE!J:N,5,FALSE),"")</f>
        <v/>
      </c>
      <c r="AF45" t="str">
        <f>IF(E45&lt;&gt;"",BOE!$I$1,"")</f>
        <v/>
      </c>
      <c r="AG45" t="str">
        <f>IFERROR(VLOOKUP(N45,BOE!J:T,11,FALSE),"")</f>
        <v/>
      </c>
      <c r="AH45" s="14" t="str">
        <f t="shared" si="3"/>
        <v/>
      </c>
      <c r="AI45" s="14" t="str">
        <f t="shared" si="4"/>
        <v/>
      </c>
      <c r="AJ45" s="14">
        <f t="shared" si="5"/>
        <v>0</v>
      </c>
      <c r="AK45" t="str">
        <f t="shared" si="6"/>
        <v/>
      </c>
    </row>
    <row r="46" spans="1:37" x14ac:dyDescent="0.25">
      <c r="A46" t="str">
        <f t="shared" si="7"/>
        <v/>
      </c>
      <c r="Q46" t="str">
        <f>IF(E46&lt;&gt;"","'"&amp;'PO NO'!$B$2,"")</f>
        <v/>
      </c>
      <c r="U46" t="str">
        <f>IFERROR(CLEAN(VLOOKUP(N46,BOE!J:P,7,FALSE)),"")</f>
        <v/>
      </c>
      <c r="V46" t="str">
        <f t="shared" si="0"/>
        <v/>
      </c>
      <c r="W46" t="str">
        <f t="shared" si="1"/>
        <v/>
      </c>
      <c r="Y46" t="str">
        <f t="shared" si="2"/>
        <v/>
      </c>
      <c r="Z46" t="str">
        <f>IFERROR(IF(VLOOKUP(N46,BOE!J:Q,8,FALSE)=J46,"Pass","Mismatch"),"")</f>
        <v/>
      </c>
      <c r="AA46" t="str">
        <f>IFERROR(IF(ABS(VLOOKUP(N46,BOE!J:R,9,FALSE)-K46)&lt;0.2,"Pass","Mismatch"),"")</f>
        <v/>
      </c>
      <c r="AB46" t="str">
        <f>IFERROR(IF(ABS(VLOOKUP(N46,BOE!J:T,10,FALSE)-L46)&lt;0.2,"Pass","Mismatch"),"")</f>
        <v/>
      </c>
      <c r="AC46" t="str">
        <f>IFERROR(VLOOKUP(N46,BOE!J:N,2,FALSE),"")</f>
        <v/>
      </c>
      <c r="AD46" t="str">
        <f>IFERROR(VLOOKUP(N46,BOE!J:N,4,FALSE),"")</f>
        <v/>
      </c>
      <c r="AE46" t="str">
        <f>IFERROR(VLOOKUP(N46,BOE!J:N,5,FALSE),"")</f>
        <v/>
      </c>
      <c r="AF46" t="str">
        <f>IF(E46&lt;&gt;"",BOE!$I$1,"")</f>
        <v/>
      </c>
      <c r="AG46" t="str">
        <f>IFERROR(VLOOKUP(N46,BOE!J:T,11,FALSE),"")</f>
        <v/>
      </c>
      <c r="AH46" s="14" t="str">
        <f t="shared" si="3"/>
        <v/>
      </c>
      <c r="AI46" s="14" t="str">
        <f t="shared" si="4"/>
        <v/>
      </c>
      <c r="AJ46" s="14">
        <f t="shared" si="5"/>
        <v>0</v>
      </c>
      <c r="AK46" t="str">
        <f t="shared" si="6"/>
        <v/>
      </c>
    </row>
    <row r="47" spans="1:37" x14ac:dyDescent="0.25">
      <c r="A47" t="str">
        <f t="shared" si="7"/>
        <v/>
      </c>
      <c r="Q47" t="str">
        <f>IF(E47&lt;&gt;"","'"&amp;'PO NO'!$B$2,"")</f>
        <v/>
      </c>
      <c r="U47" t="str">
        <f>IFERROR(CLEAN(VLOOKUP(N47,BOE!J:P,7,FALSE)),"")</f>
        <v/>
      </c>
      <c r="V47" t="str">
        <f t="shared" si="0"/>
        <v/>
      </c>
      <c r="W47" t="str">
        <f t="shared" si="1"/>
        <v/>
      </c>
      <c r="Y47" t="str">
        <f t="shared" si="2"/>
        <v/>
      </c>
      <c r="Z47" t="str">
        <f>IFERROR(IF(VLOOKUP(N47,BOE!J:Q,8,FALSE)=J47,"Pass","Mismatch"),"")</f>
        <v/>
      </c>
      <c r="AA47" t="str">
        <f>IFERROR(IF(ABS(VLOOKUP(N47,BOE!J:R,9,FALSE)-K47)&lt;0.2,"Pass","Mismatch"),"")</f>
        <v/>
      </c>
      <c r="AB47" t="str">
        <f>IFERROR(IF(ABS(VLOOKUP(N47,BOE!J:T,10,FALSE)-L47)&lt;0.2,"Pass","Mismatch"),"")</f>
        <v/>
      </c>
      <c r="AC47" t="str">
        <f>IFERROR(VLOOKUP(N47,BOE!J:N,2,FALSE),"")</f>
        <v/>
      </c>
      <c r="AD47" t="str">
        <f>IFERROR(VLOOKUP(N47,BOE!J:N,4,FALSE),"")</f>
        <v/>
      </c>
      <c r="AE47" t="str">
        <f>IFERROR(VLOOKUP(N47,BOE!J:N,5,FALSE),"")</f>
        <v/>
      </c>
      <c r="AF47" t="str">
        <f>IF(E47&lt;&gt;"",BOE!$I$1,"")</f>
        <v/>
      </c>
      <c r="AG47" t="str">
        <f>IFERROR(VLOOKUP(N47,BOE!J:T,11,FALSE),"")</f>
        <v/>
      </c>
      <c r="AH47" s="14" t="str">
        <f t="shared" si="3"/>
        <v/>
      </c>
      <c r="AI47" s="14" t="str">
        <f t="shared" si="4"/>
        <v/>
      </c>
      <c r="AJ47" s="14">
        <f t="shared" si="5"/>
        <v>0</v>
      </c>
      <c r="AK47" t="str">
        <f t="shared" si="6"/>
        <v/>
      </c>
    </row>
    <row r="48" spans="1:37" x14ac:dyDescent="0.25">
      <c r="A48" t="str">
        <f t="shared" si="7"/>
        <v/>
      </c>
      <c r="Q48" t="str">
        <f>IF(E48&lt;&gt;"","'"&amp;'PO NO'!$B$2,"")</f>
        <v/>
      </c>
      <c r="U48" t="str">
        <f>IFERROR(CLEAN(VLOOKUP(N48,BOE!J:P,7,FALSE)),"")</f>
        <v/>
      </c>
      <c r="V48" t="str">
        <f t="shared" si="0"/>
        <v/>
      </c>
      <c r="W48" t="str">
        <f t="shared" si="1"/>
        <v/>
      </c>
      <c r="Y48" t="str">
        <f t="shared" si="2"/>
        <v/>
      </c>
      <c r="Z48" t="str">
        <f>IFERROR(IF(VLOOKUP(N48,BOE!J:Q,8,FALSE)=J48,"Pass","Mismatch"),"")</f>
        <v/>
      </c>
      <c r="AA48" t="str">
        <f>IFERROR(IF(ABS(VLOOKUP(N48,BOE!J:R,9,FALSE)-K48)&lt;0.2,"Pass","Mismatch"),"")</f>
        <v/>
      </c>
      <c r="AB48" t="str">
        <f>IFERROR(IF(ABS(VLOOKUP(N48,BOE!J:T,10,FALSE)-L48)&lt;0.2,"Pass","Mismatch"),"")</f>
        <v/>
      </c>
      <c r="AC48" t="str">
        <f>IFERROR(VLOOKUP(N48,BOE!J:N,2,FALSE),"")</f>
        <v/>
      </c>
      <c r="AD48" t="str">
        <f>IFERROR(VLOOKUP(N48,BOE!J:N,4,FALSE),"")</f>
        <v/>
      </c>
      <c r="AE48" t="str">
        <f>IFERROR(VLOOKUP(N48,BOE!J:N,5,FALSE),"")</f>
        <v/>
      </c>
      <c r="AF48" t="str">
        <f>IF(E48&lt;&gt;"",BOE!$I$1,"")</f>
        <v/>
      </c>
      <c r="AG48" t="str">
        <f>IFERROR(VLOOKUP(N48,BOE!J:T,11,FALSE),"")</f>
        <v/>
      </c>
      <c r="AH48" s="14" t="str">
        <f t="shared" si="3"/>
        <v/>
      </c>
      <c r="AI48" s="14" t="str">
        <f t="shared" si="4"/>
        <v/>
      </c>
      <c r="AJ48" s="14">
        <f t="shared" si="5"/>
        <v>0</v>
      </c>
      <c r="AK48" t="str">
        <f t="shared" si="6"/>
        <v/>
      </c>
    </row>
    <row r="49" spans="1:37" x14ac:dyDescent="0.25">
      <c r="A49" t="str">
        <f t="shared" si="7"/>
        <v/>
      </c>
      <c r="Q49" t="str">
        <f>IF(E49&lt;&gt;"","'"&amp;'PO NO'!$B$2,"")</f>
        <v/>
      </c>
      <c r="U49" t="str">
        <f>IFERROR(CLEAN(VLOOKUP(N49,BOE!J:P,7,FALSE)),"")</f>
        <v/>
      </c>
      <c r="V49" t="str">
        <f t="shared" si="0"/>
        <v/>
      </c>
      <c r="W49" t="str">
        <f t="shared" si="1"/>
        <v/>
      </c>
      <c r="Y49" t="str">
        <f t="shared" si="2"/>
        <v/>
      </c>
      <c r="Z49" t="str">
        <f>IFERROR(IF(VLOOKUP(N49,BOE!J:Q,8,FALSE)=J49,"Pass","Mismatch"),"")</f>
        <v/>
      </c>
      <c r="AA49" t="str">
        <f>IFERROR(IF(ABS(VLOOKUP(N49,BOE!J:R,9,FALSE)-K49)&lt;0.2,"Pass","Mismatch"),"")</f>
        <v/>
      </c>
      <c r="AB49" t="str">
        <f>IFERROR(IF(ABS(VLOOKUP(N49,BOE!J:T,10,FALSE)-L49)&lt;0.2,"Pass","Mismatch"),"")</f>
        <v/>
      </c>
      <c r="AC49" t="str">
        <f>IFERROR(VLOOKUP(N49,BOE!J:N,2,FALSE),"")</f>
        <v/>
      </c>
      <c r="AD49" t="str">
        <f>IFERROR(VLOOKUP(N49,BOE!J:N,4,FALSE),"")</f>
        <v/>
      </c>
      <c r="AE49" t="str">
        <f>IFERROR(VLOOKUP(N49,BOE!J:N,5,FALSE),"")</f>
        <v/>
      </c>
      <c r="AF49" t="str">
        <f>IF(E49&lt;&gt;"",BOE!$I$1,"")</f>
        <v/>
      </c>
      <c r="AG49" t="str">
        <f>IFERROR(VLOOKUP(N49,BOE!J:T,11,FALSE),"")</f>
        <v/>
      </c>
      <c r="AH49" s="14" t="str">
        <f t="shared" si="3"/>
        <v/>
      </c>
      <c r="AI49" s="14" t="str">
        <f t="shared" si="4"/>
        <v/>
      </c>
      <c r="AJ49" s="14">
        <f t="shared" si="5"/>
        <v>0</v>
      </c>
      <c r="AK49" t="str">
        <f t="shared" si="6"/>
        <v/>
      </c>
    </row>
    <row r="50" spans="1:37" x14ac:dyDescent="0.25">
      <c r="A50" t="str">
        <f t="shared" si="7"/>
        <v/>
      </c>
      <c r="Q50" t="str">
        <f>IF(E50&lt;&gt;"","'"&amp;'PO NO'!$B$2,"")</f>
        <v/>
      </c>
      <c r="U50" t="str">
        <f>IFERROR(CLEAN(VLOOKUP(N50,BOE!J:P,7,FALSE)),"")</f>
        <v/>
      </c>
      <c r="V50" t="str">
        <f t="shared" si="0"/>
        <v/>
      </c>
      <c r="W50" t="str">
        <f t="shared" si="1"/>
        <v/>
      </c>
      <c r="Y50" t="str">
        <f t="shared" si="2"/>
        <v/>
      </c>
      <c r="Z50" t="str">
        <f>IFERROR(IF(VLOOKUP(N50,BOE!J:Q,8,FALSE)=J50,"Pass","Mismatch"),"")</f>
        <v/>
      </c>
      <c r="AA50" t="str">
        <f>IFERROR(IF(ABS(VLOOKUP(N50,BOE!J:R,9,FALSE)-K50)&lt;0.2,"Pass","Mismatch"),"")</f>
        <v/>
      </c>
      <c r="AB50" t="str">
        <f>IFERROR(IF(ABS(VLOOKUP(N50,BOE!J:T,10,FALSE)-L50)&lt;0.2,"Pass","Mismatch"),"")</f>
        <v/>
      </c>
      <c r="AC50" t="str">
        <f>IFERROR(VLOOKUP(N50,BOE!J:N,2,FALSE),"")</f>
        <v/>
      </c>
      <c r="AD50" t="str">
        <f>IFERROR(VLOOKUP(N50,BOE!J:N,4,FALSE),"")</f>
        <v/>
      </c>
      <c r="AE50" t="str">
        <f>IFERROR(VLOOKUP(N50,BOE!J:N,5,FALSE),"")</f>
        <v/>
      </c>
      <c r="AF50" t="str">
        <f>IF(E50&lt;&gt;"",BOE!$I$1,"")</f>
        <v/>
      </c>
      <c r="AG50" t="str">
        <f>IFERROR(VLOOKUP(N50,BOE!J:T,11,FALSE),"")</f>
        <v/>
      </c>
      <c r="AH50" s="14" t="str">
        <f t="shared" si="3"/>
        <v/>
      </c>
      <c r="AI50" s="14" t="str">
        <f t="shared" si="4"/>
        <v/>
      </c>
      <c r="AJ50" s="14">
        <f t="shared" si="5"/>
        <v>0</v>
      </c>
      <c r="AK50" t="str">
        <f t="shared" si="6"/>
        <v/>
      </c>
    </row>
    <row r="51" spans="1:37" x14ac:dyDescent="0.25">
      <c r="A51" t="str">
        <f t="shared" si="7"/>
        <v/>
      </c>
      <c r="Q51" t="str">
        <f>IF(E51&lt;&gt;"","'"&amp;'PO NO'!$B$2,"")</f>
        <v/>
      </c>
      <c r="U51" t="str">
        <f>IFERROR(CLEAN(VLOOKUP(N51,BOE!J:P,7,FALSE)),"")</f>
        <v/>
      </c>
      <c r="V51" t="str">
        <f t="shared" si="0"/>
        <v/>
      </c>
      <c r="W51" t="str">
        <f t="shared" si="1"/>
        <v/>
      </c>
      <c r="Y51" t="str">
        <f t="shared" si="2"/>
        <v/>
      </c>
      <c r="Z51" t="str">
        <f>IFERROR(IF(VLOOKUP(N51,BOE!J:Q,8,FALSE)=J51,"Pass","Mismatch"),"")</f>
        <v/>
      </c>
      <c r="AA51" t="str">
        <f>IFERROR(IF(ABS(VLOOKUP(N51,BOE!J:R,9,FALSE)-K51)&lt;0.2,"Pass","Mismatch"),"")</f>
        <v/>
      </c>
      <c r="AB51" t="str">
        <f>IFERROR(IF(ABS(VLOOKUP(N51,BOE!J:T,10,FALSE)-L51)&lt;0.2,"Pass","Mismatch"),"")</f>
        <v/>
      </c>
      <c r="AC51" t="str">
        <f>IFERROR(VLOOKUP(N51,BOE!J:N,2,FALSE),"")</f>
        <v/>
      </c>
      <c r="AD51" t="str">
        <f>IFERROR(VLOOKUP(N51,BOE!J:N,4,FALSE),"")</f>
        <v/>
      </c>
      <c r="AE51" t="str">
        <f>IFERROR(VLOOKUP(N51,BOE!J:N,5,FALSE),"")</f>
        <v/>
      </c>
      <c r="AF51" t="str">
        <f>IF(E51&lt;&gt;"",BOE!$I$1,"")</f>
        <v/>
      </c>
      <c r="AG51" t="str">
        <f>IFERROR(VLOOKUP(N51,BOE!J:T,11,FALSE),"")</f>
        <v/>
      </c>
      <c r="AH51" s="14" t="str">
        <f t="shared" si="3"/>
        <v/>
      </c>
      <c r="AI51" s="14" t="str">
        <f t="shared" si="4"/>
        <v/>
      </c>
      <c r="AJ51" s="14">
        <f t="shared" si="5"/>
        <v>0</v>
      </c>
      <c r="AK51" t="str">
        <f t="shared" si="6"/>
        <v/>
      </c>
    </row>
    <row r="52" spans="1:37" x14ac:dyDescent="0.25">
      <c r="A52" t="str">
        <f t="shared" si="7"/>
        <v/>
      </c>
      <c r="Q52" t="str">
        <f>IF(E52&lt;&gt;"","'"&amp;'PO NO'!$B$2,"")</f>
        <v/>
      </c>
      <c r="U52" t="str">
        <f>IFERROR(CLEAN(VLOOKUP(N52,BOE!J:P,7,FALSE)),"")</f>
        <v/>
      </c>
      <c r="V52" t="str">
        <f t="shared" si="0"/>
        <v/>
      </c>
      <c r="W52" t="str">
        <f t="shared" si="1"/>
        <v/>
      </c>
      <c r="Y52" t="str">
        <f t="shared" si="2"/>
        <v/>
      </c>
      <c r="Z52" t="str">
        <f>IFERROR(IF(VLOOKUP(N52,BOE!J:Q,8,FALSE)=J52,"Pass","Mismatch"),"")</f>
        <v/>
      </c>
      <c r="AA52" t="str">
        <f>IFERROR(IF(ABS(VLOOKUP(N52,BOE!J:R,9,FALSE)-K52)&lt;0.2,"Pass","Mismatch"),"")</f>
        <v/>
      </c>
      <c r="AB52" t="str">
        <f>IFERROR(IF(ABS(VLOOKUP(N52,BOE!J:T,10,FALSE)-L52)&lt;0.2,"Pass","Mismatch"),"")</f>
        <v/>
      </c>
      <c r="AC52" t="str">
        <f>IFERROR(VLOOKUP(N52,BOE!J:N,2,FALSE),"")</f>
        <v/>
      </c>
      <c r="AD52" t="str">
        <f>IFERROR(VLOOKUP(N52,BOE!J:N,4,FALSE),"")</f>
        <v/>
      </c>
      <c r="AE52" t="str">
        <f>IFERROR(VLOOKUP(N52,BOE!J:N,5,FALSE),"")</f>
        <v/>
      </c>
      <c r="AF52" t="str">
        <f>IF(E52&lt;&gt;"",BOE!$I$1,"")</f>
        <v/>
      </c>
      <c r="AG52" t="str">
        <f>IFERROR(VLOOKUP(N52,BOE!J:T,11,FALSE),"")</f>
        <v/>
      </c>
      <c r="AH52" s="14" t="str">
        <f t="shared" si="3"/>
        <v/>
      </c>
      <c r="AI52" s="14" t="str">
        <f t="shared" si="4"/>
        <v/>
      </c>
      <c r="AJ52" s="14">
        <f t="shared" si="5"/>
        <v>0</v>
      </c>
      <c r="AK52" t="str">
        <f t="shared" si="6"/>
        <v/>
      </c>
    </row>
    <row r="53" spans="1:37" x14ac:dyDescent="0.25">
      <c r="A53" t="str">
        <f t="shared" si="7"/>
        <v/>
      </c>
      <c r="Q53" t="str">
        <f>IF(E53&lt;&gt;"","'"&amp;'PO NO'!$B$2,"")</f>
        <v/>
      </c>
      <c r="U53" t="str">
        <f>IFERROR(CLEAN(VLOOKUP(N53,BOE!J:P,7,FALSE)),"")</f>
        <v/>
      </c>
      <c r="V53" t="str">
        <f t="shared" si="0"/>
        <v/>
      </c>
      <c r="W53" t="str">
        <f t="shared" si="1"/>
        <v/>
      </c>
      <c r="Y53" t="str">
        <f t="shared" si="2"/>
        <v/>
      </c>
      <c r="Z53" t="str">
        <f>IFERROR(IF(VLOOKUP(N53,BOE!J:Q,8,FALSE)=J53,"Pass","Mismatch"),"")</f>
        <v/>
      </c>
      <c r="AA53" t="str">
        <f>IFERROR(IF(ABS(VLOOKUP(N53,BOE!J:R,9,FALSE)-K53)&lt;0.2,"Pass","Mismatch"),"")</f>
        <v/>
      </c>
      <c r="AB53" t="str">
        <f>IFERROR(IF(ABS(VLOOKUP(N53,BOE!J:T,10,FALSE)-L53)&lt;0.2,"Pass","Mismatch"),"")</f>
        <v/>
      </c>
      <c r="AC53" t="str">
        <f>IFERROR(VLOOKUP(N53,BOE!J:N,2,FALSE),"")</f>
        <v/>
      </c>
      <c r="AD53" t="str">
        <f>IFERROR(VLOOKUP(N53,BOE!J:N,4,FALSE),"")</f>
        <v/>
      </c>
      <c r="AE53" t="str">
        <f>IFERROR(VLOOKUP(N53,BOE!J:N,5,FALSE),"")</f>
        <v/>
      </c>
      <c r="AF53" t="str">
        <f>IF(E53&lt;&gt;"",BOE!$I$1,"")</f>
        <v/>
      </c>
      <c r="AG53" t="str">
        <f>IFERROR(VLOOKUP(N53,BOE!J:T,11,FALSE),"")</f>
        <v/>
      </c>
      <c r="AH53" s="14" t="str">
        <f t="shared" si="3"/>
        <v/>
      </c>
      <c r="AI53" s="14" t="str">
        <f t="shared" si="4"/>
        <v/>
      </c>
      <c r="AJ53" s="14">
        <f t="shared" si="5"/>
        <v>0</v>
      </c>
      <c r="AK53" t="str">
        <f t="shared" si="6"/>
        <v/>
      </c>
    </row>
    <row r="54" spans="1:37" x14ac:dyDescent="0.25">
      <c r="A54" t="str">
        <f t="shared" si="7"/>
        <v/>
      </c>
      <c r="Q54" t="str">
        <f>IF(E54&lt;&gt;"","'"&amp;'PO NO'!$B$2,"")</f>
        <v/>
      </c>
      <c r="U54" t="str">
        <f>IFERROR(CLEAN(VLOOKUP(N54,BOE!J:P,7,FALSE)),"")</f>
        <v/>
      </c>
      <c r="V54" t="str">
        <f t="shared" si="0"/>
        <v/>
      </c>
      <c r="W54" t="str">
        <f t="shared" si="1"/>
        <v/>
      </c>
      <c r="Y54" t="str">
        <f t="shared" si="2"/>
        <v/>
      </c>
      <c r="Z54" t="str">
        <f>IFERROR(IF(VLOOKUP(N54,BOE!J:Q,8,FALSE)=J54,"Pass","Mismatch"),"")</f>
        <v/>
      </c>
      <c r="AA54" t="str">
        <f>IFERROR(IF(ABS(VLOOKUP(N54,BOE!J:R,9,FALSE)-K54)&lt;0.2,"Pass","Mismatch"),"")</f>
        <v/>
      </c>
      <c r="AB54" t="str">
        <f>IFERROR(IF(ABS(VLOOKUP(N54,BOE!J:T,10,FALSE)-L54)&lt;0.2,"Pass","Mismatch"),"")</f>
        <v/>
      </c>
      <c r="AC54" t="str">
        <f>IFERROR(VLOOKUP(N54,BOE!J:N,2,FALSE),"")</f>
        <v/>
      </c>
      <c r="AD54" t="str">
        <f>IFERROR(VLOOKUP(N54,BOE!J:N,4,FALSE),"")</f>
        <v/>
      </c>
      <c r="AE54" t="str">
        <f>IFERROR(VLOOKUP(N54,BOE!J:N,5,FALSE),"")</f>
        <v/>
      </c>
      <c r="AF54" t="str">
        <f>IF(E54&lt;&gt;"",BOE!$I$1,"")</f>
        <v/>
      </c>
      <c r="AG54" t="str">
        <f>IFERROR(VLOOKUP(N54,BOE!J:T,11,FALSE),"")</f>
        <v/>
      </c>
      <c r="AH54" s="14" t="str">
        <f t="shared" si="3"/>
        <v/>
      </c>
      <c r="AI54" s="14" t="str">
        <f t="shared" si="4"/>
        <v/>
      </c>
      <c r="AJ54" s="14">
        <f t="shared" si="5"/>
        <v>0</v>
      </c>
      <c r="AK54" t="str">
        <f t="shared" si="6"/>
        <v/>
      </c>
    </row>
    <row r="55" spans="1:37" x14ac:dyDescent="0.25">
      <c r="A55" t="str">
        <f t="shared" si="7"/>
        <v/>
      </c>
      <c r="Q55" t="str">
        <f>IF(E55&lt;&gt;"","'"&amp;'PO NO'!$B$2,"")</f>
        <v/>
      </c>
      <c r="U55" t="str">
        <f>IFERROR(CLEAN(VLOOKUP(N55,BOE!J:P,7,FALSE)),"")</f>
        <v/>
      </c>
      <c r="V55" t="str">
        <f t="shared" si="0"/>
        <v/>
      </c>
      <c r="W55" t="str">
        <f t="shared" si="1"/>
        <v/>
      </c>
      <c r="Y55" t="str">
        <f t="shared" si="2"/>
        <v/>
      </c>
      <c r="Z55" t="str">
        <f>IFERROR(IF(VLOOKUP(N55,BOE!J:Q,8,FALSE)=J55,"Pass","Mismatch"),"")</f>
        <v/>
      </c>
      <c r="AA55" t="str">
        <f>IFERROR(IF(ABS(VLOOKUP(N55,BOE!J:R,9,FALSE)-K55)&lt;0.2,"Pass","Mismatch"),"")</f>
        <v/>
      </c>
      <c r="AB55" t="str">
        <f>IFERROR(IF(ABS(VLOOKUP(N55,BOE!J:T,10,FALSE)-L55)&lt;0.2,"Pass","Mismatch"),"")</f>
        <v/>
      </c>
      <c r="AC55" t="str">
        <f>IFERROR(VLOOKUP(N55,BOE!J:N,2,FALSE),"")</f>
        <v/>
      </c>
      <c r="AD55" t="str">
        <f>IFERROR(VLOOKUP(N55,BOE!J:N,4,FALSE),"")</f>
        <v/>
      </c>
      <c r="AE55" t="str">
        <f>IFERROR(VLOOKUP(N55,BOE!J:N,5,FALSE),"")</f>
        <v/>
      </c>
      <c r="AF55" t="str">
        <f>IF(E55&lt;&gt;"",BOE!$I$1,"")</f>
        <v/>
      </c>
      <c r="AG55" t="str">
        <f>IFERROR(VLOOKUP(N55,BOE!J:T,11,FALSE),"")</f>
        <v/>
      </c>
      <c r="AH55" s="14" t="str">
        <f t="shared" si="3"/>
        <v/>
      </c>
      <c r="AI55" s="14" t="str">
        <f t="shared" si="4"/>
        <v/>
      </c>
      <c r="AJ55" s="14">
        <f t="shared" si="5"/>
        <v>0</v>
      </c>
      <c r="AK55" t="str">
        <f t="shared" si="6"/>
        <v/>
      </c>
    </row>
    <row r="56" spans="1:37" x14ac:dyDescent="0.25">
      <c r="A56" t="str">
        <f t="shared" si="7"/>
        <v/>
      </c>
      <c r="Q56" t="str">
        <f>IF(E56&lt;&gt;"","'"&amp;'PO NO'!$B$2,"")</f>
        <v/>
      </c>
      <c r="U56" t="str">
        <f>IFERROR(CLEAN(VLOOKUP(N56,BOE!J:P,7,FALSE)),"")</f>
        <v/>
      </c>
      <c r="V56" t="str">
        <f t="shared" si="0"/>
        <v/>
      </c>
      <c r="W56" t="str">
        <f t="shared" si="1"/>
        <v/>
      </c>
      <c r="Y56" t="str">
        <f t="shared" si="2"/>
        <v/>
      </c>
      <c r="Z56" t="str">
        <f>IFERROR(IF(VLOOKUP(N56,BOE!J:Q,8,FALSE)=J56,"Pass","Mismatch"),"")</f>
        <v/>
      </c>
      <c r="AA56" t="str">
        <f>IFERROR(IF(ABS(VLOOKUP(N56,BOE!J:R,9,FALSE)-K56)&lt;0.2,"Pass","Mismatch"),"")</f>
        <v/>
      </c>
      <c r="AB56" t="str">
        <f>IFERROR(IF(ABS(VLOOKUP(N56,BOE!J:T,10,FALSE)-L56)&lt;0.2,"Pass","Mismatch"),"")</f>
        <v/>
      </c>
      <c r="AC56" t="str">
        <f>IFERROR(VLOOKUP(N56,BOE!J:N,2,FALSE),"")</f>
        <v/>
      </c>
      <c r="AD56" t="str">
        <f>IFERROR(VLOOKUP(N56,BOE!J:N,4,FALSE),"")</f>
        <v/>
      </c>
      <c r="AE56" t="str">
        <f>IFERROR(VLOOKUP(N56,BOE!J:N,5,FALSE),"")</f>
        <v/>
      </c>
      <c r="AF56" t="str">
        <f>IF(E56&lt;&gt;"",BOE!$I$1,"")</f>
        <v/>
      </c>
      <c r="AG56" t="str">
        <f>IFERROR(VLOOKUP(N56,BOE!J:T,11,FALSE),"")</f>
        <v/>
      </c>
      <c r="AH56" s="14" t="str">
        <f t="shared" si="3"/>
        <v/>
      </c>
      <c r="AI56" s="14" t="str">
        <f t="shared" si="4"/>
        <v/>
      </c>
      <c r="AJ56" s="14">
        <f t="shared" si="5"/>
        <v>0</v>
      </c>
      <c r="AK56" t="str">
        <f t="shared" si="6"/>
        <v/>
      </c>
    </row>
    <row r="57" spans="1:37" x14ac:dyDescent="0.25">
      <c r="A57" t="str">
        <f t="shared" si="7"/>
        <v/>
      </c>
      <c r="Q57" t="str">
        <f>IF(E57&lt;&gt;"","'"&amp;'PO NO'!$B$2,"")</f>
        <v/>
      </c>
      <c r="U57" t="str">
        <f>IFERROR(CLEAN(VLOOKUP(N57,BOE!J:P,7,FALSE)),"")</f>
        <v/>
      </c>
      <c r="V57" t="str">
        <f t="shared" si="0"/>
        <v/>
      </c>
      <c r="W57" t="str">
        <f t="shared" si="1"/>
        <v/>
      </c>
      <c r="Y57" t="str">
        <f t="shared" si="2"/>
        <v/>
      </c>
      <c r="Z57" t="str">
        <f>IFERROR(IF(VLOOKUP(N57,BOE!J:Q,8,FALSE)=J57,"Pass","Mismatch"),"")</f>
        <v/>
      </c>
      <c r="AA57" t="str">
        <f>IFERROR(IF(ABS(VLOOKUP(N57,BOE!J:R,9,FALSE)-K57)&lt;0.2,"Pass","Mismatch"),"")</f>
        <v/>
      </c>
      <c r="AB57" t="str">
        <f>IFERROR(IF(ABS(VLOOKUP(N57,BOE!J:T,10,FALSE)-L57)&lt;0.2,"Pass","Mismatch"),"")</f>
        <v/>
      </c>
      <c r="AC57" t="str">
        <f>IFERROR(VLOOKUP(N57,BOE!J:N,2,FALSE),"")</f>
        <v/>
      </c>
      <c r="AD57" t="str">
        <f>IFERROR(VLOOKUP(N57,BOE!J:N,4,FALSE),"")</f>
        <v/>
      </c>
      <c r="AE57" t="str">
        <f>IFERROR(VLOOKUP(N57,BOE!J:N,5,FALSE),"")</f>
        <v/>
      </c>
      <c r="AF57" t="str">
        <f>IF(E57&lt;&gt;"",BOE!$I$1,"")</f>
        <v/>
      </c>
      <c r="AG57" t="str">
        <f>IFERROR(VLOOKUP(N57,BOE!J:T,11,FALSE),"")</f>
        <v/>
      </c>
      <c r="AH57" s="14" t="str">
        <f t="shared" si="3"/>
        <v/>
      </c>
      <c r="AI57" s="14" t="str">
        <f t="shared" si="4"/>
        <v/>
      </c>
      <c r="AJ57" s="14">
        <f t="shared" si="5"/>
        <v>0</v>
      </c>
      <c r="AK57" t="str">
        <f t="shared" si="6"/>
        <v/>
      </c>
    </row>
    <row r="58" spans="1:37" x14ac:dyDescent="0.25">
      <c r="A58" t="str">
        <f t="shared" si="7"/>
        <v/>
      </c>
      <c r="Q58" t="str">
        <f>IF(E58&lt;&gt;"","'"&amp;'PO NO'!$B$2,"")</f>
        <v/>
      </c>
      <c r="U58" t="str">
        <f>IFERROR(CLEAN(VLOOKUP(N58,BOE!J:P,7,FALSE)),"")</f>
        <v/>
      </c>
      <c r="V58" t="str">
        <f t="shared" si="0"/>
        <v/>
      </c>
      <c r="W58" t="str">
        <f t="shared" si="1"/>
        <v/>
      </c>
      <c r="Y58" t="str">
        <f t="shared" si="2"/>
        <v/>
      </c>
      <c r="Z58" t="str">
        <f>IFERROR(IF(VLOOKUP(N58,BOE!J:Q,8,FALSE)=J58,"Pass","Mismatch"),"")</f>
        <v/>
      </c>
      <c r="AA58" t="str">
        <f>IFERROR(IF(ABS(VLOOKUP(N58,BOE!J:R,9,FALSE)-K58)&lt;0.2,"Pass","Mismatch"),"")</f>
        <v/>
      </c>
      <c r="AB58" t="str">
        <f>IFERROR(IF(ABS(VLOOKUP(N58,BOE!J:T,10,FALSE)-L58)&lt;0.2,"Pass","Mismatch"),"")</f>
        <v/>
      </c>
      <c r="AC58" t="str">
        <f>IFERROR(VLOOKUP(N58,BOE!J:N,2,FALSE),"")</f>
        <v/>
      </c>
      <c r="AD58" t="str">
        <f>IFERROR(VLOOKUP(N58,BOE!J:N,4,FALSE),"")</f>
        <v/>
      </c>
      <c r="AE58" t="str">
        <f>IFERROR(VLOOKUP(N58,BOE!J:N,5,FALSE),"")</f>
        <v/>
      </c>
      <c r="AF58" t="str">
        <f>IF(E58&lt;&gt;"",BOE!$I$1,"")</f>
        <v/>
      </c>
      <c r="AG58" t="str">
        <f>IFERROR(VLOOKUP(N58,BOE!J:T,11,FALSE),"")</f>
        <v/>
      </c>
      <c r="AH58" s="14" t="str">
        <f t="shared" si="3"/>
        <v/>
      </c>
      <c r="AI58" s="14" t="str">
        <f t="shared" si="4"/>
        <v/>
      </c>
      <c r="AJ58" s="14">
        <f t="shared" si="5"/>
        <v>0</v>
      </c>
      <c r="AK58" t="str">
        <f t="shared" si="6"/>
        <v/>
      </c>
    </row>
    <row r="59" spans="1:37" x14ac:dyDescent="0.25">
      <c r="A59" t="str">
        <f t="shared" si="7"/>
        <v/>
      </c>
      <c r="Q59" t="str">
        <f>IF(E59&lt;&gt;"","'"&amp;'PO NO'!$B$2,"")</f>
        <v/>
      </c>
      <c r="U59" t="str">
        <f>IFERROR(CLEAN(VLOOKUP(N59,BOE!J:P,7,FALSE)),"")</f>
        <v/>
      </c>
      <c r="V59" t="str">
        <f t="shared" si="0"/>
        <v/>
      </c>
      <c r="W59" t="str">
        <f t="shared" si="1"/>
        <v/>
      </c>
      <c r="Y59" t="str">
        <f t="shared" si="2"/>
        <v/>
      </c>
      <c r="Z59" t="str">
        <f>IFERROR(IF(VLOOKUP(N59,BOE!J:Q,8,FALSE)=J59,"Pass","Mismatch"),"")</f>
        <v/>
      </c>
      <c r="AA59" t="str">
        <f>IFERROR(IF(ABS(VLOOKUP(N59,BOE!J:R,9,FALSE)-K59)&lt;0.2,"Pass","Mismatch"),"")</f>
        <v/>
      </c>
      <c r="AB59" t="str">
        <f>IFERROR(IF(ABS(VLOOKUP(N59,BOE!J:T,10,FALSE)-L59)&lt;0.2,"Pass","Mismatch"),"")</f>
        <v/>
      </c>
      <c r="AC59" t="str">
        <f>IFERROR(VLOOKUP(N59,BOE!J:N,2,FALSE),"")</f>
        <v/>
      </c>
      <c r="AD59" t="str">
        <f>IFERROR(VLOOKUP(N59,BOE!J:N,4,FALSE),"")</f>
        <v/>
      </c>
      <c r="AE59" t="str">
        <f>IFERROR(VLOOKUP(N59,BOE!J:N,5,FALSE),"")</f>
        <v/>
      </c>
      <c r="AF59" t="str">
        <f>IF(E59&lt;&gt;"",BOE!$I$1,"")</f>
        <v/>
      </c>
      <c r="AG59" t="str">
        <f>IFERROR(VLOOKUP(N59,BOE!J:T,11,FALSE),"")</f>
        <v/>
      </c>
      <c r="AH59" s="14" t="str">
        <f t="shared" si="3"/>
        <v/>
      </c>
      <c r="AI59" s="14" t="str">
        <f t="shared" si="4"/>
        <v/>
      </c>
      <c r="AJ59" s="14">
        <f t="shared" si="5"/>
        <v>0</v>
      </c>
      <c r="AK59" t="str">
        <f t="shared" si="6"/>
        <v/>
      </c>
    </row>
    <row r="60" spans="1:37" x14ac:dyDescent="0.25">
      <c r="A60" t="str">
        <f t="shared" si="7"/>
        <v/>
      </c>
      <c r="Q60" t="str">
        <f>IF(E60&lt;&gt;"","'"&amp;'PO NO'!$B$2,"")</f>
        <v/>
      </c>
      <c r="U60" t="str">
        <f>IFERROR(CLEAN(VLOOKUP(N60,BOE!J:P,7,FALSE)),"")</f>
        <v/>
      </c>
      <c r="V60" t="str">
        <f t="shared" si="0"/>
        <v/>
      </c>
      <c r="W60" t="str">
        <f t="shared" si="1"/>
        <v/>
      </c>
      <c r="Y60" t="str">
        <f t="shared" si="2"/>
        <v/>
      </c>
      <c r="Z60" t="str">
        <f>IFERROR(IF(VLOOKUP(N60,BOE!J:Q,8,FALSE)=J60,"Pass","Mismatch"),"")</f>
        <v/>
      </c>
      <c r="AA60" t="str">
        <f>IFERROR(IF(ABS(VLOOKUP(N60,BOE!J:R,9,FALSE)-K60)&lt;0.2,"Pass","Mismatch"),"")</f>
        <v/>
      </c>
      <c r="AB60" t="str">
        <f>IFERROR(IF(ABS(VLOOKUP(N60,BOE!J:T,10,FALSE)-L60)&lt;0.2,"Pass","Mismatch"),"")</f>
        <v/>
      </c>
      <c r="AC60" t="str">
        <f>IFERROR(VLOOKUP(N60,BOE!J:N,2,FALSE),"")</f>
        <v/>
      </c>
      <c r="AD60" t="str">
        <f>IFERROR(VLOOKUP(N60,BOE!J:N,4,FALSE),"")</f>
        <v/>
      </c>
      <c r="AE60" t="str">
        <f>IFERROR(VLOOKUP(N60,BOE!J:N,5,FALSE),"")</f>
        <v/>
      </c>
      <c r="AF60" t="str">
        <f>IF(E60&lt;&gt;"",BOE!$I$1,"")</f>
        <v/>
      </c>
      <c r="AG60" t="str">
        <f>IFERROR(VLOOKUP(N60,BOE!J:T,11,FALSE),"")</f>
        <v/>
      </c>
      <c r="AH60" s="14" t="str">
        <f t="shared" si="3"/>
        <v/>
      </c>
      <c r="AI60" s="14" t="str">
        <f t="shared" si="4"/>
        <v/>
      </c>
      <c r="AJ60" s="14">
        <f t="shared" si="5"/>
        <v>0</v>
      </c>
      <c r="AK60" t="str">
        <f t="shared" si="6"/>
        <v/>
      </c>
    </row>
    <row r="61" spans="1:37" x14ac:dyDescent="0.25">
      <c r="A61" t="str">
        <f t="shared" si="7"/>
        <v/>
      </c>
      <c r="Q61" t="str">
        <f>IF(E61&lt;&gt;"","'"&amp;'PO NO'!$B$2,"")</f>
        <v/>
      </c>
      <c r="U61" t="str">
        <f>IFERROR(CLEAN(VLOOKUP(N61,BOE!J:P,7,FALSE)),"")</f>
        <v/>
      </c>
      <c r="V61" t="str">
        <f t="shared" si="0"/>
        <v/>
      </c>
      <c r="W61" t="str">
        <f t="shared" si="1"/>
        <v/>
      </c>
      <c r="Y61" t="str">
        <f t="shared" si="2"/>
        <v/>
      </c>
      <c r="Z61" t="str">
        <f>IFERROR(IF(VLOOKUP(N61,BOE!J:Q,8,FALSE)=J61,"Pass","Mismatch"),"")</f>
        <v/>
      </c>
      <c r="AA61" t="str">
        <f>IFERROR(IF(ABS(VLOOKUP(N61,BOE!J:R,9,FALSE)-K61)&lt;0.2,"Pass","Mismatch"),"")</f>
        <v/>
      </c>
      <c r="AB61" t="str">
        <f>IFERROR(IF(ABS(VLOOKUP(N61,BOE!J:T,10,FALSE)-L61)&lt;0.2,"Pass","Mismatch"),"")</f>
        <v/>
      </c>
      <c r="AC61" t="str">
        <f>IFERROR(VLOOKUP(N61,BOE!J:N,2,FALSE),"")</f>
        <v/>
      </c>
      <c r="AD61" t="str">
        <f>IFERROR(VLOOKUP(N61,BOE!J:N,4,FALSE),"")</f>
        <v/>
      </c>
      <c r="AE61" t="str">
        <f>IFERROR(VLOOKUP(N61,BOE!J:N,5,FALSE),"")</f>
        <v/>
      </c>
      <c r="AF61" t="str">
        <f>IF(E61&lt;&gt;"",BOE!$I$1,"")</f>
        <v/>
      </c>
      <c r="AG61" t="str">
        <f>IFERROR(VLOOKUP(N61,BOE!J:T,11,FALSE),"")</f>
        <v/>
      </c>
      <c r="AH61" s="14" t="str">
        <f t="shared" si="3"/>
        <v/>
      </c>
      <c r="AI61" s="14" t="str">
        <f t="shared" si="4"/>
        <v/>
      </c>
      <c r="AJ61" s="14">
        <f t="shared" si="5"/>
        <v>0</v>
      </c>
      <c r="AK61" t="str">
        <f t="shared" si="6"/>
        <v/>
      </c>
    </row>
    <row r="62" spans="1:37" x14ac:dyDescent="0.25">
      <c r="A62" t="str">
        <f t="shared" si="7"/>
        <v/>
      </c>
      <c r="Q62" t="str">
        <f>IF(E62&lt;&gt;"","'"&amp;'PO NO'!$B$2,"")</f>
        <v/>
      </c>
      <c r="U62" t="str">
        <f>IFERROR(CLEAN(VLOOKUP(N62,BOE!J:P,7,FALSE)),"")</f>
        <v/>
      </c>
      <c r="V62" t="str">
        <f t="shared" si="0"/>
        <v/>
      </c>
      <c r="W62" t="str">
        <f t="shared" si="1"/>
        <v/>
      </c>
      <c r="Y62" t="str">
        <f t="shared" si="2"/>
        <v/>
      </c>
      <c r="Z62" t="str">
        <f>IFERROR(IF(VLOOKUP(N62,BOE!J:Q,8,FALSE)=J62,"Pass","Mismatch"),"")</f>
        <v/>
      </c>
      <c r="AA62" t="str">
        <f>IFERROR(IF(ABS(VLOOKUP(N62,BOE!J:R,9,FALSE)-K62)&lt;0.2,"Pass","Mismatch"),"")</f>
        <v/>
      </c>
      <c r="AB62" t="str">
        <f>IFERROR(IF(ABS(VLOOKUP(N62,BOE!J:T,10,FALSE)-L62)&lt;0.2,"Pass","Mismatch"),"")</f>
        <v/>
      </c>
      <c r="AC62" t="str">
        <f>IFERROR(VLOOKUP(N62,BOE!J:N,2,FALSE),"")</f>
        <v/>
      </c>
      <c r="AD62" t="str">
        <f>IFERROR(VLOOKUP(N62,BOE!J:N,4,FALSE),"")</f>
        <v/>
      </c>
      <c r="AE62" t="str">
        <f>IFERROR(VLOOKUP(N62,BOE!J:N,5,FALSE),"")</f>
        <v/>
      </c>
      <c r="AF62" t="str">
        <f>IF(E62&lt;&gt;"",BOE!$I$1,"")</f>
        <v/>
      </c>
      <c r="AG62" t="str">
        <f>IFERROR(VLOOKUP(N62,BOE!J:T,11,FALSE),"")</f>
        <v/>
      </c>
      <c r="AH62" s="14" t="str">
        <f t="shared" si="3"/>
        <v/>
      </c>
      <c r="AI62" s="14" t="str">
        <f t="shared" si="4"/>
        <v/>
      </c>
      <c r="AJ62" s="14">
        <f t="shared" si="5"/>
        <v>0</v>
      </c>
      <c r="AK62" t="str">
        <f t="shared" si="6"/>
        <v/>
      </c>
    </row>
    <row r="63" spans="1:37" x14ac:dyDescent="0.25">
      <c r="A63" t="str">
        <f t="shared" si="7"/>
        <v/>
      </c>
      <c r="Q63" t="str">
        <f>IF(E63&lt;&gt;"","'"&amp;'PO NO'!$B$2,"")</f>
        <v/>
      </c>
      <c r="U63" t="str">
        <f>IFERROR(CLEAN(VLOOKUP(N63,BOE!J:P,7,FALSE)),"")</f>
        <v/>
      </c>
      <c r="V63" t="str">
        <f t="shared" si="0"/>
        <v/>
      </c>
      <c r="W63" t="str">
        <f t="shared" si="1"/>
        <v/>
      </c>
      <c r="Y63" t="str">
        <f t="shared" si="2"/>
        <v/>
      </c>
      <c r="Z63" t="str">
        <f>IFERROR(IF(VLOOKUP(N63,BOE!J:Q,8,FALSE)=J63,"Pass","Mismatch"),"")</f>
        <v/>
      </c>
      <c r="AA63" t="str">
        <f>IFERROR(IF(ABS(VLOOKUP(N63,BOE!J:R,9,FALSE)-K63)&lt;0.2,"Pass","Mismatch"),"")</f>
        <v/>
      </c>
      <c r="AB63" t="str">
        <f>IFERROR(IF(ABS(VLOOKUP(N63,BOE!J:T,10,FALSE)-L63)&lt;0.2,"Pass","Mismatch"),"")</f>
        <v/>
      </c>
      <c r="AC63" t="str">
        <f>IFERROR(VLOOKUP(N63,BOE!J:N,2,FALSE),"")</f>
        <v/>
      </c>
      <c r="AD63" t="str">
        <f>IFERROR(VLOOKUP(N63,BOE!J:N,4,FALSE),"")</f>
        <v/>
      </c>
      <c r="AE63" t="str">
        <f>IFERROR(VLOOKUP(N63,BOE!J:N,5,FALSE),"")</f>
        <v/>
      </c>
      <c r="AF63" t="str">
        <f>IF(E63&lt;&gt;"",BOE!$I$1,"")</f>
        <v/>
      </c>
      <c r="AG63" t="str">
        <f>IFERROR(VLOOKUP(N63,BOE!J:T,11,FALSE),"")</f>
        <v/>
      </c>
      <c r="AH63" s="14" t="str">
        <f t="shared" si="3"/>
        <v/>
      </c>
      <c r="AI63" s="14" t="str">
        <f t="shared" si="4"/>
        <v/>
      </c>
      <c r="AJ63" s="14">
        <f t="shared" si="5"/>
        <v>0</v>
      </c>
      <c r="AK63" t="str">
        <f t="shared" si="6"/>
        <v/>
      </c>
    </row>
    <row r="64" spans="1:37" x14ac:dyDescent="0.25">
      <c r="A64" t="str">
        <f t="shared" si="7"/>
        <v/>
      </c>
      <c r="Q64" t="str">
        <f>IF(E64&lt;&gt;"","'"&amp;'PO NO'!$B$2,"")</f>
        <v/>
      </c>
      <c r="U64" t="str">
        <f>IFERROR(CLEAN(VLOOKUP(N64,BOE!J:P,7,FALSE)),"")</f>
        <v/>
      </c>
      <c r="V64" t="str">
        <f t="shared" si="0"/>
        <v/>
      </c>
      <c r="W64" t="str">
        <f t="shared" si="1"/>
        <v/>
      </c>
      <c r="Y64" t="str">
        <f t="shared" si="2"/>
        <v/>
      </c>
      <c r="Z64" t="str">
        <f>IFERROR(IF(VLOOKUP(N64,BOE!J:Q,8,FALSE)=J64,"Pass","Mismatch"),"")</f>
        <v/>
      </c>
      <c r="AA64" t="str">
        <f>IFERROR(IF(ABS(VLOOKUP(N64,BOE!J:R,9,FALSE)-K64)&lt;0.2,"Pass","Mismatch"),"")</f>
        <v/>
      </c>
      <c r="AB64" t="str">
        <f>IFERROR(IF(ABS(VLOOKUP(N64,BOE!J:T,10,FALSE)-L64)&lt;0.2,"Pass","Mismatch"),"")</f>
        <v/>
      </c>
      <c r="AC64" t="str">
        <f>IFERROR(VLOOKUP(N64,BOE!J:N,2,FALSE),"")</f>
        <v/>
      </c>
      <c r="AD64" t="str">
        <f>IFERROR(VLOOKUP(N64,BOE!J:N,4,FALSE),"")</f>
        <v/>
      </c>
      <c r="AE64" t="str">
        <f>IFERROR(VLOOKUP(N64,BOE!J:N,5,FALSE),"")</f>
        <v/>
      </c>
      <c r="AF64" t="str">
        <f>IF(E64&lt;&gt;"",BOE!$I$1,"")</f>
        <v/>
      </c>
      <c r="AG64" t="str">
        <f>IFERROR(VLOOKUP(N64,BOE!J:T,11,FALSE),"")</f>
        <v/>
      </c>
      <c r="AH64" s="14" t="str">
        <f t="shared" si="3"/>
        <v/>
      </c>
      <c r="AI64" s="14" t="str">
        <f t="shared" si="4"/>
        <v/>
      </c>
      <c r="AJ64" s="14">
        <f t="shared" si="5"/>
        <v>0</v>
      </c>
      <c r="AK64" t="str">
        <f t="shared" si="6"/>
        <v/>
      </c>
    </row>
    <row r="65" spans="1:37" x14ac:dyDescent="0.25">
      <c r="A65" t="str">
        <f t="shared" si="7"/>
        <v/>
      </c>
      <c r="Q65" t="str">
        <f>IF(E65&lt;&gt;"","'"&amp;'PO NO'!$B$2,"")</f>
        <v/>
      </c>
      <c r="U65" t="str">
        <f>IFERROR(CLEAN(VLOOKUP(N65,BOE!J:P,7,FALSE)),"")</f>
        <v/>
      </c>
      <c r="V65" t="str">
        <f t="shared" si="0"/>
        <v/>
      </c>
      <c r="W65" t="str">
        <f t="shared" si="1"/>
        <v/>
      </c>
      <c r="Y65" t="str">
        <f t="shared" si="2"/>
        <v/>
      </c>
      <c r="Z65" t="str">
        <f>IFERROR(IF(VLOOKUP(N65,BOE!J:Q,8,FALSE)=J65,"Pass","Mismatch"),"")</f>
        <v/>
      </c>
      <c r="AA65" t="str">
        <f>IFERROR(IF(ABS(VLOOKUP(N65,BOE!J:R,9,FALSE)-K65)&lt;0.2,"Pass","Mismatch"),"")</f>
        <v/>
      </c>
      <c r="AB65" t="str">
        <f>IFERROR(IF(ABS(VLOOKUP(N65,BOE!J:T,10,FALSE)-L65)&lt;0.2,"Pass","Mismatch"),"")</f>
        <v/>
      </c>
      <c r="AC65" t="str">
        <f>IFERROR(VLOOKUP(N65,BOE!J:N,2,FALSE),"")</f>
        <v/>
      </c>
      <c r="AD65" t="str">
        <f>IFERROR(VLOOKUP(N65,BOE!J:N,4,FALSE),"")</f>
        <v/>
      </c>
      <c r="AE65" t="str">
        <f>IFERROR(VLOOKUP(N65,BOE!J:N,5,FALSE),"")</f>
        <v/>
      </c>
      <c r="AF65" t="str">
        <f>IF(E65&lt;&gt;"",BOE!$I$1,"")</f>
        <v/>
      </c>
      <c r="AG65" t="str">
        <f>IFERROR(VLOOKUP(N65,BOE!J:T,11,FALSE),"")</f>
        <v/>
      </c>
      <c r="AH65" s="14" t="str">
        <f t="shared" si="3"/>
        <v/>
      </c>
      <c r="AI65" s="14" t="str">
        <f t="shared" si="4"/>
        <v/>
      </c>
      <c r="AJ65" s="14">
        <f t="shared" si="5"/>
        <v>0</v>
      </c>
      <c r="AK65" t="str">
        <f t="shared" si="6"/>
        <v/>
      </c>
    </row>
    <row r="66" spans="1:37" x14ac:dyDescent="0.25">
      <c r="A66" t="str">
        <f t="shared" si="7"/>
        <v/>
      </c>
      <c r="Q66" t="str">
        <f>IF(E66&lt;&gt;"","'"&amp;'PO NO'!$B$2,"")</f>
        <v/>
      </c>
      <c r="U66" t="str">
        <f>IFERROR(CLEAN(VLOOKUP(N66,BOE!J:P,7,FALSE)),"")</f>
        <v/>
      </c>
      <c r="V66" t="str">
        <f t="shared" si="0"/>
        <v/>
      </c>
      <c r="W66" t="str">
        <f t="shared" si="1"/>
        <v/>
      </c>
      <c r="Y66" t="str">
        <f t="shared" si="2"/>
        <v/>
      </c>
      <c r="Z66" t="str">
        <f>IFERROR(IF(VLOOKUP(N66,BOE!J:Q,8,FALSE)=J66,"Pass","Mismatch"),"")</f>
        <v/>
      </c>
      <c r="AA66" t="str">
        <f>IFERROR(IF(ABS(VLOOKUP(N66,BOE!J:R,9,FALSE)-K66)&lt;0.2,"Pass","Mismatch"),"")</f>
        <v/>
      </c>
      <c r="AB66" t="str">
        <f>IFERROR(IF(ABS(VLOOKUP(N66,BOE!J:T,10,FALSE)-L66)&lt;0.2,"Pass","Mismatch"),"")</f>
        <v/>
      </c>
      <c r="AC66" t="str">
        <f>IFERROR(VLOOKUP(N66,BOE!J:N,2,FALSE),"")</f>
        <v/>
      </c>
      <c r="AD66" t="str">
        <f>IFERROR(VLOOKUP(N66,BOE!J:N,4,FALSE),"")</f>
        <v/>
      </c>
      <c r="AE66" t="str">
        <f>IFERROR(VLOOKUP(N66,BOE!J:N,5,FALSE),"")</f>
        <v/>
      </c>
      <c r="AF66" t="str">
        <f>IF(E66&lt;&gt;"",BOE!$I$1,"")</f>
        <v/>
      </c>
      <c r="AG66" t="str">
        <f>IFERROR(VLOOKUP(N66,BOE!J:T,11,FALSE),"")</f>
        <v/>
      </c>
      <c r="AH66" s="14" t="str">
        <f t="shared" si="3"/>
        <v/>
      </c>
      <c r="AI66" s="14" t="str">
        <f t="shared" si="4"/>
        <v/>
      </c>
      <c r="AJ66" s="14">
        <f t="shared" si="5"/>
        <v>0</v>
      </c>
      <c r="AK66" t="str">
        <f t="shared" si="6"/>
        <v/>
      </c>
    </row>
    <row r="67" spans="1:37" x14ac:dyDescent="0.25">
      <c r="A67" t="str">
        <f t="shared" si="7"/>
        <v/>
      </c>
      <c r="Q67" t="str">
        <f>IF(E67&lt;&gt;"","'"&amp;'PO NO'!$B$2,"")</f>
        <v/>
      </c>
      <c r="U67" t="str">
        <f>IFERROR(CLEAN(VLOOKUP(N67,BOE!J:P,7,FALSE)),"")</f>
        <v/>
      </c>
      <c r="V67" t="str">
        <f t="shared" ref="V67:V130" si="8">IF(U67&lt;&gt;"",E67,"")</f>
        <v/>
      </c>
      <c r="W67" t="str">
        <f t="shared" ref="W67:W130" si="9">IF(U67&lt;&gt;"",IF(AND(ISNUMBER(SEARCH(TRIM(V67),U67)),ISNUMBER(SEARCH(TRIM(F67),U67))),"Pass","Mismatch"),"")</f>
        <v/>
      </c>
      <c r="Y67" t="str">
        <f t="shared" ref="Y67:Y130" si="10">IF(U67&lt;&gt;"",IF(ISNUMBER(SEARCH(X67,U67)),"Pass","Mismatch"),"")</f>
        <v/>
      </c>
      <c r="Z67" t="str">
        <f>IFERROR(IF(VLOOKUP(N67,BOE!J:Q,8,FALSE)=J67,"Pass","Mismatch"),"")</f>
        <v/>
      </c>
      <c r="AA67" t="str">
        <f>IFERROR(IF(ABS(VLOOKUP(N67,BOE!J:R,9,FALSE)-K67)&lt;0.2,"Pass","Mismatch"),"")</f>
        <v/>
      </c>
      <c r="AB67" t="str">
        <f>IFERROR(IF(ABS(VLOOKUP(N67,BOE!J:T,10,FALSE)-L67)&lt;0.2,"Pass","Mismatch"),"")</f>
        <v/>
      </c>
      <c r="AC67" t="str">
        <f>IFERROR(VLOOKUP(N67,BOE!J:N,2,FALSE),"")</f>
        <v/>
      </c>
      <c r="AD67" t="str">
        <f>IFERROR(VLOOKUP(N67,BOE!J:N,4,FALSE),"")</f>
        <v/>
      </c>
      <c r="AE67" t="str">
        <f>IFERROR(VLOOKUP(N67,BOE!J:N,5,FALSE),"")</f>
        <v/>
      </c>
      <c r="AF67" t="str">
        <f>IF(E67&lt;&gt;"",BOE!$I$1,"")</f>
        <v/>
      </c>
      <c r="AG67" t="str">
        <f>IFERROR(VLOOKUP(N67,BOE!J:T,11,FALSE),"")</f>
        <v/>
      </c>
      <c r="AH67" s="14" t="str">
        <f t="shared" ref="AH67:AH130" si="11">IFERROR(AC67/((L67*AF67)+AD67+AE67)*100,"")</f>
        <v/>
      </c>
      <c r="AI67" s="14" t="str">
        <f t="shared" ref="AI67:AI130" si="12">IFERROR(AD67/($L67*$AF$2)*100,"")</f>
        <v/>
      </c>
      <c r="AJ67" s="14">
        <f t="shared" ref="AJ67:AJ130" si="13">IFERROR(AE67/(AD67)*100,0)</f>
        <v>0</v>
      </c>
      <c r="AK67" t="str">
        <f t="shared" ref="AK67:AK130" si="14">IF(E67="","",IFERROR(IF(AND(OR(ROUNDUP(AH67,0)=18,ROUNDDOWN(AH67,0)=18),OR(ROUNDUP(AI67,0)=0,ROUNDDOWN(AI67,0)=0),OR(ROUNDUP(AJ67,0)=0,ROUNDDOWN(AJ67,0)=0)),"RIG_I@18",IF(AND(OR(ROUNDUP(AH67,0)=18,ROUNDDOWN(AH67,0)=18),OR(ROUNDUP(AI67,0)=8,ROUNDDOWN(AI67,0)=8),OR(ROUNDUP(AJ67,0)=10,ROUNDDOWN(AJ67,0)=1)),"RGBCD42",IF(AND(OR(ROUNDUP(AH67,0)=18,ROUNDDOWN(AH67,0)=18),OR(ROUNDUP(AI67,0)=13,ROUNDDOWN(AI67,0)=13),OR(ROUNDUP(AJ67,0)=10,ROUNDDOWN(AJ67,0)=1)),"RGBCDSW",IF(AND(OR(ROUNDUP(AH67,0)=18,ROUNDDOWN(AH67,0)=18),OR(ROUNDUP(AI67,0)=15,ROUNDDOWN(AI67,0)=15),OR(ROUNDUP(AJ67,0)=10,ROUNDDOWN(AJ67,0)=1)),"BSWIGST","NA")))),"NA"))</f>
        <v/>
      </c>
    </row>
    <row r="68" spans="1:37" x14ac:dyDescent="0.25">
      <c r="A68" t="str">
        <f t="shared" ref="A68:A131" si="15">IF(B68&lt;&gt;"",A67+1,"")</f>
        <v/>
      </c>
      <c r="Q68" t="str">
        <f>IF(E68&lt;&gt;"","'"&amp;'PO NO'!$B$2,"")</f>
        <v/>
      </c>
      <c r="U68" t="str">
        <f>IFERROR(CLEAN(VLOOKUP(N68,BOE!J:P,7,FALSE)),"")</f>
        <v/>
      </c>
      <c r="V68" t="str">
        <f t="shared" si="8"/>
        <v/>
      </c>
      <c r="W68" t="str">
        <f t="shared" si="9"/>
        <v/>
      </c>
      <c r="Y68" t="str">
        <f t="shared" si="10"/>
        <v/>
      </c>
      <c r="Z68" t="str">
        <f>IFERROR(IF(VLOOKUP(N68,BOE!J:Q,8,FALSE)=J68,"Pass","Mismatch"),"")</f>
        <v/>
      </c>
      <c r="AA68" t="str">
        <f>IFERROR(IF(ABS(VLOOKUP(N68,BOE!J:R,9,FALSE)-K68)&lt;0.2,"Pass","Mismatch"),"")</f>
        <v/>
      </c>
      <c r="AB68" t="str">
        <f>IFERROR(IF(ABS(VLOOKUP(N68,BOE!J:T,10,FALSE)-L68)&lt;0.2,"Pass","Mismatch"),"")</f>
        <v/>
      </c>
      <c r="AC68" t="str">
        <f>IFERROR(VLOOKUP(N68,BOE!J:N,2,FALSE),"")</f>
        <v/>
      </c>
      <c r="AD68" t="str">
        <f>IFERROR(VLOOKUP(N68,BOE!J:N,4,FALSE),"")</f>
        <v/>
      </c>
      <c r="AE68" t="str">
        <f>IFERROR(VLOOKUP(N68,BOE!J:N,5,FALSE),"")</f>
        <v/>
      </c>
      <c r="AF68" t="str">
        <f>IF(E68&lt;&gt;"",BOE!$I$1,"")</f>
        <v/>
      </c>
      <c r="AG68" t="str">
        <f>IFERROR(VLOOKUP(N68,BOE!J:T,11,FALSE),"")</f>
        <v/>
      </c>
      <c r="AH68" s="14" t="str">
        <f t="shared" si="11"/>
        <v/>
      </c>
      <c r="AI68" s="14" t="str">
        <f t="shared" si="12"/>
        <v/>
      </c>
      <c r="AJ68" s="14">
        <f t="shared" si="13"/>
        <v>0</v>
      </c>
      <c r="AK68" t="str">
        <f t="shared" si="14"/>
        <v/>
      </c>
    </row>
    <row r="69" spans="1:37" x14ac:dyDescent="0.25">
      <c r="A69" t="str">
        <f t="shared" si="15"/>
        <v/>
      </c>
      <c r="Q69" t="str">
        <f>IF(E69&lt;&gt;"","'"&amp;'PO NO'!$B$2,"")</f>
        <v/>
      </c>
      <c r="U69" t="str">
        <f>IFERROR(CLEAN(VLOOKUP(N69,BOE!J:P,7,FALSE)),"")</f>
        <v/>
      </c>
      <c r="V69" t="str">
        <f t="shared" si="8"/>
        <v/>
      </c>
      <c r="W69" t="str">
        <f t="shared" si="9"/>
        <v/>
      </c>
      <c r="Y69" t="str">
        <f t="shared" si="10"/>
        <v/>
      </c>
      <c r="Z69" t="str">
        <f>IFERROR(IF(VLOOKUP(N69,BOE!J:Q,8,FALSE)=J69,"Pass","Mismatch"),"")</f>
        <v/>
      </c>
      <c r="AA69" t="str">
        <f>IFERROR(IF(ABS(VLOOKUP(N69,BOE!J:R,9,FALSE)-K69)&lt;0.2,"Pass","Mismatch"),"")</f>
        <v/>
      </c>
      <c r="AB69" t="str">
        <f>IFERROR(IF(ABS(VLOOKUP(N69,BOE!J:T,10,FALSE)-L69)&lt;0.2,"Pass","Mismatch"),"")</f>
        <v/>
      </c>
      <c r="AC69" t="str">
        <f>IFERROR(VLOOKUP(N69,BOE!J:N,2,FALSE),"")</f>
        <v/>
      </c>
      <c r="AD69" t="str">
        <f>IFERROR(VLOOKUP(N69,BOE!J:N,4,FALSE),"")</f>
        <v/>
      </c>
      <c r="AE69" t="str">
        <f>IFERROR(VLOOKUP(N69,BOE!J:N,5,FALSE),"")</f>
        <v/>
      </c>
      <c r="AF69" t="str">
        <f>IF(E69&lt;&gt;"",BOE!$I$1,"")</f>
        <v/>
      </c>
      <c r="AG69" t="str">
        <f>IFERROR(VLOOKUP(N69,BOE!J:T,11,FALSE),"")</f>
        <v/>
      </c>
      <c r="AH69" s="14" t="str">
        <f t="shared" si="11"/>
        <v/>
      </c>
      <c r="AI69" s="14" t="str">
        <f t="shared" si="12"/>
        <v/>
      </c>
      <c r="AJ69" s="14">
        <f t="shared" si="13"/>
        <v>0</v>
      </c>
      <c r="AK69" t="str">
        <f t="shared" si="14"/>
        <v/>
      </c>
    </row>
    <row r="70" spans="1:37" x14ac:dyDescent="0.25">
      <c r="A70" t="str">
        <f t="shared" si="15"/>
        <v/>
      </c>
      <c r="Q70" t="str">
        <f>IF(E70&lt;&gt;"","'"&amp;'PO NO'!$B$2,"")</f>
        <v/>
      </c>
      <c r="U70" t="str">
        <f>IFERROR(CLEAN(VLOOKUP(N70,BOE!J:P,7,FALSE)),"")</f>
        <v/>
      </c>
      <c r="V70" t="str">
        <f t="shared" si="8"/>
        <v/>
      </c>
      <c r="W70" t="str">
        <f t="shared" si="9"/>
        <v/>
      </c>
      <c r="Y70" t="str">
        <f t="shared" si="10"/>
        <v/>
      </c>
      <c r="Z70" t="str">
        <f>IFERROR(IF(VLOOKUP(N70,BOE!J:Q,8,FALSE)=J70,"Pass","Mismatch"),"")</f>
        <v/>
      </c>
      <c r="AA70" t="str">
        <f>IFERROR(IF(ABS(VLOOKUP(N70,BOE!J:R,9,FALSE)-K70)&lt;0.2,"Pass","Mismatch"),"")</f>
        <v/>
      </c>
      <c r="AB70" t="str">
        <f>IFERROR(IF(ABS(VLOOKUP(N70,BOE!J:T,10,FALSE)-L70)&lt;0.2,"Pass","Mismatch"),"")</f>
        <v/>
      </c>
      <c r="AC70" t="str">
        <f>IFERROR(VLOOKUP(N70,BOE!J:N,2,FALSE),"")</f>
        <v/>
      </c>
      <c r="AD70" t="str">
        <f>IFERROR(VLOOKUP(N70,BOE!J:N,4,FALSE),"")</f>
        <v/>
      </c>
      <c r="AE70" t="str">
        <f>IFERROR(VLOOKUP(N70,BOE!J:N,5,FALSE),"")</f>
        <v/>
      </c>
      <c r="AF70" t="str">
        <f>IF(E70&lt;&gt;"",BOE!$I$1,"")</f>
        <v/>
      </c>
      <c r="AG70" t="str">
        <f>IFERROR(VLOOKUP(N70,BOE!J:T,11,FALSE),"")</f>
        <v/>
      </c>
      <c r="AH70" s="14" t="str">
        <f t="shared" si="11"/>
        <v/>
      </c>
      <c r="AI70" s="14" t="str">
        <f t="shared" si="12"/>
        <v/>
      </c>
      <c r="AJ70" s="14">
        <f t="shared" si="13"/>
        <v>0</v>
      </c>
      <c r="AK70" t="str">
        <f t="shared" si="14"/>
        <v/>
      </c>
    </row>
    <row r="71" spans="1:37" x14ac:dyDescent="0.25">
      <c r="A71" t="str">
        <f t="shared" si="15"/>
        <v/>
      </c>
      <c r="Q71" t="str">
        <f>IF(E71&lt;&gt;"","'"&amp;'PO NO'!$B$2,"")</f>
        <v/>
      </c>
      <c r="U71" t="str">
        <f>IFERROR(CLEAN(VLOOKUP(N71,BOE!J:P,7,FALSE)),"")</f>
        <v/>
      </c>
      <c r="V71" t="str">
        <f t="shared" si="8"/>
        <v/>
      </c>
      <c r="W71" t="str">
        <f t="shared" si="9"/>
        <v/>
      </c>
      <c r="Y71" t="str">
        <f t="shared" si="10"/>
        <v/>
      </c>
      <c r="Z71" t="str">
        <f>IFERROR(IF(VLOOKUP(N71,BOE!J:Q,8,FALSE)=J71,"Pass","Mismatch"),"")</f>
        <v/>
      </c>
      <c r="AA71" t="str">
        <f>IFERROR(IF(ABS(VLOOKUP(N71,BOE!J:R,9,FALSE)-K71)&lt;0.2,"Pass","Mismatch"),"")</f>
        <v/>
      </c>
      <c r="AB71" t="str">
        <f>IFERROR(IF(ABS(VLOOKUP(N71,BOE!J:T,10,FALSE)-L71)&lt;0.2,"Pass","Mismatch"),"")</f>
        <v/>
      </c>
      <c r="AC71" t="str">
        <f>IFERROR(VLOOKUP(N71,BOE!J:N,2,FALSE),"")</f>
        <v/>
      </c>
      <c r="AD71" t="str">
        <f>IFERROR(VLOOKUP(N71,BOE!J:N,4,FALSE),"")</f>
        <v/>
      </c>
      <c r="AE71" t="str">
        <f>IFERROR(VLOOKUP(N71,BOE!J:N,5,FALSE),"")</f>
        <v/>
      </c>
      <c r="AF71" t="str">
        <f>IF(E71&lt;&gt;"",BOE!$I$1,"")</f>
        <v/>
      </c>
      <c r="AG71" t="str">
        <f>IFERROR(VLOOKUP(N71,BOE!J:T,11,FALSE),"")</f>
        <v/>
      </c>
      <c r="AH71" s="14" t="str">
        <f t="shared" si="11"/>
        <v/>
      </c>
      <c r="AI71" s="14" t="str">
        <f t="shared" si="12"/>
        <v/>
      </c>
      <c r="AJ71" s="14">
        <f t="shared" si="13"/>
        <v>0</v>
      </c>
      <c r="AK71" t="str">
        <f t="shared" si="14"/>
        <v/>
      </c>
    </row>
    <row r="72" spans="1:37" x14ac:dyDescent="0.25">
      <c r="A72" t="str">
        <f t="shared" si="15"/>
        <v/>
      </c>
      <c r="Q72" t="str">
        <f>IF(E72&lt;&gt;"","'"&amp;'PO NO'!$B$2,"")</f>
        <v/>
      </c>
      <c r="U72" t="str">
        <f>IFERROR(CLEAN(VLOOKUP(N72,BOE!J:P,7,FALSE)),"")</f>
        <v/>
      </c>
      <c r="V72" t="str">
        <f t="shared" si="8"/>
        <v/>
      </c>
      <c r="W72" t="str">
        <f t="shared" si="9"/>
        <v/>
      </c>
      <c r="Y72" t="str">
        <f t="shared" si="10"/>
        <v/>
      </c>
      <c r="Z72" t="str">
        <f>IFERROR(IF(VLOOKUP(N72,BOE!J:Q,8,FALSE)=J72,"Pass","Mismatch"),"")</f>
        <v/>
      </c>
      <c r="AA72" t="str">
        <f>IFERROR(IF(ABS(VLOOKUP(N72,BOE!J:R,9,FALSE)-K72)&lt;0.2,"Pass","Mismatch"),"")</f>
        <v/>
      </c>
      <c r="AB72" t="str">
        <f>IFERROR(IF(ABS(VLOOKUP(N72,BOE!J:T,10,FALSE)-L72)&lt;0.2,"Pass","Mismatch"),"")</f>
        <v/>
      </c>
      <c r="AC72" t="str">
        <f>IFERROR(VLOOKUP(N72,BOE!J:N,2,FALSE),"")</f>
        <v/>
      </c>
      <c r="AD72" t="str">
        <f>IFERROR(VLOOKUP(N72,BOE!J:N,4,FALSE),"")</f>
        <v/>
      </c>
      <c r="AE72" t="str">
        <f>IFERROR(VLOOKUP(N72,BOE!J:N,5,FALSE),"")</f>
        <v/>
      </c>
      <c r="AF72" t="str">
        <f>IF(E72&lt;&gt;"",BOE!$I$1,"")</f>
        <v/>
      </c>
      <c r="AG72" t="str">
        <f>IFERROR(VLOOKUP(N72,BOE!J:T,11,FALSE),"")</f>
        <v/>
      </c>
      <c r="AH72" s="14" t="str">
        <f t="shared" si="11"/>
        <v/>
      </c>
      <c r="AI72" s="14" t="str">
        <f t="shared" si="12"/>
        <v/>
      </c>
      <c r="AJ72" s="14">
        <f t="shared" si="13"/>
        <v>0</v>
      </c>
      <c r="AK72" t="str">
        <f t="shared" si="14"/>
        <v/>
      </c>
    </row>
    <row r="73" spans="1:37" x14ac:dyDescent="0.25">
      <c r="A73" t="str">
        <f t="shared" si="15"/>
        <v/>
      </c>
      <c r="Q73" t="str">
        <f>IF(E73&lt;&gt;"","'"&amp;'PO NO'!$B$2,"")</f>
        <v/>
      </c>
      <c r="U73" t="str">
        <f>IFERROR(CLEAN(VLOOKUP(N73,BOE!J:P,7,FALSE)),"")</f>
        <v/>
      </c>
      <c r="V73" t="str">
        <f t="shared" si="8"/>
        <v/>
      </c>
      <c r="W73" t="str">
        <f t="shared" si="9"/>
        <v/>
      </c>
      <c r="Y73" t="str">
        <f t="shared" si="10"/>
        <v/>
      </c>
      <c r="Z73" t="str">
        <f>IFERROR(IF(VLOOKUP(N73,BOE!J:Q,8,FALSE)=J73,"Pass","Mismatch"),"")</f>
        <v/>
      </c>
      <c r="AA73" t="str">
        <f>IFERROR(IF(ABS(VLOOKUP(N73,BOE!J:R,9,FALSE)-K73)&lt;0.2,"Pass","Mismatch"),"")</f>
        <v/>
      </c>
      <c r="AB73" t="str">
        <f>IFERROR(IF(ABS(VLOOKUP(N73,BOE!J:T,10,FALSE)-L73)&lt;0.2,"Pass","Mismatch"),"")</f>
        <v/>
      </c>
      <c r="AC73" t="str">
        <f>IFERROR(VLOOKUP(N73,BOE!J:N,2,FALSE),"")</f>
        <v/>
      </c>
      <c r="AD73" t="str">
        <f>IFERROR(VLOOKUP(N73,BOE!J:N,4,FALSE),"")</f>
        <v/>
      </c>
      <c r="AE73" t="str">
        <f>IFERROR(VLOOKUP(N73,BOE!J:N,5,FALSE),"")</f>
        <v/>
      </c>
      <c r="AF73" t="str">
        <f>IF(E73&lt;&gt;"",BOE!$I$1,"")</f>
        <v/>
      </c>
      <c r="AG73" t="str">
        <f>IFERROR(VLOOKUP(N73,BOE!J:T,11,FALSE),"")</f>
        <v/>
      </c>
      <c r="AH73" s="14" t="str">
        <f t="shared" si="11"/>
        <v/>
      </c>
      <c r="AI73" s="14" t="str">
        <f t="shared" si="12"/>
        <v/>
      </c>
      <c r="AJ73" s="14">
        <f t="shared" si="13"/>
        <v>0</v>
      </c>
      <c r="AK73" t="str">
        <f t="shared" si="14"/>
        <v/>
      </c>
    </row>
    <row r="74" spans="1:37" x14ac:dyDescent="0.25">
      <c r="A74" t="str">
        <f t="shared" si="15"/>
        <v/>
      </c>
      <c r="Q74" t="str">
        <f>IF(E74&lt;&gt;"","'"&amp;'PO NO'!$B$2,"")</f>
        <v/>
      </c>
      <c r="U74" t="str">
        <f>IFERROR(CLEAN(VLOOKUP(N74,BOE!J:P,7,FALSE)),"")</f>
        <v/>
      </c>
      <c r="V74" t="str">
        <f t="shared" si="8"/>
        <v/>
      </c>
      <c r="W74" t="str">
        <f t="shared" si="9"/>
        <v/>
      </c>
      <c r="Y74" t="str">
        <f t="shared" si="10"/>
        <v/>
      </c>
      <c r="Z74" t="str">
        <f>IFERROR(IF(VLOOKUP(N74,BOE!J:Q,8,FALSE)=J74,"Pass","Mismatch"),"")</f>
        <v/>
      </c>
      <c r="AA74" t="str">
        <f>IFERROR(IF(ABS(VLOOKUP(N74,BOE!J:R,9,FALSE)-K74)&lt;0.2,"Pass","Mismatch"),"")</f>
        <v/>
      </c>
      <c r="AB74" t="str">
        <f>IFERROR(IF(ABS(VLOOKUP(N74,BOE!J:T,10,FALSE)-L74)&lt;0.2,"Pass","Mismatch"),"")</f>
        <v/>
      </c>
      <c r="AC74" t="str">
        <f>IFERROR(VLOOKUP(N74,BOE!J:N,2,FALSE),"")</f>
        <v/>
      </c>
      <c r="AD74" t="str">
        <f>IFERROR(VLOOKUP(N74,BOE!J:N,4,FALSE),"")</f>
        <v/>
      </c>
      <c r="AE74" t="str">
        <f>IFERROR(VLOOKUP(N74,BOE!J:N,5,FALSE),"")</f>
        <v/>
      </c>
      <c r="AF74" t="str">
        <f>IF(E74&lt;&gt;"",BOE!$I$1,"")</f>
        <v/>
      </c>
      <c r="AG74" t="str">
        <f>IFERROR(VLOOKUP(N74,BOE!J:T,11,FALSE),"")</f>
        <v/>
      </c>
      <c r="AH74" s="14" t="str">
        <f t="shared" si="11"/>
        <v/>
      </c>
      <c r="AI74" s="14" t="str">
        <f t="shared" si="12"/>
        <v/>
      </c>
      <c r="AJ74" s="14">
        <f t="shared" si="13"/>
        <v>0</v>
      </c>
      <c r="AK74" t="str">
        <f t="shared" si="14"/>
        <v/>
      </c>
    </row>
    <row r="75" spans="1:37" x14ac:dyDescent="0.25">
      <c r="A75" t="str">
        <f t="shared" si="15"/>
        <v/>
      </c>
      <c r="Q75" t="str">
        <f>IF(E75&lt;&gt;"","'"&amp;'PO NO'!$B$2,"")</f>
        <v/>
      </c>
      <c r="U75" t="str">
        <f>IFERROR(CLEAN(VLOOKUP(N75,BOE!J:P,7,FALSE)),"")</f>
        <v/>
      </c>
      <c r="V75" t="str">
        <f t="shared" si="8"/>
        <v/>
      </c>
      <c r="W75" t="str">
        <f t="shared" si="9"/>
        <v/>
      </c>
      <c r="Y75" t="str">
        <f t="shared" si="10"/>
        <v/>
      </c>
      <c r="Z75" t="str">
        <f>IFERROR(IF(VLOOKUP(N75,BOE!J:Q,8,FALSE)=J75,"Pass","Mismatch"),"")</f>
        <v/>
      </c>
      <c r="AA75" t="str">
        <f>IFERROR(IF(ABS(VLOOKUP(N75,BOE!J:R,9,FALSE)-K75)&lt;0.2,"Pass","Mismatch"),"")</f>
        <v/>
      </c>
      <c r="AB75" t="str">
        <f>IFERROR(IF(ABS(VLOOKUP(N75,BOE!J:T,10,FALSE)-L75)&lt;0.2,"Pass","Mismatch"),"")</f>
        <v/>
      </c>
      <c r="AC75" t="str">
        <f>IFERROR(VLOOKUP(N75,BOE!J:N,2,FALSE),"")</f>
        <v/>
      </c>
      <c r="AD75" t="str">
        <f>IFERROR(VLOOKUP(N75,BOE!J:N,4,FALSE),"")</f>
        <v/>
      </c>
      <c r="AE75" t="str">
        <f>IFERROR(VLOOKUP(N75,BOE!J:N,5,FALSE),"")</f>
        <v/>
      </c>
      <c r="AF75" t="str">
        <f>IF(E75&lt;&gt;"",BOE!$I$1,"")</f>
        <v/>
      </c>
      <c r="AG75" t="str">
        <f>IFERROR(VLOOKUP(N75,BOE!J:T,11,FALSE),"")</f>
        <v/>
      </c>
      <c r="AH75" s="14" t="str">
        <f t="shared" si="11"/>
        <v/>
      </c>
      <c r="AI75" s="14" t="str">
        <f t="shared" si="12"/>
        <v/>
      </c>
      <c r="AJ75" s="14">
        <f t="shared" si="13"/>
        <v>0</v>
      </c>
      <c r="AK75" t="str">
        <f t="shared" si="14"/>
        <v/>
      </c>
    </row>
    <row r="76" spans="1:37" x14ac:dyDescent="0.25">
      <c r="A76" t="str">
        <f t="shared" si="15"/>
        <v/>
      </c>
      <c r="Q76" t="str">
        <f>IF(E76&lt;&gt;"","'"&amp;'PO NO'!$B$2,"")</f>
        <v/>
      </c>
      <c r="U76" t="str">
        <f>IFERROR(CLEAN(VLOOKUP(N76,BOE!J:P,7,FALSE)),"")</f>
        <v/>
      </c>
      <c r="V76" t="str">
        <f t="shared" si="8"/>
        <v/>
      </c>
      <c r="W76" t="str">
        <f t="shared" si="9"/>
        <v/>
      </c>
      <c r="Y76" t="str">
        <f t="shared" si="10"/>
        <v/>
      </c>
      <c r="Z76" t="str">
        <f>IFERROR(IF(VLOOKUP(N76,BOE!J:Q,8,FALSE)=J76,"Pass","Mismatch"),"")</f>
        <v/>
      </c>
      <c r="AA76" t="str">
        <f>IFERROR(IF(ABS(VLOOKUP(N76,BOE!J:R,9,FALSE)-K76)&lt;0.2,"Pass","Mismatch"),"")</f>
        <v/>
      </c>
      <c r="AB76" t="str">
        <f>IFERROR(IF(ABS(VLOOKUP(N76,BOE!J:T,10,FALSE)-L76)&lt;0.2,"Pass","Mismatch"),"")</f>
        <v/>
      </c>
      <c r="AC76" t="str">
        <f>IFERROR(VLOOKUP(N76,BOE!J:N,2,FALSE),"")</f>
        <v/>
      </c>
      <c r="AD76" t="str">
        <f>IFERROR(VLOOKUP(N76,BOE!J:N,4,FALSE),"")</f>
        <v/>
      </c>
      <c r="AE76" t="str">
        <f>IFERROR(VLOOKUP(N76,BOE!J:N,5,FALSE),"")</f>
        <v/>
      </c>
      <c r="AF76" t="str">
        <f>IF(E76&lt;&gt;"",BOE!$I$1,"")</f>
        <v/>
      </c>
      <c r="AG76" t="str">
        <f>IFERROR(VLOOKUP(N76,BOE!J:T,11,FALSE),"")</f>
        <v/>
      </c>
      <c r="AH76" s="14" t="str">
        <f t="shared" si="11"/>
        <v/>
      </c>
      <c r="AI76" s="14" t="str">
        <f t="shared" si="12"/>
        <v/>
      </c>
      <c r="AJ76" s="14">
        <f t="shared" si="13"/>
        <v>0</v>
      </c>
      <c r="AK76" t="str">
        <f t="shared" si="14"/>
        <v/>
      </c>
    </row>
    <row r="77" spans="1:37" x14ac:dyDescent="0.25">
      <c r="A77" t="str">
        <f t="shared" si="15"/>
        <v/>
      </c>
      <c r="Q77" t="str">
        <f>IF(E77&lt;&gt;"","'"&amp;'PO NO'!$B$2,"")</f>
        <v/>
      </c>
      <c r="U77" t="str">
        <f>IFERROR(CLEAN(VLOOKUP(N77,BOE!J:P,7,FALSE)),"")</f>
        <v/>
      </c>
      <c r="V77" t="str">
        <f t="shared" si="8"/>
        <v/>
      </c>
      <c r="W77" t="str">
        <f t="shared" si="9"/>
        <v/>
      </c>
      <c r="Y77" t="str">
        <f t="shared" si="10"/>
        <v/>
      </c>
      <c r="Z77" t="str">
        <f>IFERROR(IF(VLOOKUP(N77,BOE!J:Q,8,FALSE)=J77,"Pass","Mismatch"),"")</f>
        <v/>
      </c>
      <c r="AA77" t="str">
        <f>IFERROR(IF(ABS(VLOOKUP(N77,BOE!J:R,9,FALSE)-K77)&lt;0.2,"Pass","Mismatch"),"")</f>
        <v/>
      </c>
      <c r="AB77" t="str">
        <f>IFERROR(IF(ABS(VLOOKUP(N77,BOE!J:T,10,FALSE)-L77)&lt;0.2,"Pass","Mismatch"),"")</f>
        <v/>
      </c>
      <c r="AC77" t="str">
        <f>IFERROR(VLOOKUP(N77,BOE!J:N,2,FALSE),"")</f>
        <v/>
      </c>
      <c r="AD77" t="str">
        <f>IFERROR(VLOOKUP(N77,BOE!J:N,4,FALSE),"")</f>
        <v/>
      </c>
      <c r="AE77" t="str">
        <f>IFERROR(VLOOKUP(N77,BOE!J:N,5,FALSE),"")</f>
        <v/>
      </c>
      <c r="AF77" t="str">
        <f>IF(E77&lt;&gt;"",BOE!$I$1,"")</f>
        <v/>
      </c>
      <c r="AG77" t="str">
        <f>IFERROR(VLOOKUP(N77,BOE!J:T,11,FALSE),"")</f>
        <v/>
      </c>
      <c r="AH77" s="14" t="str">
        <f t="shared" si="11"/>
        <v/>
      </c>
      <c r="AI77" s="14" t="str">
        <f t="shared" si="12"/>
        <v/>
      </c>
      <c r="AJ77" s="14">
        <f t="shared" si="13"/>
        <v>0</v>
      </c>
      <c r="AK77" t="str">
        <f t="shared" si="14"/>
        <v/>
      </c>
    </row>
    <row r="78" spans="1:37" x14ac:dyDescent="0.25">
      <c r="A78" t="str">
        <f t="shared" si="15"/>
        <v/>
      </c>
      <c r="Q78" t="str">
        <f>IF(E78&lt;&gt;"","'"&amp;'PO NO'!$B$2,"")</f>
        <v/>
      </c>
      <c r="U78" t="str">
        <f>IFERROR(CLEAN(VLOOKUP(N78,BOE!J:P,7,FALSE)),"")</f>
        <v/>
      </c>
      <c r="V78" t="str">
        <f t="shared" si="8"/>
        <v/>
      </c>
      <c r="W78" t="str">
        <f t="shared" si="9"/>
        <v/>
      </c>
      <c r="Y78" t="str">
        <f t="shared" si="10"/>
        <v/>
      </c>
      <c r="Z78" t="str">
        <f>IFERROR(IF(VLOOKUP(N78,BOE!J:Q,8,FALSE)=J78,"Pass","Mismatch"),"")</f>
        <v/>
      </c>
      <c r="AA78" t="str">
        <f>IFERROR(IF(ABS(VLOOKUP(N78,BOE!J:R,9,FALSE)-K78)&lt;0.2,"Pass","Mismatch"),"")</f>
        <v/>
      </c>
      <c r="AB78" t="str">
        <f>IFERROR(IF(ABS(VLOOKUP(N78,BOE!J:T,10,FALSE)-L78)&lt;0.2,"Pass","Mismatch"),"")</f>
        <v/>
      </c>
      <c r="AC78" t="str">
        <f>IFERROR(VLOOKUP(N78,BOE!J:N,2,FALSE),"")</f>
        <v/>
      </c>
      <c r="AD78" t="str">
        <f>IFERROR(VLOOKUP(N78,BOE!J:N,4,FALSE),"")</f>
        <v/>
      </c>
      <c r="AE78" t="str">
        <f>IFERROR(VLOOKUP(N78,BOE!J:N,5,FALSE),"")</f>
        <v/>
      </c>
      <c r="AF78" t="str">
        <f>IF(E78&lt;&gt;"",BOE!$I$1,"")</f>
        <v/>
      </c>
      <c r="AG78" t="str">
        <f>IFERROR(VLOOKUP(N78,BOE!J:T,11,FALSE),"")</f>
        <v/>
      </c>
      <c r="AH78" s="14" t="str">
        <f t="shared" si="11"/>
        <v/>
      </c>
      <c r="AI78" s="14" t="str">
        <f t="shared" si="12"/>
        <v/>
      </c>
      <c r="AJ78" s="14">
        <f t="shared" si="13"/>
        <v>0</v>
      </c>
      <c r="AK78" t="str">
        <f t="shared" si="14"/>
        <v/>
      </c>
    </row>
    <row r="79" spans="1:37" x14ac:dyDescent="0.25">
      <c r="A79" t="str">
        <f t="shared" si="15"/>
        <v/>
      </c>
      <c r="Q79" t="str">
        <f>IF(E79&lt;&gt;"","'"&amp;'PO NO'!$B$2,"")</f>
        <v/>
      </c>
      <c r="U79" t="str">
        <f>IFERROR(CLEAN(VLOOKUP(N79,BOE!J:P,7,FALSE)),"")</f>
        <v/>
      </c>
      <c r="V79" t="str">
        <f t="shared" si="8"/>
        <v/>
      </c>
      <c r="W79" t="str">
        <f t="shared" si="9"/>
        <v/>
      </c>
      <c r="Y79" t="str">
        <f t="shared" si="10"/>
        <v/>
      </c>
      <c r="Z79" t="str">
        <f>IFERROR(IF(VLOOKUP(N79,BOE!J:Q,8,FALSE)=J79,"Pass","Mismatch"),"")</f>
        <v/>
      </c>
      <c r="AA79" t="str">
        <f>IFERROR(IF(ABS(VLOOKUP(N79,BOE!J:R,9,FALSE)-K79)&lt;0.2,"Pass","Mismatch"),"")</f>
        <v/>
      </c>
      <c r="AB79" t="str">
        <f>IFERROR(IF(ABS(VLOOKUP(N79,BOE!J:T,10,FALSE)-L79)&lt;0.2,"Pass","Mismatch"),"")</f>
        <v/>
      </c>
      <c r="AC79" t="str">
        <f>IFERROR(VLOOKUP(N79,BOE!J:N,2,FALSE),"")</f>
        <v/>
      </c>
      <c r="AD79" t="str">
        <f>IFERROR(VLOOKUP(N79,BOE!J:N,4,FALSE),"")</f>
        <v/>
      </c>
      <c r="AE79" t="str">
        <f>IFERROR(VLOOKUP(N79,BOE!J:N,5,FALSE),"")</f>
        <v/>
      </c>
      <c r="AF79" t="str">
        <f>IF(E79&lt;&gt;"",BOE!$I$1,"")</f>
        <v/>
      </c>
      <c r="AG79" t="str">
        <f>IFERROR(VLOOKUP(N79,BOE!J:T,11,FALSE),"")</f>
        <v/>
      </c>
      <c r="AH79" s="14" t="str">
        <f t="shared" si="11"/>
        <v/>
      </c>
      <c r="AI79" s="14" t="str">
        <f t="shared" si="12"/>
        <v/>
      </c>
      <c r="AJ79" s="14">
        <f t="shared" si="13"/>
        <v>0</v>
      </c>
      <c r="AK79" t="str">
        <f t="shared" si="14"/>
        <v/>
      </c>
    </row>
    <row r="80" spans="1:37" x14ac:dyDescent="0.25">
      <c r="A80" t="str">
        <f t="shared" si="15"/>
        <v/>
      </c>
      <c r="Q80" t="str">
        <f>IF(E80&lt;&gt;"","'"&amp;'PO NO'!$B$2,"")</f>
        <v/>
      </c>
      <c r="U80" t="str">
        <f>IFERROR(CLEAN(VLOOKUP(N80,BOE!J:P,7,FALSE)),"")</f>
        <v/>
      </c>
      <c r="V80" t="str">
        <f t="shared" si="8"/>
        <v/>
      </c>
      <c r="W80" t="str">
        <f t="shared" si="9"/>
        <v/>
      </c>
      <c r="Y80" t="str">
        <f t="shared" si="10"/>
        <v/>
      </c>
      <c r="Z80" t="str">
        <f>IFERROR(IF(VLOOKUP(N80,BOE!J:Q,8,FALSE)=J80,"Pass","Mismatch"),"")</f>
        <v/>
      </c>
      <c r="AA80" t="str">
        <f>IFERROR(IF(ABS(VLOOKUP(N80,BOE!J:R,9,FALSE)-K80)&lt;0.2,"Pass","Mismatch"),"")</f>
        <v/>
      </c>
      <c r="AB80" t="str">
        <f>IFERROR(IF(ABS(VLOOKUP(N80,BOE!J:T,10,FALSE)-L80)&lt;0.2,"Pass","Mismatch"),"")</f>
        <v/>
      </c>
      <c r="AC80" t="str">
        <f>IFERROR(VLOOKUP(N80,BOE!J:N,2,FALSE),"")</f>
        <v/>
      </c>
      <c r="AD80" t="str">
        <f>IFERROR(VLOOKUP(N80,BOE!J:N,4,FALSE),"")</f>
        <v/>
      </c>
      <c r="AE80" t="str">
        <f>IFERROR(VLOOKUP(N80,BOE!J:N,5,FALSE),"")</f>
        <v/>
      </c>
      <c r="AF80" t="str">
        <f>IF(E80&lt;&gt;"",BOE!$I$1,"")</f>
        <v/>
      </c>
      <c r="AG80" t="str">
        <f>IFERROR(VLOOKUP(N80,BOE!J:T,11,FALSE),"")</f>
        <v/>
      </c>
      <c r="AH80" s="14" t="str">
        <f t="shared" si="11"/>
        <v/>
      </c>
      <c r="AI80" s="14" t="str">
        <f t="shared" si="12"/>
        <v/>
      </c>
      <c r="AJ80" s="14">
        <f t="shared" si="13"/>
        <v>0</v>
      </c>
      <c r="AK80" t="str">
        <f t="shared" si="14"/>
        <v/>
      </c>
    </row>
    <row r="81" spans="1:37" x14ac:dyDescent="0.25">
      <c r="A81" t="str">
        <f t="shared" si="15"/>
        <v/>
      </c>
      <c r="Q81" t="str">
        <f>IF(E81&lt;&gt;"","'"&amp;'PO NO'!$B$2,"")</f>
        <v/>
      </c>
      <c r="U81" t="str">
        <f>IFERROR(CLEAN(VLOOKUP(N81,BOE!J:P,7,FALSE)),"")</f>
        <v/>
      </c>
      <c r="V81" t="str">
        <f t="shared" si="8"/>
        <v/>
      </c>
      <c r="W81" t="str">
        <f t="shared" si="9"/>
        <v/>
      </c>
      <c r="Y81" t="str">
        <f t="shared" si="10"/>
        <v/>
      </c>
      <c r="Z81" t="str">
        <f>IFERROR(IF(VLOOKUP(N81,BOE!J:Q,8,FALSE)=J81,"Pass","Mismatch"),"")</f>
        <v/>
      </c>
      <c r="AA81" t="str">
        <f>IFERROR(IF(ABS(VLOOKUP(N81,BOE!J:R,9,FALSE)-K81)&lt;0.2,"Pass","Mismatch"),"")</f>
        <v/>
      </c>
      <c r="AB81" t="str">
        <f>IFERROR(IF(ABS(VLOOKUP(N81,BOE!J:T,10,FALSE)-L81)&lt;0.2,"Pass","Mismatch"),"")</f>
        <v/>
      </c>
      <c r="AC81" t="str">
        <f>IFERROR(VLOOKUP(N81,BOE!J:N,2,FALSE),"")</f>
        <v/>
      </c>
      <c r="AD81" t="str">
        <f>IFERROR(VLOOKUP(N81,BOE!J:N,4,FALSE),"")</f>
        <v/>
      </c>
      <c r="AE81" t="str">
        <f>IFERROR(VLOOKUP(N81,BOE!J:N,5,FALSE),"")</f>
        <v/>
      </c>
      <c r="AF81" t="str">
        <f>IF(E81&lt;&gt;"",BOE!$I$1,"")</f>
        <v/>
      </c>
      <c r="AG81" t="str">
        <f>IFERROR(VLOOKUP(N81,BOE!J:T,11,FALSE),"")</f>
        <v/>
      </c>
      <c r="AH81" s="14" t="str">
        <f t="shared" si="11"/>
        <v/>
      </c>
      <c r="AI81" s="14" t="str">
        <f t="shared" si="12"/>
        <v/>
      </c>
      <c r="AJ81" s="14">
        <f t="shared" si="13"/>
        <v>0</v>
      </c>
      <c r="AK81" t="str">
        <f t="shared" si="14"/>
        <v/>
      </c>
    </row>
    <row r="82" spans="1:37" x14ac:dyDescent="0.25">
      <c r="A82" t="str">
        <f t="shared" si="15"/>
        <v/>
      </c>
      <c r="Q82" t="str">
        <f>IF(E82&lt;&gt;"","'"&amp;'PO NO'!$B$2,"")</f>
        <v/>
      </c>
      <c r="U82" t="str">
        <f>IFERROR(CLEAN(VLOOKUP(N82,BOE!J:P,7,FALSE)),"")</f>
        <v/>
      </c>
      <c r="V82" t="str">
        <f t="shared" si="8"/>
        <v/>
      </c>
      <c r="W82" t="str">
        <f t="shared" si="9"/>
        <v/>
      </c>
      <c r="Y82" t="str">
        <f t="shared" si="10"/>
        <v/>
      </c>
      <c r="Z82" t="str">
        <f>IFERROR(IF(VLOOKUP(N82,BOE!J:Q,8,FALSE)=J82,"Pass","Mismatch"),"")</f>
        <v/>
      </c>
      <c r="AA82" t="str">
        <f>IFERROR(IF(ABS(VLOOKUP(N82,BOE!J:R,9,FALSE)-K82)&lt;0.2,"Pass","Mismatch"),"")</f>
        <v/>
      </c>
      <c r="AB82" t="str">
        <f>IFERROR(IF(ABS(VLOOKUP(N82,BOE!J:T,10,FALSE)-L82)&lt;0.2,"Pass","Mismatch"),"")</f>
        <v/>
      </c>
      <c r="AC82" t="str">
        <f>IFERROR(VLOOKUP(N82,BOE!J:N,2,FALSE),"")</f>
        <v/>
      </c>
      <c r="AD82" t="str">
        <f>IFERROR(VLOOKUP(N82,BOE!J:N,4,FALSE),"")</f>
        <v/>
      </c>
      <c r="AE82" t="str">
        <f>IFERROR(VLOOKUP(N82,BOE!J:N,5,FALSE),"")</f>
        <v/>
      </c>
      <c r="AF82" t="str">
        <f>IF(E82&lt;&gt;"",BOE!$I$1,"")</f>
        <v/>
      </c>
      <c r="AG82" t="str">
        <f>IFERROR(VLOOKUP(N82,BOE!J:T,11,FALSE),"")</f>
        <v/>
      </c>
      <c r="AH82" s="14" t="str">
        <f t="shared" si="11"/>
        <v/>
      </c>
      <c r="AI82" s="14" t="str">
        <f t="shared" si="12"/>
        <v/>
      </c>
      <c r="AJ82" s="14">
        <f t="shared" si="13"/>
        <v>0</v>
      </c>
      <c r="AK82" t="str">
        <f t="shared" si="14"/>
        <v/>
      </c>
    </row>
    <row r="83" spans="1:37" x14ac:dyDescent="0.25">
      <c r="A83" t="str">
        <f t="shared" si="15"/>
        <v/>
      </c>
      <c r="Q83" t="str">
        <f>IF(E83&lt;&gt;"","'"&amp;'PO NO'!$B$2,"")</f>
        <v/>
      </c>
      <c r="U83" t="str">
        <f>IFERROR(CLEAN(VLOOKUP(N83,BOE!J:P,7,FALSE)),"")</f>
        <v/>
      </c>
      <c r="V83" t="str">
        <f t="shared" si="8"/>
        <v/>
      </c>
      <c r="W83" t="str">
        <f t="shared" si="9"/>
        <v/>
      </c>
      <c r="Y83" t="str">
        <f t="shared" si="10"/>
        <v/>
      </c>
      <c r="Z83" t="str">
        <f>IFERROR(IF(VLOOKUP(N83,BOE!J:Q,8,FALSE)=J83,"Pass","Mismatch"),"")</f>
        <v/>
      </c>
      <c r="AA83" t="str">
        <f>IFERROR(IF(ABS(VLOOKUP(N83,BOE!J:R,9,FALSE)-K83)&lt;0.2,"Pass","Mismatch"),"")</f>
        <v/>
      </c>
      <c r="AB83" t="str">
        <f>IFERROR(IF(ABS(VLOOKUP(N83,BOE!J:T,10,FALSE)-L83)&lt;0.2,"Pass","Mismatch"),"")</f>
        <v/>
      </c>
      <c r="AC83" t="str">
        <f>IFERROR(VLOOKUP(N83,BOE!J:N,2,FALSE),"")</f>
        <v/>
      </c>
      <c r="AD83" t="str">
        <f>IFERROR(VLOOKUP(N83,BOE!J:N,4,FALSE),"")</f>
        <v/>
      </c>
      <c r="AE83" t="str">
        <f>IFERROR(VLOOKUP(N83,BOE!J:N,5,FALSE),"")</f>
        <v/>
      </c>
      <c r="AF83" t="str">
        <f>IF(E83&lt;&gt;"",BOE!$I$1,"")</f>
        <v/>
      </c>
      <c r="AG83" t="str">
        <f>IFERROR(VLOOKUP(N83,BOE!J:T,11,FALSE),"")</f>
        <v/>
      </c>
      <c r="AH83" s="14" t="str">
        <f t="shared" si="11"/>
        <v/>
      </c>
      <c r="AI83" s="14" t="str">
        <f t="shared" si="12"/>
        <v/>
      </c>
      <c r="AJ83" s="14">
        <f t="shared" si="13"/>
        <v>0</v>
      </c>
      <c r="AK83" t="str">
        <f t="shared" si="14"/>
        <v/>
      </c>
    </row>
    <row r="84" spans="1:37" x14ac:dyDescent="0.25">
      <c r="A84" t="str">
        <f t="shared" si="15"/>
        <v/>
      </c>
      <c r="Q84" t="str">
        <f>IF(E84&lt;&gt;"","'"&amp;'PO NO'!$B$2,"")</f>
        <v/>
      </c>
      <c r="U84" t="str">
        <f>IFERROR(CLEAN(VLOOKUP(N84,BOE!J:P,7,FALSE)),"")</f>
        <v/>
      </c>
      <c r="V84" t="str">
        <f t="shared" si="8"/>
        <v/>
      </c>
      <c r="W84" t="str">
        <f t="shared" si="9"/>
        <v/>
      </c>
      <c r="Y84" t="str">
        <f t="shared" si="10"/>
        <v/>
      </c>
      <c r="Z84" t="str">
        <f>IFERROR(IF(VLOOKUP(N84,BOE!J:Q,8,FALSE)=J84,"Pass","Mismatch"),"")</f>
        <v/>
      </c>
      <c r="AA84" t="str">
        <f>IFERROR(IF(ABS(VLOOKUP(N84,BOE!J:R,9,FALSE)-K84)&lt;0.2,"Pass","Mismatch"),"")</f>
        <v/>
      </c>
      <c r="AB84" t="str">
        <f>IFERROR(IF(ABS(VLOOKUP(N84,BOE!J:T,10,FALSE)-L84)&lt;0.2,"Pass","Mismatch"),"")</f>
        <v/>
      </c>
      <c r="AC84" t="str">
        <f>IFERROR(VLOOKUP(N84,BOE!J:N,2,FALSE),"")</f>
        <v/>
      </c>
      <c r="AD84" t="str">
        <f>IFERROR(VLOOKUP(N84,BOE!J:N,4,FALSE),"")</f>
        <v/>
      </c>
      <c r="AE84" t="str">
        <f>IFERROR(VLOOKUP(N84,BOE!J:N,5,FALSE),"")</f>
        <v/>
      </c>
      <c r="AF84" t="str">
        <f>IF(E84&lt;&gt;"",BOE!$I$1,"")</f>
        <v/>
      </c>
      <c r="AG84" t="str">
        <f>IFERROR(VLOOKUP(N84,BOE!J:T,11,FALSE),"")</f>
        <v/>
      </c>
      <c r="AH84" s="14" t="str">
        <f t="shared" si="11"/>
        <v/>
      </c>
      <c r="AI84" s="14" t="str">
        <f t="shared" si="12"/>
        <v/>
      </c>
      <c r="AJ84" s="14">
        <f t="shared" si="13"/>
        <v>0</v>
      </c>
      <c r="AK84" t="str">
        <f t="shared" si="14"/>
        <v/>
      </c>
    </row>
    <row r="85" spans="1:37" x14ac:dyDescent="0.25">
      <c r="A85" t="str">
        <f t="shared" si="15"/>
        <v/>
      </c>
      <c r="Q85" t="str">
        <f>IF(E85&lt;&gt;"","'"&amp;'PO NO'!$B$2,"")</f>
        <v/>
      </c>
      <c r="U85" t="str">
        <f>IFERROR(CLEAN(VLOOKUP(N85,BOE!J:P,7,FALSE)),"")</f>
        <v/>
      </c>
      <c r="V85" t="str">
        <f t="shared" si="8"/>
        <v/>
      </c>
      <c r="W85" t="str">
        <f t="shared" si="9"/>
        <v/>
      </c>
      <c r="Y85" t="str">
        <f t="shared" si="10"/>
        <v/>
      </c>
      <c r="Z85" t="str">
        <f>IFERROR(IF(VLOOKUP(N85,BOE!J:Q,8,FALSE)=J85,"Pass","Mismatch"),"")</f>
        <v/>
      </c>
      <c r="AA85" t="str">
        <f>IFERROR(IF(ABS(VLOOKUP(N85,BOE!J:R,9,FALSE)-K85)&lt;0.2,"Pass","Mismatch"),"")</f>
        <v/>
      </c>
      <c r="AB85" t="str">
        <f>IFERROR(IF(ABS(VLOOKUP(N85,BOE!J:T,10,FALSE)-L85)&lt;0.2,"Pass","Mismatch"),"")</f>
        <v/>
      </c>
      <c r="AC85" t="str">
        <f>IFERROR(VLOOKUP(N85,BOE!J:N,2,FALSE),"")</f>
        <v/>
      </c>
      <c r="AD85" t="str">
        <f>IFERROR(VLOOKUP(N85,BOE!J:N,4,FALSE),"")</f>
        <v/>
      </c>
      <c r="AE85" t="str">
        <f>IFERROR(VLOOKUP(N85,BOE!J:N,5,FALSE),"")</f>
        <v/>
      </c>
      <c r="AF85" t="str">
        <f>IF(E85&lt;&gt;"",BOE!$I$1,"")</f>
        <v/>
      </c>
      <c r="AG85" t="str">
        <f>IFERROR(VLOOKUP(N85,BOE!J:T,11,FALSE),"")</f>
        <v/>
      </c>
      <c r="AH85" s="14" t="str">
        <f t="shared" si="11"/>
        <v/>
      </c>
      <c r="AI85" s="14" t="str">
        <f t="shared" si="12"/>
        <v/>
      </c>
      <c r="AJ85" s="14">
        <f t="shared" si="13"/>
        <v>0</v>
      </c>
      <c r="AK85" t="str">
        <f t="shared" si="14"/>
        <v/>
      </c>
    </row>
    <row r="86" spans="1:37" x14ac:dyDescent="0.25">
      <c r="A86" t="str">
        <f t="shared" si="15"/>
        <v/>
      </c>
      <c r="Q86" t="str">
        <f>IF(E86&lt;&gt;"","'"&amp;'PO NO'!$B$2,"")</f>
        <v/>
      </c>
      <c r="U86" t="str">
        <f>IFERROR(CLEAN(VLOOKUP(N86,BOE!J:P,7,FALSE)),"")</f>
        <v/>
      </c>
      <c r="V86" t="str">
        <f t="shared" si="8"/>
        <v/>
      </c>
      <c r="W86" t="str">
        <f t="shared" si="9"/>
        <v/>
      </c>
      <c r="Y86" t="str">
        <f t="shared" si="10"/>
        <v/>
      </c>
      <c r="Z86" t="str">
        <f>IFERROR(IF(VLOOKUP(N86,BOE!J:Q,8,FALSE)=J86,"Pass","Mismatch"),"")</f>
        <v/>
      </c>
      <c r="AA86" t="str">
        <f>IFERROR(IF(ABS(VLOOKUP(N86,BOE!J:R,9,FALSE)-K86)&lt;0.2,"Pass","Mismatch"),"")</f>
        <v/>
      </c>
      <c r="AB86" t="str">
        <f>IFERROR(IF(ABS(VLOOKUP(N86,BOE!J:T,10,FALSE)-L86)&lt;0.2,"Pass","Mismatch"),"")</f>
        <v/>
      </c>
      <c r="AC86" t="str">
        <f>IFERROR(VLOOKUP(N86,BOE!J:N,2,FALSE),"")</f>
        <v/>
      </c>
      <c r="AD86" t="str">
        <f>IFERROR(VLOOKUP(N86,BOE!J:N,4,FALSE),"")</f>
        <v/>
      </c>
      <c r="AE86" t="str">
        <f>IFERROR(VLOOKUP(N86,BOE!J:N,5,FALSE),"")</f>
        <v/>
      </c>
      <c r="AF86" t="str">
        <f>IF(E86&lt;&gt;"",BOE!$I$1,"")</f>
        <v/>
      </c>
      <c r="AG86" t="str">
        <f>IFERROR(VLOOKUP(N86,BOE!J:T,11,FALSE),"")</f>
        <v/>
      </c>
      <c r="AH86" s="14" t="str">
        <f t="shared" si="11"/>
        <v/>
      </c>
      <c r="AI86" s="14" t="str">
        <f t="shared" si="12"/>
        <v/>
      </c>
      <c r="AJ86" s="14">
        <f t="shared" si="13"/>
        <v>0</v>
      </c>
      <c r="AK86" t="str">
        <f t="shared" si="14"/>
        <v/>
      </c>
    </row>
    <row r="87" spans="1:37" x14ac:dyDescent="0.25">
      <c r="A87" t="str">
        <f t="shared" si="15"/>
        <v/>
      </c>
      <c r="Q87" t="str">
        <f>IF(E87&lt;&gt;"","'"&amp;'PO NO'!$B$2,"")</f>
        <v/>
      </c>
      <c r="U87" t="str">
        <f>IFERROR(CLEAN(VLOOKUP(N87,BOE!J:P,7,FALSE)),"")</f>
        <v/>
      </c>
      <c r="V87" t="str">
        <f t="shared" si="8"/>
        <v/>
      </c>
      <c r="W87" t="str">
        <f t="shared" si="9"/>
        <v/>
      </c>
      <c r="Y87" t="str">
        <f t="shared" si="10"/>
        <v/>
      </c>
      <c r="Z87" t="str">
        <f>IFERROR(IF(VLOOKUP(N87,BOE!J:Q,8,FALSE)=J87,"Pass","Mismatch"),"")</f>
        <v/>
      </c>
      <c r="AA87" t="str">
        <f>IFERROR(IF(ABS(VLOOKUP(N87,BOE!J:R,9,FALSE)-K87)&lt;0.2,"Pass","Mismatch"),"")</f>
        <v/>
      </c>
      <c r="AB87" t="str">
        <f>IFERROR(IF(ABS(VLOOKUP(N87,BOE!J:T,10,FALSE)-L87)&lt;0.2,"Pass","Mismatch"),"")</f>
        <v/>
      </c>
      <c r="AC87" t="str">
        <f>IFERROR(VLOOKUP(N87,BOE!J:N,2,FALSE),"")</f>
        <v/>
      </c>
      <c r="AD87" t="str">
        <f>IFERROR(VLOOKUP(N87,BOE!J:N,4,FALSE),"")</f>
        <v/>
      </c>
      <c r="AE87" t="str">
        <f>IFERROR(VLOOKUP(N87,BOE!J:N,5,FALSE),"")</f>
        <v/>
      </c>
      <c r="AF87" t="str">
        <f>IF(E87&lt;&gt;"",BOE!$I$1,"")</f>
        <v/>
      </c>
      <c r="AG87" t="str">
        <f>IFERROR(VLOOKUP(N87,BOE!J:T,11,FALSE),"")</f>
        <v/>
      </c>
      <c r="AH87" s="14" t="str">
        <f t="shared" si="11"/>
        <v/>
      </c>
      <c r="AI87" s="14" t="str">
        <f t="shared" si="12"/>
        <v/>
      </c>
      <c r="AJ87" s="14">
        <f t="shared" si="13"/>
        <v>0</v>
      </c>
      <c r="AK87" t="str">
        <f t="shared" si="14"/>
        <v/>
      </c>
    </row>
    <row r="88" spans="1:37" x14ac:dyDescent="0.25">
      <c r="A88" t="str">
        <f t="shared" si="15"/>
        <v/>
      </c>
      <c r="Q88" t="str">
        <f>IF(E88&lt;&gt;"","'"&amp;'PO NO'!$B$2,"")</f>
        <v/>
      </c>
      <c r="U88" t="str">
        <f>IFERROR(CLEAN(VLOOKUP(N88,BOE!J:P,7,FALSE)),"")</f>
        <v/>
      </c>
      <c r="V88" t="str">
        <f t="shared" si="8"/>
        <v/>
      </c>
      <c r="W88" t="str">
        <f t="shared" si="9"/>
        <v/>
      </c>
      <c r="Y88" t="str">
        <f t="shared" si="10"/>
        <v/>
      </c>
      <c r="Z88" t="str">
        <f>IFERROR(IF(VLOOKUP(N88,BOE!J:Q,8,FALSE)=J88,"Pass","Mismatch"),"")</f>
        <v/>
      </c>
      <c r="AA88" t="str">
        <f>IFERROR(IF(ABS(VLOOKUP(N88,BOE!J:R,9,FALSE)-K88)&lt;0.2,"Pass","Mismatch"),"")</f>
        <v/>
      </c>
      <c r="AB88" t="str">
        <f>IFERROR(IF(ABS(VLOOKUP(N88,BOE!J:T,10,FALSE)-L88)&lt;0.2,"Pass","Mismatch"),"")</f>
        <v/>
      </c>
      <c r="AC88" t="str">
        <f>IFERROR(VLOOKUP(N88,BOE!J:N,2,FALSE),"")</f>
        <v/>
      </c>
      <c r="AD88" t="str">
        <f>IFERROR(VLOOKUP(N88,BOE!J:N,4,FALSE),"")</f>
        <v/>
      </c>
      <c r="AE88" t="str">
        <f>IFERROR(VLOOKUP(N88,BOE!J:N,5,FALSE),"")</f>
        <v/>
      </c>
      <c r="AF88" t="str">
        <f>IF(E88&lt;&gt;"",BOE!$I$1,"")</f>
        <v/>
      </c>
      <c r="AG88" t="str">
        <f>IFERROR(VLOOKUP(N88,BOE!J:T,11,FALSE),"")</f>
        <v/>
      </c>
      <c r="AH88" s="14" t="str">
        <f t="shared" si="11"/>
        <v/>
      </c>
      <c r="AI88" s="14" t="str">
        <f t="shared" si="12"/>
        <v/>
      </c>
      <c r="AJ88" s="14">
        <f t="shared" si="13"/>
        <v>0</v>
      </c>
      <c r="AK88" t="str">
        <f t="shared" si="14"/>
        <v/>
      </c>
    </row>
    <row r="89" spans="1:37" x14ac:dyDescent="0.25">
      <c r="A89" t="str">
        <f t="shared" si="15"/>
        <v/>
      </c>
      <c r="Q89" t="str">
        <f>IF(E89&lt;&gt;"","'"&amp;'PO NO'!$B$2,"")</f>
        <v/>
      </c>
      <c r="U89" t="str">
        <f>IFERROR(CLEAN(VLOOKUP(N89,BOE!J:P,7,FALSE)),"")</f>
        <v/>
      </c>
      <c r="V89" t="str">
        <f t="shared" si="8"/>
        <v/>
      </c>
      <c r="W89" t="str">
        <f t="shared" si="9"/>
        <v/>
      </c>
      <c r="Y89" t="str">
        <f t="shared" si="10"/>
        <v/>
      </c>
      <c r="Z89" t="str">
        <f>IFERROR(IF(VLOOKUP(N89,BOE!J:Q,8,FALSE)=J89,"Pass","Mismatch"),"")</f>
        <v/>
      </c>
      <c r="AA89" t="str">
        <f>IFERROR(IF(ABS(VLOOKUP(N89,BOE!J:R,9,FALSE)-K89)&lt;0.2,"Pass","Mismatch"),"")</f>
        <v/>
      </c>
      <c r="AB89" t="str">
        <f>IFERROR(IF(ABS(VLOOKUP(N89,BOE!J:T,10,FALSE)-L89)&lt;0.2,"Pass","Mismatch"),"")</f>
        <v/>
      </c>
      <c r="AC89" t="str">
        <f>IFERROR(VLOOKUP(N89,BOE!J:N,2,FALSE),"")</f>
        <v/>
      </c>
      <c r="AD89" t="str">
        <f>IFERROR(VLOOKUP(N89,BOE!J:N,4,FALSE),"")</f>
        <v/>
      </c>
      <c r="AE89" t="str">
        <f>IFERROR(VLOOKUP(N89,BOE!J:N,5,FALSE),"")</f>
        <v/>
      </c>
      <c r="AF89" t="str">
        <f>IF(E89&lt;&gt;"",BOE!$I$1,"")</f>
        <v/>
      </c>
      <c r="AG89" t="str">
        <f>IFERROR(VLOOKUP(N89,BOE!J:T,11,FALSE),"")</f>
        <v/>
      </c>
      <c r="AH89" s="14" t="str">
        <f t="shared" si="11"/>
        <v/>
      </c>
      <c r="AI89" s="14" t="str">
        <f t="shared" si="12"/>
        <v/>
      </c>
      <c r="AJ89" s="14">
        <f t="shared" si="13"/>
        <v>0</v>
      </c>
      <c r="AK89" t="str">
        <f t="shared" si="14"/>
        <v/>
      </c>
    </row>
    <row r="90" spans="1:37" x14ac:dyDescent="0.25">
      <c r="A90" t="str">
        <f t="shared" si="15"/>
        <v/>
      </c>
      <c r="Q90" t="str">
        <f>IF(E90&lt;&gt;"","'"&amp;'PO NO'!$B$2,"")</f>
        <v/>
      </c>
      <c r="U90" t="str">
        <f>IFERROR(CLEAN(VLOOKUP(N90,BOE!J:P,7,FALSE)),"")</f>
        <v/>
      </c>
      <c r="V90" t="str">
        <f t="shared" si="8"/>
        <v/>
      </c>
      <c r="W90" t="str">
        <f t="shared" si="9"/>
        <v/>
      </c>
      <c r="Y90" t="str">
        <f t="shared" si="10"/>
        <v/>
      </c>
      <c r="Z90" t="str">
        <f>IFERROR(IF(VLOOKUP(N90,BOE!J:Q,8,FALSE)=J90,"Pass","Mismatch"),"")</f>
        <v/>
      </c>
      <c r="AA90" t="str">
        <f>IFERROR(IF(ABS(VLOOKUP(N90,BOE!J:R,9,FALSE)-K90)&lt;0.2,"Pass","Mismatch"),"")</f>
        <v/>
      </c>
      <c r="AB90" t="str">
        <f>IFERROR(IF(ABS(VLOOKUP(N90,BOE!J:T,10,FALSE)-L90)&lt;0.2,"Pass","Mismatch"),"")</f>
        <v/>
      </c>
      <c r="AC90" t="str">
        <f>IFERROR(VLOOKUP(N90,BOE!J:N,2,FALSE),"")</f>
        <v/>
      </c>
      <c r="AD90" t="str">
        <f>IFERROR(VLOOKUP(N90,BOE!J:N,4,FALSE),"")</f>
        <v/>
      </c>
      <c r="AE90" t="str">
        <f>IFERROR(VLOOKUP(N90,BOE!J:N,5,FALSE),"")</f>
        <v/>
      </c>
      <c r="AF90" t="str">
        <f>IF(E90&lt;&gt;"",BOE!$I$1,"")</f>
        <v/>
      </c>
      <c r="AG90" t="str">
        <f>IFERROR(VLOOKUP(N90,BOE!J:T,11,FALSE),"")</f>
        <v/>
      </c>
      <c r="AH90" s="14" t="str">
        <f t="shared" si="11"/>
        <v/>
      </c>
      <c r="AI90" s="14" t="str">
        <f t="shared" si="12"/>
        <v/>
      </c>
      <c r="AJ90" s="14">
        <f t="shared" si="13"/>
        <v>0</v>
      </c>
      <c r="AK90" t="str">
        <f t="shared" si="14"/>
        <v/>
      </c>
    </row>
    <row r="91" spans="1:37" x14ac:dyDescent="0.25">
      <c r="A91" t="str">
        <f t="shared" si="15"/>
        <v/>
      </c>
      <c r="Q91" t="str">
        <f>IF(E91&lt;&gt;"","'"&amp;'PO NO'!$B$2,"")</f>
        <v/>
      </c>
      <c r="U91" t="str">
        <f>IFERROR(CLEAN(VLOOKUP(N91,BOE!J:P,7,FALSE)),"")</f>
        <v/>
      </c>
      <c r="V91" t="str">
        <f t="shared" si="8"/>
        <v/>
      </c>
      <c r="W91" t="str">
        <f t="shared" si="9"/>
        <v/>
      </c>
      <c r="Y91" t="str">
        <f t="shared" si="10"/>
        <v/>
      </c>
      <c r="Z91" t="str">
        <f>IFERROR(IF(VLOOKUP(N91,BOE!J:Q,8,FALSE)=J91,"Pass","Mismatch"),"")</f>
        <v/>
      </c>
      <c r="AA91" t="str">
        <f>IFERROR(IF(ABS(VLOOKUP(N91,BOE!J:R,9,FALSE)-K91)&lt;0.2,"Pass","Mismatch"),"")</f>
        <v/>
      </c>
      <c r="AB91" t="str">
        <f>IFERROR(IF(ABS(VLOOKUP(N91,BOE!J:T,10,FALSE)-L91)&lt;0.2,"Pass","Mismatch"),"")</f>
        <v/>
      </c>
      <c r="AC91" t="str">
        <f>IFERROR(VLOOKUP(N91,BOE!J:N,2,FALSE),"")</f>
        <v/>
      </c>
      <c r="AD91" t="str">
        <f>IFERROR(VLOOKUP(N91,BOE!J:N,4,FALSE),"")</f>
        <v/>
      </c>
      <c r="AE91" t="str">
        <f>IFERROR(VLOOKUP(N91,BOE!J:N,5,FALSE),"")</f>
        <v/>
      </c>
      <c r="AF91" t="str">
        <f>IF(E91&lt;&gt;"",BOE!$I$1,"")</f>
        <v/>
      </c>
      <c r="AG91" t="str">
        <f>IFERROR(VLOOKUP(N91,BOE!J:T,11,FALSE),"")</f>
        <v/>
      </c>
      <c r="AH91" s="14" t="str">
        <f t="shared" si="11"/>
        <v/>
      </c>
      <c r="AI91" s="14" t="str">
        <f t="shared" si="12"/>
        <v/>
      </c>
      <c r="AJ91" s="14">
        <f t="shared" si="13"/>
        <v>0</v>
      </c>
      <c r="AK91" t="str">
        <f t="shared" si="14"/>
        <v/>
      </c>
    </row>
    <row r="92" spans="1:37" x14ac:dyDescent="0.25">
      <c r="A92" t="str">
        <f t="shared" si="15"/>
        <v/>
      </c>
      <c r="Q92" t="str">
        <f>IF(E92&lt;&gt;"","'"&amp;'PO NO'!$B$2,"")</f>
        <v/>
      </c>
      <c r="U92" t="str">
        <f>IFERROR(CLEAN(VLOOKUP(N92,BOE!J:P,7,FALSE)),"")</f>
        <v/>
      </c>
      <c r="V92" t="str">
        <f t="shared" si="8"/>
        <v/>
      </c>
      <c r="W92" t="str">
        <f t="shared" si="9"/>
        <v/>
      </c>
      <c r="Y92" t="str">
        <f t="shared" si="10"/>
        <v/>
      </c>
      <c r="Z92" t="str">
        <f>IFERROR(IF(VLOOKUP(N92,BOE!J:Q,8,FALSE)=J92,"Pass","Mismatch"),"")</f>
        <v/>
      </c>
      <c r="AA92" t="str">
        <f>IFERROR(IF(ABS(VLOOKUP(N92,BOE!J:R,9,FALSE)-K92)&lt;0.2,"Pass","Mismatch"),"")</f>
        <v/>
      </c>
      <c r="AB92" t="str">
        <f>IFERROR(IF(ABS(VLOOKUP(N92,BOE!J:T,10,FALSE)-L92)&lt;0.2,"Pass","Mismatch"),"")</f>
        <v/>
      </c>
      <c r="AC92" t="str">
        <f>IFERROR(VLOOKUP(N92,BOE!J:N,2,FALSE),"")</f>
        <v/>
      </c>
      <c r="AD92" t="str">
        <f>IFERROR(VLOOKUP(N92,BOE!J:N,4,FALSE),"")</f>
        <v/>
      </c>
      <c r="AE92" t="str">
        <f>IFERROR(VLOOKUP(N92,BOE!J:N,5,FALSE),"")</f>
        <v/>
      </c>
      <c r="AF92" t="str">
        <f>IF(E92&lt;&gt;"",BOE!$I$1,"")</f>
        <v/>
      </c>
      <c r="AG92" t="str">
        <f>IFERROR(VLOOKUP(N92,BOE!J:T,11,FALSE),"")</f>
        <v/>
      </c>
      <c r="AH92" s="14" t="str">
        <f t="shared" si="11"/>
        <v/>
      </c>
      <c r="AI92" s="14" t="str">
        <f t="shared" si="12"/>
        <v/>
      </c>
      <c r="AJ92" s="14">
        <f t="shared" si="13"/>
        <v>0</v>
      </c>
      <c r="AK92" t="str">
        <f t="shared" si="14"/>
        <v/>
      </c>
    </row>
    <row r="93" spans="1:37" x14ac:dyDescent="0.25">
      <c r="A93" t="str">
        <f t="shared" si="15"/>
        <v/>
      </c>
      <c r="Q93" t="str">
        <f>IF(E93&lt;&gt;"","'"&amp;'PO NO'!$B$2,"")</f>
        <v/>
      </c>
      <c r="U93" t="str">
        <f>IFERROR(CLEAN(VLOOKUP(N93,BOE!J:P,7,FALSE)),"")</f>
        <v/>
      </c>
      <c r="V93" t="str">
        <f t="shared" si="8"/>
        <v/>
      </c>
      <c r="W93" t="str">
        <f t="shared" si="9"/>
        <v/>
      </c>
      <c r="Y93" t="str">
        <f t="shared" si="10"/>
        <v/>
      </c>
      <c r="Z93" t="str">
        <f>IFERROR(IF(VLOOKUP(N93,BOE!J:Q,8,FALSE)=J93,"Pass","Mismatch"),"")</f>
        <v/>
      </c>
      <c r="AA93" t="str">
        <f>IFERROR(IF(ABS(VLOOKUP(N93,BOE!J:R,9,FALSE)-K93)&lt;0.2,"Pass","Mismatch"),"")</f>
        <v/>
      </c>
      <c r="AB93" t="str">
        <f>IFERROR(IF(ABS(VLOOKUP(N93,BOE!J:T,10,FALSE)-L93)&lt;0.2,"Pass","Mismatch"),"")</f>
        <v/>
      </c>
      <c r="AC93" t="str">
        <f>IFERROR(VLOOKUP(N93,BOE!J:N,2,FALSE),"")</f>
        <v/>
      </c>
      <c r="AD93" t="str">
        <f>IFERROR(VLOOKUP(N93,BOE!J:N,4,FALSE),"")</f>
        <v/>
      </c>
      <c r="AE93" t="str">
        <f>IFERROR(VLOOKUP(N93,BOE!J:N,5,FALSE),"")</f>
        <v/>
      </c>
      <c r="AF93" t="str">
        <f>IF(E93&lt;&gt;"",BOE!$I$1,"")</f>
        <v/>
      </c>
      <c r="AG93" t="str">
        <f>IFERROR(VLOOKUP(N93,BOE!J:T,11,FALSE),"")</f>
        <v/>
      </c>
      <c r="AH93" s="14" t="str">
        <f t="shared" si="11"/>
        <v/>
      </c>
      <c r="AI93" s="14" t="str">
        <f t="shared" si="12"/>
        <v/>
      </c>
      <c r="AJ93" s="14">
        <f t="shared" si="13"/>
        <v>0</v>
      </c>
      <c r="AK93" t="str">
        <f t="shared" si="14"/>
        <v/>
      </c>
    </row>
    <row r="94" spans="1:37" x14ac:dyDescent="0.25">
      <c r="A94" t="str">
        <f t="shared" si="15"/>
        <v/>
      </c>
      <c r="Q94" t="str">
        <f>IF(E94&lt;&gt;"","'"&amp;'PO NO'!$B$2,"")</f>
        <v/>
      </c>
      <c r="U94" t="str">
        <f>IFERROR(CLEAN(VLOOKUP(N94,BOE!J:P,7,FALSE)),"")</f>
        <v/>
      </c>
      <c r="V94" t="str">
        <f t="shared" si="8"/>
        <v/>
      </c>
      <c r="W94" t="str">
        <f t="shared" si="9"/>
        <v/>
      </c>
      <c r="Y94" t="str">
        <f t="shared" si="10"/>
        <v/>
      </c>
      <c r="Z94" t="str">
        <f>IFERROR(IF(VLOOKUP(N94,BOE!J:Q,8,FALSE)=J94,"Pass","Mismatch"),"")</f>
        <v/>
      </c>
      <c r="AA94" t="str">
        <f>IFERROR(IF(ABS(VLOOKUP(N94,BOE!J:R,9,FALSE)-K94)&lt;0.2,"Pass","Mismatch"),"")</f>
        <v/>
      </c>
      <c r="AB94" t="str">
        <f>IFERROR(IF(ABS(VLOOKUP(N94,BOE!J:T,10,FALSE)-L94)&lt;0.2,"Pass","Mismatch"),"")</f>
        <v/>
      </c>
      <c r="AC94" t="str">
        <f>IFERROR(VLOOKUP(N94,BOE!J:N,2,FALSE),"")</f>
        <v/>
      </c>
      <c r="AD94" t="str">
        <f>IFERROR(VLOOKUP(N94,BOE!J:N,4,FALSE),"")</f>
        <v/>
      </c>
      <c r="AE94" t="str">
        <f>IFERROR(VLOOKUP(N94,BOE!J:N,5,FALSE),"")</f>
        <v/>
      </c>
      <c r="AF94" t="str">
        <f>IF(E94&lt;&gt;"",BOE!$I$1,"")</f>
        <v/>
      </c>
      <c r="AG94" t="str">
        <f>IFERROR(VLOOKUP(N94,BOE!J:T,11,FALSE),"")</f>
        <v/>
      </c>
      <c r="AH94" s="14" t="str">
        <f t="shared" si="11"/>
        <v/>
      </c>
      <c r="AI94" s="14" t="str">
        <f t="shared" si="12"/>
        <v/>
      </c>
      <c r="AJ94" s="14">
        <f t="shared" si="13"/>
        <v>0</v>
      </c>
      <c r="AK94" t="str">
        <f t="shared" si="14"/>
        <v/>
      </c>
    </row>
    <row r="95" spans="1:37" x14ac:dyDescent="0.25">
      <c r="A95" t="str">
        <f t="shared" si="15"/>
        <v/>
      </c>
      <c r="Q95" t="str">
        <f>IF(E95&lt;&gt;"","'"&amp;'PO NO'!$B$2,"")</f>
        <v/>
      </c>
      <c r="U95" t="str">
        <f>IFERROR(CLEAN(VLOOKUP(N95,BOE!J:P,7,FALSE)),"")</f>
        <v/>
      </c>
      <c r="V95" t="str">
        <f t="shared" si="8"/>
        <v/>
      </c>
      <c r="W95" t="str">
        <f t="shared" si="9"/>
        <v/>
      </c>
      <c r="Y95" t="str">
        <f t="shared" si="10"/>
        <v/>
      </c>
      <c r="Z95" t="str">
        <f>IFERROR(IF(VLOOKUP(N95,BOE!J:Q,8,FALSE)=J95,"Pass","Mismatch"),"")</f>
        <v/>
      </c>
      <c r="AA95" t="str">
        <f>IFERROR(IF(ABS(VLOOKUP(N95,BOE!J:R,9,FALSE)-K95)&lt;0.2,"Pass","Mismatch"),"")</f>
        <v/>
      </c>
      <c r="AB95" t="str">
        <f>IFERROR(IF(ABS(VLOOKUP(N95,BOE!J:T,10,FALSE)-L95)&lt;0.2,"Pass","Mismatch"),"")</f>
        <v/>
      </c>
      <c r="AC95" t="str">
        <f>IFERROR(VLOOKUP(N95,BOE!J:N,2,FALSE),"")</f>
        <v/>
      </c>
      <c r="AD95" t="str">
        <f>IFERROR(VLOOKUP(N95,BOE!J:N,4,FALSE),"")</f>
        <v/>
      </c>
      <c r="AE95" t="str">
        <f>IFERROR(VLOOKUP(N95,BOE!J:N,5,FALSE),"")</f>
        <v/>
      </c>
      <c r="AF95" t="str">
        <f>IF(E95&lt;&gt;"",BOE!$I$1,"")</f>
        <v/>
      </c>
      <c r="AG95" t="str">
        <f>IFERROR(VLOOKUP(N95,BOE!J:T,11,FALSE),"")</f>
        <v/>
      </c>
      <c r="AH95" s="14" t="str">
        <f t="shared" si="11"/>
        <v/>
      </c>
      <c r="AI95" s="14" t="str">
        <f t="shared" si="12"/>
        <v/>
      </c>
      <c r="AJ95" s="14">
        <f t="shared" si="13"/>
        <v>0</v>
      </c>
      <c r="AK95" t="str">
        <f t="shared" si="14"/>
        <v/>
      </c>
    </row>
    <row r="96" spans="1:37" x14ac:dyDescent="0.25">
      <c r="A96" t="str">
        <f t="shared" si="15"/>
        <v/>
      </c>
      <c r="Q96" t="str">
        <f>IF(E96&lt;&gt;"","'"&amp;'PO NO'!$B$2,"")</f>
        <v/>
      </c>
      <c r="U96" t="str">
        <f>IFERROR(CLEAN(VLOOKUP(N96,BOE!J:P,7,FALSE)),"")</f>
        <v/>
      </c>
      <c r="V96" t="str">
        <f t="shared" si="8"/>
        <v/>
      </c>
      <c r="W96" t="str">
        <f t="shared" si="9"/>
        <v/>
      </c>
      <c r="Y96" t="str">
        <f t="shared" si="10"/>
        <v/>
      </c>
      <c r="Z96" t="str">
        <f>IFERROR(IF(VLOOKUP(N96,BOE!J:Q,8,FALSE)=J96,"Pass","Mismatch"),"")</f>
        <v/>
      </c>
      <c r="AA96" t="str">
        <f>IFERROR(IF(ABS(VLOOKUP(N96,BOE!J:R,9,FALSE)-K96)&lt;0.2,"Pass","Mismatch"),"")</f>
        <v/>
      </c>
      <c r="AB96" t="str">
        <f>IFERROR(IF(ABS(VLOOKUP(N96,BOE!J:T,10,FALSE)-L96)&lt;0.2,"Pass","Mismatch"),"")</f>
        <v/>
      </c>
      <c r="AC96" t="str">
        <f>IFERROR(VLOOKUP(N96,BOE!J:N,2,FALSE),"")</f>
        <v/>
      </c>
      <c r="AD96" t="str">
        <f>IFERROR(VLOOKUP(N96,BOE!J:N,4,FALSE),"")</f>
        <v/>
      </c>
      <c r="AE96" t="str">
        <f>IFERROR(VLOOKUP(N96,BOE!J:N,5,FALSE),"")</f>
        <v/>
      </c>
      <c r="AF96" t="str">
        <f>IF(E96&lt;&gt;"",BOE!$I$1,"")</f>
        <v/>
      </c>
      <c r="AG96" t="str">
        <f>IFERROR(VLOOKUP(N96,BOE!J:T,11,FALSE),"")</f>
        <v/>
      </c>
      <c r="AH96" s="14" t="str">
        <f t="shared" si="11"/>
        <v/>
      </c>
      <c r="AI96" s="14" t="str">
        <f t="shared" si="12"/>
        <v/>
      </c>
      <c r="AJ96" s="14">
        <f t="shared" si="13"/>
        <v>0</v>
      </c>
      <c r="AK96" t="str">
        <f t="shared" si="14"/>
        <v/>
      </c>
    </row>
    <row r="97" spans="1:37" x14ac:dyDescent="0.25">
      <c r="A97" t="str">
        <f t="shared" si="15"/>
        <v/>
      </c>
      <c r="Q97" t="str">
        <f>IF(E97&lt;&gt;"","'"&amp;'PO NO'!$B$2,"")</f>
        <v/>
      </c>
      <c r="U97" t="str">
        <f>IFERROR(CLEAN(VLOOKUP(N97,BOE!J:P,7,FALSE)),"")</f>
        <v/>
      </c>
      <c r="V97" t="str">
        <f t="shared" si="8"/>
        <v/>
      </c>
      <c r="W97" t="str">
        <f t="shared" si="9"/>
        <v/>
      </c>
      <c r="Y97" t="str">
        <f t="shared" si="10"/>
        <v/>
      </c>
      <c r="Z97" t="str">
        <f>IFERROR(IF(VLOOKUP(N97,BOE!J:Q,8,FALSE)=J97,"Pass","Mismatch"),"")</f>
        <v/>
      </c>
      <c r="AA97" t="str">
        <f>IFERROR(IF(ABS(VLOOKUP(N97,BOE!J:R,9,FALSE)-K97)&lt;0.2,"Pass","Mismatch"),"")</f>
        <v/>
      </c>
      <c r="AB97" t="str">
        <f>IFERROR(IF(ABS(VLOOKUP(N97,BOE!J:T,10,FALSE)-L97)&lt;0.2,"Pass","Mismatch"),"")</f>
        <v/>
      </c>
      <c r="AC97" t="str">
        <f>IFERROR(VLOOKUP(N97,BOE!J:N,2,FALSE),"")</f>
        <v/>
      </c>
      <c r="AD97" t="str">
        <f>IFERROR(VLOOKUP(N97,BOE!J:N,4,FALSE),"")</f>
        <v/>
      </c>
      <c r="AE97" t="str">
        <f>IFERROR(VLOOKUP(N97,BOE!J:N,5,FALSE),"")</f>
        <v/>
      </c>
      <c r="AF97" t="str">
        <f>IF(E97&lt;&gt;"",BOE!$I$1,"")</f>
        <v/>
      </c>
      <c r="AG97" t="str">
        <f>IFERROR(VLOOKUP(N97,BOE!J:T,11,FALSE),"")</f>
        <v/>
      </c>
      <c r="AH97" s="14" t="str">
        <f t="shared" si="11"/>
        <v/>
      </c>
      <c r="AI97" s="14" t="str">
        <f t="shared" si="12"/>
        <v/>
      </c>
      <c r="AJ97" s="14">
        <f t="shared" si="13"/>
        <v>0</v>
      </c>
      <c r="AK97" t="str">
        <f t="shared" si="14"/>
        <v/>
      </c>
    </row>
    <row r="98" spans="1:37" x14ac:dyDescent="0.25">
      <c r="A98" t="str">
        <f t="shared" si="15"/>
        <v/>
      </c>
      <c r="Q98" t="str">
        <f>IF(E98&lt;&gt;"","'"&amp;'PO NO'!$B$2,"")</f>
        <v/>
      </c>
      <c r="U98" t="str">
        <f>IFERROR(CLEAN(VLOOKUP(N98,BOE!J:P,7,FALSE)),"")</f>
        <v/>
      </c>
      <c r="V98" t="str">
        <f t="shared" si="8"/>
        <v/>
      </c>
      <c r="W98" t="str">
        <f t="shared" si="9"/>
        <v/>
      </c>
      <c r="Y98" t="str">
        <f t="shared" si="10"/>
        <v/>
      </c>
      <c r="Z98" t="str">
        <f>IFERROR(IF(VLOOKUP(N98,BOE!J:Q,8,FALSE)=J98,"Pass","Mismatch"),"")</f>
        <v/>
      </c>
      <c r="AA98" t="str">
        <f>IFERROR(IF(ABS(VLOOKUP(N98,BOE!J:R,9,FALSE)-K98)&lt;0.2,"Pass","Mismatch"),"")</f>
        <v/>
      </c>
      <c r="AB98" t="str">
        <f>IFERROR(IF(ABS(VLOOKUP(N98,BOE!J:T,10,FALSE)-L98)&lt;0.2,"Pass","Mismatch"),"")</f>
        <v/>
      </c>
      <c r="AC98" t="str">
        <f>IFERROR(VLOOKUP(N98,BOE!J:N,2,FALSE),"")</f>
        <v/>
      </c>
      <c r="AD98" t="str">
        <f>IFERROR(VLOOKUP(N98,BOE!J:N,4,FALSE),"")</f>
        <v/>
      </c>
      <c r="AE98" t="str">
        <f>IFERROR(VLOOKUP(N98,BOE!J:N,5,FALSE),"")</f>
        <v/>
      </c>
      <c r="AF98" t="str">
        <f>IF(E98&lt;&gt;"",BOE!$I$1,"")</f>
        <v/>
      </c>
      <c r="AG98" t="str">
        <f>IFERROR(VLOOKUP(N98,BOE!J:T,11,FALSE),"")</f>
        <v/>
      </c>
      <c r="AH98" s="14" t="str">
        <f t="shared" si="11"/>
        <v/>
      </c>
      <c r="AI98" s="14" t="str">
        <f t="shared" si="12"/>
        <v/>
      </c>
      <c r="AJ98" s="14">
        <f t="shared" si="13"/>
        <v>0</v>
      </c>
      <c r="AK98" t="str">
        <f t="shared" si="14"/>
        <v/>
      </c>
    </row>
    <row r="99" spans="1:37" x14ac:dyDescent="0.25">
      <c r="A99" t="str">
        <f t="shared" si="15"/>
        <v/>
      </c>
      <c r="Q99" t="str">
        <f>IF(E99&lt;&gt;"","'"&amp;'PO NO'!$B$2,"")</f>
        <v/>
      </c>
      <c r="U99" t="str">
        <f>IFERROR(CLEAN(VLOOKUP(N99,BOE!J:P,7,FALSE)),"")</f>
        <v/>
      </c>
      <c r="V99" t="str">
        <f t="shared" si="8"/>
        <v/>
      </c>
      <c r="W99" t="str">
        <f t="shared" si="9"/>
        <v/>
      </c>
      <c r="Y99" t="str">
        <f t="shared" si="10"/>
        <v/>
      </c>
      <c r="Z99" t="str">
        <f>IFERROR(IF(VLOOKUP(N99,BOE!J:Q,8,FALSE)=J99,"Pass","Mismatch"),"")</f>
        <v/>
      </c>
      <c r="AA99" t="str">
        <f>IFERROR(IF(ABS(VLOOKUP(N99,BOE!J:R,9,FALSE)-K99)&lt;0.2,"Pass","Mismatch"),"")</f>
        <v/>
      </c>
      <c r="AB99" t="str">
        <f>IFERROR(IF(ABS(VLOOKUP(N99,BOE!J:T,10,FALSE)-L99)&lt;0.2,"Pass","Mismatch"),"")</f>
        <v/>
      </c>
      <c r="AC99" t="str">
        <f>IFERROR(VLOOKUP(N99,BOE!J:N,2,FALSE),"")</f>
        <v/>
      </c>
      <c r="AD99" t="str">
        <f>IFERROR(VLOOKUP(N99,BOE!J:N,4,FALSE),"")</f>
        <v/>
      </c>
      <c r="AE99" t="str">
        <f>IFERROR(VLOOKUP(N99,BOE!J:N,5,FALSE),"")</f>
        <v/>
      </c>
      <c r="AF99" t="str">
        <f>IF(E99&lt;&gt;"",BOE!$I$1,"")</f>
        <v/>
      </c>
      <c r="AG99" t="str">
        <f>IFERROR(VLOOKUP(N99,BOE!J:T,11,FALSE),"")</f>
        <v/>
      </c>
      <c r="AH99" s="14" t="str">
        <f t="shared" si="11"/>
        <v/>
      </c>
      <c r="AI99" s="14" t="str">
        <f t="shared" si="12"/>
        <v/>
      </c>
      <c r="AJ99" s="14">
        <f t="shared" si="13"/>
        <v>0</v>
      </c>
      <c r="AK99" t="str">
        <f t="shared" si="14"/>
        <v/>
      </c>
    </row>
    <row r="100" spans="1:37" x14ac:dyDescent="0.25">
      <c r="A100" t="str">
        <f t="shared" si="15"/>
        <v/>
      </c>
      <c r="Q100" t="str">
        <f>IF(E100&lt;&gt;"","'"&amp;'PO NO'!$B$2,"")</f>
        <v/>
      </c>
      <c r="U100" t="str">
        <f>IFERROR(CLEAN(VLOOKUP(N100,BOE!J:P,7,FALSE)),"")</f>
        <v/>
      </c>
      <c r="V100" t="str">
        <f t="shared" si="8"/>
        <v/>
      </c>
      <c r="W100" t="str">
        <f t="shared" si="9"/>
        <v/>
      </c>
      <c r="Y100" t="str">
        <f t="shared" si="10"/>
        <v/>
      </c>
      <c r="Z100" t="str">
        <f>IFERROR(IF(VLOOKUP(N100,BOE!J:Q,8,FALSE)=J100,"Pass","Mismatch"),"")</f>
        <v/>
      </c>
      <c r="AA100" t="str">
        <f>IFERROR(IF(ABS(VLOOKUP(N100,BOE!J:R,9,FALSE)-K100)&lt;0.2,"Pass","Mismatch"),"")</f>
        <v/>
      </c>
      <c r="AB100" t="str">
        <f>IFERROR(IF(ABS(VLOOKUP(N100,BOE!J:T,10,FALSE)-L100)&lt;0.2,"Pass","Mismatch"),"")</f>
        <v/>
      </c>
      <c r="AC100" t="str">
        <f>IFERROR(VLOOKUP(N100,BOE!J:N,2,FALSE),"")</f>
        <v/>
      </c>
      <c r="AD100" t="str">
        <f>IFERROR(VLOOKUP(N100,BOE!J:N,4,FALSE),"")</f>
        <v/>
      </c>
      <c r="AE100" t="str">
        <f>IFERROR(VLOOKUP(N100,BOE!J:N,5,FALSE),"")</f>
        <v/>
      </c>
      <c r="AF100" t="str">
        <f>IF(E100&lt;&gt;"",BOE!$I$1,"")</f>
        <v/>
      </c>
      <c r="AG100" t="str">
        <f>IFERROR(VLOOKUP(N100,BOE!J:T,11,FALSE),"")</f>
        <v/>
      </c>
      <c r="AH100" s="14" t="str">
        <f t="shared" si="11"/>
        <v/>
      </c>
      <c r="AI100" s="14" t="str">
        <f t="shared" si="12"/>
        <v/>
      </c>
      <c r="AJ100" s="14">
        <f t="shared" si="13"/>
        <v>0</v>
      </c>
      <c r="AK100" t="str">
        <f t="shared" si="14"/>
        <v/>
      </c>
    </row>
    <row r="101" spans="1:37" x14ac:dyDescent="0.25">
      <c r="A101" t="str">
        <f t="shared" si="15"/>
        <v/>
      </c>
      <c r="Q101" t="str">
        <f>IF(E101&lt;&gt;"","'"&amp;'PO NO'!$B$2,"")</f>
        <v/>
      </c>
      <c r="U101" t="str">
        <f>IFERROR(CLEAN(VLOOKUP(N101,BOE!J:P,7,FALSE)),"")</f>
        <v/>
      </c>
      <c r="V101" t="str">
        <f t="shared" si="8"/>
        <v/>
      </c>
      <c r="W101" t="str">
        <f t="shared" si="9"/>
        <v/>
      </c>
      <c r="Y101" t="str">
        <f t="shared" si="10"/>
        <v/>
      </c>
      <c r="Z101" t="str">
        <f>IFERROR(IF(VLOOKUP(N101,BOE!J:Q,8,FALSE)=J101,"Pass","Mismatch"),"")</f>
        <v/>
      </c>
      <c r="AA101" t="str">
        <f>IFERROR(IF(ABS(VLOOKUP(N101,BOE!J:R,9,FALSE)-K101)&lt;0.2,"Pass","Mismatch"),"")</f>
        <v/>
      </c>
      <c r="AB101" t="str">
        <f>IFERROR(IF(ABS(VLOOKUP(N101,BOE!J:T,10,FALSE)-L101)&lt;0.2,"Pass","Mismatch"),"")</f>
        <v/>
      </c>
      <c r="AC101" t="str">
        <f>IFERROR(VLOOKUP(N101,BOE!J:N,2,FALSE),"")</f>
        <v/>
      </c>
      <c r="AD101" t="str">
        <f>IFERROR(VLOOKUP(N101,BOE!J:N,4,FALSE),"")</f>
        <v/>
      </c>
      <c r="AE101" t="str">
        <f>IFERROR(VLOOKUP(N101,BOE!J:N,5,FALSE),"")</f>
        <v/>
      </c>
      <c r="AF101" t="str">
        <f>IF(E101&lt;&gt;"",BOE!$I$1,"")</f>
        <v/>
      </c>
      <c r="AG101" t="str">
        <f>IFERROR(VLOOKUP(N101,BOE!J:T,11,FALSE),"")</f>
        <v/>
      </c>
      <c r="AH101" s="14" t="str">
        <f t="shared" si="11"/>
        <v/>
      </c>
      <c r="AI101" s="14" t="str">
        <f t="shared" si="12"/>
        <v/>
      </c>
      <c r="AJ101" s="14">
        <f t="shared" si="13"/>
        <v>0</v>
      </c>
      <c r="AK101" t="str">
        <f t="shared" si="14"/>
        <v/>
      </c>
    </row>
    <row r="102" spans="1:37" x14ac:dyDescent="0.25">
      <c r="A102" t="str">
        <f t="shared" si="15"/>
        <v/>
      </c>
      <c r="Q102" t="str">
        <f>IF(E102&lt;&gt;"","'"&amp;'PO NO'!$B$2,"")</f>
        <v/>
      </c>
      <c r="U102" t="str">
        <f>IFERROR(CLEAN(VLOOKUP(N102,BOE!J:P,7,FALSE)),"")</f>
        <v/>
      </c>
      <c r="V102" t="str">
        <f t="shared" si="8"/>
        <v/>
      </c>
      <c r="W102" t="str">
        <f t="shared" si="9"/>
        <v/>
      </c>
      <c r="Y102" t="str">
        <f t="shared" si="10"/>
        <v/>
      </c>
      <c r="Z102" t="str">
        <f>IFERROR(IF(VLOOKUP(N102,BOE!J:Q,8,FALSE)=J102,"Pass","Mismatch"),"")</f>
        <v/>
      </c>
      <c r="AA102" t="str">
        <f>IFERROR(IF(ABS(VLOOKUP(N102,BOE!J:R,9,FALSE)-K102)&lt;0.2,"Pass","Mismatch"),"")</f>
        <v/>
      </c>
      <c r="AB102" t="str">
        <f>IFERROR(IF(ABS(VLOOKUP(N102,BOE!J:T,10,FALSE)-L102)&lt;0.2,"Pass","Mismatch"),"")</f>
        <v/>
      </c>
      <c r="AC102" t="str">
        <f>IFERROR(VLOOKUP(N102,BOE!J:N,2,FALSE),"")</f>
        <v/>
      </c>
      <c r="AD102" t="str">
        <f>IFERROR(VLOOKUP(N102,BOE!J:N,4,FALSE),"")</f>
        <v/>
      </c>
      <c r="AE102" t="str">
        <f>IFERROR(VLOOKUP(N102,BOE!J:N,5,FALSE),"")</f>
        <v/>
      </c>
      <c r="AF102" t="str">
        <f>IF(E102&lt;&gt;"",BOE!$I$1,"")</f>
        <v/>
      </c>
      <c r="AG102" t="str">
        <f>IFERROR(VLOOKUP(N102,BOE!J:T,11,FALSE),"")</f>
        <v/>
      </c>
      <c r="AH102" s="14" t="str">
        <f t="shared" si="11"/>
        <v/>
      </c>
      <c r="AI102" s="14" t="str">
        <f t="shared" si="12"/>
        <v/>
      </c>
      <c r="AJ102" s="14">
        <f t="shared" si="13"/>
        <v>0</v>
      </c>
      <c r="AK102" t="str">
        <f t="shared" si="14"/>
        <v/>
      </c>
    </row>
    <row r="103" spans="1:37" x14ac:dyDescent="0.25">
      <c r="A103" t="str">
        <f t="shared" si="15"/>
        <v/>
      </c>
      <c r="Q103" t="str">
        <f>IF(E103&lt;&gt;"","'"&amp;'PO NO'!$B$2,"")</f>
        <v/>
      </c>
      <c r="U103" t="str">
        <f>IFERROR(CLEAN(VLOOKUP(N103,BOE!J:P,7,FALSE)),"")</f>
        <v/>
      </c>
      <c r="V103" t="str">
        <f t="shared" si="8"/>
        <v/>
      </c>
      <c r="W103" t="str">
        <f t="shared" si="9"/>
        <v/>
      </c>
      <c r="Y103" t="str">
        <f t="shared" si="10"/>
        <v/>
      </c>
      <c r="Z103" t="str">
        <f>IFERROR(IF(VLOOKUP(N103,BOE!J:Q,8,FALSE)=J103,"Pass","Mismatch"),"")</f>
        <v/>
      </c>
      <c r="AA103" t="str">
        <f>IFERROR(IF(ABS(VLOOKUP(N103,BOE!J:R,9,FALSE)-K103)&lt;0.2,"Pass","Mismatch"),"")</f>
        <v/>
      </c>
      <c r="AB103" t="str">
        <f>IFERROR(IF(ABS(VLOOKUP(N103,BOE!J:T,10,FALSE)-L103)&lt;0.2,"Pass","Mismatch"),"")</f>
        <v/>
      </c>
      <c r="AC103" t="str">
        <f>IFERROR(VLOOKUP(N103,BOE!J:N,2,FALSE),"")</f>
        <v/>
      </c>
      <c r="AD103" t="str">
        <f>IFERROR(VLOOKUP(N103,BOE!J:N,4,FALSE),"")</f>
        <v/>
      </c>
      <c r="AE103" t="str">
        <f>IFERROR(VLOOKUP(N103,BOE!J:N,5,FALSE),"")</f>
        <v/>
      </c>
      <c r="AF103" t="str">
        <f>IF(E103&lt;&gt;"",BOE!$I$1,"")</f>
        <v/>
      </c>
      <c r="AG103" t="str">
        <f>IFERROR(VLOOKUP(N103,BOE!J:T,11,FALSE),"")</f>
        <v/>
      </c>
      <c r="AH103" s="14" t="str">
        <f t="shared" si="11"/>
        <v/>
      </c>
      <c r="AI103" s="14" t="str">
        <f t="shared" si="12"/>
        <v/>
      </c>
      <c r="AJ103" s="14">
        <f t="shared" si="13"/>
        <v>0</v>
      </c>
      <c r="AK103" t="str">
        <f t="shared" si="14"/>
        <v/>
      </c>
    </row>
    <row r="104" spans="1:37" x14ac:dyDescent="0.25">
      <c r="A104" t="str">
        <f t="shared" si="15"/>
        <v/>
      </c>
      <c r="Q104" t="str">
        <f>IF(E104&lt;&gt;"","'"&amp;'PO NO'!$B$2,"")</f>
        <v/>
      </c>
      <c r="U104" t="str">
        <f>IFERROR(CLEAN(VLOOKUP(N104,BOE!J:P,7,FALSE)),"")</f>
        <v/>
      </c>
      <c r="V104" t="str">
        <f t="shared" si="8"/>
        <v/>
      </c>
      <c r="W104" t="str">
        <f t="shared" si="9"/>
        <v/>
      </c>
      <c r="Y104" t="str">
        <f t="shared" si="10"/>
        <v/>
      </c>
      <c r="Z104" t="str">
        <f>IFERROR(IF(VLOOKUP(N104,BOE!J:Q,8,FALSE)=J104,"Pass","Mismatch"),"")</f>
        <v/>
      </c>
      <c r="AA104" t="str">
        <f>IFERROR(IF(ABS(VLOOKUP(N104,BOE!J:R,9,FALSE)-K104)&lt;0.2,"Pass","Mismatch"),"")</f>
        <v/>
      </c>
      <c r="AB104" t="str">
        <f>IFERROR(IF(ABS(VLOOKUP(N104,BOE!J:T,10,FALSE)-L104)&lt;0.2,"Pass","Mismatch"),"")</f>
        <v/>
      </c>
      <c r="AC104" t="str">
        <f>IFERROR(VLOOKUP(N104,BOE!J:N,2,FALSE),"")</f>
        <v/>
      </c>
      <c r="AD104" t="str">
        <f>IFERROR(VLOOKUP(N104,BOE!J:N,4,FALSE),"")</f>
        <v/>
      </c>
      <c r="AE104" t="str">
        <f>IFERROR(VLOOKUP(N104,BOE!J:N,5,FALSE),"")</f>
        <v/>
      </c>
      <c r="AF104" t="str">
        <f>IF(E104&lt;&gt;"",BOE!$I$1,"")</f>
        <v/>
      </c>
      <c r="AG104" t="str">
        <f>IFERROR(VLOOKUP(N104,BOE!J:T,11,FALSE),"")</f>
        <v/>
      </c>
      <c r="AH104" s="14" t="str">
        <f t="shared" si="11"/>
        <v/>
      </c>
      <c r="AI104" s="14" t="str">
        <f t="shared" si="12"/>
        <v/>
      </c>
      <c r="AJ104" s="14">
        <f t="shared" si="13"/>
        <v>0</v>
      </c>
      <c r="AK104" t="str">
        <f t="shared" si="14"/>
        <v/>
      </c>
    </row>
    <row r="105" spans="1:37" x14ac:dyDescent="0.25">
      <c r="A105" t="str">
        <f t="shared" si="15"/>
        <v/>
      </c>
      <c r="Q105" t="str">
        <f>IF(E105&lt;&gt;"","'"&amp;'PO NO'!$B$2,"")</f>
        <v/>
      </c>
      <c r="U105" t="str">
        <f>IFERROR(CLEAN(VLOOKUP(N105,BOE!J:P,7,FALSE)),"")</f>
        <v/>
      </c>
      <c r="V105" t="str">
        <f t="shared" si="8"/>
        <v/>
      </c>
      <c r="W105" t="str">
        <f t="shared" si="9"/>
        <v/>
      </c>
      <c r="Y105" t="str">
        <f t="shared" si="10"/>
        <v/>
      </c>
      <c r="Z105" t="str">
        <f>IFERROR(IF(VLOOKUP(N105,BOE!J:Q,8,FALSE)=J105,"Pass","Mismatch"),"")</f>
        <v/>
      </c>
      <c r="AA105" t="str">
        <f>IFERROR(IF(ABS(VLOOKUP(N105,BOE!J:R,9,FALSE)-K105)&lt;0.2,"Pass","Mismatch"),"")</f>
        <v/>
      </c>
      <c r="AB105" t="str">
        <f>IFERROR(IF(ABS(VLOOKUP(N105,BOE!J:T,10,FALSE)-L105)&lt;0.2,"Pass","Mismatch"),"")</f>
        <v/>
      </c>
      <c r="AC105" t="str">
        <f>IFERROR(VLOOKUP(N105,BOE!J:N,2,FALSE),"")</f>
        <v/>
      </c>
      <c r="AD105" t="str">
        <f>IFERROR(VLOOKUP(N105,BOE!J:N,4,FALSE),"")</f>
        <v/>
      </c>
      <c r="AE105" t="str">
        <f>IFERROR(VLOOKUP(N105,BOE!J:N,5,FALSE),"")</f>
        <v/>
      </c>
      <c r="AF105" t="str">
        <f>IF(E105&lt;&gt;"",BOE!$I$1,"")</f>
        <v/>
      </c>
      <c r="AG105" t="str">
        <f>IFERROR(VLOOKUP(N105,BOE!J:T,11,FALSE),"")</f>
        <v/>
      </c>
      <c r="AH105" s="14" t="str">
        <f t="shared" si="11"/>
        <v/>
      </c>
      <c r="AI105" s="14" t="str">
        <f t="shared" si="12"/>
        <v/>
      </c>
      <c r="AJ105" s="14">
        <f t="shared" si="13"/>
        <v>0</v>
      </c>
      <c r="AK105" t="str">
        <f t="shared" si="14"/>
        <v/>
      </c>
    </row>
    <row r="106" spans="1:37" x14ac:dyDescent="0.25">
      <c r="A106" t="str">
        <f t="shared" si="15"/>
        <v/>
      </c>
      <c r="Q106" t="str">
        <f>IF(E106&lt;&gt;"","'"&amp;'PO NO'!$B$2,"")</f>
        <v/>
      </c>
      <c r="U106" t="str">
        <f>IFERROR(CLEAN(VLOOKUP(N106,BOE!J:P,7,FALSE)),"")</f>
        <v/>
      </c>
      <c r="V106" t="str">
        <f t="shared" si="8"/>
        <v/>
      </c>
      <c r="W106" t="str">
        <f t="shared" si="9"/>
        <v/>
      </c>
      <c r="Y106" t="str">
        <f t="shared" si="10"/>
        <v/>
      </c>
      <c r="Z106" t="str">
        <f>IFERROR(IF(VLOOKUP(N106,BOE!J:Q,8,FALSE)=J106,"Pass","Mismatch"),"")</f>
        <v/>
      </c>
      <c r="AA106" t="str">
        <f>IFERROR(IF(ABS(VLOOKUP(N106,BOE!J:R,9,FALSE)-K106)&lt;0.2,"Pass","Mismatch"),"")</f>
        <v/>
      </c>
      <c r="AB106" t="str">
        <f>IFERROR(IF(ABS(VLOOKUP(N106,BOE!J:T,10,FALSE)-L106)&lt;0.2,"Pass","Mismatch"),"")</f>
        <v/>
      </c>
      <c r="AC106" t="str">
        <f>IFERROR(VLOOKUP(N106,BOE!J:N,2,FALSE),"")</f>
        <v/>
      </c>
      <c r="AD106" t="str">
        <f>IFERROR(VLOOKUP(N106,BOE!J:N,4,FALSE),"")</f>
        <v/>
      </c>
      <c r="AE106" t="str">
        <f>IFERROR(VLOOKUP(N106,BOE!J:N,5,FALSE),"")</f>
        <v/>
      </c>
      <c r="AF106" t="str">
        <f>IF(E106&lt;&gt;"",BOE!$I$1,"")</f>
        <v/>
      </c>
      <c r="AG106" t="str">
        <f>IFERROR(VLOOKUP(N106,BOE!J:T,11,FALSE),"")</f>
        <v/>
      </c>
      <c r="AH106" s="14" t="str">
        <f t="shared" si="11"/>
        <v/>
      </c>
      <c r="AI106" s="14" t="str">
        <f t="shared" si="12"/>
        <v/>
      </c>
      <c r="AJ106" s="14">
        <f t="shared" si="13"/>
        <v>0</v>
      </c>
      <c r="AK106" t="str">
        <f t="shared" si="14"/>
        <v/>
      </c>
    </row>
    <row r="107" spans="1:37" x14ac:dyDescent="0.25">
      <c r="A107" t="str">
        <f t="shared" si="15"/>
        <v/>
      </c>
      <c r="Q107" t="str">
        <f>IF(E107&lt;&gt;"","'"&amp;'PO NO'!$B$2,"")</f>
        <v/>
      </c>
      <c r="U107" t="str">
        <f>IFERROR(CLEAN(VLOOKUP(N107,BOE!J:P,7,FALSE)),"")</f>
        <v/>
      </c>
      <c r="V107" t="str">
        <f t="shared" si="8"/>
        <v/>
      </c>
      <c r="W107" t="str">
        <f t="shared" si="9"/>
        <v/>
      </c>
      <c r="Y107" t="str">
        <f t="shared" si="10"/>
        <v/>
      </c>
      <c r="Z107" t="str">
        <f>IFERROR(IF(VLOOKUP(N107,BOE!J:Q,8,FALSE)=J107,"Pass","Mismatch"),"")</f>
        <v/>
      </c>
      <c r="AA107" t="str">
        <f>IFERROR(IF(ABS(VLOOKUP(N107,BOE!J:R,9,FALSE)-K107)&lt;0.2,"Pass","Mismatch"),"")</f>
        <v/>
      </c>
      <c r="AB107" t="str">
        <f>IFERROR(IF(ABS(VLOOKUP(N107,BOE!J:T,10,FALSE)-L107)&lt;0.2,"Pass","Mismatch"),"")</f>
        <v/>
      </c>
      <c r="AC107" t="str">
        <f>IFERROR(VLOOKUP(N107,BOE!J:N,2,FALSE),"")</f>
        <v/>
      </c>
      <c r="AD107" t="str">
        <f>IFERROR(VLOOKUP(N107,BOE!J:N,4,FALSE),"")</f>
        <v/>
      </c>
      <c r="AE107" t="str">
        <f>IFERROR(VLOOKUP(N107,BOE!J:N,5,FALSE),"")</f>
        <v/>
      </c>
      <c r="AF107" t="str">
        <f>IF(E107&lt;&gt;"",BOE!$I$1,"")</f>
        <v/>
      </c>
      <c r="AG107" t="str">
        <f>IFERROR(VLOOKUP(N107,BOE!J:T,11,FALSE),"")</f>
        <v/>
      </c>
      <c r="AH107" s="14" t="str">
        <f t="shared" si="11"/>
        <v/>
      </c>
      <c r="AI107" s="14" t="str">
        <f t="shared" si="12"/>
        <v/>
      </c>
      <c r="AJ107" s="14">
        <f t="shared" si="13"/>
        <v>0</v>
      </c>
      <c r="AK107" t="str">
        <f t="shared" si="14"/>
        <v/>
      </c>
    </row>
    <row r="108" spans="1:37" x14ac:dyDescent="0.25">
      <c r="A108" t="str">
        <f t="shared" si="15"/>
        <v/>
      </c>
      <c r="Q108" t="str">
        <f>IF(E108&lt;&gt;"","'"&amp;'PO NO'!$B$2,"")</f>
        <v/>
      </c>
      <c r="U108" t="str">
        <f>IFERROR(CLEAN(VLOOKUP(N108,BOE!J:P,7,FALSE)),"")</f>
        <v/>
      </c>
      <c r="V108" t="str">
        <f t="shared" si="8"/>
        <v/>
      </c>
      <c r="W108" t="str">
        <f t="shared" si="9"/>
        <v/>
      </c>
      <c r="Y108" t="str">
        <f t="shared" si="10"/>
        <v/>
      </c>
      <c r="Z108" t="str">
        <f>IFERROR(IF(VLOOKUP(N108,BOE!J:Q,8,FALSE)=J108,"Pass","Mismatch"),"")</f>
        <v/>
      </c>
      <c r="AA108" t="str">
        <f>IFERROR(IF(ABS(VLOOKUP(N108,BOE!J:R,9,FALSE)-K108)&lt;0.2,"Pass","Mismatch"),"")</f>
        <v/>
      </c>
      <c r="AB108" t="str">
        <f>IFERROR(IF(ABS(VLOOKUP(N108,BOE!J:T,10,FALSE)-L108)&lt;0.2,"Pass","Mismatch"),"")</f>
        <v/>
      </c>
      <c r="AC108" t="str">
        <f>IFERROR(VLOOKUP(N108,BOE!J:N,2,FALSE),"")</f>
        <v/>
      </c>
      <c r="AD108" t="str">
        <f>IFERROR(VLOOKUP(N108,BOE!J:N,4,FALSE),"")</f>
        <v/>
      </c>
      <c r="AE108" t="str">
        <f>IFERROR(VLOOKUP(N108,BOE!J:N,5,FALSE),"")</f>
        <v/>
      </c>
      <c r="AF108" t="str">
        <f>IF(E108&lt;&gt;"",BOE!$I$1,"")</f>
        <v/>
      </c>
      <c r="AG108" t="str">
        <f>IFERROR(VLOOKUP(N108,BOE!J:T,11,FALSE),"")</f>
        <v/>
      </c>
      <c r="AH108" s="14" t="str">
        <f t="shared" si="11"/>
        <v/>
      </c>
      <c r="AI108" s="14" t="str">
        <f t="shared" si="12"/>
        <v/>
      </c>
      <c r="AJ108" s="14">
        <f t="shared" si="13"/>
        <v>0</v>
      </c>
      <c r="AK108" t="str">
        <f t="shared" si="14"/>
        <v/>
      </c>
    </row>
    <row r="109" spans="1:37" x14ac:dyDescent="0.25">
      <c r="A109" t="str">
        <f t="shared" si="15"/>
        <v/>
      </c>
      <c r="Q109" t="str">
        <f>IF(E109&lt;&gt;"","'"&amp;'PO NO'!$B$2,"")</f>
        <v/>
      </c>
      <c r="U109" t="str">
        <f>IFERROR(CLEAN(VLOOKUP(N109,BOE!J:P,7,FALSE)),"")</f>
        <v/>
      </c>
      <c r="V109" t="str">
        <f t="shared" si="8"/>
        <v/>
      </c>
      <c r="W109" t="str">
        <f t="shared" si="9"/>
        <v/>
      </c>
      <c r="Y109" t="str">
        <f t="shared" si="10"/>
        <v/>
      </c>
      <c r="Z109" t="str">
        <f>IFERROR(IF(VLOOKUP(N109,BOE!J:Q,8,FALSE)=J109,"Pass","Mismatch"),"")</f>
        <v/>
      </c>
      <c r="AA109" t="str">
        <f>IFERROR(IF(ABS(VLOOKUP(N109,BOE!J:R,9,FALSE)-K109)&lt;0.2,"Pass","Mismatch"),"")</f>
        <v/>
      </c>
      <c r="AB109" t="str">
        <f>IFERROR(IF(ABS(VLOOKUP(N109,BOE!J:T,10,FALSE)-L109)&lt;0.2,"Pass","Mismatch"),"")</f>
        <v/>
      </c>
      <c r="AC109" t="str">
        <f>IFERROR(VLOOKUP(N109,BOE!J:N,2,FALSE),"")</f>
        <v/>
      </c>
      <c r="AD109" t="str">
        <f>IFERROR(VLOOKUP(N109,BOE!J:N,4,FALSE),"")</f>
        <v/>
      </c>
      <c r="AE109" t="str">
        <f>IFERROR(VLOOKUP(N109,BOE!J:N,5,FALSE),"")</f>
        <v/>
      </c>
      <c r="AF109" t="str">
        <f>IF(E109&lt;&gt;"",BOE!$I$1,"")</f>
        <v/>
      </c>
      <c r="AG109" t="str">
        <f>IFERROR(VLOOKUP(N109,BOE!J:T,11,FALSE),"")</f>
        <v/>
      </c>
      <c r="AH109" s="14" t="str">
        <f t="shared" si="11"/>
        <v/>
      </c>
      <c r="AI109" s="14" t="str">
        <f t="shared" si="12"/>
        <v/>
      </c>
      <c r="AJ109" s="14">
        <f t="shared" si="13"/>
        <v>0</v>
      </c>
      <c r="AK109" t="str">
        <f t="shared" si="14"/>
        <v/>
      </c>
    </row>
    <row r="110" spans="1:37" x14ac:dyDescent="0.25">
      <c r="A110" t="str">
        <f t="shared" si="15"/>
        <v/>
      </c>
      <c r="Q110" t="str">
        <f>IF(E110&lt;&gt;"","'"&amp;'PO NO'!$B$2,"")</f>
        <v/>
      </c>
      <c r="U110" t="str">
        <f>IFERROR(CLEAN(VLOOKUP(N110,BOE!J:P,7,FALSE)),"")</f>
        <v/>
      </c>
      <c r="V110" t="str">
        <f t="shared" si="8"/>
        <v/>
      </c>
      <c r="W110" t="str">
        <f t="shared" si="9"/>
        <v/>
      </c>
      <c r="Y110" t="str">
        <f t="shared" si="10"/>
        <v/>
      </c>
      <c r="Z110" t="str">
        <f>IFERROR(IF(VLOOKUP(N110,BOE!J:Q,8,FALSE)=J110,"Pass","Mismatch"),"")</f>
        <v/>
      </c>
      <c r="AA110" t="str">
        <f>IFERROR(IF(ABS(VLOOKUP(N110,BOE!J:R,9,FALSE)-K110)&lt;0.2,"Pass","Mismatch"),"")</f>
        <v/>
      </c>
      <c r="AB110" t="str">
        <f>IFERROR(IF(ABS(VLOOKUP(N110,BOE!J:T,10,FALSE)-L110)&lt;0.2,"Pass","Mismatch"),"")</f>
        <v/>
      </c>
      <c r="AC110" t="str">
        <f>IFERROR(VLOOKUP(N110,BOE!J:N,2,FALSE),"")</f>
        <v/>
      </c>
      <c r="AD110" t="str">
        <f>IFERROR(VLOOKUP(N110,BOE!J:N,4,FALSE),"")</f>
        <v/>
      </c>
      <c r="AE110" t="str">
        <f>IFERROR(VLOOKUP(N110,BOE!J:N,5,FALSE),"")</f>
        <v/>
      </c>
      <c r="AF110" t="str">
        <f>IF(E110&lt;&gt;"",BOE!$I$1,"")</f>
        <v/>
      </c>
      <c r="AG110" t="str">
        <f>IFERROR(VLOOKUP(N110,BOE!J:T,11,FALSE),"")</f>
        <v/>
      </c>
      <c r="AH110" s="14" t="str">
        <f t="shared" si="11"/>
        <v/>
      </c>
      <c r="AI110" s="14" t="str">
        <f t="shared" si="12"/>
        <v/>
      </c>
      <c r="AJ110" s="14">
        <f t="shared" si="13"/>
        <v>0</v>
      </c>
      <c r="AK110" t="str">
        <f t="shared" si="14"/>
        <v/>
      </c>
    </row>
    <row r="111" spans="1:37" x14ac:dyDescent="0.25">
      <c r="A111" t="str">
        <f t="shared" si="15"/>
        <v/>
      </c>
      <c r="Q111" t="str">
        <f>IF(E111&lt;&gt;"","'"&amp;'PO NO'!$B$2,"")</f>
        <v/>
      </c>
      <c r="U111" t="str">
        <f>IFERROR(CLEAN(VLOOKUP(N111,BOE!J:P,7,FALSE)),"")</f>
        <v/>
      </c>
      <c r="V111" t="str">
        <f t="shared" si="8"/>
        <v/>
      </c>
      <c r="W111" t="str">
        <f t="shared" si="9"/>
        <v/>
      </c>
      <c r="Y111" t="str">
        <f t="shared" si="10"/>
        <v/>
      </c>
      <c r="Z111" t="str">
        <f>IFERROR(IF(VLOOKUP(N111,BOE!J:Q,8,FALSE)=J111,"Pass","Mismatch"),"")</f>
        <v/>
      </c>
      <c r="AA111" t="str">
        <f>IFERROR(IF(ABS(VLOOKUP(N111,BOE!J:R,9,FALSE)-K111)&lt;0.2,"Pass","Mismatch"),"")</f>
        <v/>
      </c>
      <c r="AB111" t="str">
        <f>IFERROR(IF(ABS(VLOOKUP(N111,BOE!J:T,10,FALSE)-L111)&lt;0.2,"Pass","Mismatch"),"")</f>
        <v/>
      </c>
      <c r="AC111" t="str">
        <f>IFERROR(VLOOKUP(N111,BOE!J:N,2,FALSE),"")</f>
        <v/>
      </c>
      <c r="AD111" t="str">
        <f>IFERROR(VLOOKUP(N111,BOE!J:N,4,FALSE),"")</f>
        <v/>
      </c>
      <c r="AE111" t="str">
        <f>IFERROR(VLOOKUP(N111,BOE!J:N,5,FALSE),"")</f>
        <v/>
      </c>
      <c r="AF111" t="str">
        <f>IF(E111&lt;&gt;"",BOE!$I$1,"")</f>
        <v/>
      </c>
      <c r="AG111" t="str">
        <f>IFERROR(VLOOKUP(N111,BOE!J:T,11,FALSE),"")</f>
        <v/>
      </c>
      <c r="AH111" s="14" t="str">
        <f t="shared" si="11"/>
        <v/>
      </c>
      <c r="AI111" s="14" t="str">
        <f t="shared" si="12"/>
        <v/>
      </c>
      <c r="AJ111" s="14">
        <f t="shared" si="13"/>
        <v>0</v>
      </c>
      <c r="AK111" t="str">
        <f t="shared" si="14"/>
        <v/>
      </c>
    </row>
    <row r="112" spans="1:37" x14ac:dyDescent="0.25">
      <c r="A112" t="str">
        <f t="shared" si="15"/>
        <v/>
      </c>
      <c r="Q112" t="str">
        <f>IF(E112&lt;&gt;"","'"&amp;'PO NO'!$B$2,"")</f>
        <v/>
      </c>
      <c r="U112" t="str">
        <f>IFERROR(CLEAN(VLOOKUP(N112,BOE!J:P,7,FALSE)),"")</f>
        <v/>
      </c>
      <c r="V112" t="str">
        <f t="shared" si="8"/>
        <v/>
      </c>
      <c r="W112" t="str">
        <f t="shared" si="9"/>
        <v/>
      </c>
      <c r="Y112" t="str">
        <f t="shared" si="10"/>
        <v/>
      </c>
      <c r="Z112" t="str">
        <f>IFERROR(IF(VLOOKUP(N112,BOE!J:Q,8,FALSE)=J112,"Pass","Mismatch"),"")</f>
        <v/>
      </c>
      <c r="AA112" t="str">
        <f>IFERROR(IF(ABS(VLOOKUP(N112,BOE!J:R,9,FALSE)-K112)&lt;0.2,"Pass","Mismatch"),"")</f>
        <v/>
      </c>
      <c r="AB112" t="str">
        <f>IFERROR(IF(ABS(VLOOKUP(N112,BOE!J:T,10,FALSE)-L112)&lt;0.2,"Pass","Mismatch"),"")</f>
        <v/>
      </c>
      <c r="AC112" t="str">
        <f>IFERROR(VLOOKUP(N112,BOE!J:N,2,FALSE),"")</f>
        <v/>
      </c>
      <c r="AD112" t="str">
        <f>IFERROR(VLOOKUP(N112,BOE!J:N,4,FALSE),"")</f>
        <v/>
      </c>
      <c r="AE112" t="str">
        <f>IFERROR(VLOOKUP(N112,BOE!J:N,5,FALSE),"")</f>
        <v/>
      </c>
      <c r="AF112" t="str">
        <f>IF(E112&lt;&gt;"",BOE!$I$1,"")</f>
        <v/>
      </c>
      <c r="AG112" t="str">
        <f>IFERROR(VLOOKUP(N112,BOE!J:T,11,FALSE),"")</f>
        <v/>
      </c>
      <c r="AH112" s="14" t="str">
        <f t="shared" si="11"/>
        <v/>
      </c>
      <c r="AI112" s="14" t="str">
        <f t="shared" si="12"/>
        <v/>
      </c>
      <c r="AJ112" s="14">
        <f t="shared" si="13"/>
        <v>0</v>
      </c>
      <c r="AK112" t="str">
        <f t="shared" si="14"/>
        <v/>
      </c>
    </row>
    <row r="113" spans="1:37" x14ac:dyDescent="0.25">
      <c r="A113" t="str">
        <f t="shared" si="15"/>
        <v/>
      </c>
      <c r="Q113" t="str">
        <f>IF(E113&lt;&gt;"","'"&amp;'PO NO'!$B$2,"")</f>
        <v/>
      </c>
      <c r="U113" t="str">
        <f>IFERROR(CLEAN(VLOOKUP(N113,BOE!J:P,7,FALSE)),"")</f>
        <v/>
      </c>
      <c r="V113" t="str">
        <f t="shared" si="8"/>
        <v/>
      </c>
      <c r="W113" t="str">
        <f t="shared" si="9"/>
        <v/>
      </c>
      <c r="Y113" t="str">
        <f t="shared" si="10"/>
        <v/>
      </c>
      <c r="Z113" t="str">
        <f>IFERROR(IF(VLOOKUP(N113,BOE!J:Q,8,FALSE)=J113,"Pass","Mismatch"),"")</f>
        <v/>
      </c>
      <c r="AA113" t="str">
        <f>IFERROR(IF(ABS(VLOOKUP(N113,BOE!J:R,9,FALSE)-K113)&lt;0.2,"Pass","Mismatch"),"")</f>
        <v/>
      </c>
      <c r="AB113" t="str">
        <f>IFERROR(IF(ABS(VLOOKUP(N113,BOE!J:T,10,FALSE)-L113)&lt;0.2,"Pass","Mismatch"),"")</f>
        <v/>
      </c>
      <c r="AC113" t="str">
        <f>IFERROR(VLOOKUP(N113,BOE!J:N,2,FALSE),"")</f>
        <v/>
      </c>
      <c r="AD113" t="str">
        <f>IFERROR(VLOOKUP(N113,BOE!J:N,4,FALSE),"")</f>
        <v/>
      </c>
      <c r="AE113" t="str">
        <f>IFERROR(VLOOKUP(N113,BOE!J:N,5,FALSE),"")</f>
        <v/>
      </c>
      <c r="AF113" t="str">
        <f>IF(E113&lt;&gt;"",BOE!$I$1,"")</f>
        <v/>
      </c>
      <c r="AG113" t="str">
        <f>IFERROR(VLOOKUP(N113,BOE!J:T,11,FALSE),"")</f>
        <v/>
      </c>
      <c r="AH113" s="14" t="str">
        <f t="shared" si="11"/>
        <v/>
      </c>
      <c r="AI113" s="14" t="str">
        <f t="shared" si="12"/>
        <v/>
      </c>
      <c r="AJ113" s="14">
        <f t="shared" si="13"/>
        <v>0</v>
      </c>
      <c r="AK113" t="str">
        <f t="shared" si="14"/>
        <v/>
      </c>
    </row>
    <row r="114" spans="1:37" x14ac:dyDescent="0.25">
      <c r="A114" t="str">
        <f t="shared" si="15"/>
        <v/>
      </c>
      <c r="Q114" t="str">
        <f>IF(E114&lt;&gt;"","'"&amp;'PO NO'!$B$2,"")</f>
        <v/>
      </c>
      <c r="U114" t="str">
        <f>IFERROR(CLEAN(VLOOKUP(N114,BOE!J:P,7,FALSE)),"")</f>
        <v/>
      </c>
      <c r="V114" t="str">
        <f t="shared" si="8"/>
        <v/>
      </c>
      <c r="W114" t="str">
        <f t="shared" si="9"/>
        <v/>
      </c>
      <c r="Y114" t="str">
        <f t="shared" si="10"/>
        <v/>
      </c>
      <c r="Z114" t="str">
        <f>IFERROR(IF(VLOOKUP(N114,BOE!J:Q,8,FALSE)=J114,"Pass","Mismatch"),"")</f>
        <v/>
      </c>
      <c r="AA114" t="str">
        <f>IFERROR(IF(ABS(VLOOKUP(N114,BOE!J:R,9,FALSE)-K114)&lt;0.2,"Pass","Mismatch"),"")</f>
        <v/>
      </c>
      <c r="AB114" t="str">
        <f>IFERROR(IF(ABS(VLOOKUP(N114,BOE!J:T,10,FALSE)-L114)&lt;0.2,"Pass","Mismatch"),"")</f>
        <v/>
      </c>
      <c r="AC114" t="str">
        <f>IFERROR(VLOOKUP(N114,BOE!J:N,2,FALSE),"")</f>
        <v/>
      </c>
      <c r="AD114" t="str">
        <f>IFERROR(VLOOKUP(N114,BOE!J:N,4,FALSE),"")</f>
        <v/>
      </c>
      <c r="AE114" t="str">
        <f>IFERROR(VLOOKUP(N114,BOE!J:N,5,FALSE),"")</f>
        <v/>
      </c>
      <c r="AF114" t="str">
        <f>IF(E114&lt;&gt;"",BOE!$I$1,"")</f>
        <v/>
      </c>
      <c r="AG114" t="str">
        <f>IFERROR(VLOOKUP(N114,BOE!J:T,11,FALSE),"")</f>
        <v/>
      </c>
      <c r="AH114" s="14" t="str">
        <f t="shared" si="11"/>
        <v/>
      </c>
      <c r="AI114" s="14" t="str">
        <f t="shared" si="12"/>
        <v/>
      </c>
      <c r="AJ114" s="14">
        <f t="shared" si="13"/>
        <v>0</v>
      </c>
      <c r="AK114" t="str">
        <f t="shared" si="14"/>
        <v/>
      </c>
    </row>
    <row r="115" spans="1:37" x14ac:dyDescent="0.25">
      <c r="A115" t="str">
        <f t="shared" si="15"/>
        <v/>
      </c>
      <c r="Q115" t="str">
        <f>IF(E115&lt;&gt;"","'"&amp;'PO NO'!$B$2,"")</f>
        <v/>
      </c>
      <c r="U115" t="str">
        <f>IFERROR(CLEAN(VLOOKUP(N115,BOE!J:P,7,FALSE)),"")</f>
        <v/>
      </c>
      <c r="V115" t="str">
        <f t="shared" si="8"/>
        <v/>
      </c>
      <c r="W115" t="str">
        <f t="shared" si="9"/>
        <v/>
      </c>
      <c r="Y115" t="str">
        <f t="shared" si="10"/>
        <v/>
      </c>
      <c r="Z115" t="str">
        <f>IFERROR(IF(VLOOKUP(N115,BOE!J:Q,8,FALSE)=J115,"Pass","Mismatch"),"")</f>
        <v/>
      </c>
      <c r="AA115" t="str">
        <f>IFERROR(IF(ABS(VLOOKUP(N115,BOE!J:R,9,FALSE)-K115)&lt;0.2,"Pass","Mismatch"),"")</f>
        <v/>
      </c>
      <c r="AB115" t="str">
        <f>IFERROR(IF(ABS(VLOOKUP(N115,BOE!J:T,10,FALSE)-L115)&lt;0.2,"Pass","Mismatch"),"")</f>
        <v/>
      </c>
      <c r="AC115" t="str">
        <f>IFERROR(VLOOKUP(N115,BOE!J:N,2,FALSE),"")</f>
        <v/>
      </c>
      <c r="AD115" t="str">
        <f>IFERROR(VLOOKUP(N115,BOE!J:N,4,FALSE),"")</f>
        <v/>
      </c>
      <c r="AE115" t="str">
        <f>IFERROR(VLOOKUP(N115,BOE!J:N,5,FALSE),"")</f>
        <v/>
      </c>
      <c r="AF115" t="str">
        <f>IF(E115&lt;&gt;"",BOE!$I$1,"")</f>
        <v/>
      </c>
      <c r="AG115" t="str">
        <f>IFERROR(VLOOKUP(N115,BOE!J:T,11,FALSE),"")</f>
        <v/>
      </c>
      <c r="AH115" s="14" t="str">
        <f t="shared" si="11"/>
        <v/>
      </c>
      <c r="AI115" s="14" t="str">
        <f t="shared" si="12"/>
        <v/>
      </c>
      <c r="AJ115" s="14">
        <f t="shared" si="13"/>
        <v>0</v>
      </c>
      <c r="AK115" t="str">
        <f t="shared" si="14"/>
        <v/>
      </c>
    </row>
    <row r="116" spans="1:37" x14ac:dyDescent="0.25">
      <c r="A116" t="str">
        <f t="shared" si="15"/>
        <v/>
      </c>
      <c r="Q116" t="str">
        <f>IF(E116&lt;&gt;"","'"&amp;'PO NO'!$B$2,"")</f>
        <v/>
      </c>
      <c r="U116" t="str">
        <f>IFERROR(CLEAN(VLOOKUP(N116,BOE!J:P,7,FALSE)),"")</f>
        <v/>
      </c>
      <c r="V116" t="str">
        <f t="shared" si="8"/>
        <v/>
      </c>
      <c r="W116" t="str">
        <f t="shared" si="9"/>
        <v/>
      </c>
      <c r="Y116" t="str">
        <f t="shared" si="10"/>
        <v/>
      </c>
      <c r="Z116" t="str">
        <f>IFERROR(IF(VLOOKUP(N116,BOE!J:Q,8,FALSE)=J116,"Pass","Mismatch"),"")</f>
        <v/>
      </c>
      <c r="AA116" t="str">
        <f>IFERROR(IF(ABS(VLOOKUP(N116,BOE!J:R,9,FALSE)-K116)&lt;0.2,"Pass","Mismatch"),"")</f>
        <v/>
      </c>
      <c r="AB116" t="str">
        <f>IFERROR(IF(ABS(VLOOKUP(N116,BOE!J:T,10,FALSE)-L116)&lt;0.2,"Pass","Mismatch"),"")</f>
        <v/>
      </c>
      <c r="AC116" t="str">
        <f>IFERROR(VLOOKUP(N116,BOE!J:N,2,FALSE),"")</f>
        <v/>
      </c>
      <c r="AD116" t="str">
        <f>IFERROR(VLOOKUP(N116,BOE!J:N,4,FALSE),"")</f>
        <v/>
      </c>
      <c r="AE116" t="str">
        <f>IFERROR(VLOOKUP(N116,BOE!J:N,5,FALSE),"")</f>
        <v/>
      </c>
      <c r="AF116" t="str">
        <f>IF(E116&lt;&gt;"",BOE!$I$1,"")</f>
        <v/>
      </c>
      <c r="AG116" t="str">
        <f>IFERROR(VLOOKUP(N116,BOE!J:T,11,FALSE),"")</f>
        <v/>
      </c>
      <c r="AH116" s="14" t="str">
        <f t="shared" si="11"/>
        <v/>
      </c>
      <c r="AI116" s="14" t="str">
        <f t="shared" si="12"/>
        <v/>
      </c>
      <c r="AJ116" s="14">
        <f t="shared" si="13"/>
        <v>0</v>
      </c>
      <c r="AK116" t="str">
        <f t="shared" si="14"/>
        <v/>
      </c>
    </row>
    <row r="117" spans="1:37" x14ac:dyDescent="0.25">
      <c r="A117" t="str">
        <f t="shared" si="15"/>
        <v/>
      </c>
      <c r="Q117" t="str">
        <f>IF(E117&lt;&gt;"","'"&amp;'PO NO'!$B$2,"")</f>
        <v/>
      </c>
      <c r="U117" t="str">
        <f>IFERROR(CLEAN(VLOOKUP(N117,BOE!J:P,7,FALSE)),"")</f>
        <v/>
      </c>
      <c r="V117" t="str">
        <f t="shared" si="8"/>
        <v/>
      </c>
      <c r="W117" t="str">
        <f t="shared" si="9"/>
        <v/>
      </c>
      <c r="Y117" t="str">
        <f t="shared" si="10"/>
        <v/>
      </c>
      <c r="Z117" t="str">
        <f>IFERROR(IF(VLOOKUP(N117,BOE!J:Q,8,FALSE)=J117,"Pass","Mismatch"),"")</f>
        <v/>
      </c>
      <c r="AA117" t="str">
        <f>IFERROR(IF(ABS(VLOOKUP(N117,BOE!J:R,9,FALSE)-K117)&lt;0.2,"Pass","Mismatch"),"")</f>
        <v/>
      </c>
      <c r="AB117" t="str">
        <f>IFERROR(IF(ABS(VLOOKUP(N117,BOE!J:T,10,FALSE)-L117)&lt;0.2,"Pass","Mismatch"),"")</f>
        <v/>
      </c>
      <c r="AC117" t="str">
        <f>IFERROR(VLOOKUP(N117,BOE!J:N,2,FALSE),"")</f>
        <v/>
      </c>
      <c r="AD117" t="str">
        <f>IFERROR(VLOOKUP(N117,BOE!J:N,4,FALSE),"")</f>
        <v/>
      </c>
      <c r="AE117" t="str">
        <f>IFERROR(VLOOKUP(N117,BOE!J:N,5,FALSE),"")</f>
        <v/>
      </c>
      <c r="AF117" t="str">
        <f>IF(E117&lt;&gt;"",BOE!$I$1,"")</f>
        <v/>
      </c>
      <c r="AG117" t="str">
        <f>IFERROR(VLOOKUP(N117,BOE!J:T,11,FALSE),"")</f>
        <v/>
      </c>
      <c r="AH117" s="14" t="str">
        <f t="shared" si="11"/>
        <v/>
      </c>
      <c r="AI117" s="14" t="str">
        <f t="shared" si="12"/>
        <v/>
      </c>
      <c r="AJ117" s="14">
        <f t="shared" si="13"/>
        <v>0</v>
      </c>
      <c r="AK117" t="str">
        <f t="shared" si="14"/>
        <v/>
      </c>
    </row>
    <row r="118" spans="1:37" x14ac:dyDescent="0.25">
      <c r="A118" t="str">
        <f t="shared" si="15"/>
        <v/>
      </c>
      <c r="Q118" t="str">
        <f>IF(E118&lt;&gt;"","'"&amp;'PO NO'!$B$2,"")</f>
        <v/>
      </c>
      <c r="U118" t="str">
        <f>IFERROR(CLEAN(VLOOKUP(N118,BOE!J:P,7,FALSE)),"")</f>
        <v/>
      </c>
      <c r="V118" t="str">
        <f t="shared" si="8"/>
        <v/>
      </c>
      <c r="W118" t="str">
        <f t="shared" si="9"/>
        <v/>
      </c>
      <c r="Y118" t="str">
        <f t="shared" si="10"/>
        <v/>
      </c>
      <c r="Z118" t="str">
        <f>IFERROR(IF(VLOOKUP(N118,BOE!J:Q,8,FALSE)=J118,"Pass","Mismatch"),"")</f>
        <v/>
      </c>
      <c r="AA118" t="str">
        <f>IFERROR(IF(ABS(VLOOKUP(N118,BOE!J:R,9,FALSE)-K118)&lt;0.2,"Pass","Mismatch"),"")</f>
        <v/>
      </c>
      <c r="AB118" t="str">
        <f>IFERROR(IF(ABS(VLOOKUP(N118,BOE!J:T,10,FALSE)-L118)&lt;0.2,"Pass","Mismatch"),"")</f>
        <v/>
      </c>
      <c r="AC118" t="str">
        <f>IFERROR(VLOOKUP(N118,BOE!J:N,2,FALSE),"")</f>
        <v/>
      </c>
      <c r="AD118" t="str">
        <f>IFERROR(VLOOKUP(N118,BOE!J:N,4,FALSE),"")</f>
        <v/>
      </c>
      <c r="AE118" t="str">
        <f>IFERROR(VLOOKUP(N118,BOE!J:N,5,FALSE),"")</f>
        <v/>
      </c>
      <c r="AF118" t="str">
        <f>IF(E118&lt;&gt;"",BOE!$I$1,"")</f>
        <v/>
      </c>
      <c r="AG118" t="str">
        <f>IFERROR(VLOOKUP(N118,BOE!J:T,11,FALSE),"")</f>
        <v/>
      </c>
      <c r="AH118" s="14" t="str">
        <f t="shared" si="11"/>
        <v/>
      </c>
      <c r="AI118" s="14" t="str">
        <f t="shared" si="12"/>
        <v/>
      </c>
      <c r="AJ118" s="14">
        <f t="shared" si="13"/>
        <v>0</v>
      </c>
      <c r="AK118" t="str">
        <f t="shared" si="14"/>
        <v/>
      </c>
    </row>
    <row r="119" spans="1:37" x14ac:dyDescent="0.25">
      <c r="A119" t="str">
        <f t="shared" si="15"/>
        <v/>
      </c>
      <c r="Q119" t="str">
        <f>IF(E119&lt;&gt;"","'"&amp;'PO NO'!$B$2,"")</f>
        <v/>
      </c>
      <c r="U119" t="str">
        <f>IFERROR(CLEAN(VLOOKUP(N119,BOE!J:P,7,FALSE)),"")</f>
        <v/>
      </c>
      <c r="V119" t="str">
        <f t="shared" si="8"/>
        <v/>
      </c>
      <c r="W119" t="str">
        <f t="shared" si="9"/>
        <v/>
      </c>
      <c r="Y119" t="str">
        <f t="shared" si="10"/>
        <v/>
      </c>
      <c r="Z119" t="str">
        <f>IFERROR(IF(VLOOKUP(N119,BOE!J:Q,8,FALSE)=J119,"Pass","Mismatch"),"")</f>
        <v/>
      </c>
      <c r="AA119" t="str">
        <f>IFERROR(IF(ABS(VLOOKUP(N119,BOE!J:R,9,FALSE)-K119)&lt;0.2,"Pass","Mismatch"),"")</f>
        <v/>
      </c>
      <c r="AB119" t="str">
        <f>IFERROR(IF(ABS(VLOOKUP(N119,BOE!J:T,10,FALSE)-L119)&lt;0.2,"Pass","Mismatch"),"")</f>
        <v/>
      </c>
      <c r="AC119" t="str">
        <f>IFERROR(VLOOKUP(N119,BOE!J:N,2,FALSE),"")</f>
        <v/>
      </c>
      <c r="AD119" t="str">
        <f>IFERROR(VLOOKUP(N119,BOE!J:N,4,FALSE),"")</f>
        <v/>
      </c>
      <c r="AE119" t="str">
        <f>IFERROR(VLOOKUP(N119,BOE!J:N,5,FALSE),"")</f>
        <v/>
      </c>
      <c r="AF119" t="str">
        <f>IF(E119&lt;&gt;"",BOE!$I$1,"")</f>
        <v/>
      </c>
      <c r="AG119" t="str">
        <f>IFERROR(VLOOKUP(N119,BOE!J:T,11,FALSE),"")</f>
        <v/>
      </c>
      <c r="AH119" s="14" t="str">
        <f t="shared" si="11"/>
        <v/>
      </c>
      <c r="AI119" s="14" t="str">
        <f t="shared" si="12"/>
        <v/>
      </c>
      <c r="AJ119" s="14">
        <f t="shared" si="13"/>
        <v>0</v>
      </c>
      <c r="AK119" t="str">
        <f t="shared" si="14"/>
        <v/>
      </c>
    </row>
    <row r="120" spans="1:37" x14ac:dyDescent="0.25">
      <c r="A120" t="str">
        <f t="shared" si="15"/>
        <v/>
      </c>
      <c r="Q120" t="str">
        <f>IF(E120&lt;&gt;"","'"&amp;'PO NO'!$B$2,"")</f>
        <v/>
      </c>
      <c r="U120" t="str">
        <f>IFERROR(CLEAN(VLOOKUP(N120,BOE!J:P,7,FALSE)),"")</f>
        <v/>
      </c>
      <c r="V120" t="str">
        <f t="shared" si="8"/>
        <v/>
      </c>
      <c r="W120" t="str">
        <f t="shared" si="9"/>
        <v/>
      </c>
      <c r="Y120" t="str">
        <f t="shared" si="10"/>
        <v/>
      </c>
      <c r="Z120" t="str">
        <f>IFERROR(IF(VLOOKUP(N120,BOE!J:Q,8,FALSE)=J120,"Pass","Mismatch"),"")</f>
        <v/>
      </c>
      <c r="AA120" t="str">
        <f>IFERROR(IF(ABS(VLOOKUP(N120,BOE!J:R,9,FALSE)-K120)&lt;0.2,"Pass","Mismatch"),"")</f>
        <v/>
      </c>
      <c r="AB120" t="str">
        <f>IFERROR(IF(ABS(VLOOKUP(N120,BOE!J:T,10,FALSE)-L120)&lt;0.2,"Pass","Mismatch"),"")</f>
        <v/>
      </c>
      <c r="AC120" t="str">
        <f>IFERROR(VLOOKUP(N120,BOE!J:N,2,FALSE),"")</f>
        <v/>
      </c>
      <c r="AD120" t="str">
        <f>IFERROR(VLOOKUP(N120,BOE!J:N,4,FALSE),"")</f>
        <v/>
      </c>
      <c r="AE120" t="str">
        <f>IFERROR(VLOOKUP(N120,BOE!J:N,5,FALSE),"")</f>
        <v/>
      </c>
      <c r="AF120" t="str">
        <f>IF(E120&lt;&gt;"",BOE!$I$1,"")</f>
        <v/>
      </c>
      <c r="AG120" t="str">
        <f>IFERROR(VLOOKUP(N120,BOE!J:T,11,FALSE),"")</f>
        <v/>
      </c>
      <c r="AH120" s="14" t="str">
        <f t="shared" si="11"/>
        <v/>
      </c>
      <c r="AI120" s="14" t="str">
        <f t="shared" si="12"/>
        <v/>
      </c>
      <c r="AJ120" s="14">
        <f t="shared" si="13"/>
        <v>0</v>
      </c>
      <c r="AK120" t="str">
        <f t="shared" si="14"/>
        <v/>
      </c>
    </row>
    <row r="121" spans="1:37" x14ac:dyDescent="0.25">
      <c r="A121" t="str">
        <f t="shared" si="15"/>
        <v/>
      </c>
      <c r="Q121" t="str">
        <f>IF(E121&lt;&gt;"","'"&amp;'PO NO'!$B$2,"")</f>
        <v/>
      </c>
      <c r="U121" t="str">
        <f>IFERROR(CLEAN(VLOOKUP(N121,BOE!J:P,7,FALSE)),"")</f>
        <v/>
      </c>
      <c r="V121" t="str">
        <f t="shared" si="8"/>
        <v/>
      </c>
      <c r="W121" t="str">
        <f t="shared" si="9"/>
        <v/>
      </c>
      <c r="Y121" t="str">
        <f t="shared" si="10"/>
        <v/>
      </c>
      <c r="Z121" t="str">
        <f>IFERROR(IF(VLOOKUP(N121,BOE!J:Q,8,FALSE)=J121,"Pass","Mismatch"),"")</f>
        <v/>
      </c>
      <c r="AA121" t="str">
        <f>IFERROR(IF(ABS(VLOOKUP(N121,BOE!J:R,9,FALSE)-K121)&lt;0.2,"Pass","Mismatch"),"")</f>
        <v/>
      </c>
      <c r="AB121" t="str">
        <f>IFERROR(IF(ABS(VLOOKUP(N121,BOE!J:T,10,FALSE)-L121)&lt;0.2,"Pass","Mismatch"),"")</f>
        <v/>
      </c>
      <c r="AC121" t="str">
        <f>IFERROR(VLOOKUP(N121,BOE!J:N,2,FALSE),"")</f>
        <v/>
      </c>
      <c r="AD121" t="str">
        <f>IFERROR(VLOOKUP(N121,BOE!J:N,4,FALSE),"")</f>
        <v/>
      </c>
      <c r="AE121" t="str">
        <f>IFERROR(VLOOKUP(N121,BOE!J:N,5,FALSE),"")</f>
        <v/>
      </c>
      <c r="AF121" t="str">
        <f>IF(E121&lt;&gt;"",BOE!$I$1,"")</f>
        <v/>
      </c>
      <c r="AG121" t="str">
        <f>IFERROR(VLOOKUP(N121,BOE!J:T,11,FALSE),"")</f>
        <v/>
      </c>
      <c r="AH121" s="14" t="str">
        <f t="shared" si="11"/>
        <v/>
      </c>
      <c r="AI121" s="14" t="str">
        <f t="shared" si="12"/>
        <v/>
      </c>
      <c r="AJ121" s="14">
        <f t="shared" si="13"/>
        <v>0</v>
      </c>
      <c r="AK121" t="str">
        <f t="shared" si="14"/>
        <v/>
      </c>
    </row>
    <row r="122" spans="1:37" x14ac:dyDescent="0.25">
      <c r="A122" t="str">
        <f t="shared" si="15"/>
        <v/>
      </c>
      <c r="Q122" t="str">
        <f>IF(E122&lt;&gt;"","'"&amp;'PO NO'!$B$2,"")</f>
        <v/>
      </c>
      <c r="U122" t="str">
        <f>IFERROR(CLEAN(VLOOKUP(N122,BOE!J:P,7,FALSE)),"")</f>
        <v/>
      </c>
      <c r="V122" t="str">
        <f t="shared" si="8"/>
        <v/>
      </c>
      <c r="W122" t="str">
        <f t="shared" si="9"/>
        <v/>
      </c>
      <c r="Y122" t="str">
        <f t="shared" si="10"/>
        <v/>
      </c>
      <c r="Z122" t="str">
        <f>IFERROR(IF(VLOOKUP(N122,BOE!J:Q,8,FALSE)=J122,"Pass","Mismatch"),"")</f>
        <v/>
      </c>
      <c r="AA122" t="str">
        <f>IFERROR(IF(ABS(VLOOKUP(N122,BOE!J:R,9,FALSE)-K122)&lt;0.2,"Pass","Mismatch"),"")</f>
        <v/>
      </c>
      <c r="AB122" t="str">
        <f>IFERROR(IF(ABS(VLOOKUP(N122,BOE!J:T,10,FALSE)-L122)&lt;0.2,"Pass","Mismatch"),"")</f>
        <v/>
      </c>
      <c r="AC122" t="str">
        <f>IFERROR(VLOOKUP(N122,BOE!J:N,2,FALSE),"")</f>
        <v/>
      </c>
      <c r="AD122" t="str">
        <f>IFERROR(VLOOKUP(N122,BOE!J:N,4,FALSE),"")</f>
        <v/>
      </c>
      <c r="AE122" t="str">
        <f>IFERROR(VLOOKUP(N122,BOE!J:N,5,FALSE),"")</f>
        <v/>
      </c>
      <c r="AF122" t="str">
        <f>IF(E122&lt;&gt;"",BOE!$I$1,"")</f>
        <v/>
      </c>
      <c r="AG122" t="str">
        <f>IFERROR(VLOOKUP(N122,BOE!J:T,11,FALSE),"")</f>
        <v/>
      </c>
      <c r="AH122" s="14" t="str">
        <f t="shared" si="11"/>
        <v/>
      </c>
      <c r="AI122" s="14" t="str">
        <f t="shared" si="12"/>
        <v/>
      </c>
      <c r="AJ122" s="14">
        <f t="shared" si="13"/>
        <v>0</v>
      </c>
      <c r="AK122" t="str">
        <f t="shared" si="14"/>
        <v/>
      </c>
    </row>
    <row r="123" spans="1:37" x14ac:dyDescent="0.25">
      <c r="A123" t="str">
        <f t="shared" si="15"/>
        <v/>
      </c>
      <c r="Q123" t="str">
        <f>IF(E123&lt;&gt;"","'"&amp;'PO NO'!$B$2,"")</f>
        <v/>
      </c>
      <c r="U123" t="str">
        <f>IFERROR(CLEAN(VLOOKUP(N123,BOE!J:P,7,FALSE)),"")</f>
        <v/>
      </c>
      <c r="V123" t="str">
        <f t="shared" si="8"/>
        <v/>
      </c>
      <c r="W123" t="str">
        <f t="shared" si="9"/>
        <v/>
      </c>
      <c r="Y123" t="str">
        <f t="shared" si="10"/>
        <v/>
      </c>
      <c r="Z123" t="str">
        <f>IFERROR(IF(VLOOKUP(N123,BOE!J:Q,8,FALSE)=J123,"Pass","Mismatch"),"")</f>
        <v/>
      </c>
      <c r="AA123" t="str">
        <f>IFERROR(IF(ABS(VLOOKUP(N123,BOE!J:R,9,FALSE)-K123)&lt;0.2,"Pass","Mismatch"),"")</f>
        <v/>
      </c>
      <c r="AB123" t="str">
        <f>IFERROR(IF(ABS(VLOOKUP(N123,BOE!J:T,10,FALSE)-L123)&lt;0.2,"Pass","Mismatch"),"")</f>
        <v/>
      </c>
      <c r="AC123" t="str">
        <f>IFERROR(VLOOKUP(N123,BOE!J:N,2,FALSE),"")</f>
        <v/>
      </c>
      <c r="AD123" t="str">
        <f>IFERROR(VLOOKUP(N123,BOE!J:N,4,FALSE),"")</f>
        <v/>
      </c>
      <c r="AE123" t="str">
        <f>IFERROR(VLOOKUP(N123,BOE!J:N,5,FALSE),"")</f>
        <v/>
      </c>
      <c r="AF123" t="str">
        <f>IF(E123&lt;&gt;"",BOE!$I$1,"")</f>
        <v/>
      </c>
      <c r="AG123" t="str">
        <f>IFERROR(VLOOKUP(N123,BOE!J:T,11,FALSE),"")</f>
        <v/>
      </c>
      <c r="AH123" s="14" t="str">
        <f t="shared" si="11"/>
        <v/>
      </c>
      <c r="AI123" s="14" t="str">
        <f t="shared" si="12"/>
        <v/>
      </c>
      <c r="AJ123" s="14">
        <f t="shared" si="13"/>
        <v>0</v>
      </c>
      <c r="AK123" t="str">
        <f t="shared" si="14"/>
        <v/>
      </c>
    </row>
    <row r="124" spans="1:37" x14ac:dyDescent="0.25">
      <c r="A124" t="str">
        <f t="shared" si="15"/>
        <v/>
      </c>
      <c r="Q124" t="str">
        <f>IF(E124&lt;&gt;"","'"&amp;'PO NO'!$B$2,"")</f>
        <v/>
      </c>
      <c r="U124" t="str">
        <f>IFERROR(CLEAN(VLOOKUP(N124,BOE!J:P,7,FALSE)),"")</f>
        <v/>
      </c>
      <c r="V124" t="str">
        <f t="shared" si="8"/>
        <v/>
      </c>
      <c r="W124" t="str">
        <f t="shared" si="9"/>
        <v/>
      </c>
      <c r="Y124" t="str">
        <f t="shared" si="10"/>
        <v/>
      </c>
      <c r="Z124" t="str">
        <f>IFERROR(IF(VLOOKUP(N124,BOE!J:Q,8,FALSE)=J124,"Pass","Mismatch"),"")</f>
        <v/>
      </c>
      <c r="AA124" t="str">
        <f>IFERROR(IF(ABS(VLOOKUP(N124,BOE!J:R,9,FALSE)-K124)&lt;0.2,"Pass","Mismatch"),"")</f>
        <v/>
      </c>
      <c r="AB124" t="str">
        <f>IFERROR(IF(ABS(VLOOKUP(N124,BOE!J:T,10,FALSE)-L124)&lt;0.2,"Pass","Mismatch"),"")</f>
        <v/>
      </c>
      <c r="AC124" t="str">
        <f>IFERROR(VLOOKUP(N124,BOE!J:N,2,FALSE),"")</f>
        <v/>
      </c>
      <c r="AD124" t="str">
        <f>IFERROR(VLOOKUP(N124,BOE!J:N,4,FALSE),"")</f>
        <v/>
      </c>
      <c r="AE124" t="str">
        <f>IFERROR(VLOOKUP(N124,BOE!J:N,5,FALSE),"")</f>
        <v/>
      </c>
      <c r="AF124" t="str">
        <f>IF(E124&lt;&gt;"",BOE!$I$1,"")</f>
        <v/>
      </c>
      <c r="AG124" t="str">
        <f>IFERROR(VLOOKUP(N124,BOE!J:T,11,FALSE),"")</f>
        <v/>
      </c>
      <c r="AH124" s="14" t="str">
        <f t="shared" si="11"/>
        <v/>
      </c>
      <c r="AI124" s="14" t="str">
        <f t="shared" si="12"/>
        <v/>
      </c>
      <c r="AJ124" s="14">
        <f t="shared" si="13"/>
        <v>0</v>
      </c>
      <c r="AK124" t="str">
        <f t="shared" si="14"/>
        <v/>
      </c>
    </row>
    <row r="125" spans="1:37" x14ac:dyDescent="0.25">
      <c r="A125" t="str">
        <f t="shared" si="15"/>
        <v/>
      </c>
      <c r="Q125" t="str">
        <f>IF(E125&lt;&gt;"","'"&amp;'PO NO'!$B$2,"")</f>
        <v/>
      </c>
      <c r="U125" t="str">
        <f>IFERROR(CLEAN(VLOOKUP(N125,BOE!J:P,7,FALSE)),"")</f>
        <v/>
      </c>
      <c r="V125" t="str">
        <f t="shared" si="8"/>
        <v/>
      </c>
      <c r="W125" t="str">
        <f t="shared" si="9"/>
        <v/>
      </c>
      <c r="Y125" t="str">
        <f t="shared" si="10"/>
        <v/>
      </c>
      <c r="Z125" t="str">
        <f>IFERROR(IF(VLOOKUP(N125,BOE!J:Q,8,FALSE)=J125,"Pass","Mismatch"),"")</f>
        <v/>
      </c>
      <c r="AA125" t="str">
        <f>IFERROR(IF(ABS(VLOOKUP(N125,BOE!J:R,9,FALSE)-K125)&lt;0.2,"Pass","Mismatch"),"")</f>
        <v/>
      </c>
      <c r="AB125" t="str">
        <f>IFERROR(IF(ABS(VLOOKUP(N125,BOE!J:T,10,FALSE)-L125)&lt;0.2,"Pass","Mismatch"),"")</f>
        <v/>
      </c>
      <c r="AC125" t="str">
        <f>IFERROR(VLOOKUP(N125,BOE!J:N,2,FALSE),"")</f>
        <v/>
      </c>
      <c r="AD125" t="str">
        <f>IFERROR(VLOOKUP(N125,BOE!J:N,4,FALSE),"")</f>
        <v/>
      </c>
      <c r="AE125" t="str">
        <f>IFERROR(VLOOKUP(N125,BOE!J:N,5,FALSE),"")</f>
        <v/>
      </c>
      <c r="AF125" t="str">
        <f>IF(E125&lt;&gt;"",BOE!$I$1,"")</f>
        <v/>
      </c>
      <c r="AG125" t="str">
        <f>IFERROR(VLOOKUP(N125,BOE!J:T,11,FALSE),"")</f>
        <v/>
      </c>
      <c r="AH125" s="14" t="str">
        <f t="shared" si="11"/>
        <v/>
      </c>
      <c r="AI125" s="14" t="str">
        <f t="shared" si="12"/>
        <v/>
      </c>
      <c r="AJ125" s="14">
        <f t="shared" si="13"/>
        <v>0</v>
      </c>
      <c r="AK125" t="str">
        <f t="shared" si="14"/>
        <v/>
      </c>
    </row>
    <row r="126" spans="1:37" x14ac:dyDescent="0.25">
      <c r="A126" t="str">
        <f t="shared" si="15"/>
        <v/>
      </c>
      <c r="Q126" t="str">
        <f>IF(E126&lt;&gt;"","'"&amp;'PO NO'!$B$2,"")</f>
        <v/>
      </c>
      <c r="U126" t="str">
        <f>IFERROR(CLEAN(VLOOKUP(N126,BOE!J:P,7,FALSE)),"")</f>
        <v/>
      </c>
      <c r="V126" t="str">
        <f t="shared" si="8"/>
        <v/>
      </c>
      <c r="W126" t="str">
        <f t="shared" si="9"/>
        <v/>
      </c>
      <c r="Y126" t="str">
        <f t="shared" si="10"/>
        <v/>
      </c>
      <c r="Z126" t="str">
        <f>IFERROR(IF(VLOOKUP(N126,BOE!J:Q,8,FALSE)=J126,"Pass","Mismatch"),"")</f>
        <v/>
      </c>
      <c r="AA126" t="str">
        <f>IFERROR(IF(ABS(VLOOKUP(N126,BOE!J:R,9,FALSE)-K126)&lt;0.2,"Pass","Mismatch"),"")</f>
        <v/>
      </c>
      <c r="AB126" t="str">
        <f>IFERROR(IF(ABS(VLOOKUP(N126,BOE!J:T,10,FALSE)-L126)&lt;0.2,"Pass","Mismatch"),"")</f>
        <v/>
      </c>
      <c r="AC126" t="str">
        <f>IFERROR(VLOOKUP(N126,BOE!J:N,2,FALSE),"")</f>
        <v/>
      </c>
      <c r="AD126" t="str">
        <f>IFERROR(VLOOKUP(N126,BOE!J:N,4,FALSE),"")</f>
        <v/>
      </c>
      <c r="AE126" t="str">
        <f>IFERROR(VLOOKUP(N126,BOE!J:N,5,FALSE),"")</f>
        <v/>
      </c>
      <c r="AF126" t="str">
        <f>IF(E126&lt;&gt;"",BOE!$I$1,"")</f>
        <v/>
      </c>
      <c r="AG126" t="str">
        <f>IFERROR(VLOOKUP(N126,BOE!J:T,11,FALSE),"")</f>
        <v/>
      </c>
      <c r="AH126" s="14" t="str">
        <f t="shared" si="11"/>
        <v/>
      </c>
      <c r="AI126" s="14" t="str">
        <f t="shared" si="12"/>
        <v/>
      </c>
      <c r="AJ126" s="14">
        <f t="shared" si="13"/>
        <v>0</v>
      </c>
      <c r="AK126" t="str">
        <f t="shared" si="14"/>
        <v/>
      </c>
    </row>
    <row r="127" spans="1:37" x14ac:dyDescent="0.25">
      <c r="A127" t="str">
        <f t="shared" si="15"/>
        <v/>
      </c>
      <c r="Q127" t="str">
        <f>IF(E127&lt;&gt;"","'"&amp;'PO NO'!$B$2,"")</f>
        <v/>
      </c>
      <c r="U127" t="str">
        <f>IFERROR(CLEAN(VLOOKUP(N127,BOE!J:P,7,FALSE)),"")</f>
        <v/>
      </c>
      <c r="V127" t="str">
        <f t="shared" si="8"/>
        <v/>
      </c>
      <c r="W127" t="str">
        <f t="shared" si="9"/>
        <v/>
      </c>
      <c r="Y127" t="str">
        <f t="shared" si="10"/>
        <v/>
      </c>
      <c r="Z127" t="str">
        <f>IFERROR(IF(VLOOKUP(N127,BOE!J:Q,8,FALSE)=J127,"Pass","Mismatch"),"")</f>
        <v/>
      </c>
      <c r="AA127" t="str">
        <f>IFERROR(IF(ABS(VLOOKUP(N127,BOE!J:R,9,FALSE)-K127)&lt;0.2,"Pass","Mismatch"),"")</f>
        <v/>
      </c>
      <c r="AB127" t="str">
        <f>IFERROR(IF(ABS(VLOOKUP(N127,BOE!J:T,10,FALSE)-L127)&lt;0.2,"Pass","Mismatch"),"")</f>
        <v/>
      </c>
      <c r="AC127" t="str">
        <f>IFERROR(VLOOKUP(N127,BOE!J:N,2,FALSE),"")</f>
        <v/>
      </c>
      <c r="AD127" t="str">
        <f>IFERROR(VLOOKUP(N127,BOE!J:N,4,FALSE),"")</f>
        <v/>
      </c>
      <c r="AE127" t="str">
        <f>IFERROR(VLOOKUP(N127,BOE!J:N,5,FALSE),"")</f>
        <v/>
      </c>
      <c r="AF127" t="str">
        <f>IF(E127&lt;&gt;"",BOE!$I$1,"")</f>
        <v/>
      </c>
      <c r="AG127" t="str">
        <f>IFERROR(VLOOKUP(N127,BOE!J:T,11,FALSE),"")</f>
        <v/>
      </c>
      <c r="AH127" s="14" t="str">
        <f t="shared" si="11"/>
        <v/>
      </c>
      <c r="AI127" s="14" t="str">
        <f t="shared" si="12"/>
        <v/>
      </c>
      <c r="AJ127" s="14">
        <f t="shared" si="13"/>
        <v>0</v>
      </c>
      <c r="AK127" t="str">
        <f t="shared" si="14"/>
        <v/>
      </c>
    </row>
    <row r="128" spans="1:37" x14ac:dyDescent="0.25">
      <c r="A128" t="str">
        <f t="shared" si="15"/>
        <v/>
      </c>
      <c r="Q128" t="str">
        <f>IF(E128&lt;&gt;"","'"&amp;'PO NO'!$B$2,"")</f>
        <v/>
      </c>
      <c r="U128" t="str">
        <f>IFERROR(CLEAN(VLOOKUP(N128,BOE!J:P,7,FALSE)),"")</f>
        <v/>
      </c>
      <c r="V128" t="str">
        <f t="shared" si="8"/>
        <v/>
      </c>
      <c r="W128" t="str">
        <f t="shared" si="9"/>
        <v/>
      </c>
      <c r="Y128" t="str">
        <f t="shared" si="10"/>
        <v/>
      </c>
      <c r="Z128" t="str">
        <f>IFERROR(IF(VLOOKUP(N128,BOE!J:Q,8,FALSE)=J128,"Pass","Mismatch"),"")</f>
        <v/>
      </c>
      <c r="AA128" t="str">
        <f>IFERROR(IF(ABS(VLOOKUP(N128,BOE!J:R,9,FALSE)-K128)&lt;0.2,"Pass","Mismatch"),"")</f>
        <v/>
      </c>
      <c r="AB128" t="str">
        <f>IFERROR(IF(ABS(VLOOKUP(N128,BOE!J:T,10,FALSE)-L128)&lt;0.2,"Pass","Mismatch"),"")</f>
        <v/>
      </c>
      <c r="AC128" t="str">
        <f>IFERROR(VLOOKUP(N128,BOE!J:N,2,FALSE),"")</f>
        <v/>
      </c>
      <c r="AD128" t="str">
        <f>IFERROR(VLOOKUP(N128,BOE!J:N,4,FALSE),"")</f>
        <v/>
      </c>
      <c r="AE128" t="str">
        <f>IFERROR(VLOOKUP(N128,BOE!J:N,5,FALSE),"")</f>
        <v/>
      </c>
      <c r="AF128" t="str">
        <f>IF(E128&lt;&gt;"",BOE!$I$1,"")</f>
        <v/>
      </c>
      <c r="AG128" t="str">
        <f>IFERROR(VLOOKUP(N128,BOE!J:T,11,FALSE),"")</f>
        <v/>
      </c>
      <c r="AH128" s="14" t="str">
        <f t="shared" si="11"/>
        <v/>
      </c>
      <c r="AI128" s="14" t="str">
        <f t="shared" si="12"/>
        <v/>
      </c>
      <c r="AJ128" s="14">
        <f t="shared" si="13"/>
        <v>0</v>
      </c>
      <c r="AK128" t="str">
        <f t="shared" si="14"/>
        <v/>
      </c>
    </row>
    <row r="129" spans="1:37" x14ac:dyDescent="0.25">
      <c r="A129" t="str">
        <f t="shared" si="15"/>
        <v/>
      </c>
      <c r="Q129" t="str">
        <f>IF(E129&lt;&gt;"","'"&amp;'PO NO'!$B$2,"")</f>
        <v/>
      </c>
      <c r="U129" t="str">
        <f>IFERROR(CLEAN(VLOOKUP(N129,BOE!J:P,7,FALSE)),"")</f>
        <v/>
      </c>
      <c r="V129" t="str">
        <f t="shared" si="8"/>
        <v/>
      </c>
      <c r="W129" t="str">
        <f t="shared" si="9"/>
        <v/>
      </c>
      <c r="Y129" t="str">
        <f t="shared" si="10"/>
        <v/>
      </c>
      <c r="Z129" t="str">
        <f>IFERROR(IF(VLOOKUP(N129,BOE!J:Q,8,FALSE)=J129,"Pass","Mismatch"),"")</f>
        <v/>
      </c>
      <c r="AA129" t="str">
        <f>IFERROR(IF(ABS(VLOOKUP(N129,BOE!J:R,9,FALSE)-K129)&lt;0.2,"Pass","Mismatch"),"")</f>
        <v/>
      </c>
      <c r="AB129" t="str">
        <f>IFERROR(IF(ABS(VLOOKUP(N129,BOE!J:T,10,FALSE)-L129)&lt;0.2,"Pass","Mismatch"),"")</f>
        <v/>
      </c>
      <c r="AC129" t="str">
        <f>IFERROR(VLOOKUP(N129,BOE!J:N,2,FALSE),"")</f>
        <v/>
      </c>
      <c r="AD129" t="str">
        <f>IFERROR(VLOOKUP(N129,BOE!J:N,4,FALSE),"")</f>
        <v/>
      </c>
      <c r="AE129" t="str">
        <f>IFERROR(VLOOKUP(N129,BOE!J:N,5,FALSE),"")</f>
        <v/>
      </c>
      <c r="AF129" t="str">
        <f>IF(E129&lt;&gt;"",BOE!$I$1,"")</f>
        <v/>
      </c>
      <c r="AG129" t="str">
        <f>IFERROR(VLOOKUP(N129,BOE!J:T,11,FALSE),"")</f>
        <v/>
      </c>
      <c r="AH129" s="14" t="str">
        <f t="shared" si="11"/>
        <v/>
      </c>
      <c r="AI129" s="14" t="str">
        <f t="shared" si="12"/>
        <v/>
      </c>
      <c r="AJ129" s="14">
        <f t="shared" si="13"/>
        <v>0</v>
      </c>
      <c r="AK129" t="str">
        <f t="shared" si="14"/>
        <v/>
      </c>
    </row>
    <row r="130" spans="1:37" x14ac:dyDescent="0.25">
      <c r="A130" t="str">
        <f t="shared" si="15"/>
        <v/>
      </c>
      <c r="Q130" t="str">
        <f>IF(E130&lt;&gt;"","'"&amp;'PO NO'!$B$2,"")</f>
        <v/>
      </c>
      <c r="U130" t="str">
        <f>IFERROR(CLEAN(VLOOKUP(N130,BOE!J:P,7,FALSE)),"")</f>
        <v/>
      </c>
      <c r="V130" t="str">
        <f t="shared" si="8"/>
        <v/>
      </c>
      <c r="W130" t="str">
        <f t="shared" si="9"/>
        <v/>
      </c>
      <c r="Y130" t="str">
        <f t="shared" si="10"/>
        <v/>
      </c>
      <c r="Z130" t="str">
        <f>IFERROR(IF(VLOOKUP(N130,BOE!J:Q,8,FALSE)=J130,"Pass","Mismatch"),"")</f>
        <v/>
      </c>
      <c r="AA130" t="str">
        <f>IFERROR(IF(ABS(VLOOKUP(N130,BOE!J:R,9,FALSE)-K130)&lt;0.2,"Pass","Mismatch"),"")</f>
        <v/>
      </c>
      <c r="AB130" t="str">
        <f>IFERROR(IF(ABS(VLOOKUP(N130,BOE!J:T,10,FALSE)-L130)&lt;0.2,"Pass","Mismatch"),"")</f>
        <v/>
      </c>
      <c r="AC130" t="str">
        <f>IFERROR(VLOOKUP(N130,BOE!J:N,2,FALSE),"")</f>
        <v/>
      </c>
      <c r="AD130" t="str">
        <f>IFERROR(VLOOKUP(N130,BOE!J:N,4,FALSE),"")</f>
        <v/>
      </c>
      <c r="AE130" t="str">
        <f>IFERROR(VLOOKUP(N130,BOE!J:N,5,FALSE),"")</f>
        <v/>
      </c>
      <c r="AF130" t="str">
        <f>IF(E130&lt;&gt;"",BOE!$I$1,"")</f>
        <v/>
      </c>
      <c r="AG130" t="str">
        <f>IFERROR(VLOOKUP(N130,BOE!J:T,11,FALSE),"")</f>
        <v/>
      </c>
      <c r="AH130" s="14" t="str">
        <f t="shared" si="11"/>
        <v/>
      </c>
      <c r="AI130" s="14" t="str">
        <f t="shared" si="12"/>
        <v/>
      </c>
      <c r="AJ130" s="14">
        <f t="shared" si="13"/>
        <v>0</v>
      </c>
      <c r="AK130" t="str">
        <f t="shared" si="14"/>
        <v/>
      </c>
    </row>
    <row r="131" spans="1:37" x14ac:dyDescent="0.25">
      <c r="A131" t="str">
        <f t="shared" si="15"/>
        <v/>
      </c>
      <c r="Q131" t="str">
        <f>IF(E131&lt;&gt;"","'"&amp;'PO NO'!$B$2,"")</f>
        <v/>
      </c>
      <c r="U131" t="str">
        <f>IFERROR(CLEAN(VLOOKUP(N131,BOE!J:P,7,FALSE)),"")</f>
        <v/>
      </c>
      <c r="V131" t="str">
        <f t="shared" ref="V131:V194" si="16">IF(U131&lt;&gt;"",E131,"")</f>
        <v/>
      </c>
      <c r="W131" t="str">
        <f t="shared" ref="W131:W194" si="17">IF(U131&lt;&gt;"",IF(AND(ISNUMBER(SEARCH(TRIM(V131),U131)),ISNUMBER(SEARCH(TRIM(F131),U131))),"Pass","Mismatch"),"")</f>
        <v/>
      </c>
      <c r="Y131" t="str">
        <f t="shared" ref="Y131:Y194" si="18">IF(U131&lt;&gt;"",IF(ISNUMBER(SEARCH(X131,U131)),"Pass","Mismatch"),"")</f>
        <v/>
      </c>
      <c r="Z131" t="str">
        <f>IFERROR(IF(VLOOKUP(N131,BOE!J:Q,8,FALSE)=J131,"Pass","Mismatch"),"")</f>
        <v/>
      </c>
      <c r="AA131" t="str">
        <f>IFERROR(IF(ABS(VLOOKUP(N131,BOE!J:R,9,FALSE)-K131)&lt;0.2,"Pass","Mismatch"),"")</f>
        <v/>
      </c>
      <c r="AB131" t="str">
        <f>IFERROR(IF(ABS(VLOOKUP(N131,BOE!J:T,10,FALSE)-L131)&lt;0.2,"Pass","Mismatch"),"")</f>
        <v/>
      </c>
      <c r="AC131" t="str">
        <f>IFERROR(VLOOKUP(N131,BOE!J:N,2,FALSE),"")</f>
        <v/>
      </c>
      <c r="AD131" t="str">
        <f>IFERROR(VLOOKUP(N131,BOE!J:N,4,FALSE),"")</f>
        <v/>
      </c>
      <c r="AE131" t="str">
        <f>IFERROR(VLOOKUP(N131,BOE!J:N,5,FALSE),"")</f>
        <v/>
      </c>
      <c r="AF131" t="str">
        <f>IF(E131&lt;&gt;"",BOE!$I$1,"")</f>
        <v/>
      </c>
      <c r="AG131" t="str">
        <f>IFERROR(VLOOKUP(N131,BOE!J:T,11,FALSE),"")</f>
        <v/>
      </c>
      <c r="AH131" s="14" t="str">
        <f t="shared" ref="AH131:AH194" si="19">IFERROR(AC131/((L131*AF131)+AD131+AE131)*100,"")</f>
        <v/>
      </c>
      <c r="AI131" s="14" t="str">
        <f t="shared" ref="AI131:AI194" si="20">IFERROR(AD131/($L131*$AF$2)*100,"")</f>
        <v/>
      </c>
      <c r="AJ131" s="14">
        <f t="shared" ref="AJ131:AJ194" si="21">IFERROR(AE131/(AD131)*100,0)</f>
        <v>0</v>
      </c>
      <c r="AK131" t="str">
        <f t="shared" ref="AK131:AK194" si="22">IF(E131="","",IFERROR(IF(AND(OR(ROUNDUP(AH131,0)=18,ROUNDDOWN(AH131,0)=18),OR(ROUNDUP(AI131,0)=0,ROUNDDOWN(AI131,0)=0),OR(ROUNDUP(AJ131,0)=0,ROUNDDOWN(AJ131,0)=0)),"RIG_I@18",IF(AND(OR(ROUNDUP(AH131,0)=18,ROUNDDOWN(AH131,0)=18),OR(ROUNDUP(AI131,0)=8,ROUNDDOWN(AI131,0)=8),OR(ROUNDUP(AJ131,0)=10,ROUNDDOWN(AJ131,0)=1)),"RGBCD42",IF(AND(OR(ROUNDUP(AH131,0)=18,ROUNDDOWN(AH131,0)=18),OR(ROUNDUP(AI131,0)=13,ROUNDDOWN(AI131,0)=13),OR(ROUNDUP(AJ131,0)=10,ROUNDDOWN(AJ131,0)=1)),"RGBCDSW",IF(AND(OR(ROUNDUP(AH131,0)=18,ROUNDDOWN(AH131,0)=18),OR(ROUNDUP(AI131,0)=15,ROUNDDOWN(AI131,0)=15),OR(ROUNDUP(AJ131,0)=10,ROUNDDOWN(AJ131,0)=1)),"BSWIGST","NA")))),"NA"))</f>
        <v/>
      </c>
    </row>
    <row r="132" spans="1:37" x14ac:dyDescent="0.25">
      <c r="A132" t="str">
        <f t="shared" ref="A132:A195" si="23">IF(B132&lt;&gt;"",A131+1,"")</f>
        <v/>
      </c>
      <c r="Q132" t="str">
        <f>IF(E132&lt;&gt;"","'"&amp;'PO NO'!$B$2,"")</f>
        <v/>
      </c>
      <c r="U132" t="str">
        <f>IFERROR(CLEAN(VLOOKUP(N132,BOE!J:P,7,FALSE)),"")</f>
        <v/>
      </c>
      <c r="V132" t="str">
        <f t="shared" si="16"/>
        <v/>
      </c>
      <c r="W132" t="str">
        <f t="shared" si="17"/>
        <v/>
      </c>
      <c r="Y132" t="str">
        <f t="shared" si="18"/>
        <v/>
      </c>
      <c r="Z132" t="str">
        <f>IFERROR(IF(VLOOKUP(N132,BOE!J:Q,8,FALSE)=J132,"Pass","Mismatch"),"")</f>
        <v/>
      </c>
      <c r="AA132" t="str">
        <f>IFERROR(IF(ABS(VLOOKUP(N132,BOE!J:R,9,FALSE)-K132)&lt;0.2,"Pass","Mismatch"),"")</f>
        <v/>
      </c>
      <c r="AB132" t="str">
        <f>IFERROR(IF(ABS(VLOOKUP(N132,BOE!J:T,10,FALSE)-L132)&lt;0.2,"Pass","Mismatch"),"")</f>
        <v/>
      </c>
      <c r="AC132" t="str">
        <f>IFERROR(VLOOKUP(N132,BOE!J:N,2,FALSE),"")</f>
        <v/>
      </c>
      <c r="AD132" t="str">
        <f>IFERROR(VLOOKUP(N132,BOE!J:N,4,FALSE),"")</f>
        <v/>
      </c>
      <c r="AE132" t="str">
        <f>IFERROR(VLOOKUP(N132,BOE!J:N,5,FALSE),"")</f>
        <v/>
      </c>
      <c r="AF132" t="str">
        <f>IF(E132&lt;&gt;"",BOE!$I$1,"")</f>
        <v/>
      </c>
      <c r="AG132" t="str">
        <f>IFERROR(VLOOKUP(N132,BOE!J:T,11,FALSE),"")</f>
        <v/>
      </c>
      <c r="AH132" s="14" t="str">
        <f t="shared" si="19"/>
        <v/>
      </c>
      <c r="AI132" s="14" t="str">
        <f t="shared" si="20"/>
        <v/>
      </c>
      <c r="AJ132" s="14">
        <f t="shared" si="21"/>
        <v>0</v>
      </c>
      <c r="AK132" t="str">
        <f t="shared" si="22"/>
        <v/>
      </c>
    </row>
    <row r="133" spans="1:37" x14ac:dyDescent="0.25">
      <c r="A133" t="str">
        <f t="shared" si="23"/>
        <v/>
      </c>
      <c r="Q133" t="str">
        <f>IF(E133&lt;&gt;"","'"&amp;'PO NO'!$B$2,"")</f>
        <v/>
      </c>
      <c r="U133" t="str">
        <f>IFERROR(CLEAN(VLOOKUP(N133,BOE!J:P,7,FALSE)),"")</f>
        <v/>
      </c>
      <c r="V133" t="str">
        <f t="shared" si="16"/>
        <v/>
      </c>
      <c r="W133" t="str">
        <f t="shared" si="17"/>
        <v/>
      </c>
      <c r="Y133" t="str">
        <f t="shared" si="18"/>
        <v/>
      </c>
      <c r="Z133" t="str">
        <f>IFERROR(IF(VLOOKUP(N133,BOE!J:Q,8,FALSE)=J133,"Pass","Mismatch"),"")</f>
        <v/>
      </c>
      <c r="AA133" t="str">
        <f>IFERROR(IF(ABS(VLOOKUP(N133,BOE!J:R,9,FALSE)-K133)&lt;0.2,"Pass","Mismatch"),"")</f>
        <v/>
      </c>
      <c r="AB133" t="str">
        <f>IFERROR(IF(ABS(VLOOKUP(N133,BOE!J:T,10,FALSE)-L133)&lt;0.2,"Pass","Mismatch"),"")</f>
        <v/>
      </c>
      <c r="AC133" t="str">
        <f>IFERROR(VLOOKUP(N133,BOE!J:N,2,FALSE),"")</f>
        <v/>
      </c>
      <c r="AD133" t="str">
        <f>IFERROR(VLOOKUP(N133,BOE!J:N,4,FALSE),"")</f>
        <v/>
      </c>
      <c r="AE133" t="str">
        <f>IFERROR(VLOOKUP(N133,BOE!J:N,5,FALSE),"")</f>
        <v/>
      </c>
      <c r="AF133" t="str">
        <f>IF(E133&lt;&gt;"",BOE!$I$1,"")</f>
        <v/>
      </c>
      <c r="AG133" t="str">
        <f>IFERROR(VLOOKUP(N133,BOE!J:T,11,FALSE),"")</f>
        <v/>
      </c>
      <c r="AH133" s="14" t="str">
        <f t="shared" si="19"/>
        <v/>
      </c>
      <c r="AI133" s="14" t="str">
        <f t="shared" si="20"/>
        <v/>
      </c>
      <c r="AJ133" s="14">
        <f t="shared" si="21"/>
        <v>0</v>
      </c>
      <c r="AK133" t="str">
        <f t="shared" si="22"/>
        <v/>
      </c>
    </row>
    <row r="134" spans="1:37" x14ac:dyDescent="0.25">
      <c r="A134" t="str">
        <f t="shared" si="23"/>
        <v/>
      </c>
      <c r="Q134" t="str">
        <f>IF(E134&lt;&gt;"","'"&amp;'PO NO'!$B$2,"")</f>
        <v/>
      </c>
      <c r="U134" t="str">
        <f>IFERROR(CLEAN(VLOOKUP(N134,BOE!J:P,7,FALSE)),"")</f>
        <v/>
      </c>
      <c r="V134" t="str">
        <f t="shared" si="16"/>
        <v/>
      </c>
      <c r="W134" t="str">
        <f t="shared" si="17"/>
        <v/>
      </c>
      <c r="Y134" t="str">
        <f t="shared" si="18"/>
        <v/>
      </c>
      <c r="Z134" t="str">
        <f>IFERROR(IF(VLOOKUP(N134,BOE!J:Q,8,FALSE)=J134,"Pass","Mismatch"),"")</f>
        <v/>
      </c>
      <c r="AA134" t="str">
        <f>IFERROR(IF(ABS(VLOOKUP(N134,BOE!J:R,9,FALSE)-K134)&lt;0.2,"Pass","Mismatch"),"")</f>
        <v/>
      </c>
      <c r="AB134" t="str">
        <f>IFERROR(IF(ABS(VLOOKUP(N134,BOE!J:T,10,FALSE)-L134)&lt;0.2,"Pass","Mismatch"),"")</f>
        <v/>
      </c>
      <c r="AC134" t="str">
        <f>IFERROR(VLOOKUP(N134,BOE!J:N,2,FALSE),"")</f>
        <v/>
      </c>
      <c r="AD134" t="str">
        <f>IFERROR(VLOOKUP(N134,BOE!J:N,4,FALSE),"")</f>
        <v/>
      </c>
      <c r="AE134" t="str">
        <f>IFERROR(VLOOKUP(N134,BOE!J:N,5,FALSE),"")</f>
        <v/>
      </c>
      <c r="AF134" t="str">
        <f>IF(E134&lt;&gt;"",BOE!$I$1,"")</f>
        <v/>
      </c>
      <c r="AG134" t="str">
        <f>IFERROR(VLOOKUP(N134,BOE!J:T,11,FALSE),"")</f>
        <v/>
      </c>
      <c r="AH134" s="14" t="str">
        <f t="shared" si="19"/>
        <v/>
      </c>
      <c r="AI134" s="14" t="str">
        <f t="shared" si="20"/>
        <v/>
      </c>
      <c r="AJ134" s="14">
        <f t="shared" si="21"/>
        <v>0</v>
      </c>
      <c r="AK134" t="str">
        <f t="shared" si="22"/>
        <v/>
      </c>
    </row>
    <row r="135" spans="1:37" x14ac:dyDescent="0.25">
      <c r="A135" t="str">
        <f t="shared" si="23"/>
        <v/>
      </c>
      <c r="Q135" t="str">
        <f>IF(E135&lt;&gt;"","'"&amp;'PO NO'!$B$2,"")</f>
        <v/>
      </c>
      <c r="U135" t="str">
        <f>IFERROR(CLEAN(VLOOKUP(N135,BOE!J:P,7,FALSE)),"")</f>
        <v/>
      </c>
      <c r="V135" t="str">
        <f t="shared" si="16"/>
        <v/>
      </c>
      <c r="W135" t="str">
        <f t="shared" si="17"/>
        <v/>
      </c>
      <c r="Y135" t="str">
        <f t="shared" si="18"/>
        <v/>
      </c>
      <c r="Z135" t="str">
        <f>IFERROR(IF(VLOOKUP(N135,BOE!J:Q,8,FALSE)=J135,"Pass","Mismatch"),"")</f>
        <v/>
      </c>
      <c r="AA135" t="str">
        <f>IFERROR(IF(ABS(VLOOKUP(N135,BOE!J:R,9,FALSE)-K135)&lt;0.2,"Pass","Mismatch"),"")</f>
        <v/>
      </c>
      <c r="AB135" t="str">
        <f>IFERROR(IF(ABS(VLOOKUP(N135,BOE!J:T,10,FALSE)-L135)&lt;0.2,"Pass","Mismatch"),"")</f>
        <v/>
      </c>
      <c r="AC135" t="str">
        <f>IFERROR(VLOOKUP(N135,BOE!J:N,2,FALSE),"")</f>
        <v/>
      </c>
      <c r="AD135" t="str">
        <f>IFERROR(VLOOKUP(N135,BOE!J:N,4,FALSE),"")</f>
        <v/>
      </c>
      <c r="AE135" t="str">
        <f>IFERROR(VLOOKUP(N135,BOE!J:N,5,FALSE),"")</f>
        <v/>
      </c>
      <c r="AF135" t="str">
        <f>IF(E135&lt;&gt;"",BOE!$I$1,"")</f>
        <v/>
      </c>
      <c r="AG135" t="str">
        <f>IFERROR(VLOOKUP(N135,BOE!J:T,11,FALSE),"")</f>
        <v/>
      </c>
      <c r="AH135" s="14" t="str">
        <f t="shared" si="19"/>
        <v/>
      </c>
      <c r="AI135" s="14" t="str">
        <f t="shared" si="20"/>
        <v/>
      </c>
      <c r="AJ135" s="14">
        <f t="shared" si="21"/>
        <v>0</v>
      </c>
      <c r="AK135" t="str">
        <f t="shared" si="22"/>
        <v/>
      </c>
    </row>
    <row r="136" spans="1:37" x14ac:dyDescent="0.25">
      <c r="A136" t="str">
        <f t="shared" si="23"/>
        <v/>
      </c>
      <c r="Q136" t="str">
        <f>IF(E136&lt;&gt;"","'"&amp;'PO NO'!$B$2,"")</f>
        <v/>
      </c>
      <c r="U136" t="str">
        <f>IFERROR(CLEAN(VLOOKUP(N136,BOE!J:P,7,FALSE)),"")</f>
        <v/>
      </c>
      <c r="V136" t="str">
        <f t="shared" si="16"/>
        <v/>
      </c>
      <c r="W136" t="str">
        <f t="shared" si="17"/>
        <v/>
      </c>
      <c r="Y136" t="str">
        <f t="shared" si="18"/>
        <v/>
      </c>
      <c r="Z136" t="str">
        <f>IFERROR(IF(VLOOKUP(N136,BOE!J:Q,8,FALSE)=J136,"Pass","Mismatch"),"")</f>
        <v/>
      </c>
      <c r="AA136" t="str">
        <f>IFERROR(IF(ABS(VLOOKUP(N136,BOE!J:R,9,FALSE)-K136)&lt;0.2,"Pass","Mismatch"),"")</f>
        <v/>
      </c>
      <c r="AB136" t="str">
        <f>IFERROR(IF(ABS(VLOOKUP(N136,BOE!J:T,10,FALSE)-L136)&lt;0.2,"Pass","Mismatch"),"")</f>
        <v/>
      </c>
      <c r="AC136" t="str">
        <f>IFERROR(VLOOKUP(N136,BOE!J:N,2,FALSE),"")</f>
        <v/>
      </c>
      <c r="AD136" t="str">
        <f>IFERROR(VLOOKUP(N136,BOE!J:N,4,FALSE),"")</f>
        <v/>
      </c>
      <c r="AE136" t="str">
        <f>IFERROR(VLOOKUP(N136,BOE!J:N,5,FALSE),"")</f>
        <v/>
      </c>
      <c r="AF136" t="str">
        <f>IF(E136&lt;&gt;"",BOE!$I$1,"")</f>
        <v/>
      </c>
      <c r="AG136" t="str">
        <f>IFERROR(VLOOKUP(N136,BOE!J:T,11,FALSE),"")</f>
        <v/>
      </c>
      <c r="AH136" s="14" t="str">
        <f t="shared" si="19"/>
        <v/>
      </c>
      <c r="AI136" s="14" t="str">
        <f t="shared" si="20"/>
        <v/>
      </c>
      <c r="AJ136" s="14">
        <f t="shared" si="21"/>
        <v>0</v>
      </c>
      <c r="AK136" t="str">
        <f t="shared" si="22"/>
        <v/>
      </c>
    </row>
    <row r="137" spans="1:37" x14ac:dyDescent="0.25">
      <c r="A137" t="str">
        <f t="shared" si="23"/>
        <v/>
      </c>
      <c r="Q137" t="str">
        <f>IF(E137&lt;&gt;"","'"&amp;'PO NO'!$B$2,"")</f>
        <v/>
      </c>
      <c r="U137" t="str">
        <f>IFERROR(CLEAN(VLOOKUP(N137,BOE!J:P,7,FALSE)),"")</f>
        <v/>
      </c>
      <c r="V137" t="str">
        <f t="shared" si="16"/>
        <v/>
      </c>
      <c r="W137" t="str">
        <f t="shared" si="17"/>
        <v/>
      </c>
      <c r="Y137" t="str">
        <f t="shared" si="18"/>
        <v/>
      </c>
      <c r="Z137" t="str">
        <f>IFERROR(IF(VLOOKUP(N137,BOE!J:Q,8,FALSE)=J137,"Pass","Mismatch"),"")</f>
        <v/>
      </c>
      <c r="AA137" t="str">
        <f>IFERROR(IF(ABS(VLOOKUP(N137,BOE!J:R,9,FALSE)-K137)&lt;0.2,"Pass","Mismatch"),"")</f>
        <v/>
      </c>
      <c r="AB137" t="str">
        <f>IFERROR(IF(ABS(VLOOKUP(N137,BOE!J:T,10,FALSE)-L137)&lt;0.2,"Pass","Mismatch"),"")</f>
        <v/>
      </c>
      <c r="AC137" t="str">
        <f>IFERROR(VLOOKUP(N137,BOE!J:N,2,FALSE),"")</f>
        <v/>
      </c>
      <c r="AD137" t="str">
        <f>IFERROR(VLOOKUP(N137,BOE!J:N,4,FALSE),"")</f>
        <v/>
      </c>
      <c r="AE137" t="str">
        <f>IFERROR(VLOOKUP(N137,BOE!J:N,5,FALSE),"")</f>
        <v/>
      </c>
      <c r="AF137" t="str">
        <f>IF(E137&lt;&gt;"",BOE!$I$1,"")</f>
        <v/>
      </c>
      <c r="AG137" t="str">
        <f>IFERROR(VLOOKUP(N137,BOE!J:T,11,FALSE),"")</f>
        <v/>
      </c>
      <c r="AH137" s="14" t="str">
        <f t="shared" si="19"/>
        <v/>
      </c>
      <c r="AI137" s="14" t="str">
        <f t="shared" si="20"/>
        <v/>
      </c>
      <c r="AJ137" s="14">
        <f t="shared" si="21"/>
        <v>0</v>
      </c>
      <c r="AK137" t="str">
        <f t="shared" si="22"/>
        <v/>
      </c>
    </row>
    <row r="138" spans="1:37" x14ac:dyDescent="0.25">
      <c r="A138" t="str">
        <f t="shared" si="23"/>
        <v/>
      </c>
      <c r="Q138" t="str">
        <f>IF(E138&lt;&gt;"","'"&amp;'PO NO'!$B$2,"")</f>
        <v/>
      </c>
      <c r="U138" t="str">
        <f>IFERROR(CLEAN(VLOOKUP(N138,BOE!J:P,7,FALSE)),"")</f>
        <v/>
      </c>
      <c r="V138" t="str">
        <f t="shared" si="16"/>
        <v/>
      </c>
      <c r="W138" t="str">
        <f t="shared" si="17"/>
        <v/>
      </c>
      <c r="Y138" t="str">
        <f t="shared" si="18"/>
        <v/>
      </c>
      <c r="Z138" t="str">
        <f>IFERROR(IF(VLOOKUP(N138,BOE!J:Q,8,FALSE)=J138,"Pass","Mismatch"),"")</f>
        <v/>
      </c>
      <c r="AA138" t="str">
        <f>IFERROR(IF(ABS(VLOOKUP(N138,BOE!J:R,9,FALSE)-K138)&lt;0.2,"Pass","Mismatch"),"")</f>
        <v/>
      </c>
      <c r="AB138" t="str">
        <f>IFERROR(IF(ABS(VLOOKUP(N138,BOE!J:T,10,FALSE)-L138)&lt;0.2,"Pass","Mismatch"),"")</f>
        <v/>
      </c>
      <c r="AC138" t="str">
        <f>IFERROR(VLOOKUP(N138,BOE!J:N,2,FALSE),"")</f>
        <v/>
      </c>
      <c r="AD138" t="str">
        <f>IFERROR(VLOOKUP(N138,BOE!J:N,4,FALSE),"")</f>
        <v/>
      </c>
      <c r="AE138" t="str">
        <f>IFERROR(VLOOKUP(N138,BOE!J:N,5,FALSE),"")</f>
        <v/>
      </c>
      <c r="AF138" t="str">
        <f>IF(E138&lt;&gt;"",BOE!$I$1,"")</f>
        <v/>
      </c>
      <c r="AG138" t="str">
        <f>IFERROR(VLOOKUP(N138,BOE!J:T,11,FALSE),"")</f>
        <v/>
      </c>
      <c r="AH138" s="14" t="str">
        <f t="shared" si="19"/>
        <v/>
      </c>
      <c r="AI138" s="14" t="str">
        <f t="shared" si="20"/>
        <v/>
      </c>
      <c r="AJ138" s="14">
        <f t="shared" si="21"/>
        <v>0</v>
      </c>
      <c r="AK138" t="str">
        <f t="shared" si="22"/>
        <v/>
      </c>
    </row>
    <row r="139" spans="1:37" x14ac:dyDescent="0.25">
      <c r="A139" t="str">
        <f t="shared" si="23"/>
        <v/>
      </c>
      <c r="Q139" t="str">
        <f>IF(E139&lt;&gt;"","'"&amp;'PO NO'!$B$2,"")</f>
        <v/>
      </c>
      <c r="U139" t="str">
        <f>IFERROR(CLEAN(VLOOKUP(N139,BOE!J:P,7,FALSE)),"")</f>
        <v/>
      </c>
      <c r="V139" t="str">
        <f t="shared" si="16"/>
        <v/>
      </c>
      <c r="W139" t="str">
        <f t="shared" si="17"/>
        <v/>
      </c>
      <c r="Y139" t="str">
        <f t="shared" si="18"/>
        <v/>
      </c>
      <c r="Z139" t="str">
        <f>IFERROR(IF(VLOOKUP(N139,BOE!J:Q,8,FALSE)=J139,"Pass","Mismatch"),"")</f>
        <v/>
      </c>
      <c r="AA139" t="str">
        <f>IFERROR(IF(ABS(VLOOKUP(N139,BOE!J:R,9,FALSE)-K139)&lt;0.2,"Pass","Mismatch"),"")</f>
        <v/>
      </c>
      <c r="AB139" t="str">
        <f>IFERROR(IF(ABS(VLOOKUP(N139,BOE!J:T,10,FALSE)-L139)&lt;0.2,"Pass","Mismatch"),"")</f>
        <v/>
      </c>
      <c r="AC139" t="str">
        <f>IFERROR(VLOOKUP(N139,BOE!J:N,2,FALSE),"")</f>
        <v/>
      </c>
      <c r="AD139" t="str">
        <f>IFERROR(VLOOKUP(N139,BOE!J:N,4,FALSE),"")</f>
        <v/>
      </c>
      <c r="AE139" t="str">
        <f>IFERROR(VLOOKUP(N139,BOE!J:N,5,FALSE),"")</f>
        <v/>
      </c>
      <c r="AF139" t="str">
        <f>IF(E139&lt;&gt;"",BOE!$I$1,"")</f>
        <v/>
      </c>
      <c r="AG139" t="str">
        <f>IFERROR(VLOOKUP(N139,BOE!J:T,11,FALSE),"")</f>
        <v/>
      </c>
      <c r="AH139" s="14" t="str">
        <f t="shared" si="19"/>
        <v/>
      </c>
      <c r="AI139" s="14" t="str">
        <f t="shared" si="20"/>
        <v/>
      </c>
      <c r="AJ139" s="14">
        <f t="shared" si="21"/>
        <v>0</v>
      </c>
      <c r="AK139" t="str">
        <f t="shared" si="22"/>
        <v/>
      </c>
    </row>
    <row r="140" spans="1:37" x14ac:dyDescent="0.25">
      <c r="A140" t="str">
        <f t="shared" si="23"/>
        <v/>
      </c>
      <c r="Q140" t="str">
        <f>IF(E140&lt;&gt;"","'"&amp;'PO NO'!$B$2,"")</f>
        <v/>
      </c>
      <c r="U140" t="str">
        <f>IFERROR(CLEAN(VLOOKUP(N140,BOE!J:P,7,FALSE)),"")</f>
        <v/>
      </c>
      <c r="V140" t="str">
        <f t="shared" si="16"/>
        <v/>
      </c>
      <c r="W140" t="str">
        <f t="shared" si="17"/>
        <v/>
      </c>
      <c r="Y140" t="str">
        <f t="shared" si="18"/>
        <v/>
      </c>
      <c r="Z140" t="str">
        <f>IFERROR(IF(VLOOKUP(N140,BOE!J:Q,8,FALSE)=J140,"Pass","Mismatch"),"")</f>
        <v/>
      </c>
      <c r="AA140" t="str">
        <f>IFERROR(IF(ABS(VLOOKUP(N140,BOE!J:R,9,FALSE)-K140)&lt;0.2,"Pass","Mismatch"),"")</f>
        <v/>
      </c>
      <c r="AB140" t="str">
        <f>IFERROR(IF(ABS(VLOOKUP(N140,BOE!J:T,10,FALSE)-L140)&lt;0.2,"Pass","Mismatch"),"")</f>
        <v/>
      </c>
      <c r="AC140" t="str">
        <f>IFERROR(VLOOKUP(N140,BOE!J:N,2,FALSE),"")</f>
        <v/>
      </c>
      <c r="AD140" t="str">
        <f>IFERROR(VLOOKUP(N140,BOE!J:N,4,FALSE),"")</f>
        <v/>
      </c>
      <c r="AE140" t="str">
        <f>IFERROR(VLOOKUP(N140,BOE!J:N,5,FALSE),"")</f>
        <v/>
      </c>
      <c r="AF140" t="str">
        <f>IF(E140&lt;&gt;"",BOE!$I$1,"")</f>
        <v/>
      </c>
      <c r="AG140" t="str">
        <f>IFERROR(VLOOKUP(N140,BOE!J:T,11,FALSE),"")</f>
        <v/>
      </c>
      <c r="AH140" s="14" t="str">
        <f t="shared" si="19"/>
        <v/>
      </c>
      <c r="AI140" s="14" t="str">
        <f t="shared" si="20"/>
        <v/>
      </c>
      <c r="AJ140" s="14">
        <f t="shared" si="21"/>
        <v>0</v>
      </c>
      <c r="AK140" t="str">
        <f t="shared" si="22"/>
        <v/>
      </c>
    </row>
    <row r="141" spans="1:37" x14ac:dyDescent="0.25">
      <c r="A141" t="str">
        <f t="shared" si="23"/>
        <v/>
      </c>
      <c r="Q141" t="str">
        <f>IF(E141&lt;&gt;"","'"&amp;'PO NO'!$B$2,"")</f>
        <v/>
      </c>
      <c r="U141" t="str">
        <f>IFERROR(CLEAN(VLOOKUP(N141,BOE!J:P,7,FALSE)),"")</f>
        <v/>
      </c>
      <c r="V141" t="str">
        <f t="shared" si="16"/>
        <v/>
      </c>
      <c r="W141" t="str">
        <f t="shared" si="17"/>
        <v/>
      </c>
      <c r="Y141" t="str">
        <f t="shared" si="18"/>
        <v/>
      </c>
      <c r="Z141" t="str">
        <f>IFERROR(IF(VLOOKUP(N141,BOE!J:Q,8,FALSE)=J141,"Pass","Mismatch"),"")</f>
        <v/>
      </c>
      <c r="AA141" t="str">
        <f>IFERROR(IF(ABS(VLOOKUP(N141,BOE!J:R,9,FALSE)-K141)&lt;0.2,"Pass","Mismatch"),"")</f>
        <v/>
      </c>
      <c r="AB141" t="str">
        <f>IFERROR(IF(ABS(VLOOKUP(N141,BOE!J:T,10,FALSE)-L141)&lt;0.2,"Pass","Mismatch"),"")</f>
        <v/>
      </c>
      <c r="AC141" t="str">
        <f>IFERROR(VLOOKUP(N141,BOE!J:N,2,FALSE),"")</f>
        <v/>
      </c>
      <c r="AD141" t="str">
        <f>IFERROR(VLOOKUP(N141,BOE!J:N,4,FALSE),"")</f>
        <v/>
      </c>
      <c r="AE141" t="str">
        <f>IFERROR(VLOOKUP(N141,BOE!J:N,5,FALSE),"")</f>
        <v/>
      </c>
      <c r="AF141" t="str">
        <f>IF(E141&lt;&gt;"",BOE!$I$1,"")</f>
        <v/>
      </c>
      <c r="AG141" t="str">
        <f>IFERROR(VLOOKUP(N141,BOE!J:T,11,FALSE),"")</f>
        <v/>
      </c>
      <c r="AH141" s="14" t="str">
        <f t="shared" si="19"/>
        <v/>
      </c>
      <c r="AI141" s="14" t="str">
        <f t="shared" si="20"/>
        <v/>
      </c>
      <c r="AJ141" s="14">
        <f t="shared" si="21"/>
        <v>0</v>
      </c>
      <c r="AK141" t="str">
        <f t="shared" si="22"/>
        <v/>
      </c>
    </row>
    <row r="142" spans="1:37" x14ac:dyDescent="0.25">
      <c r="A142" t="str">
        <f t="shared" si="23"/>
        <v/>
      </c>
      <c r="Q142" t="str">
        <f>IF(E142&lt;&gt;"","'"&amp;'PO NO'!$B$2,"")</f>
        <v/>
      </c>
      <c r="U142" t="str">
        <f>IFERROR(CLEAN(VLOOKUP(N142,BOE!J:P,7,FALSE)),"")</f>
        <v/>
      </c>
      <c r="V142" t="str">
        <f t="shared" si="16"/>
        <v/>
      </c>
      <c r="W142" t="str">
        <f t="shared" si="17"/>
        <v/>
      </c>
      <c r="Y142" t="str">
        <f t="shared" si="18"/>
        <v/>
      </c>
      <c r="Z142" t="str">
        <f>IFERROR(IF(VLOOKUP(N142,BOE!J:Q,8,FALSE)=J142,"Pass","Mismatch"),"")</f>
        <v/>
      </c>
      <c r="AA142" t="str">
        <f>IFERROR(IF(ABS(VLOOKUP(N142,BOE!J:R,9,FALSE)-K142)&lt;0.2,"Pass","Mismatch"),"")</f>
        <v/>
      </c>
      <c r="AB142" t="str">
        <f>IFERROR(IF(ABS(VLOOKUP(N142,BOE!J:T,10,FALSE)-L142)&lt;0.2,"Pass","Mismatch"),"")</f>
        <v/>
      </c>
      <c r="AC142" t="str">
        <f>IFERROR(VLOOKUP(N142,BOE!J:N,2,FALSE),"")</f>
        <v/>
      </c>
      <c r="AD142" t="str">
        <f>IFERROR(VLOOKUP(N142,BOE!J:N,4,FALSE),"")</f>
        <v/>
      </c>
      <c r="AE142" t="str">
        <f>IFERROR(VLOOKUP(N142,BOE!J:N,5,FALSE),"")</f>
        <v/>
      </c>
      <c r="AG142" t="str">
        <f>IFERROR(VLOOKUP(N142,BOE!J:T,11,FALSE),"")</f>
        <v/>
      </c>
      <c r="AH142" s="14" t="str">
        <f t="shared" si="19"/>
        <v/>
      </c>
      <c r="AI142" s="14" t="str">
        <f t="shared" si="20"/>
        <v/>
      </c>
      <c r="AJ142" s="14">
        <f t="shared" si="21"/>
        <v>0</v>
      </c>
      <c r="AK142" t="str">
        <f t="shared" si="22"/>
        <v/>
      </c>
    </row>
    <row r="143" spans="1:37" x14ac:dyDescent="0.25">
      <c r="A143" t="str">
        <f t="shared" si="23"/>
        <v/>
      </c>
      <c r="Q143" t="str">
        <f>IF(E143&lt;&gt;"","'"&amp;'PO NO'!$B$2,"")</f>
        <v/>
      </c>
      <c r="U143" t="str">
        <f>IFERROR(CLEAN(VLOOKUP(N143,BOE!J:P,7,FALSE)),"")</f>
        <v/>
      </c>
      <c r="V143" t="str">
        <f t="shared" si="16"/>
        <v/>
      </c>
      <c r="W143" t="str">
        <f t="shared" si="17"/>
        <v/>
      </c>
      <c r="Y143" t="str">
        <f t="shared" si="18"/>
        <v/>
      </c>
      <c r="Z143" t="str">
        <f>IFERROR(IF(VLOOKUP(N143,BOE!J:Q,8,FALSE)=J143,"Pass","Mismatch"),"")</f>
        <v/>
      </c>
      <c r="AA143" t="str">
        <f>IFERROR(IF(ABS(VLOOKUP(N143,BOE!J:R,9,FALSE)-K143)&lt;0.2,"Pass","Mismatch"),"")</f>
        <v/>
      </c>
      <c r="AB143" t="str">
        <f>IFERROR(IF(ABS(VLOOKUP(N143,BOE!J:T,10,FALSE)-L143)&lt;0.2,"Pass","Mismatch"),"")</f>
        <v/>
      </c>
      <c r="AC143" t="str">
        <f>IFERROR(VLOOKUP(N143,BOE!J:N,2,FALSE),"")</f>
        <v/>
      </c>
      <c r="AD143" t="str">
        <f>IFERROR(VLOOKUP(N143,BOE!J:N,4,FALSE),"")</f>
        <v/>
      </c>
      <c r="AE143" t="str">
        <f>IFERROR(VLOOKUP(N143,BOE!J:N,5,FALSE),"")</f>
        <v/>
      </c>
      <c r="AG143" t="str">
        <f>IFERROR(VLOOKUP(N143,BOE!J:T,11,FALSE),"")</f>
        <v/>
      </c>
      <c r="AH143" s="14" t="str">
        <f t="shared" si="19"/>
        <v/>
      </c>
      <c r="AI143" s="14" t="str">
        <f t="shared" si="20"/>
        <v/>
      </c>
      <c r="AJ143" s="14">
        <f t="shared" si="21"/>
        <v>0</v>
      </c>
      <c r="AK143" t="str">
        <f t="shared" si="22"/>
        <v/>
      </c>
    </row>
    <row r="144" spans="1:37" x14ac:dyDescent="0.25">
      <c r="A144" t="str">
        <f t="shared" si="23"/>
        <v/>
      </c>
      <c r="Q144" t="str">
        <f>IF(E144&lt;&gt;"","'"&amp;'PO NO'!$B$2,"")</f>
        <v/>
      </c>
      <c r="U144" t="str">
        <f>IFERROR(CLEAN(VLOOKUP(N144,BOE!J:P,7,FALSE)),"")</f>
        <v/>
      </c>
      <c r="V144" t="str">
        <f t="shared" si="16"/>
        <v/>
      </c>
      <c r="W144" t="str">
        <f t="shared" si="17"/>
        <v/>
      </c>
      <c r="Y144" t="str">
        <f t="shared" si="18"/>
        <v/>
      </c>
      <c r="Z144" t="str">
        <f>IFERROR(IF(VLOOKUP(N144,BOE!J:Q,8,FALSE)=J144,"Pass","Mismatch"),"")</f>
        <v/>
      </c>
      <c r="AA144" t="str">
        <f>IFERROR(IF(ABS(VLOOKUP(N144,BOE!J:R,9,FALSE)-K144)&lt;0.2,"Pass","Mismatch"),"")</f>
        <v/>
      </c>
      <c r="AB144" t="str">
        <f>IFERROR(IF(ABS(VLOOKUP(N144,BOE!J:T,10,FALSE)-L144)&lt;0.2,"Pass","Mismatch"),"")</f>
        <v/>
      </c>
      <c r="AC144" t="str">
        <f>IFERROR(VLOOKUP(N144,BOE!J:N,2,FALSE),"")</f>
        <v/>
      </c>
      <c r="AD144" t="str">
        <f>IFERROR(VLOOKUP(N144,BOE!J:N,4,FALSE),"")</f>
        <v/>
      </c>
      <c r="AE144" t="str">
        <f>IFERROR(VLOOKUP(N144,BOE!J:N,5,FALSE),"")</f>
        <v/>
      </c>
      <c r="AG144" t="str">
        <f>IFERROR(VLOOKUP(N144,BOE!J:T,11,FALSE),"")</f>
        <v/>
      </c>
      <c r="AH144" s="14" t="str">
        <f t="shared" si="19"/>
        <v/>
      </c>
      <c r="AI144" s="14" t="str">
        <f t="shared" si="20"/>
        <v/>
      </c>
      <c r="AJ144" s="14">
        <f t="shared" si="21"/>
        <v>0</v>
      </c>
      <c r="AK144" t="str">
        <f t="shared" si="22"/>
        <v/>
      </c>
    </row>
    <row r="145" spans="1:37" x14ac:dyDescent="0.25">
      <c r="A145" t="str">
        <f t="shared" si="23"/>
        <v/>
      </c>
      <c r="Q145" t="str">
        <f>IF(E145&lt;&gt;"","'"&amp;'PO NO'!$B$2,"")</f>
        <v/>
      </c>
      <c r="U145" t="str">
        <f>IFERROR(CLEAN(VLOOKUP(N145,BOE!J:P,7,FALSE)),"")</f>
        <v/>
      </c>
      <c r="V145" t="str">
        <f t="shared" si="16"/>
        <v/>
      </c>
      <c r="W145" t="str">
        <f t="shared" si="17"/>
        <v/>
      </c>
      <c r="Y145" t="str">
        <f t="shared" si="18"/>
        <v/>
      </c>
      <c r="Z145" t="str">
        <f>IFERROR(IF(VLOOKUP(N145,BOE!J:Q,8,FALSE)=J145,"Pass","Mismatch"),"")</f>
        <v/>
      </c>
      <c r="AA145" t="str">
        <f>IFERROR(IF(ABS(VLOOKUP(N145,BOE!J:R,9,FALSE)-K145)&lt;0.2,"Pass","Mismatch"),"")</f>
        <v/>
      </c>
      <c r="AB145" t="str">
        <f>IFERROR(IF(ABS(VLOOKUP(N145,BOE!J:T,10,FALSE)-L145)&lt;0.2,"Pass","Mismatch"),"")</f>
        <v/>
      </c>
      <c r="AC145" t="str">
        <f>IFERROR(VLOOKUP(N145,BOE!J:N,2,FALSE),"")</f>
        <v/>
      </c>
      <c r="AD145" t="str">
        <f>IFERROR(VLOOKUP(N145,BOE!J:N,4,FALSE),"")</f>
        <v/>
      </c>
      <c r="AE145" t="str">
        <f>IFERROR(VLOOKUP(N145,BOE!J:N,5,FALSE),"")</f>
        <v/>
      </c>
      <c r="AG145" t="str">
        <f>IFERROR(VLOOKUP(N145,BOE!J:T,11,FALSE),"")</f>
        <v/>
      </c>
      <c r="AH145" s="14" t="str">
        <f t="shared" si="19"/>
        <v/>
      </c>
      <c r="AI145" s="14" t="str">
        <f t="shared" si="20"/>
        <v/>
      </c>
      <c r="AJ145" s="14">
        <f t="shared" si="21"/>
        <v>0</v>
      </c>
      <c r="AK145" t="str">
        <f t="shared" si="22"/>
        <v/>
      </c>
    </row>
    <row r="146" spans="1:37" x14ac:dyDescent="0.25">
      <c r="A146" t="str">
        <f t="shared" si="23"/>
        <v/>
      </c>
      <c r="Q146" t="str">
        <f>IF(E146&lt;&gt;"","'"&amp;'PO NO'!$B$2,"")</f>
        <v/>
      </c>
      <c r="U146" t="str">
        <f>IFERROR(CLEAN(VLOOKUP(N146,BOE!J:P,7,FALSE)),"")</f>
        <v/>
      </c>
      <c r="V146" t="str">
        <f t="shared" si="16"/>
        <v/>
      </c>
      <c r="W146" t="str">
        <f t="shared" si="17"/>
        <v/>
      </c>
      <c r="Y146" t="str">
        <f t="shared" si="18"/>
        <v/>
      </c>
      <c r="Z146" t="str">
        <f>IFERROR(IF(VLOOKUP(N146,BOE!J:Q,8,FALSE)=J146,"Pass","Mismatch"),"")</f>
        <v/>
      </c>
      <c r="AA146" t="str">
        <f>IFERROR(IF(ABS(VLOOKUP(N146,BOE!J:R,9,FALSE)-K146)&lt;0.2,"Pass","Mismatch"),"")</f>
        <v/>
      </c>
      <c r="AB146" t="str">
        <f>IFERROR(IF(ABS(VLOOKUP(N146,BOE!J:T,10,FALSE)-L146)&lt;0.2,"Pass","Mismatch"),"")</f>
        <v/>
      </c>
      <c r="AC146" t="str">
        <f>IFERROR(VLOOKUP(N146,BOE!J:N,2,FALSE),"")</f>
        <v/>
      </c>
      <c r="AD146" t="str">
        <f>IFERROR(VLOOKUP(N146,BOE!J:N,4,FALSE),"")</f>
        <v/>
      </c>
      <c r="AE146" t="str">
        <f>IFERROR(VLOOKUP(N146,BOE!J:N,5,FALSE),"")</f>
        <v/>
      </c>
      <c r="AG146" t="str">
        <f>IFERROR(VLOOKUP(N146,BOE!J:T,11,FALSE),"")</f>
        <v/>
      </c>
      <c r="AH146" s="14" t="str">
        <f t="shared" si="19"/>
        <v/>
      </c>
      <c r="AI146" s="14" t="str">
        <f t="shared" si="20"/>
        <v/>
      </c>
      <c r="AJ146" s="14">
        <f t="shared" si="21"/>
        <v>0</v>
      </c>
      <c r="AK146" t="str">
        <f t="shared" si="22"/>
        <v/>
      </c>
    </row>
    <row r="147" spans="1:37" x14ac:dyDescent="0.25">
      <c r="A147" t="str">
        <f t="shared" si="23"/>
        <v/>
      </c>
      <c r="Q147" t="str">
        <f>IF(E147&lt;&gt;"","'"&amp;'PO NO'!$B$2,"")</f>
        <v/>
      </c>
      <c r="U147" t="str">
        <f>IFERROR(CLEAN(VLOOKUP(N147,BOE!J:P,7,FALSE)),"")</f>
        <v/>
      </c>
      <c r="V147" t="str">
        <f t="shared" si="16"/>
        <v/>
      </c>
      <c r="W147" t="str">
        <f t="shared" si="17"/>
        <v/>
      </c>
      <c r="Y147" t="str">
        <f t="shared" si="18"/>
        <v/>
      </c>
      <c r="Z147" t="str">
        <f>IFERROR(IF(VLOOKUP(N147,BOE!J:Q,8,FALSE)=J147,"Pass","Mismatch"),"")</f>
        <v/>
      </c>
      <c r="AA147" t="str">
        <f>IFERROR(IF(ABS(VLOOKUP(N147,BOE!J:R,9,FALSE)-K147)&lt;0.2,"Pass","Mismatch"),"")</f>
        <v/>
      </c>
      <c r="AB147" t="str">
        <f>IFERROR(IF(ABS(VLOOKUP(N147,BOE!J:T,10,FALSE)-L147)&lt;0.2,"Pass","Mismatch"),"")</f>
        <v/>
      </c>
      <c r="AC147" t="str">
        <f>IFERROR(VLOOKUP(N147,BOE!J:N,2,FALSE),"")</f>
        <v/>
      </c>
      <c r="AD147" t="str">
        <f>IFERROR(VLOOKUP(N147,BOE!J:N,4,FALSE),"")</f>
        <v/>
      </c>
      <c r="AE147" t="str">
        <f>IFERROR(VLOOKUP(N147,BOE!J:N,5,FALSE),"")</f>
        <v/>
      </c>
      <c r="AG147" t="str">
        <f>IFERROR(VLOOKUP(N147,BOE!J:T,11,FALSE),"")</f>
        <v/>
      </c>
      <c r="AH147" s="14" t="str">
        <f t="shared" si="19"/>
        <v/>
      </c>
      <c r="AI147" s="14" t="str">
        <f t="shared" si="20"/>
        <v/>
      </c>
      <c r="AJ147" s="14">
        <f t="shared" si="21"/>
        <v>0</v>
      </c>
      <c r="AK147" t="str">
        <f t="shared" si="22"/>
        <v/>
      </c>
    </row>
    <row r="148" spans="1:37" x14ac:dyDescent="0.25">
      <c r="A148" t="str">
        <f t="shared" si="23"/>
        <v/>
      </c>
      <c r="Q148" t="str">
        <f>IF(E148&lt;&gt;"","'"&amp;'PO NO'!$B$2,"")</f>
        <v/>
      </c>
      <c r="U148" t="str">
        <f>IFERROR(CLEAN(VLOOKUP(N148,BOE!J:P,7,FALSE)),"")</f>
        <v/>
      </c>
      <c r="V148" t="str">
        <f t="shared" si="16"/>
        <v/>
      </c>
      <c r="W148" t="str">
        <f t="shared" si="17"/>
        <v/>
      </c>
      <c r="Y148" t="str">
        <f t="shared" si="18"/>
        <v/>
      </c>
      <c r="Z148" t="str">
        <f>IFERROR(IF(VLOOKUP(N148,BOE!J:Q,8,FALSE)=J148,"Pass","Mismatch"),"")</f>
        <v/>
      </c>
      <c r="AA148" t="str">
        <f>IFERROR(IF(ABS(VLOOKUP(N148,BOE!J:R,9,FALSE)-K148)&lt;0.2,"Pass","Mismatch"),"")</f>
        <v/>
      </c>
      <c r="AB148" t="str">
        <f>IFERROR(IF(ABS(VLOOKUP(N148,BOE!J:T,10,FALSE)-L148)&lt;0.2,"Pass","Mismatch"),"")</f>
        <v/>
      </c>
      <c r="AC148" t="str">
        <f>IFERROR(VLOOKUP(N148,BOE!J:N,2,FALSE),"")</f>
        <v/>
      </c>
      <c r="AD148" t="str">
        <f>IFERROR(VLOOKUP(N148,BOE!J:N,4,FALSE),"")</f>
        <v/>
      </c>
      <c r="AE148" t="str">
        <f>IFERROR(VLOOKUP(N148,BOE!J:N,5,FALSE),"")</f>
        <v/>
      </c>
      <c r="AG148" t="str">
        <f>IFERROR(VLOOKUP(N148,BOE!J:T,11,FALSE),"")</f>
        <v/>
      </c>
      <c r="AH148" s="14" t="str">
        <f t="shared" si="19"/>
        <v/>
      </c>
      <c r="AI148" s="14" t="str">
        <f t="shared" si="20"/>
        <v/>
      </c>
      <c r="AJ148" s="14">
        <f t="shared" si="21"/>
        <v>0</v>
      </c>
      <c r="AK148" t="str">
        <f t="shared" si="22"/>
        <v/>
      </c>
    </row>
    <row r="149" spans="1:37" x14ac:dyDescent="0.25">
      <c r="A149" t="str">
        <f t="shared" si="23"/>
        <v/>
      </c>
      <c r="Q149" t="str">
        <f>IF(E149&lt;&gt;"","'"&amp;'PO NO'!$B$2,"")</f>
        <v/>
      </c>
      <c r="U149" t="str">
        <f>IFERROR(CLEAN(VLOOKUP(N149,BOE!J:P,7,FALSE)),"")</f>
        <v/>
      </c>
      <c r="V149" t="str">
        <f t="shared" si="16"/>
        <v/>
      </c>
      <c r="W149" t="str">
        <f t="shared" si="17"/>
        <v/>
      </c>
      <c r="Y149" t="str">
        <f t="shared" si="18"/>
        <v/>
      </c>
      <c r="Z149" t="str">
        <f>IFERROR(IF(VLOOKUP(N149,BOE!J:Q,8,FALSE)=J149,"Pass","Mismatch"),"")</f>
        <v/>
      </c>
      <c r="AA149" t="str">
        <f>IFERROR(IF(ABS(VLOOKUP(N149,BOE!J:R,9,FALSE)-K149)&lt;0.2,"Pass","Mismatch"),"")</f>
        <v/>
      </c>
      <c r="AB149" t="str">
        <f>IFERROR(IF(ABS(VLOOKUP(N149,BOE!J:T,10,FALSE)-L149)&lt;0.2,"Pass","Mismatch"),"")</f>
        <v/>
      </c>
      <c r="AC149" t="str">
        <f>IFERROR(VLOOKUP(N149,BOE!J:N,2,FALSE),"")</f>
        <v/>
      </c>
      <c r="AD149" t="str">
        <f>IFERROR(VLOOKUP(N149,BOE!J:N,4,FALSE),"")</f>
        <v/>
      </c>
      <c r="AE149" t="str">
        <f>IFERROR(VLOOKUP(N149,BOE!J:N,5,FALSE),"")</f>
        <v/>
      </c>
      <c r="AG149" t="str">
        <f>IFERROR(VLOOKUP(N149,BOE!J:T,11,FALSE),"")</f>
        <v/>
      </c>
      <c r="AH149" s="14" t="str">
        <f t="shared" si="19"/>
        <v/>
      </c>
      <c r="AI149" s="14" t="str">
        <f t="shared" si="20"/>
        <v/>
      </c>
      <c r="AJ149" s="14">
        <f t="shared" si="21"/>
        <v>0</v>
      </c>
      <c r="AK149" t="str">
        <f t="shared" si="22"/>
        <v/>
      </c>
    </row>
    <row r="150" spans="1:37" x14ac:dyDescent="0.25">
      <c r="A150" t="str">
        <f t="shared" si="23"/>
        <v/>
      </c>
      <c r="Q150" t="str">
        <f>IF(E150&lt;&gt;"","'"&amp;'PO NO'!$B$2,"")</f>
        <v/>
      </c>
      <c r="U150" t="str">
        <f>IFERROR(CLEAN(VLOOKUP(N150,BOE!J:P,7,FALSE)),"")</f>
        <v/>
      </c>
      <c r="V150" t="str">
        <f t="shared" si="16"/>
        <v/>
      </c>
      <c r="W150" t="str">
        <f t="shared" si="17"/>
        <v/>
      </c>
      <c r="Y150" t="str">
        <f t="shared" si="18"/>
        <v/>
      </c>
      <c r="Z150" t="str">
        <f>IFERROR(IF(VLOOKUP(N150,BOE!J:Q,8,FALSE)=J150,"Pass","Mismatch"),"")</f>
        <v/>
      </c>
      <c r="AA150" t="str">
        <f>IFERROR(IF(ABS(VLOOKUP(N150,BOE!J:R,9,FALSE)-K150)&lt;0.2,"Pass","Mismatch"),"")</f>
        <v/>
      </c>
      <c r="AB150" t="str">
        <f>IFERROR(IF(ABS(VLOOKUP(N150,BOE!J:T,10,FALSE)-L150)&lt;0.2,"Pass","Mismatch"),"")</f>
        <v/>
      </c>
      <c r="AC150" t="str">
        <f>IFERROR(VLOOKUP(N150,BOE!J:N,2,FALSE),"")</f>
        <v/>
      </c>
      <c r="AD150" t="str">
        <f>IFERROR(VLOOKUP(N150,BOE!J:N,4,FALSE),"")</f>
        <v/>
      </c>
      <c r="AE150" t="str">
        <f>IFERROR(VLOOKUP(N150,BOE!J:N,5,FALSE),"")</f>
        <v/>
      </c>
      <c r="AG150" t="str">
        <f>IFERROR(VLOOKUP(N150,BOE!J:T,11,FALSE),"")</f>
        <v/>
      </c>
      <c r="AH150" s="14" t="str">
        <f t="shared" si="19"/>
        <v/>
      </c>
      <c r="AI150" s="14" t="str">
        <f t="shared" si="20"/>
        <v/>
      </c>
      <c r="AJ150" s="14">
        <f t="shared" si="21"/>
        <v>0</v>
      </c>
      <c r="AK150" t="str">
        <f t="shared" si="22"/>
        <v/>
      </c>
    </row>
    <row r="151" spans="1:37" x14ac:dyDescent="0.25">
      <c r="A151" t="str">
        <f t="shared" si="23"/>
        <v/>
      </c>
      <c r="Q151" t="str">
        <f>IF(E151&lt;&gt;"","'"&amp;'PO NO'!$B$2,"")</f>
        <v/>
      </c>
      <c r="U151" t="str">
        <f>IFERROR(CLEAN(VLOOKUP(N151,BOE!J:P,7,FALSE)),"")</f>
        <v/>
      </c>
      <c r="V151" t="str">
        <f t="shared" si="16"/>
        <v/>
      </c>
      <c r="W151" t="str">
        <f t="shared" si="17"/>
        <v/>
      </c>
      <c r="Y151" t="str">
        <f t="shared" si="18"/>
        <v/>
      </c>
      <c r="Z151" t="str">
        <f>IFERROR(IF(VLOOKUP(N151,BOE!J:Q,8,FALSE)=J151,"Pass","Mismatch"),"")</f>
        <v/>
      </c>
      <c r="AA151" t="str">
        <f>IFERROR(IF(ABS(VLOOKUP(N151,BOE!J:R,9,FALSE)-K151)&lt;0.2,"Pass","Mismatch"),"")</f>
        <v/>
      </c>
      <c r="AB151" t="str">
        <f>IFERROR(IF(ABS(VLOOKUP(N151,BOE!J:T,10,FALSE)-L151)&lt;0.2,"Pass","Mismatch"),"")</f>
        <v/>
      </c>
      <c r="AC151" t="str">
        <f>IFERROR(VLOOKUP(N151,BOE!J:N,2,FALSE),"")</f>
        <v/>
      </c>
      <c r="AD151" t="str">
        <f>IFERROR(VLOOKUP(N151,BOE!J:N,4,FALSE),"")</f>
        <v/>
      </c>
      <c r="AE151" t="str">
        <f>IFERROR(VLOOKUP(N151,BOE!J:N,5,FALSE),"")</f>
        <v/>
      </c>
      <c r="AG151" t="str">
        <f>IFERROR(VLOOKUP(N151,BOE!J:T,11,FALSE),"")</f>
        <v/>
      </c>
      <c r="AH151" s="14" t="str">
        <f t="shared" si="19"/>
        <v/>
      </c>
      <c r="AI151" s="14" t="str">
        <f t="shared" si="20"/>
        <v/>
      </c>
      <c r="AJ151" s="14">
        <f t="shared" si="21"/>
        <v>0</v>
      </c>
      <c r="AK151" t="str">
        <f t="shared" si="22"/>
        <v/>
      </c>
    </row>
    <row r="152" spans="1:37" x14ac:dyDescent="0.25">
      <c r="A152" t="str">
        <f t="shared" si="23"/>
        <v/>
      </c>
      <c r="Q152" t="str">
        <f>IF(E152&lt;&gt;"","'"&amp;'PO NO'!$B$2,"")</f>
        <v/>
      </c>
      <c r="U152" t="str">
        <f>IFERROR(CLEAN(VLOOKUP(N152,BOE!J:P,7,FALSE)),"")</f>
        <v/>
      </c>
      <c r="V152" t="str">
        <f t="shared" si="16"/>
        <v/>
      </c>
      <c r="W152" t="str">
        <f t="shared" si="17"/>
        <v/>
      </c>
      <c r="Y152" t="str">
        <f t="shared" si="18"/>
        <v/>
      </c>
      <c r="Z152" t="str">
        <f>IFERROR(IF(VLOOKUP(N152,BOE!J:Q,8,FALSE)=J152,"Pass","Mismatch"),"")</f>
        <v/>
      </c>
      <c r="AA152" t="str">
        <f>IFERROR(IF(ABS(VLOOKUP(N152,BOE!J:R,9,FALSE)-K152)&lt;0.2,"Pass","Mismatch"),"")</f>
        <v/>
      </c>
      <c r="AB152" t="str">
        <f>IFERROR(IF(ABS(VLOOKUP(N152,BOE!J:T,10,FALSE)-L152)&lt;0.2,"Pass","Mismatch"),"")</f>
        <v/>
      </c>
      <c r="AC152" t="str">
        <f>IFERROR(VLOOKUP(N152,BOE!J:N,2,FALSE),"")</f>
        <v/>
      </c>
      <c r="AD152" t="str">
        <f>IFERROR(VLOOKUP(N152,BOE!J:N,4,FALSE),"")</f>
        <v/>
      </c>
      <c r="AE152" t="str">
        <f>IFERROR(VLOOKUP(N152,BOE!J:N,5,FALSE),"")</f>
        <v/>
      </c>
      <c r="AG152" t="str">
        <f>IFERROR(VLOOKUP(N152,BOE!J:T,11,FALSE),"")</f>
        <v/>
      </c>
      <c r="AH152" s="14" t="str">
        <f t="shared" si="19"/>
        <v/>
      </c>
      <c r="AI152" s="14" t="str">
        <f t="shared" si="20"/>
        <v/>
      </c>
      <c r="AJ152" s="14">
        <f t="shared" si="21"/>
        <v>0</v>
      </c>
      <c r="AK152" t="str">
        <f t="shared" si="22"/>
        <v/>
      </c>
    </row>
    <row r="153" spans="1:37" x14ac:dyDescent="0.25">
      <c r="A153" t="str">
        <f t="shared" si="23"/>
        <v/>
      </c>
      <c r="Q153" t="str">
        <f>IF(E153&lt;&gt;"","'"&amp;'PO NO'!$B$2,"")</f>
        <v/>
      </c>
      <c r="U153" t="str">
        <f>IFERROR(CLEAN(VLOOKUP(N153,BOE!J:P,7,FALSE)),"")</f>
        <v/>
      </c>
      <c r="V153" t="str">
        <f t="shared" si="16"/>
        <v/>
      </c>
      <c r="W153" t="str">
        <f t="shared" si="17"/>
        <v/>
      </c>
      <c r="Y153" t="str">
        <f t="shared" si="18"/>
        <v/>
      </c>
      <c r="Z153" t="str">
        <f>IFERROR(IF(VLOOKUP(N153,BOE!J:Q,8,FALSE)=J153,"Pass","Mismatch"),"")</f>
        <v/>
      </c>
      <c r="AA153" t="str">
        <f>IFERROR(IF(ABS(VLOOKUP(N153,BOE!J:R,9,FALSE)-K153)&lt;0.2,"Pass","Mismatch"),"")</f>
        <v/>
      </c>
      <c r="AB153" t="str">
        <f>IFERROR(IF(ABS(VLOOKUP(N153,BOE!J:T,10,FALSE)-L153)&lt;0.2,"Pass","Mismatch"),"")</f>
        <v/>
      </c>
      <c r="AC153" t="str">
        <f>IFERROR(VLOOKUP(N153,BOE!J:N,2,FALSE),"")</f>
        <v/>
      </c>
      <c r="AD153" t="str">
        <f>IFERROR(VLOOKUP(N153,BOE!J:N,4,FALSE),"")</f>
        <v/>
      </c>
      <c r="AE153" t="str">
        <f>IFERROR(VLOOKUP(N153,BOE!J:N,5,FALSE),"")</f>
        <v/>
      </c>
      <c r="AG153" t="str">
        <f>IFERROR(VLOOKUP(N153,BOE!J:T,11,FALSE),"")</f>
        <v/>
      </c>
      <c r="AH153" s="14" t="str">
        <f t="shared" si="19"/>
        <v/>
      </c>
      <c r="AI153" s="14" t="str">
        <f t="shared" si="20"/>
        <v/>
      </c>
      <c r="AJ153" s="14">
        <f t="shared" si="21"/>
        <v>0</v>
      </c>
      <c r="AK153" t="str">
        <f t="shared" si="22"/>
        <v/>
      </c>
    </row>
    <row r="154" spans="1:37" x14ac:dyDescent="0.25">
      <c r="A154" t="str">
        <f t="shared" si="23"/>
        <v/>
      </c>
      <c r="Q154" t="str">
        <f>IF(E154&lt;&gt;"","'"&amp;'PO NO'!$B$2,"")</f>
        <v/>
      </c>
      <c r="U154" t="str">
        <f>IFERROR(CLEAN(VLOOKUP(N154,BOE!J:P,7,FALSE)),"")</f>
        <v/>
      </c>
      <c r="V154" t="str">
        <f t="shared" si="16"/>
        <v/>
      </c>
      <c r="W154" t="str">
        <f t="shared" si="17"/>
        <v/>
      </c>
      <c r="Y154" t="str">
        <f t="shared" si="18"/>
        <v/>
      </c>
      <c r="Z154" t="str">
        <f>IFERROR(IF(VLOOKUP(N154,BOE!J:Q,8,FALSE)=J154,"Pass","Mismatch"),"")</f>
        <v/>
      </c>
      <c r="AA154" t="str">
        <f>IFERROR(IF(ABS(VLOOKUP(N154,BOE!J:R,9,FALSE)-K154)&lt;0.2,"Pass","Mismatch"),"")</f>
        <v/>
      </c>
      <c r="AB154" t="str">
        <f>IFERROR(IF(ABS(VLOOKUP(N154,BOE!J:T,10,FALSE)-L154)&lt;0.2,"Pass","Mismatch"),"")</f>
        <v/>
      </c>
      <c r="AC154" t="str">
        <f>IFERROR(VLOOKUP(N154,BOE!J:N,2,FALSE),"")</f>
        <v/>
      </c>
      <c r="AD154" t="str">
        <f>IFERROR(VLOOKUP(N154,BOE!J:N,4,FALSE),"")</f>
        <v/>
      </c>
      <c r="AE154" t="str">
        <f>IFERROR(VLOOKUP(N154,BOE!J:N,5,FALSE),"")</f>
        <v/>
      </c>
      <c r="AG154" t="str">
        <f>IFERROR(VLOOKUP(N154,BOE!J:T,11,FALSE),"")</f>
        <v/>
      </c>
      <c r="AH154" s="14" t="str">
        <f t="shared" si="19"/>
        <v/>
      </c>
      <c r="AI154" s="14" t="str">
        <f t="shared" si="20"/>
        <v/>
      </c>
      <c r="AJ154" s="14">
        <f t="shared" si="21"/>
        <v>0</v>
      </c>
      <c r="AK154" t="str">
        <f t="shared" si="22"/>
        <v/>
      </c>
    </row>
    <row r="155" spans="1:37" x14ac:dyDescent="0.25">
      <c r="A155" t="str">
        <f t="shared" si="23"/>
        <v/>
      </c>
      <c r="Q155" t="str">
        <f>IF(E155&lt;&gt;"","'"&amp;'PO NO'!$B$2,"")</f>
        <v/>
      </c>
      <c r="U155" t="str">
        <f>IFERROR(CLEAN(VLOOKUP(N155,BOE!J:P,7,FALSE)),"")</f>
        <v/>
      </c>
      <c r="V155" t="str">
        <f t="shared" si="16"/>
        <v/>
      </c>
      <c r="W155" t="str">
        <f t="shared" si="17"/>
        <v/>
      </c>
      <c r="Y155" t="str">
        <f t="shared" si="18"/>
        <v/>
      </c>
      <c r="Z155" t="str">
        <f>IFERROR(IF(VLOOKUP(N155,BOE!J:Q,8,FALSE)=J155,"Pass","Mismatch"),"")</f>
        <v/>
      </c>
      <c r="AA155" t="str">
        <f>IFERROR(IF(ABS(VLOOKUP(N155,BOE!J:R,9,FALSE)-K155)&lt;0.2,"Pass","Mismatch"),"")</f>
        <v/>
      </c>
      <c r="AB155" t="str">
        <f>IFERROR(IF(ABS(VLOOKUP(N155,BOE!J:T,10,FALSE)-L155)&lt;0.2,"Pass","Mismatch"),"")</f>
        <v/>
      </c>
      <c r="AC155" t="str">
        <f>IFERROR(VLOOKUP(N155,BOE!J:N,2,FALSE),"")</f>
        <v/>
      </c>
      <c r="AD155" t="str">
        <f>IFERROR(VLOOKUP(N155,BOE!J:N,4,FALSE),"")</f>
        <v/>
      </c>
      <c r="AE155" t="str">
        <f>IFERROR(VLOOKUP(N155,BOE!J:N,5,FALSE),"")</f>
        <v/>
      </c>
      <c r="AG155" t="str">
        <f>IFERROR(VLOOKUP(N155,BOE!J:T,11,FALSE),"")</f>
        <v/>
      </c>
      <c r="AH155" s="14" t="str">
        <f t="shared" si="19"/>
        <v/>
      </c>
      <c r="AI155" s="14" t="str">
        <f t="shared" si="20"/>
        <v/>
      </c>
      <c r="AJ155" s="14">
        <f t="shared" si="21"/>
        <v>0</v>
      </c>
      <c r="AK155" t="str">
        <f t="shared" si="22"/>
        <v/>
      </c>
    </row>
    <row r="156" spans="1:37" x14ac:dyDescent="0.25">
      <c r="A156" t="str">
        <f t="shared" si="23"/>
        <v/>
      </c>
      <c r="Q156" t="str">
        <f>IF(E156&lt;&gt;"","'"&amp;'PO NO'!$B$2,"")</f>
        <v/>
      </c>
      <c r="U156" t="str">
        <f>IFERROR(CLEAN(VLOOKUP(N156,BOE!J:P,7,FALSE)),"")</f>
        <v/>
      </c>
      <c r="V156" t="str">
        <f t="shared" si="16"/>
        <v/>
      </c>
      <c r="W156" t="str">
        <f t="shared" si="17"/>
        <v/>
      </c>
      <c r="Y156" t="str">
        <f t="shared" si="18"/>
        <v/>
      </c>
      <c r="Z156" t="str">
        <f>IFERROR(IF(VLOOKUP(N156,BOE!J:Q,8,FALSE)=J156,"Pass","Mismatch"),"")</f>
        <v/>
      </c>
      <c r="AA156" t="str">
        <f>IFERROR(IF(ABS(VLOOKUP(N156,BOE!J:R,9,FALSE)-K156)&lt;0.2,"Pass","Mismatch"),"")</f>
        <v/>
      </c>
      <c r="AB156" t="str">
        <f>IFERROR(IF(ABS(VLOOKUP(N156,BOE!J:T,10,FALSE)-L156)&lt;0.2,"Pass","Mismatch"),"")</f>
        <v/>
      </c>
      <c r="AC156" t="str">
        <f>IFERROR(VLOOKUP(N156,BOE!J:N,2,FALSE),"")</f>
        <v/>
      </c>
      <c r="AD156" t="str">
        <f>IFERROR(VLOOKUP(N156,BOE!J:N,4,FALSE),"")</f>
        <v/>
      </c>
      <c r="AE156" t="str">
        <f>IFERROR(VLOOKUP(N156,BOE!J:N,5,FALSE),"")</f>
        <v/>
      </c>
      <c r="AG156" t="str">
        <f>IFERROR(VLOOKUP(N156,BOE!J:T,11,FALSE),"")</f>
        <v/>
      </c>
      <c r="AH156" s="14" t="str">
        <f t="shared" si="19"/>
        <v/>
      </c>
      <c r="AI156" s="14" t="str">
        <f t="shared" si="20"/>
        <v/>
      </c>
      <c r="AJ156" s="14">
        <f t="shared" si="21"/>
        <v>0</v>
      </c>
      <c r="AK156" t="str">
        <f t="shared" si="22"/>
        <v/>
      </c>
    </row>
    <row r="157" spans="1:37" x14ac:dyDescent="0.25">
      <c r="A157" t="str">
        <f t="shared" si="23"/>
        <v/>
      </c>
      <c r="Q157" t="str">
        <f>IF(E157&lt;&gt;"","'"&amp;'PO NO'!$B$2,"")</f>
        <v/>
      </c>
      <c r="U157" t="str">
        <f>IFERROR(CLEAN(VLOOKUP(N157,BOE!J:P,7,FALSE)),"")</f>
        <v/>
      </c>
      <c r="V157" t="str">
        <f t="shared" si="16"/>
        <v/>
      </c>
      <c r="W157" t="str">
        <f t="shared" si="17"/>
        <v/>
      </c>
      <c r="Y157" t="str">
        <f t="shared" si="18"/>
        <v/>
      </c>
      <c r="Z157" t="str">
        <f>IFERROR(IF(VLOOKUP(N157,BOE!J:Q,8,FALSE)=J157,"Pass","Mismatch"),"")</f>
        <v/>
      </c>
      <c r="AA157" t="str">
        <f>IFERROR(IF(ABS(VLOOKUP(N157,BOE!J:R,9,FALSE)-K157)&lt;0.2,"Pass","Mismatch"),"")</f>
        <v/>
      </c>
      <c r="AB157" t="str">
        <f>IFERROR(IF(ABS(VLOOKUP(N157,BOE!J:T,10,FALSE)-L157)&lt;0.2,"Pass","Mismatch"),"")</f>
        <v/>
      </c>
      <c r="AC157" t="str">
        <f>IFERROR(VLOOKUP(N157,BOE!J:N,2,FALSE),"")</f>
        <v/>
      </c>
      <c r="AD157" t="str">
        <f>IFERROR(VLOOKUP(N157,BOE!J:N,4,FALSE),"")</f>
        <v/>
      </c>
      <c r="AE157" t="str">
        <f>IFERROR(VLOOKUP(N157,BOE!J:N,5,FALSE),"")</f>
        <v/>
      </c>
      <c r="AG157" t="str">
        <f>IFERROR(VLOOKUP(N157,BOE!J:T,11,FALSE),"")</f>
        <v/>
      </c>
      <c r="AH157" s="14" t="str">
        <f t="shared" si="19"/>
        <v/>
      </c>
      <c r="AI157" s="14" t="str">
        <f t="shared" si="20"/>
        <v/>
      </c>
      <c r="AJ157" s="14">
        <f t="shared" si="21"/>
        <v>0</v>
      </c>
      <c r="AK157" t="str">
        <f t="shared" si="22"/>
        <v/>
      </c>
    </row>
    <row r="158" spans="1:37" x14ac:dyDescent="0.25">
      <c r="A158" t="str">
        <f t="shared" si="23"/>
        <v/>
      </c>
      <c r="Q158" t="str">
        <f>IF(E158&lt;&gt;"","'"&amp;'PO NO'!$B$2,"")</f>
        <v/>
      </c>
      <c r="U158" t="str">
        <f>IFERROR(CLEAN(VLOOKUP(N158,BOE!J:P,7,FALSE)),"")</f>
        <v/>
      </c>
      <c r="V158" t="str">
        <f t="shared" si="16"/>
        <v/>
      </c>
      <c r="W158" t="str">
        <f t="shared" si="17"/>
        <v/>
      </c>
      <c r="Y158" t="str">
        <f t="shared" si="18"/>
        <v/>
      </c>
      <c r="Z158" t="str">
        <f>IFERROR(IF(VLOOKUP(N158,BOE!J:Q,8,FALSE)=J158,"Pass","Mismatch"),"")</f>
        <v/>
      </c>
      <c r="AA158" t="str">
        <f>IFERROR(IF(ABS(VLOOKUP(N158,BOE!J:R,9,FALSE)-K158)&lt;0.2,"Pass","Mismatch"),"")</f>
        <v/>
      </c>
      <c r="AB158" t="str">
        <f>IFERROR(IF(ABS(VLOOKUP(N158,BOE!J:T,10,FALSE)-L158)&lt;0.2,"Pass","Mismatch"),"")</f>
        <v/>
      </c>
      <c r="AC158" t="str">
        <f>IFERROR(VLOOKUP(N158,BOE!J:N,2,FALSE),"")</f>
        <v/>
      </c>
      <c r="AD158" t="str">
        <f>IFERROR(VLOOKUP(N158,BOE!J:N,4,FALSE),"")</f>
        <v/>
      </c>
      <c r="AE158" t="str">
        <f>IFERROR(VLOOKUP(N158,BOE!J:N,5,FALSE),"")</f>
        <v/>
      </c>
      <c r="AG158" t="str">
        <f>IFERROR(VLOOKUP(N158,BOE!J:T,11,FALSE),"")</f>
        <v/>
      </c>
      <c r="AH158" s="14" t="str">
        <f t="shared" si="19"/>
        <v/>
      </c>
      <c r="AI158" s="14" t="str">
        <f t="shared" si="20"/>
        <v/>
      </c>
      <c r="AJ158" s="14">
        <f t="shared" si="21"/>
        <v>0</v>
      </c>
      <c r="AK158" t="str">
        <f t="shared" si="22"/>
        <v/>
      </c>
    </row>
    <row r="159" spans="1:37" x14ac:dyDescent="0.25">
      <c r="A159" t="str">
        <f t="shared" si="23"/>
        <v/>
      </c>
      <c r="Q159" t="str">
        <f>IF(E159&lt;&gt;"","'"&amp;'PO NO'!$B$2,"")</f>
        <v/>
      </c>
      <c r="U159" t="str">
        <f>IFERROR(CLEAN(VLOOKUP(N159,BOE!J:P,7,FALSE)),"")</f>
        <v/>
      </c>
      <c r="V159" t="str">
        <f t="shared" si="16"/>
        <v/>
      </c>
      <c r="W159" t="str">
        <f t="shared" si="17"/>
        <v/>
      </c>
      <c r="Y159" t="str">
        <f t="shared" si="18"/>
        <v/>
      </c>
      <c r="Z159" t="str">
        <f>IFERROR(IF(VLOOKUP(N159,BOE!J:Q,8,FALSE)=J159,"Pass","Mismatch"),"")</f>
        <v/>
      </c>
      <c r="AA159" t="str">
        <f>IFERROR(IF(ABS(VLOOKUP(N159,BOE!J:R,9,FALSE)-K159)&lt;0.2,"Pass","Mismatch"),"")</f>
        <v/>
      </c>
      <c r="AB159" t="str">
        <f>IFERROR(IF(ABS(VLOOKUP(N159,BOE!J:T,10,FALSE)-L159)&lt;0.2,"Pass","Mismatch"),"")</f>
        <v/>
      </c>
      <c r="AC159" t="str">
        <f>IFERROR(VLOOKUP(N159,BOE!J:N,2,FALSE),"")</f>
        <v/>
      </c>
      <c r="AD159" t="str">
        <f>IFERROR(VLOOKUP(N159,BOE!J:N,4,FALSE),"")</f>
        <v/>
      </c>
      <c r="AE159" t="str">
        <f>IFERROR(VLOOKUP(N159,BOE!J:N,5,FALSE),"")</f>
        <v/>
      </c>
      <c r="AG159" t="str">
        <f>IFERROR(VLOOKUP(N159,BOE!J:T,11,FALSE),"")</f>
        <v/>
      </c>
      <c r="AH159" s="14" t="str">
        <f t="shared" si="19"/>
        <v/>
      </c>
      <c r="AI159" s="14" t="str">
        <f t="shared" si="20"/>
        <v/>
      </c>
      <c r="AJ159" s="14">
        <f t="shared" si="21"/>
        <v>0</v>
      </c>
      <c r="AK159" t="str">
        <f t="shared" si="22"/>
        <v/>
      </c>
    </row>
    <row r="160" spans="1:37" x14ac:dyDescent="0.25">
      <c r="A160" t="str">
        <f t="shared" si="23"/>
        <v/>
      </c>
      <c r="Q160" t="str">
        <f>IF(E160&lt;&gt;"","'"&amp;'PO NO'!$B$2,"")</f>
        <v/>
      </c>
      <c r="U160" t="str">
        <f>IFERROR(CLEAN(VLOOKUP(N160,BOE!J:P,7,FALSE)),"")</f>
        <v/>
      </c>
      <c r="V160" t="str">
        <f t="shared" si="16"/>
        <v/>
      </c>
      <c r="W160" t="str">
        <f t="shared" si="17"/>
        <v/>
      </c>
      <c r="Y160" t="str">
        <f t="shared" si="18"/>
        <v/>
      </c>
      <c r="Z160" t="str">
        <f>IFERROR(IF(VLOOKUP(N160,BOE!J:Q,8,FALSE)=J160,"Pass","Mismatch"),"")</f>
        <v/>
      </c>
      <c r="AA160" t="str">
        <f>IFERROR(IF(ABS(VLOOKUP(N160,BOE!J:R,9,FALSE)-K160)&lt;0.2,"Pass","Mismatch"),"")</f>
        <v/>
      </c>
      <c r="AB160" t="str">
        <f>IFERROR(IF(ABS(VLOOKUP(N160,BOE!J:T,10,FALSE)-L160)&lt;0.2,"Pass","Mismatch"),"")</f>
        <v/>
      </c>
      <c r="AC160" t="str">
        <f>IFERROR(VLOOKUP(N160,BOE!J:N,2,FALSE),"")</f>
        <v/>
      </c>
      <c r="AD160" t="str">
        <f>IFERROR(VLOOKUP(N160,BOE!J:N,4,FALSE),"")</f>
        <v/>
      </c>
      <c r="AE160" t="str">
        <f>IFERROR(VLOOKUP(N160,BOE!J:N,5,FALSE),"")</f>
        <v/>
      </c>
      <c r="AG160" t="str">
        <f>IFERROR(VLOOKUP(N160,BOE!J:T,11,FALSE),"")</f>
        <v/>
      </c>
      <c r="AH160" s="14" t="str">
        <f t="shared" si="19"/>
        <v/>
      </c>
      <c r="AI160" s="14" t="str">
        <f t="shared" si="20"/>
        <v/>
      </c>
      <c r="AJ160" s="14">
        <f t="shared" si="21"/>
        <v>0</v>
      </c>
      <c r="AK160" t="str">
        <f t="shared" si="22"/>
        <v/>
      </c>
    </row>
    <row r="161" spans="1:37" x14ac:dyDescent="0.25">
      <c r="A161" t="str">
        <f t="shared" si="23"/>
        <v/>
      </c>
      <c r="Q161" t="str">
        <f>IF(E161&lt;&gt;"","'"&amp;'PO NO'!$B$2,"")</f>
        <v/>
      </c>
      <c r="U161" t="str">
        <f>IFERROR(CLEAN(VLOOKUP(N161,BOE!J:P,7,FALSE)),"")</f>
        <v/>
      </c>
      <c r="V161" t="str">
        <f t="shared" si="16"/>
        <v/>
      </c>
      <c r="W161" t="str">
        <f t="shared" si="17"/>
        <v/>
      </c>
      <c r="Y161" t="str">
        <f t="shared" si="18"/>
        <v/>
      </c>
      <c r="Z161" t="str">
        <f>IFERROR(IF(VLOOKUP(N161,BOE!J:Q,8,FALSE)=J161,"Pass","Mismatch"),"")</f>
        <v/>
      </c>
      <c r="AA161" t="str">
        <f>IFERROR(IF(ABS(VLOOKUP(N161,BOE!J:R,9,FALSE)-K161)&lt;0.2,"Pass","Mismatch"),"")</f>
        <v/>
      </c>
      <c r="AB161" t="str">
        <f>IFERROR(IF(ABS(VLOOKUP(N161,BOE!J:T,10,FALSE)-L161)&lt;0.2,"Pass","Mismatch"),"")</f>
        <v/>
      </c>
      <c r="AC161" t="str">
        <f>IFERROR(VLOOKUP(N161,BOE!J:N,2,FALSE),"")</f>
        <v/>
      </c>
      <c r="AD161" t="str">
        <f>IFERROR(VLOOKUP(N161,BOE!J:N,4,FALSE),"")</f>
        <v/>
      </c>
      <c r="AE161" t="str">
        <f>IFERROR(VLOOKUP(N161,BOE!J:N,5,FALSE),"")</f>
        <v/>
      </c>
      <c r="AG161" t="str">
        <f>IFERROR(VLOOKUP(N161,BOE!J:T,11,FALSE),"")</f>
        <v/>
      </c>
      <c r="AH161" s="14" t="str">
        <f t="shared" si="19"/>
        <v/>
      </c>
      <c r="AI161" s="14" t="str">
        <f t="shared" si="20"/>
        <v/>
      </c>
      <c r="AJ161" s="14">
        <f t="shared" si="21"/>
        <v>0</v>
      </c>
      <c r="AK161" t="str">
        <f t="shared" si="22"/>
        <v/>
      </c>
    </row>
    <row r="162" spans="1:37" x14ac:dyDescent="0.25">
      <c r="A162" t="str">
        <f t="shared" si="23"/>
        <v/>
      </c>
      <c r="Q162" t="str">
        <f>IF(E162&lt;&gt;"","'"&amp;'PO NO'!$B$2,"")</f>
        <v/>
      </c>
      <c r="U162" t="str">
        <f>IFERROR(CLEAN(VLOOKUP(N162,BOE!J:P,7,FALSE)),"")</f>
        <v/>
      </c>
      <c r="V162" t="str">
        <f t="shared" si="16"/>
        <v/>
      </c>
      <c r="W162" t="str">
        <f t="shared" si="17"/>
        <v/>
      </c>
      <c r="Y162" t="str">
        <f t="shared" si="18"/>
        <v/>
      </c>
      <c r="Z162" t="str">
        <f>IFERROR(IF(VLOOKUP(N162,BOE!J:Q,8,FALSE)=J162,"Pass","Mismatch"),"")</f>
        <v/>
      </c>
      <c r="AA162" t="str">
        <f>IFERROR(IF(ABS(VLOOKUP(N162,BOE!J:R,9,FALSE)-K162)&lt;0.2,"Pass","Mismatch"),"")</f>
        <v/>
      </c>
      <c r="AB162" t="str">
        <f>IFERROR(IF(ABS(VLOOKUP(N162,BOE!J:T,10,FALSE)-L162)&lt;0.2,"Pass","Mismatch"),"")</f>
        <v/>
      </c>
      <c r="AC162" t="str">
        <f>IFERROR(VLOOKUP(N162,BOE!J:N,2,FALSE),"")</f>
        <v/>
      </c>
      <c r="AD162" t="str">
        <f>IFERROR(VLOOKUP(N162,BOE!J:N,4,FALSE),"")</f>
        <v/>
      </c>
      <c r="AE162" t="str">
        <f>IFERROR(VLOOKUP(N162,BOE!J:N,5,FALSE),"")</f>
        <v/>
      </c>
      <c r="AG162" t="str">
        <f>IFERROR(VLOOKUP(N162,BOE!J:T,11,FALSE),"")</f>
        <v/>
      </c>
      <c r="AH162" s="14" t="str">
        <f t="shared" si="19"/>
        <v/>
      </c>
      <c r="AI162" s="14" t="str">
        <f t="shared" si="20"/>
        <v/>
      </c>
      <c r="AJ162" s="14">
        <f t="shared" si="21"/>
        <v>0</v>
      </c>
      <c r="AK162" t="str">
        <f t="shared" si="22"/>
        <v/>
      </c>
    </row>
    <row r="163" spans="1:37" x14ac:dyDescent="0.25">
      <c r="A163" t="str">
        <f t="shared" si="23"/>
        <v/>
      </c>
      <c r="Q163" t="str">
        <f>IF(E163&lt;&gt;"","'"&amp;'PO NO'!$B$2,"")</f>
        <v/>
      </c>
      <c r="U163" t="str">
        <f>IFERROR(CLEAN(VLOOKUP(N163,BOE!J:P,7,FALSE)),"")</f>
        <v/>
      </c>
      <c r="V163" t="str">
        <f t="shared" si="16"/>
        <v/>
      </c>
      <c r="W163" t="str">
        <f t="shared" si="17"/>
        <v/>
      </c>
      <c r="Y163" t="str">
        <f t="shared" si="18"/>
        <v/>
      </c>
      <c r="Z163" t="str">
        <f>IFERROR(IF(VLOOKUP(N163,BOE!J:Q,8,FALSE)=J163,"Pass","Mismatch"),"")</f>
        <v/>
      </c>
      <c r="AA163" t="str">
        <f>IFERROR(IF(ABS(VLOOKUP(N163,BOE!J:R,9,FALSE)-K163)&lt;0.2,"Pass","Mismatch"),"")</f>
        <v/>
      </c>
      <c r="AB163" t="str">
        <f>IFERROR(IF(ABS(VLOOKUP(N163,BOE!J:T,10,FALSE)-L163)&lt;0.2,"Pass","Mismatch"),"")</f>
        <v/>
      </c>
      <c r="AC163" t="str">
        <f>IFERROR(VLOOKUP(N163,BOE!J:N,2,FALSE),"")</f>
        <v/>
      </c>
      <c r="AD163" t="str">
        <f>IFERROR(VLOOKUP(N163,BOE!J:N,4,FALSE),"")</f>
        <v/>
      </c>
      <c r="AE163" t="str">
        <f>IFERROR(VLOOKUP(N163,BOE!J:N,5,FALSE),"")</f>
        <v/>
      </c>
      <c r="AG163" t="str">
        <f>IFERROR(VLOOKUP(N163,BOE!J:T,11,FALSE),"")</f>
        <v/>
      </c>
      <c r="AH163" s="14" t="str">
        <f t="shared" si="19"/>
        <v/>
      </c>
      <c r="AI163" s="14" t="str">
        <f t="shared" si="20"/>
        <v/>
      </c>
      <c r="AJ163" s="14">
        <f t="shared" si="21"/>
        <v>0</v>
      </c>
      <c r="AK163" t="str">
        <f t="shared" si="22"/>
        <v/>
      </c>
    </row>
    <row r="164" spans="1:37" x14ac:dyDescent="0.25">
      <c r="A164" t="str">
        <f t="shared" si="23"/>
        <v/>
      </c>
      <c r="Q164" t="str">
        <f>IF(E164&lt;&gt;"","'"&amp;'PO NO'!$B$2,"")</f>
        <v/>
      </c>
      <c r="U164" t="str">
        <f>IFERROR(CLEAN(VLOOKUP(N164,BOE!J:P,7,FALSE)),"")</f>
        <v/>
      </c>
      <c r="V164" t="str">
        <f t="shared" si="16"/>
        <v/>
      </c>
      <c r="W164" t="str">
        <f t="shared" si="17"/>
        <v/>
      </c>
      <c r="Y164" t="str">
        <f t="shared" si="18"/>
        <v/>
      </c>
      <c r="Z164" t="str">
        <f>IFERROR(IF(VLOOKUP(N164,BOE!J:Q,8,FALSE)=J164,"Pass","Mismatch"),"")</f>
        <v/>
      </c>
      <c r="AA164" t="str">
        <f>IFERROR(IF(ABS(VLOOKUP(N164,BOE!J:R,9,FALSE)-K164)&lt;0.2,"Pass","Mismatch"),"")</f>
        <v/>
      </c>
      <c r="AB164" t="str">
        <f>IFERROR(IF(ABS(VLOOKUP(N164,BOE!J:T,10,FALSE)-L164)&lt;0.2,"Pass","Mismatch"),"")</f>
        <v/>
      </c>
      <c r="AC164" t="str">
        <f>IFERROR(VLOOKUP(N164,BOE!J:N,2,FALSE),"")</f>
        <v/>
      </c>
      <c r="AD164" t="str">
        <f>IFERROR(VLOOKUP(N164,BOE!J:N,4,FALSE),"")</f>
        <v/>
      </c>
      <c r="AE164" t="str">
        <f>IFERROR(VLOOKUP(N164,BOE!J:N,5,FALSE),"")</f>
        <v/>
      </c>
      <c r="AG164" t="str">
        <f>IFERROR(VLOOKUP(N164,BOE!J:T,11,FALSE),"")</f>
        <v/>
      </c>
      <c r="AH164" s="14" t="str">
        <f t="shared" si="19"/>
        <v/>
      </c>
      <c r="AI164" s="14" t="str">
        <f t="shared" si="20"/>
        <v/>
      </c>
      <c r="AJ164" s="14">
        <f t="shared" si="21"/>
        <v>0</v>
      </c>
      <c r="AK164" t="str">
        <f t="shared" si="22"/>
        <v/>
      </c>
    </row>
    <row r="165" spans="1:37" x14ac:dyDescent="0.25">
      <c r="A165" t="str">
        <f t="shared" si="23"/>
        <v/>
      </c>
      <c r="Q165" t="str">
        <f>IF(E165&lt;&gt;"","'"&amp;'PO NO'!$B$2,"")</f>
        <v/>
      </c>
      <c r="U165" t="str">
        <f>IFERROR(CLEAN(VLOOKUP(N165,BOE!J:P,7,FALSE)),"")</f>
        <v/>
      </c>
      <c r="V165" t="str">
        <f t="shared" si="16"/>
        <v/>
      </c>
      <c r="W165" t="str">
        <f t="shared" si="17"/>
        <v/>
      </c>
      <c r="Y165" t="str">
        <f t="shared" si="18"/>
        <v/>
      </c>
      <c r="Z165" t="str">
        <f>IFERROR(IF(VLOOKUP(N165,BOE!J:Q,8,FALSE)=J165,"Pass","Mismatch"),"")</f>
        <v/>
      </c>
      <c r="AA165" t="str">
        <f>IFERROR(IF(ABS(VLOOKUP(N165,BOE!J:R,9,FALSE)-K165)&lt;0.2,"Pass","Mismatch"),"")</f>
        <v/>
      </c>
      <c r="AB165" t="str">
        <f>IFERROR(IF(ABS(VLOOKUP(N165,BOE!J:T,10,FALSE)-L165)&lt;0.2,"Pass","Mismatch"),"")</f>
        <v/>
      </c>
      <c r="AC165" t="str">
        <f>IFERROR(VLOOKUP(N165,BOE!J:N,2,FALSE),"")</f>
        <v/>
      </c>
      <c r="AD165" t="str">
        <f>IFERROR(VLOOKUP(N165,BOE!J:N,4,FALSE),"")</f>
        <v/>
      </c>
      <c r="AE165" t="str">
        <f>IFERROR(VLOOKUP(N165,BOE!J:N,5,FALSE),"")</f>
        <v/>
      </c>
      <c r="AG165" t="str">
        <f>IFERROR(VLOOKUP(N165,BOE!J:T,11,FALSE),"")</f>
        <v/>
      </c>
      <c r="AH165" s="14" t="str">
        <f t="shared" si="19"/>
        <v/>
      </c>
      <c r="AI165" s="14" t="str">
        <f t="shared" si="20"/>
        <v/>
      </c>
      <c r="AJ165" s="14">
        <f t="shared" si="21"/>
        <v>0</v>
      </c>
      <c r="AK165" t="str">
        <f t="shared" si="22"/>
        <v/>
      </c>
    </row>
    <row r="166" spans="1:37" x14ac:dyDescent="0.25">
      <c r="A166" t="str">
        <f t="shared" si="23"/>
        <v/>
      </c>
      <c r="Q166" t="str">
        <f>IF(E166&lt;&gt;"","'"&amp;'PO NO'!$B$2,"")</f>
        <v/>
      </c>
      <c r="U166" t="str">
        <f>IFERROR(CLEAN(VLOOKUP(N166,BOE!J:P,7,FALSE)),"")</f>
        <v/>
      </c>
      <c r="V166" t="str">
        <f t="shared" si="16"/>
        <v/>
      </c>
      <c r="W166" t="str">
        <f t="shared" si="17"/>
        <v/>
      </c>
      <c r="Y166" t="str">
        <f t="shared" si="18"/>
        <v/>
      </c>
      <c r="Z166" t="str">
        <f>IFERROR(IF(VLOOKUP(N166,BOE!J:Q,8,FALSE)=J166,"Pass","Mismatch"),"")</f>
        <v/>
      </c>
      <c r="AA166" t="str">
        <f>IFERROR(IF(ABS(VLOOKUP(N166,BOE!J:R,9,FALSE)-K166)&lt;0.2,"Pass","Mismatch"),"")</f>
        <v/>
      </c>
      <c r="AB166" t="str">
        <f>IFERROR(IF(ABS(VLOOKUP(N166,BOE!J:T,10,FALSE)-L166)&lt;0.2,"Pass","Mismatch"),"")</f>
        <v/>
      </c>
      <c r="AC166" t="str">
        <f>IFERROR(VLOOKUP(N166,BOE!J:N,2,FALSE),"")</f>
        <v/>
      </c>
      <c r="AD166" t="str">
        <f>IFERROR(VLOOKUP(N166,BOE!J:N,4,FALSE),"")</f>
        <v/>
      </c>
      <c r="AE166" t="str">
        <f>IFERROR(VLOOKUP(N166,BOE!J:N,5,FALSE),"")</f>
        <v/>
      </c>
      <c r="AG166" t="str">
        <f>IFERROR(VLOOKUP(N166,BOE!J:T,11,FALSE),"")</f>
        <v/>
      </c>
      <c r="AH166" s="14" t="str">
        <f t="shared" si="19"/>
        <v/>
      </c>
      <c r="AI166" s="14" t="str">
        <f t="shared" si="20"/>
        <v/>
      </c>
      <c r="AJ166" s="14">
        <f t="shared" si="21"/>
        <v>0</v>
      </c>
      <c r="AK166" t="str">
        <f t="shared" si="22"/>
        <v/>
      </c>
    </row>
    <row r="167" spans="1:37" x14ac:dyDescent="0.25">
      <c r="A167" t="str">
        <f t="shared" si="23"/>
        <v/>
      </c>
      <c r="Q167" t="str">
        <f>IF(E167&lt;&gt;"","'"&amp;'PO NO'!$B$2,"")</f>
        <v/>
      </c>
      <c r="U167" t="str">
        <f>IFERROR(CLEAN(VLOOKUP(N167,BOE!J:P,7,FALSE)),"")</f>
        <v/>
      </c>
      <c r="V167" t="str">
        <f t="shared" si="16"/>
        <v/>
      </c>
      <c r="W167" t="str">
        <f t="shared" si="17"/>
        <v/>
      </c>
      <c r="Y167" t="str">
        <f t="shared" si="18"/>
        <v/>
      </c>
      <c r="Z167" t="str">
        <f>IFERROR(IF(VLOOKUP(N167,BOE!J:Q,8,FALSE)=J167,"Pass","Mismatch"),"")</f>
        <v/>
      </c>
      <c r="AA167" t="str">
        <f>IFERROR(IF(ABS(VLOOKUP(N167,BOE!J:R,9,FALSE)-K167)&lt;0.2,"Pass","Mismatch"),"")</f>
        <v/>
      </c>
      <c r="AB167" t="str">
        <f>IFERROR(IF(ABS(VLOOKUP(N167,BOE!J:T,10,FALSE)-L167)&lt;0.2,"Pass","Mismatch"),"")</f>
        <v/>
      </c>
      <c r="AC167" t="str">
        <f>IFERROR(VLOOKUP(N167,BOE!J:N,2,FALSE),"")</f>
        <v/>
      </c>
      <c r="AD167" t="str">
        <f>IFERROR(VLOOKUP(N167,BOE!J:N,4,FALSE),"")</f>
        <v/>
      </c>
      <c r="AE167" t="str">
        <f>IFERROR(VLOOKUP(N167,BOE!J:N,5,FALSE),"")</f>
        <v/>
      </c>
      <c r="AG167" t="str">
        <f>IFERROR(VLOOKUP(N167,BOE!J:T,11,FALSE),"")</f>
        <v/>
      </c>
      <c r="AH167" s="14" t="str">
        <f t="shared" si="19"/>
        <v/>
      </c>
      <c r="AI167" s="14" t="str">
        <f t="shared" si="20"/>
        <v/>
      </c>
      <c r="AJ167" s="14">
        <f t="shared" si="21"/>
        <v>0</v>
      </c>
      <c r="AK167" t="str">
        <f t="shared" si="22"/>
        <v/>
      </c>
    </row>
    <row r="168" spans="1:37" x14ac:dyDescent="0.25">
      <c r="A168" t="str">
        <f t="shared" si="23"/>
        <v/>
      </c>
      <c r="Q168" t="str">
        <f>IF(E168&lt;&gt;"","'"&amp;'PO NO'!$B$2,"")</f>
        <v/>
      </c>
      <c r="U168" t="str">
        <f>IFERROR(CLEAN(VLOOKUP(N168,BOE!J:P,7,FALSE)),"")</f>
        <v/>
      </c>
      <c r="V168" t="str">
        <f t="shared" si="16"/>
        <v/>
      </c>
      <c r="W168" t="str">
        <f t="shared" si="17"/>
        <v/>
      </c>
      <c r="Y168" t="str">
        <f t="shared" si="18"/>
        <v/>
      </c>
      <c r="Z168" t="str">
        <f>IFERROR(IF(VLOOKUP(N168,BOE!J:Q,8,FALSE)=J168,"Pass","Mismatch"),"")</f>
        <v/>
      </c>
      <c r="AA168" t="str">
        <f>IFERROR(IF(ABS(VLOOKUP(N168,BOE!J:R,9,FALSE)-K168)&lt;0.2,"Pass","Mismatch"),"")</f>
        <v/>
      </c>
      <c r="AB168" t="str">
        <f>IFERROR(IF(ABS(VLOOKUP(N168,BOE!J:T,10,FALSE)-L168)&lt;0.2,"Pass","Mismatch"),"")</f>
        <v/>
      </c>
      <c r="AC168" t="str">
        <f>IFERROR(VLOOKUP(N168,BOE!J:N,2,FALSE),"")</f>
        <v/>
      </c>
      <c r="AD168" t="str">
        <f>IFERROR(VLOOKUP(N168,BOE!J:N,4,FALSE),"")</f>
        <v/>
      </c>
      <c r="AE168" t="str">
        <f>IFERROR(VLOOKUP(N168,BOE!J:N,5,FALSE),"")</f>
        <v/>
      </c>
      <c r="AG168" t="str">
        <f>IFERROR(VLOOKUP(N168,BOE!J:T,11,FALSE),"")</f>
        <v/>
      </c>
      <c r="AH168" s="14" t="str">
        <f t="shared" si="19"/>
        <v/>
      </c>
      <c r="AI168" s="14" t="str">
        <f t="shared" si="20"/>
        <v/>
      </c>
      <c r="AJ168" s="14">
        <f t="shared" si="21"/>
        <v>0</v>
      </c>
      <c r="AK168" t="str">
        <f t="shared" si="22"/>
        <v/>
      </c>
    </row>
    <row r="169" spans="1:37" x14ac:dyDescent="0.25">
      <c r="A169" t="str">
        <f t="shared" si="23"/>
        <v/>
      </c>
      <c r="Q169" t="str">
        <f>IF(E169&lt;&gt;"","'"&amp;'PO NO'!$B$2,"")</f>
        <v/>
      </c>
      <c r="U169" t="str">
        <f>IFERROR(CLEAN(VLOOKUP(N169,BOE!J:P,7,FALSE)),"")</f>
        <v/>
      </c>
      <c r="V169" t="str">
        <f t="shared" si="16"/>
        <v/>
      </c>
      <c r="W169" t="str">
        <f t="shared" si="17"/>
        <v/>
      </c>
      <c r="Y169" t="str">
        <f t="shared" si="18"/>
        <v/>
      </c>
      <c r="Z169" t="str">
        <f>IFERROR(IF(VLOOKUP(N169,BOE!J:Q,8,FALSE)=J169,"Pass","Mismatch"),"")</f>
        <v/>
      </c>
      <c r="AA169" t="str">
        <f>IFERROR(IF(ABS(VLOOKUP(N169,BOE!J:R,9,FALSE)-K169)&lt;0.2,"Pass","Mismatch"),"")</f>
        <v/>
      </c>
      <c r="AB169" t="str">
        <f>IFERROR(IF(ABS(VLOOKUP(N169,BOE!J:T,10,FALSE)-L169)&lt;0.2,"Pass","Mismatch"),"")</f>
        <v/>
      </c>
      <c r="AC169" t="str">
        <f>IFERROR(VLOOKUP(N169,BOE!J:N,2,FALSE),"")</f>
        <v/>
      </c>
      <c r="AD169" t="str">
        <f>IFERROR(VLOOKUP(N169,BOE!J:N,4,FALSE),"")</f>
        <v/>
      </c>
      <c r="AE169" t="str">
        <f>IFERROR(VLOOKUP(N169,BOE!J:N,5,FALSE),"")</f>
        <v/>
      </c>
      <c r="AG169" t="str">
        <f>IFERROR(VLOOKUP(N169,BOE!J:T,11,FALSE),"")</f>
        <v/>
      </c>
      <c r="AH169" s="14" t="str">
        <f t="shared" si="19"/>
        <v/>
      </c>
      <c r="AI169" s="14" t="str">
        <f t="shared" si="20"/>
        <v/>
      </c>
      <c r="AJ169" s="14">
        <f t="shared" si="21"/>
        <v>0</v>
      </c>
      <c r="AK169" t="str">
        <f t="shared" si="22"/>
        <v/>
      </c>
    </row>
    <row r="170" spans="1:37" x14ac:dyDescent="0.25">
      <c r="A170" t="str">
        <f t="shared" si="23"/>
        <v/>
      </c>
      <c r="Q170" t="str">
        <f>IF(E170&lt;&gt;"","'"&amp;'PO NO'!$B$2,"")</f>
        <v/>
      </c>
      <c r="U170" t="str">
        <f>IFERROR(CLEAN(VLOOKUP(N170,BOE!J:P,7,FALSE)),"")</f>
        <v/>
      </c>
      <c r="V170" t="str">
        <f t="shared" si="16"/>
        <v/>
      </c>
      <c r="W170" t="str">
        <f t="shared" si="17"/>
        <v/>
      </c>
      <c r="Y170" t="str">
        <f t="shared" si="18"/>
        <v/>
      </c>
      <c r="Z170" t="str">
        <f>IFERROR(IF(VLOOKUP(N170,BOE!J:Q,8,FALSE)=J170,"Pass","Mismatch"),"")</f>
        <v/>
      </c>
      <c r="AA170" t="str">
        <f>IFERROR(IF(ABS(VLOOKUP(N170,BOE!J:R,9,FALSE)-K170)&lt;0.2,"Pass","Mismatch"),"")</f>
        <v/>
      </c>
      <c r="AB170" t="str">
        <f>IFERROR(IF(ABS(VLOOKUP(N170,BOE!J:T,10,FALSE)-L170)&lt;0.2,"Pass","Mismatch"),"")</f>
        <v/>
      </c>
      <c r="AC170" t="str">
        <f>IFERROR(VLOOKUP(N170,BOE!J:N,2,FALSE),"")</f>
        <v/>
      </c>
      <c r="AD170" t="str">
        <f>IFERROR(VLOOKUP(N170,BOE!J:N,4,FALSE),"")</f>
        <v/>
      </c>
      <c r="AE170" t="str">
        <f>IFERROR(VLOOKUP(N170,BOE!J:N,5,FALSE),"")</f>
        <v/>
      </c>
      <c r="AG170" t="str">
        <f>IFERROR(VLOOKUP(N170,BOE!J:T,11,FALSE),"")</f>
        <v/>
      </c>
      <c r="AH170" s="14" t="str">
        <f t="shared" si="19"/>
        <v/>
      </c>
      <c r="AI170" s="14" t="str">
        <f t="shared" si="20"/>
        <v/>
      </c>
      <c r="AJ170" s="14">
        <f t="shared" si="21"/>
        <v>0</v>
      </c>
      <c r="AK170" t="str">
        <f t="shared" si="22"/>
        <v/>
      </c>
    </row>
    <row r="171" spans="1:37" x14ac:dyDescent="0.25">
      <c r="A171" t="str">
        <f t="shared" si="23"/>
        <v/>
      </c>
      <c r="Q171" t="str">
        <f>IF(E171&lt;&gt;"","'"&amp;'PO NO'!$B$2,"")</f>
        <v/>
      </c>
      <c r="U171" t="str">
        <f>IFERROR(CLEAN(VLOOKUP(N171,BOE!J:P,7,FALSE)),"")</f>
        <v/>
      </c>
      <c r="V171" t="str">
        <f t="shared" si="16"/>
        <v/>
      </c>
      <c r="W171" t="str">
        <f t="shared" si="17"/>
        <v/>
      </c>
      <c r="Y171" t="str">
        <f t="shared" si="18"/>
        <v/>
      </c>
      <c r="Z171" t="str">
        <f>IFERROR(IF(VLOOKUP(N171,BOE!J:Q,8,FALSE)=J171,"Pass","Mismatch"),"")</f>
        <v/>
      </c>
      <c r="AA171" t="str">
        <f>IFERROR(IF(ABS(VLOOKUP(N171,BOE!J:R,9,FALSE)-K171)&lt;0.2,"Pass","Mismatch"),"")</f>
        <v/>
      </c>
      <c r="AB171" t="str">
        <f>IFERROR(IF(ABS(VLOOKUP(N171,BOE!J:T,10,FALSE)-L171)&lt;0.2,"Pass","Mismatch"),"")</f>
        <v/>
      </c>
      <c r="AC171" t="str">
        <f>IFERROR(VLOOKUP(N171,BOE!J:N,2,FALSE),"")</f>
        <v/>
      </c>
      <c r="AD171" t="str">
        <f>IFERROR(VLOOKUP(N171,BOE!J:N,4,FALSE),"")</f>
        <v/>
      </c>
      <c r="AE171" t="str">
        <f>IFERROR(VLOOKUP(N171,BOE!J:N,5,FALSE),"")</f>
        <v/>
      </c>
      <c r="AG171" t="str">
        <f>IFERROR(VLOOKUP(N171,BOE!J:T,11,FALSE),"")</f>
        <v/>
      </c>
      <c r="AH171" s="14" t="str">
        <f t="shared" si="19"/>
        <v/>
      </c>
      <c r="AI171" s="14" t="str">
        <f t="shared" si="20"/>
        <v/>
      </c>
      <c r="AJ171" s="14">
        <f t="shared" si="21"/>
        <v>0</v>
      </c>
      <c r="AK171" t="str">
        <f t="shared" si="22"/>
        <v/>
      </c>
    </row>
    <row r="172" spans="1:37" x14ac:dyDescent="0.25">
      <c r="A172" t="str">
        <f t="shared" si="23"/>
        <v/>
      </c>
      <c r="Q172" t="str">
        <f>IF(E172&lt;&gt;"","'"&amp;'PO NO'!$B$2,"")</f>
        <v/>
      </c>
      <c r="U172" t="str">
        <f>IFERROR(CLEAN(VLOOKUP(N172,BOE!J:P,7,FALSE)),"")</f>
        <v/>
      </c>
      <c r="V172" t="str">
        <f t="shared" si="16"/>
        <v/>
      </c>
      <c r="W172" t="str">
        <f t="shared" si="17"/>
        <v/>
      </c>
      <c r="Y172" t="str">
        <f t="shared" si="18"/>
        <v/>
      </c>
      <c r="Z172" t="str">
        <f>IFERROR(IF(VLOOKUP(N172,BOE!J:Q,8,FALSE)=J172,"Pass","Mismatch"),"")</f>
        <v/>
      </c>
      <c r="AA172" t="str">
        <f>IFERROR(IF(ABS(VLOOKUP(N172,BOE!J:R,9,FALSE)-K172)&lt;0.2,"Pass","Mismatch"),"")</f>
        <v/>
      </c>
      <c r="AB172" t="str">
        <f>IFERROR(IF(ABS(VLOOKUP(N172,BOE!J:T,10,FALSE)-L172)&lt;0.2,"Pass","Mismatch"),"")</f>
        <v/>
      </c>
      <c r="AC172" t="str">
        <f>IFERROR(VLOOKUP(N172,BOE!J:N,2,FALSE),"")</f>
        <v/>
      </c>
      <c r="AD172" t="str">
        <f>IFERROR(VLOOKUP(N172,BOE!J:N,4,FALSE),"")</f>
        <v/>
      </c>
      <c r="AE172" t="str">
        <f>IFERROR(VLOOKUP(N172,BOE!J:N,5,FALSE),"")</f>
        <v/>
      </c>
      <c r="AG172" t="str">
        <f>IFERROR(VLOOKUP(N172,BOE!J:T,11,FALSE),"")</f>
        <v/>
      </c>
      <c r="AH172" s="14" t="str">
        <f t="shared" si="19"/>
        <v/>
      </c>
      <c r="AI172" s="14" t="str">
        <f t="shared" si="20"/>
        <v/>
      </c>
      <c r="AJ172" s="14">
        <f t="shared" si="21"/>
        <v>0</v>
      </c>
      <c r="AK172" t="str">
        <f t="shared" si="22"/>
        <v/>
      </c>
    </row>
    <row r="173" spans="1:37" x14ac:dyDescent="0.25">
      <c r="A173" t="str">
        <f t="shared" si="23"/>
        <v/>
      </c>
      <c r="Q173" t="str">
        <f>IF(E173&lt;&gt;"","'"&amp;'PO NO'!$B$2,"")</f>
        <v/>
      </c>
      <c r="U173" t="str">
        <f>IFERROR(CLEAN(VLOOKUP(N173,BOE!J:P,7,FALSE)),"")</f>
        <v/>
      </c>
      <c r="V173" t="str">
        <f t="shared" si="16"/>
        <v/>
      </c>
      <c r="W173" t="str">
        <f t="shared" si="17"/>
        <v/>
      </c>
      <c r="Y173" t="str">
        <f t="shared" si="18"/>
        <v/>
      </c>
      <c r="Z173" t="str">
        <f>IFERROR(IF(VLOOKUP(N173,BOE!J:Q,8,FALSE)=J173,"Pass","Mismatch"),"")</f>
        <v/>
      </c>
      <c r="AA173" t="str">
        <f>IFERROR(IF(ABS(VLOOKUP(N173,BOE!J:R,9,FALSE)-K173)&lt;0.2,"Pass","Mismatch"),"")</f>
        <v/>
      </c>
      <c r="AB173" t="str">
        <f>IFERROR(IF(ABS(VLOOKUP(N173,BOE!J:T,10,FALSE)-L173)&lt;0.2,"Pass","Mismatch"),"")</f>
        <v/>
      </c>
      <c r="AC173" t="str">
        <f>IFERROR(VLOOKUP(N173,BOE!J:N,2,FALSE),"")</f>
        <v/>
      </c>
      <c r="AD173" t="str">
        <f>IFERROR(VLOOKUP(N173,BOE!J:N,4,FALSE),"")</f>
        <v/>
      </c>
      <c r="AE173" t="str">
        <f>IFERROR(VLOOKUP(N173,BOE!J:N,5,FALSE),"")</f>
        <v/>
      </c>
      <c r="AG173" t="str">
        <f>IFERROR(VLOOKUP(N173,BOE!J:T,11,FALSE),"")</f>
        <v/>
      </c>
      <c r="AH173" s="14" t="str">
        <f t="shared" si="19"/>
        <v/>
      </c>
      <c r="AI173" s="14" t="str">
        <f t="shared" si="20"/>
        <v/>
      </c>
      <c r="AJ173" s="14">
        <f t="shared" si="21"/>
        <v>0</v>
      </c>
      <c r="AK173" t="str">
        <f t="shared" si="22"/>
        <v/>
      </c>
    </row>
    <row r="174" spans="1:37" x14ac:dyDescent="0.25">
      <c r="A174" t="str">
        <f t="shared" si="23"/>
        <v/>
      </c>
      <c r="Q174" t="str">
        <f>IF(E174&lt;&gt;"","'"&amp;'PO NO'!$B$2,"")</f>
        <v/>
      </c>
      <c r="U174" t="str">
        <f>IFERROR(CLEAN(VLOOKUP(N174,BOE!J:P,7,FALSE)),"")</f>
        <v/>
      </c>
      <c r="V174" t="str">
        <f t="shared" si="16"/>
        <v/>
      </c>
      <c r="W174" t="str">
        <f t="shared" si="17"/>
        <v/>
      </c>
      <c r="Y174" t="str">
        <f t="shared" si="18"/>
        <v/>
      </c>
      <c r="Z174" t="str">
        <f>IFERROR(IF(VLOOKUP(N174,BOE!J:Q,8,FALSE)=J174,"Pass","Mismatch"),"")</f>
        <v/>
      </c>
      <c r="AA174" t="str">
        <f>IFERROR(IF(ABS(VLOOKUP(N174,BOE!J:R,9,FALSE)-K174)&lt;0.2,"Pass","Mismatch"),"")</f>
        <v/>
      </c>
      <c r="AB174" t="str">
        <f>IFERROR(IF(ABS(VLOOKUP(N174,BOE!J:T,10,FALSE)-L174)&lt;0.2,"Pass","Mismatch"),"")</f>
        <v/>
      </c>
      <c r="AC174" t="str">
        <f>IFERROR(VLOOKUP(N174,BOE!J:N,2,FALSE),"")</f>
        <v/>
      </c>
      <c r="AD174" t="str">
        <f>IFERROR(VLOOKUP(N174,BOE!J:N,4,FALSE),"")</f>
        <v/>
      </c>
      <c r="AE174" t="str">
        <f>IFERROR(VLOOKUP(N174,BOE!J:N,5,FALSE),"")</f>
        <v/>
      </c>
      <c r="AG174" t="str">
        <f>IFERROR(VLOOKUP(N174,BOE!J:T,11,FALSE),"")</f>
        <v/>
      </c>
      <c r="AH174" s="14" t="str">
        <f t="shared" si="19"/>
        <v/>
      </c>
      <c r="AI174" s="14" t="str">
        <f t="shared" si="20"/>
        <v/>
      </c>
      <c r="AJ174" s="14">
        <f t="shared" si="21"/>
        <v>0</v>
      </c>
      <c r="AK174" t="str">
        <f t="shared" si="22"/>
        <v/>
      </c>
    </row>
    <row r="175" spans="1:37" x14ac:dyDescent="0.25">
      <c r="A175" t="str">
        <f t="shared" si="23"/>
        <v/>
      </c>
      <c r="Q175" t="str">
        <f>IF(E175&lt;&gt;"","'"&amp;'PO NO'!$B$2,"")</f>
        <v/>
      </c>
      <c r="U175" t="str">
        <f>IFERROR(CLEAN(VLOOKUP(N175,BOE!J:P,7,FALSE)),"")</f>
        <v/>
      </c>
      <c r="V175" t="str">
        <f t="shared" si="16"/>
        <v/>
      </c>
      <c r="W175" t="str">
        <f t="shared" si="17"/>
        <v/>
      </c>
      <c r="Y175" t="str">
        <f t="shared" si="18"/>
        <v/>
      </c>
      <c r="Z175" t="str">
        <f>IFERROR(IF(VLOOKUP(N175,BOE!J:Q,8,FALSE)=J175,"Pass","Mismatch"),"")</f>
        <v/>
      </c>
      <c r="AA175" t="str">
        <f>IFERROR(IF(ABS(VLOOKUP(N175,BOE!J:R,9,FALSE)-K175)&lt;0.2,"Pass","Mismatch"),"")</f>
        <v/>
      </c>
      <c r="AB175" t="str">
        <f>IFERROR(IF(ABS(VLOOKUP(N175,BOE!J:T,10,FALSE)-L175)&lt;0.2,"Pass","Mismatch"),"")</f>
        <v/>
      </c>
      <c r="AC175" t="str">
        <f>IFERROR(VLOOKUP(N175,BOE!J:N,2,FALSE),"")</f>
        <v/>
      </c>
      <c r="AD175" t="str">
        <f>IFERROR(VLOOKUP(N175,BOE!J:N,4,FALSE),"")</f>
        <v/>
      </c>
      <c r="AE175" t="str">
        <f>IFERROR(VLOOKUP(N175,BOE!J:N,5,FALSE),"")</f>
        <v/>
      </c>
      <c r="AG175" t="str">
        <f>IFERROR(VLOOKUP(N175,BOE!J:T,11,FALSE),"")</f>
        <v/>
      </c>
      <c r="AH175" s="14" t="str">
        <f t="shared" si="19"/>
        <v/>
      </c>
      <c r="AI175" s="14" t="str">
        <f t="shared" si="20"/>
        <v/>
      </c>
      <c r="AJ175" s="14">
        <f t="shared" si="21"/>
        <v>0</v>
      </c>
      <c r="AK175" t="str">
        <f t="shared" si="22"/>
        <v/>
      </c>
    </row>
    <row r="176" spans="1:37" x14ac:dyDescent="0.25">
      <c r="A176" t="str">
        <f t="shared" si="23"/>
        <v/>
      </c>
      <c r="Q176" t="str">
        <f>IF(E176&lt;&gt;"","'"&amp;'PO NO'!$B$2,"")</f>
        <v/>
      </c>
      <c r="U176" t="str">
        <f>IFERROR(CLEAN(VLOOKUP(N176,BOE!J:P,7,FALSE)),"")</f>
        <v/>
      </c>
      <c r="V176" t="str">
        <f t="shared" si="16"/>
        <v/>
      </c>
      <c r="W176" t="str">
        <f t="shared" si="17"/>
        <v/>
      </c>
      <c r="Y176" t="str">
        <f t="shared" si="18"/>
        <v/>
      </c>
      <c r="Z176" t="str">
        <f>IFERROR(IF(VLOOKUP(N176,BOE!J:Q,8,FALSE)=J176,"Pass","Mismatch"),"")</f>
        <v/>
      </c>
      <c r="AA176" t="str">
        <f>IFERROR(IF(ABS(VLOOKUP(N176,BOE!J:R,9,FALSE)-K176)&lt;0.2,"Pass","Mismatch"),"")</f>
        <v/>
      </c>
      <c r="AB176" t="str">
        <f>IFERROR(IF(ABS(VLOOKUP(N176,BOE!J:T,10,FALSE)-L176)&lt;0.2,"Pass","Mismatch"),"")</f>
        <v/>
      </c>
      <c r="AC176" t="str">
        <f>IFERROR(VLOOKUP(N176,BOE!J:N,2,FALSE),"")</f>
        <v/>
      </c>
      <c r="AD176" t="str">
        <f>IFERROR(VLOOKUP(N176,BOE!J:N,4,FALSE),"")</f>
        <v/>
      </c>
      <c r="AE176" t="str">
        <f>IFERROR(VLOOKUP(N176,BOE!J:N,5,FALSE),"")</f>
        <v/>
      </c>
      <c r="AG176" t="str">
        <f>IFERROR(VLOOKUP(N176,BOE!J:T,11,FALSE),"")</f>
        <v/>
      </c>
      <c r="AH176" s="14" t="str">
        <f t="shared" si="19"/>
        <v/>
      </c>
      <c r="AI176" s="14" t="str">
        <f t="shared" si="20"/>
        <v/>
      </c>
      <c r="AJ176" s="14">
        <f t="shared" si="21"/>
        <v>0</v>
      </c>
      <c r="AK176" t="str">
        <f t="shared" si="22"/>
        <v/>
      </c>
    </row>
    <row r="177" spans="1:37" x14ac:dyDescent="0.25">
      <c r="A177" t="str">
        <f t="shared" si="23"/>
        <v/>
      </c>
      <c r="Q177" t="str">
        <f>IF(E177&lt;&gt;"","'"&amp;'PO NO'!$B$2,"")</f>
        <v/>
      </c>
      <c r="U177" t="str">
        <f>IFERROR(CLEAN(VLOOKUP(N177,BOE!J:P,7,FALSE)),"")</f>
        <v/>
      </c>
      <c r="V177" t="str">
        <f t="shared" si="16"/>
        <v/>
      </c>
      <c r="W177" t="str">
        <f t="shared" si="17"/>
        <v/>
      </c>
      <c r="Y177" t="str">
        <f t="shared" si="18"/>
        <v/>
      </c>
      <c r="Z177" t="str">
        <f>IFERROR(IF(VLOOKUP(N177,BOE!J:Q,8,FALSE)=J177,"Pass","Mismatch"),"")</f>
        <v/>
      </c>
      <c r="AA177" t="str">
        <f>IFERROR(IF(ABS(VLOOKUP(N177,BOE!J:R,9,FALSE)-K177)&lt;0.2,"Pass","Mismatch"),"")</f>
        <v/>
      </c>
      <c r="AB177" t="str">
        <f>IFERROR(IF(ABS(VLOOKUP(N177,BOE!J:T,10,FALSE)-L177)&lt;0.2,"Pass","Mismatch"),"")</f>
        <v/>
      </c>
      <c r="AC177" t="str">
        <f>IFERROR(VLOOKUP(N177,BOE!J:N,2,FALSE),"")</f>
        <v/>
      </c>
      <c r="AD177" t="str">
        <f>IFERROR(VLOOKUP(N177,BOE!J:N,4,FALSE),"")</f>
        <v/>
      </c>
      <c r="AE177" t="str">
        <f>IFERROR(VLOOKUP(N177,BOE!J:N,5,FALSE),"")</f>
        <v/>
      </c>
      <c r="AG177" t="str">
        <f>IFERROR(VLOOKUP(N177,BOE!J:T,11,FALSE),"")</f>
        <v/>
      </c>
      <c r="AH177" s="14" t="str">
        <f t="shared" si="19"/>
        <v/>
      </c>
      <c r="AI177" s="14" t="str">
        <f t="shared" si="20"/>
        <v/>
      </c>
      <c r="AJ177" s="14">
        <f t="shared" si="21"/>
        <v>0</v>
      </c>
      <c r="AK177" t="str">
        <f t="shared" si="22"/>
        <v/>
      </c>
    </row>
    <row r="178" spans="1:37" x14ac:dyDescent="0.25">
      <c r="A178" t="str">
        <f t="shared" si="23"/>
        <v/>
      </c>
      <c r="Q178" t="str">
        <f>IF(E178&lt;&gt;"","'"&amp;'PO NO'!$B$2,"")</f>
        <v/>
      </c>
      <c r="U178" t="str">
        <f>IFERROR(CLEAN(VLOOKUP(N178,BOE!J:P,7,FALSE)),"")</f>
        <v/>
      </c>
      <c r="V178" t="str">
        <f t="shared" si="16"/>
        <v/>
      </c>
      <c r="W178" t="str">
        <f t="shared" si="17"/>
        <v/>
      </c>
      <c r="Y178" t="str">
        <f t="shared" si="18"/>
        <v/>
      </c>
      <c r="Z178" t="str">
        <f>IFERROR(IF(VLOOKUP(N178,BOE!J:Q,8,FALSE)=J178,"Pass","Mismatch"),"")</f>
        <v/>
      </c>
      <c r="AA178" t="str">
        <f>IFERROR(IF(ABS(VLOOKUP(N178,BOE!J:R,9,FALSE)-K178)&lt;0.2,"Pass","Mismatch"),"")</f>
        <v/>
      </c>
      <c r="AB178" t="str">
        <f>IFERROR(IF(ABS(VLOOKUP(N178,BOE!J:T,10,FALSE)-L178)&lt;0.2,"Pass","Mismatch"),"")</f>
        <v/>
      </c>
      <c r="AC178" t="str">
        <f>IFERROR(VLOOKUP(N178,BOE!J:N,2,FALSE),"")</f>
        <v/>
      </c>
      <c r="AD178" t="str">
        <f>IFERROR(VLOOKUP(N178,BOE!J:N,4,FALSE),"")</f>
        <v/>
      </c>
      <c r="AE178" t="str">
        <f>IFERROR(VLOOKUP(N178,BOE!J:N,5,FALSE),"")</f>
        <v/>
      </c>
      <c r="AG178" t="str">
        <f>IFERROR(VLOOKUP(N178,BOE!J:T,11,FALSE),"")</f>
        <v/>
      </c>
      <c r="AH178" s="14" t="str">
        <f t="shared" si="19"/>
        <v/>
      </c>
      <c r="AI178" s="14" t="str">
        <f t="shared" si="20"/>
        <v/>
      </c>
      <c r="AJ178" s="14">
        <f t="shared" si="21"/>
        <v>0</v>
      </c>
      <c r="AK178" t="str">
        <f t="shared" si="22"/>
        <v/>
      </c>
    </row>
    <row r="179" spans="1:37" x14ac:dyDescent="0.25">
      <c r="A179" t="str">
        <f t="shared" si="23"/>
        <v/>
      </c>
      <c r="Q179" t="str">
        <f>IF(E179&lt;&gt;"","'"&amp;'PO NO'!$B$2,"")</f>
        <v/>
      </c>
      <c r="U179" t="str">
        <f>IFERROR(CLEAN(VLOOKUP(N179,BOE!J:P,7,FALSE)),"")</f>
        <v/>
      </c>
      <c r="V179" t="str">
        <f t="shared" si="16"/>
        <v/>
      </c>
      <c r="W179" t="str">
        <f t="shared" si="17"/>
        <v/>
      </c>
      <c r="Y179" t="str">
        <f t="shared" si="18"/>
        <v/>
      </c>
      <c r="Z179" t="str">
        <f>IFERROR(IF(VLOOKUP(N179,BOE!J:Q,8,FALSE)=J179,"Pass","Mismatch"),"")</f>
        <v/>
      </c>
      <c r="AA179" t="str">
        <f>IFERROR(IF(ABS(VLOOKUP(N179,BOE!J:R,9,FALSE)-K179)&lt;0.2,"Pass","Mismatch"),"")</f>
        <v/>
      </c>
      <c r="AB179" t="str">
        <f>IFERROR(IF(ABS(VLOOKUP(N179,BOE!J:T,10,FALSE)-L179)&lt;0.2,"Pass","Mismatch"),"")</f>
        <v/>
      </c>
      <c r="AC179" t="str">
        <f>IFERROR(VLOOKUP(N179,BOE!J:N,2,FALSE),"")</f>
        <v/>
      </c>
      <c r="AD179" t="str">
        <f>IFERROR(VLOOKUP(N179,BOE!J:N,4,FALSE),"")</f>
        <v/>
      </c>
      <c r="AE179" t="str">
        <f>IFERROR(VLOOKUP(N179,BOE!J:N,5,FALSE),"")</f>
        <v/>
      </c>
      <c r="AG179" t="str">
        <f>IFERROR(VLOOKUP(N179,BOE!J:T,11,FALSE),"")</f>
        <v/>
      </c>
      <c r="AH179" s="14" t="str">
        <f t="shared" si="19"/>
        <v/>
      </c>
      <c r="AI179" s="14" t="str">
        <f t="shared" si="20"/>
        <v/>
      </c>
      <c r="AJ179" s="14">
        <f t="shared" si="21"/>
        <v>0</v>
      </c>
      <c r="AK179" t="str">
        <f t="shared" si="22"/>
        <v/>
      </c>
    </row>
    <row r="180" spans="1:37" x14ac:dyDescent="0.25">
      <c r="A180" t="str">
        <f t="shared" si="23"/>
        <v/>
      </c>
      <c r="Q180" t="str">
        <f>IF(E180&lt;&gt;"","'"&amp;'PO NO'!$B$2,"")</f>
        <v/>
      </c>
      <c r="U180" t="str">
        <f>IFERROR(CLEAN(VLOOKUP(N180,BOE!J:P,7,FALSE)),"")</f>
        <v/>
      </c>
      <c r="V180" t="str">
        <f t="shared" si="16"/>
        <v/>
      </c>
      <c r="W180" t="str">
        <f t="shared" si="17"/>
        <v/>
      </c>
      <c r="Y180" t="str">
        <f t="shared" si="18"/>
        <v/>
      </c>
      <c r="Z180" t="str">
        <f>IFERROR(IF(VLOOKUP(N180,BOE!J:Q,8,FALSE)=J180,"Pass","Mismatch"),"")</f>
        <v/>
      </c>
      <c r="AA180" t="str">
        <f>IFERROR(IF(ABS(VLOOKUP(N180,BOE!J:R,9,FALSE)-K180)&lt;0.2,"Pass","Mismatch"),"")</f>
        <v/>
      </c>
      <c r="AB180" t="str">
        <f>IFERROR(IF(ABS(VLOOKUP(N180,BOE!J:T,10,FALSE)-L180)&lt;0.2,"Pass","Mismatch"),"")</f>
        <v/>
      </c>
      <c r="AC180" t="str">
        <f>IFERROR(VLOOKUP(N180,BOE!J:N,2,FALSE),"")</f>
        <v/>
      </c>
      <c r="AD180" t="str">
        <f>IFERROR(VLOOKUP(N180,BOE!J:N,4,FALSE),"")</f>
        <v/>
      </c>
      <c r="AE180" t="str">
        <f>IFERROR(VLOOKUP(N180,BOE!J:N,5,FALSE),"")</f>
        <v/>
      </c>
      <c r="AG180" t="str">
        <f>IFERROR(VLOOKUP(N180,BOE!J:T,11,FALSE),"")</f>
        <v/>
      </c>
      <c r="AH180" s="14" t="str">
        <f t="shared" si="19"/>
        <v/>
      </c>
      <c r="AI180" s="14" t="str">
        <f t="shared" si="20"/>
        <v/>
      </c>
      <c r="AJ180" s="14">
        <f t="shared" si="21"/>
        <v>0</v>
      </c>
      <c r="AK180" t="str">
        <f t="shared" si="22"/>
        <v/>
      </c>
    </row>
    <row r="181" spans="1:37" x14ac:dyDescent="0.25">
      <c r="A181" t="str">
        <f t="shared" si="23"/>
        <v/>
      </c>
      <c r="Q181" t="str">
        <f>IF(E181&lt;&gt;"","'"&amp;'PO NO'!$B$2,"")</f>
        <v/>
      </c>
      <c r="U181" t="str">
        <f>IFERROR(CLEAN(VLOOKUP(N181,BOE!J:P,7,FALSE)),"")</f>
        <v/>
      </c>
      <c r="V181" t="str">
        <f t="shared" si="16"/>
        <v/>
      </c>
      <c r="W181" t="str">
        <f t="shared" si="17"/>
        <v/>
      </c>
      <c r="Y181" t="str">
        <f t="shared" si="18"/>
        <v/>
      </c>
      <c r="Z181" t="str">
        <f>IFERROR(IF(VLOOKUP(N181,BOE!J:Q,8,FALSE)=J181,"Pass","Mismatch"),"")</f>
        <v/>
      </c>
      <c r="AA181" t="str">
        <f>IFERROR(IF(ABS(VLOOKUP(N181,BOE!J:R,9,FALSE)-K181)&lt;0.2,"Pass","Mismatch"),"")</f>
        <v/>
      </c>
      <c r="AB181" t="str">
        <f>IFERROR(IF(ABS(VLOOKUP(N181,BOE!J:T,10,FALSE)-L181)&lt;0.2,"Pass","Mismatch"),"")</f>
        <v/>
      </c>
      <c r="AC181" t="str">
        <f>IFERROR(VLOOKUP(N181,BOE!J:N,2,FALSE),"")</f>
        <v/>
      </c>
      <c r="AD181" t="str">
        <f>IFERROR(VLOOKUP(N181,BOE!J:N,4,FALSE),"")</f>
        <v/>
      </c>
      <c r="AE181" t="str">
        <f>IFERROR(VLOOKUP(N181,BOE!J:N,5,FALSE),"")</f>
        <v/>
      </c>
      <c r="AG181" t="str">
        <f>IFERROR(VLOOKUP(N181,BOE!J:T,11,FALSE),"")</f>
        <v/>
      </c>
      <c r="AH181" s="14" t="str">
        <f t="shared" si="19"/>
        <v/>
      </c>
      <c r="AI181" s="14" t="str">
        <f t="shared" si="20"/>
        <v/>
      </c>
      <c r="AJ181" s="14">
        <f t="shared" si="21"/>
        <v>0</v>
      </c>
      <c r="AK181" t="str">
        <f t="shared" si="22"/>
        <v/>
      </c>
    </row>
    <row r="182" spans="1:37" x14ac:dyDescent="0.25">
      <c r="A182" t="str">
        <f t="shared" si="23"/>
        <v/>
      </c>
      <c r="Q182" t="str">
        <f>IF(E182&lt;&gt;"","'"&amp;'PO NO'!$B$2,"")</f>
        <v/>
      </c>
      <c r="U182" t="str">
        <f>IFERROR(CLEAN(VLOOKUP(N182,BOE!J:P,7,FALSE)),"")</f>
        <v/>
      </c>
      <c r="V182" t="str">
        <f t="shared" si="16"/>
        <v/>
      </c>
      <c r="W182" t="str">
        <f t="shared" si="17"/>
        <v/>
      </c>
      <c r="Y182" t="str">
        <f t="shared" si="18"/>
        <v/>
      </c>
      <c r="Z182" t="str">
        <f>IFERROR(IF(VLOOKUP(N182,BOE!J:Q,8,FALSE)=J182,"Pass","Mismatch"),"")</f>
        <v/>
      </c>
      <c r="AA182" t="str">
        <f>IFERROR(IF(ABS(VLOOKUP(N182,BOE!J:R,9,FALSE)-K182)&lt;0.2,"Pass","Mismatch"),"")</f>
        <v/>
      </c>
      <c r="AB182" t="str">
        <f>IFERROR(IF(ABS(VLOOKUP(N182,BOE!J:T,10,FALSE)-L182)&lt;0.2,"Pass","Mismatch"),"")</f>
        <v/>
      </c>
      <c r="AC182" t="str">
        <f>IFERROR(VLOOKUP(N182,BOE!J:N,2,FALSE),"")</f>
        <v/>
      </c>
      <c r="AD182" t="str">
        <f>IFERROR(VLOOKUP(N182,BOE!J:N,4,FALSE),"")</f>
        <v/>
      </c>
      <c r="AE182" t="str">
        <f>IFERROR(VLOOKUP(N182,BOE!J:N,5,FALSE),"")</f>
        <v/>
      </c>
      <c r="AG182" t="str">
        <f>IFERROR(VLOOKUP(N182,BOE!J:T,11,FALSE),"")</f>
        <v/>
      </c>
      <c r="AH182" s="14" t="str">
        <f t="shared" si="19"/>
        <v/>
      </c>
      <c r="AI182" s="14" t="str">
        <f t="shared" si="20"/>
        <v/>
      </c>
      <c r="AJ182" s="14">
        <f t="shared" si="21"/>
        <v>0</v>
      </c>
      <c r="AK182" t="str">
        <f t="shared" si="22"/>
        <v/>
      </c>
    </row>
    <row r="183" spans="1:37" x14ac:dyDescent="0.25">
      <c r="A183" t="str">
        <f t="shared" si="23"/>
        <v/>
      </c>
      <c r="Q183" t="str">
        <f>IF(E183&lt;&gt;"","'"&amp;'PO NO'!$B$2,"")</f>
        <v/>
      </c>
      <c r="U183" t="str">
        <f>IFERROR(CLEAN(VLOOKUP(N183,BOE!J:P,7,FALSE)),"")</f>
        <v/>
      </c>
      <c r="V183" t="str">
        <f t="shared" si="16"/>
        <v/>
      </c>
      <c r="W183" t="str">
        <f t="shared" si="17"/>
        <v/>
      </c>
      <c r="Y183" t="str">
        <f t="shared" si="18"/>
        <v/>
      </c>
      <c r="Z183" t="str">
        <f>IFERROR(IF(VLOOKUP(N183,BOE!J:Q,8,FALSE)=J183,"Pass","Mismatch"),"")</f>
        <v/>
      </c>
      <c r="AA183" t="str">
        <f>IFERROR(IF(ABS(VLOOKUP(N183,BOE!J:R,9,FALSE)-K183)&lt;0.2,"Pass","Mismatch"),"")</f>
        <v/>
      </c>
      <c r="AB183" t="str">
        <f>IFERROR(IF(ABS(VLOOKUP(N183,BOE!J:T,10,FALSE)-L183)&lt;0.2,"Pass","Mismatch"),"")</f>
        <v/>
      </c>
      <c r="AC183" t="str">
        <f>IFERROR(VLOOKUP(N183,BOE!J:N,2,FALSE),"")</f>
        <v/>
      </c>
      <c r="AD183" t="str">
        <f>IFERROR(VLOOKUP(N183,BOE!J:N,4,FALSE),"")</f>
        <v/>
      </c>
      <c r="AE183" t="str">
        <f>IFERROR(VLOOKUP(N183,BOE!J:N,5,FALSE),"")</f>
        <v/>
      </c>
      <c r="AG183" t="str">
        <f>IFERROR(VLOOKUP(N183,BOE!J:T,11,FALSE),"")</f>
        <v/>
      </c>
      <c r="AH183" s="14" t="str">
        <f t="shared" si="19"/>
        <v/>
      </c>
      <c r="AI183" s="14" t="str">
        <f t="shared" si="20"/>
        <v/>
      </c>
      <c r="AJ183" s="14">
        <f t="shared" si="21"/>
        <v>0</v>
      </c>
      <c r="AK183" t="str">
        <f t="shared" si="22"/>
        <v/>
      </c>
    </row>
    <row r="184" spans="1:37" x14ac:dyDescent="0.25">
      <c r="A184" t="str">
        <f t="shared" si="23"/>
        <v/>
      </c>
      <c r="Q184" t="str">
        <f>IF(E184&lt;&gt;"","'"&amp;'PO NO'!$B$2,"")</f>
        <v/>
      </c>
      <c r="U184" t="str">
        <f>IFERROR(CLEAN(VLOOKUP(N184,BOE!J:P,7,FALSE)),"")</f>
        <v/>
      </c>
      <c r="V184" t="str">
        <f t="shared" si="16"/>
        <v/>
      </c>
      <c r="W184" t="str">
        <f t="shared" si="17"/>
        <v/>
      </c>
      <c r="Y184" t="str">
        <f t="shared" si="18"/>
        <v/>
      </c>
      <c r="Z184" t="str">
        <f>IFERROR(IF(VLOOKUP(N184,BOE!J:Q,8,FALSE)=J184,"Pass","Mismatch"),"")</f>
        <v/>
      </c>
      <c r="AA184" t="str">
        <f>IFERROR(IF(ABS(VLOOKUP(N184,BOE!J:R,9,FALSE)-K184)&lt;0.2,"Pass","Mismatch"),"")</f>
        <v/>
      </c>
      <c r="AB184" t="str">
        <f>IFERROR(IF(ABS(VLOOKUP(N184,BOE!J:T,10,FALSE)-L184)&lt;0.2,"Pass","Mismatch"),"")</f>
        <v/>
      </c>
      <c r="AC184" t="str">
        <f>IFERROR(VLOOKUP(N184,BOE!J:N,2,FALSE),"")</f>
        <v/>
      </c>
      <c r="AD184" t="str">
        <f>IFERROR(VLOOKUP(N184,BOE!J:N,4,FALSE),"")</f>
        <v/>
      </c>
      <c r="AE184" t="str">
        <f>IFERROR(VLOOKUP(N184,BOE!J:N,5,FALSE),"")</f>
        <v/>
      </c>
      <c r="AG184" t="str">
        <f>IFERROR(VLOOKUP(N184,BOE!J:T,11,FALSE),"")</f>
        <v/>
      </c>
      <c r="AH184" s="14" t="str">
        <f t="shared" si="19"/>
        <v/>
      </c>
      <c r="AI184" s="14" t="str">
        <f t="shared" si="20"/>
        <v/>
      </c>
      <c r="AJ184" s="14">
        <f t="shared" si="21"/>
        <v>0</v>
      </c>
      <c r="AK184" t="str">
        <f t="shared" si="22"/>
        <v/>
      </c>
    </row>
    <row r="185" spans="1:37" x14ac:dyDescent="0.25">
      <c r="A185" t="str">
        <f t="shared" si="23"/>
        <v/>
      </c>
      <c r="Q185" t="str">
        <f>IF(E185&lt;&gt;"","'"&amp;'PO NO'!$B$2,"")</f>
        <v/>
      </c>
      <c r="U185" t="str">
        <f>IFERROR(CLEAN(VLOOKUP(N185,BOE!J:P,7,FALSE)),"")</f>
        <v/>
      </c>
      <c r="V185" t="str">
        <f t="shared" si="16"/>
        <v/>
      </c>
      <c r="W185" t="str">
        <f t="shared" si="17"/>
        <v/>
      </c>
      <c r="Y185" t="str">
        <f t="shared" si="18"/>
        <v/>
      </c>
      <c r="Z185" t="str">
        <f>IFERROR(IF(VLOOKUP(N185,BOE!J:Q,8,FALSE)=J185,"Pass","Mismatch"),"")</f>
        <v/>
      </c>
      <c r="AA185" t="str">
        <f>IFERROR(IF(ABS(VLOOKUP(N185,BOE!J:R,9,FALSE)-K185)&lt;0.2,"Pass","Mismatch"),"")</f>
        <v/>
      </c>
      <c r="AB185" t="str">
        <f>IFERROR(IF(ABS(VLOOKUP(N185,BOE!J:T,10,FALSE)-L185)&lt;0.2,"Pass","Mismatch"),"")</f>
        <v/>
      </c>
      <c r="AC185" t="str">
        <f>IFERROR(VLOOKUP(N185,BOE!J:N,2,FALSE),"")</f>
        <v/>
      </c>
      <c r="AD185" t="str">
        <f>IFERROR(VLOOKUP(N185,BOE!J:N,4,FALSE),"")</f>
        <v/>
      </c>
      <c r="AE185" t="str">
        <f>IFERROR(VLOOKUP(N185,BOE!J:N,5,FALSE),"")</f>
        <v/>
      </c>
      <c r="AG185" t="str">
        <f>IFERROR(VLOOKUP(N185,BOE!J:T,11,FALSE),"")</f>
        <v/>
      </c>
      <c r="AH185" s="14" t="str">
        <f t="shared" si="19"/>
        <v/>
      </c>
      <c r="AI185" s="14" t="str">
        <f t="shared" si="20"/>
        <v/>
      </c>
      <c r="AJ185" s="14">
        <f t="shared" si="21"/>
        <v>0</v>
      </c>
      <c r="AK185" t="str">
        <f t="shared" si="22"/>
        <v/>
      </c>
    </row>
    <row r="186" spans="1:37" x14ac:dyDescent="0.25">
      <c r="A186" t="str">
        <f t="shared" si="23"/>
        <v/>
      </c>
      <c r="Q186" t="str">
        <f>IF(E186&lt;&gt;"","'"&amp;'PO NO'!$B$2,"")</f>
        <v/>
      </c>
      <c r="U186" t="str">
        <f>IFERROR(CLEAN(VLOOKUP(N186,BOE!J:P,7,FALSE)),"")</f>
        <v/>
      </c>
      <c r="V186" t="str">
        <f t="shared" si="16"/>
        <v/>
      </c>
      <c r="W186" t="str">
        <f t="shared" si="17"/>
        <v/>
      </c>
      <c r="Y186" t="str">
        <f t="shared" si="18"/>
        <v/>
      </c>
      <c r="Z186" t="str">
        <f>IFERROR(IF(VLOOKUP(N186,BOE!J:Q,8,FALSE)=J186,"Pass","Mismatch"),"")</f>
        <v/>
      </c>
      <c r="AA186" t="str">
        <f>IFERROR(IF(ABS(VLOOKUP(N186,BOE!J:R,9,FALSE)-K186)&lt;0.2,"Pass","Mismatch"),"")</f>
        <v/>
      </c>
      <c r="AB186" t="str">
        <f>IFERROR(IF(ABS(VLOOKUP(N186,BOE!J:T,10,FALSE)-L186)&lt;0.2,"Pass","Mismatch"),"")</f>
        <v/>
      </c>
      <c r="AC186" t="str">
        <f>IFERROR(VLOOKUP(N186,BOE!J:N,2,FALSE),"")</f>
        <v/>
      </c>
      <c r="AD186" t="str">
        <f>IFERROR(VLOOKUP(N186,BOE!J:N,4,FALSE),"")</f>
        <v/>
      </c>
      <c r="AE186" t="str">
        <f>IFERROR(VLOOKUP(N186,BOE!J:N,5,FALSE),"")</f>
        <v/>
      </c>
      <c r="AG186" t="str">
        <f>IFERROR(VLOOKUP(N186,BOE!J:T,11,FALSE),"")</f>
        <v/>
      </c>
      <c r="AH186" s="14" t="str">
        <f t="shared" si="19"/>
        <v/>
      </c>
      <c r="AI186" s="14" t="str">
        <f t="shared" si="20"/>
        <v/>
      </c>
      <c r="AJ186" s="14">
        <f t="shared" si="21"/>
        <v>0</v>
      </c>
      <c r="AK186" t="str">
        <f t="shared" si="22"/>
        <v/>
      </c>
    </row>
    <row r="187" spans="1:37" x14ac:dyDescent="0.25">
      <c r="A187" t="str">
        <f t="shared" si="23"/>
        <v/>
      </c>
      <c r="Q187" t="str">
        <f>IF(E187&lt;&gt;"","'"&amp;'PO NO'!$B$2,"")</f>
        <v/>
      </c>
      <c r="U187" t="str">
        <f>IFERROR(CLEAN(VLOOKUP(N187,BOE!J:P,7,FALSE)),"")</f>
        <v/>
      </c>
      <c r="V187" t="str">
        <f t="shared" si="16"/>
        <v/>
      </c>
      <c r="W187" t="str">
        <f t="shared" si="17"/>
        <v/>
      </c>
      <c r="Y187" t="str">
        <f t="shared" si="18"/>
        <v/>
      </c>
      <c r="Z187" t="str">
        <f>IFERROR(IF(VLOOKUP(N187,BOE!J:Q,8,FALSE)=J187,"Pass","Mismatch"),"")</f>
        <v/>
      </c>
      <c r="AA187" t="str">
        <f>IFERROR(IF(ABS(VLOOKUP(N187,BOE!J:R,9,FALSE)-K187)&lt;0.2,"Pass","Mismatch"),"")</f>
        <v/>
      </c>
      <c r="AB187" t="str">
        <f>IFERROR(IF(ABS(VLOOKUP(N187,BOE!J:T,10,FALSE)-L187)&lt;0.2,"Pass","Mismatch"),"")</f>
        <v/>
      </c>
      <c r="AC187" t="str">
        <f>IFERROR(VLOOKUP(N187,BOE!J:N,2,FALSE),"")</f>
        <v/>
      </c>
      <c r="AD187" t="str">
        <f>IFERROR(VLOOKUP(N187,BOE!J:N,4,FALSE),"")</f>
        <v/>
      </c>
      <c r="AE187" t="str">
        <f>IFERROR(VLOOKUP(N187,BOE!J:N,5,FALSE),"")</f>
        <v/>
      </c>
      <c r="AG187" t="str">
        <f>IFERROR(VLOOKUP(N187,BOE!J:T,11,FALSE),"")</f>
        <v/>
      </c>
      <c r="AH187" s="14" t="str">
        <f t="shared" si="19"/>
        <v/>
      </c>
      <c r="AI187" s="14" t="str">
        <f t="shared" si="20"/>
        <v/>
      </c>
      <c r="AJ187" s="14">
        <f t="shared" si="21"/>
        <v>0</v>
      </c>
      <c r="AK187" t="str">
        <f t="shared" si="22"/>
        <v/>
      </c>
    </row>
    <row r="188" spans="1:37" x14ac:dyDescent="0.25">
      <c r="A188" t="str">
        <f t="shared" si="23"/>
        <v/>
      </c>
      <c r="Q188" t="str">
        <f>IF(E188&lt;&gt;"","'"&amp;'PO NO'!$B$2,"")</f>
        <v/>
      </c>
      <c r="U188" t="str">
        <f>IFERROR(CLEAN(VLOOKUP(N188,BOE!J:P,7,FALSE)),"")</f>
        <v/>
      </c>
      <c r="V188" t="str">
        <f t="shared" si="16"/>
        <v/>
      </c>
      <c r="W188" t="str">
        <f t="shared" si="17"/>
        <v/>
      </c>
      <c r="Y188" t="str">
        <f t="shared" si="18"/>
        <v/>
      </c>
      <c r="Z188" t="str">
        <f>IFERROR(IF(VLOOKUP(N188,BOE!J:Q,8,FALSE)=J188,"Pass","Mismatch"),"")</f>
        <v/>
      </c>
      <c r="AA188" t="str">
        <f>IFERROR(IF(ABS(VLOOKUP(N188,BOE!J:R,9,FALSE)-K188)&lt;0.2,"Pass","Mismatch"),"")</f>
        <v/>
      </c>
      <c r="AB188" t="str">
        <f>IFERROR(IF(ABS(VLOOKUP(N188,BOE!J:T,10,FALSE)-L188)&lt;0.2,"Pass","Mismatch"),"")</f>
        <v/>
      </c>
      <c r="AC188" t="str">
        <f>IFERROR(VLOOKUP(N188,BOE!J:N,2,FALSE),"")</f>
        <v/>
      </c>
      <c r="AD188" t="str">
        <f>IFERROR(VLOOKUP(N188,BOE!J:N,4,FALSE),"")</f>
        <v/>
      </c>
      <c r="AE188" t="str">
        <f>IFERROR(VLOOKUP(N188,BOE!J:N,5,FALSE),"")</f>
        <v/>
      </c>
      <c r="AG188" t="str">
        <f>IFERROR(VLOOKUP(N188,BOE!J:T,11,FALSE),"")</f>
        <v/>
      </c>
      <c r="AH188" s="14" t="str">
        <f t="shared" si="19"/>
        <v/>
      </c>
      <c r="AI188" s="14" t="str">
        <f t="shared" si="20"/>
        <v/>
      </c>
      <c r="AJ188" s="14">
        <f t="shared" si="21"/>
        <v>0</v>
      </c>
      <c r="AK188" t="str">
        <f t="shared" si="22"/>
        <v/>
      </c>
    </row>
    <row r="189" spans="1:37" x14ac:dyDescent="0.25">
      <c r="A189" t="str">
        <f t="shared" si="23"/>
        <v/>
      </c>
      <c r="Q189" t="str">
        <f>IF(E189&lt;&gt;"","'"&amp;'PO NO'!$B$2,"")</f>
        <v/>
      </c>
      <c r="U189" t="str">
        <f>IFERROR(CLEAN(VLOOKUP(N189,BOE!J:P,7,FALSE)),"")</f>
        <v/>
      </c>
      <c r="V189" t="str">
        <f t="shared" si="16"/>
        <v/>
      </c>
      <c r="W189" t="str">
        <f t="shared" si="17"/>
        <v/>
      </c>
      <c r="Y189" t="str">
        <f t="shared" si="18"/>
        <v/>
      </c>
      <c r="Z189" t="str">
        <f>IFERROR(IF(VLOOKUP(N189,BOE!J:Q,8,FALSE)=J189,"Pass","Mismatch"),"")</f>
        <v/>
      </c>
      <c r="AA189" t="str">
        <f>IFERROR(IF(ABS(VLOOKUP(N189,BOE!J:R,9,FALSE)-K189)&lt;0.2,"Pass","Mismatch"),"")</f>
        <v/>
      </c>
      <c r="AB189" t="str">
        <f>IFERROR(IF(ABS(VLOOKUP(N189,BOE!J:T,10,FALSE)-L189)&lt;0.2,"Pass","Mismatch"),"")</f>
        <v/>
      </c>
      <c r="AC189" t="str">
        <f>IFERROR(VLOOKUP(N189,BOE!J:N,2,FALSE),"")</f>
        <v/>
      </c>
      <c r="AD189" t="str">
        <f>IFERROR(VLOOKUP(N189,BOE!J:N,4,FALSE),"")</f>
        <v/>
      </c>
      <c r="AE189" t="str">
        <f>IFERROR(VLOOKUP(N189,BOE!J:N,5,FALSE),"")</f>
        <v/>
      </c>
      <c r="AG189" t="str">
        <f>IFERROR(VLOOKUP(N189,BOE!J:T,11,FALSE),"")</f>
        <v/>
      </c>
      <c r="AH189" s="14" t="str">
        <f t="shared" si="19"/>
        <v/>
      </c>
      <c r="AI189" s="14" t="str">
        <f t="shared" si="20"/>
        <v/>
      </c>
      <c r="AJ189" s="14">
        <f t="shared" si="21"/>
        <v>0</v>
      </c>
      <c r="AK189" t="str">
        <f t="shared" si="22"/>
        <v/>
      </c>
    </row>
    <row r="190" spans="1:37" x14ac:dyDescent="0.25">
      <c r="A190" t="str">
        <f t="shared" si="23"/>
        <v/>
      </c>
      <c r="Q190" t="str">
        <f>IF(E190&lt;&gt;"","'"&amp;'PO NO'!$B$2,"")</f>
        <v/>
      </c>
      <c r="U190" t="str">
        <f>IFERROR(CLEAN(VLOOKUP(N190,BOE!J:P,7,FALSE)),"")</f>
        <v/>
      </c>
      <c r="V190" t="str">
        <f t="shared" si="16"/>
        <v/>
      </c>
      <c r="W190" t="str">
        <f t="shared" si="17"/>
        <v/>
      </c>
      <c r="Y190" t="str">
        <f t="shared" si="18"/>
        <v/>
      </c>
      <c r="Z190" t="str">
        <f>IFERROR(IF(VLOOKUP(N190,BOE!J:Q,8,FALSE)=J190,"Pass","Mismatch"),"")</f>
        <v/>
      </c>
      <c r="AA190" t="str">
        <f>IFERROR(IF(ABS(VLOOKUP(N190,BOE!J:R,9,FALSE)-K190)&lt;0.2,"Pass","Mismatch"),"")</f>
        <v/>
      </c>
      <c r="AB190" t="str">
        <f>IFERROR(IF(ABS(VLOOKUP(N190,BOE!J:T,10,FALSE)-L190)&lt;0.2,"Pass","Mismatch"),"")</f>
        <v/>
      </c>
      <c r="AC190" t="str">
        <f>IFERROR(VLOOKUP(N190,BOE!J:N,2,FALSE),"")</f>
        <v/>
      </c>
      <c r="AD190" t="str">
        <f>IFERROR(VLOOKUP(N190,BOE!J:N,4,FALSE),"")</f>
        <v/>
      </c>
      <c r="AE190" t="str">
        <f>IFERROR(VLOOKUP(N190,BOE!J:N,5,FALSE),"")</f>
        <v/>
      </c>
      <c r="AG190" t="str">
        <f>IFERROR(VLOOKUP(N190,BOE!J:T,11,FALSE),"")</f>
        <v/>
      </c>
      <c r="AH190" s="14" t="str">
        <f t="shared" si="19"/>
        <v/>
      </c>
      <c r="AI190" s="14" t="str">
        <f t="shared" si="20"/>
        <v/>
      </c>
      <c r="AJ190" s="14">
        <f t="shared" si="21"/>
        <v>0</v>
      </c>
      <c r="AK190" t="str">
        <f t="shared" si="22"/>
        <v/>
      </c>
    </row>
    <row r="191" spans="1:37" x14ac:dyDescent="0.25">
      <c r="A191" t="str">
        <f t="shared" si="23"/>
        <v/>
      </c>
      <c r="Q191" t="str">
        <f>IF(E191&lt;&gt;"","'"&amp;'PO NO'!$B$2,"")</f>
        <v/>
      </c>
      <c r="U191" t="str">
        <f>IFERROR(CLEAN(VLOOKUP(N191,BOE!J:P,7,FALSE)),"")</f>
        <v/>
      </c>
      <c r="V191" t="str">
        <f t="shared" si="16"/>
        <v/>
      </c>
      <c r="W191" t="str">
        <f t="shared" si="17"/>
        <v/>
      </c>
      <c r="Y191" t="str">
        <f t="shared" si="18"/>
        <v/>
      </c>
      <c r="Z191" t="str">
        <f>IFERROR(IF(VLOOKUP(N191,BOE!J:Q,8,FALSE)=J191,"Pass","Mismatch"),"")</f>
        <v/>
      </c>
      <c r="AA191" t="str">
        <f>IFERROR(IF(ABS(VLOOKUP(N191,BOE!J:R,9,FALSE)-K191)&lt;0.2,"Pass","Mismatch"),"")</f>
        <v/>
      </c>
      <c r="AB191" t="str">
        <f>IFERROR(IF(ABS(VLOOKUP(N191,BOE!J:T,10,FALSE)-L191)&lt;0.2,"Pass","Mismatch"),"")</f>
        <v/>
      </c>
      <c r="AC191" t="str">
        <f>IFERROR(VLOOKUP(N191,BOE!J:N,2,FALSE),"")</f>
        <v/>
      </c>
      <c r="AD191" t="str">
        <f>IFERROR(VLOOKUP(N191,BOE!J:N,4,FALSE),"")</f>
        <v/>
      </c>
      <c r="AE191" t="str">
        <f>IFERROR(VLOOKUP(N191,BOE!J:N,5,FALSE),"")</f>
        <v/>
      </c>
      <c r="AG191" t="str">
        <f>IFERROR(VLOOKUP(N191,BOE!J:T,11,FALSE),"")</f>
        <v/>
      </c>
      <c r="AH191" s="14" t="str">
        <f t="shared" si="19"/>
        <v/>
      </c>
      <c r="AI191" s="14" t="str">
        <f t="shared" si="20"/>
        <v/>
      </c>
      <c r="AJ191" s="14">
        <f t="shared" si="21"/>
        <v>0</v>
      </c>
      <c r="AK191" t="str">
        <f t="shared" si="22"/>
        <v/>
      </c>
    </row>
    <row r="192" spans="1:37" x14ac:dyDescent="0.25">
      <c r="A192" t="str">
        <f t="shared" si="23"/>
        <v/>
      </c>
      <c r="Q192" t="str">
        <f>IF(E192&lt;&gt;"","'"&amp;'PO NO'!$B$2,"")</f>
        <v/>
      </c>
      <c r="U192" t="str">
        <f>IFERROR(CLEAN(VLOOKUP(N192,BOE!J:P,7,FALSE)),"")</f>
        <v/>
      </c>
      <c r="V192" t="str">
        <f t="shared" si="16"/>
        <v/>
      </c>
      <c r="W192" t="str">
        <f t="shared" si="17"/>
        <v/>
      </c>
      <c r="Y192" t="str">
        <f t="shared" si="18"/>
        <v/>
      </c>
      <c r="Z192" t="str">
        <f>IFERROR(IF(VLOOKUP(N192,BOE!J:Q,8,FALSE)=J192,"Pass","Mismatch"),"")</f>
        <v/>
      </c>
      <c r="AA192" t="str">
        <f>IFERROR(IF(ABS(VLOOKUP(N192,BOE!J:R,9,FALSE)-K192)&lt;0.2,"Pass","Mismatch"),"")</f>
        <v/>
      </c>
      <c r="AB192" t="str">
        <f>IFERROR(IF(ABS(VLOOKUP(N192,BOE!J:T,10,FALSE)-L192)&lt;0.2,"Pass","Mismatch"),"")</f>
        <v/>
      </c>
      <c r="AC192" t="str">
        <f>IFERROR(VLOOKUP(N192,BOE!J:N,2,FALSE),"")</f>
        <v/>
      </c>
      <c r="AD192" t="str">
        <f>IFERROR(VLOOKUP(N192,BOE!J:N,4,FALSE),"")</f>
        <v/>
      </c>
      <c r="AE192" t="str">
        <f>IFERROR(VLOOKUP(N192,BOE!J:N,5,FALSE),"")</f>
        <v/>
      </c>
      <c r="AG192" t="str">
        <f>IFERROR(VLOOKUP(N192,BOE!J:T,11,FALSE),"")</f>
        <v/>
      </c>
      <c r="AH192" s="14" t="str">
        <f t="shared" si="19"/>
        <v/>
      </c>
      <c r="AI192" s="14" t="str">
        <f t="shared" si="20"/>
        <v/>
      </c>
      <c r="AJ192" s="14">
        <f t="shared" si="21"/>
        <v>0</v>
      </c>
      <c r="AK192" t="str">
        <f t="shared" si="22"/>
        <v/>
      </c>
    </row>
    <row r="193" spans="1:37" x14ac:dyDescent="0.25">
      <c r="A193" t="str">
        <f t="shared" si="23"/>
        <v/>
      </c>
      <c r="Q193" t="str">
        <f>IF(E193&lt;&gt;"","'"&amp;'PO NO'!$B$2,"")</f>
        <v/>
      </c>
      <c r="U193" t="str">
        <f>IFERROR(CLEAN(VLOOKUP(N193,BOE!J:P,7,FALSE)),"")</f>
        <v/>
      </c>
      <c r="V193" t="str">
        <f t="shared" si="16"/>
        <v/>
      </c>
      <c r="W193" t="str">
        <f t="shared" si="17"/>
        <v/>
      </c>
      <c r="Y193" t="str">
        <f t="shared" si="18"/>
        <v/>
      </c>
      <c r="Z193" t="str">
        <f>IFERROR(IF(VLOOKUP(N193,BOE!J:Q,8,FALSE)=J193,"Pass","Mismatch"),"")</f>
        <v/>
      </c>
      <c r="AA193" t="str">
        <f>IFERROR(IF(ABS(VLOOKUP(N193,BOE!J:R,9,FALSE)-K193)&lt;0.2,"Pass","Mismatch"),"")</f>
        <v/>
      </c>
      <c r="AB193" t="str">
        <f>IFERROR(IF(ABS(VLOOKUP(N193,BOE!J:T,10,FALSE)-L193)&lt;0.2,"Pass","Mismatch"),"")</f>
        <v/>
      </c>
      <c r="AC193" t="str">
        <f>IFERROR(VLOOKUP(N193,BOE!J:N,2,FALSE),"")</f>
        <v/>
      </c>
      <c r="AD193" t="str">
        <f>IFERROR(VLOOKUP(N193,BOE!J:N,4,FALSE),"")</f>
        <v/>
      </c>
      <c r="AE193" t="str">
        <f>IFERROR(VLOOKUP(N193,BOE!J:N,5,FALSE),"")</f>
        <v/>
      </c>
      <c r="AG193" t="str">
        <f>IFERROR(VLOOKUP(N193,BOE!J:T,11,FALSE),"")</f>
        <v/>
      </c>
      <c r="AH193" s="14" t="str">
        <f t="shared" si="19"/>
        <v/>
      </c>
      <c r="AI193" s="14" t="str">
        <f t="shared" si="20"/>
        <v/>
      </c>
      <c r="AJ193" s="14">
        <f t="shared" si="21"/>
        <v>0</v>
      </c>
      <c r="AK193" t="str">
        <f t="shared" si="22"/>
        <v/>
      </c>
    </row>
    <row r="194" spans="1:37" x14ac:dyDescent="0.25">
      <c r="A194" t="str">
        <f t="shared" si="23"/>
        <v/>
      </c>
      <c r="Q194" t="str">
        <f>IF(E194&lt;&gt;"","'"&amp;'PO NO'!$B$2,"")</f>
        <v/>
      </c>
      <c r="U194" t="str">
        <f>IFERROR(CLEAN(VLOOKUP(N194,BOE!J:P,7,FALSE)),"")</f>
        <v/>
      </c>
      <c r="V194" t="str">
        <f t="shared" si="16"/>
        <v/>
      </c>
      <c r="W194" t="str">
        <f t="shared" si="17"/>
        <v/>
      </c>
      <c r="Y194" t="str">
        <f t="shared" si="18"/>
        <v/>
      </c>
      <c r="Z194" t="str">
        <f>IFERROR(IF(VLOOKUP(N194,BOE!J:Q,8,FALSE)=J194,"Pass","Mismatch"),"")</f>
        <v/>
      </c>
      <c r="AA194" t="str">
        <f>IFERROR(IF(ABS(VLOOKUP(N194,BOE!J:R,9,FALSE)-K194)&lt;0.2,"Pass","Mismatch"),"")</f>
        <v/>
      </c>
      <c r="AB194" t="str">
        <f>IFERROR(IF(ABS(VLOOKUP(N194,BOE!J:T,10,FALSE)-L194)&lt;0.2,"Pass","Mismatch"),"")</f>
        <v/>
      </c>
      <c r="AC194" t="str">
        <f>IFERROR(VLOOKUP(N194,BOE!J:N,2,FALSE),"")</f>
        <v/>
      </c>
      <c r="AD194" t="str">
        <f>IFERROR(VLOOKUP(N194,BOE!J:N,4,FALSE),"")</f>
        <v/>
      </c>
      <c r="AE194" t="str">
        <f>IFERROR(VLOOKUP(N194,BOE!J:N,5,FALSE),"")</f>
        <v/>
      </c>
      <c r="AG194" t="str">
        <f>IFERROR(VLOOKUP(N194,BOE!J:T,11,FALSE),"")</f>
        <v/>
      </c>
      <c r="AH194" s="14" t="str">
        <f t="shared" si="19"/>
        <v/>
      </c>
      <c r="AI194" s="14" t="str">
        <f t="shared" si="20"/>
        <v/>
      </c>
      <c r="AJ194" s="14">
        <f t="shared" si="21"/>
        <v>0</v>
      </c>
      <c r="AK194" t="str">
        <f t="shared" si="22"/>
        <v/>
      </c>
    </row>
    <row r="195" spans="1:37" x14ac:dyDescent="0.25">
      <c r="A195" t="str">
        <f t="shared" si="23"/>
        <v/>
      </c>
      <c r="Q195" t="str">
        <f>IF(E195&lt;&gt;"","'"&amp;'PO NO'!$B$2,"")</f>
        <v/>
      </c>
      <c r="U195" t="str">
        <f>IFERROR(CLEAN(VLOOKUP(N195,BOE!J:P,7,FALSE)),"")</f>
        <v/>
      </c>
      <c r="V195" t="str">
        <f t="shared" ref="V195:V213" si="24">IF(U195&lt;&gt;"",E195,"")</f>
        <v/>
      </c>
      <c r="W195" t="str">
        <f t="shared" ref="W195:W213" si="25">IF(U195&lt;&gt;"",IF(AND(ISNUMBER(SEARCH(TRIM(V195),U195)),ISNUMBER(SEARCH(TRIM(F195),U195))),"Pass","Mismatch"),"")</f>
        <v/>
      </c>
      <c r="Y195" t="str">
        <f t="shared" ref="Y195:Y213" si="26">IF(U195&lt;&gt;"",IF(ISNUMBER(SEARCH(X195,U195)),"Pass","Mismatch"),"")</f>
        <v/>
      </c>
      <c r="Z195" t="str">
        <f>IFERROR(IF(VLOOKUP(N195,BOE!J:Q,8,FALSE)=J195,"Pass","Mismatch"),"")</f>
        <v/>
      </c>
      <c r="AA195" t="str">
        <f>IFERROR(IF(ABS(VLOOKUP(N195,BOE!J:R,9,FALSE)-K195)&lt;0.2,"Pass","Mismatch"),"")</f>
        <v/>
      </c>
      <c r="AB195" t="str">
        <f>IFERROR(IF(ABS(VLOOKUP(N195,BOE!J:T,10,FALSE)-L195)&lt;0.2,"Pass","Mismatch"),"")</f>
        <v/>
      </c>
      <c r="AC195" t="str">
        <f>IFERROR(VLOOKUP(N195,BOE!J:N,2,FALSE),"")</f>
        <v/>
      </c>
      <c r="AD195" t="str">
        <f>IFERROR(VLOOKUP(N195,BOE!J:N,4,FALSE),"")</f>
        <v/>
      </c>
      <c r="AE195" t="str">
        <f>IFERROR(VLOOKUP(N195,BOE!J:N,5,FALSE),"")</f>
        <v/>
      </c>
      <c r="AG195" t="str">
        <f>IFERROR(VLOOKUP(N195,BOE!J:T,11,FALSE),"")</f>
        <v/>
      </c>
      <c r="AH195" s="14" t="str">
        <f t="shared" ref="AH195:AH213" si="27">IFERROR(AC195/((L195*AF195)+AD195+AE195)*100,"")</f>
        <v/>
      </c>
      <c r="AI195" s="14" t="str">
        <f t="shared" ref="AI195:AI213" si="28">IFERROR(AD195/($L195*$AF$2)*100,"")</f>
        <v/>
      </c>
      <c r="AJ195" s="14">
        <f t="shared" ref="AJ195:AJ213" si="29">IFERROR(AE195/(AD195)*100,0)</f>
        <v>0</v>
      </c>
      <c r="AK195" t="str">
        <f t="shared" ref="AK195:AK213" si="30">IF(E195="","",IFERROR(IF(AND(OR(ROUNDUP(AH195,0)=18,ROUNDDOWN(AH195,0)=18),OR(ROUNDUP(AI195,0)=0,ROUNDDOWN(AI195,0)=0),OR(ROUNDUP(AJ195,0)=0,ROUNDDOWN(AJ195,0)=0)),"RIG_I@18",IF(AND(OR(ROUNDUP(AH195,0)=18,ROUNDDOWN(AH195,0)=18),OR(ROUNDUP(AI195,0)=8,ROUNDDOWN(AI195,0)=8),OR(ROUNDUP(AJ195,0)=10,ROUNDDOWN(AJ195,0)=1)),"RGBCD42",IF(AND(OR(ROUNDUP(AH195,0)=18,ROUNDDOWN(AH195,0)=18),OR(ROUNDUP(AI195,0)=13,ROUNDDOWN(AI195,0)=13),OR(ROUNDUP(AJ195,0)=10,ROUNDDOWN(AJ195,0)=1)),"RGBCDSW",IF(AND(OR(ROUNDUP(AH195,0)=18,ROUNDDOWN(AH195,0)=18),OR(ROUNDUP(AI195,0)=15,ROUNDDOWN(AI195,0)=15),OR(ROUNDUP(AJ195,0)=10,ROUNDDOWN(AJ195,0)=1)),"BSWIGST","NA")))),"NA"))</f>
        <v/>
      </c>
    </row>
    <row r="196" spans="1:37" x14ac:dyDescent="0.25">
      <c r="A196" t="str">
        <f t="shared" ref="A196:A209" si="31">IF(B196&lt;&gt;"",A195+1,"")</f>
        <v/>
      </c>
      <c r="Q196" t="str">
        <f>IF(E196&lt;&gt;"","'"&amp;'PO NO'!$B$2,"")</f>
        <v/>
      </c>
      <c r="U196" t="str">
        <f>IFERROR(CLEAN(VLOOKUP(N196,BOE!J:P,7,FALSE)),"")</f>
        <v/>
      </c>
      <c r="V196" t="str">
        <f t="shared" si="24"/>
        <v/>
      </c>
      <c r="W196" t="str">
        <f t="shared" si="25"/>
        <v/>
      </c>
      <c r="Y196" t="str">
        <f t="shared" si="26"/>
        <v/>
      </c>
      <c r="Z196" t="str">
        <f>IFERROR(IF(VLOOKUP(N196,BOE!J:Q,8,FALSE)=J196,"Pass","Mismatch"),"")</f>
        <v/>
      </c>
      <c r="AA196" t="str">
        <f>IFERROR(IF(ABS(VLOOKUP(N196,BOE!J:R,9,FALSE)-K196)&lt;0.2,"Pass","Mismatch"),"")</f>
        <v/>
      </c>
      <c r="AB196" t="str">
        <f>IFERROR(IF(ABS(VLOOKUP(N196,BOE!J:T,10,FALSE)-L196)&lt;0.2,"Pass","Mismatch"),"")</f>
        <v/>
      </c>
      <c r="AC196" t="str">
        <f>IFERROR(VLOOKUP(N196,BOE!J:N,2,FALSE),"")</f>
        <v/>
      </c>
      <c r="AD196" t="str">
        <f>IFERROR(VLOOKUP(N196,BOE!J:N,4,FALSE),"")</f>
        <v/>
      </c>
      <c r="AE196" t="str">
        <f>IFERROR(VLOOKUP(N196,BOE!J:N,5,FALSE),"")</f>
        <v/>
      </c>
      <c r="AG196" t="str">
        <f>IFERROR(VLOOKUP(N196,BOE!J:T,11,FALSE),"")</f>
        <v/>
      </c>
      <c r="AH196" s="14" t="str">
        <f t="shared" si="27"/>
        <v/>
      </c>
      <c r="AI196" s="14" t="str">
        <f t="shared" si="28"/>
        <v/>
      </c>
      <c r="AJ196" s="14">
        <f t="shared" si="29"/>
        <v>0</v>
      </c>
      <c r="AK196" t="str">
        <f t="shared" si="30"/>
        <v/>
      </c>
    </row>
    <row r="197" spans="1:37" x14ac:dyDescent="0.25">
      <c r="A197" t="str">
        <f t="shared" si="31"/>
        <v/>
      </c>
      <c r="Q197" t="str">
        <f>IF(E197&lt;&gt;"","'"&amp;'PO NO'!$B$2,"")</f>
        <v/>
      </c>
      <c r="U197" t="str">
        <f>IFERROR(CLEAN(VLOOKUP(N197,BOE!J:P,7,FALSE)),"")</f>
        <v/>
      </c>
      <c r="V197" t="str">
        <f t="shared" si="24"/>
        <v/>
      </c>
      <c r="W197" t="str">
        <f t="shared" si="25"/>
        <v/>
      </c>
      <c r="Y197" t="str">
        <f t="shared" si="26"/>
        <v/>
      </c>
      <c r="Z197" t="str">
        <f>IFERROR(IF(VLOOKUP(N197,BOE!J:Q,8,FALSE)=J197,"Pass","Mismatch"),"")</f>
        <v/>
      </c>
      <c r="AA197" t="str">
        <f>IFERROR(IF(ABS(VLOOKUP(N197,BOE!J:R,9,FALSE)-K197)&lt;0.2,"Pass","Mismatch"),"")</f>
        <v/>
      </c>
      <c r="AB197" t="str">
        <f>IFERROR(IF(ABS(VLOOKUP(N197,BOE!J:T,10,FALSE)-L197)&lt;0.2,"Pass","Mismatch"),"")</f>
        <v/>
      </c>
      <c r="AC197" t="str">
        <f>IFERROR(VLOOKUP(N197,BOE!J:N,2,FALSE),"")</f>
        <v/>
      </c>
      <c r="AD197" t="str">
        <f>IFERROR(VLOOKUP(N197,BOE!J:N,4,FALSE),"")</f>
        <v/>
      </c>
      <c r="AE197" t="str">
        <f>IFERROR(VLOOKUP(N197,BOE!J:N,5,FALSE),"")</f>
        <v/>
      </c>
      <c r="AG197" t="str">
        <f>IFERROR(VLOOKUP(N197,BOE!J:T,11,FALSE),"")</f>
        <v/>
      </c>
      <c r="AH197" s="14" t="str">
        <f t="shared" si="27"/>
        <v/>
      </c>
      <c r="AI197" s="14" t="str">
        <f t="shared" si="28"/>
        <v/>
      </c>
      <c r="AJ197" s="14">
        <f t="shared" si="29"/>
        <v>0</v>
      </c>
      <c r="AK197" t="str">
        <f t="shared" si="30"/>
        <v/>
      </c>
    </row>
    <row r="198" spans="1:37" x14ac:dyDescent="0.25">
      <c r="A198" t="str">
        <f t="shared" si="31"/>
        <v/>
      </c>
      <c r="Q198" t="str">
        <f>IF(E198&lt;&gt;"","'"&amp;'PO NO'!$B$2,"")</f>
        <v/>
      </c>
      <c r="U198" t="str">
        <f>IFERROR(CLEAN(VLOOKUP(N198,BOE!J:P,7,FALSE)),"")</f>
        <v/>
      </c>
      <c r="V198" t="str">
        <f t="shared" si="24"/>
        <v/>
      </c>
      <c r="W198" t="str">
        <f t="shared" si="25"/>
        <v/>
      </c>
      <c r="Y198" t="str">
        <f t="shared" si="26"/>
        <v/>
      </c>
      <c r="Z198" t="str">
        <f>IFERROR(IF(VLOOKUP(N198,BOE!J:Q,8,FALSE)=J198,"Pass","Mismatch"),"")</f>
        <v/>
      </c>
      <c r="AA198" t="str">
        <f>IFERROR(IF(ABS(VLOOKUP(N198,BOE!J:R,9,FALSE)-K198)&lt;0.2,"Pass","Mismatch"),"")</f>
        <v/>
      </c>
      <c r="AB198" t="str">
        <f>IFERROR(IF(ABS(VLOOKUP(N198,BOE!J:T,10,FALSE)-L198)&lt;0.2,"Pass","Mismatch"),"")</f>
        <v/>
      </c>
      <c r="AC198" t="str">
        <f>IFERROR(VLOOKUP(N198,BOE!J:N,2,FALSE),"")</f>
        <v/>
      </c>
      <c r="AD198" t="str">
        <f>IFERROR(VLOOKUP(N198,BOE!J:N,4,FALSE),"")</f>
        <v/>
      </c>
      <c r="AE198" t="str">
        <f>IFERROR(VLOOKUP(N198,BOE!J:N,5,FALSE),"")</f>
        <v/>
      </c>
      <c r="AG198" t="str">
        <f>IFERROR(VLOOKUP(N198,BOE!J:T,11,FALSE),"")</f>
        <v/>
      </c>
      <c r="AH198" s="14" t="str">
        <f t="shared" si="27"/>
        <v/>
      </c>
      <c r="AI198" s="14" t="str">
        <f t="shared" si="28"/>
        <v/>
      </c>
      <c r="AJ198" s="14">
        <f t="shared" si="29"/>
        <v>0</v>
      </c>
      <c r="AK198" t="str">
        <f t="shared" si="30"/>
        <v/>
      </c>
    </row>
    <row r="199" spans="1:37" x14ac:dyDescent="0.25">
      <c r="A199" t="str">
        <f t="shared" si="31"/>
        <v/>
      </c>
      <c r="Q199" t="str">
        <f>IF(E199&lt;&gt;"","'"&amp;'PO NO'!$B$2,"")</f>
        <v/>
      </c>
      <c r="U199" t="str">
        <f>IFERROR(CLEAN(VLOOKUP(N199,BOE!J:P,7,FALSE)),"")</f>
        <v/>
      </c>
      <c r="V199" t="str">
        <f t="shared" si="24"/>
        <v/>
      </c>
      <c r="W199" t="str">
        <f t="shared" si="25"/>
        <v/>
      </c>
      <c r="Y199" t="str">
        <f t="shared" si="26"/>
        <v/>
      </c>
      <c r="Z199" t="str">
        <f>IFERROR(IF(VLOOKUP(N199,BOE!J:Q,8,FALSE)=J199,"Pass","Mismatch"),"")</f>
        <v/>
      </c>
      <c r="AA199" t="str">
        <f>IFERROR(IF(ABS(VLOOKUP(N199,BOE!J:R,9,FALSE)-K199)&lt;0.2,"Pass","Mismatch"),"")</f>
        <v/>
      </c>
      <c r="AB199" t="str">
        <f>IFERROR(IF(ABS(VLOOKUP(N199,BOE!J:T,10,FALSE)-L199)&lt;0.2,"Pass","Mismatch"),"")</f>
        <v/>
      </c>
      <c r="AC199" t="str">
        <f>IFERROR(VLOOKUP(N199,BOE!J:N,2,FALSE),"")</f>
        <v/>
      </c>
      <c r="AD199" t="str">
        <f>IFERROR(VLOOKUP(N199,BOE!J:N,4,FALSE),"")</f>
        <v/>
      </c>
      <c r="AE199" t="str">
        <f>IFERROR(VLOOKUP(N199,BOE!J:N,5,FALSE),"")</f>
        <v/>
      </c>
      <c r="AG199" t="str">
        <f>IFERROR(VLOOKUP(N199,BOE!J:T,11,FALSE),"")</f>
        <v/>
      </c>
      <c r="AH199" s="14" t="str">
        <f t="shared" si="27"/>
        <v/>
      </c>
      <c r="AI199" s="14" t="str">
        <f t="shared" si="28"/>
        <v/>
      </c>
      <c r="AJ199" s="14">
        <f t="shared" si="29"/>
        <v>0</v>
      </c>
      <c r="AK199" t="str">
        <f t="shared" si="30"/>
        <v/>
      </c>
    </row>
    <row r="200" spans="1:37" x14ac:dyDescent="0.25">
      <c r="A200" t="str">
        <f t="shared" si="31"/>
        <v/>
      </c>
      <c r="Q200" t="str">
        <f>IF(E200&lt;&gt;"","'"&amp;'PO NO'!$B$2,"")</f>
        <v/>
      </c>
      <c r="U200" t="str">
        <f>IFERROR(CLEAN(VLOOKUP(N200,BOE!J:P,7,FALSE)),"")</f>
        <v/>
      </c>
      <c r="V200" t="str">
        <f t="shared" si="24"/>
        <v/>
      </c>
      <c r="W200" t="str">
        <f t="shared" si="25"/>
        <v/>
      </c>
      <c r="Y200" t="str">
        <f t="shared" si="26"/>
        <v/>
      </c>
      <c r="Z200" t="str">
        <f>IFERROR(IF(VLOOKUP(N200,BOE!J:Q,8,FALSE)=J200,"Pass","Mismatch"),"")</f>
        <v/>
      </c>
      <c r="AA200" t="str">
        <f>IFERROR(IF(ABS(VLOOKUP(N200,BOE!J:R,9,FALSE)-K200)&lt;0.2,"Pass","Mismatch"),"")</f>
        <v/>
      </c>
      <c r="AB200" t="str">
        <f>IFERROR(IF(ABS(VLOOKUP(N200,BOE!J:T,10,FALSE)-L200)&lt;0.2,"Pass","Mismatch"),"")</f>
        <v/>
      </c>
      <c r="AC200" t="str">
        <f>IFERROR(VLOOKUP(N200,BOE!J:N,2,FALSE),"")</f>
        <v/>
      </c>
      <c r="AD200" t="str">
        <f>IFERROR(VLOOKUP(N200,BOE!J:N,4,FALSE),"")</f>
        <v/>
      </c>
      <c r="AE200" t="str">
        <f>IFERROR(VLOOKUP(N200,BOE!J:N,5,FALSE),"")</f>
        <v/>
      </c>
      <c r="AG200" t="str">
        <f>IFERROR(VLOOKUP(N200,BOE!J:T,11,FALSE),"")</f>
        <v/>
      </c>
      <c r="AH200" s="14" t="str">
        <f t="shared" si="27"/>
        <v/>
      </c>
      <c r="AI200" s="14" t="str">
        <f t="shared" si="28"/>
        <v/>
      </c>
      <c r="AJ200" s="14">
        <f t="shared" si="29"/>
        <v>0</v>
      </c>
      <c r="AK200" t="str">
        <f t="shared" si="30"/>
        <v/>
      </c>
    </row>
    <row r="201" spans="1:37" x14ac:dyDescent="0.25">
      <c r="A201" t="str">
        <f t="shared" si="31"/>
        <v/>
      </c>
      <c r="Q201" t="str">
        <f>IF(E201&lt;&gt;"","'"&amp;'PO NO'!$B$2,"")</f>
        <v/>
      </c>
      <c r="U201" t="str">
        <f>IFERROR(CLEAN(VLOOKUP(N201,BOE!J:P,7,FALSE)),"")</f>
        <v/>
      </c>
      <c r="V201" t="str">
        <f t="shared" si="24"/>
        <v/>
      </c>
      <c r="W201" t="str">
        <f t="shared" si="25"/>
        <v/>
      </c>
      <c r="Y201" t="str">
        <f t="shared" si="26"/>
        <v/>
      </c>
      <c r="Z201" t="str">
        <f>IFERROR(IF(VLOOKUP(N201,BOE!J:Q,8,FALSE)=J201,"Pass","Mismatch"),"")</f>
        <v/>
      </c>
      <c r="AA201" t="str">
        <f>IFERROR(IF(ABS(VLOOKUP(N201,BOE!J:R,9,FALSE)-K201)&lt;0.2,"Pass","Mismatch"),"")</f>
        <v/>
      </c>
      <c r="AB201" t="str">
        <f>IFERROR(IF(ABS(VLOOKUP(N201,BOE!J:T,10,FALSE)-L201)&lt;0.2,"Pass","Mismatch"),"")</f>
        <v/>
      </c>
      <c r="AC201" t="str">
        <f>IFERROR(VLOOKUP(N201,BOE!J:N,2,FALSE),"")</f>
        <v/>
      </c>
      <c r="AD201" t="str">
        <f>IFERROR(VLOOKUP(N201,BOE!J:N,4,FALSE),"")</f>
        <v/>
      </c>
      <c r="AE201" t="str">
        <f>IFERROR(VLOOKUP(N201,BOE!J:N,5,FALSE),"")</f>
        <v/>
      </c>
      <c r="AG201" t="str">
        <f>IFERROR(VLOOKUP(N201,BOE!J:T,11,FALSE),"")</f>
        <v/>
      </c>
      <c r="AH201" s="14" t="str">
        <f t="shared" si="27"/>
        <v/>
      </c>
      <c r="AI201" s="14" t="str">
        <f t="shared" si="28"/>
        <v/>
      </c>
      <c r="AJ201" s="14">
        <f t="shared" si="29"/>
        <v>0</v>
      </c>
      <c r="AK201" t="str">
        <f t="shared" si="30"/>
        <v/>
      </c>
    </row>
    <row r="202" spans="1:37" x14ac:dyDescent="0.25">
      <c r="A202" t="str">
        <f t="shared" si="31"/>
        <v/>
      </c>
      <c r="Q202" t="str">
        <f>IF(E202&lt;&gt;"","'"&amp;'PO NO'!$B$2,"")</f>
        <v/>
      </c>
      <c r="U202" t="str">
        <f>IFERROR(CLEAN(VLOOKUP(N202,BOE!J:P,7,FALSE)),"")</f>
        <v/>
      </c>
      <c r="V202" t="str">
        <f t="shared" si="24"/>
        <v/>
      </c>
      <c r="W202" t="str">
        <f t="shared" si="25"/>
        <v/>
      </c>
      <c r="Y202" t="str">
        <f t="shared" si="26"/>
        <v/>
      </c>
      <c r="Z202" t="str">
        <f>IFERROR(IF(VLOOKUP(N202,BOE!J:Q,8,FALSE)=J202,"Pass","Mismatch"),"")</f>
        <v/>
      </c>
      <c r="AA202" t="str">
        <f>IFERROR(IF(ABS(VLOOKUP(N202,BOE!J:R,9,FALSE)-K202)&lt;0.2,"Pass","Mismatch"),"")</f>
        <v/>
      </c>
      <c r="AB202" t="str">
        <f>IFERROR(IF(ABS(VLOOKUP(N202,BOE!J:T,10,FALSE)-L202)&lt;0.2,"Pass","Mismatch"),"")</f>
        <v/>
      </c>
      <c r="AC202" t="str">
        <f>IFERROR(VLOOKUP(N202,BOE!J:N,2,FALSE),"")</f>
        <v/>
      </c>
      <c r="AD202" t="str">
        <f>IFERROR(VLOOKUP(N202,BOE!J:N,4,FALSE),"")</f>
        <v/>
      </c>
      <c r="AE202" t="str">
        <f>IFERROR(VLOOKUP(N202,BOE!J:N,5,FALSE),"")</f>
        <v/>
      </c>
      <c r="AG202" t="str">
        <f>IFERROR(VLOOKUP(N202,BOE!J:T,11,FALSE),"")</f>
        <v/>
      </c>
      <c r="AH202" s="14" t="str">
        <f t="shared" si="27"/>
        <v/>
      </c>
      <c r="AI202" s="14" t="str">
        <f t="shared" si="28"/>
        <v/>
      </c>
      <c r="AJ202" s="14">
        <f t="shared" si="29"/>
        <v>0</v>
      </c>
      <c r="AK202" t="str">
        <f t="shared" si="30"/>
        <v/>
      </c>
    </row>
    <row r="203" spans="1:37" x14ac:dyDescent="0.25">
      <c r="A203" t="str">
        <f t="shared" si="31"/>
        <v/>
      </c>
      <c r="Q203" t="str">
        <f>IF(E203&lt;&gt;"","'"&amp;'PO NO'!$B$2,"")</f>
        <v/>
      </c>
      <c r="U203" t="str">
        <f>IFERROR(CLEAN(VLOOKUP(N203,BOE!J:P,7,FALSE)),"")</f>
        <v/>
      </c>
      <c r="V203" t="str">
        <f t="shared" si="24"/>
        <v/>
      </c>
      <c r="W203" t="str">
        <f t="shared" si="25"/>
        <v/>
      </c>
      <c r="Y203" t="str">
        <f t="shared" si="26"/>
        <v/>
      </c>
      <c r="Z203" t="str">
        <f>IFERROR(IF(VLOOKUP(N203,BOE!J:Q,8,FALSE)=J203,"Pass","Mismatch"),"")</f>
        <v/>
      </c>
      <c r="AA203" t="str">
        <f>IFERROR(IF(ABS(VLOOKUP(N203,BOE!J:R,9,FALSE)-K203)&lt;0.2,"Pass","Mismatch"),"")</f>
        <v/>
      </c>
      <c r="AB203" t="str">
        <f>IFERROR(IF(ABS(VLOOKUP(N203,BOE!J:T,10,FALSE)-L203)&lt;0.2,"Pass","Mismatch"),"")</f>
        <v/>
      </c>
      <c r="AC203" t="str">
        <f>IFERROR(VLOOKUP(N203,BOE!J:N,2,FALSE),"")</f>
        <v/>
      </c>
      <c r="AD203" t="str">
        <f>IFERROR(VLOOKUP(N203,BOE!J:N,4,FALSE),"")</f>
        <v/>
      </c>
      <c r="AE203" t="str">
        <f>IFERROR(VLOOKUP(N203,BOE!J:N,5,FALSE),"")</f>
        <v/>
      </c>
      <c r="AG203" t="str">
        <f>IFERROR(VLOOKUP(N203,BOE!J:T,11,FALSE),"")</f>
        <v/>
      </c>
      <c r="AH203" s="14" t="str">
        <f t="shared" si="27"/>
        <v/>
      </c>
      <c r="AI203" s="14" t="str">
        <f t="shared" si="28"/>
        <v/>
      </c>
      <c r="AJ203" s="14">
        <f t="shared" si="29"/>
        <v>0</v>
      </c>
      <c r="AK203" t="str">
        <f t="shared" si="30"/>
        <v/>
      </c>
    </row>
    <row r="204" spans="1:37" x14ac:dyDescent="0.25">
      <c r="A204" t="str">
        <f t="shared" si="31"/>
        <v/>
      </c>
      <c r="Q204" t="str">
        <f>IF(E204&lt;&gt;"","'"&amp;'PO NO'!$B$2,"")</f>
        <v/>
      </c>
      <c r="U204" t="str">
        <f>IFERROR(CLEAN(VLOOKUP(N204,BOE!J:P,7,FALSE)),"")</f>
        <v/>
      </c>
      <c r="V204" t="str">
        <f t="shared" si="24"/>
        <v/>
      </c>
      <c r="W204" t="str">
        <f t="shared" si="25"/>
        <v/>
      </c>
      <c r="Y204" t="str">
        <f t="shared" si="26"/>
        <v/>
      </c>
      <c r="Z204" t="str">
        <f>IFERROR(IF(VLOOKUP(N204,BOE!J:Q,8,FALSE)=J204,"Pass","Mismatch"),"")</f>
        <v/>
      </c>
      <c r="AA204" t="str">
        <f>IFERROR(IF(ABS(VLOOKUP(N204,BOE!J:R,9,FALSE)-K204)&lt;0.2,"Pass","Mismatch"),"")</f>
        <v/>
      </c>
      <c r="AB204" t="str">
        <f>IFERROR(IF(ABS(VLOOKUP(N204,BOE!J:T,10,FALSE)-L204)&lt;0.2,"Pass","Mismatch"),"")</f>
        <v/>
      </c>
      <c r="AC204" t="str">
        <f>IFERROR(VLOOKUP(N204,BOE!J:N,2,FALSE),"")</f>
        <v/>
      </c>
      <c r="AD204" t="str">
        <f>IFERROR(VLOOKUP(N204,BOE!J:N,4,FALSE),"")</f>
        <v/>
      </c>
      <c r="AE204" t="str">
        <f>IFERROR(VLOOKUP(N204,BOE!J:N,5,FALSE),"")</f>
        <v/>
      </c>
      <c r="AG204" t="str">
        <f>IFERROR(VLOOKUP(N204,BOE!J:T,11,FALSE),"")</f>
        <v/>
      </c>
      <c r="AH204" s="14" t="str">
        <f t="shared" si="27"/>
        <v/>
      </c>
      <c r="AI204" s="14" t="str">
        <f t="shared" si="28"/>
        <v/>
      </c>
      <c r="AJ204" s="14">
        <f t="shared" si="29"/>
        <v>0</v>
      </c>
      <c r="AK204" t="str">
        <f t="shared" si="30"/>
        <v/>
      </c>
    </row>
    <row r="205" spans="1:37" x14ac:dyDescent="0.25">
      <c r="A205" t="str">
        <f t="shared" si="31"/>
        <v/>
      </c>
      <c r="Q205" t="str">
        <f>IF(E205&lt;&gt;"","'"&amp;'PO NO'!$B$2,"")</f>
        <v/>
      </c>
      <c r="U205" t="str">
        <f>IFERROR(CLEAN(VLOOKUP(N205,BOE!J:P,7,FALSE)),"")</f>
        <v/>
      </c>
      <c r="V205" t="str">
        <f t="shared" si="24"/>
        <v/>
      </c>
      <c r="W205" t="str">
        <f t="shared" si="25"/>
        <v/>
      </c>
      <c r="Y205" t="str">
        <f t="shared" si="26"/>
        <v/>
      </c>
      <c r="Z205" t="str">
        <f>IFERROR(IF(VLOOKUP(N205,BOE!J:Q,8,FALSE)=J205,"Pass","Mismatch"),"")</f>
        <v/>
      </c>
      <c r="AA205" t="str">
        <f>IFERROR(IF(ABS(VLOOKUP(N205,BOE!J:R,9,FALSE)-K205)&lt;0.2,"Pass","Mismatch"),"")</f>
        <v/>
      </c>
      <c r="AB205" t="str">
        <f>IFERROR(IF(ABS(VLOOKUP(N205,BOE!J:T,10,FALSE)-L205)&lt;0.2,"Pass","Mismatch"),"")</f>
        <v/>
      </c>
      <c r="AC205" t="str">
        <f>IFERROR(VLOOKUP(N205,BOE!J:N,2,FALSE),"")</f>
        <v/>
      </c>
      <c r="AD205" t="str">
        <f>IFERROR(VLOOKUP(N205,BOE!J:N,4,FALSE),"")</f>
        <v/>
      </c>
      <c r="AE205" t="str">
        <f>IFERROR(VLOOKUP(N205,BOE!J:N,5,FALSE),"")</f>
        <v/>
      </c>
      <c r="AG205" t="str">
        <f>IFERROR(VLOOKUP(N205,BOE!J:T,11,FALSE),"")</f>
        <v/>
      </c>
      <c r="AH205" s="14" t="str">
        <f t="shared" si="27"/>
        <v/>
      </c>
      <c r="AI205" s="14" t="str">
        <f t="shared" si="28"/>
        <v/>
      </c>
      <c r="AJ205" s="14">
        <f t="shared" si="29"/>
        <v>0</v>
      </c>
      <c r="AK205" t="str">
        <f t="shared" si="30"/>
        <v/>
      </c>
    </row>
    <row r="206" spans="1:37" x14ac:dyDescent="0.25">
      <c r="A206" t="str">
        <f t="shared" si="31"/>
        <v/>
      </c>
      <c r="U206" t="str">
        <f>IFERROR(CLEAN(VLOOKUP(N206,BOE!J:P,7,FALSE)),"")</f>
        <v/>
      </c>
      <c r="V206" t="str">
        <f t="shared" si="24"/>
        <v/>
      </c>
      <c r="W206" t="str">
        <f t="shared" si="25"/>
        <v/>
      </c>
      <c r="Y206" t="str">
        <f t="shared" si="26"/>
        <v/>
      </c>
      <c r="Z206" t="str">
        <f>IFERROR(IF(VLOOKUP(N206,BOE!J:Q,8,FALSE)=J206,"Pass","Mismatch"),"")</f>
        <v/>
      </c>
      <c r="AA206" t="str">
        <f>IFERROR(IF(ABS(VLOOKUP(N206,BOE!J:R,9,FALSE)-K206)&lt;0.2,"Pass","Mismatch"),"")</f>
        <v/>
      </c>
      <c r="AB206" t="str">
        <f>IFERROR(IF(ABS(VLOOKUP(N206,BOE!J:T,10,FALSE)-L206)&lt;0.2,"Pass","Mismatch"),"")</f>
        <v/>
      </c>
      <c r="AC206" t="str">
        <f>IFERROR(VLOOKUP(N206,BOE!J:N,2,FALSE),"")</f>
        <v/>
      </c>
      <c r="AD206" t="str">
        <f>IFERROR(VLOOKUP(N206,BOE!J:N,4,FALSE),"")</f>
        <v/>
      </c>
      <c r="AE206" t="str">
        <f>IFERROR(VLOOKUP(N206,BOE!J:N,5,FALSE),"")</f>
        <v/>
      </c>
      <c r="AG206" t="str">
        <f>IFERROR(VLOOKUP(N206,BOE!J:T,11,FALSE),"")</f>
        <v/>
      </c>
      <c r="AH206" s="14" t="str">
        <f t="shared" si="27"/>
        <v/>
      </c>
      <c r="AI206" s="14" t="str">
        <f t="shared" si="28"/>
        <v/>
      </c>
      <c r="AJ206" s="14">
        <f t="shared" si="29"/>
        <v>0</v>
      </c>
      <c r="AK206" t="str">
        <f t="shared" si="30"/>
        <v/>
      </c>
    </row>
    <row r="207" spans="1:37" x14ac:dyDescent="0.25">
      <c r="A207" t="str">
        <f t="shared" si="31"/>
        <v/>
      </c>
      <c r="U207" t="str">
        <f>IFERROR(CLEAN(VLOOKUP(N207,BOE!J:P,7,FALSE)),"")</f>
        <v/>
      </c>
      <c r="V207" t="str">
        <f t="shared" si="24"/>
        <v/>
      </c>
      <c r="W207" t="str">
        <f t="shared" si="25"/>
        <v/>
      </c>
      <c r="Y207" t="str">
        <f t="shared" si="26"/>
        <v/>
      </c>
      <c r="Z207" t="str">
        <f>IFERROR(IF(VLOOKUP(N207,BOE!J:Q,8,FALSE)=J207,"Pass","Mismatch"),"")</f>
        <v/>
      </c>
      <c r="AA207" t="str">
        <f>IFERROR(IF(ABS(VLOOKUP(N207,BOE!J:R,9,FALSE)-K207)&lt;0.2,"Pass","Mismatch"),"")</f>
        <v/>
      </c>
      <c r="AB207" t="str">
        <f>IFERROR(IF(ABS(VLOOKUP(N207,BOE!J:T,10,FALSE)-L207)&lt;0.2,"Pass","Mismatch"),"")</f>
        <v/>
      </c>
      <c r="AC207" t="str">
        <f>IFERROR(VLOOKUP(N207,BOE!J:N,2,FALSE),"")</f>
        <v/>
      </c>
      <c r="AD207" t="str">
        <f>IFERROR(VLOOKUP(N207,BOE!J:N,4,FALSE),"")</f>
        <v/>
      </c>
      <c r="AE207" t="str">
        <f>IFERROR(VLOOKUP(N207,BOE!J:N,5,FALSE),"")</f>
        <v/>
      </c>
      <c r="AG207" t="str">
        <f>IFERROR(VLOOKUP(N207,BOE!J:T,11,FALSE),"")</f>
        <v/>
      </c>
      <c r="AH207" s="14" t="str">
        <f t="shared" si="27"/>
        <v/>
      </c>
      <c r="AI207" s="14" t="str">
        <f t="shared" si="28"/>
        <v/>
      </c>
      <c r="AJ207" s="14">
        <f t="shared" si="29"/>
        <v>0</v>
      </c>
      <c r="AK207" t="str">
        <f t="shared" si="30"/>
        <v/>
      </c>
    </row>
    <row r="208" spans="1:37" x14ac:dyDescent="0.25">
      <c r="A208" t="str">
        <f t="shared" si="31"/>
        <v/>
      </c>
      <c r="U208" t="str">
        <f>IFERROR(CLEAN(VLOOKUP(N208,BOE!J:P,7,FALSE)),"")</f>
        <v/>
      </c>
      <c r="V208" t="str">
        <f t="shared" si="24"/>
        <v/>
      </c>
      <c r="W208" t="str">
        <f t="shared" si="25"/>
        <v/>
      </c>
      <c r="Y208" t="str">
        <f t="shared" si="26"/>
        <v/>
      </c>
      <c r="Z208" t="str">
        <f>IFERROR(IF(VLOOKUP(N208,BOE!J:Q,8,FALSE)=J208,"Pass","Mismatch"),"")</f>
        <v/>
      </c>
      <c r="AA208" t="str">
        <f>IFERROR(IF(ABS(VLOOKUP(N208,BOE!J:R,9,FALSE)-K208)&lt;0.2,"Pass","Mismatch"),"")</f>
        <v/>
      </c>
      <c r="AB208" t="str">
        <f>IFERROR(IF(ABS(VLOOKUP(N208,BOE!J:T,10,FALSE)-L208)&lt;0.2,"Pass","Mismatch"),"")</f>
        <v/>
      </c>
      <c r="AC208" t="str">
        <f>IFERROR(VLOOKUP(N208,BOE!J:N,2,FALSE),"")</f>
        <v/>
      </c>
      <c r="AD208" t="str">
        <f>IFERROR(VLOOKUP(N208,BOE!J:N,4,FALSE),"")</f>
        <v/>
      </c>
      <c r="AE208" t="str">
        <f>IFERROR(VLOOKUP(N208,BOE!J:N,5,FALSE),"")</f>
        <v/>
      </c>
      <c r="AG208" t="str">
        <f>IFERROR(VLOOKUP(N208,BOE!J:T,11,FALSE),"")</f>
        <v/>
      </c>
      <c r="AH208" s="14" t="str">
        <f t="shared" si="27"/>
        <v/>
      </c>
      <c r="AI208" s="14" t="str">
        <f t="shared" si="28"/>
        <v/>
      </c>
      <c r="AJ208" s="14">
        <f t="shared" si="29"/>
        <v>0</v>
      </c>
      <c r="AK208" t="str">
        <f t="shared" si="30"/>
        <v/>
      </c>
    </row>
    <row r="209" spans="1:37" x14ac:dyDescent="0.25">
      <c r="A209" t="str">
        <f t="shared" si="31"/>
        <v/>
      </c>
      <c r="U209" t="str">
        <f>IFERROR(CLEAN(VLOOKUP(N209,BOE!J:P,7,FALSE)),"")</f>
        <v/>
      </c>
      <c r="V209" t="str">
        <f t="shared" si="24"/>
        <v/>
      </c>
      <c r="W209" t="str">
        <f t="shared" si="25"/>
        <v/>
      </c>
      <c r="Y209" t="str">
        <f t="shared" si="26"/>
        <v/>
      </c>
      <c r="Z209" t="str">
        <f>IFERROR(IF(VLOOKUP(N209,BOE!J:Q,8,FALSE)=J209,"Pass","Mismatch"),"")</f>
        <v/>
      </c>
      <c r="AA209" t="str">
        <f>IFERROR(IF(ABS(VLOOKUP(N209,BOE!J:R,9,FALSE)-K209)&lt;0.2,"Pass","Mismatch"),"")</f>
        <v/>
      </c>
      <c r="AB209" t="str">
        <f>IFERROR(IF(ABS(VLOOKUP(N209,BOE!J:T,10,FALSE)-L209)&lt;0.2,"Pass","Mismatch"),"")</f>
        <v/>
      </c>
      <c r="AC209" t="str">
        <f>IFERROR(VLOOKUP(N209,BOE!J:N,2,FALSE),"")</f>
        <v/>
      </c>
      <c r="AD209" t="str">
        <f>IFERROR(VLOOKUP(N209,BOE!J:N,4,FALSE),"")</f>
        <v/>
      </c>
      <c r="AE209" t="str">
        <f>IFERROR(VLOOKUP(N209,BOE!J:N,5,FALSE),"")</f>
        <v/>
      </c>
      <c r="AG209" t="str">
        <f>IFERROR(VLOOKUP(N209,BOE!J:T,11,FALSE),"")</f>
        <v/>
      </c>
      <c r="AH209" s="14" t="str">
        <f t="shared" si="27"/>
        <v/>
      </c>
      <c r="AI209" s="14" t="str">
        <f t="shared" si="28"/>
        <v/>
      </c>
      <c r="AJ209" s="14">
        <f t="shared" si="29"/>
        <v>0</v>
      </c>
      <c r="AK209" t="str">
        <f t="shared" si="30"/>
        <v/>
      </c>
    </row>
    <row r="210" spans="1:37" x14ac:dyDescent="0.25">
      <c r="U210" t="str">
        <f>IFERROR(CLEAN(VLOOKUP(N210,BOE!J:P,7,FALSE)),"")</f>
        <v/>
      </c>
      <c r="V210" t="str">
        <f t="shared" si="24"/>
        <v/>
      </c>
      <c r="W210" t="str">
        <f t="shared" si="25"/>
        <v/>
      </c>
      <c r="Y210" t="str">
        <f t="shared" si="26"/>
        <v/>
      </c>
      <c r="Z210" t="str">
        <f>IFERROR(IF(VLOOKUP(N210,BOE!J:Q,8,FALSE)=J210,"Pass","Mismatch"),"")</f>
        <v/>
      </c>
      <c r="AA210" t="str">
        <f>IFERROR(IF(ABS(VLOOKUP(N210,BOE!J:R,9,FALSE)-K210)&lt;0.2,"Pass","Mismatch"),"")</f>
        <v/>
      </c>
      <c r="AB210" t="str">
        <f>IFERROR(IF(ABS(VLOOKUP(N210,BOE!J:T,10,FALSE)-L210)&lt;0.2,"Pass","Mismatch"),"")</f>
        <v/>
      </c>
      <c r="AC210" t="str">
        <f>IFERROR(VLOOKUP(N210,BOE!J:N,2,FALSE),"")</f>
        <v/>
      </c>
      <c r="AD210" t="str">
        <f>IFERROR(VLOOKUP(N210,BOE!J:N,4,FALSE),"")</f>
        <v/>
      </c>
      <c r="AE210" t="str">
        <f>IFERROR(VLOOKUP(N210,BOE!J:N,5,FALSE),"")</f>
        <v/>
      </c>
      <c r="AG210" t="str">
        <f>IFERROR(VLOOKUP(N210,BOE!J:T,11,FALSE),"")</f>
        <v/>
      </c>
      <c r="AH210" s="14" t="str">
        <f t="shared" si="27"/>
        <v/>
      </c>
      <c r="AI210" s="14" t="str">
        <f t="shared" si="28"/>
        <v/>
      </c>
      <c r="AJ210" s="14">
        <f t="shared" si="29"/>
        <v>0</v>
      </c>
      <c r="AK210" t="str">
        <f t="shared" si="30"/>
        <v/>
      </c>
    </row>
    <row r="211" spans="1:37" x14ac:dyDescent="0.25">
      <c r="U211" t="str">
        <f>IFERROR(CLEAN(VLOOKUP(N211,BOE!J:P,7,FALSE)),"")</f>
        <v/>
      </c>
      <c r="V211" t="str">
        <f t="shared" si="24"/>
        <v/>
      </c>
      <c r="W211" t="str">
        <f t="shared" si="25"/>
        <v/>
      </c>
      <c r="Y211" t="str">
        <f t="shared" si="26"/>
        <v/>
      </c>
      <c r="Z211" t="str">
        <f>IFERROR(IF(VLOOKUP(N211,BOE!J:Q,8,FALSE)=J211,"Pass","Mismatch"),"")</f>
        <v/>
      </c>
      <c r="AA211" t="str">
        <f>IFERROR(IF(ABS(VLOOKUP(N211,BOE!J:R,9,FALSE)-K211)&lt;0.2,"Pass","Mismatch"),"")</f>
        <v/>
      </c>
      <c r="AB211" t="str">
        <f>IFERROR(IF(ABS(VLOOKUP(N211,BOE!J:T,10,FALSE)-L211)&lt;0.2,"Pass","Mismatch"),"")</f>
        <v/>
      </c>
      <c r="AC211" t="str">
        <f>IFERROR(VLOOKUP(N211,BOE!J:N,2,FALSE),"")</f>
        <v/>
      </c>
      <c r="AD211" t="str">
        <f>IFERROR(VLOOKUP(N211,BOE!J:N,4,FALSE),"")</f>
        <v/>
      </c>
      <c r="AE211" t="str">
        <f>IFERROR(VLOOKUP(N211,BOE!J:N,5,FALSE),"")</f>
        <v/>
      </c>
      <c r="AG211" t="str">
        <f>IFERROR(VLOOKUP(N211,BOE!J:T,11,FALSE),"")</f>
        <v/>
      </c>
      <c r="AH211" s="14" t="str">
        <f t="shared" si="27"/>
        <v/>
      </c>
      <c r="AI211" s="14" t="str">
        <f t="shared" si="28"/>
        <v/>
      </c>
      <c r="AJ211" s="14">
        <f t="shared" si="29"/>
        <v>0</v>
      </c>
      <c r="AK211" t="str">
        <f t="shared" si="30"/>
        <v/>
      </c>
    </row>
    <row r="212" spans="1:37" x14ac:dyDescent="0.25">
      <c r="U212" t="str">
        <f>IFERROR(CLEAN(VLOOKUP(N212,BOE!J:P,7,FALSE)),"")</f>
        <v/>
      </c>
      <c r="V212" t="str">
        <f t="shared" si="24"/>
        <v/>
      </c>
      <c r="W212" t="str">
        <f t="shared" si="25"/>
        <v/>
      </c>
      <c r="Y212" t="str">
        <f t="shared" si="26"/>
        <v/>
      </c>
      <c r="Z212" t="str">
        <f>IFERROR(IF(VLOOKUP(N212,BOE!J:Q,8,FALSE)=J212,"Pass","Mismatch"),"")</f>
        <v/>
      </c>
      <c r="AA212" t="str">
        <f>IFERROR(IF(ABS(VLOOKUP(N212,BOE!J:R,9,FALSE)-K212)&lt;0.2,"Pass","Mismatch"),"")</f>
        <v/>
      </c>
      <c r="AB212" t="str">
        <f>IFERROR(IF(ABS(VLOOKUP(N212,BOE!J:T,10,FALSE)-L212)&lt;0.2,"Pass","Mismatch"),"")</f>
        <v/>
      </c>
      <c r="AC212" t="str">
        <f>IFERROR(VLOOKUP(N212,BOE!J:N,2,FALSE),"")</f>
        <v/>
      </c>
      <c r="AD212" t="str">
        <f>IFERROR(VLOOKUP(N212,BOE!J:N,4,FALSE),"")</f>
        <v/>
      </c>
      <c r="AE212" t="str">
        <f>IFERROR(VLOOKUP(N212,BOE!J:N,5,FALSE),"")</f>
        <v/>
      </c>
      <c r="AG212" t="str">
        <f>IFERROR(VLOOKUP(N212,BOE!J:T,11,FALSE),"")</f>
        <v/>
      </c>
      <c r="AH212" s="14" t="str">
        <f t="shared" si="27"/>
        <v/>
      </c>
      <c r="AI212" s="14" t="str">
        <f t="shared" si="28"/>
        <v/>
      </c>
      <c r="AJ212" s="14">
        <f t="shared" si="29"/>
        <v>0</v>
      </c>
      <c r="AK212" t="str">
        <f t="shared" si="30"/>
        <v/>
      </c>
    </row>
    <row r="213" spans="1:37" x14ac:dyDescent="0.25">
      <c r="U213" t="str">
        <f>IFERROR(CLEAN(VLOOKUP(N213,BOE!J:P,7,FALSE)),"")</f>
        <v/>
      </c>
      <c r="V213" t="str">
        <f t="shared" si="24"/>
        <v/>
      </c>
      <c r="W213" t="str">
        <f t="shared" si="25"/>
        <v/>
      </c>
      <c r="Y213" t="str">
        <f t="shared" si="26"/>
        <v/>
      </c>
      <c r="Z213" t="str">
        <f>IFERROR(IF(VLOOKUP(N213,BOE!J:Q,8,FALSE)=J213,"Pass","Mismatch"),"")</f>
        <v/>
      </c>
      <c r="AA213" t="str">
        <f>IFERROR(IF(ABS(VLOOKUP(N213,BOE!J:R,9,FALSE)-K213)&lt;0.2,"Pass","Mismatch"),"")</f>
        <v/>
      </c>
      <c r="AB213" t="str">
        <f>IFERROR(IF(ABS(VLOOKUP(N213,BOE!J:T,10,FALSE)-L213)&lt;0.2,"Pass","Mismatch"),"")</f>
        <v/>
      </c>
      <c r="AC213" t="str">
        <f>IFERROR(VLOOKUP(N213,BOE!J:N,2,FALSE),"")</f>
        <v/>
      </c>
      <c r="AD213" t="str">
        <f>IFERROR(VLOOKUP(N213,BOE!J:N,4,FALSE),"")</f>
        <v/>
      </c>
      <c r="AE213" t="str">
        <f>IFERROR(VLOOKUP(N213,BOE!J:N,5,FALSE),"")</f>
        <v/>
      </c>
      <c r="AG213" t="str">
        <f>IFERROR(VLOOKUP(N213,BOE!J:T,11,FALSE),"")</f>
        <v/>
      </c>
      <c r="AH213" s="14" t="str">
        <f t="shared" si="27"/>
        <v/>
      </c>
      <c r="AI213" s="14" t="str">
        <f t="shared" si="28"/>
        <v/>
      </c>
      <c r="AJ213" s="14">
        <f t="shared" si="29"/>
        <v>0</v>
      </c>
      <c r="AK213" t="str">
        <f t="shared" si="30"/>
        <v/>
      </c>
    </row>
  </sheetData>
  <autoFilter ref="A1:R40"/>
  <conditionalFormatting sqref="J1:L1 J101:L1048576">
    <cfRule type="duplicateValues" priority="2"/>
  </conditionalFormatting>
  <conditionalFormatting sqref="J1 J101:J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9"/>
  <sheetViews>
    <sheetView showGridLines="0" tabSelected="1" workbookViewId="0">
      <selection activeCell="C3" sqref="C3"/>
    </sheetView>
  </sheetViews>
  <sheetFormatPr defaultRowHeight="15" x14ac:dyDescent="0.25"/>
  <cols>
    <col min="1" max="1" width="27.42578125" bestFit="1" customWidth="1"/>
    <col min="7" max="7" width="35.140625" bestFit="1" customWidth="1"/>
  </cols>
  <sheetData>
    <row r="2" spans="1:8" x14ac:dyDescent="0.25">
      <c r="A2" s="9" t="s">
        <v>46</v>
      </c>
      <c r="B2" s="8" t="s">
        <v>35</v>
      </c>
      <c r="G2" s="12" t="s">
        <v>47</v>
      </c>
      <c r="H2" s="13" t="str">
        <f>IFERROR(IF(COUNTIF(B:B,"MISMATCH")&gt;0,"Mismatch","Pass"),"Mismatch")</f>
        <v>Pass</v>
      </c>
    </row>
    <row r="3" spans="1:8" x14ac:dyDescent="0.25">
      <c r="A3" s="11" t="s">
        <v>40</v>
      </c>
      <c r="B3" t="s">
        <v>61</v>
      </c>
      <c r="C3" s="10" t="str">
        <f>IFERROR(IF(COUNTIF(Final!W:W,"MISMATCH")&gt;0,"Mismatch","Pass"),"Mismatch")</f>
        <v>Pass</v>
      </c>
    </row>
    <row r="4" spans="1:8" x14ac:dyDescent="0.25">
      <c r="A4" s="11" t="s">
        <v>41</v>
      </c>
      <c r="B4" s="10" t="str">
        <f>IFERROR(IF((COUNTA(Final!E:E)-1)=(COUNTA(BOE!C:C)-1),"Pass","Mismatch"),"Mismatch")</f>
        <v>Pass</v>
      </c>
    </row>
    <row r="5" spans="1:8" x14ac:dyDescent="0.25">
      <c r="A5" s="11" t="s">
        <v>42</v>
      </c>
      <c r="B5" s="10" t="str">
        <f>IFERROR(IF(COUNTIF(Final!Y:Y,"MISMATCH")&gt;0,"Mismatch","Pass"),"Mismatch")</f>
        <v>Pass</v>
      </c>
    </row>
    <row r="6" spans="1:8" x14ac:dyDescent="0.25">
      <c r="A6" s="11" t="s">
        <v>21</v>
      </c>
      <c r="B6" s="10" t="str">
        <f>IFERROR(IF(COUNTIF(Final!AA:AA,"MISMATCH")&gt;0,"Mismatch","Pass"),"Mismatch")</f>
        <v>Pass</v>
      </c>
    </row>
    <row r="7" spans="1:8" x14ac:dyDescent="0.25">
      <c r="A7" s="11" t="s">
        <v>43</v>
      </c>
      <c r="B7" s="10" t="str">
        <f>IFERROR(IF(COUNTIF(Final!AB:AB,"MISMATCH")&gt;0,"Mismatch","Pass"),"Mismatch")</f>
        <v>Pass</v>
      </c>
    </row>
    <row r="8" spans="1:8" x14ac:dyDescent="0.25">
      <c r="A8" s="11" t="s">
        <v>44</v>
      </c>
      <c r="B8" s="10" t="str">
        <f>IFERROR(IF(COUNTIF(Final!Z:Z,"MISMATCH")&gt;0,"Mismatch","Pass"),"Mismatch")</f>
        <v>Pass</v>
      </c>
    </row>
    <row r="9" spans="1:8" x14ac:dyDescent="0.25">
      <c r="A9" s="15" t="s">
        <v>60</v>
      </c>
      <c r="B9" s="10" t="str">
        <f>IFERROR(IF(COUNTIF(Final!AK:AK,"NA")&gt;0,"Mismatch","Pass"),"Mismatch")</f>
        <v>Pass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" width="96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21"/>
  <sheetViews>
    <sheetView topLeftCell="D1" workbookViewId="0">
      <selection activeCell="K7" sqref="K7"/>
    </sheetView>
  </sheetViews>
  <sheetFormatPr defaultRowHeight="15" x14ac:dyDescent="0.25"/>
  <cols>
    <col min="1" max="2" width="9.140625" style="5" customWidth="1"/>
    <col min="3" max="3" width="88.5703125" style="5" bestFit="1" customWidth="1"/>
    <col min="4" max="4" width="9.140625" style="5" customWidth="1"/>
    <col min="5" max="5" width="7.140625" style="5" bestFit="1" customWidth="1"/>
    <col min="6" max="6" width="9.140625" style="5" customWidth="1"/>
    <col min="7" max="7" width="13.140625" style="6" bestFit="1" customWidth="1"/>
    <col min="8" max="9" width="9.140625" style="6" customWidth="1"/>
    <col min="10" max="10" width="9.85546875" style="5" bestFit="1" customWidth="1"/>
    <col min="11" max="11" width="10.85546875" style="5" bestFit="1" customWidth="1"/>
    <col min="12" max="12" width="9.5703125" style="5" bestFit="1" customWidth="1"/>
    <col min="16" max="16" width="79.42578125" bestFit="1" customWidth="1"/>
  </cols>
  <sheetData>
    <row r="1" spans="1:20" x14ac:dyDescent="0.25">
      <c r="A1" s="5" t="s">
        <v>27</v>
      </c>
      <c r="B1" s="5" t="s">
        <v>28</v>
      </c>
      <c r="C1" s="5" t="s">
        <v>29</v>
      </c>
      <c r="D1" s="5" t="s">
        <v>30</v>
      </c>
      <c r="E1" s="5" t="s">
        <v>31</v>
      </c>
      <c r="G1" s="6" t="s">
        <v>32</v>
      </c>
      <c r="K1" s="5" t="s">
        <v>26</v>
      </c>
      <c r="L1" s="5" t="s">
        <v>21</v>
      </c>
      <c r="M1" s="5" t="s">
        <v>33</v>
      </c>
      <c r="N1" s="5" t="s">
        <v>34</v>
      </c>
      <c r="O1" s="5">
        <f>COUNTA(A:A)+1</f>
        <v>2</v>
      </c>
    </row>
    <row r="2" spans="1:20" x14ac:dyDescent="0.25">
      <c r="J2" s="5" t="str">
        <f>IFERROR(MID(C2,IFERROR(FIND("MCX",C2,1),FIND("MCY",C2,1)),8),"")</f>
        <v/>
      </c>
      <c r="K2" s="5" t="s">
        <v>56</v>
      </c>
      <c r="L2" s="5">
        <f t="shared" ref="L2:L65" si="0">IFERROR(D2*1000,"")</f>
        <v>0</v>
      </c>
      <c r="M2" s="5" t="s">
        <v>56</v>
      </c>
      <c r="N2" s="5" t="s">
        <v>56</v>
      </c>
      <c r="P2">
        <f>C2</f>
        <v>0</v>
      </c>
      <c r="Q2">
        <f>VALUE(E2)</f>
        <v>0</v>
      </c>
      <c r="R2">
        <f>VALUE(D2)</f>
        <v>0</v>
      </c>
      <c r="S2">
        <f>VALUE(G2)</f>
        <v>0</v>
      </c>
      <c r="T2">
        <f>B2</f>
        <v>0</v>
      </c>
    </row>
    <row r="3" spans="1:20" x14ac:dyDescent="0.25">
      <c r="J3" s="5" t="str">
        <f t="shared" ref="J3:J66" si="1">IFERROR(MID(C3,IFERROR(FIND("MCX",C3,1),FIND("MCY",C3,1)),8),"")</f>
        <v/>
      </c>
      <c r="K3" s="5" t="s">
        <v>56</v>
      </c>
      <c r="L3" s="5">
        <f t="shared" si="0"/>
        <v>0</v>
      </c>
      <c r="M3" s="5" t="s">
        <v>56</v>
      </c>
      <c r="N3" s="5" t="s">
        <v>56</v>
      </c>
      <c r="P3">
        <f t="shared" ref="P3:P66" si="2">C3</f>
        <v>0</v>
      </c>
      <c r="Q3">
        <f t="shared" ref="Q3:Q66" si="3">VALUE(E3)</f>
        <v>0</v>
      </c>
      <c r="R3">
        <f t="shared" ref="R3:R66" si="4">VALUE(D3)</f>
        <v>0</v>
      </c>
      <c r="S3">
        <f t="shared" ref="S3:S66" si="5">VALUE(G3)</f>
        <v>0</v>
      </c>
      <c r="T3">
        <f t="shared" ref="T3:T66" si="6">B3</f>
        <v>0</v>
      </c>
    </row>
    <row r="4" spans="1:20" x14ac:dyDescent="0.25">
      <c r="J4" s="5" t="str">
        <f t="shared" si="1"/>
        <v/>
      </c>
      <c r="K4" s="5" t="s">
        <v>56</v>
      </c>
      <c r="L4" s="5">
        <f t="shared" si="0"/>
        <v>0</v>
      </c>
      <c r="M4" s="5" t="s">
        <v>56</v>
      </c>
      <c r="N4" s="5" t="s">
        <v>56</v>
      </c>
      <c r="P4">
        <f t="shared" si="2"/>
        <v>0</v>
      </c>
      <c r="Q4">
        <f t="shared" si="3"/>
        <v>0</v>
      </c>
      <c r="R4">
        <f t="shared" si="4"/>
        <v>0</v>
      </c>
      <c r="S4">
        <f t="shared" si="5"/>
        <v>0</v>
      </c>
      <c r="T4">
        <f t="shared" si="6"/>
        <v>0</v>
      </c>
    </row>
    <row r="5" spans="1:20" x14ac:dyDescent="0.25">
      <c r="J5" s="5" t="str">
        <f t="shared" si="1"/>
        <v/>
      </c>
      <c r="K5" s="5" t="s">
        <v>56</v>
      </c>
      <c r="L5" s="5">
        <f t="shared" si="0"/>
        <v>0</v>
      </c>
      <c r="M5" s="5" t="s">
        <v>56</v>
      </c>
      <c r="N5" s="5" t="s">
        <v>56</v>
      </c>
      <c r="P5">
        <f t="shared" si="2"/>
        <v>0</v>
      </c>
      <c r="Q5">
        <f t="shared" si="3"/>
        <v>0</v>
      </c>
      <c r="R5">
        <f t="shared" si="4"/>
        <v>0</v>
      </c>
      <c r="S5">
        <f t="shared" si="5"/>
        <v>0</v>
      </c>
      <c r="T5">
        <f t="shared" si="6"/>
        <v>0</v>
      </c>
    </row>
    <row r="6" spans="1:20" x14ac:dyDescent="0.25">
      <c r="J6" s="5" t="str">
        <f t="shared" si="1"/>
        <v/>
      </c>
      <c r="K6" s="5" t="s">
        <v>56</v>
      </c>
      <c r="L6" s="5">
        <f t="shared" si="0"/>
        <v>0</v>
      </c>
      <c r="M6" s="5" t="s">
        <v>56</v>
      </c>
      <c r="N6" s="5" t="s">
        <v>56</v>
      </c>
      <c r="P6">
        <f t="shared" si="2"/>
        <v>0</v>
      </c>
      <c r="Q6">
        <f t="shared" si="3"/>
        <v>0</v>
      </c>
      <c r="R6">
        <f t="shared" si="4"/>
        <v>0</v>
      </c>
      <c r="S6">
        <f t="shared" si="5"/>
        <v>0</v>
      </c>
      <c r="T6">
        <f t="shared" si="6"/>
        <v>0</v>
      </c>
    </row>
    <row r="7" spans="1:20" x14ac:dyDescent="0.25">
      <c r="J7" s="5" t="str">
        <f t="shared" si="1"/>
        <v/>
      </c>
      <c r="K7" s="5" t="s">
        <v>56</v>
      </c>
      <c r="L7" s="5">
        <f t="shared" si="0"/>
        <v>0</v>
      </c>
      <c r="M7" s="5" t="s">
        <v>56</v>
      </c>
      <c r="N7" s="5" t="s">
        <v>56</v>
      </c>
      <c r="P7">
        <f t="shared" si="2"/>
        <v>0</v>
      </c>
      <c r="Q7">
        <f t="shared" si="3"/>
        <v>0</v>
      </c>
      <c r="R7">
        <f t="shared" si="4"/>
        <v>0</v>
      </c>
      <c r="S7">
        <f t="shared" si="5"/>
        <v>0</v>
      </c>
      <c r="T7">
        <f t="shared" si="6"/>
        <v>0</v>
      </c>
    </row>
    <row r="8" spans="1:20" x14ac:dyDescent="0.25">
      <c r="J8" s="5" t="str">
        <f t="shared" si="1"/>
        <v/>
      </c>
      <c r="K8" s="5" t="s">
        <v>56</v>
      </c>
      <c r="L8" s="5">
        <f t="shared" si="0"/>
        <v>0</v>
      </c>
      <c r="M8" s="5" t="s">
        <v>56</v>
      </c>
      <c r="N8" s="5" t="s">
        <v>56</v>
      </c>
      <c r="P8">
        <f t="shared" si="2"/>
        <v>0</v>
      </c>
      <c r="Q8">
        <f t="shared" si="3"/>
        <v>0</v>
      </c>
      <c r="R8">
        <f t="shared" si="4"/>
        <v>0</v>
      </c>
      <c r="S8">
        <f t="shared" si="5"/>
        <v>0</v>
      </c>
      <c r="T8">
        <f t="shared" si="6"/>
        <v>0</v>
      </c>
    </row>
    <row r="9" spans="1:20" x14ac:dyDescent="0.25">
      <c r="J9" s="5" t="str">
        <f t="shared" si="1"/>
        <v/>
      </c>
      <c r="K9" s="5" t="s">
        <v>56</v>
      </c>
      <c r="L9" s="5">
        <f t="shared" si="0"/>
        <v>0</v>
      </c>
      <c r="M9" s="5" t="s">
        <v>56</v>
      </c>
      <c r="N9" s="5" t="s">
        <v>56</v>
      </c>
      <c r="P9">
        <f t="shared" si="2"/>
        <v>0</v>
      </c>
      <c r="Q9">
        <f t="shared" si="3"/>
        <v>0</v>
      </c>
      <c r="R9">
        <f t="shared" si="4"/>
        <v>0</v>
      </c>
      <c r="S9">
        <f t="shared" si="5"/>
        <v>0</v>
      </c>
      <c r="T9">
        <f t="shared" si="6"/>
        <v>0</v>
      </c>
    </row>
    <row r="10" spans="1:20" x14ac:dyDescent="0.25">
      <c r="J10" s="5" t="str">
        <f t="shared" si="1"/>
        <v/>
      </c>
      <c r="K10" s="5" t="s">
        <v>56</v>
      </c>
      <c r="L10" s="5">
        <f t="shared" si="0"/>
        <v>0</v>
      </c>
      <c r="M10" s="5" t="s">
        <v>56</v>
      </c>
      <c r="N10" s="5" t="s">
        <v>56</v>
      </c>
      <c r="P10">
        <f t="shared" si="2"/>
        <v>0</v>
      </c>
      <c r="Q10">
        <f t="shared" si="3"/>
        <v>0</v>
      </c>
      <c r="R10">
        <f t="shared" si="4"/>
        <v>0</v>
      </c>
      <c r="S10">
        <f t="shared" si="5"/>
        <v>0</v>
      </c>
      <c r="T10">
        <f t="shared" si="6"/>
        <v>0</v>
      </c>
    </row>
    <row r="11" spans="1:20" x14ac:dyDescent="0.25">
      <c r="J11" s="5" t="str">
        <f t="shared" si="1"/>
        <v/>
      </c>
      <c r="K11" s="5" t="s">
        <v>56</v>
      </c>
      <c r="L11" s="5">
        <f t="shared" si="0"/>
        <v>0</v>
      </c>
      <c r="M11" s="5" t="s">
        <v>56</v>
      </c>
      <c r="N11" s="5" t="s">
        <v>56</v>
      </c>
      <c r="P11">
        <f t="shared" si="2"/>
        <v>0</v>
      </c>
      <c r="Q11">
        <f t="shared" si="3"/>
        <v>0</v>
      </c>
      <c r="R11">
        <f t="shared" si="4"/>
        <v>0</v>
      </c>
      <c r="S11">
        <f t="shared" si="5"/>
        <v>0</v>
      </c>
      <c r="T11">
        <f t="shared" si="6"/>
        <v>0</v>
      </c>
    </row>
    <row r="12" spans="1:20" x14ac:dyDescent="0.25">
      <c r="J12" s="5" t="str">
        <f t="shared" si="1"/>
        <v/>
      </c>
      <c r="K12" s="5" t="s">
        <v>56</v>
      </c>
      <c r="L12" s="5">
        <f t="shared" si="0"/>
        <v>0</v>
      </c>
      <c r="M12" s="5" t="s">
        <v>56</v>
      </c>
      <c r="N12" s="5" t="s">
        <v>56</v>
      </c>
      <c r="P12">
        <f t="shared" si="2"/>
        <v>0</v>
      </c>
      <c r="Q12">
        <f t="shared" si="3"/>
        <v>0</v>
      </c>
      <c r="R12">
        <f t="shared" si="4"/>
        <v>0</v>
      </c>
      <c r="S12">
        <f t="shared" si="5"/>
        <v>0</v>
      </c>
      <c r="T12">
        <f t="shared" si="6"/>
        <v>0</v>
      </c>
    </row>
    <row r="13" spans="1:20" x14ac:dyDescent="0.25">
      <c r="J13" s="5" t="str">
        <f t="shared" si="1"/>
        <v/>
      </c>
      <c r="K13" s="5" t="s">
        <v>56</v>
      </c>
      <c r="L13" s="5">
        <f t="shared" si="0"/>
        <v>0</v>
      </c>
      <c r="M13" s="5" t="s">
        <v>56</v>
      </c>
      <c r="N13" s="5" t="s">
        <v>56</v>
      </c>
      <c r="P13">
        <f t="shared" si="2"/>
        <v>0</v>
      </c>
      <c r="Q13">
        <f t="shared" si="3"/>
        <v>0</v>
      </c>
      <c r="R13">
        <f t="shared" si="4"/>
        <v>0</v>
      </c>
      <c r="S13">
        <f t="shared" si="5"/>
        <v>0</v>
      </c>
      <c r="T13">
        <f t="shared" si="6"/>
        <v>0</v>
      </c>
    </row>
    <row r="14" spans="1:20" x14ac:dyDescent="0.25">
      <c r="J14" s="5" t="str">
        <f t="shared" si="1"/>
        <v/>
      </c>
      <c r="K14" s="5" t="s">
        <v>56</v>
      </c>
      <c r="L14" s="5">
        <f t="shared" si="0"/>
        <v>0</v>
      </c>
      <c r="M14" s="5" t="s">
        <v>56</v>
      </c>
      <c r="N14" s="5" t="s">
        <v>56</v>
      </c>
      <c r="P14">
        <f t="shared" si="2"/>
        <v>0</v>
      </c>
      <c r="Q14">
        <f t="shared" si="3"/>
        <v>0</v>
      </c>
      <c r="R14">
        <f t="shared" si="4"/>
        <v>0</v>
      </c>
      <c r="S14">
        <f t="shared" si="5"/>
        <v>0</v>
      </c>
      <c r="T14">
        <f t="shared" si="6"/>
        <v>0</v>
      </c>
    </row>
    <row r="15" spans="1:20" x14ac:dyDescent="0.25">
      <c r="J15" s="5" t="str">
        <f t="shared" si="1"/>
        <v/>
      </c>
      <c r="K15" s="5" t="s">
        <v>56</v>
      </c>
      <c r="L15" s="5">
        <f t="shared" si="0"/>
        <v>0</v>
      </c>
      <c r="M15" s="5" t="s">
        <v>56</v>
      </c>
      <c r="N15" s="5" t="s">
        <v>56</v>
      </c>
      <c r="P15">
        <f t="shared" si="2"/>
        <v>0</v>
      </c>
      <c r="Q15">
        <f t="shared" si="3"/>
        <v>0</v>
      </c>
      <c r="R15">
        <f t="shared" si="4"/>
        <v>0</v>
      </c>
      <c r="S15">
        <f t="shared" si="5"/>
        <v>0</v>
      </c>
      <c r="T15">
        <f t="shared" si="6"/>
        <v>0</v>
      </c>
    </row>
    <row r="16" spans="1:20" x14ac:dyDescent="0.25">
      <c r="J16" s="5" t="str">
        <f t="shared" si="1"/>
        <v/>
      </c>
      <c r="K16" s="5" t="s">
        <v>56</v>
      </c>
      <c r="L16" s="5">
        <f t="shared" si="0"/>
        <v>0</v>
      </c>
      <c r="M16" s="5" t="s">
        <v>56</v>
      </c>
      <c r="N16" s="5" t="s">
        <v>56</v>
      </c>
      <c r="P16">
        <f t="shared" si="2"/>
        <v>0</v>
      </c>
      <c r="Q16">
        <f t="shared" si="3"/>
        <v>0</v>
      </c>
      <c r="R16">
        <f t="shared" si="4"/>
        <v>0</v>
      </c>
      <c r="S16">
        <f t="shared" si="5"/>
        <v>0</v>
      </c>
      <c r="T16">
        <f t="shared" si="6"/>
        <v>0</v>
      </c>
    </row>
    <row r="17" spans="10:20" x14ac:dyDescent="0.25">
      <c r="J17" s="5" t="str">
        <f t="shared" si="1"/>
        <v/>
      </c>
      <c r="K17" s="5" t="s">
        <v>56</v>
      </c>
      <c r="L17" s="5">
        <f t="shared" si="0"/>
        <v>0</v>
      </c>
      <c r="M17" s="5" t="s">
        <v>56</v>
      </c>
      <c r="N17" s="5" t="s">
        <v>56</v>
      </c>
      <c r="P17">
        <f t="shared" si="2"/>
        <v>0</v>
      </c>
      <c r="Q17">
        <f t="shared" si="3"/>
        <v>0</v>
      </c>
      <c r="R17">
        <f t="shared" si="4"/>
        <v>0</v>
      </c>
      <c r="S17">
        <f t="shared" si="5"/>
        <v>0</v>
      </c>
      <c r="T17">
        <f t="shared" si="6"/>
        <v>0</v>
      </c>
    </row>
    <row r="18" spans="10:20" x14ac:dyDescent="0.25">
      <c r="J18" s="5" t="str">
        <f t="shared" si="1"/>
        <v/>
      </c>
      <c r="K18" s="5" t="s">
        <v>56</v>
      </c>
      <c r="L18" s="5">
        <f t="shared" si="0"/>
        <v>0</v>
      </c>
      <c r="M18" s="5" t="s">
        <v>56</v>
      </c>
      <c r="N18" s="5" t="s">
        <v>56</v>
      </c>
      <c r="P18">
        <f t="shared" si="2"/>
        <v>0</v>
      </c>
      <c r="Q18">
        <f t="shared" si="3"/>
        <v>0</v>
      </c>
      <c r="R18">
        <f t="shared" si="4"/>
        <v>0</v>
      </c>
      <c r="S18">
        <f t="shared" si="5"/>
        <v>0</v>
      </c>
      <c r="T18">
        <f t="shared" si="6"/>
        <v>0</v>
      </c>
    </row>
    <row r="19" spans="10:20" x14ac:dyDescent="0.25">
      <c r="J19" s="5" t="str">
        <f t="shared" si="1"/>
        <v/>
      </c>
      <c r="K19" s="5" t="s">
        <v>56</v>
      </c>
      <c r="L19" s="5">
        <f t="shared" si="0"/>
        <v>0</v>
      </c>
      <c r="M19" s="5" t="s">
        <v>56</v>
      </c>
      <c r="N19" s="5" t="s">
        <v>56</v>
      </c>
      <c r="P19">
        <f t="shared" si="2"/>
        <v>0</v>
      </c>
      <c r="Q19">
        <f t="shared" si="3"/>
        <v>0</v>
      </c>
      <c r="R19">
        <f t="shared" si="4"/>
        <v>0</v>
      </c>
      <c r="S19">
        <f t="shared" si="5"/>
        <v>0</v>
      </c>
      <c r="T19">
        <f t="shared" si="6"/>
        <v>0</v>
      </c>
    </row>
    <row r="20" spans="10:20" x14ac:dyDescent="0.25">
      <c r="J20" s="5" t="str">
        <f t="shared" si="1"/>
        <v/>
      </c>
      <c r="K20" s="5" t="s">
        <v>56</v>
      </c>
      <c r="L20" s="5">
        <f t="shared" si="0"/>
        <v>0</v>
      </c>
      <c r="M20" s="5" t="s">
        <v>56</v>
      </c>
      <c r="N20" s="5" t="s">
        <v>56</v>
      </c>
      <c r="P20">
        <f t="shared" si="2"/>
        <v>0</v>
      </c>
      <c r="Q20">
        <f t="shared" si="3"/>
        <v>0</v>
      </c>
      <c r="R20">
        <f t="shared" si="4"/>
        <v>0</v>
      </c>
      <c r="S20">
        <f t="shared" si="5"/>
        <v>0</v>
      </c>
      <c r="T20">
        <f t="shared" si="6"/>
        <v>0</v>
      </c>
    </row>
    <row r="21" spans="10:20" x14ac:dyDescent="0.25">
      <c r="J21" s="5" t="str">
        <f t="shared" si="1"/>
        <v/>
      </c>
      <c r="K21" s="5" t="s">
        <v>56</v>
      </c>
      <c r="L21" s="5">
        <f t="shared" si="0"/>
        <v>0</v>
      </c>
      <c r="M21" s="5" t="s">
        <v>56</v>
      </c>
      <c r="N21" s="5" t="s">
        <v>56</v>
      </c>
      <c r="P21">
        <f t="shared" si="2"/>
        <v>0</v>
      </c>
      <c r="Q21">
        <f t="shared" si="3"/>
        <v>0</v>
      </c>
      <c r="R21">
        <f t="shared" si="4"/>
        <v>0</v>
      </c>
      <c r="S21">
        <f t="shared" si="5"/>
        <v>0</v>
      </c>
      <c r="T21">
        <f t="shared" si="6"/>
        <v>0</v>
      </c>
    </row>
    <row r="22" spans="10:20" x14ac:dyDescent="0.25">
      <c r="J22" s="5" t="str">
        <f t="shared" si="1"/>
        <v/>
      </c>
      <c r="K22" s="5" t="s">
        <v>56</v>
      </c>
      <c r="L22" s="5">
        <f t="shared" si="0"/>
        <v>0</v>
      </c>
      <c r="M22" s="5" t="s">
        <v>56</v>
      </c>
      <c r="N22" s="5" t="s">
        <v>56</v>
      </c>
      <c r="P22">
        <f t="shared" si="2"/>
        <v>0</v>
      </c>
      <c r="Q22">
        <f t="shared" si="3"/>
        <v>0</v>
      </c>
      <c r="R22">
        <f t="shared" si="4"/>
        <v>0</v>
      </c>
      <c r="S22">
        <f t="shared" si="5"/>
        <v>0</v>
      </c>
      <c r="T22">
        <f t="shared" si="6"/>
        <v>0</v>
      </c>
    </row>
    <row r="23" spans="10:20" x14ac:dyDescent="0.25">
      <c r="J23" s="5" t="str">
        <f t="shared" si="1"/>
        <v/>
      </c>
      <c r="K23" s="5" t="s">
        <v>56</v>
      </c>
      <c r="L23" s="5">
        <f t="shared" si="0"/>
        <v>0</v>
      </c>
      <c r="M23" s="5" t="s">
        <v>56</v>
      </c>
      <c r="N23" s="5" t="s">
        <v>56</v>
      </c>
      <c r="P23">
        <f t="shared" si="2"/>
        <v>0</v>
      </c>
      <c r="Q23">
        <f t="shared" si="3"/>
        <v>0</v>
      </c>
      <c r="R23">
        <f t="shared" si="4"/>
        <v>0</v>
      </c>
      <c r="S23">
        <f t="shared" si="5"/>
        <v>0</v>
      </c>
      <c r="T23">
        <f t="shared" si="6"/>
        <v>0</v>
      </c>
    </row>
    <row r="24" spans="10:20" x14ac:dyDescent="0.25">
      <c r="J24" s="5" t="str">
        <f t="shared" si="1"/>
        <v/>
      </c>
      <c r="K24" s="5" t="s">
        <v>56</v>
      </c>
      <c r="L24" s="5">
        <f t="shared" si="0"/>
        <v>0</v>
      </c>
      <c r="M24" s="5" t="s">
        <v>56</v>
      </c>
      <c r="N24" s="5" t="s">
        <v>56</v>
      </c>
      <c r="P24">
        <f t="shared" si="2"/>
        <v>0</v>
      </c>
      <c r="Q24">
        <f t="shared" si="3"/>
        <v>0</v>
      </c>
      <c r="R24">
        <f t="shared" si="4"/>
        <v>0</v>
      </c>
      <c r="S24">
        <f t="shared" si="5"/>
        <v>0</v>
      </c>
      <c r="T24">
        <f t="shared" si="6"/>
        <v>0</v>
      </c>
    </row>
    <row r="25" spans="10:20" x14ac:dyDescent="0.25">
      <c r="J25" s="5" t="str">
        <f t="shared" si="1"/>
        <v/>
      </c>
      <c r="K25" s="5" t="s">
        <v>56</v>
      </c>
      <c r="L25" s="5">
        <f t="shared" si="0"/>
        <v>0</v>
      </c>
      <c r="M25" s="5" t="s">
        <v>56</v>
      </c>
      <c r="N25" s="5" t="s">
        <v>56</v>
      </c>
      <c r="P25">
        <f t="shared" si="2"/>
        <v>0</v>
      </c>
      <c r="Q25">
        <f t="shared" si="3"/>
        <v>0</v>
      </c>
      <c r="R25">
        <f t="shared" si="4"/>
        <v>0</v>
      </c>
      <c r="S25">
        <f t="shared" si="5"/>
        <v>0</v>
      </c>
      <c r="T25">
        <f t="shared" si="6"/>
        <v>0</v>
      </c>
    </row>
    <row r="26" spans="10:20" x14ac:dyDescent="0.25">
      <c r="J26" s="5" t="str">
        <f t="shared" si="1"/>
        <v/>
      </c>
      <c r="K26" s="5" t="s">
        <v>56</v>
      </c>
      <c r="L26" s="5">
        <f t="shared" si="0"/>
        <v>0</v>
      </c>
      <c r="M26" s="5" t="s">
        <v>56</v>
      </c>
      <c r="N26" s="5" t="s">
        <v>56</v>
      </c>
      <c r="P26">
        <f t="shared" si="2"/>
        <v>0</v>
      </c>
      <c r="Q26">
        <f t="shared" si="3"/>
        <v>0</v>
      </c>
      <c r="R26">
        <f t="shared" si="4"/>
        <v>0</v>
      </c>
      <c r="S26">
        <f t="shared" si="5"/>
        <v>0</v>
      </c>
      <c r="T26">
        <f t="shared" si="6"/>
        <v>0</v>
      </c>
    </row>
    <row r="27" spans="10:20" x14ac:dyDescent="0.25">
      <c r="J27" s="5" t="str">
        <f t="shared" si="1"/>
        <v/>
      </c>
      <c r="K27" s="5" t="s">
        <v>56</v>
      </c>
      <c r="L27" s="5">
        <f t="shared" si="0"/>
        <v>0</v>
      </c>
      <c r="M27" s="5" t="s">
        <v>56</v>
      </c>
      <c r="N27" s="5" t="s">
        <v>56</v>
      </c>
      <c r="P27">
        <f t="shared" si="2"/>
        <v>0</v>
      </c>
      <c r="Q27">
        <f t="shared" si="3"/>
        <v>0</v>
      </c>
      <c r="R27">
        <f t="shared" si="4"/>
        <v>0</v>
      </c>
      <c r="S27">
        <f t="shared" si="5"/>
        <v>0</v>
      </c>
      <c r="T27">
        <f t="shared" si="6"/>
        <v>0</v>
      </c>
    </row>
    <row r="28" spans="10:20" x14ac:dyDescent="0.25">
      <c r="J28" s="5" t="str">
        <f t="shared" si="1"/>
        <v/>
      </c>
      <c r="K28" s="5" t="s">
        <v>56</v>
      </c>
      <c r="L28" s="5">
        <f t="shared" si="0"/>
        <v>0</v>
      </c>
      <c r="M28" s="5" t="s">
        <v>56</v>
      </c>
      <c r="N28" s="5" t="s">
        <v>56</v>
      </c>
      <c r="P28">
        <f t="shared" si="2"/>
        <v>0</v>
      </c>
      <c r="Q28">
        <f t="shared" si="3"/>
        <v>0</v>
      </c>
      <c r="R28">
        <f t="shared" si="4"/>
        <v>0</v>
      </c>
      <c r="S28">
        <f t="shared" si="5"/>
        <v>0</v>
      </c>
      <c r="T28">
        <f t="shared" si="6"/>
        <v>0</v>
      </c>
    </row>
    <row r="29" spans="10:20" x14ac:dyDescent="0.25">
      <c r="J29" s="5" t="str">
        <f t="shared" si="1"/>
        <v/>
      </c>
      <c r="K29" s="5" t="s">
        <v>56</v>
      </c>
      <c r="L29" s="5">
        <f t="shared" si="0"/>
        <v>0</v>
      </c>
      <c r="M29" s="5" t="s">
        <v>56</v>
      </c>
      <c r="N29" s="5" t="s">
        <v>56</v>
      </c>
      <c r="P29">
        <f t="shared" si="2"/>
        <v>0</v>
      </c>
      <c r="Q29">
        <f t="shared" si="3"/>
        <v>0</v>
      </c>
      <c r="R29">
        <f t="shared" si="4"/>
        <v>0</v>
      </c>
      <c r="S29">
        <f t="shared" si="5"/>
        <v>0</v>
      </c>
      <c r="T29">
        <f t="shared" si="6"/>
        <v>0</v>
      </c>
    </row>
    <row r="30" spans="10:20" x14ac:dyDescent="0.25">
      <c r="J30" s="5" t="str">
        <f t="shared" si="1"/>
        <v/>
      </c>
      <c r="K30" s="5" t="s">
        <v>56</v>
      </c>
      <c r="L30" s="5">
        <f t="shared" si="0"/>
        <v>0</v>
      </c>
      <c r="M30" s="5" t="s">
        <v>56</v>
      </c>
      <c r="N30" s="5" t="s">
        <v>56</v>
      </c>
      <c r="P30">
        <f t="shared" si="2"/>
        <v>0</v>
      </c>
      <c r="Q30">
        <f t="shared" si="3"/>
        <v>0</v>
      </c>
      <c r="R30">
        <f t="shared" si="4"/>
        <v>0</v>
      </c>
      <c r="S30">
        <f t="shared" si="5"/>
        <v>0</v>
      </c>
      <c r="T30">
        <f t="shared" si="6"/>
        <v>0</v>
      </c>
    </row>
    <row r="31" spans="10:20" x14ac:dyDescent="0.25">
      <c r="J31" s="5" t="str">
        <f t="shared" si="1"/>
        <v/>
      </c>
      <c r="K31" s="5" t="s">
        <v>56</v>
      </c>
      <c r="L31" s="5">
        <f t="shared" si="0"/>
        <v>0</v>
      </c>
      <c r="M31" s="5" t="s">
        <v>56</v>
      </c>
      <c r="N31" s="5" t="s">
        <v>56</v>
      </c>
      <c r="P31">
        <f t="shared" si="2"/>
        <v>0</v>
      </c>
      <c r="Q31">
        <f t="shared" si="3"/>
        <v>0</v>
      </c>
      <c r="R31">
        <f t="shared" si="4"/>
        <v>0</v>
      </c>
      <c r="S31">
        <f t="shared" si="5"/>
        <v>0</v>
      </c>
      <c r="T31">
        <f t="shared" si="6"/>
        <v>0</v>
      </c>
    </row>
    <row r="32" spans="10:20" x14ac:dyDescent="0.25">
      <c r="J32" s="5" t="str">
        <f t="shared" si="1"/>
        <v/>
      </c>
      <c r="K32" s="5" t="s">
        <v>56</v>
      </c>
      <c r="L32" s="5">
        <f t="shared" si="0"/>
        <v>0</v>
      </c>
      <c r="M32" s="5" t="s">
        <v>56</v>
      </c>
      <c r="N32" s="5" t="s">
        <v>56</v>
      </c>
      <c r="P32">
        <f t="shared" si="2"/>
        <v>0</v>
      </c>
      <c r="Q32">
        <f t="shared" si="3"/>
        <v>0</v>
      </c>
      <c r="R32">
        <f t="shared" si="4"/>
        <v>0</v>
      </c>
      <c r="S32">
        <f t="shared" si="5"/>
        <v>0</v>
      </c>
      <c r="T32">
        <f t="shared" si="6"/>
        <v>0</v>
      </c>
    </row>
    <row r="33" spans="10:20" x14ac:dyDescent="0.25">
      <c r="J33" s="5" t="str">
        <f t="shared" si="1"/>
        <v/>
      </c>
      <c r="K33" s="5" t="s">
        <v>56</v>
      </c>
      <c r="L33" s="5">
        <f t="shared" si="0"/>
        <v>0</v>
      </c>
      <c r="M33" s="5" t="s">
        <v>56</v>
      </c>
      <c r="N33" s="5" t="s">
        <v>56</v>
      </c>
      <c r="P33">
        <f t="shared" si="2"/>
        <v>0</v>
      </c>
      <c r="Q33">
        <f t="shared" si="3"/>
        <v>0</v>
      </c>
      <c r="R33">
        <f t="shared" si="4"/>
        <v>0</v>
      </c>
      <c r="S33">
        <f t="shared" si="5"/>
        <v>0</v>
      </c>
      <c r="T33">
        <f t="shared" si="6"/>
        <v>0</v>
      </c>
    </row>
    <row r="34" spans="10:20" x14ac:dyDescent="0.25">
      <c r="J34" s="5" t="str">
        <f t="shared" si="1"/>
        <v/>
      </c>
      <c r="K34" s="5" t="s">
        <v>56</v>
      </c>
      <c r="L34" s="5">
        <f t="shared" si="0"/>
        <v>0</v>
      </c>
      <c r="M34" s="5" t="s">
        <v>56</v>
      </c>
      <c r="N34" s="5" t="s">
        <v>56</v>
      </c>
      <c r="P34">
        <f t="shared" si="2"/>
        <v>0</v>
      </c>
      <c r="Q34">
        <f t="shared" si="3"/>
        <v>0</v>
      </c>
      <c r="R34">
        <f t="shared" si="4"/>
        <v>0</v>
      </c>
      <c r="S34">
        <f t="shared" si="5"/>
        <v>0</v>
      </c>
      <c r="T34">
        <f t="shared" si="6"/>
        <v>0</v>
      </c>
    </row>
    <row r="35" spans="10:20" x14ac:dyDescent="0.25">
      <c r="J35" s="5" t="str">
        <f t="shared" si="1"/>
        <v/>
      </c>
      <c r="K35" s="5" t="s">
        <v>56</v>
      </c>
      <c r="L35" s="5">
        <f t="shared" si="0"/>
        <v>0</v>
      </c>
      <c r="M35" s="5" t="s">
        <v>56</v>
      </c>
      <c r="N35" s="5" t="s">
        <v>56</v>
      </c>
      <c r="P35">
        <f t="shared" si="2"/>
        <v>0</v>
      </c>
      <c r="Q35">
        <f t="shared" si="3"/>
        <v>0</v>
      </c>
      <c r="R35">
        <f t="shared" si="4"/>
        <v>0</v>
      </c>
      <c r="S35">
        <f t="shared" si="5"/>
        <v>0</v>
      </c>
      <c r="T35">
        <f t="shared" si="6"/>
        <v>0</v>
      </c>
    </row>
    <row r="36" spans="10:20" x14ac:dyDescent="0.25">
      <c r="J36" s="5" t="str">
        <f t="shared" si="1"/>
        <v/>
      </c>
      <c r="K36" s="5" t="s">
        <v>56</v>
      </c>
      <c r="L36" s="5">
        <f t="shared" si="0"/>
        <v>0</v>
      </c>
      <c r="M36" s="5" t="s">
        <v>56</v>
      </c>
      <c r="N36" s="5" t="s">
        <v>56</v>
      </c>
      <c r="P36">
        <f t="shared" si="2"/>
        <v>0</v>
      </c>
      <c r="Q36">
        <f t="shared" si="3"/>
        <v>0</v>
      </c>
      <c r="R36">
        <f t="shared" si="4"/>
        <v>0</v>
      </c>
      <c r="S36">
        <f t="shared" si="5"/>
        <v>0</v>
      </c>
      <c r="T36">
        <f t="shared" si="6"/>
        <v>0</v>
      </c>
    </row>
    <row r="37" spans="10:20" x14ac:dyDescent="0.25">
      <c r="J37" s="5" t="str">
        <f t="shared" si="1"/>
        <v/>
      </c>
      <c r="K37" s="5" t="s">
        <v>56</v>
      </c>
      <c r="L37" s="5">
        <f t="shared" si="0"/>
        <v>0</v>
      </c>
      <c r="M37" s="5" t="s">
        <v>56</v>
      </c>
      <c r="N37" s="5" t="s">
        <v>56</v>
      </c>
      <c r="P37">
        <f t="shared" si="2"/>
        <v>0</v>
      </c>
      <c r="Q37">
        <f t="shared" si="3"/>
        <v>0</v>
      </c>
      <c r="R37">
        <f t="shared" si="4"/>
        <v>0</v>
      </c>
      <c r="S37">
        <f t="shared" si="5"/>
        <v>0</v>
      </c>
      <c r="T37">
        <f t="shared" si="6"/>
        <v>0</v>
      </c>
    </row>
    <row r="38" spans="10:20" x14ac:dyDescent="0.25">
      <c r="J38" s="5" t="str">
        <f t="shared" si="1"/>
        <v/>
      </c>
      <c r="K38" s="5" t="s">
        <v>56</v>
      </c>
      <c r="L38" s="5">
        <f t="shared" si="0"/>
        <v>0</v>
      </c>
      <c r="M38" s="5" t="s">
        <v>56</v>
      </c>
      <c r="N38" s="5" t="s">
        <v>56</v>
      </c>
      <c r="P38">
        <f t="shared" si="2"/>
        <v>0</v>
      </c>
      <c r="Q38">
        <f t="shared" si="3"/>
        <v>0</v>
      </c>
      <c r="R38">
        <f t="shared" si="4"/>
        <v>0</v>
      </c>
      <c r="S38">
        <f t="shared" si="5"/>
        <v>0</v>
      </c>
      <c r="T38">
        <f t="shared" si="6"/>
        <v>0</v>
      </c>
    </row>
    <row r="39" spans="10:20" x14ac:dyDescent="0.25">
      <c r="J39" s="5" t="str">
        <f t="shared" si="1"/>
        <v/>
      </c>
      <c r="K39" s="5" t="s">
        <v>56</v>
      </c>
      <c r="L39" s="5">
        <f t="shared" si="0"/>
        <v>0</v>
      </c>
      <c r="M39" s="5" t="s">
        <v>56</v>
      </c>
      <c r="N39" s="5" t="s">
        <v>56</v>
      </c>
      <c r="P39">
        <f t="shared" si="2"/>
        <v>0</v>
      </c>
      <c r="Q39">
        <f t="shared" si="3"/>
        <v>0</v>
      </c>
      <c r="R39">
        <f t="shared" si="4"/>
        <v>0</v>
      </c>
      <c r="S39">
        <f t="shared" si="5"/>
        <v>0</v>
      </c>
      <c r="T39">
        <f t="shared" si="6"/>
        <v>0</v>
      </c>
    </row>
    <row r="40" spans="10:20" x14ac:dyDescent="0.25">
      <c r="J40" s="5" t="str">
        <f t="shared" si="1"/>
        <v/>
      </c>
      <c r="K40" s="5" t="s">
        <v>56</v>
      </c>
      <c r="L40" s="5">
        <f t="shared" si="0"/>
        <v>0</v>
      </c>
      <c r="M40" s="5" t="s">
        <v>56</v>
      </c>
      <c r="N40" s="5" t="s">
        <v>56</v>
      </c>
      <c r="P40">
        <f t="shared" si="2"/>
        <v>0</v>
      </c>
      <c r="Q40">
        <f t="shared" si="3"/>
        <v>0</v>
      </c>
      <c r="R40">
        <f t="shared" si="4"/>
        <v>0</v>
      </c>
      <c r="S40">
        <f t="shared" si="5"/>
        <v>0</v>
      </c>
      <c r="T40">
        <f t="shared" si="6"/>
        <v>0</v>
      </c>
    </row>
    <row r="41" spans="10:20" x14ac:dyDescent="0.25">
      <c r="J41" s="5" t="str">
        <f t="shared" si="1"/>
        <v/>
      </c>
      <c r="K41" s="5" t="s">
        <v>56</v>
      </c>
      <c r="L41" s="5">
        <f t="shared" si="0"/>
        <v>0</v>
      </c>
      <c r="M41" s="5" t="s">
        <v>56</v>
      </c>
      <c r="N41" s="5" t="s">
        <v>56</v>
      </c>
      <c r="P41">
        <f t="shared" si="2"/>
        <v>0</v>
      </c>
      <c r="Q41">
        <f t="shared" si="3"/>
        <v>0</v>
      </c>
      <c r="R41">
        <f t="shared" si="4"/>
        <v>0</v>
      </c>
      <c r="S41">
        <f t="shared" si="5"/>
        <v>0</v>
      </c>
      <c r="T41">
        <f t="shared" si="6"/>
        <v>0</v>
      </c>
    </row>
    <row r="42" spans="10:20" x14ac:dyDescent="0.25">
      <c r="J42" s="5" t="str">
        <f t="shared" si="1"/>
        <v/>
      </c>
      <c r="K42" s="5" t="s">
        <v>56</v>
      </c>
      <c r="L42" s="5">
        <f t="shared" si="0"/>
        <v>0</v>
      </c>
      <c r="M42" s="5" t="s">
        <v>56</v>
      </c>
      <c r="N42" s="5" t="s">
        <v>56</v>
      </c>
      <c r="P42">
        <f t="shared" si="2"/>
        <v>0</v>
      </c>
      <c r="Q42">
        <f t="shared" si="3"/>
        <v>0</v>
      </c>
      <c r="R42">
        <f t="shared" si="4"/>
        <v>0</v>
      </c>
      <c r="S42">
        <f t="shared" si="5"/>
        <v>0</v>
      </c>
      <c r="T42">
        <f t="shared" si="6"/>
        <v>0</v>
      </c>
    </row>
    <row r="43" spans="10:20" x14ac:dyDescent="0.25">
      <c r="J43" s="5" t="str">
        <f t="shared" si="1"/>
        <v/>
      </c>
      <c r="K43" s="5" t="s">
        <v>56</v>
      </c>
      <c r="L43" s="5">
        <f t="shared" si="0"/>
        <v>0</v>
      </c>
      <c r="M43" s="5" t="s">
        <v>56</v>
      </c>
      <c r="N43" s="5" t="s">
        <v>56</v>
      </c>
      <c r="P43">
        <f t="shared" si="2"/>
        <v>0</v>
      </c>
      <c r="Q43">
        <f t="shared" si="3"/>
        <v>0</v>
      </c>
      <c r="R43">
        <f t="shared" si="4"/>
        <v>0</v>
      </c>
      <c r="S43">
        <f t="shared" si="5"/>
        <v>0</v>
      </c>
      <c r="T43">
        <f t="shared" si="6"/>
        <v>0</v>
      </c>
    </row>
    <row r="44" spans="10:20" x14ac:dyDescent="0.25">
      <c r="J44" s="5" t="str">
        <f t="shared" si="1"/>
        <v/>
      </c>
      <c r="K44" s="5" t="s">
        <v>56</v>
      </c>
      <c r="L44" s="5">
        <f t="shared" si="0"/>
        <v>0</v>
      </c>
      <c r="M44" s="5" t="s">
        <v>56</v>
      </c>
      <c r="N44" s="5" t="s">
        <v>56</v>
      </c>
      <c r="P44">
        <f t="shared" si="2"/>
        <v>0</v>
      </c>
      <c r="Q44">
        <f t="shared" si="3"/>
        <v>0</v>
      </c>
      <c r="R44">
        <f t="shared" si="4"/>
        <v>0</v>
      </c>
      <c r="S44">
        <f t="shared" si="5"/>
        <v>0</v>
      </c>
      <c r="T44">
        <f t="shared" si="6"/>
        <v>0</v>
      </c>
    </row>
    <row r="45" spans="10:20" x14ac:dyDescent="0.25">
      <c r="J45" s="5" t="str">
        <f t="shared" si="1"/>
        <v/>
      </c>
      <c r="K45" s="5" t="s">
        <v>56</v>
      </c>
      <c r="L45" s="5">
        <f t="shared" si="0"/>
        <v>0</v>
      </c>
      <c r="M45" s="5" t="s">
        <v>56</v>
      </c>
      <c r="N45" s="5" t="s">
        <v>56</v>
      </c>
      <c r="P45">
        <f t="shared" si="2"/>
        <v>0</v>
      </c>
      <c r="Q45">
        <f t="shared" si="3"/>
        <v>0</v>
      </c>
      <c r="R45">
        <f t="shared" si="4"/>
        <v>0</v>
      </c>
      <c r="S45">
        <f t="shared" si="5"/>
        <v>0</v>
      </c>
      <c r="T45">
        <f t="shared" si="6"/>
        <v>0</v>
      </c>
    </row>
    <row r="46" spans="10:20" x14ac:dyDescent="0.25">
      <c r="J46" s="5" t="str">
        <f t="shared" si="1"/>
        <v/>
      </c>
      <c r="K46" s="5" t="s">
        <v>56</v>
      </c>
      <c r="L46" s="5">
        <f t="shared" si="0"/>
        <v>0</v>
      </c>
      <c r="M46" s="5" t="s">
        <v>56</v>
      </c>
      <c r="N46" s="5" t="s">
        <v>56</v>
      </c>
      <c r="P46">
        <f t="shared" si="2"/>
        <v>0</v>
      </c>
      <c r="Q46">
        <f t="shared" si="3"/>
        <v>0</v>
      </c>
      <c r="R46">
        <f t="shared" si="4"/>
        <v>0</v>
      </c>
      <c r="S46">
        <f t="shared" si="5"/>
        <v>0</v>
      </c>
      <c r="T46">
        <f t="shared" si="6"/>
        <v>0</v>
      </c>
    </row>
    <row r="47" spans="10:20" x14ac:dyDescent="0.25">
      <c r="J47" s="5" t="str">
        <f t="shared" si="1"/>
        <v/>
      </c>
      <c r="K47" s="5" t="s">
        <v>56</v>
      </c>
      <c r="L47" s="5">
        <f t="shared" si="0"/>
        <v>0</v>
      </c>
      <c r="M47" s="5" t="s">
        <v>56</v>
      </c>
      <c r="N47" s="5" t="s">
        <v>56</v>
      </c>
      <c r="P47">
        <f t="shared" si="2"/>
        <v>0</v>
      </c>
      <c r="Q47">
        <f t="shared" si="3"/>
        <v>0</v>
      </c>
      <c r="R47">
        <f t="shared" si="4"/>
        <v>0</v>
      </c>
      <c r="S47">
        <f t="shared" si="5"/>
        <v>0</v>
      </c>
      <c r="T47">
        <f t="shared" si="6"/>
        <v>0</v>
      </c>
    </row>
    <row r="48" spans="10:20" x14ac:dyDescent="0.25">
      <c r="J48" s="5" t="str">
        <f t="shared" si="1"/>
        <v/>
      </c>
      <c r="K48" s="5" t="s">
        <v>56</v>
      </c>
      <c r="L48" s="5">
        <f t="shared" si="0"/>
        <v>0</v>
      </c>
      <c r="M48" s="5" t="s">
        <v>56</v>
      </c>
      <c r="N48" s="5" t="s">
        <v>56</v>
      </c>
      <c r="P48">
        <f t="shared" si="2"/>
        <v>0</v>
      </c>
      <c r="Q48">
        <f t="shared" si="3"/>
        <v>0</v>
      </c>
      <c r="R48">
        <f t="shared" si="4"/>
        <v>0</v>
      </c>
      <c r="S48">
        <f t="shared" si="5"/>
        <v>0</v>
      </c>
      <c r="T48">
        <f t="shared" si="6"/>
        <v>0</v>
      </c>
    </row>
    <row r="49" spans="10:20" x14ac:dyDescent="0.25">
      <c r="J49" s="5" t="str">
        <f t="shared" si="1"/>
        <v/>
      </c>
      <c r="K49" s="5" t="s">
        <v>56</v>
      </c>
      <c r="L49" s="5">
        <f t="shared" si="0"/>
        <v>0</v>
      </c>
      <c r="M49" s="5" t="s">
        <v>56</v>
      </c>
      <c r="N49" s="5" t="s">
        <v>56</v>
      </c>
      <c r="P49">
        <f t="shared" si="2"/>
        <v>0</v>
      </c>
      <c r="Q49">
        <f t="shared" si="3"/>
        <v>0</v>
      </c>
      <c r="R49">
        <f t="shared" si="4"/>
        <v>0</v>
      </c>
      <c r="S49">
        <f t="shared" si="5"/>
        <v>0</v>
      </c>
      <c r="T49">
        <f t="shared" si="6"/>
        <v>0</v>
      </c>
    </row>
    <row r="50" spans="10:20" x14ac:dyDescent="0.25">
      <c r="J50" s="5" t="str">
        <f t="shared" si="1"/>
        <v/>
      </c>
      <c r="K50" s="5" t="s">
        <v>56</v>
      </c>
      <c r="L50" s="5">
        <f t="shared" si="0"/>
        <v>0</v>
      </c>
      <c r="M50" s="5" t="s">
        <v>56</v>
      </c>
      <c r="N50" s="5" t="s">
        <v>56</v>
      </c>
      <c r="P50">
        <f t="shared" si="2"/>
        <v>0</v>
      </c>
      <c r="Q50">
        <f t="shared" si="3"/>
        <v>0</v>
      </c>
      <c r="R50">
        <f t="shared" si="4"/>
        <v>0</v>
      </c>
      <c r="S50">
        <f t="shared" si="5"/>
        <v>0</v>
      </c>
      <c r="T50">
        <f t="shared" si="6"/>
        <v>0</v>
      </c>
    </row>
    <row r="51" spans="10:20" x14ac:dyDescent="0.25">
      <c r="J51" s="5" t="str">
        <f t="shared" si="1"/>
        <v/>
      </c>
      <c r="K51" s="5" t="s">
        <v>56</v>
      </c>
      <c r="L51" s="5">
        <f t="shared" si="0"/>
        <v>0</v>
      </c>
      <c r="M51" s="5" t="s">
        <v>56</v>
      </c>
      <c r="N51" s="5" t="s">
        <v>56</v>
      </c>
      <c r="P51">
        <f t="shared" si="2"/>
        <v>0</v>
      </c>
      <c r="Q51">
        <f t="shared" si="3"/>
        <v>0</v>
      </c>
      <c r="R51">
        <f t="shared" si="4"/>
        <v>0</v>
      </c>
      <c r="S51">
        <f t="shared" si="5"/>
        <v>0</v>
      </c>
      <c r="T51">
        <f t="shared" si="6"/>
        <v>0</v>
      </c>
    </row>
    <row r="52" spans="10:20" x14ac:dyDescent="0.25">
      <c r="J52" s="5" t="str">
        <f t="shared" si="1"/>
        <v/>
      </c>
      <c r="K52" s="5" t="s">
        <v>56</v>
      </c>
      <c r="L52" s="5">
        <f t="shared" si="0"/>
        <v>0</v>
      </c>
      <c r="M52" s="5" t="s">
        <v>56</v>
      </c>
      <c r="N52" s="5" t="s">
        <v>56</v>
      </c>
      <c r="P52">
        <f t="shared" si="2"/>
        <v>0</v>
      </c>
      <c r="Q52">
        <f t="shared" si="3"/>
        <v>0</v>
      </c>
      <c r="R52">
        <f t="shared" si="4"/>
        <v>0</v>
      </c>
      <c r="S52">
        <f t="shared" si="5"/>
        <v>0</v>
      </c>
      <c r="T52">
        <f t="shared" si="6"/>
        <v>0</v>
      </c>
    </row>
    <row r="53" spans="10:20" x14ac:dyDescent="0.25">
      <c r="J53" s="5" t="str">
        <f t="shared" si="1"/>
        <v/>
      </c>
      <c r="K53" s="5" t="s">
        <v>56</v>
      </c>
      <c r="L53" s="5">
        <f t="shared" si="0"/>
        <v>0</v>
      </c>
      <c r="M53" s="5" t="s">
        <v>56</v>
      </c>
      <c r="N53" s="5" t="s">
        <v>56</v>
      </c>
      <c r="P53">
        <f t="shared" si="2"/>
        <v>0</v>
      </c>
      <c r="Q53">
        <f t="shared" si="3"/>
        <v>0</v>
      </c>
      <c r="R53">
        <f t="shared" si="4"/>
        <v>0</v>
      </c>
      <c r="S53">
        <f t="shared" si="5"/>
        <v>0</v>
      </c>
      <c r="T53">
        <f t="shared" si="6"/>
        <v>0</v>
      </c>
    </row>
    <row r="54" spans="10:20" x14ac:dyDescent="0.25">
      <c r="J54" s="5" t="str">
        <f t="shared" si="1"/>
        <v/>
      </c>
      <c r="K54" s="5" t="s">
        <v>56</v>
      </c>
      <c r="L54" s="5">
        <f t="shared" si="0"/>
        <v>0</v>
      </c>
      <c r="M54" s="5" t="s">
        <v>56</v>
      </c>
      <c r="N54" s="5" t="s">
        <v>56</v>
      </c>
      <c r="P54">
        <f t="shared" si="2"/>
        <v>0</v>
      </c>
      <c r="Q54">
        <f t="shared" si="3"/>
        <v>0</v>
      </c>
      <c r="R54">
        <f t="shared" si="4"/>
        <v>0</v>
      </c>
      <c r="S54">
        <f t="shared" si="5"/>
        <v>0</v>
      </c>
      <c r="T54">
        <f t="shared" si="6"/>
        <v>0</v>
      </c>
    </row>
    <row r="55" spans="10:20" x14ac:dyDescent="0.25">
      <c r="J55" s="5" t="str">
        <f t="shared" si="1"/>
        <v/>
      </c>
      <c r="K55" s="5" t="s">
        <v>56</v>
      </c>
      <c r="L55" s="5">
        <f t="shared" si="0"/>
        <v>0</v>
      </c>
      <c r="M55" s="5" t="s">
        <v>56</v>
      </c>
      <c r="N55" s="5" t="s">
        <v>56</v>
      </c>
      <c r="P55">
        <f t="shared" si="2"/>
        <v>0</v>
      </c>
      <c r="Q55">
        <f t="shared" si="3"/>
        <v>0</v>
      </c>
      <c r="R55">
        <f t="shared" si="4"/>
        <v>0</v>
      </c>
      <c r="S55">
        <f t="shared" si="5"/>
        <v>0</v>
      </c>
      <c r="T55">
        <f t="shared" si="6"/>
        <v>0</v>
      </c>
    </row>
    <row r="56" spans="10:20" x14ac:dyDescent="0.25">
      <c r="J56" s="5" t="str">
        <f t="shared" si="1"/>
        <v/>
      </c>
      <c r="K56" s="5" t="s">
        <v>56</v>
      </c>
      <c r="L56" s="5">
        <f t="shared" si="0"/>
        <v>0</v>
      </c>
      <c r="M56" s="5" t="s">
        <v>56</v>
      </c>
      <c r="N56" s="5" t="s">
        <v>56</v>
      </c>
      <c r="P56">
        <f t="shared" si="2"/>
        <v>0</v>
      </c>
      <c r="Q56">
        <f t="shared" si="3"/>
        <v>0</v>
      </c>
      <c r="R56">
        <f t="shared" si="4"/>
        <v>0</v>
      </c>
      <c r="S56">
        <f t="shared" si="5"/>
        <v>0</v>
      </c>
      <c r="T56">
        <f t="shared" si="6"/>
        <v>0</v>
      </c>
    </row>
    <row r="57" spans="10:20" x14ac:dyDescent="0.25">
      <c r="J57" s="5" t="str">
        <f t="shared" si="1"/>
        <v/>
      </c>
      <c r="K57" s="5" t="s">
        <v>56</v>
      </c>
      <c r="L57" s="5">
        <f t="shared" si="0"/>
        <v>0</v>
      </c>
      <c r="M57" s="5" t="s">
        <v>56</v>
      </c>
      <c r="N57" s="5" t="s">
        <v>56</v>
      </c>
      <c r="P57">
        <f t="shared" si="2"/>
        <v>0</v>
      </c>
      <c r="Q57">
        <f t="shared" si="3"/>
        <v>0</v>
      </c>
      <c r="R57">
        <f t="shared" si="4"/>
        <v>0</v>
      </c>
      <c r="S57">
        <f t="shared" si="5"/>
        <v>0</v>
      </c>
      <c r="T57">
        <f t="shared" si="6"/>
        <v>0</v>
      </c>
    </row>
    <row r="58" spans="10:20" x14ac:dyDescent="0.25">
      <c r="J58" s="5" t="str">
        <f t="shared" si="1"/>
        <v/>
      </c>
      <c r="K58" s="5" t="s">
        <v>56</v>
      </c>
      <c r="L58" s="5">
        <f t="shared" si="0"/>
        <v>0</v>
      </c>
      <c r="M58" s="5" t="s">
        <v>56</v>
      </c>
      <c r="N58" s="5" t="s">
        <v>56</v>
      </c>
      <c r="P58">
        <f t="shared" si="2"/>
        <v>0</v>
      </c>
      <c r="Q58">
        <f t="shared" si="3"/>
        <v>0</v>
      </c>
      <c r="R58">
        <f t="shared" si="4"/>
        <v>0</v>
      </c>
      <c r="S58">
        <f t="shared" si="5"/>
        <v>0</v>
      </c>
      <c r="T58">
        <f t="shared" si="6"/>
        <v>0</v>
      </c>
    </row>
    <row r="59" spans="10:20" x14ac:dyDescent="0.25">
      <c r="J59" s="5" t="str">
        <f t="shared" si="1"/>
        <v/>
      </c>
      <c r="K59" s="5" t="s">
        <v>56</v>
      </c>
      <c r="L59" s="5">
        <f t="shared" si="0"/>
        <v>0</v>
      </c>
      <c r="M59" s="5" t="s">
        <v>56</v>
      </c>
      <c r="N59" s="5" t="s">
        <v>56</v>
      </c>
      <c r="P59">
        <f t="shared" si="2"/>
        <v>0</v>
      </c>
      <c r="Q59">
        <f t="shared" si="3"/>
        <v>0</v>
      </c>
      <c r="R59">
        <f t="shared" si="4"/>
        <v>0</v>
      </c>
      <c r="S59">
        <f t="shared" si="5"/>
        <v>0</v>
      </c>
      <c r="T59">
        <f t="shared" si="6"/>
        <v>0</v>
      </c>
    </row>
    <row r="60" spans="10:20" x14ac:dyDescent="0.25">
      <c r="J60" s="5" t="str">
        <f t="shared" si="1"/>
        <v/>
      </c>
      <c r="K60" s="5" t="s">
        <v>56</v>
      </c>
      <c r="L60" s="5">
        <f t="shared" si="0"/>
        <v>0</v>
      </c>
      <c r="M60" s="5" t="s">
        <v>56</v>
      </c>
      <c r="N60" s="5" t="s">
        <v>56</v>
      </c>
      <c r="P60">
        <f t="shared" si="2"/>
        <v>0</v>
      </c>
      <c r="Q60">
        <f t="shared" si="3"/>
        <v>0</v>
      </c>
      <c r="R60">
        <f t="shared" si="4"/>
        <v>0</v>
      </c>
      <c r="S60">
        <f t="shared" si="5"/>
        <v>0</v>
      </c>
      <c r="T60">
        <f t="shared" si="6"/>
        <v>0</v>
      </c>
    </row>
    <row r="61" spans="10:20" x14ac:dyDescent="0.25">
      <c r="J61" s="5" t="str">
        <f t="shared" si="1"/>
        <v/>
      </c>
      <c r="K61" s="5" t="s">
        <v>56</v>
      </c>
      <c r="L61" s="5">
        <f t="shared" si="0"/>
        <v>0</v>
      </c>
      <c r="M61" s="5" t="s">
        <v>56</v>
      </c>
      <c r="N61" s="5" t="s">
        <v>56</v>
      </c>
      <c r="P61">
        <f t="shared" si="2"/>
        <v>0</v>
      </c>
      <c r="Q61">
        <f t="shared" si="3"/>
        <v>0</v>
      </c>
      <c r="R61">
        <f t="shared" si="4"/>
        <v>0</v>
      </c>
      <c r="S61">
        <f t="shared" si="5"/>
        <v>0</v>
      </c>
      <c r="T61">
        <f t="shared" si="6"/>
        <v>0</v>
      </c>
    </row>
    <row r="62" spans="10:20" x14ac:dyDescent="0.25">
      <c r="J62" s="5" t="str">
        <f t="shared" si="1"/>
        <v/>
      </c>
      <c r="K62" s="5" t="s">
        <v>56</v>
      </c>
      <c r="L62" s="5">
        <f t="shared" si="0"/>
        <v>0</v>
      </c>
      <c r="M62" s="5" t="s">
        <v>56</v>
      </c>
      <c r="N62" s="5" t="s">
        <v>56</v>
      </c>
      <c r="P62">
        <f t="shared" si="2"/>
        <v>0</v>
      </c>
      <c r="Q62">
        <f t="shared" si="3"/>
        <v>0</v>
      </c>
      <c r="R62">
        <f t="shared" si="4"/>
        <v>0</v>
      </c>
      <c r="S62">
        <f t="shared" si="5"/>
        <v>0</v>
      </c>
      <c r="T62">
        <f t="shared" si="6"/>
        <v>0</v>
      </c>
    </row>
    <row r="63" spans="10:20" x14ac:dyDescent="0.25">
      <c r="J63" s="5" t="str">
        <f t="shared" si="1"/>
        <v/>
      </c>
      <c r="K63" s="5" t="s">
        <v>56</v>
      </c>
      <c r="L63" s="5">
        <f t="shared" si="0"/>
        <v>0</v>
      </c>
      <c r="M63" s="5" t="s">
        <v>56</v>
      </c>
      <c r="N63" s="5" t="s">
        <v>56</v>
      </c>
      <c r="P63">
        <f t="shared" si="2"/>
        <v>0</v>
      </c>
      <c r="Q63">
        <f t="shared" si="3"/>
        <v>0</v>
      </c>
      <c r="R63">
        <f t="shared" si="4"/>
        <v>0</v>
      </c>
      <c r="S63">
        <f t="shared" si="5"/>
        <v>0</v>
      </c>
      <c r="T63">
        <f t="shared" si="6"/>
        <v>0</v>
      </c>
    </row>
    <row r="64" spans="10:20" x14ac:dyDescent="0.25">
      <c r="J64" s="5" t="str">
        <f t="shared" si="1"/>
        <v/>
      </c>
      <c r="K64" s="5" t="s">
        <v>56</v>
      </c>
      <c r="L64" s="5">
        <f t="shared" si="0"/>
        <v>0</v>
      </c>
      <c r="M64" s="5" t="s">
        <v>56</v>
      </c>
      <c r="N64" s="5" t="s">
        <v>56</v>
      </c>
      <c r="P64">
        <f t="shared" si="2"/>
        <v>0</v>
      </c>
      <c r="Q64">
        <f t="shared" si="3"/>
        <v>0</v>
      </c>
      <c r="R64">
        <f t="shared" si="4"/>
        <v>0</v>
      </c>
      <c r="S64">
        <f t="shared" si="5"/>
        <v>0</v>
      </c>
      <c r="T64">
        <f t="shared" si="6"/>
        <v>0</v>
      </c>
    </row>
    <row r="65" spans="10:20" x14ac:dyDescent="0.25">
      <c r="J65" s="5" t="str">
        <f t="shared" si="1"/>
        <v/>
      </c>
      <c r="K65" s="5" t="s">
        <v>56</v>
      </c>
      <c r="L65" s="5">
        <f t="shared" si="0"/>
        <v>0</v>
      </c>
      <c r="M65" s="5" t="s">
        <v>56</v>
      </c>
      <c r="N65" s="5" t="s">
        <v>56</v>
      </c>
      <c r="P65">
        <f t="shared" si="2"/>
        <v>0</v>
      </c>
      <c r="Q65">
        <f t="shared" si="3"/>
        <v>0</v>
      </c>
      <c r="R65">
        <f t="shared" si="4"/>
        <v>0</v>
      </c>
      <c r="S65">
        <f t="shared" si="5"/>
        <v>0</v>
      </c>
      <c r="T65">
        <f t="shared" si="6"/>
        <v>0</v>
      </c>
    </row>
    <row r="66" spans="10:20" x14ac:dyDescent="0.25">
      <c r="J66" s="5" t="str">
        <f t="shared" si="1"/>
        <v/>
      </c>
      <c r="K66" s="5" t="s">
        <v>56</v>
      </c>
      <c r="L66" s="5">
        <f t="shared" ref="L66:L121" si="7">IFERROR(D66*1000,"")</f>
        <v>0</v>
      </c>
      <c r="M66" s="5" t="s">
        <v>56</v>
      </c>
      <c r="N66" s="5" t="s">
        <v>56</v>
      </c>
      <c r="P66">
        <f t="shared" si="2"/>
        <v>0</v>
      </c>
      <c r="Q66">
        <f t="shared" si="3"/>
        <v>0</v>
      </c>
      <c r="R66">
        <f t="shared" si="4"/>
        <v>0</v>
      </c>
      <c r="S66">
        <f t="shared" si="5"/>
        <v>0</v>
      </c>
      <c r="T66">
        <f t="shared" si="6"/>
        <v>0</v>
      </c>
    </row>
    <row r="67" spans="10:20" x14ac:dyDescent="0.25">
      <c r="J67" s="5" t="str">
        <f t="shared" ref="J67:J121" si="8">IFERROR(MID(C67,IFERROR(FIND("MCX",C67,1),FIND("MCY",C67,1)),8),"")</f>
        <v/>
      </c>
      <c r="K67" s="5" t="s">
        <v>56</v>
      </c>
      <c r="L67" s="5">
        <f t="shared" si="7"/>
        <v>0</v>
      </c>
      <c r="M67" s="5" t="s">
        <v>56</v>
      </c>
      <c r="N67" s="5" t="s">
        <v>56</v>
      </c>
      <c r="P67">
        <f t="shared" ref="P67:P121" si="9">C67</f>
        <v>0</v>
      </c>
      <c r="Q67">
        <f t="shared" ref="Q67:Q121" si="10">VALUE(E67)</f>
        <v>0</v>
      </c>
      <c r="R67">
        <f t="shared" ref="R67:R121" si="11">VALUE(D67)</f>
        <v>0</v>
      </c>
      <c r="S67">
        <f t="shared" ref="S67:S121" si="12">VALUE(G67)</f>
        <v>0</v>
      </c>
      <c r="T67">
        <f t="shared" ref="T67:T121" si="13">B67</f>
        <v>0</v>
      </c>
    </row>
    <row r="68" spans="10:20" x14ac:dyDescent="0.25">
      <c r="J68" s="5" t="str">
        <f t="shared" si="8"/>
        <v/>
      </c>
      <c r="K68" s="5" t="s">
        <v>56</v>
      </c>
      <c r="L68" s="5">
        <f t="shared" si="7"/>
        <v>0</v>
      </c>
      <c r="M68" s="5" t="s">
        <v>56</v>
      </c>
      <c r="N68" s="5" t="s">
        <v>56</v>
      </c>
      <c r="P68">
        <f t="shared" si="9"/>
        <v>0</v>
      </c>
      <c r="Q68">
        <f t="shared" si="10"/>
        <v>0</v>
      </c>
      <c r="R68">
        <f t="shared" si="11"/>
        <v>0</v>
      </c>
      <c r="S68">
        <f t="shared" si="12"/>
        <v>0</v>
      </c>
      <c r="T68">
        <f t="shared" si="13"/>
        <v>0</v>
      </c>
    </row>
    <row r="69" spans="10:20" x14ac:dyDescent="0.25">
      <c r="J69" s="5" t="str">
        <f t="shared" si="8"/>
        <v/>
      </c>
      <c r="K69" s="5" t="s">
        <v>56</v>
      </c>
      <c r="L69" s="5">
        <f t="shared" si="7"/>
        <v>0</v>
      </c>
      <c r="M69" s="5" t="s">
        <v>56</v>
      </c>
      <c r="N69" s="5" t="s">
        <v>56</v>
      </c>
      <c r="P69">
        <f t="shared" si="9"/>
        <v>0</v>
      </c>
      <c r="Q69">
        <f t="shared" si="10"/>
        <v>0</v>
      </c>
      <c r="R69">
        <f t="shared" si="11"/>
        <v>0</v>
      </c>
      <c r="S69">
        <f t="shared" si="12"/>
        <v>0</v>
      </c>
      <c r="T69">
        <f t="shared" si="13"/>
        <v>0</v>
      </c>
    </row>
    <row r="70" spans="10:20" x14ac:dyDescent="0.25">
      <c r="J70" s="5" t="str">
        <f t="shared" si="8"/>
        <v/>
      </c>
      <c r="K70" s="5" t="s">
        <v>56</v>
      </c>
      <c r="L70" s="5">
        <f t="shared" si="7"/>
        <v>0</v>
      </c>
      <c r="M70" s="5" t="s">
        <v>56</v>
      </c>
      <c r="N70" s="5" t="s">
        <v>56</v>
      </c>
      <c r="P70">
        <f t="shared" si="9"/>
        <v>0</v>
      </c>
      <c r="Q70">
        <f t="shared" si="10"/>
        <v>0</v>
      </c>
      <c r="R70">
        <f t="shared" si="11"/>
        <v>0</v>
      </c>
      <c r="S70">
        <f t="shared" si="12"/>
        <v>0</v>
      </c>
      <c r="T70">
        <f t="shared" si="13"/>
        <v>0</v>
      </c>
    </row>
    <row r="71" spans="10:20" x14ac:dyDescent="0.25">
      <c r="J71" s="5" t="str">
        <f t="shared" si="8"/>
        <v/>
      </c>
      <c r="K71" s="5" t="s">
        <v>56</v>
      </c>
      <c r="L71" s="5">
        <f t="shared" si="7"/>
        <v>0</v>
      </c>
      <c r="M71" s="5" t="s">
        <v>56</v>
      </c>
      <c r="N71" s="5" t="s">
        <v>56</v>
      </c>
      <c r="P71">
        <f t="shared" si="9"/>
        <v>0</v>
      </c>
      <c r="Q71">
        <f t="shared" si="10"/>
        <v>0</v>
      </c>
      <c r="R71">
        <f t="shared" si="11"/>
        <v>0</v>
      </c>
      <c r="S71">
        <f t="shared" si="12"/>
        <v>0</v>
      </c>
      <c r="T71">
        <f t="shared" si="13"/>
        <v>0</v>
      </c>
    </row>
    <row r="72" spans="10:20" x14ac:dyDescent="0.25">
      <c r="J72" s="5" t="str">
        <f t="shared" si="8"/>
        <v/>
      </c>
      <c r="K72" s="5" t="s">
        <v>56</v>
      </c>
      <c r="L72" s="5">
        <f t="shared" si="7"/>
        <v>0</v>
      </c>
      <c r="M72" s="5" t="s">
        <v>56</v>
      </c>
      <c r="N72" s="5" t="s">
        <v>56</v>
      </c>
      <c r="P72">
        <f t="shared" si="9"/>
        <v>0</v>
      </c>
      <c r="Q72">
        <f t="shared" si="10"/>
        <v>0</v>
      </c>
      <c r="R72">
        <f t="shared" si="11"/>
        <v>0</v>
      </c>
      <c r="S72">
        <f t="shared" si="12"/>
        <v>0</v>
      </c>
      <c r="T72">
        <f t="shared" si="13"/>
        <v>0</v>
      </c>
    </row>
    <row r="73" spans="10:20" x14ac:dyDescent="0.25">
      <c r="J73" s="5" t="str">
        <f t="shared" si="8"/>
        <v/>
      </c>
      <c r="K73" s="5" t="s">
        <v>56</v>
      </c>
      <c r="L73" s="5">
        <f t="shared" si="7"/>
        <v>0</v>
      </c>
      <c r="M73" s="5" t="s">
        <v>56</v>
      </c>
      <c r="N73" s="5" t="s">
        <v>56</v>
      </c>
      <c r="P73">
        <f t="shared" si="9"/>
        <v>0</v>
      </c>
      <c r="Q73">
        <f t="shared" si="10"/>
        <v>0</v>
      </c>
      <c r="R73">
        <f t="shared" si="11"/>
        <v>0</v>
      </c>
      <c r="S73">
        <f t="shared" si="12"/>
        <v>0</v>
      </c>
      <c r="T73">
        <f t="shared" si="13"/>
        <v>0</v>
      </c>
    </row>
    <row r="74" spans="10:20" x14ac:dyDescent="0.25">
      <c r="J74" s="5" t="str">
        <f t="shared" si="8"/>
        <v/>
      </c>
      <c r="K74" s="5" t="s">
        <v>56</v>
      </c>
      <c r="L74" s="5">
        <f t="shared" si="7"/>
        <v>0</v>
      </c>
      <c r="M74" s="5" t="s">
        <v>56</v>
      </c>
      <c r="N74" s="5" t="s">
        <v>56</v>
      </c>
      <c r="P74">
        <f t="shared" si="9"/>
        <v>0</v>
      </c>
      <c r="Q74">
        <f t="shared" si="10"/>
        <v>0</v>
      </c>
      <c r="R74">
        <f t="shared" si="11"/>
        <v>0</v>
      </c>
      <c r="S74">
        <f t="shared" si="12"/>
        <v>0</v>
      </c>
      <c r="T74">
        <f t="shared" si="13"/>
        <v>0</v>
      </c>
    </row>
    <row r="75" spans="10:20" x14ac:dyDescent="0.25">
      <c r="J75" s="5" t="str">
        <f t="shared" si="8"/>
        <v/>
      </c>
      <c r="K75" s="5" t="s">
        <v>56</v>
      </c>
      <c r="L75" s="5">
        <f t="shared" si="7"/>
        <v>0</v>
      </c>
      <c r="M75" s="5" t="s">
        <v>56</v>
      </c>
      <c r="N75" s="5" t="s">
        <v>56</v>
      </c>
      <c r="P75">
        <f t="shared" si="9"/>
        <v>0</v>
      </c>
      <c r="Q75">
        <f t="shared" si="10"/>
        <v>0</v>
      </c>
      <c r="R75">
        <f t="shared" si="11"/>
        <v>0</v>
      </c>
      <c r="S75">
        <f t="shared" si="12"/>
        <v>0</v>
      </c>
      <c r="T75">
        <f t="shared" si="13"/>
        <v>0</v>
      </c>
    </row>
    <row r="76" spans="10:20" x14ac:dyDescent="0.25">
      <c r="J76" s="5" t="str">
        <f t="shared" si="8"/>
        <v/>
      </c>
      <c r="K76" s="5" t="s">
        <v>56</v>
      </c>
      <c r="L76" s="5">
        <f t="shared" si="7"/>
        <v>0</v>
      </c>
      <c r="M76" s="5" t="s">
        <v>56</v>
      </c>
      <c r="N76" s="5" t="s">
        <v>56</v>
      </c>
      <c r="P76">
        <f t="shared" si="9"/>
        <v>0</v>
      </c>
      <c r="Q76">
        <f t="shared" si="10"/>
        <v>0</v>
      </c>
      <c r="R76">
        <f t="shared" si="11"/>
        <v>0</v>
      </c>
      <c r="S76">
        <f t="shared" si="12"/>
        <v>0</v>
      </c>
      <c r="T76">
        <f t="shared" si="13"/>
        <v>0</v>
      </c>
    </row>
    <row r="77" spans="10:20" x14ac:dyDescent="0.25">
      <c r="J77" s="5" t="str">
        <f t="shared" si="8"/>
        <v/>
      </c>
      <c r="K77" s="5" t="s">
        <v>56</v>
      </c>
      <c r="L77" s="5">
        <f t="shared" si="7"/>
        <v>0</v>
      </c>
      <c r="M77" s="5" t="s">
        <v>56</v>
      </c>
      <c r="N77" s="5" t="s">
        <v>56</v>
      </c>
      <c r="P77">
        <f t="shared" si="9"/>
        <v>0</v>
      </c>
      <c r="Q77">
        <f t="shared" si="10"/>
        <v>0</v>
      </c>
      <c r="R77">
        <f t="shared" si="11"/>
        <v>0</v>
      </c>
      <c r="S77">
        <f t="shared" si="12"/>
        <v>0</v>
      </c>
      <c r="T77">
        <f t="shared" si="13"/>
        <v>0</v>
      </c>
    </row>
    <row r="78" spans="10:20" x14ac:dyDescent="0.25">
      <c r="J78" s="5" t="str">
        <f t="shared" si="8"/>
        <v/>
      </c>
      <c r="K78" s="5" t="s">
        <v>56</v>
      </c>
      <c r="L78" s="5">
        <f t="shared" si="7"/>
        <v>0</v>
      </c>
      <c r="M78" s="5" t="s">
        <v>56</v>
      </c>
      <c r="N78" s="5" t="s">
        <v>56</v>
      </c>
      <c r="P78">
        <f t="shared" si="9"/>
        <v>0</v>
      </c>
      <c r="Q78">
        <f t="shared" si="10"/>
        <v>0</v>
      </c>
      <c r="R78">
        <f t="shared" si="11"/>
        <v>0</v>
      </c>
      <c r="S78">
        <f t="shared" si="12"/>
        <v>0</v>
      </c>
      <c r="T78">
        <f t="shared" si="13"/>
        <v>0</v>
      </c>
    </row>
    <row r="79" spans="10:20" x14ac:dyDescent="0.25">
      <c r="J79" s="5" t="str">
        <f t="shared" si="8"/>
        <v/>
      </c>
      <c r="K79" s="5" t="s">
        <v>56</v>
      </c>
      <c r="L79" s="5">
        <f t="shared" si="7"/>
        <v>0</v>
      </c>
      <c r="M79" s="5" t="s">
        <v>56</v>
      </c>
      <c r="N79" s="5" t="s">
        <v>56</v>
      </c>
      <c r="P79">
        <f t="shared" si="9"/>
        <v>0</v>
      </c>
      <c r="Q79">
        <f t="shared" si="10"/>
        <v>0</v>
      </c>
      <c r="R79">
        <f t="shared" si="11"/>
        <v>0</v>
      </c>
      <c r="S79">
        <f t="shared" si="12"/>
        <v>0</v>
      </c>
      <c r="T79">
        <f t="shared" si="13"/>
        <v>0</v>
      </c>
    </row>
    <row r="80" spans="10:20" x14ac:dyDescent="0.25">
      <c r="J80" s="5" t="str">
        <f t="shared" si="8"/>
        <v/>
      </c>
      <c r="K80" s="5" t="s">
        <v>56</v>
      </c>
      <c r="L80" s="5">
        <f t="shared" si="7"/>
        <v>0</v>
      </c>
      <c r="M80" s="5" t="s">
        <v>56</v>
      </c>
      <c r="N80" s="5" t="s">
        <v>56</v>
      </c>
      <c r="P80">
        <f t="shared" si="9"/>
        <v>0</v>
      </c>
      <c r="Q80">
        <f t="shared" si="10"/>
        <v>0</v>
      </c>
      <c r="R80">
        <f t="shared" si="11"/>
        <v>0</v>
      </c>
      <c r="S80">
        <f t="shared" si="12"/>
        <v>0</v>
      </c>
      <c r="T80">
        <f t="shared" si="13"/>
        <v>0</v>
      </c>
    </row>
    <row r="81" spans="10:20" x14ac:dyDescent="0.25">
      <c r="J81" s="5" t="str">
        <f t="shared" si="8"/>
        <v/>
      </c>
      <c r="K81" s="5" t="s">
        <v>56</v>
      </c>
      <c r="L81" s="5">
        <f t="shared" si="7"/>
        <v>0</v>
      </c>
      <c r="M81" s="5" t="s">
        <v>56</v>
      </c>
      <c r="N81" s="5" t="s">
        <v>56</v>
      </c>
      <c r="P81">
        <f t="shared" si="9"/>
        <v>0</v>
      </c>
      <c r="Q81">
        <f t="shared" si="10"/>
        <v>0</v>
      </c>
      <c r="R81">
        <f t="shared" si="11"/>
        <v>0</v>
      </c>
      <c r="S81">
        <f t="shared" si="12"/>
        <v>0</v>
      </c>
      <c r="T81">
        <f t="shared" si="13"/>
        <v>0</v>
      </c>
    </row>
    <row r="82" spans="10:20" x14ac:dyDescent="0.25">
      <c r="J82" s="5" t="str">
        <f t="shared" si="8"/>
        <v/>
      </c>
      <c r="K82" s="5" t="s">
        <v>56</v>
      </c>
      <c r="L82" s="5">
        <f t="shared" si="7"/>
        <v>0</v>
      </c>
      <c r="M82" s="5" t="s">
        <v>56</v>
      </c>
      <c r="N82" s="5" t="s">
        <v>56</v>
      </c>
      <c r="P82">
        <f t="shared" si="9"/>
        <v>0</v>
      </c>
      <c r="Q82">
        <f t="shared" si="10"/>
        <v>0</v>
      </c>
      <c r="R82">
        <f t="shared" si="11"/>
        <v>0</v>
      </c>
      <c r="S82">
        <f t="shared" si="12"/>
        <v>0</v>
      </c>
      <c r="T82">
        <f t="shared" si="13"/>
        <v>0</v>
      </c>
    </row>
    <row r="83" spans="10:20" x14ac:dyDescent="0.25">
      <c r="J83" s="5" t="str">
        <f t="shared" si="8"/>
        <v/>
      </c>
      <c r="K83" s="5" t="s">
        <v>56</v>
      </c>
      <c r="L83" s="5">
        <f t="shared" si="7"/>
        <v>0</v>
      </c>
      <c r="M83" s="5" t="s">
        <v>56</v>
      </c>
      <c r="N83" s="5" t="s">
        <v>56</v>
      </c>
      <c r="P83">
        <f t="shared" si="9"/>
        <v>0</v>
      </c>
      <c r="Q83">
        <f t="shared" si="10"/>
        <v>0</v>
      </c>
      <c r="R83">
        <f t="shared" si="11"/>
        <v>0</v>
      </c>
      <c r="S83">
        <f t="shared" si="12"/>
        <v>0</v>
      </c>
      <c r="T83">
        <f t="shared" si="13"/>
        <v>0</v>
      </c>
    </row>
    <row r="84" spans="10:20" x14ac:dyDescent="0.25">
      <c r="J84" s="5" t="str">
        <f t="shared" si="8"/>
        <v/>
      </c>
      <c r="K84" s="5" t="s">
        <v>56</v>
      </c>
      <c r="L84" s="5">
        <f t="shared" si="7"/>
        <v>0</v>
      </c>
      <c r="M84" s="5" t="s">
        <v>56</v>
      </c>
      <c r="N84" s="5" t="s">
        <v>56</v>
      </c>
      <c r="P84">
        <f t="shared" si="9"/>
        <v>0</v>
      </c>
      <c r="Q84">
        <f t="shared" si="10"/>
        <v>0</v>
      </c>
      <c r="R84">
        <f t="shared" si="11"/>
        <v>0</v>
      </c>
      <c r="S84">
        <f t="shared" si="12"/>
        <v>0</v>
      </c>
      <c r="T84">
        <f t="shared" si="13"/>
        <v>0</v>
      </c>
    </row>
    <row r="85" spans="10:20" x14ac:dyDescent="0.25">
      <c r="J85" s="5" t="str">
        <f t="shared" si="8"/>
        <v/>
      </c>
      <c r="K85" s="5" t="s">
        <v>56</v>
      </c>
      <c r="L85" s="5">
        <f t="shared" si="7"/>
        <v>0</v>
      </c>
      <c r="M85" s="5" t="s">
        <v>56</v>
      </c>
      <c r="N85" s="5" t="s">
        <v>56</v>
      </c>
      <c r="P85">
        <f t="shared" si="9"/>
        <v>0</v>
      </c>
      <c r="Q85">
        <f t="shared" si="10"/>
        <v>0</v>
      </c>
      <c r="R85">
        <f t="shared" si="11"/>
        <v>0</v>
      </c>
      <c r="S85">
        <f t="shared" si="12"/>
        <v>0</v>
      </c>
      <c r="T85">
        <f t="shared" si="13"/>
        <v>0</v>
      </c>
    </row>
    <row r="86" spans="10:20" x14ac:dyDescent="0.25">
      <c r="J86" s="5" t="str">
        <f t="shared" si="8"/>
        <v/>
      </c>
      <c r="K86" s="5" t="s">
        <v>56</v>
      </c>
      <c r="L86" s="5">
        <f t="shared" si="7"/>
        <v>0</v>
      </c>
      <c r="M86" s="5" t="s">
        <v>56</v>
      </c>
      <c r="N86" s="5" t="s">
        <v>56</v>
      </c>
      <c r="P86">
        <f t="shared" si="9"/>
        <v>0</v>
      </c>
      <c r="Q86">
        <f t="shared" si="10"/>
        <v>0</v>
      </c>
      <c r="R86">
        <f t="shared" si="11"/>
        <v>0</v>
      </c>
      <c r="S86">
        <f t="shared" si="12"/>
        <v>0</v>
      </c>
      <c r="T86">
        <f t="shared" si="13"/>
        <v>0</v>
      </c>
    </row>
    <row r="87" spans="10:20" x14ac:dyDescent="0.25">
      <c r="J87" s="5" t="str">
        <f t="shared" si="8"/>
        <v/>
      </c>
      <c r="K87" s="5" t="s">
        <v>56</v>
      </c>
      <c r="L87" s="5">
        <f t="shared" si="7"/>
        <v>0</v>
      </c>
      <c r="M87" s="5" t="s">
        <v>56</v>
      </c>
      <c r="N87" s="5" t="s">
        <v>56</v>
      </c>
      <c r="P87">
        <f t="shared" si="9"/>
        <v>0</v>
      </c>
      <c r="Q87">
        <f t="shared" si="10"/>
        <v>0</v>
      </c>
      <c r="R87">
        <f t="shared" si="11"/>
        <v>0</v>
      </c>
      <c r="S87">
        <f t="shared" si="12"/>
        <v>0</v>
      </c>
      <c r="T87">
        <f t="shared" si="13"/>
        <v>0</v>
      </c>
    </row>
    <row r="88" spans="10:20" x14ac:dyDescent="0.25">
      <c r="J88" s="5" t="str">
        <f t="shared" si="8"/>
        <v/>
      </c>
      <c r="K88" s="5" t="s">
        <v>56</v>
      </c>
      <c r="L88" s="5">
        <f t="shared" si="7"/>
        <v>0</v>
      </c>
      <c r="M88" s="5" t="s">
        <v>56</v>
      </c>
      <c r="N88" s="5" t="s">
        <v>56</v>
      </c>
      <c r="P88">
        <f t="shared" si="9"/>
        <v>0</v>
      </c>
      <c r="Q88">
        <f t="shared" si="10"/>
        <v>0</v>
      </c>
      <c r="R88">
        <f t="shared" si="11"/>
        <v>0</v>
      </c>
      <c r="S88">
        <f t="shared" si="12"/>
        <v>0</v>
      </c>
      <c r="T88">
        <f t="shared" si="13"/>
        <v>0</v>
      </c>
    </row>
    <row r="89" spans="10:20" x14ac:dyDescent="0.25">
      <c r="J89" s="5" t="str">
        <f t="shared" si="8"/>
        <v/>
      </c>
      <c r="K89" s="5" t="s">
        <v>56</v>
      </c>
      <c r="L89" s="5">
        <f t="shared" si="7"/>
        <v>0</v>
      </c>
      <c r="M89" s="5" t="s">
        <v>56</v>
      </c>
      <c r="N89" s="5" t="s">
        <v>56</v>
      </c>
      <c r="P89">
        <f t="shared" si="9"/>
        <v>0</v>
      </c>
      <c r="Q89">
        <f t="shared" si="10"/>
        <v>0</v>
      </c>
      <c r="R89">
        <f t="shared" si="11"/>
        <v>0</v>
      </c>
      <c r="S89">
        <f t="shared" si="12"/>
        <v>0</v>
      </c>
      <c r="T89">
        <f t="shared" si="13"/>
        <v>0</v>
      </c>
    </row>
    <row r="90" spans="10:20" x14ac:dyDescent="0.25">
      <c r="J90" s="5" t="str">
        <f t="shared" si="8"/>
        <v/>
      </c>
      <c r="K90" s="5" t="s">
        <v>56</v>
      </c>
      <c r="L90" s="5">
        <f t="shared" si="7"/>
        <v>0</v>
      </c>
      <c r="M90" s="5" t="s">
        <v>56</v>
      </c>
      <c r="N90" s="5" t="s">
        <v>56</v>
      </c>
      <c r="P90">
        <f t="shared" si="9"/>
        <v>0</v>
      </c>
      <c r="Q90">
        <f t="shared" si="10"/>
        <v>0</v>
      </c>
      <c r="R90">
        <f t="shared" si="11"/>
        <v>0</v>
      </c>
      <c r="S90">
        <f t="shared" si="12"/>
        <v>0</v>
      </c>
      <c r="T90">
        <f t="shared" si="13"/>
        <v>0</v>
      </c>
    </row>
    <row r="91" spans="10:20" x14ac:dyDescent="0.25">
      <c r="J91" s="5" t="str">
        <f t="shared" si="8"/>
        <v/>
      </c>
      <c r="K91" s="5" t="s">
        <v>56</v>
      </c>
      <c r="L91" s="5">
        <f t="shared" si="7"/>
        <v>0</v>
      </c>
      <c r="M91" s="5" t="s">
        <v>56</v>
      </c>
      <c r="N91" s="5" t="s">
        <v>56</v>
      </c>
      <c r="P91">
        <f t="shared" si="9"/>
        <v>0</v>
      </c>
      <c r="Q91">
        <f t="shared" si="10"/>
        <v>0</v>
      </c>
      <c r="R91">
        <f t="shared" si="11"/>
        <v>0</v>
      </c>
      <c r="S91">
        <f t="shared" si="12"/>
        <v>0</v>
      </c>
      <c r="T91">
        <f t="shared" si="13"/>
        <v>0</v>
      </c>
    </row>
    <row r="92" spans="10:20" x14ac:dyDescent="0.25">
      <c r="J92" s="5" t="str">
        <f t="shared" si="8"/>
        <v/>
      </c>
      <c r="K92" s="5" t="s">
        <v>56</v>
      </c>
      <c r="L92" s="5">
        <f t="shared" si="7"/>
        <v>0</v>
      </c>
      <c r="M92" s="5" t="s">
        <v>56</v>
      </c>
      <c r="N92" s="5" t="s">
        <v>56</v>
      </c>
      <c r="P92">
        <f t="shared" si="9"/>
        <v>0</v>
      </c>
      <c r="Q92">
        <f t="shared" si="10"/>
        <v>0</v>
      </c>
      <c r="R92">
        <f t="shared" si="11"/>
        <v>0</v>
      </c>
      <c r="S92">
        <f t="shared" si="12"/>
        <v>0</v>
      </c>
      <c r="T92">
        <f t="shared" si="13"/>
        <v>0</v>
      </c>
    </row>
    <row r="93" spans="10:20" x14ac:dyDescent="0.25">
      <c r="J93" s="5" t="str">
        <f t="shared" si="8"/>
        <v/>
      </c>
      <c r="K93" s="5" t="s">
        <v>56</v>
      </c>
      <c r="L93" s="5">
        <f t="shared" si="7"/>
        <v>0</v>
      </c>
      <c r="M93" s="5" t="s">
        <v>56</v>
      </c>
      <c r="N93" s="5" t="s">
        <v>56</v>
      </c>
      <c r="P93">
        <f t="shared" si="9"/>
        <v>0</v>
      </c>
      <c r="Q93">
        <f t="shared" si="10"/>
        <v>0</v>
      </c>
      <c r="R93">
        <f t="shared" si="11"/>
        <v>0</v>
      </c>
      <c r="S93">
        <f t="shared" si="12"/>
        <v>0</v>
      </c>
      <c r="T93">
        <f t="shared" si="13"/>
        <v>0</v>
      </c>
    </row>
    <row r="94" spans="10:20" x14ac:dyDescent="0.25">
      <c r="J94" s="5" t="str">
        <f t="shared" si="8"/>
        <v/>
      </c>
      <c r="K94" s="5" t="s">
        <v>56</v>
      </c>
      <c r="L94" s="5">
        <f t="shared" si="7"/>
        <v>0</v>
      </c>
      <c r="M94" s="5" t="s">
        <v>56</v>
      </c>
      <c r="N94" s="5" t="s">
        <v>56</v>
      </c>
      <c r="P94">
        <f t="shared" si="9"/>
        <v>0</v>
      </c>
      <c r="Q94">
        <f t="shared" si="10"/>
        <v>0</v>
      </c>
      <c r="R94">
        <f t="shared" si="11"/>
        <v>0</v>
      </c>
      <c r="S94">
        <f t="shared" si="12"/>
        <v>0</v>
      </c>
      <c r="T94">
        <f t="shared" si="13"/>
        <v>0</v>
      </c>
    </row>
    <row r="95" spans="10:20" x14ac:dyDescent="0.25">
      <c r="J95" s="5" t="str">
        <f t="shared" si="8"/>
        <v/>
      </c>
      <c r="K95" s="5" t="s">
        <v>56</v>
      </c>
      <c r="L95" s="5">
        <f t="shared" si="7"/>
        <v>0</v>
      </c>
      <c r="M95" s="5" t="s">
        <v>56</v>
      </c>
      <c r="N95" s="5" t="s">
        <v>56</v>
      </c>
      <c r="P95">
        <f t="shared" si="9"/>
        <v>0</v>
      </c>
      <c r="Q95">
        <f t="shared" si="10"/>
        <v>0</v>
      </c>
      <c r="R95">
        <f t="shared" si="11"/>
        <v>0</v>
      </c>
      <c r="S95">
        <f t="shared" si="12"/>
        <v>0</v>
      </c>
      <c r="T95">
        <f t="shared" si="13"/>
        <v>0</v>
      </c>
    </row>
    <row r="96" spans="10:20" x14ac:dyDescent="0.25">
      <c r="J96" s="5" t="str">
        <f t="shared" si="8"/>
        <v/>
      </c>
      <c r="K96" s="5" t="s">
        <v>56</v>
      </c>
      <c r="L96" s="5">
        <f t="shared" si="7"/>
        <v>0</v>
      </c>
      <c r="M96" s="5" t="s">
        <v>56</v>
      </c>
      <c r="N96" s="5" t="s">
        <v>56</v>
      </c>
      <c r="P96">
        <f t="shared" si="9"/>
        <v>0</v>
      </c>
      <c r="Q96">
        <f t="shared" si="10"/>
        <v>0</v>
      </c>
      <c r="R96">
        <f t="shared" si="11"/>
        <v>0</v>
      </c>
      <c r="S96">
        <f t="shared" si="12"/>
        <v>0</v>
      </c>
      <c r="T96">
        <f t="shared" si="13"/>
        <v>0</v>
      </c>
    </row>
    <row r="97" spans="10:20" x14ac:dyDescent="0.25">
      <c r="J97" s="5" t="str">
        <f t="shared" si="8"/>
        <v/>
      </c>
      <c r="K97" s="5" t="s">
        <v>56</v>
      </c>
      <c r="L97" s="5">
        <f t="shared" si="7"/>
        <v>0</v>
      </c>
      <c r="M97" s="5" t="s">
        <v>56</v>
      </c>
      <c r="N97" s="5" t="s">
        <v>56</v>
      </c>
      <c r="P97">
        <f t="shared" si="9"/>
        <v>0</v>
      </c>
      <c r="Q97">
        <f t="shared" si="10"/>
        <v>0</v>
      </c>
      <c r="R97">
        <f t="shared" si="11"/>
        <v>0</v>
      </c>
      <c r="S97">
        <f t="shared" si="12"/>
        <v>0</v>
      </c>
      <c r="T97">
        <f t="shared" si="13"/>
        <v>0</v>
      </c>
    </row>
    <row r="98" spans="10:20" x14ac:dyDescent="0.25">
      <c r="J98" s="5" t="str">
        <f t="shared" si="8"/>
        <v/>
      </c>
      <c r="K98" s="5" t="s">
        <v>56</v>
      </c>
      <c r="L98" s="5">
        <f t="shared" si="7"/>
        <v>0</v>
      </c>
      <c r="M98" s="5" t="s">
        <v>56</v>
      </c>
      <c r="N98" s="5" t="s">
        <v>56</v>
      </c>
      <c r="P98">
        <f t="shared" si="9"/>
        <v>0</v>
      </c>
      <c r="Q98">
        <f t="shared" si="10"/>
        <v>0</v>
      </c>
      <c r="R98">
        <f t="shared" si="11"/>
        <v>0</v>
      </c>
      <c r="S98">
        <f t="shared" si="12"/>
        <v>0</v>
      </c>
      <c r="T98">
        <f t="shared" si="13"/>
        <v>0</v>
      </c>
    </row>
    <row r="99" spans="10:20" x14ac:dyDescent="0.25">
      <c r="J99" s="5" t="str">
        <f t="shared" si="8"/>
        <v/>
      </c>
      <c r="K99" s="5" t="s">
        <v>56</v>
      </c>
      <c r="L99" s="5">
        <f t="shared" si="7"/>
        <v>0</v>
      </c>
      <c r="M99" s="5" t="s">
        <v>56</v>
      </c>
      <c r="N99" s="5" t="s">
        <v>56</v>
      </c>
      <c r="P99">
        <f t="shared" si="9"/>
        <v>0</v>
      </c>
      <c r="Q99">
        <f t="shared" si="10"/>
        <v>0</v>
      </c>
      <c r="R99">
        <f t="shared" si="11"/>
        <v>0</v>
      </c>
      <c r="S99">
        <f t="shared" si="12"/>
        <v>0</v>
      </c>
      <c r="T99">
        <f t="shared" si="13"/>
        <v>0</v>
      </c>
    </row>
    <row r="100" spans="10:20" x14ac:dyDescent="0.25">
      <c r="J100" s="5" t="str">
        <f t="shared" si="8"/>
        <v/>
      </c>
      <c r="K100" s="5" t="s">
        <v>56</v>
      </c>
      <c r="L100" s="5">
        <f t="shared" si="7"/>
        <v>0</v>
      </c>
      <c r="M100" s="5" t="s">
        <v>56</v>
      </c>
      <c r="N100" s="5" t="s">
        <v>56</v>
      </c>
      <c r="P100">
        <f t="shared" si="9"/>
        <v>0</v>
      </c>
      <c r="Q100">
        <f t="shared" si="10"/>
        <v>0</v>
      </c>
      <c r="R100">
        <f t="shared" si="11"/>
        <v>0</v>
      </c>
      <c r="S100">
        <f t="shared" si="12"/>
        <v>0</v>
      </c>
      <c r="T100">
        <f t="shared" si="13"/>
        <v>0</v>
      </c>
    </row>
    <row r="101" spans="10:20" x14ac:dyDescent="0.25">
      <c r="J101" s="5" t="str">
        <f t="shared" si="8"/>
        <v/>
      </c>
      <c r="K101" s="5" t="s">
        <v>56</v>
      </c>
      <c r="L101" s="5">
        <f t="shared" si="7"/>
        <v>0</v>
      </c>
      <c r="M101" s="5" t="s">
        <v>56</v>
      </c>
      <c r="N101" s="5" t="s">
        <v>56</v>
      </c>
      <c r="P101">
        <f t="shared" si="9"/>
        <v>0</v>
      </c>
      <c r="Q101">
        <f t="shared" si="10"/>
        <v>0</v>
      </c>
      <c r="R101">
        <f t="shared" si="11"/>
        <v>0</v>
      </c>
      <c r="S101">
        <f t="shared" si="12"/>
        <v>0</v>
      </c>
      <c r="T101">
        <f t="shared" si="13"/>
        <v>0</v>
      </c>
    </row>
    <row r="102" spans="10:20" x14ac:dyDescent="0.25">
      <c r="J102" s="5" t="str">
        <f t="shared" si="8"/>
        <v/>
      </c>
      <c r="K102" s="5" t="s">
        <v>56</v>
      </c>
      <c r="L102" s="5">
        <f t="shared" si="7"/>
        <v>0</v>
      </c>
      <c r="M102" s="5" t="s">
        <v>56</v>
      </c>
      <c r="N102" s="5" t="s">
        <v>56</v>
      </c>
      <c r="P102">
        <f t="shared" si="9"/>
        <v>0</v>
      </c>
      <c r="Q102">
        <f t="shared" si="10"/>
        <v>0</v>
      </c>
      <c r="R102">
        <f t="shared" si="11"/>
        <v>0</v>
      </c>
      <c r="S102">
        <f t="shared" si="12"/>
        <v>0</v>
      </c>
      <c r="T102">
        <f t="shared" si="13"/>
        <v>0</v>
      </c>
    </row>
    <row r="103" spans="10:20" x14ac:dyDescent="0.25">
      <c r="J103" s="5" t="str">
        <f t="shared" si="8"/>
        <v/>
      </c>
      <c r="K103" s="5" t="s">
        <v>56</v>
      </c>
      <c r="L103" s="5">
        <f t="shared" si="7"/>
        <v>0</v>
      </c>
      <c r="M103" s="5" t="s">
        <v>56</v>
      </c>
      <c r="N103" s="5" t="s">
        <v>56</v>
      </c>
      <c r="P103">
        <f t="shared" si="9"/>
        <v>0</v>
      </c>
      <c r="Q103">
        <f t="shared" si="10"/>
        <v>0</v>
      </c>
      <c r="R103">
        <f t="shared" si="11"/>
        <v>0</v>
      </c>
      <c r="S103">
        <f t="shared" si="12"/>
        <v>0</v>
      </c>
      <c r="T103">
        <f t="shared" si="13"/>
        <v>0</v>
      </c>
    </row>
    <row r="104" spans="10:20" x14ac:dyDescent="0.25">
      <c r="J104" s="5" t="str">
        <f t="shared" si="8"/>
        <v/>
      </c>
      <c r="K104" s="5" t="s">
        <v>56</v>
      </c>
      <c r="L104" s="5">
        <f t="shared" si="7"/>
        <v>0</v>
      </c>
      <c r="M104" s="5" t="s">
        <v>56</v>
      </c>
      <c r="N104" s="5" t="s">
        <v>56</v>
      </c>
      <c r="P104">
        <f t="shared" si="9"/>
        <v>0</v>
      </c>
      <c r="Q104">
        <f t="shared" si="10"/>
        <v>0</v>
      </c>
      <c r="R104">
        <f t="shared" si="11"/>
        <v>0</v>
      </c>
      <c r="S104">
        <f t="shared" si="12"/>
        <v>0</v>
      </c>
      <c r="T104">
        <f t="shared" si="13"/>
        <v>0</v>
      </c>
    </row>
    <row r="105" spans="10:20" x14ac:dyDescent="0.25">
      <c r="J105" s="5" t="str">
        <f t="shared" si="8"/>
        <v/>
      </c>
      <c r="K105" s="5" t="s">
        <v>56</v>
      </c>
      <c r="L105" s="5">
        <f t="shared" si="7"/>
        <v>0</v>
      </c>
      <c r="M105" s="5" t="s">
        <v>56</v>
      </c>
      <c r="N105" s="5" t="s">
        <v>56</v>
      </c>
      <c r="P105">
        <f t="shared" si="9"/>
        <v>0</v>
      </c>
      <c r="Q105">
        <f t="shared" si="10"/>
        <v>0</v>
      </c>
      <c r="R105">
        <f t="shared" si="11"/>
        <v>0</v>
      </c>
      <c r="S105">
        <f t="shared" si="12"/>
        <v>0</v>
      </c>
      <c r="T105">
        <f t="shared" si="13"/>
        <v>0</v>
      </c>
    </row>
    <row r="106" spans="10:20" x14ac:dyDescent="0.25">
      <c r="J106" s="5" t="str">
        <f t="shared" si="8"/>
        <v/>
      </c>
      <c r="K106" s="5" t="s">
        <v>56</v>
      </c>
      <c r="L106" s="5">
        <f t="shared" si="7"/>
        <v>0</v>
      </c>
      <c r="M106" s="5" t="s">
        <v>56</v>
      </c>
      <c r="N106" s="5" t="s">
        <v>56</v>
      </c>
      <c r="P106">
        <f t="shared" si="9"/>
        <v>0</v>
      </c>
      <c r="Q106">
        <f t="shared" si="10"/>
        <v>0</v>
      </c>
      <c r="R106">
        <f t="shared" si="11"/>
        <v>0</v>
      </c>
      <c r="S106">
        <f t="shared" si="12"/>
        <v>0</v>
      </c>
      <c r="T106">
        <f t="shared" si="13"/>
        <v>0</v>
      </c>
    </row>
    <row r="107" spans="10:20" x14ac:dyDescent="0.25">
      <c r="J107" s="5" t="str">
        <f t="shared" si="8"/>
        <v/>
      </c>
      <c r="K107" s="5" t="s">
        <v>56</v>
      </c>
      <c r="L107" s="5">
        <f t="shared" si="7"/>
        <v>0</v>
      </c>
      <c r="M107" s="5" t="s">
        <v>56</v>
      </c>
      <c r="N107" s="5" t="s">
        <v>56</v>
      </c>
      <c r="P107">
        <f t="shared" si="9"/>
        <v>0</v>
      </c>
      <c r="Q107">
        <f t="shared" si="10"/>
        <v>0</v>
      </c>
      <c r="R107">
        <f t="shared" si="11"/>
        <v>0</v>
      </c>
      <c r="S107">
        <f t="shared" si="12"/>
        <v>0</v>
      </c>
      <c r="T107">
        <f t="shared" si="13"/>
        <v>0</v>
      </c>
    </row>
    <row r="108" spans="10:20" x14ac:dyDescent="0.25">
      <c r="J108" s="5" t="str">
        <f t="shared" si="8"/>
        <v/>
      </c>
      <c r="K108" s="5" t="s">
        <v>56</v>
      </c>
      <c r="L108" s="5">
        <f t="shared" si="7"/>
        <v>0</v>
      </c>
      <c r="M108" s="5" t="s">
        <v>56</v>
      </c>
      <c r="N108" s="5" t="s">
        <v>56</v>
      </c>
      <c r="P108">
        <f t="shared" si="9"/>
        <v>0</v>
      </c>
      <c r="Q108">
        <f t="shared" si="10"/>
        <v>0</v>
      </c>
      <c r="R108">
        <f t="shared" si="11"/>
        <v>0</v>
      </c>
      <c r="S108">
        <f t="shared" si="12"/>
        <v>0</v>
      </c>
      <c r="T108">
        <f t="shared" si="13"/>
        <v>0</v>
      </c>
    </row>
    <row r="109" spans="10:20" x14ac:dyDescent="0.25">
      <c r="J109" s="5" t="str">
        <f t="shared" si="8"/>
        <v/>
      </c>
      <c r="K109" s="5" t="s">
        <v>56</v>
      </c>
      <c r="L109" s="5">
        <f t="shared" si="7"/>
        <v>0</v>
      </c>
      <c r="M109" s="5" t="s">
        <v>56</v>
      </c>
      <c r="N109" s="5" t="s">
        <v>56</v>
      </c>
      <c r="P109">
        <f t="shared" si="9"/>
        <v>0</v>
      </c>
      <c r="Q109">
        <f t="shared" si="10"/>
        <v>0</v>
      </c>
      <c r="R109">
        <f t="shared" si="11"/>
        <v>0</v>
      </c>
      <c r="S109">
        <f t="shared" si="12"/>
        <v>0</v>
      </c>
      <c r="T109">
        <f t="shared" si="13"/>
        <v>0</v>
      </c>
    </row>
    <row r="110" spans="10:20" x14ac:dyDescent="0.25">
      <c r="J110" s="5" t="str">
        <f t="shared" si="8"/>
        <v/>
      </c>
      <c r="K110" s="5" t="s">
        <v>56</v>
      </c>
      <c r="L110" s="5">
        <f t="shared" si="7"/>
        <v>0</v>
      </c>
      <c r="M110" s="5" t="s">
        <v>56</v>
      </c>
      <c r="N110" s="5" t="s">
        <v>56</v>
      </c>
      <c r="P110">
        <f t="shared" si="9"/>
        <v>0</v>
      </c>
      <c r="Q110">
        <f t="shared" si="10"/>
        <v>0</v>
      </c>
      <c r="R110">
        <f t="shared" si="11"/>
        <v>0</v>
      </c>
      <c r="S110">
        <f t="shared" si="12"/>
        <v>0</v>
      </c>
      <c r="T110">
        <f t="shared" si="13"/>
        <v>0</v>
      </c>
    </row>
    <row r="111" spans="10:20" x14ac:dyDescent="0.25">
      <c r="J111" s="5" t="str">
        <f t="shared" si="8"/>
        <v/>
      </c>
      <c r="K111" s="5" t="s">
        <v>56</v>
      </c>
      <c r="L111" s="5">
        <f t="shared" si="7"/>
        <v>0</v>
      </c>
      <c r="M111" s="5" t="s">
        <v>56</v>
      </c>
      <c r="N111" s="5" t="s">
        <v>56</v>
      </c>
      <c r="P111">
        <f t="shared" si="9"/>
        <v>0</v>
      </c>
      <c r="Q111">
        <f t="shared" si="10"/>
        <v>0</v>
      </c>
      <c r="R111">
        <f t="shared" si="11"/>
        <v>0</v>
      </c>
      <c r="S111">
        <f t="shared" si="12"/>
        <v>0</v>
      </c>
      <c r="T111">
        <f t="shared" si="13"/>
        <v>0</v>
      </c>
    </row>
    <row r="112" spans="10:20" x14ac:dyDescent="0.25">
      <c r="J112" s="5" t="str">
        <f t="shared" si="8"/>
        <v/>
      </c>
      <c r="K112" s="5" t="s">
        <v>56</v>
      </c>
      <c r="L112" s="5">
        <f t="shared" si="7"/>
        <v>0</v>
      </c>
      <c r="M112" s="5" t="s">
        <v>56</v>
      </c>
      <c r="N112" s="5" t="s">
        <v>56</v>
      </c>
      <c r="P112">
        <f t="shared" si="9"/>
        <v>0</v>
      </c>
      <c r="Q112">
        <f t="shared" si="10"/>
        <v>0</v>
      </c>
      <c r="R112">
        <f t="shared" si="11"/>
        <v>0</v>
      </c>
      <c r="S112">
        <f t="shared" si="12"/>
        <v>0</v>
      </c>
      <c r="T112">
        <f t="shared" si="13"/>
        <v>0</v>
      </c>
    </row>
    <row r="113" spans="10:20" x14ac:dyDescent="0.25">
      <c r="J113" s="5" t="str">
        <f t="shared" si="8"/>
        <v/>
      </c>
      <c r="K113" s="5" t="s">
        <v>56</v>
      </c>
      <c r="L113" s="5">
        <f t="shared" si="7"/>
        <v>0</v>
      </c>
      <c r="M113" s="5" t="s">
        <v>56</v>
      </c>
      <c r="N113" s="5" t="s">
        <v>56</v>
      </c>
      <c r="P113">
        <f t="shared" si="9"/>
        <v>0</v>
      </c>
      <c r="Q113">
        <f t="shared" si="10"/>
        <v>0</v>
      </c>
      <c r="R113">
        <f t="shared" si="11"/>
        <v>0</v>
      </c>
      <c r="S113">
        <f t="shared" si="12"/>
        <v>0</v>
      </c>
      <c r="T113">
        <f t="shared" si="13"/>
        <v>0</v>
      </c>
    </row>
    <row r="114" spans="10:20" x14ac:dyDescent="0.25">
      <c r="J114" s="5" t="str">
        <f t="shared" si="8"/>
        <v/>
      </c>
      <c r="K114" s="5" t="s">
        <v>56</v>
      </c>
      <c r="L114" s="5">
        <f t="shared" si="7"/>
        <v>0</v>
      </c>
      <c r="M114" s="5" t="s">
        <v>56</v>
      </c>
      <c r="N114" s="5" t="s">
        <v>56</v>
      </c>
      <c r="P114">
        <f t="shared" si="9"/>
        <v>0</v>
      </c>
      <c r="Q114">
        <f t="shared" si="10"/>
        <v>0</v>
      </c>
      <c r="R114">
        <f t="shared" si="11"/>
        <v>0</v>
      </c>
      <c r="S114">
        <f t="shared" si="12"/>
        <v>0</v>
      </c>
      <c r="T114">
        <f t="shared" si="13"/>
        <v>0</v>
      </c>
    </row>
    <row r="115" spans="10:20" x14ac:dyDescent="0.25">
      <c r="J115" s="5" t="str">
        <f t="shared" si="8"/>
        <v/>
      </c>
      <c r="K115" s="5" t="s">
        <v>56</v>
      </c>
      <c r="L115" s="5">
        <f t="shared" si="7"/>
        <v>0</v>
      </c>
      <c r="M115" s="5" t="s">
        <v>56</v>
      </c>
      <c r="N115" s="5" t="s">
        <v>56</v>
      </c>
      <c r="P115">
        <f t="shared" si="9"/>
        <v>0</v>
      </c>
      <c r="Q115">
        <f t="shared" si="10"/>
        <v>0</v>
      </c>
      <c r="R115">
        <f t="shared" si="11"/>
        <v>0</v>
      </c>
      <c r="S115">
        <f t="shared" si="12"/>
        <v>0</v>
      </c>
      <c r="T115">
        <f t="shared" si="13"/>
        <v>0</v>
      </c>
    </row>
    <row r="116" spans="10:20" x14ac:dyDescent="0.25">
      <c r="J116" s="5" t="str">
        <f t="shared" si="8"/>
        <v/>
      </c>
      <c r="K116" s="5" t="s">
        <v>56</v>
      </c>
      <c r="L116" s="5">
        <f t="shared" si="7"/>
        <v>0</v>
      </c>
      <c r="M116" s="5" t="s">
        <v>56</v>
      </c>
      <c r="N116" s="5" t="s">
        <v>56</v>
      </c>
      <c r="P116">
        <f t="shared" si="9"/>
        <v>0</v>
      </c>
      <c r="Q116">
        <f t="shared" si="10"/>
        <v>0</v>
      </c>
      <c r="R116">
        <f t="shared" si="11"/>
        <v>0</v>
      </c>
      <c r="S116">
        <f t="shared" si="12"/>
        <v>0</v>
      </c>
      <c r="T116">
        <f t="shared" si="13"/>
        <v>0</v>
      </c>
    </row>
    <row r="117" spans="10:20" x14ac:dyDescent="0.25">
      <c r="J117" s="5" t="str">
        <f t="shared" si="8"/>
        <v/>
      </c>
      <c r="K117" s="5" t="s">
        <v>56</v>
      </c>
      <c r="L117" s="5">
        <f t="shared" si="7"/>
        <v>0</v>
      </c>
      <c r="M117" s="5" t="s">
        <v>56</v>
      </c>
      <c r="N117" s="5" t="s">
        <v>56</v>
      </c>
      <c r="P117">
        <f t="shared" si="9"/>
        <v>0</v>
      </c>
      <c r="Q117">
        <f t="shared" si="10"/>
        <v>0</v>
      </c>
      <c r="R117">
        <f t="shared" si="11"/>
        <v>0</v>
      </c>
      <c r="S117">
        <f t="shared" si="12"/>
        <v>0</v>
      </c>
      <c r="T117">
        <f t="shared" si="13"/>
        <v>0</v>
      </c>
    </row>
    <row r="118" spans="10:20" x14ac:dyDescent="0.25">
      <c r="J118" s="5" t="str">
        <f t="shared" si="8"/>
        <v/>
      </c>
      <c r="K118" s="5" t="s">
        <v>56</v>
      </c>
      <c r="L118" s="5">
        <f t="shared" si="7"/>
        <v>0</v>
      </c>
      <c r="M118" s="5" t="s">
        <v>56</v>
      </c>
      <c r="N118" s="5" t="s">
        <v>56</v>
      </c>
      <c r="P118">
        <f t="shared" si="9"/>
        <v>0</v>
      </c>
      <c r="Q118">
        <f t="shared" si="10"/>
        <v>0</v>
      </c>
      <c r="R118">
        <f t="shared" si="11"/>
        <v>0</v>
      </c>
      <c r="S118">
        <f t="shared" si="12"/>
        <v>0</v>
      </c>
      <c r="T118">
        <f t="shared" si="13"/>
        <v>0</v>
      </c>
    </row>
    <row r="119" spans="10:20" x14ac:dyDescent="0.25">
      <c r="J119" s="5" t="str">
        <f t="shared" si="8"/>
        <v/>
      </c>
      <c r="K119" s="5" t="s">
        <v>56</v>
      </c>
      <c r="L119" s="5">
        <f t="shared" si="7"/>
        <v>0</v>
      </c>
      <c r="M119" s="5" t="s">
        <v>56</v>
      </c>
      <c r="N119" s="5" t="s">
        <v>56</v>
      </c>
      <c r="P119">
        <f t="shared" si="9"/>
        <v>0</v>
      </c>
      <c r="Q119">
        <f t="shared" si="10"/>
        <v>0</v>
      </c>
      <c r="R119">
        <f t="shared" si="11"/>
        <v>0</v>
      </c>
      <c r="S119">
        <f t="shared" si="12"/>
        <v>0</v>
      </c>
      <c r="T119">
        <f t="shared" si="13"/>
        <v>0</v>
      </c>
    </row>
    <row r="120" spans="10:20" x14ac:dyDescent="0.25">
      <c r="J120" s="5" t="str">
        <f t="shared" si="8"/>
        <v/>
      </c>
      <c r="K120" s="5" t="s">
        <v>56</v>
      </c>
      <c r="L120" s="5">
        <f t="shared" si="7"/>
        <v>0</v>
      </c>
      <c r="M120" s="5" t="s">
        <v>56</v>
      </c>
      <c r="N120" s="5" t="s">
        <v>56</v>
      </c>
      <c r="P120">
        <f t="shared" si="9"/>
        <v>0</v>
      </c>
      <c r="Q120">
        <f t="shared" si="10"/>
        <v>0</v>
      </c>
      <c r="R120">
        <f t="shared" si="11"/>
        <v>0</v>
      </c>
      <c r="S120">
        <f t="shared" si="12"/>
        <v>0</v>
      </c>
      <c r="T120">
        <f t="shared" si="13"/>
        <v>0</v>
      </c>
    </row>
    <row r="121" spans="10:20" x14ac:dyDescent="0.25">
      <c r="J121" s="5" t="str">
        <f t="shared" si="8"/>
        <v/>
      </c>
      <c r="K121" s="5" t="s">
        <v>56</v>
      </c>
      <c r="L121" s="5">
        <f t="shared" si="7"/>
        <v>0</v>
      </c>
      <c r="M121" s="5" t="s">
        <v>56</v>
      </c>
      <c r="N121" s="5" t="s">
        <v>56</v>
      </c>
      <c r="P121">
        <f t="shared" si="9"/>
        <v>0</v>
      </c>
      <c r="Q121">
        <f t="shared" si="10"/>
        <v>0</v>
      </c>
      <c r="R121">
        <f t="shared" si="11"/>
        <v>0</v>
      </c>
      <c r="S121">
        <f t="shared" si="12"/>
        <v>0</v>
      </c>
      <c r="T121">
        <f t="shared" si="13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"/>
  <sheetViews>
    <sheetView workbookViewId="0">
      <selection activeCell="B2" sqref="B2"/>
    </sheetView>
  </sheetViews>
  <sheetFormatPr defaultRowHeight="15" x14ac:dyDescent="0.25"/>
  <sheetData>
    <row r="2" spans="2:2" x14ac:dyDescent="0.25">
      <c r="B2">
        <f>SUMPRODUCT(MID(0&amp;A2,LARGE(INDEX(ISNUMBER(--MID(A2,ROW($1:$25),1))* ROW($1:$25),0),ROW($1:$25))+1,1)*10^ROW($1:$25)/10)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Processed</vt:lpstr>
      <vt:lpstr>Calc</vt:lpstr>
      <vt:lpstr>Final</vt:lpstr>
      <vt:lpstr>Config</vt:lpstr>
      <vt:lpstr>Data</vt:lpstr>
      <vt:lpstr>BOE</vt:lpstr>
      <vt:lpstr>PO 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2020-10-13T19:36:48Z</dcterms:created>
  <dcterms:modified xsi:type="dcterms:W3CDTF">2021-11-18T09:43:11Z</dcterms:modified>
</cp:coreProperties>
</file>