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1.25\Steel_Operation\RPA\Accounts Payable Booking\Data\Template\Invoice Convertor\"/>
    </mc:Choice>
  </mc:AlternateContent>
  <bookViews>
    <workbookView xWindow="0" yWindow="0" windowWidth="20490" windowHeight="7650" tabRatio="816"/>
  </bookViews>
  <sheets>
    <sheet name="Invoice Data" sheetId="24" r:id="rId1"/>
    <sheet name="Duty" sheetId="26" r:id="rId2"/>
    <sheet name="DutyCalc" sheetId="25" r:id="rId3"/>
  </sheet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" i="24" l="1"/>
  <c r="L4" i="24"/>
  <c r="L5" i="24"/>
  <c r="L6" i="24"/>
  <c r="L7" i="24"/>
  <c r="L8" i="24"/>
  <c r="L9" i="24"/>
  <c r="L10" i="24"/>
  <c r="L11" i="24"/>
  <c r="L12" i="24"/>
  <c r="L13" i="24"/>
  <c r="L14" i="24"/>
  <c r="L15" i="24"/>
  <c r="L16" i="24"/>
  <c r="L17" i="24"/>
  <c r="L18" i="24"/>
  <c r="L19" i="24"/>
  <c r="L20" i="24"/>
  <c r="L21" i="24"/>
  <c r="L22" i="24"/>
  <c r="L23" i="24"/>
  <c r="L24" i="24"/>
  <c r="L25" i="24"/>
  <c r="L26" i="24"/>
  <c r="L27" i="24"/>
  <c r="L28" i="24"/>
  <c r="L29" i="24"/>
  <c r="L30" i="24"/>
  <c r="L31" i="24"/>
  <c r="L32" i="24"/>
  <c r="L33" i="24"/>
  <c r="L34" i="24"/>
  <c r="L35" i="24"/>
  <c r="L36" i="24"/>
  <c r="L37" i="24"/>
  <c r="L38" i="24"/>
  <c r="L39" i="24"/>
  <c r="L40" i="24"/>
  <c r="L41" i="24"/>
  <c r="L42" i="24"/>
  <c r="L43" i="24"/>
  <c r="L44" i="24"/>
  <c r="L45" i="24"/>
  <c r="L46" i="24"/>
  <c r="L47" i="24"/>
  <c r="L48" i="24"/>
  <c r="L49" i="24"/>
  <c r="L50" i="24"/>
  <c r="L51" i="24"/>
  <c r="L52" i="24"/>
  <c r="L53" i="24"/>
  <c r="L54" i="24"/>
  <c r="L55" i="24"/>
  <c r="L56" i="24"/>
  <c r="L57" i="24"/>
  <c r="L58" i="24"/>
  <c r="L59" i="24"/>
  <c r="L60" i="24"/>
  <c r="L61" i="24"/>
  <c r="L62" i="24"/>
  <c r="L63" i="24"/>
  <c r="L64" i="24"/>
  <c r="L65" i="24"/>
  <c r="L66" i="24"/>
  <c r="L67" i="24"/>
  <c r="L68" i="24"/>
  <c r="L69" i="24"/>
  <c r="L70" i="24"/>
  <c r="L71" i="24"/>
  <c r="L72" i="24"/>
  <c r="L73" i="24"/>
  <c r="L74" i="24"/>
  <c r="L75" i="24"/>
  <c r="L76" i="24"/>
  <c r="L77" i="24"/>
  <c r="L78" i="24"/>
  <c r="L79" i="24"/>
  <c r="L80" i="24"/>
  <c r="L81" i="24"/>
  <c r="L82" i="24"/>
  <c r="L83" i="24"/>
  <c r="L84" i="24"/>
  <c r="L85" i="24"/>
  <c r="L86" i="24"/>
  <c r="L87" i="24"/>
  <c r="L88" i="24"/>
  <c r="L89" i="24"/>
  <c r="L90" i="24"/>
  <c r="L91" i="24"/>
  <c r="L92" i="24"/>
  <c r="L93" i="24"/>
  <c r="L94" i="24"/>
  <c r="L95" i="24"/>
  <c r="L96" i="24"/>
  <c r="L97" i="24"/>
  <c r="L98" i="24"/>
  <c r="L99" i="24"/>
  <c r="L100" i="24"/>
  <c r="L101" i="24"/>
  <c r="L102" i="24"/>
  <c r="L103" i="24"/>
  <c r="L104" i="24"/>
  <c r="L105" i="24"/>
  <c r="L106" i="24"/>
  <c r="L107" i="24"/>
  <c r="L108" i="24"/>
  <c r="L109" i="24"/>
  <c r="L110" i="24"/>
  <c r="L111" i="24"/>
  <c r="L112" i="24"/>
  <c r="L113" i="24"/>
  <c r="L114" i="24"/>
  <c r="L115" i="24"/>
  <c r="L116" i="24"/>
  <c r="L117" i="24"/>
  <c r="L118" i="24"/>
  <c r="L119" i="24"/>
  <c r="L120" i="24"/>
  <c r="L121" i="24"/>
  <c r="L2" i="24"/>
  <c r="J3" i="24"/>
  <c r="J4" i="24"/>
  <c r="J5" i="24"/>
  <c r="J6" i="24"/>
  <c r="J7" i="24"/>
  <c r="J8" i="24"/>
  <c r="J9" i="24"/>
  <c r="J10" i="24"/>
  <c r="J11" i="24"/>
  <c r="J12" i="24"/>
  <c r="J13" i="24"/>
  <c r="J14" i="24"/>
  <c r="J15" i="24"/>
  <c r="J16" i="24"/>
  <c r="J17" i="24"/>
  <c r="J18" i="24"/>
  <c r="J19" i="24"/>
  <c r="J20" i="24"/>
  <c r="J21" i="24"/>
  <c r="J22" i="24"/>
  <c r="J23" i="24"/>
  <c r="J24" i="24"/>
  <c r="J25" i="24"/>
  <c r="J26" i="24"/>
  <c r="J27" i="24"/>
  <c r="J28" i="24"/>
  <c r="J29" i="24"/>
  <c r="J30" i="24"/>
  <c r="J31" i="24"/>
  <c r="J32" i="24"/>
  <c r="J33" i="24"/>
  <c r="J34" i="24"/>
  <c r="J35" i="24"/>
  <c r="J36" i="24"/>
  <c r="J37" i="24"/>
  <c r="J38" i="24"/>
  <c r="J39" i="24"/>
  <c r="J40" i="24"/>
  <c r="J41" i="24"/>
  <c r="J42" i="24"/>
  <c r="J43" i="24"/>
  <c r="J44" i="24"/>
  <c r="J45" i="24"/>
  <c r="J46" i="24"/>
  <c r="J47" i="24"/>
  <c r="J48" i="24"/>
  <c r="J49" i="24"/>
  <c r="J50" i="24"/>
  <c r="J51" i="24"/>
  <c r="J52" i="24"/>
  <c r="J53" i="24"/>
  <c r="J54" i="24"/>
  <c r="J55" i="24"/>
  <c r="J56" i="24"/>
  <c r="J57" i="24"/>
  <c r="J58" i="24"/>
  <c r="J59" i="24"/>
  <c r="J60" i="24"/>
  <c r="J61" i="24"/>
  <c r="J62" i="24"/>
  <c r="J63" i="24"/>
  <c r="J64" i="24"/>
  <c r="J65" i="24"/>
  <c r="J66" i="24"/>
  <c r="J67" i="24"/>
  <c r="J68" i="24"/>
  <c r="J69" i="24"/>
  <c r="J70" i="24"/>
  <c r="J71" i="24"/>
  <c r="J72" i="24"/>
  <c r="J73" i="24"/>
  <c r="J74" i="24"/>
  <c r="J75" i="24"/>
  <c r="J76" i="24"/>
  <c r="J77" i="24"/>
  <c r="J78" i="24"/>
  <c r="J79" i="24"/>
  <c r="J80" i="24"/>
  <c r="J81" i="24"/>
  <c r="J82" i="24"/>
  <c r="J83" i="24"/>
  <c r="J84" i="24"/>
  <c r="J85" i="24"/>
  <c r="J86" i="24"/>
  <c r="J87" i="24"/>
  <c r="J88" i="24"/>
  <c r="J89" i="24"/>
  <c r="J90" i="24"/>
  <c r="J91" i="24"/>
  <c r="J92" i="24"/>
  <c r="J93" i="24"/>
  <c r="J94" i="24"/>
  <c r="J95" i="24"/>
  <c r="J96" i="24"/>
  <c r="J97" i="24"/>
  <c r="J98" i="24"/>
  <c r="J99" i="24"/>
  <c r="J100" i="24"/>
  <c r="J101" i="24"/>
  <c r="J102" i="24"/>
  <c r="J103" i="24"/>
  <c r="J104" i="24"/>
  <c r="J105" i="24"/>
  <c r="J106" i="24"/>
  <c r="J107" i="24"/>
  <c r="J108" i="24"/>
  <c r="J109" i="24"/>
  <c r="J110" i="24"/>
  <c r="J111" i="24"/>
  <c r="J112" i="24"/>
  <c r="J113" i="24"/>
  <c r="J114" i="24"/>
  <c r="J115" i="24"/>
  <c r="J116" i="24"/>
  <c r="J117" i="24"/>
  <c r="J118" i="24"/>
  <c r="J119" i="24"/>
  <c r="J120" i="24"/>
  <c r="J121" i="24"/>
  <c r="J2" i="24"/>
  <c r="BH2" i="25"/>
  <c r="N121" i="24"/>
  <c r="M121" i="24"/>
  <c r="N120" i="24"/>
  <c r="M120" i="24"/>
  <c r="N119" i="24"/>
  <c r="M119" i="24"/>
  <c r="N118" i="24"/>
  <c r="M118" i="24"/>
  <c r="N117" i="24"/>
  <c r="M117" i="24"/>
  <c r="N116" i="24"/>
  <c r="M116" i="24"/>
  <c r="N115" i="24"/>
  <c r="M115" i="24"/>
  <c r="N114" i="24"/>
  <c r="M114" i="24"/>
  <c r="N113" i="24"/>
  <c r="M113" i="24"/>
  <c r="N112" i="24"/>
  <c r="M112" i="24"/>
  <c r="N111" i="24"/>
  <c r="M111" i="24"/>
  <c r="N110" i="24"/>
  <c r="M110" i="24"/>
  <c r="N109" i="24"/>
  <c r="M109" i="24"/>
  <c r="N108" i="24"/>
  <c r="M108" i="24"/>
  <c r="N107" i="24"/>
  <c r="M107" i="24"/>
  <c r="N106" i="24"/>
  <c r="M106" i="24"/>
  <c r="N105" i="24"/>
  <c r="M105" i="24"/>
  <c r="N104" i="24"/>
  <c r="M104" i="24"/>
  <c r="N103" i="24"/>
  <c r="M103" i="24"/>
  <c r="N102" i="24"/>
  <c r="M102" i="24"/>
  <c r="N101" i="24"/>
  <c r="M101" i="24"/>
  <c r="N100" i="24"/>
  <c r="M100" i="24"/>
  <c r="N99" i="24"/>
  <c r="M99" i="24"/>
  <c r="N98" i="24"/>
  <c r="M98" i="24"/>
  <c r="N97" i="24"/>
  <c r="M97" i="24"/>
  <c r="N96" i="24"/>
  <c r="M96" i="24"/>
  <c r="N95" i="24"/>
  <c r="M95" i="24"/>
  <c r="N94" i="24"/>
  <c r="M94" i="24"/>
  <c r="N93" i="24"/>
  <c r="M93" i="24"/>
  <c r="N92" i="24"/>
  <c r="M92" i="24"/>
  <c r="N91" i="24"/>
  <c r="M91" i="24"/>
  <c r="N90" i="24"/>
  <c r="M90" i="24"/>
  <c r="N89" i="24"/>
  <c r="M89" i="24"/>
  <c r="N88" i="24"/>
  <c r="M88" i="24"/>
  <c r="N87" i="24"/>
  <c r="M87" i="24"/>
  <c r="N86" i="24"/>
  <c r="M86" i="24"/>
  <c r="N85" i="24"/>
  <c r="M85" i="24"/>
  <c r="N84" i="24"/>
  <c r="M84" i="24"/>
  <c r="N83" i="24"/>
  <c r="M83" i="24"/>
  <c r="N82" i="24"/>
  <c r="M82" i="24"/>
  <c r="N81" i="24"/>
  <c r="M81" i="24"/>
  <c r="N80" i="24"/>
  <c r="M80" i="24"/>
  <c r="N79" i="24"/>
  <c r="M79" i="24"/>
  <c r="N78" i="24"/>
  <c r="M78" i="24"/>
  <c r="N77" i="24"/>
  <c r="M77" i="24"/>
  <c r="N76" i="24"/>
  <c r="M76" i="24"/>
  <c r="N75" i="24"/>
  <c r="M75" i="24"/>
  <c r="N74" i="24"/>
  <c r="M74" i="24"/>
  <c r="N73" i="24"/>
  <c r="M73" i="24"/>
  <c r="N72" i="24"/>
  <c r="M72" i="24"/>
  <c r="N71" i="24"/>
  <c r="M71" i="24"/>
  <c r="N70" i="24"/>
  <c r="M70" i="24"/>
  <c r="N69" i="24"/>
  <c r="M69" i="24"/>
  <c r="N68" i="24"/>
  <c r="M68" i="24"/>
  <c r="N67" i="24"/>
  <c r="M67" i="24"/>
  <c r="N66" i="24"/>
  <c r="M66" i="24"/>
  <c r="N65" i="24"/>
  <c r="M65" i="24"/>
  <c r="N64" i="24"/>
  <c r="M64" i="24"/>
  <c r="N63" i="24"/>
  <c r="M63" i="24"/>
  <c r="N62" i="24"/>
  <c r="M62" i="24"/>
  <c r="N61" i="24"/>
  <c r="M61" i="24"/>
  <c r="N60" i="24"/>
  <c r="M60" i="24"/>
  <c r="N59" i="24"/>
  <c r="M59" i="24"/>
  <c r="N58" i="24"/>
  <c r="M58" i="24"/>
  <c r="N57" i="24"/>
  <c r="M57" i="24"/>
  <c r="N56" i="24"/>
  <c r="M56" i="24"/>
  <c r="N55" i="24"/>
  <c r="M55" i="24"/>
  <c r="N54" i="24"/>
  <c r="M54" i="24"/>
  <c r="N53" i="24"/>
  <c r="M53" i="24"/>
  <c r="N52" i="24"/>
  <c r="M52" i="24"/>
  <c r="N51" i="24"/>
  <c r="M51" i="24"/>
  <c r="N50" i="24"/>
  <c r="M50" i="24"/>
  <c r="N49" i="24"/>
  <c r="M49" i="24"/>
  <c r="N48" i="24"/>
  <c r="M48" i="24"/>
  <c r="N47" i="24"/>
  <c r="M47" i="24"/>
  <c r="N46" i="24"/>
  <c r="M46" i="24"/>
  <c r="N45" i="24"/>
  <c r="M45" i="24"/>
  <c r="N44" i="24"/>
  <c r="M44" i="24"/>
  <c r="N43" i="24"/>
  <c r="M43" i="24"/>
  <c r="N42" i="24"/>
  <c r="M42" i="24"/>
  <c r="N41" i="24"/>
  <c r="M41" i="24"/>
  <c r="N40" i="24"/>
  <c r="M40" i="24"/>
  <c r="N39" i="24"/>
  <c r="M39" i="24"/>
  <c r="N38" i="24"/>
  <c r="M38" i="24"/>
  <c r="N37" i="24"/>
  <c r="M37" i="24"/>
  <c r="N36" i="24"/>
  <c r="M36" i="24"/>
  <c r="N35" i="24"/>
  <c r="M35" i="24"/>
  <c r="N34" i="24"/>
  <c r="M34" i="24"/>
  <c r="N33" i="24"/>
  <c r="M33" i="24"/>
  <c r="N32" i="24"/>
  <c r="M32" i="24"/>
  <c r="N31" i="24"/>
  <c r="M31" i="24"/>
  <c r="N30" i="24"/>
  <c r="M30" i="24"/>
  <c r="N29" i="24"/>
  <c r="M29" i="24"/>
  <c r="N28" i="24"/>
  <c r="M28" i="24"/>
  <c r="N27" i="24"/>
  <c r="M27" i="24"/>
  <c r="N26" i="24"/>
  <c r="M26" i="24"/>
  <c r="N25" i="24"/>
  <c r="M25" i="24"/>
  <c r="N24" i="24"/>
  <c r="M24" i="24"/>
  <c r="N23" i="24"/>
  <c r="M23" i="24"/>
  <c r="N22" i="24"/>
  <c r="M22" i="24"/>
  <c r="N21" i="24"/>
  <c r="M21" i="24"/>
  <c r="N20" i="24"/>
  <c r="M20" i="24"/>
  <c r="N19" i="24"/>
  <c r="M19" i="24"/>
  <c r="N18" i="24"/>
  <c r="M18" i="24"/>
  <c r="N17" i="24"/>
  <c r="M17" i="24"/>
  <c r="N16" i="24"/>
  <c r="M16" i="24"/>
  <c r="N15" i="24"/>
  <c r="M15" i="24"/>
  <c r="N14" i="24"/>
  <c r="M14" i="24"/>
  <c r="N13" i="24"/>
  <c r="M13" i="24"/>
  <c r="N12" i="24"/>
  <c r="M12" i="24"/>
  <c r="N11" i="24"/>
  <c r="M11" i="24"/>
  <c r="N10" i="24"/>
  <c r="M10" i="24"/>
  <c r="N9" i="24"/>
  <c r="M9" i="24"/>
  <c r="N8" i="24"/>
  <c r="M8" i="24"/>
  <c r="N7" i="24"/>
  <c r="M7" i="24"/>
  <c r="N6" i="24"/>
  <c r="M6" i="24"/>
  <c r="N5" i="24"/>
  <c r="M5" i="24"/>
  <c r="N4" i="24"/>
  <c r="M4" i="24"/>
  <c r="N3" i="24"/>
  <c r="M3" i="24"/>
  <c r="N2" i="24"/>
  <c r="M2" i="24"/>
  <c r="K121" i="24"/>
  <c r="K120" i="24"/>
  <c r="K119" i="24"/>
  <c r="K118" i="24"/>
  <c r="K117" i="24"/>
  <c r="K116" i="24"/>
  <c r="K115" i="24"/>
  <c r="K114" i="24"/>
  <c r="K113" i="24"/>
  <c r="K112" i="24"/>
  <c r="K111" i="24"/>
  <c r="K110" i="24"/>
  <c r="K109" i="24"/>
  <c r="K108" i="24"/>
  <c r="K107" i="24"/>
  <c r="K106" i="24"/>
  <c r="K105" i="24"/>
  <c r="K104" i="24"/>
  <c r="K103" i="24"/>
  <c r="K102" i="24"/>
  <c r="K101" i="24"/>
  <c r="K100" i="24"/>
  <c r="K99" i="24"/>
  <c r="K98" i="24"/>
  <c r="K97" i="24"/>
  <c r="K96" i="24"/>
  <c r="K95" i="24"/>
  <c r="K94" i="24"/>
  <c r="K93" i="24"/>
  <c r="K92" i="24"/>
  <c r="K91" i="24"/>
  <c r="K90" i="24"/>
  <c r="K89" i="24"/>
  <c r="K88" i="24"/>
  <c r="K87" i="24"/>
  <c r="K86" i="24"/>
  <c r="K85" i="24"/>
  <c r="K84" i="24"/>
  <c r="K83" i="24"/>
  <c r="K82" i="24"/>
  <c r="K81" i="24"/>
  <c r="K80" i="24"/>
  <c r="K79" i="24"/>
  <c r="K78" i="24"/>
  <c r="K77" i="24"/>
  <c r="K76" i="24"/>
  <c r="K75" i="24"/>
  <c r="K74" i="24"/>
  <c r="K73" i="24"/>
  <c r="K72" i="24"/>
  <c r="K71" i="24"/>
  <c r="K70" i="24"/>
  <c r="K69" i="24"/>
  <c r="K68" i="24"/>
  <c r="K67" i="24"/>
  <c r="K66" i="24"/>
  <c r="K65" i="24"/>
  <c r="K64" i="24"/>
  <c r="K63" i="24"/>
  <c r="K62" i="24"/>
  <c r="K61" i="24"/>
  <c r="K60" i="24"/>
  <c r="K59" i="24"/>
  <c r="K58" i="24"/>
  <c r="K57" i="24"/>
  <c r="K56" i="24"/>
  <c r="K55" i="24"/>
  <c r="K54" i="24"/>
  <c r="K53" i="24"/>
  <c r="K52" i="24"/>
  <c r="K51" i="24"/>
  <c r="K50" i="24"/>
  <c r="K49" i="24"/>
  <c r="K48" i="24"/>
  <c r="K47" i="24"/>
  <c r="K46" i="24"/>
  <c r="K45" i="24"/>
  <c r="K44" i="24"/>
  <c r="K43" i="24"/>
  <c r="K42" i="24"/>
  <c r="K41" i="24"/>
  <c r="K40" i="24"/>
  <c r="K39" i="24"/>
  <c r="K38" i="24"/>
  <c r="K37" i="24"/>
  <c r="K36" i="24"/>
  <c r="K35" i="24"/>
  <c r="K34" i="24"/>
  <c r="K33" i="24"/>
  <c r="K32" i="24"/>
  <c r="K31" i="24"/>
  <c r="K30" i="24"/>
  <c r="K29" i="24"/>
  <c r="K28" i="24"/>
  <c r="K27" i="24"/>
  <c r="K26" i="24"/>
  <c r="K25" i="24"/>
  <c r="K24" i="24"/>
  <c r="K23" i="24"/>
  <c r="K22" i="24"/>
  <c r="K21" i="24"/>
  <c r="K20" i="24"/>
  <c r="K19" i="24"/>
  <c r="K18" i="24"/>
  <c r="K17" i="24"/>
  <c r="K16" i="24"/>
  <c r="K15" i="24"/>
  <c r="K14" i="24"/>
  <c r="K13" i="24"/>
  <c r="K12" i="24"/>
  <c r="K11" i="24"/>
  <c r="K10" i="24"/>
  <c r="K9" i="24"/>
  <c r="K8" i="24"/>
  <c r="K7" i="24"/>
  <c r="K6" i="24"/>
  <c r="K5" i="24"/>
  <c r="K4" i="24"/>
  <c r="K3" i="24"/>
  <c r="K2" i="24"/>
  <c r="BC2" i="25"/>
  <c r="BD2" i="25"/>
  <c r="BE2" i="25"/>
  <c r="BF2" i="25"/>
  <c r="BG2" i="25"/>
  <c r="Q1" i="26"/>
  <c r="O1" i="24"/>
</calcChain>
</file>

<file path=xl/sharedStrings.xml><?xml version="1.0" encoding="utf-8"?>
<sst xmlns="http://schemas.openxmlformats.org/spreadsheetml/2006/main" count="15" uniqueCount="12">
  <si>
    <t>ITEM</t>
  </si>
  <si>
    <t>S.No</t>
  </si>
  <si>
    <t>HSN</t>
  </si>
  <si>
    <t>Price</t>
  </si>
  <si>
    <t>NetWT</t>
  </si>
  <si>
    <t>Total Amount</t>
  </si>
  <si>
    <t>IGST</t>
  </si>
  <si>
    <t>SWS</t>
  </si>
  <si>
    <t>BCD</t>
  </si>
  <si>
    <t>Unit Price</t>
  </si>
  <si>
    <t>ASSESABLE VALUE</t>
  </si>
  <si>
    <t>1USD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</si>
</sst>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O121"/>
  <sheetViews>
    <sheetView tabSelected="1" zoomScale="59" workbookViewId="0">
      <selection activeCell="L2" sqref="L2:L121"/>
    </sheetView>
  </sheetViews>
  <sheetFormatPr defaultRowHeight="15" x14ac:dyDescent="0.25"/>
  <cols>
    <col min="1" max="2" width="9.140625" style="1" customWidth="1"/>
    <col min="3" max="3" width="88.5703125" style="1" bestFit="1" customWidth="1"/>
    <col min="4" max="6" width="9.140625" style="1" customWidth="1"/>
    <col min="7" max="7" width="15.5703125" style="2" bestFit="1" customWidth="1"/>
    <col min="8" max="9" width="9.140625" style="2" customWidth="1"/>
    <col min="10" max="10" width="9.140625" style="1" customWidth="1"/>
    <col min="11" max="11" width="10.85546875" style="1" bestFit="1" customWidth="1"/>
    <col min="12" max="12" width="9.5703125" bestFit="1" customWidth="1"/>
  </cols>
  <sheetData>
    <row r="1" spans="1:15" x14ac:dyDescent="0.25">
      <c r="A1" s="1" t="s">
        <v>1</v>
      </c>
      <c r="B1" s="1" t="s">
        <v>2</v>
      </c>
      <c r="C1" s="1" t="s">
        <v>0</v>
      </c>
      <c r="D1" s="1" t="s">
        <v>3</v>
      </c>
      <c r="E1" s="1" t="s">
        <v>4</v>
      </c>
      <c r="G1" s="2" t="s">
        <v>5</v>
      </c>
      <c r="H1" s="2" t="s">
        <v>11</v>
      </c>
      <c r="K1" s="1" t="s">
        <v>6</v>
      </c>
      <c r="L1" t="s">
        <v>9</v>
      </c>
      <c r="M1" t="s">
        <v>7</v>
      </c>
      <c r="N1" t="s">
        <v>8</v>
      </c>
      <c r="O1" s="1">
        <f>COUNTA(A:A)+1</f>
        <v>2</v>
      </c>
    </row>
    <row r="2" spans="1:15" x14ac:dyDescent="0.25">
      <c r="J2" s="1" t="str">
        <f>IFERROR(MID(C2,IFERROR(FIND("MCX",C2,1),FIND("MCY",C2,1)),8),"")</f>
        <v/>
      </c>
      <c r="K2" s="1" t="str">
        <f>IFERROR(VLOOKUP(A2,Duty!A:E,5,FALSE),"")</f>
        <v/>
      </c>
      <c r="L2" s="1">
        <f>IFERROR(D2,"")</f>
        <v>0</v>
      </c>
      <c r="M2" t="str">
        <f>IFERROR(VLOOKUP(A2,Duty!A:E,3,FALSE),"")</f>
        <v/>
      </c>
      <c r="N2" t="str">
        <f>IFERROR(VLOOKUP(A2,Duty!A:E,4,FALSE),"")</f>
        <v/>
      </c>
    </row>
    <row r="3" spans="1:15" x14ac:dyDescent="0.25">
      <c r="J3" s="1" t="str">
        <f t="shared" ref="J3:J66" si="0">IFERROR(MID(C3,IFERROR(FIND("MCX",C3,1),FIND("MCY",C3,1)),8),"")</f>
        <v/>
      </c>
      <c r="K3" s="1" t="str">
        <f>IFERROR(VLOOKUP(A3,Duty!A:E,5,FALSE),"")</f>
        <v/>
      </c>
      <c r="L3" s="1">
        <f t="shared" ref="L3:L66" si="1">IFERROR(D3,"")</f>
        <v>0</v>
      </c>
      <c r="M3" t="str">
        <f>IFERROR(VLOOKUP(A3,Duty!A:E,3,FALSE),"")</f>
        <v/>
      </c>
      <c r="N3" t="str">
        <f>IFERROR(VLOOKUP(A3,Duty!A:E,4,FALSE),"")</f>
        <v/>
      </c>
    </row>
    <row r="4" spans="1:15" x14ac:dyDescent="0.25">
      <c r="J4" s="1" t="str">
        <f t="shared" si="0"/>
        <v/>
      </c>
      <c r="K4" s="1" t="str">
        <f>IFERROR(VLOOKUP(A4,Duty!A:E,5,FALSE),"")</f>
        <v/>
      </c>
      <c r="L4" s="1">
        <f t="shared" si="1"/>
        <v>0</v>
      </c>
      <c r="M4" t="str">
        <f>IFERROR(VLOOKUP(A4,Duty!A:E,3,FALSE),"")</f>
        <v/>
      </c>
      <c r="N4" t="str">
        <f>IFERROR(VLOOKUP(A4,Duty!A:E,4,FALSE),"")</f>
        <v/>
      </c>
    </row>
    <row r="5" spans="1:15" x14ac:dyDescent="0.25">
      <c r="J5" s="1" t="str">
        <f t="shared" si="0"/>
        <v/>
      </c>
      <c r="K5" s="1" t="str">
        <f>IFERROR(VLOOKUP(A5,Duty!A:E,5,FALSE),"")</f>
        <v/>
      </c>
      <c r="L5" s="1">
        <f t="shared" si="1"/>
        <v>0</v>
      </c>
      <c r="M5" t="str">
        <f>IFERROR(VLOOKUP(A5,Duty!A:E,3,FALSE),"")</f>
        <v/>
      </c>
      <c r="N5" t="str">
        <f>IFERROR(VLOOKUP(A5,Duty!A:E,4,FALSE),"")</f>
        <v/>
      </c>
    </row>
    <row r="6" spans="1:15" x14ac:dyDescent="0.25">
      <c r="J6" s="1" t="str">
        <f t="shared" si="0"/>
        <v/>
      </c>
      <c r="K6" s="1" t="str">
        <f>IFERROR(VLOOKUP(A6,Duty!A:E,5,FALSE),"")</f>
        <v/>
      </c>
      <c r="L6" s="1">
        <f t="shared" si="1"/>
        <v>0</v>
      </c>
      <c r="M6" t="str">
        <f>IFERROR(VLOOKUP(A6,Duty!A:E,3,FALSE),"")</f>
        <v/>
      </c>
      <c r="N6" t="str">
        <f>IFERROR(VLOOKUP(A6,Duty!A:E,4,FALSE),"")</f>
        <v/>
      </c>
    </row>
    <row r="7" spans="1:15" x14ac:dyDescent="0.25">
      <c r="J7" s="1" t="str">
        <f t="shared" si="0"/>
        <v/>
      </c>
      <c r="K7" s="1" t="str">
        <f>IFERROR(VLOOKUP(A7,Duty!A:E,5,FALSE),"")</f>
        <v/>
      </c>
      <c r="L7" s="1">
        <f t="shared" si="1"/>
        <v>0</v>
      </c>
      <c r="M7" t="str">
        <f>IFERROR(VLOOKUP(A7,Duty!A:E,3,FALSE),"")</f>
        <v/>
      </c>
      <c r="N7" t="str">
        <f>IFERROR(VLOOKUP(A7,Duty!A:E,4,FALSE),"")</f>
        <v/>
      </c>
    </row>
    <row r="8" spans="1:15" x14ac:dyDescent="0.25">
      <c r="J8" s="1" t="str">
        <f t="shared" si="0"/>
        <v/>
      </c>
      <c r="K8" s="1" t="str">
        <f>IFERROR(VLOOKUP(A8,Duty!A:E,5,FALSE),"")</f>
        <v/>
      </c>
      <c r="L8" s="1">
        <f t="shared" si="1"/>
        <v>0</v>
      </c>
      <c r="M8" t="str">
        <f>IFERROR(VLOOKUP(A8,Duty!A:E,3,FALSE),"")</f>
        <v/>
      </c>
      <c r="N8" t="str">
        <f>IFERROR(VLOOKUP(A8,Duty!A:E,4,FALSE),"")</f>
        <v/>
      </c>
    </row>
    <row r="9" spans="1:15" x14ac:dyDescent="0.25">
      <c r="J9" s="1" t="str">
        <f t="shared" si="0"/>
        <v/>
      </c>
      <c r="K9" s="1" t="str">
        <f>IFERROR(VLOOKUP(A9,Duty!A:E,5,FALSE),"")</f>
        <v/>
      </c>
      <c r="L9" s="1">
        <f t="shared" si="1"/>
        <v>0</v>
      </c>
      <c r="M9" t="str">
        <f>IFERROR(VLOOKUP(A9,Duty!A:E,3,FALSE),"")</f>
        <v/>
      </c>
      <c r="N9" t="str">
        <f>IFERROR(VLOOKUP(A9,Duty!A:E,4,FALSE),"")</f>
        <v/>
      </c>
    </row>
    <row r="10" spans="1:15" x14ac:dyDescent="0.25">
      <c r="J10" s="1" t="str">
        <f t="shared" si="0"/>
        <v/>
      </c>
      <c r="K10" s="1" t="str">
        <f>IFERROR(VLOOKUP(A10,Duty!A:E,5,FALSE),"")</f>
        <v/>
      </c>
      <c r="L10" s="1">
        <f t="shared" si="1"/>
        <v>0</v>
      </c>
      <c r="M10" t="str">
        <f>IFERROR(VLOOKUP(A10,Duty!A:E,3,FALSE),"")</f>
        <v/>
      </c>
      <c r="N10" t="str">
        <f>IFERROR(VLOOKUP(A10,Duty!A:E,4,FALSE),"")</f>
        <v/>
      </c>
    </row>
    <row r="11" spans="1:15" x14ac:dyDescent="0.25">
      <c r="J11" s="1" t="str">
        <f t="shared" si="0"/>
        <v/>
      </c>
      <c r="K11" s="1" t="str">
        <f>IFERROR(VLOOKUP(A11,Duty!A:E,5,FALSE),"")</f>
        <v/>
      </c>
      <c r="L11" s="1">
        <f t="shared" si="1"/>
        <v>0</v>
      </c>
      <c r="M11" t="str">
        <f>IFERROR(VLOOKUP(A11,Duty!A:E,3,FALSE),"")</f>
        <v/>
      </c>
      <c r="N11" t="str">
        <f>IFERROR(VLOOKUP(A11,Duty!A:E,4,FALSE),"")</f>
        <v/>
      </c>
    </row>
    <row r="12" spans="1:15" x14ac:dyDescent="0.25">
      <c r="J12" s="1" t="str">
        <f t="shared" si="0"/>
        <v/>
      </c>
      <c r="K12" s="1" t="str">
        <f>IFERROR(VLOOKUP(A12,Duty!A:E,5,FALSE),"")</f>
        <v/>
      </c>
      <c r="L12" s="1">
        <f t="shared" si="1"/>
        <v>0</v>
      </c>
      <c r="M12" t="str">
        <f>IFERROR(VLOOKUP(A12,Duty!A:E,3,FALSE),"")</f>
        <v/>
      </c>
      <c r="N12" t="str">
        <f>IFERROR(VLOOKUP(A12,Duty!A:E,4,FALSE),"")</f>
        <v/>
      </c>
    </row>
    <row r="13" spans="1:15" x14ac:dyDescent="0.25">
      <c r="J13" s="1" t="str">
        <f t="shared" si="0"/>
        <v/>
      </c>
      <c r="K13" s="1" t="str">
        <f>IFERROR(VLOOKUP(A13,Duty!A:E,5,FALSE),"")</f>
        <v/>
      </c>
      <c r="L13" s="1">
        <f t="shared" si="1"/>
        <v>0</v>
      </c>
      <c r="M13" t="str">
        <f>IFERROR(VLOOKUP(A13,Duty!A:E,3,FALSE),"")</f>
        <v/>
      </c>
      <c r="N13" t="str">
        <f>IFERROR(VLOOKUP(A13,Duty!A:E,4,FALSE),"")</f>
        <v/>
      </c>
    </row>
    <row r="14" spans="1:15" x14ac:dyDescent="0.25">
      <c r="J14" s="1" t="str">
        <f t="shared" si="0"/>
        <v/>
      </c>
      <c r="K14" s="1" t="str">
        <f>IFERROR(VLOOKUP(A14,Duty!A:E,5,FALSE),"")</f>
        <v/>
      </c>
      <c r="L14" s="1">
        <f t="shared" si="1"/>
        <v>0</v>
      </c>
      <c r="M14" t="str">
        <f>IFERROR(VLOOKUP(A14,Duty!A:E,3,FALSE),"")</f>
        <v/>
      </c>
      <c r="N14" t="str">
        <f>IFERROR(VLOOKUP(A14,Duty!A:E,4,FALSE),"")</f>
        <v/>
      </c>
    </row>
    <row r="15" spans="1:15" x14ac:dyDescent="0.25">
      <c r="J15" s="1" t="str">
        <f t="shared" si="0"/>
        <v/>
      </c>
      <c r="K15" s="1" t="str">
        <f>IFERROR(VLOOKUP(A15,Duty!A:E,5,FALSE),"")</f>
        <v/>
      </c>
      <c r="L15" s="1">
        <f t="shared" si="1"/>
        <v>0</v>
      </c>
      <c r="M15" t="str">
        <f>IFERROR(VLOOKUP(A15,Duty!A:E,3,FALSE),"")</f>
        <v/>
      </c>
      <c r="N15" t="str">
        <f>IFERROR(VLOOKUP(A15,Duty!A:E,4,FALSE),"")</f>
        <v/>
      </c>
    </row>
    <row r="16" spans="1:15" x14ac:dyDescent="0.25">
      <c r="J16" s="1" t="str">
        <f t="shared" si="0"/>
        <v/>
      </c>
      <c r="K16" s="1" t="str">
        <f>IFERROR(VLOOKUP(A16,Duty!A:E,5,FALSE),"")</f>
        <v/>
      </c>
      <c r="L16" s="1">
        <f t="shared" si="1"/>
        <v>0</v>
      </c>
      <c r="M16" t="str">
        <f>IFERROR(VLOOKUP(A16,Duty!A:E,3,FALSE),"")</f>
        <v/>
      </c>
      <c r="N16" t="str">
        <f>IFERROR(VLOOKUP(A16,Duty!A:E,4,FALSE),"")</f>
        <v/>
      </c>
    </row>
    <row r="17" spans="10:14" x14ac:dyDescent="0.25">
      <c r="J17" s="1" t="str">
        <f t="shared" si="0"/>
        <v/>
      </c>
      <c r="K17" s="1" t="str">
        <f>IFERROR(VLOOKUP(A17,Duty!A:E,5,FALSE),"")</f>
        <v/>
      </c>
      <c r="L17" s="1">
        <f t="shared" si="1"/>
        <v>0</v>
      </c>
      <c r="M17" t="str">
        <f>IFERROR(VLOOKUP(A17,Duty!A:E,3,FALSE),"")</f>
        <v/>
      </c>
      <c r="N17" t="str">
        <f>IFERROR(VLOOKUP(A17,Duty!A:E,4,FALSE),"")</f>
        <v/>
      </c>
    </row>
    <row r="18" spans="10:14" x14ac:dyDescent="0.25">
      <c r="J18" s="1" t="str">
        <f t="shared" si="0"/>
        <v/>
      </c>
      <c r="K18" s="1" t="str">
        <f>IFERROR(VLOOKUP(A18,Duty!A:E,5,FALSE),"")</f>
        <v/>
      </c>
      <c r="L18" s="1">
        <f t="shared" si="1"/>
        <v>0</v>
      </c>
      <c r="M18" t="str">
        <f>IFERROR(VLOOKUP(A18,Duty!A:E,3,FALSE),"")</f>
        <v/>
      </c>
      <c r="N18" t="str">
        <f>IFERROR(VLOOKUP(A18,Duty!A:E,4,FALSE),"")</f>
        <v/>
      </c>
    </row>
    <row r="19" spans="10:14" x14ac:dyDescent="0.25">
      <c r="J19" s="1" t="str">
        <f t="shared" si="0"/>
        <v/>
      </c>
      <c r="K19" s="1" t="str">
        <f>IFERROR(VLOOKUP(A19,Duty!A:E,5,FALSE),"")</f>
        <v/>
      </c>
      <c r="L19" s="1">
        <f t="shared" si="1"/>
        <v>0</v>
      </c>
      <c r="M19" t="str">
        <f>IFERROR(VLOOKUP(A19,Duty!A:E,3,FALSE),"")</f>
        <v/>
      </c>
      <c r="N19" t="str">
        <f>IFERROR(VLOOKUP(A19,Duty!A:E,4,FALSE),"")</f>
        <v/>
      </c>
    </row>
    <row r="20" spans="10:14" x14ac:dyDescent="0.25">
      <c r="J20" s="1" t="str">
        <f t="shared" si="0"/>
        <v/>
      </c>
      <c r="K20" s="1" t="str">
        <f>IFERROR(VLOOKUP(A20,Duty!A:E,5,FALSE),"")</f>
        <v/>
      </c>
      <c r="L20" s="1">
        <f t="shared" si="1"/>
        <v>0</v>
      </c>
      <c r="M20" t="str">
        <f>IFERROR(VLOOKUP(A20,Duty!A:E,3,FALSE),"")</f>
        <v/>
      </c>
      <c r="N20" t="str">
        <f>IFERROR(VLOOKUP(A20,Duty!A:E,4,FALSE),"")</f>
        <v/>
      </c>
    </row>
    <row r="21" spans="10:14" x14ac:dyDescent="0.25">
      <c r="J21" s="1" t="str">
        <f t="shared" si="0"/>
        <v/>
      </c>
      <c r="K21" s="1" t="str">
        <f>IFERROR(VLOOKUP(A21,Duty!A:E,5,FALSE),"")</f>
        <v/>
      </c>
      <c r="L21" s="1">
        <f t="shared" si="1"/>
        <v>0</v>
      </c>
      <c r="M21" t="str">
        <f>IFERROR(VLOOKUP(A21,Duty!A:E,3,FALSE),"")</f>
        <v/>
      </c>
      <c r="N21" t="str">
        <f>IFERROR(VLOOKUP(A21,Duty!A:E,4,FALSE),"")</f>
        <v/>
      </c>
    </row>
    <row r="22" spans="10:14" x14ac:dyDescent="0.25">
      <c r="J22" s="1" t="str">
        <f t="shared" si="0"/>
        <v/>
      </c>
      <c r="K22" s="1" t="str">
        <f>IFERROR(VLOOKUP(A22,Duty!A:E,5,FALSE),"")</f>
        <v/>
      </c>
      <c r="L22" s="1">
        <f t="shared" si="1"/>
        <v>0</v>
      </c>
      <c r="M22" t="str">
        <f>IFERROR(VLOOKUP(A22,Duty!A:E,3,FALSE),"")</f>
        <v/>
      </c>
      <c r="N22" t="str">
        <f>IFERROR(VLOOKUP(A22,Duty!A:E,4,FALSE),"")</f>
        <v/>
      </c>
    </row>
    <row r="23" spans="10:14" x14ac:dyDescent="0.25">
      <c r="J23" s="1" t="str">
        <f t="shared" si="0"/>
        <v/>
      </c>
      <c r="K23" s="1" t="str">
        <f>IFERROR(VLOOKUP(A23,Duty!A:E,5,FALSE),"")</f>
        <v/>
      </c>
      <c r="L23" s="1">
        <f t="shared" si="1"/>
        <v>0</v>
      </c>
      <c r="M23" t="str">
        <f>IFERROR(VLOOKUP(A23,Duty!A:E,3,FALSE),"")</f>
        <v/>
      </c>
      <c r="N23" t="str">
        <f>IFERROR(VLOOKUP(A23,Duty!A:E,4,FALSE),"")</f>
        <v/>
      </c>
    </row>
    <row r="24" spans="10:14" x14ac:dyDescent="0.25">
      <c r="J24" s="1" t="str">
        <f t="shared" si="0"/>
        <v/>
      </c>
      <c r="K24" s="1" t="str">
        <f>IFERROR(VLOOKUP(A24,Duty!A:E,5,FALSE),"")</f>
        <v/>
      </c>
      <c r="L24" s="1">
        <f t="shared" si="1"/>
        <v>0</v>
      </c>
      <c r="M24" t="str">
        <f>IFERROR(VLOOKUP(A24,Duty!A:E,3,FALSE),"")</f>
        <v/>
      </c>
      <c r="N24" t="str">
        <f>IFERROR(VLOOKUP(A24,Duty!A:E,4,FALSE),"")</f>
        <v/>
      </c>
    </row>
    <row r="25" spans="10:14" x14ac:dyDescent="0.25">
      <c r="J25" s="1" t="str">
        <f t="shared" si="0"/>
        <v/>
      </c>
      <c r="K25" s="1" t="str">
        <f>IFERROR(VLOOKUP(A25,Duty!A:E,5,FALSE),"")</f>
        <v/>
      </c>
      <c r="L25" s="1">
        <f t="shared" si="1"/>
        <v>0</v>
      </c>
      <c r="M25" t="str">
        <f>IFERROR(VLOOKUP(A25,Duty!A:E,3,FALSE),"")</f>
        <v/>
      </c>
      <c r="N25" t="str">
        <f>IFERROR(VLOOKUP(A25,Duty!A:E,4,FALSE),"")</f>
        <v/>
      </c>
    </row>
    <row r="26" spans="10:14" x14ac:dyDescent="0.25">
      <c r="J26" s="1" t="str">
        <f t="shared" si="0"/>
        <v/>
      </c>
      <c r="K26" s="1" t="str">
        <f>IFERROR(VLOOKUP(A26,Duty!A:E,5,FALSE),"")</f>
        <v/>
      </c>
      <c r="L26" s="1">
        <f t="shared" si="1"/>
        <v>0</v>
      </c>
      <c r="M26" t="str">
        <f>IFERROR(VLOOKUP(A26,Duty!A:E,3,FALSE),"")</f>
        <v/>
      </c>
      <c r="N26" t="str">
        <f>IFERROR(VLOOKUP(A26,Duty!A:E,4,FALSE),"")</f>
        <v/>
      </c>
    </row>
    <row r="27" spans="10:14" x14ac:dyDescent="0.25">
      <c r="J27" s="1" t="str">
        <f t="shared" si="0"/>
        <v/>
      </c>
      <c r="K27" s="1" t="str">
        <f>IFERROR(VLOOKUP(A27,Duty!A:E,5,FALSE),"")</f>
        <v/>
      </c>
      <c r="L27" s="1">
        <f t="shared" si="1"/>
        <v>0</v>
      </c>
      <c r="M27" t="str">
        <f>IFERROR(VLOOKUP(A27,Duty!A:E,3,FALSE),"")</f>
        <v/>
      </c>
      <c r="N27" t="str">
        <f>IFERROR(VLOOKUP(A27,Duty!A:E,4,FALSE),"")</f>
        <v/>
      </c>
    </row>
    <row r="28" spans="10:14" x14ac:dyDescent="0.25">
      <c r="J28" s="1" t="str">
        <f t="shared" si="0"/>
        <v/>
      </c>
      <c r="K28" s="1" t="str">
        <f>IFERROR(VLOOKUP(A28,Duty!A:E,5,FALSE),"")</f>
        <v/>
      </c>
      <c r="L28" s="1">
        <f t="shared" si="1"/>
        <v>0</v>
      </c>
      <c r="M28" t="str">
        <f>IFERROR(VLOOKUP(A28,Duty!A:E,3,FALSE),"")</f>
        <v/>
      </c>
      <c r="N28" t="str">
        <f>IFERROR(VLOOKUP(A28,Duty!A:E,4,FALSE),"")</f>
        <v/>
      </c>
    </row>
    <row r="29" spans="10:14" x14ac:dyDescent="0.25">
      <c r="J29" s="1" t="str">
        <f t="shared" si="0"/>
        <v/>
      </c>
      <c r="K29" s="1" t="str">
        <f>IFERROR(VLOOKUP(A29,Duty!A:E,5,FALSE),"")</f>
        <v/>
      </c>
      <c r="L29" s="1">
        <f t="shared" si="1"/>
        <v>0</v>
      </c>
      <c r="M29" t="str">
        <f>IFERROR(VLOOKUP(A29,Duty!A:E,3,FALSE),"")</f>
        <v/>
      </c>
      <c r="N29" t="str">
        <f>IFERROR(VLOOKUP(A29,Duty!A:E,4,FALSE),"")</f>
        <v/>
      </c>
    </row>
    <row r="30" spans="10:14" x14ac:dyDescent="0.25">
      <c r="J30" s="1" t="str">
        <f t="shared" si="0"/>
        <v/>
      </c>
      <c r="K30" s="1" t="str">
        <f>IFERROR(VLOOKUP(A30,Duty!A:E,5,FALSE),"")</f>
        <v/>
      </c>
      <c r="L30" s="1">
        <f t="shared" si="1"/>
        <v>0</v>
      </c>
      <c r="M30" t="str">
        <f>IFERROR(VLOOKUP(A30,Duty!A:E,3,FALSE),"")</f>
        <v/>
      </c>
      <c r="N30" t="str">
        <f>IFERROR(VLOOKUP(A30,Duty!A:E,4,FALSE),"")</f>
        <v/>
      </c>
    </row>
    <row r="31" spans="10:14" x14ac:dyDescent="0.25">
      <c r="J31" s="1" t="str">
        <f t="shared" si="0"/>
        <v/>
      </c>
      <c r="K31" s="1" t="str">
        <f>IFERROR(VLOOKUP(A31,Duty!A:E,5,FALSE),"")</f>
        <v/>
      </c>
      <c r="L31" s="1">
        <f t="shared" si="1"/>
        <v>0</v>
      </c>
      <c r="M31" t="str">
        <f>IFERROR(VLOOKUP(A31,Duty!A:E,3,FALSE),"")</f>
        <v/>
      </c>
      <c r="N31" t="str">
        <f>IFERROR(VLOOKUP(A31,Duty!A:E,4,FALSE),"")</f>
        <v/>
      </c>
    </row>
    <row r="32" spans="10:14" x14ac:dyDescent="0.25">
      <c r="J32" s="1" t="str">
        <f t="shared" si="0"/>
        <v/>
      </c>
      <c r="K32" s="1" t="str">
        <f>IFERROR(VLOOKUP(A32,Duty!A:E,5,FALSE),"")</f>
        <v/>
      </c>
      <c r="L32" s="1">
        <f t="shared" si="1"/>
        <v>0</v>
      </c>
      <c r="M32" t="str">
        <f>IFERROR(VLOOKUP(A32,Duty!A:E,3,FALSE),"")</f>
        <v/>
      </c>
      <c r="N32" t="str">
        <f>IFERROR(VLOOKUP(A32,Duty!A:E,4,FALSE),"")</f>
        <v/>
      </c>
    </row>
    <row r="33" spans="10:14" x14ac:dyDescent="0.25">
      <c r="J33" s="1" t="str">
        <f t="shared" si="0"/>
        <v/>
      </c>
      <c r="K33" s="1" t="str">
        <f>IFERROR(VLOOKUP(A33,Duty!A:E,5,FALSE),"")</f>
        <v/>
      </c>
      <c r="L33" s="1">
        <f t="shared" si="1"/>
        <v>0</v>
      </c>
      <c r="M33" t="str">
        <f>IFERROR(VLOOKUP(A33,Duty!A:E,3,FALSE),"")</f>
        <v/>
      </c>
      <c r="N33" t="str">
        <f>IFERROR(VLOOKUP(A33,Duty!A:E,4,FALSE),"")</f>
        <v/>
      </c>
    </row>
    <row r="34" spans="10:14" x14ac:dyDescent="0.25">
      <c r="J34" s="1" t="str">
        <f t="shared" si="0"/>
        <v/>
      </c>
      <c r="K34" s="1" t="str">
        <f>IFERROR(VLOOKUP(A34,Duty!A:E,5,FALSE),"")</f>
        <v/>
      </c>
      <c r="L34" s="1">
        <f t="shared" si="1"/>
        <v>0</v>
      </c>
      <c r="M34" t="str">
        <f>IFERROR(VLOOKUP(A34,Duty!A:E,3,FALSE),"")</f>
        <v/>
      </c>
      <c r="N34" t="str">
        <f>IFERROR(VLOOKUP(A34,Duty!A:E,4,FALSE),"")</f>
        <v/>
      </c>
    </row>
    <row r="35" spans="10:14" x14ac:dyDescent="0.25">
      <c r="J35" s="1" t="str">
        <f t="shared" si="0"/>
        <v/>
      </c>
      <c r="K35" s="1" t="str">
        <f>IFERROR(VLOOKUP(A35,Duty!A:E,5,FALSE),"")</f>
        <v/>
      </c>
      <c r="L35" s="1">
        <f t="shared" si="1"/>
        <v>0</v>
      </c>
      <c r="M35" t="str">
        <f>IFERROR(VLOOKUP(A35,Duty!A:E,3,FALSE),"")</f>
        <v/>
      </c>
      <c r="N35" t="str">
        <f>IFERROR(VLOOKUP(A35,Duty!A:E,4,FALSE),"")</f>
        <v/>
      </c>
    </row>
    <row r="36" spans="10:14" x14ac:dyDescent="0.25">
      <c r="J36" s="1" t="str">
        <f t="shared" si="0"/>
        <v/>
      </c>
      <c r="K36" s="1" t="str">
        <f>IFERROR(VLOOKUP(A36,Duty!A:E,5,FALSE),"")</f>
        <v/>
      </c>
      <c r="L36" s="1">
        <f t="shared" si="1"/>
        <v>0</v>
      </c>
      <c r="M36" t="str">
        <f>IFERROR(VLOOKUP(A36,Duty!A:E,3,FALSE),"")</f>
        <v/>
      </c>
      <c r="N36" t="str">
        <f>IFERROR(VLOOKUP(A36,Duty!A:E,4,FALSE),"")</f>
        <v/>
      </c>
    </row>
    <row r="37" spans="10:14" x14ac:dyDescent="0.25">
      <c r="J37" s="1" t="str">
        <f t="shared" si="0"/>
        <v/>
      </c>
      <c r="K37" s="1" t="str">
        <f>IFERROR(VLOOKUP(A37,Duty!A:E,5,FALSE),"")</f>
        <v/>
      </c>
      <c r="L37" s="1">
        <f t="shared" si="1"/>
        <v>0</v>
      </c>
      <c r="M37" t="str">
        <f>IFERROR(VLOOKUP(A37,Duty!A:E,3,FALSE),"")</f>
        <v/>
      </c>
      <c r="N37" t="str">
        <f>IFERROR(VLOOKUP(A37,Duty!A:E,4,FALSE),"")</f>
        <v/>
      </c>
    </row>
    <row r="38" spans="10:14" x14ac:dyDescent="0.25">
      <c r="J38" s="1" t="str">
        <f t="shared" si="0"/>
        <v/>
      </c>
      <c r="K38" s="1" t="str">
        <f>IFERROR(VLOOKUP(A38,Duty!A:E,5,FALSE),"")</f>
        <v/>
      </c>
      <c r="L38" s="1">
        <f t="shared" si="1"/>
        <v>0</v>
      </c>
      <c r="M38" t="str">
        <f>IFERROR(VLOOKUP(A38,Duty!A:E,3,FALSE),"")</f>
        <v/>
      </c>
      <c r="N38" t="str">
        <f>IFERROR(VLOOKUP(A38,Duty!A:E,4,FALSE),"")</f>
        <v/>
      </c>
    </row>
    <row r="39" spans="10:14" x14ac:dyDescent="0.25">
      <c r="J39" s="1" t="str">
        <f t="shared" si="0"/>
        <v/>
      </c>
      <c r="K39" s="1" t="str">
        <f>IFERROR(VLOOKUP(A39,Duty!A:E,5,FALSE),"")</f>
        <v/>
      </c>
      <c r="L39" s="1">
        <f t="shared" si="1"/>
        <v>0</v>
      </c>
      <c r="M39" t="str">
        <f>IFERROR(VLOOKUP(A39,Duty!A:E,3,FALSE),"")</f>
        <v/>
      </c>
      <c r="N39" t="str">
        <f>IFERROR(VLOOKUP(A39,Duty!A:E,4,FALSE),"")</f>
        <v/>
      </c>
    </row>
    <row r="40" spans="10:14" x14ac:dyDescent="0.25">
      <c r="J40" s="1" t="str">
        <f t="shared" si="0"/>
        <v/>
      </c>
      <c r="K40" s="1" t="str">
        <f>IFERROR(VLOOKUP(A40,Duty!A:E,5,FALSE),"")</f>
        <v/>
      </c>
      <c r="L40" s="1">
        <f t="shared" si="1"/>
        <v>0</v>
      </c>
      <c r="M40" t="str">
        <f>IFERROR(VLOOKUP(A40,Duty!A:E,3,FALSE),"")</f>
        <v/>
      </c>
      <c r="N40" t="str">
        <f>IFERROR(VLOOKUP(A40,Duty!A:E,4,FALSE),"")</f>
        <v/>
      </c>
    </row>
    <row r="41" spans="10:14" x14ac:dyDescent="0.25">
      <c r="J41" s="1" t="str">
        <f t="shared" si="0"/>
        <v/>
      </c>
      <c r="K41" s="1" t="str">
        <f>IFERROR(VLOOKUP(A41,Duty!A:E,5,FALSE),"")</f>
        <v/>
      </c>
      <c r="L41" s="1">
        <f t="shared" si="1"/>
        <v>0</v>
      </c>
      <c r="M41" t="str">
        <f>IFERROR(VLOOKUP(A41,Duty!A:E,3,FALSE),"")</f>
        <v/>
      </c>
      <c r="N41" t="str">
        <f>IFERROR(VLOOKUP(A41,Duty!A:E,4,FALSE),"")</f>
        <v/>
      </c>
    </row>
    <row r="42" spans="10:14" x14ac:dyDescent="0.25">
      <c r="J42" s="1" t="str">
        <f t="shared" si="0"/>
        <v/>
      </c>
      <c r="K42" s="1" t="str">
        <f>IFERROR(VLOOKUP(A42,Duty!A:E,5,FALSE),"")</f>
        <v/>
      </c>
      <c r="L42" s="1">
        <f t="shared" si="1"/>
        <v>0</v>
      </c>
      <c r="M42" t="str">
        <f>IFERROR(VLOOKUP(A42,Duty!A:E,3,FALSE),"")</f>
        <v/>
      </c>
      <c r="N42" t="str">
        <f>IFERROR(VLOOKUP(A42,Duty!A:E,4,FALSE),"")</f>
        <v/>
      </c>
    </row>
    <row r="43" spans="10:14" x14ac:dyDescent="0.25">
      <c r="J43" s="1" t="str">
        <f t="shared" si="0"/>
        <v/>
      </c>
      <c r="K43" s="1" t="str">
        <f>IFERROR(VLOOKUP(A43,Duty!A:E,5,FALSE),"")</f>
        <v/>
      </c>
      <c r="L43" s="1">
        <f t="shared" si="1"/>
        <v>0</v>
      </c>
      <c r="M43" t="str">
        <f>IFERROR(VLOOKUP(A43,Duty!A:E,3,FALSE),"")</f>
        <v/>
      </c>
      <c r="N43" t="str">
        <f>IFERROR(VLOOKUP(A43,Duty!A:E,4,FALSE),"")</f>
        <v/>
      </c>
    </row>
    <row r="44" spans="10:14" x14ac:dyDescent="0.25">
      <c r="J44" s="1" t="str">
        <f t="shared" si="0"/>
        <v/>
      </c>
      <c r="K44" s="1" t="str">
        <f>IFERROR(VLOOKUP(A44,Duty!A:E,5,FALSE),"")</f>
        <v/>
      </c>
      <c r="L44" s="1">
        <f t="shared" si="1"/>
        <v>0</v>
      </c>
      <c r="M44" t="str">
        <f>IFERROR(VLOOKUP(A44,Duty!A:E,3,FALSE),"")</f>
        <v/>
      </c>
      <c r="N44" t="str">
        <f>IFERROR(VLOOKUP(A44,Duty!A:E,4,FALSE),"")</f>
        <v/>
      </c>
    </row>
    <row r="45" spans="10:14" x14ac:dyDescent="0.25">
      <c r="J45" s="1" t="str">
        <f t="shared" si="0"/>
        <v/>
      </c>
      <c r="K45" s="1" t="str">
        <f>IFERROR(VLOOKUP(A45,Duty!A:E,5,FALSE),"")</f>
        <v/>
      </c>
      <c r="L45" s="1">
        <f t="shared" si="1"/>
        <v>0</v>
      </c>
      <c r="M45" t="str">
        <f>IFERROR(VLOOKUP(A45,Duty!A:E,3,FALSE),"")</f>
        <v/>
      </c>
      <c r="N45" t="str">
        <f>IFERROR(VLOOKUP(A45,Duty!A:E,4,FALSE),"")</f>
        <v/>
      </c>
    </row>
    <row r="46" spans="10:14" x14ac:dyDescent="0.25">
      <c r="J46" s="1" t="str">
        <f t="shared" si="0"/>
        <v/>
      </c>
      <c r="K46" s="1" t="str">
        <f>IFERROR(VLOOKUP(A46,Duty!A:E,5,FALSE),"")</f>
        <v/>
      </c>
      <c r="L46" s="1">
        <f t="shared" si="1"/>
        <v>0</v>
      </c>
      <c r="M46" t="str">
        <f>IFERROR(VLOOKUP(A46,Duty!A:E,3,FALSE),"")</f>
        <v/>
      </c>
      <c r="N46" t="str">
        <f>IFERROR(VLOOKUP(A46,Duty!A:E,4,FALSE),"")</f>
        <v/>
      </c>
    </row>
    <row r="47" spans="10:14" x14ac:dyDescent="0.25">
      <c r="J47" s="1" t="str">
        <f t="shared" si="0"/>
        <v/>
      </c>
      <c r="K47" s="1" t="str">
        <f>IFERROR(VLOOKUP(A47,Duty!A:E,5,FALSE),"")</f>
        <v/>
      </c>
      <c r="L47" s="1">
        <f t="shared" si="1"/>
        <v>0</v>
      </c>
      <c r="M47" t="str">
        <f>IFERROR(VLOOKUP(A47,Duty!A:E,3,FALSE),"")</f>
        <v/>
      </c>
      <c r="N47" t="str">
        <f>IFERROR(VLOOKUP(A47,Duty!A:E,4,FALSE),"")</f>
        <v/>
      </c>
    </row>
    <row r="48" spans="10:14" x14ac:dyDescent="0.25">
      <c r="J48" s="1" t="str">
        <f t="shared" si="0"/>
        <v/>
      </c>
      <c r="K48" s="1" t="str">
        <f>IFERROR(VLOOKUP(A48,Duty!A:E,5,FALSE),"")</f>
        <v/>
      </c>
      <c r="L48" s="1">
        <f t="shared" si="1"/>
        <v>0</v>
      </c>
      <c r="M48" t="str">
        <f>IFERROR(VLOOKUP(A48,Duty!A:E,3,FALSE),"")</f>
        <v/>
      </c>
      <c r="N48" t="str">
        <f>IFERROR(VLOOKUP(A48,Duty!A:E,4,FALSE),"")</f>
        <v/>
      </c>
    </row>
    <row r="49" spans="10:14" x14ac:dyDescent="0.25">
      <c r="J49" s="1" t="str">
        <f t="shared" si="0"/>
        <v/>
      </c>
      <c r="K49" s="1" t="str">
        <f>IFERROR(VLOOKUP(A49,Duty!A:E,5,FALSE),"")</f>
        <v/>
      </c>
      <c r="L49" s="1">
        <f t="shared" si="1"/>
        <v>0</v>
      </c>
      <c r="M49" t="str">
        <f>IFERROR(VLOOKUP(A49,Duty!A:E,3,FALSE),"")</f>
        <v/>
      </c>
      <c r="N49" t="str">
        <f>IFERROR(VLOOKUP(A49,Duty!A:E,4,FALSE),"")</f>
        <v/>
      </c>
    </row>
    <row r="50" spans="10:14" x14ac:dyDescent="0.25">
      <c r="J50" s="1" t="str">
        <f t="shared" si="0"/>
        <v/>
      </c>
      <c r="K50" s="1" t="str">
        <f>IFERROR(VLOOKUP(A50,Duty!A:E,5,FALSE),"")</f>
        <v/>
      </c>
      <c r="L50" s="1">
        <f t="shared" si="1"/>
        <v>0</v>
      </c>
      <c r="M50" t="str">
        <f>IFERROR(VLOOKUP(A50,Duty!A:E,3,FALSE),"")</f>
        <v/>
      </c>
      <c r="N50" t="str">
        <f>IFERROR(VLOOKUP(A50,Duty!A:E,4,FALSE),"")</f>
        <v/>
      </c>
    </row>
    <row r="51" spans="10:14" x14ac:dyDescent="0.25">
      <c r="J51" s="1" t="str">
        <f t="shared" si="0"/>
        <v/>
      </c>
      <c r="K51" s="1" t="str">
        <f>IFERROR(VLOOKUP(A51,Duty!A:E,5,FALSE),"")</f>
        <v/>
      </c>
      <c r="L51" s="1">
        <f t="shared" si="1"/>
        <v>0</v>
      </c>
      <c r="M51" t="str">
        <f>IFERROR(VLOOKUP(A51,Duty!A:E,3,FALSE),"")</f>
        <v/>
      </c>
      <c r="N51" t="str">
        <f>IFERROR(VLOOKUP(A51,Duty!A:E,4,FALSE),"")</f>
        <v/>
      </c>
    </row>
    <row r="52" spans="10:14" x14ac:dyDescent="0.25">
      <c r="J52" s="1" t="str">
        <f t="shared" si="0"/>
        <v/>
      </c>
      <c r="K52" s="1" t="str">
        <f>IFERROR(VLOOKUP(A52,Duty!A:E,5,FALSE),"")</f>
        <v/>
      </c>
      <c r="L52" s="1">
        <f t="shared" si="1"/>
        <v>0</v>
      </c>
      <c r="M52" t="str">
        <f>IFERROR(VLOOKUP(A52,Duty!A:E,3,FALSE),"")</f>
        <v/>
      </c>
      <c r="N52" t="str">
        <f>IFERROR(VLOOKUP(A52,Duty!A:E,4,FALSE),"")</f>
        <v/>
      </c>
    </row>
    <row r="53" spans="10:14" x14ac:dyDescent="0.25">
      <c r="J53" s="1" t="str">
        <f t="shared" si="0"/>
        <v/>
      </c>
      <c r="K53" s="1" t="str">
        <f>IFERROR(VLOOKUP(A53,Duty!A:E,5,FALSE),"")</f>
        <v/>
      </c>
      <c r="L53" s="1">
        <f t="shared" si="1"/>
        <v>0</v>
      </c>
      <c r="M53" t="str">
        <f>IFERROR(VLOOKUP(A53,Duty!A:E,3,FALSE),"")</f>
        <v/>
      </c>
      <c r="N53" t="str">
        <f>IFERROR(VLOOKUP(A53,Duty!A:E,4,FALSE),"")</f>
        <v/>
      </c>
    </row>
    <row r="54" spans="10:14" x14ac:dyDescent="0.25">
      <c r="J54" s="1" t="str">
        <f t="shared" si="0"/>
        <v/>
      </c>
      <c r="K54" s="1" t="str">
        <f>IFERROR(VLOOKUP(A54,Duty!A:E,5,FALSE),"")</f>
        <v/>
      </c>
      <c r="L54" s="1">
        <f t="shared" si="1"/>
        <v>0</v>
      </c>
      <c r="M54" t="str">
        <f>IFERROR(VLOOKUP(A54,Duty!A:E,3,FALSE),"")</f>
        <v/>
      </c>
      <c r="N54" t="str">
        <f>IFERROR(VLOOKUP(A54,Duty!A:E,4,FALSE),"")</f>
        <v/>
      </c>
    </row>
    <row r="55" spans="10:14" x14ac:dyDescent="0.25">
      <c r="J55" s="1" t="str">
        <f t="shared" si="0"/>
        <v/>
      </c>
      <c r="K55" s="1" t="str">
        <f>IFERROR(VLOOKUP(A55,Duty!A:E,5,FALSE),"")</f>
        <v/>
      </c>
      <c r="L55" s="1">
        <f t="shared" si="1"/>
        <v>0</v>
      </c>
      <c r="M55" t="str">
        <f>IFERROR(VLOOKUP(A55,Duty!A:E,3,FALSE),"")</f>
        <v/>
      </c>
      <c r="N55" t="str">
        <f>IFERROR(VLOOKUP(A55,Duty!A:E,4,FALSE),"")</f>
        <v/>
      </c>
    </row>
    <row r="56" spans="10:14" x14ac:dyDescent="0.25">
      <c r="J56" s="1" t="str">
        <f t="shared" si="0"/>
        <v/>
      </c>
      <c r="K56" s="1" t="str">
        <f>IFERROR(VLOOKUP(A56,Duty!A:E,5,FALSE),"")</f>
        <v/>
      </c>
      <c r="L56" s="1">
        <f t="shared" si="1"/>
        <v>0</v>
      </c>
      <c r="M56" t="str">
        <f>IFERROR(VLOOKUP(A56,Duty!A:E,3,FALSE),"")</f>
        <v/>
      </c>
      <c r="N56" t="str">
        <f>IFERROR(VLOOKUP(A56,Duty!A:E,4,FALSE),"")</f>
        <v/>
      </c>
    </row>
    <row r="57" spans="10:14" x14ac:dyDescent="0.25">
      <c r="J57" s="1" t="str">
        <f t="shared" si="0"/>
        <v/>
      </c>
      <c r="K57" s="1" t="str">
        <f>IFERROR(VLOOKUP(A57,Duty!A:E,5,FALSE),"")</f>
        <v/>
      </c>
      <c r="L57" s="1">
        <f t="shared" si="1"/>
        <v>0</v>
      </c>
      <c r="M57" t="str">
        <f>IFERROR(VLOOKUP(A57,Duty!A:E,3,FALSE),"")</f>
        <v/>
      </c>
      <c r="N57" t="str">
        <f>IFERROR(VLOOKUP(A57,Duty!A:E,4,FALSE),"")</f>
        <v/>
      </c>
    </row>
    <row r="58" spans="10:14" x14ac:dyDescent="0.25">
      <c r="J58" s="1" t="str">
        <f t="shared" si="0"/>
        <v/>
      </c>
      <c r="K58" s="1" t="str">
        <f>IFERROR(VLOOKUP(A58,Duty!A:E,5,FALSE),"")</f>
        <v/>
      </c>
      <c r="L58" s="1">
        <f t="shared" si="1"/>
        <v>0</v>
      </c>
      <c r="M58" t="str">
        <f>IFERROR(VLOOKUP(A58,Duty!A:E,3,FALSE),"")</f>
        <v/>
      </c>
      <c r="N58" t="str">
        <f>IFERROR(VLOOKUP(A58,Duty!A:E,4,FALSE),"")</f>
        <v/>
      </c>
    </row>
    <row r="59" spans="10:14" x14ac:dyDescent="0.25">
      <c r="J59" s="1" t="str">
        <f t="shared" si="0"/>
        <v/>
      </c>
      <c r="K59" s="1" t="str">
        <f>IFERROR(VLOOKUP(A59,Duty!A:E,5,FALSE),"")</f>
        <v/>
      </c>
      <c r="L59" s="1">
        <f t="shared" si="1"/>
        <v>0</v>
      </c>
      <c r="M59" t="str">
        <f>IFERROR(VLOOKUP(A59,Duty!A:E,3,FALSE),"")</f>
        <v/>
      </c>
      <c r="N59" t="str">
        <f>IFERROR(VLOOKUP(A59,Duty!A:E,4,FALSE),"")</f>
        <v/>
      </c>
    </row>
    <row r="60" spans="10:14" x14ac:dyDescent="0.25">
      <c r="J60" s="1" t="str">
        <f t="shared" si="0"/>
        <v/>
      </c>
      <c r="K60" s="1" t="str">
        <f>IFERROR(VLOOKUP(A60,Duty!A:E,5,FALSE),"")</f>
        <v/>
      </c>
      <c r="L60" s="1">
        <f t="shared" si="1"/>
        <v>0</v>
      </c>
      <c r="M60" t="str">
        <f>IFERROR(VLOOKUP(A60,Duty!A:E,3,FALSE),"")</f>
        <v/>
      </c>
      <c r="N60" t="str">
        <f>IFERROR(VLOOKUP(A60,Duty!A:E,4,FALSE),"")</f>
        <v/>
      </c>
    </row>
    <row r="61" spans="10:14" x14ac:dyDescent="0.25">
      <c r="J61" s="1" t="str">
        <f t="shared" si="0"/>
        <v/>
      </c>
      <c r="K61" s="1" t="str">
        <f>IFERROR(VLOOKUP(A61,Duty!A:E,5,FALSE),"")</f>
        <v/>
      </c>
      <c r="L61" s="1">
        <f t="shared" si="1"/>
        <v>0</v>
      </c>
      <c r="M61" t="str">
        <f>IFERROR(VLOOKUP(A61,Duty!A:E,3,FALSE),"")</f>
        <v/>
      </c>
      <c r="N61" t="str">
        <f>IFERROR(VLOOKUP(A61,Duty!A:E,4,FALSE),"")</f>
        <v/>
      </c>
    </row>
    <row r="62" spans="10:14" x14ac:dyDescent="0.25">
      <c r="J62" s="1" t="str">
        <f t="shared" si="0"/>
        <v/>
      </c>
      <c r="K62" s="1" t="str">
        <f>IFERROR(VLOOKUP(A62,Duty!A:E,5,FALSE),"")</f>
        <v/>
      </c>
      <c r="L62" s="1">
        <f t="shared" si="1"/>
        <v>0</v>
      </c>
      <c r="M62" t="str">
        <f>IFERROR(VLOOKUP(A62,Duty!A:E,3,FALSE),"")</f>
        <v/>
      </c>
      <c r="N62" t="str">
        <f>IFERROR(VLOOKUP(A62,Duty!A:E,4,FALSE),"")</f>
        <v/>
      </c>
    </row>
    <row r="63" spans="10:14" x14ac:dyDescent="0.25">
      <c r="J63" s="1" t="str">
        <f t="shared" si="0"/>
        <v/>
      </c>
      <c r="K63" s="1" t="str">
        <f>IFERROR(VLOOKUP(A63,Duty!A:E,5,FALSE),"")</f>
        <v/>
      </c>
      <c r="L63" s="1">
        <f t="shared" si="1"/>
        <v>0</v>
      </c>
      <c r="M63" t="str">
        <f>IFERROR(VLOOKUP(A63,Duty!A:E,3,FALSE),"")</f>
        <v/>
      </c>
      <c r="N63" t="str">
        <f>IFERROR(VLOOKUP(A63,Duty!A:E,4,FALSE),"")</f>
        <v/>
      </c>
    </row>
    <row r="64" spans="10:14" x14ac:dyDescent="0.25">
      <c r="J64" s="1" t="str">
        <f t="shared" si="0"/>
        <v/>
      </c>
      <c r="K64" s="1" t="str">
        <f>IFERROR(VLOOKUP(A64,Duty!A:E,5,FALSE),"")</f>
        <v/>
      </c>
      <c r="L64" s="1">
        <f t="shared" si="1"/>
        <v>0</v>
      </c>
      <c r="M64" t="str">
        <f>IFERROR(VLOOKUP(A64,Duty!A:E,3,FALSE),"")</f>
        <v/>
      </c>
      <c r="N64" t="str">
        <f>IFERROR(VLOOKUP(A64,Duty!A:E,4,FALSE),"")</f>
        <v/>
      </c>
    </row>
    <row r="65" spans="10:14" x14ac:dyDescent="0.25">
      <c r="J65" s="1" t="str">
        <f t="shared" si="0"/>
        <v/>
      </c>
      <c r="K65" s="1" t="str">
        <f>IFERROR(VLOOKUP(A65,Duty!A:E,5,FALSE),"")</f>
        <v/>
      </c>
      <c r="L65" s="1">
        <f t="shared" si="1"/>
        <v>0</v>
      </c>
      <c r="M65" t="str">
        <f>IFERROR(VLOOKUP(A65,Duty!A:E,3,FALSE),"")</f>
        <v/>
      </c>
      <c r="N65" t="str">
        <f>IFERROR(VLOOKUP(A65,Duty!A:E,4,FALSE),"")</f>
        <v/>
      </c>
    </row>
    <row r="66" spans="10:14" x14ac:dyDescent="0.25">
      <c r="J66" s="1" t="str">
        <f t="shared" si="0"/>
        <v/>
      </c>
      <c r="K66" s="1" t="str">
        <f>IFERROR(VLOOKUP(A66,Duty!A:E,5,FALSE),"")</f>
        <v/>
      </c>
      <c r="L66" s="1">
        <f t="shared" si="1"/>
        <v>0</v>
      </c>
      <c r="M66" t="str">
        <f>IFERROR(VLOOKUP(A66,Duty!A:E,3,FALSE),"")</f>
        <v/>
      </c>
      <c r="N66" t="str">
        <f>IFERROR(VLOOKUP(A66,Duty!A:E,4,FALSE),"")</f>
        <v/>
      </c>
    </row>
    <row r="67" spans="10:14" x14ac:dyDescent="0.25">
      <c r="J67" s="1" t="str">
        <f t="shared" ref="J67:J121" si="2">IFERROR(MID(C67,IFERROR(FIND("MCX",C67,1),FIND("MCY",C67,1)),8),"")</f>
        <v/>
      </c>
      <c r="K67" s="1" t="str">
        <f>IFERROR(VLOOKUP(A67,Duty!A:E,5,FALSE),"")</f>
        <v/>
      </c>
      <c r="L67" s="1">
        <f t="shared" ref="L67:L121" si="3">IFERROR(D67,"")</f>
        <v>0</v>
      </c>
      <c r="M67" t="str">
        <f>IFERROR(VLOOKUP(A67,Duty!A:E,3,FALSE),"")</f>
        <v/>
      </c>
      <c r="N67" t="str">
        <f>IFERROR(VLOOKUP(A67,Duty!A:E,4,FALSE),"")</f>
        <v/>
      </c>
    </row>
    <row r="68" spans="10:14" x14ac:dyDescent="0.25">
      <c r="J68" s="1" t="str">
        <f t="shared" si="2"/>
        <v/>
      </c>
      <c r="K68" s="1" t="str">
        <f>IFERROR(VLOOKUP(A68,Duty!A:E,5,FALSE),"")</f>
        <v/>
      </c>
      <c r="L68" s="1">
        <f t="shared" si="3"/>
        <v>0</v>
      </c>
      <c r="M68" t="str">
        <f>IFERROR(VLOOKUP(A68,Duty!A:E,3,FALSE),"")</f>
        <v/>
      </c>
      <c r="N68" t="str">
        <f>IFERROR(VLOOKUP(A68,Duty!A:E,4,FALSE),"")</f>
        <v/>
      </c>
    </row>
    <row r="69" spans="10:14" x14ac:dyDescent="0.25">
      <c r="J69" s="1" t="str">
        <f t="shared" si="2"/>
        <v/>
      </c>
      <c r="K69" s="1" t="str">
        <f>IFERROR(VLOOKUP(A69,Duty!A:E,5,FALSE),"")</f>
        <v/>
      </c>
      <c r="L69" s="1">
        <f t="shared" si="3"/>
        <v>0</v>
      </c>
      <c r="M69" t="str">
        <f>IFERROR(VLOOKUP(A69,Duty!A:E,3,FALSE),"")</f>
        <v/>
      </c>
      <c r="N69" t="str">
        <f>IFERROR(VLOOKUP(A69,Duty!A:E,4,FALSE),"")</f>
        <v/>
      </c>
    </row>
    <row r="70" spans="10:14" x14ac:dyDescent="0.25">
      <c r="J70" s="1" t="str">
        <f t="shared" si="2"/>
        <v/>
      </c>
      <c r="K70" s="1" t="str">
        <f>IFERROR(VLOOKUP(A70,Duty!A:E,5,FALSE),"")</f>
        <v/>
      </c>
      <c r="L70" s="1">
        <f t="shared" si="3"/>
        <v>0</v>
      </c>
      <c r="M70" t="str">
        <f>IFERROR(VLOOKUP(A70,Duty!A:E,3,FALSE),"")</f>
        <v/>
      </c>
      <c r="N70" t="str">
        <f>IFERROR(VLOOKUP(A70,Duty!A:E,4,FALSE),"")</f>
        <v/>
      </c>
    </row>
    <row r="71" spans="10:14" x14ac:dyDescent="0.25">
      <c r="J71" s="1" t="str">
        <f t="shared" si="2"/>
        <v/>
      </c>
      <c r="K71" s="1" t="str">
        <f>IFERROR(VLOOKUP(A71,Duty!A:E,5,FALSE),"")</f>
        <v/>
      </c>
      <c r="L71" s="1">
        <f t="shared" si="3"/>
        <v>0</v>
      </c>
      <c r="M71" t="str">
        <f>IFERROR(VLOOKUP(A71,Duty!A:E,3,FALSE),"")</f>
        <v/>
      </c>
      <c r="N71" t="str">
        <f>IFERROR(VLOOKUP(A71,Duty!A:E,4,FALSE),"")</f>
        <v/>
      </c>
    </row>
    <row r="72" spans="10:14" x14ac:dyDescent="0.25">
      <c r="J72" s="1" t="str">
        <f t="shared" si="2"/>
        <v/>
      </c>
      <c r="K72" s="1" t="str">
        <f>IFERROR(VLOOKUP(A72,Duty!A:E,5,FALSE),"")</f>
        <v/>
      </c>
      <c r="L72" s="1">
        <f t="shared" si="3"/>
        <v>0</v>
      </c>
      <c r="M72" t="str">
        <f>IFERROR(VLOOKUP(A72,Duty!A:E,3,FALSE),"")</f>
        <v/>
      </c>
      <c r="N72" t="str">
        <f>IFERROR(VLOOKUP(A72,Duty!A:E,4,FALSE),"")</f>
        <v/>
      </c>
    </row>
    <row r="73" spans="10:14" x14ac:dyDescent="0.25">
      <c r="J73" s="1" t="str">
        <f t="shared" si="2"/>
        <v/>
      </c>
      <c r="K73" s="1" t="str">
        <f>IFERROR(VLOOKUP(A73,Duty!A:E,5,FALSE),"")</f>
        <v/>
      </c>
      <c r="L73" s="1">
        <f t="shared" si="3"/>
        <v>0</v>
      </c>
      <c r="M73" t="str">
        <f>IFERROR(VLOOKUP(A73,Duty!A:E,3,FALSE),"")</f>
        <v/>
      </c>
      <c r="N73" t="str">
        <f>IFERROR(VLOOKUP(A73,Duty!A:E,4,FALSE),"")</f>
        <v/>
      </c>
    </row>
    <row r="74" spans="10:14" x14ac:dyDescent="0.25">
      <c r="J74" s="1" t="str">
        <f t="shared" si="2"/>
        <v/>
      </c>
      <c r="K74" s="1" t="str">
        <f>IFERROR(VLOOKUP(A74,Duty!A:E,5,FALSE),"")</f>
        <v/>
      </c>
      <c r="L74" s="1">
        <f t="shared" si="3"/>
        <v>0</v>
      </c>
      <c r="M74" t="str">
        <f>IFERROR(VLOOKUP(A74,Duty!A:E,3,FALSE),"")</f>
        <v/>
      </c>
      <c r="N74" t="str">
        <f>IFERROR(VLOOKUP(A74,Duty!A:E,4,FALSE),"")</f>
        <v/>
      </c>
    </row>
    <row r="75" spans="10:14" x14ac:dyDescent="0.25">
      <c r="J75" s="1" t="str">
        <f t="shared" si="2"/>
        <v/>
      </c>
      <c r="K75" s="1" t="str">
        <f>IFERROR(VLOOKUP(A75,Duty!A:E,5,FALSE),"")</f>
        <v/>
      </c>
      <c r="L75" s="1">
        <f t="shared" si="3"/>
        <v>0</v>
      </c>
      <c r="M75" t="str">
        <f>IFERROR(VLOOKUP(A75,Duty!A:E,3,FALSE),"")</f>
        <v/>
      </c>
      <c r="N75" t="str">
        <f>IFERROR(VLOOKUP(A75,Duty!A:E,4,FALSE),"")</f>
        <v/>
      </c>
    </row>
    <row r="76" spans="10:14" x14ac:dyDescent="0.25">
      <c r="J76" s="1" t="str">
        <f t="shared" si="2"/>
        <v/>
      </c>
      <c r="K76" s="1" t="str">
        <f>IFERROR(VLOOKUP(A76,Duty!A:E,5,FALSE),"")</f>
        <v/>
      </c>
      <c r="L76" s="1">
        <f t="shared" si="3"/>
        <v>0</v>
      </c>
      <c r="M76" t="str">
        <f>IFERROR(VLOOKUP(A76,Duty!A:E,3,FALSE),"")</f>
        <v/>
      </c>
      <c r="N76" t="str">
        <f>IFERROR(VLOOKUP(A76,Duty!A:E,4,FALSE),"")</f>
        <v/>
      </c>
    </row>
    <row r="77" spans="10:14" x14ac:dyDescent="0.25">
      <c r="J77" s="1" t="str">
        <f t="shared" si="2"/>
        <v/>
      </c>
      <c r="K77" s="1" t="str">
        <f>IFERROR(VLOOKUP(A77,Duty!A:E,5,FALSE),"")</f>
        <v/>
      </c>
      <c r="L77" s="1">
        <f t="shared" si="3"/>
        <v>0</v>
      </c>
      <c r="M77" t="str">
        <f>IFERROR(VLOOKUP(A77,Duty!A:E,3,FALSE),"")</f>
        <v/>
      </c>
      <c r="N77" t="str">
        <f>IFERROR(VLOOKUP(A77,Duty!A:E,4,FALSE),"")</f>
        <v/>
      </c>
    </row>
    <row r="78" spans="10:14" x14ac:dyDescent="0.25">
      <c r="J78" s="1" t="str">
        <f t="shared" si="2"/>
        <v/>
      </c>
      <c r="K78" s="1" t="str">
        <f>IFERROR(VLOOKUP(A78,Duty!A:E,5,FALSE),"")</f>
        <v/>
      </c>
      <c r="L78" s="1">
        <f t="shared" si="3"/>
        <v>0</v>
      </c>
      <c r="M78" t="str">
        <f>IFERROR(VLOOKUP(A78,Duty!A:E,3,FALSE),"")</f>
        <v/>
      </c>
      <c r="N78" t="str">
        <f>IFERROR(VLOOKUP(A78,Duty!A:E,4,FALSE),"")</f>
        <v/>
      </c>
    </row>
    <row r="79" spans="10:14" x14ac:dyDescent="0.25">
      <c r="J79" s="1" t="str">
        <f t="shared" si="2"/>
        <v/>
      </c>
      <c r="K79" s="1" t="str">
        <f>IFERROR(VLOOKUP(A79,Duty!A:E,5,FALSE),"")</f>
        <v/>
      </c>
      <c r="L79" s="1">
        <f t="shared" si="3"/>
        <v>0</v>
      </c>
      <c r="M79" t="str">
        <f>IFERROR(VLOOKUP(A79,Duty!A:E,3,FALSE),"")</f>
        <v/>
      </c>
      <c r="N79" t="str">
        <f>IFERROR(VLOOKUP(A79,Duty!A:E,4,FALSE),"")</f>
        <v/>
      </c>
    </row>
    <row r="80" spans="10:14" x14ac:dyDescent="0.25">
      <c r="J80" s="1" t="str">
        <f t="shared" si="2"/>
        <v/>
      </c>
      <c r="K80" s="1" t="str">
        <f>IFERROR(VLOOKUP(A80,Duty!A:E,5,FALSE),"")</f>
        <v/>
      </c>
      <c r="L80" s="1">
        <f t="shared" si="3"/>
        <v>0</v>
      </c>
      <c r="M80" t="str">
        <f>IFERROR(VLOOKUP(A80,Duty!A:E,3,FALSE),"")</f>
        <v/>
      </c>
      <c r="N80" t="str">
        <f>IFERROR(VLOOKUP(A80,Duty!A:E,4,FALSE),"")</f>
        <v/>
      </c>
    </row>
    <row r="81" spans="10:14" x14ac:dyDescent="0.25">
      <c r="J81" s="1" t="str">
        <f t="shared" si="2"/>
        <v/>
      </c>
      <c r="K81" s="1" t="str">
        <f>IFERROR(VLOOKUP(A81,Duty!A:E,5,FALSE),"")</f>
        <v/>
      </c>
      <c r="L81" s="1">
        <f t="shared" si="3"/>
        <v>0</v>
      </c>
      <c r="M81" t="str">
        <f>IFERROR(VLOOKUP(A81,Duty!A:E,3,FALSE),"")</f>
        <v/>
      </c>
      <c r="N81" t="str">
        <f>IFERROR(VLOOKUP(A81,Duty!A:E,4,FALSE),"")</f>
        <v/>
      </c>
    </row>
    <row r="82" spans="10:14" x14ac:dyDescent="0.25">
      <c r="J82" s="1" t="str">
        <f t="shared" si="2"/>
        <v/>
      </c>
      <c r="K82" s="1" t="str">
        <f>IFERROR(VLOOKUP(A82,Duty!A:E,5,FALSE),"")</f>
        <v/>
      </c>
      <c r="L82" s="1">
        <f t="shared" si="3"/>
        <v>0</v>
      </c>
      <c r="M82" t="str">
        <f>IFERROR(VLOOKUP(A82,Duty!A:E,3,FALSE),"")</f>
        <v/>
      </c>
      <c r="N82" t="str">
        <f>IFERROR(VLOOKUP(A82,Duty!A:E,4,FALSE),"")</f>
        <v/>
      </c>
    </row>
    <row r="83" spans="10:14" x14ac:dyDescent="0.25">
      <c r="J83" s="1" t="str">
        <f t="shared" si="2"/>
        <v/>
      </c>
      <c r="K83" s="1" t="str">
        <f>IFERROR(VLOOKUP(A83,Duty!A:E,5,FALSE),"")</f>
        <v/>
      </c>
      <c r="L83" s="1">
        <f t="shared" si="3"/>
        <v>0</v>
      </c>
      <c r="M83" t="str">
        <f>IFERROR(VLOOKUP(A83,Duty!A:E,3,FALSE),"")</f>
        <v/>
      </c>
      <c r="N83" t="str">
        <f>IFERROR(VLOOKUP(A83,Duty!A:E,4,FALSE),"")</f>
        <v/>
      </c>
    </row>
    <row r="84" spans="10:14" x14ac:dyDescent="0.25">
      <c r="J84" s="1" t="str">
        <f t="shared" si="2"/>
        <v/>
      </c>
      <c r="K84" s="1" t="str">
        <f>IFERROR(VLOOKUP(A84,Duty!A:E,5,FALSE),"")</f>
        <v/>
      </c>
      <c r="L84" s="1">
        <f t="shared" si="3"/>
        <v>0</v>
      </c>
      <c r="M84" t="str">
        <f>IFERROR(VLOOKUP(A84,Duty!A:E,3,FALSE),"")</f>
        <v/>
      </c>
      <c r="N84" t="str">
        <f>IFERROR(VLOOKUP(A84,Duty!A:E,4,FALSE),"")</f>
        <v/>
      </c>
    </row>
    <row r="85" spans="10:14" x14ac:dyDescent="0.25">
      <c r="J85" s="1" t="str">
        <f t="shared" si="2"/>
        <v/>
      </c>
      <c r="K85" s="1" t="str">
        <f>IFERROR(VLOOKUP(A85,Duty!A:E,5,FALSE),"")</f>
        <v/>
      </c>
      <c r="L85" s="1">
        <f t="shared" si="3"/>
        <v>0</v>
      </c>
      <c r="M85" t="str">
        <f>IFERROR(VLOOKUP(A85,Duty!A:E,3,FALSE),"")</f>
        <v/>
      </c>
      <c r="N85" t="str">
        <f>IFERROR(VLOOKUP(A85,Duty!A:E,4,FALSE),"")</f>
        <v/>
      </c>
    </row>
    <row r="86" spans="10:14" x14ac:dyDescent="0.25">
      <c r="J86" s="1" t="str">
        <f t="shared" si="2"/>
        <v/>
      </c>
      <c r="K86" s="1" t="str">
        <f>IFERROR(VLOOKUP(A86,Duty!A:E,5,FALSE),"")</f>
        <v/>
      </c>
      <c r="L86" s="1">
        <f t="shared" si="3"/>
        <v>0</v>
      </c>
      <c r="M86" t="str">
        <f>IFERROR(VLOOKUP(A86,Duty!A:E,3,FALSE),"")</f>
        <v/>
      </c>
      <c r="N86" t="str">
        <f>IFERROR(VLOOKUP(A86,Duty!A:E,4,FALSE),"")</f>
        <v/>
      </c>
    </row>
    <row r="87" spans="10:14" x14ac:dyDescent="0.25">
      <c r="J87" s="1" t="str">
        <f t="shared" si="2"/>
        <v/>
      </c>
      <c r="K87" s="1" t="str">
        <f>IFERROR(VLOOKUP(A87,Duty!A:E,5,FALSE),"")</f>
        <v/>
      </c>
      <c r="L87" s="1">
        <f t="shared" si="3"/>
        <v>0</v>
      </c>
      <c r="M87" t="str">
        <f>IFERROR(VLOOKUP(A87,Duty!A:E,3,FALSE),"")</f>
        <v/>
      </c>
      <c r="N87" t="str">
        <f>IFERROR(VLOOKUP(A87,Duty!A:E,4,FALSE),"")</f>
        <v/>
      </c>
    </row>
    <row r="88" spans="10:14" x14ac:dyDescent="0.25">
      <c r="J88" s="1" t="str">
        <f t="shared" si="2"/>
        <v/>
      </c>
      <c r="K88" s="1" t="str">
        <f>IFERROR(VLOOKUP(A88,Duty!A:E,5,FALSE),"")</f>
        <v/>
      </c>
      <c r="L88" s="1">
        <f t="shared" si="3"/>
        <v>0</v>
      </c>
      <c r="M88" t="str">
        <f>IFERROR(VLOOKUP(A88,Duty!A:E,3,FALSE),"")</f>
        <v/>
      </c>
      <c r="N88" t="str">
        <f>IFERROR(VLOOKUP(A88,Duty!A:E,4,FALSE),"")</f>
        <v/>
      </c>
    </row>
    <row r="89" spans="10:14" x14ac:dyDescent="0.25">
      <c r="J89" s="1" t="str">
        <f t="shared" si="2"/>
        <v/>
      </c>
      <c r="K89" s="1" t="str">
        <f>IFERROR(VLOOKUP(A89,Duty!A:E,5,FALSE),"")</f>
        <v/>
      </c>
      <c r="L89" s="1">
        <f t="shared" si="3"/>
        <v>0</v>
      </c>
      <c r="M89" t="str">
        <f>IFERROR(VLOOKUP(A89,Duty!A:E,3,FALSE),"")</f>
        <v/>
      </c>
      <c r="N89" t="str">
        <f>IFERROR(VLOOKUP(A89,Duty!A:E,4,FALSE),"")</f>
        <v/>
      </c>
    </row>
    <row r="90" spans="10:14" x14ac:dyDescent="0.25">
      <c r="J90" s="1" t="str">
        <f t="shared" si="2"/>
        <v/>
      </c>
      <c r="K90" s="1" t="str">
        <f>IFERROR(VLOOKUP(A90,Duty!A:E,5,FALSE),"")</f>
        <v/>
      </c>
      <c r="L90" s="1">
        <f t="shared" si="3"/>
        <v>0</v>
      </c>
      <c r="M90" t="str">
        <f>IFERROR(VLOOKUP(A90,Duty!A:E,3,FALSE),"")</f>
        <v/>
      </c>
      <c r="N90" t="str">
        <f>IFERROR(VLOOKUP(A90,Duty!A:E,4,FALSE),"")</f>
        <v/>
      </c>
    </row>
    <row r="91" spans="10:14" x14ac:dyDescent="0.25">
      <c r="J91" s="1" t="str">
        <f t="shared" si="2"/>
        <v/>
      </c>
      <c r="K91" s="1" t="str">
        <f>IFERROR(VLOOKUP(A91,Duty!A:E,5,FALSE),"")</f>
        <v/>
      </c>
      <c r="L91" s="1">
        <f t="shared" si="3"/>
        <v>0</v>
      </c>
      <c r="M91" t="str">
        <f>IFERROR(VLOOKUP(A91,Duty!A:E,3,FALSE),"")</f>
        <v/>
      </c>
      <c r="N91" t="str">
        <f>IFERROR(VLOOKUP(A91,Duty!A:E,4,FALSE),"")</f>
        <v/>
      </c>
    </row>
    <row r="92" spans="10:14" x14ac:dyDescent="0.25">
      <c r="J92" s="1" t="str">
        <f t="shared" si="2"/>
        <v/>
      </c>
      <c r="K92" s="1" t="str">
        <f>IFERROR(VLOOKUP(A92,Duty!A:E,5,FALSE),"")</f>
        <v/>
      </c>
      <c r="L92" s="1">
        <f t="shared" si="3"/>
        <v>0</v>
      </c>
      <c r="M92" t="str">
        <f>IFERROR(VLOOKUP(A92,Duty!A:E,3,FALSE),"")</f>
        <v/>
      </c>
      <c r="N92" t="str">
        <f>IFERROR(VLOOKUP(A92,Duty!A:E,4,FALSE),"")</f>
        <v/>
      </c>
    </row>
    <row r="93" spans="10:14" x14ac:dyDescent="0.25">
      <c r="J93" s="1" t="str">
        <f t="shared" si="2"/>
        <v/>
      </c>
      <c r="K93" s="1" t="str">
        <f>IFERROR(VLOOKUP(A93,Duty!A:E,5,FALSE),"")</f>
        <v/>
      </c>
      <c r="L93" s="1">
        <f t="shared" si="3"/>
        <v>0</v>
      </c>
      <c r="M93" t="str">
        <f>IFERROR(VLOOKUP(A93,Duty!A:E,3,FALSE),"")</f>
        <v/>
      </c>
      <c r="N93" t="str">
        <f>IFERROR(VLOOKUP(A93,Duty!A:E,4,FALSE),"")</f>
        <v/>
      </c>
    </row>
    <row r="94" spans="10:14" x14ac:dyDescent="0.25">
      <c r="J94" s="1" t="str">
        <f t="shared" si="2"/>
        <v/>
      </c>
      <c r="K94" s="1" t="str">
        <f>IFERROR(VLOOKUP(A94,Duty!A:E,5,FALSE),"")</f>
        <v/>
      </c>
      <c r="L94" s="1">
        <f t="shared" si="3"/>
        <v>0</v>
      </c>
      <c r="M94" t="str">
        <f>IFERROR(VLOOKUP(A94,Duty!A:E,3,FALSE),"")</f>
        <v/>
      </c>
      <c r="N94" t="str">
        <f>IFERROR(VLOOKUP(A94,Duty!A:E,4,FALSE),"")</f>
        <v/>
      </c>
    </row>
    <row r="95" spans="10:14" x14ac:dyDescent="0.25">
      <c r="J95" s="1" t="str">
        <f t="shared" si="2"/>
        <v/>
      </c>
      <c r="K95" s="1" t="str">
        <f>IFERROR(VLOOKUP(A95,Duty!A:E,5,FALSE),"")</f>
        <v/>
      </c>
      <c r="L95" s="1">
        <f t="shared" si="3"/>
        <v>0</v>
      </c>
      <c r="M95" t="str">
        <f>IFERROR(VLOOKUP(A95,Duty!A:E,3,FALSE),"")</f>
        <v/>
      </c>
      <c r="N95" t="str">
        <f>IFERROR(VLOOKUP(A95,Duty!A:E,4,FALSE),"")</f>
        <v/>
      </c>
    </row>
    <row r="96" spans="10:14" x14ac:dyDescent="0.25">
      <c r="J96" s="1" t="str">
        <f t="shared" si="2"/>
        <v/>
      </c>
      <c r="K96" s="1" t="str">
        <f>IFERROR(VLOOKUP(A96,Duty!A:E,5,FALSE),"")</f>
        <v/>
      </c>
      <c r="L96" s="1">
        <f t="shared" si="3"/>
        <v>0</v>
      </c>
      <c r="M96" t="str">
        <f>IFERROR(VLOOKUP(A96,Duty!A:E,3,FALSE),"")</f>
        <v/>
      </c>
      <c r="N96" t="str">
        <f>IFERROR(VLOOKUP(A96,Duty!A:E,4,FALSE),"")</f>
        <v/>
      </c>
    </row>
    <row r="97" spans="10:14" x14ac:dyDescent="0.25">
      <c r="J97" s="1" t="str">
        <f t="shared" si="2"/>
        <v/>
      </c>
      <c r="K97" s="1" t="str">
        <f>IFERROR(VLOOKUP(A97,Duty!A:E,5,FALSE),"")</f>
        <v/>
      </c>
      <c r="L97" s="1">
        <f t="shared" si="3"/>
        <v>0</v>
      </c>
      <c r="M97" t="str">
        <f>IFERROR(VLOOKUP(A97,Duty!A:E,3,FALSE),"")</f>
        <v/>
      </c>
      <c r="N97" t="str">
        <f>IFERROR(VLOOKUP(A97,Duty!A:E,4,FALSE),"")</f>
        <v/>
      </c>
    </row>
    <row r="98" spans="10:14" x14ac:dyDescent="0.25">
      <c r="J98" s="1" t="str">
        <f t="shared" si="2"/>
        <v/>
      </c>
      <c r="K98" s="1" t="str">
        <f>IFERROR(VLOOKUP(A98,Duty!A:E,5,FALSE),"")</f>
        <v/>
      </c>
      <c r="L98" s="1">
        <f t="shared" si="3"/>
        <v>0</v>
      </c>
      <c r="M98" t="str">
        <f>IFERROR(VLOOKUP(A98,Duty!A:E,3,FALSE),"")</f>
        <v/>
      </c>
      <c r="N98" t="str">
        <f>IFERROR(VLOOKUP(A98,Duty!A:E,4,FALSE),"")</f>
        <v/>
      </c>
    </row>
    <row r="99" spans="10:14" x14ac:dyDescent="0.25">
      <c r="J99" s="1" t="str">
        <f t="shared" si="2"/>
        <v/>
      </c>
      <c r="K99" s="1" t="str">
        <f>IFERROR(VLOOKUP(A99,Duty!A:E,5,FALSE),"")</f>
        <v/>
      </c>
      <c r="L99" s="1">
        <f t="shared" si="3"/>
        <v>0</v>
      </c>
      <c r="M99" t="str">
        <f>IFERROR(VLOOKUP(A99,Duty!A:E,3,FALSE),"")</f>
        <v/>
      </c>
      <c r="N99" t="str">
        <f>IFERROR(VLOOKUP(A99,Duty!A:E,4,FALSE),"")</f>
        <v/>
      </c>
    </row>
    <row r="100" spans="10:14" x14ac:dyDescent="0.25">
      <c r="J100" s="1" t="str">
        <f t="shared" si="2"/>
        <v/>
      </c>
      <c r="K100" s="1" t="str">
        <f>IFERROR(VLOOKUP(A100,Duty!A:E,5,FALSE),"")</f>
        <v/>
      </c>
      <c r="L100" s="1">
        <f t="shared" si="3"/>
        <v>0</v>
      </c>
      <c r="M100" t="str">
        <f>IFERROR(VLOOKUP(A100,Duty!A:E,3,FALSE),"")</f>
        <v/>
      </c>
      <c r="N100" t="str">
        <f>IFERROR(VLOOKUP(A100,Duty!A:E,4,FALSE),"")</f>
        <v/>
      </c>
    </row>
    <row r="101" spans="10:14" x14ac:dyDescent="0.25">
      <c r="J101" s="1" t="str">
        <f t="shared" si="2"/>
        <v/>
      </c>
      <c r="K101" s="1" t="str">
        <f>IFERROR(VLOOKUP(A101,Duty!A:E,5,FALSE),"")</f>
        <v/>
      </c>
      <c r="L101" s="1">
        <f t="shared" si="3"/>
        <v>0</v>
      </c>
      <c r="M101" t="str">
        <f>IFERROR(VLOOKUP(A101,Duty!A:E,3,FALSE),"")</f>
        <v/>
      </c>
      <c r="N101" t="str">
        <f>IFERROR(VLOOKUP(A101,Duty!A:E,4,FALSE),"")</f>
        <v/>
      </c>
    </row>
    <row r="102" spans="10:14" x14ac:dyDescent="0.25">
      <c r="J102" s="1" t="str">
        <f t="shared" si="2"/>
        <v/>
      </c>
      <c r="K102" s="1" t="str">
        <f>IFERROR(VLOOKUP(A102,Duty!A:E,5,FALSE),"")</f>
        <v/>
      </c>
      <c r="L102" s="1">
        <f t="shared" si="3"/>
        <v>0</v>
      </c>
      <c r="M102" t="str">
        <f>IFERROR(VLOOKUP(A102,Duty!A:E,3,FALSE),"")</f>
        <v/>
      </c>
      <c r="N102" t="str">
        <f>IFERROR(VLOOKUP(A102,Duty!A:E,4,FALSE),"")</f>
        <v/>
      </c>
    </row>
    <row r="103" spans="10:14" x14ac:dyDescent="0.25">
      <c r="J103" s="1" t="str">
        <f t="shared" si="2"/>
        <v/>
      </c>
      <c r="K103" s="1" t="str">
        <f>IFERROR(VLOOKUP(A103,Duty!A:E,5,FALSE),"")</f>
        <v/>
      </c>
      <c r="L103" s="1">
        <f t="shared" si="3"/>
        <v>0</v>
      </c>
      <c r="M103" t="str">
        <f>IFERROR(VLOOKUP(A103,Duty!A:E,3,FALSE),"")</f>
        <v/>
      </c>
      <c r="N103" t="str">
        <f>IFERROR(VLOOKUP(A103,Duty!A:E,4,FALSE),"")</f>
        <v/>
      </c>
    </row>
    <row r="104" spans="10:14" x14ac:dyDescent="0.25">
      <c r="J104" s="1" t="str">
        <f t="shared" si="2"/>
        <v/>
      </c>
      <c r="K104" s="1" t="str">
        <f>IFERROR(VLOOKUP(A104,Duty!A:E,5,FALSE),"")</f>
        <v/>
      </c>
      <c r="L104" s="1">
        <f t="shared" si="3"/>
        <v>0</v>
      </c>
      <c r="M104" t="str">
        <f>IFERROR(VLOOKUP(A104,Duty!A:E,3,FALSE),"")</f>
        <v/>
      </c>
      <c r="N104" t="str">
        <f>IFERROR(VLOOKUP(A104,Duty!A:E,4,FALSE),"")</f>
        <v/>
      </c>
    </row>
    <row r="105" spans="10:14" x14ac:dyDescent="0.25">
      <c r="J105" s="1" t="str">
        <f t="shared" si="2"/>
        <v/>
      </c>
      <c r="K105" s="1" t="str">
        <f>IFERROR(VLOOKUP(A105,Duty!A:E,5,FALSE),"")</f>
        <v/>
      </c>
      <c r="L105" s="1">
        <f t="shared" si="3"/>
        <v>0</v>
      </c>
      <c r="M105" t="str">
        <f>IFERROR(VLOOKUP(A105,Duty!A:E,3,FALSE),"")</f>
        <v/>
      </c>
      <c r="N105" t="str">
        <f>IFERROR(VLOOKUP(A105,Duty!A:E,4,FALSE),"")</f>
        <v/>
      </c>
    </row>
    <row r="106" spans="10:14" x14ac:dyDescent="0.25">
      <c r="J106" s="1" t="str">
        <f t="shared" si="2"/>
        <v/>
      </c>
      <c r="K106" s="1" t="str">
        <f>IFERROR(VLOOKUP(A106,Duty!A:E,5,FALSE),"")</f>
        <v/>
      </c>
      <c r="L106" s="1">
        <f t="shared" si="3"/>
        <v>0</v>
      </c>
      <c r="M106" t="str">
        <f>IFERROR(VLOOKUP(A106,Duty!A:E,3,FALSE),"")</f>
        <v/>
      </c>
      <c r="N106" t="str">
        <f>IFERROR(VLOOKUP(A106,Duty!A:E,4,FALSE),"")</f>
        <v/>
      </c>
    </row>
    <row r="107" spans="10:14" x14ac:dyDescent="0.25">
      <c r="J107" s="1" t="str">
        <f t="shared" si="2"/>
        <v/>
      </c>
      <c r="K107" s="1" t="str">
        <f>IFERROR(VLOOKUP(A107,Duty!A:E,5,FALSE),"")</f>
        <v/>
      </c>
      <c r="L107" s="1">
        <f t="shared" si="3"/>
        <v>0</v>
      </c>
      <c r="M107" t="str">
        <f>IFERROR(VLOOKUP(A107,Duty!A:E,3,FALSE),"")</f>
        <v/>
      </c>
      <c r="N107" t="str">
        <f>IFERROR(VLOOKUP(A107,Duty!A:E,4,FALSE),"")</f>
        <v/>
      </c>
    </row>
    <row r="108" spans="10:14" x14ac:dyDescent="0.25">
      <c r="J108" s="1" t="str">
        <f t="shared" si="2"/>
        <v/>
      </c>
      <c r="K108" s="1" t="str">
        <f>IFERROR(VLOOKUP(A108,Duty!A:E,5,FALSE),"")</f>
        <v/>
      </c>
      <c r="L108" s="1">
        <f t="shared" si="3"/>
        <v>0</v>
      </c>
      <c r="M108" t="str">
        <f>IFERROR(VLOOKUP(A108,Duty!A:E,3,FALSE),"")</f>
        <v/>
      </c>
      <c r="N108" t="str">
        <f>IFERROR(VLOOKUP(A108,Duty!A:E,4,FALSE),"")</f>
        <v/>
      </c>
    </row>
    <row r="109" spans="10:14" x14ac:dyDescent="0.25">
      <c r="J109" s="1" t="str">
        <f t="shared" si="2"/>
        <v/>
      </c>
      <c r="K109" s="1" t="str">
        <f>IFERROR(VLOOKUP(A109,Duty!A:E,5,FALSE),"")</f>
        <v/>
      </c>
      <c r="L109" s="1">
        <f t="shared" si="3"/>
        <v>0</v>
      </c>
      <c r="M109" t="str">
        <f>IFERROR(VLOOKUP(A109,Duty!A:E,3,FALSE),"")</f>
        <v/>
      </c>
      <c r="N109" t="str">
        <f>IFERROR(VLOOKUP(A109,Duty!A:E,4,FALSE),"")</f>
        <v/>
      </c>
    </row>
    <row r="110" spans="10:14" x14ac:dyDescent="0.25">
      <c r="J110" s="1" t="str">
        <f t="shared" si="2"/>
        <v/>
      </c>
      <c r="K110" s="1" t="str">
        <f>IFERROR(VLOOKUP(A110,Duty!A:E,5,FALSE),"")</f>
        <v/>
      </c>
      <c r="L110" s="1">
        <f t="shared" si="3"/>
        <v>0</v>
      </c>
      <c r="M110" t="str">
        <f>IFERROR(VLOOKUP(A110,Duty!A:E,3,FALSE),"")</f>
        <v/>
      </c>
      <c r="N110" t="str">
        <f>IFERROR(VLOOKUP(A110,Duty!A:E,4,FALSE),"")</f>
        <v/>
      </c>
    </row>
    <row r="111" spans="10:14" x14ac:dyDescent="0.25">
      <c r="J111" s="1" t="str">
        <f t="shared" si="2"/>
        <v/>
      </c>
      <c r="K111" s="1" t="str">
        <f>IFERROR(VLOOKUP(A111,Duty!A:E,5,FALSE),"")</f>
        <v/>
      </c>
      <c r="L111" s="1">
        <f t="shared" si="3"/>
        <v>0</v>
      </c>
      <c r="M111" t="str">
        <f>IFERROR(VLOOKUP(A111,Duty!A:E,3,FALSE),"")</f>
        <v/>
      </c>
      <c r="N111" t="str">
        <f>IFERROR(VLOOKUP(A111,Duty!A:E,4,FALSE),"")</f>
        <v/>
      </c>
    </row>
    <row r="112" spans="10:14" x14ac:dyDescent="0.25">
      <c r="J112" s="1" t="str">
        <f t="shared" si="2"/>
        <v/>
      </c>
      <c r="K112" s="1" t="str">
        <f>IFERROR(VLOOKUP(A112,Duty!A:E,5,FALSE),"")</f>
        <v/>
      </c>
      <c r="L112" s="1">
        <f t="shared" si="3"/>
        <v>0</v>
      </c>
      <c r="M112" t="str">
        <f>IFERROR(VLOOKUP(A112,Duty!A:E,3,FALSE),"")</f>
        <v/>
      </c>
      <c r="N112" t="str">
        <f>IFERROR(VLOOKUP(A112,Duty!A:E,4,FALSE),"")</f>
        <v/>
      </c>
    </row>
    <row r="113" spans="10:14" x14ac:dyDescent="0.25">
      <c r="J113" s="1" t="str">
        <f t="shared" si="2"/>
        <v/>
      </c>
      <c r="K113" s="1" t="str">
        <f>IFERROR(VLOOKUP(A113,Duty!A:E,5,FALSE),"")</f>
        <v/>
      </c>
      <c r="L113" s="1">
        <f t="shared" si="3"/>
        <v>0</v>
      </c>
      <c r="M113" t="str">
        <f>IFERROR(VLOOKUP(A113,Duty!A:E,3,FALSE),"")</f>
        <v/>
      </c>
      <c r="N113" t="str">
        <f>IFERROR(VLOOKUP(A113,Duty!A:E,4,FALSE),"")</f>
        <v/>
      </c>
    </row>
    <row r="114" spans="10:14" x14ac:dyDescent="0.25">
      <c r="J114" s="1" t="str">
        <f t="shared" si="2"/>
        <v/>
      </c>
      <c r="K114" s="1" t="str">
        <f>IFERROR(VLOOKUP(A114,Duty!A:E,5,FALSE),"")</f>
        <v/>
      </c>
      <c r="L114" s="1">
        <f t="shared" si="3"/>
        <v>0</v>
      </c>
      <c r="M114" t="str">
        <f>IFERROR(VLOOKUP(A114,Duty!A:E,3,FALSE),"")</f>
        <v/>
      </c>
      <c r="N114" t="str">
        <f>IFERROR(VLOOKUP(A114,Duty!A:E,4,FALSE),"")</f>
        <v/>
      </c>
    </row>
    <row r="115" spans="10:14" x14ac:dyDescent="0.25">
      <c r="J115" s="1" t="str">
        <f t="shared" si="2"/>
        <v/>
      </c>
      <c r="K115" s="1" t="str">
        <f>IFERROR(VLOOKUP(A115,Duty!A:E,5,FALSE),"")</f>
        <v/>
      </c>
      <c r="L115" s="1">
        <f t="shared" si="3"/>
        <v>0</v>
      </c>
      <c r="M115" t="str">
        <f>IFERROR(VLOOKUP(A115,Duty!A:E,3,FALSE),"")</f>
        <v/>
      </c>
      <c r="N115" t="str">
        <f>IFERROR(VLOOKUP(A115,Duty!A:E,4,FALSE),"")</f>
        <v/>
      </c>
    </row>
    <row r="116" spans="10:14" x14ac:dyDescent="0.25">
      <c r="J116" s="1" t="str">
        <f t="shared" si="2"/>
        <v/>
      </c>
      <c r="K116" s="1" t="str">
        <f>IFERROR(VLOOKUP(A116,Duty!A:E,5,FALSE),"")</f>
        <v/>
      </c>
      <c r="L116" s="1">
        <f t="shared" si="3"/>
        <v>0</v>
      </c>
      <c r="M116" t="str">
        <f>IFERROR(VLOOKUP(A116,Duty!A:E,3,FALSE),"")</f>
        <v/>
      </c>
      <c r="N116" t="str">
        <f>IFERROR(VLOOKUP(A116,Duty!A:E,4,FALSE),"")</f>
        <v/>
      </c>
    </row>
    <row r="117" spans="10:14" x14ac:dyDescent="0.25">
      <c r="J117" s="1" t="str">
        <f t="shared" si="2"/>
        <v/>
      </c>
      <c r="K117" s="1" t="str">
        <f>IFERROR(VLOOKUP(A117,Duty!A:E,5,FALSE),"")</f>
        <v/>
      </c>
      <c r="L117" s="1">
        <f t="shared" si="3"/>
        <v>0</v>
      </c>
      <c r="M117" t="str">
        <f>IFERROR(VLOOKUP(A117,Duty!A:E,3,FALSE),"")</f>
        <v/>
      </c>
      <c r="N117" t="str">
        <f>IFERROR(VLOOKUP(A117,Duty!A:E,4,FALSE),"")</f>
        <v/>
      </c>
    </row>
    <row r="118" spans="10:14" x14ac:dyDescent="0.25">
      <c r="J118" s="1" t="str">
        <f t="shared" si="2"/>
        <v/>
      </c>
      <c r="K118" s="1" t="str">
        <f>IFERROR(VLOOKUP(A118,Duty!A:E,5,FALSE),"")</f>
        <v/>
      </c>
      <c r="L118" s="1">
        <f t="shared" si="3"/>
        <v>0</v>
      </c>
      <c r="M118" t="str">
        <f>IFERROR(VLOOKUP(A118,Duty!A:E,3,FALSE),"")</f>
        <v/>
      </c>
      <c r="N118" t="str">
        <f>IFERROR(VLOOKUP(A118,Duty!A:E,4,FALSE),"")</f>
        <v/>
      </c>
    </row>
    <row r="119" spans="10:14" x14ac:dyDescent="0.25">
      <c r="J119" s="1" t="str">
        <f t="shared" si="2"/>
        <v/>
      </c>
      <c r="K119" s="1" t="str">
        <f>IFERROR(VLOOKUP(A119,Duty!A:E,5,FALSE),"")</f>
        <v/>
      </c>
      <c r="L119" s="1">
        <f t="shared" si="3"/>
        <v>0</v>
      </c>
      <c r="M119" t="str">
        <f>IFERROR(VLOOKUP(A119,Duty!A:E,3,FALSE),"")</f>
        <v/>
      </c>
      <c r="N119" t="str">
        <f>IFERROR(VLOOKUP(A119,Duty!A:E,4,FALSE),"")</f>
        <v/>
      </c>
    </row>
    <row r="120" spans="10:14" x14ac:dyDescent="0.25">
      <c r="J120" s="1" t="str">
        <f t="shared" si="2"/>
        <v/>
      </c>
      <c r="K120" s="1" t="str">
        <f>IFERROR(VLOOKUP(A120,Duty!A:E,5,FALSE),"")</f>
        <v/>
      </c>
      <c r="L120" s="1">
        <f t="shared" si="3"/>
        <v>0</v>
      </c>
      <c r="M120" t="str">
        <f>IFERROR(VLOOKUP(A120,Duty!A:E,3,FALSE),"")</f>
        <v/>
      </c>
      <c r="N120" t="str">
        <f>IFERROR(VLOOKUP(A120,Duty!A:E,4,FALSE),"")</f>
        <v/>
      </c>
    </row>
    <row r="121" spans="10:14" x14ac:dyDescent="0.25">
      <c r="J121" s="1" t="str">
        <f t="shared" si="2"/>
        <v/>
      </c>
      <c r="K121" s="1" t="str">
        <f>IFERROR(VLOOKUP(A121,Duty!A:E,5,FALSE),"")</f>
        <v/>
      </c>
      <c r="L121" s="1">
        <f t="shared" si="3"/>
        <v>0</v>
      </c>
      <c r="M121" t="str">
        <f>IFERROR(VLOOKUP(A121,Duty!A:E,3,FALSE),"")</f>
        <v/>
      </c>
      <c r="N121" t="str">
        <f>IFERROR(VLOOKUP(A121,Duty!A:E,4,FALSE),"")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Q1"/>
  <sheetViews>
    <sheetView workbookViewId="0">
      <selection activeCell="F1" sqref="F1"/>
    </sheetView>
  </sheetViews>
  <sheetFormatPr defaultRowHeight="15" x14ac:dyDescent="0.25"/>
  <cols>
    <col min="1" max="1" width="9.140625" style="1" customWidth="1"/>
    <col min="2" max="2" width="87.85546875" style="1" bestFit="1" customWidth="1"/>
  </cols>
  <sheetData>
    <row r="1" spans="3:17" x14ac:dyDescent="0.25">
      <c r="C1" t="s">
        <v>7</v>
      </c>
      <c r="D1" t="s">
        <v>8</v>
      </c>
      <c r="E1" t="s">
        <v>6</v>
      </c>
      <c r="F1" t="s">
        <v>10</v>
      </c>
      <c r="Q1" s="1">
        <f>COUNTA(A:A)+2</f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H2"/>
  <sheetViews>
    <sheetView zoomScale="59" zoomScaleNormal="59" workbookViewId="0">
      <selection activeCell="BH3" sqref="BH3"/>
    </sheetView>
  </sheetViews>
  <sheetFormatPr defaultRowHeight="15" x14ac:dyDescent="0.25"/>
  <cols>
    <col min="1" max="32" width="9.140625" style="1" customWidth="1"/>
    <col min="33" max="33" width="74.42578125" style="1" bestFit="1" customWidth="1"/>
  </cols>
  <sheetData>
    <row r="2" spans="55:60" x14ac:dyDescent="0.25">
      <c r="BC2" s="1">
        <f>E2</f>
        <v>0</v>
      </c>
      <c r="BD2" s="1">
        <f>H2</f>
        <v>0</v>
      </c>
      <c r="BE2" s="1">
        <f>E11</f>
        <v>0</v>
      </c>
      <c r="BF2" s="1">
        <f>G11</f>
        <v>0</v>
      </c>
      <c r="BG2" s="1">
        <f>J11</f>
        <v>0</v>
      </c>
      <c r="BH2">
        <f>P6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Invoice Data</vt:lpstr>
      <vt:lpstr>Duty</vt:lpstr>
      <vt:lpstr>DutyCalc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issac Paul</dc:creator>
  <cp:lastModifiedBy>issac Paul</cp:lastModifiedBy>
  <dcterms:created xsi:type="dcterms:W3CDTF">2021-08-19T08:36:04Z</dcterms:created>
  <dcterms:modified xsi:type="dcterms:W3CDTF">2021-10-03T20:25:51Z</dcterms:modified>
</cp:coreProperties>
</file>